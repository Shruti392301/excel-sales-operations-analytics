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ruti Gaikwad\Downloads\"/>
    </mc:Choice>
  </mc:AlternateContent>
  <xr:revisionPtr revIDLastSave="0" documentId="13_ncr:1_{482F3B8D-CCBF-45EC-965D-1BBE116E785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Detail1" sheetId="4" state="hidden" r:id="rId2"/>
    <sheet name="Detail2" sheetId="5" state="hidden" r:id="rId3"/>
    <sheet name="Visualization" sheetId="28" r:id="rId4"/>
    <sheet name="Orders" sheetId="2" r:id="rId5"/>
    <sheet name="Customers" sheetId="6" r:id="rId6"/>
    <sheet name="Products" sheetId="7" r:id="rId7"/>
    <sheet name="Sales_Reps" sheetId="8" r:id="rId8"/>
    <sheet name="Targets" sheetId="9" r:id="rId9"/>
    <sheet name="Q1_Lookups" sheetId="10" r:id="rId10"/>
    <sheet name="Q2_Cleaning" sheetId="11" r:id="rId11"/>
    <sheet name="Q3_Aggregation" sheetId="12" r:id="rId12"/>
    <sheet name="Practice Sheet" sheetId="13" r:id="rId13"/>
    <sheet name="Q4_Pivot" sheetId="14" r:id="rId14"/>
    <sheet name="Practice sheet 2" sheetId="15" r:id="rId15"/>
    <sheet name="Practice sheet 3" sheetId="16" r:id="rId16"/>
    <sheet name="Practice sheet 4" sheetId="17" r:id="rId17"/>
    <sheet name="Practice sheet 5" sheetId="18" r:id="rId18"/>
    <sheet name="Practice sheet 6" sheetId="19" r:id="rId19"/>
    <sheet name="Practice sheet 7" sheetId="21" r:id="rId20"/>
    <sheet name="Q5_Advanced" sheetId="20" r:id="rId21"/>
    <sheet name="Sheet1" sheetId="22" r:id="rId22"/>
  </sheets>
  <definedNames>
    <definedName name="_xlnm._FilterDatabase" localSheetId="4" hidden="1">Orders!$A$1:$O$2001</definedName>
    <definedName name="_xlchart.v1.0" hidden="1">Orders!$O$1</definedName>
    <definedName name="_xlchart.v1.1" hidden="1">Orders!$O$2:$O$1998</definedName>
    <definedName name="_xlchart.v1.2" hidden="1">Orders!$O$1</definedName>
    <definedName name="_xlchart.v1.3" hidden="1">Orders!$O$2:$O$1998</definedName>
    <definedName name="_xlchart.v1.4" hidden="1">Orders!$O$1</definedName>
    <definedName name="_xlchart.v1.5" hidden="1">Orders!$O$2:$O$1998</definedName>
    <definedName name="Z_8329F6DB_2BFD_465D_A195_B5275A406970_.wvu.FilterData" localSheetId="1" hidden="1">Detail1!$A$3:$O$53</definedName>
    <definedName name="Z_9FF09F62_83F8_4A6F_98C8_39EDECEF5AD3_.wvu.FilterData" localSheetId="2" hidden="1">Detail2!$A$3:$O$53</definedName>
  </definedNames>
  <calcPr calcId="191029"/>
  <customWorkbookViews>
    <customWorkbookView name="Table1 filter view" guid="{8329F6DB-2BFD-465D-A195-B5275A406970}" maximized="1" windowWidth="0" windowHeight="0" activeSheetId="0"/>
    <customWorkbookView name="Table2 filter view" guid="{9FF09F62-83F8-4A6F-98C8-39EDECEF5AD3}" maximized="1" windowWidth="0" windowHeight="0" activeSheetId="0"/>
  </customWorkbookViews>
  <pivotCaches>
    <pivotCache cacheId="41" r:id="rId23"/>
    <pivotCache cacheId="9" r:id="rId24"/>
    <pivotCache cacheId="16" r:id="rId25"/>
    <pivotCache cacheId="21" r:id="rId26"/>
    <pivotCache cacheId="25" r:id="rId27"/>
    <pivotCache cacheId="29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0" roundtripDataChecksum="2C9O6RnWBQr2FUvaR7r80nmOESk1KgX+QvhMgUDRyGU="/>
    </ext>
  </extLst>
</workbook>
</file>

<file path=xl/calcChain.xml><?xml version="1.0" encoding="utf-8"?>
<calcChain xmlns="http://schemas.openxmlformats.org/spreadsheetml/2006/main">
  <c r="E9" i="20" l="1"/>
  <c r="E8" i="20" a="1"/>
  <c r="E8" i="20" s="1"/>
  <c r="E7" i="20" a="1"/>
  <c r="E7" i="20" s="1"/>
  <c r="E6" i="20"/>
  <c r="E5" i="20" a="1"/>
  <c r="E5" i="20" s="1"/>
  <c r="S1998" i="2"/>
  <c r="S1995" i="2"/>
  <c r="S1992" i="2"/>
  <c r="S1991" i="2"/>
  <c r="S1987" i="2"/>
  <c r="S1986" i="2"/>
  <c r="S1984" i="2"/>
  <c r="S1975" i="2"/>
  <c r="S1971" i="2"/>
  <c r="S1969" i="2"/>
  <c r="S1964" i="2"/>
  <c r="S1960" i="2"/>
  <c r="S1956" i="2"/>
  <c r="S1954" i="2"/>
  <c r="S1953" i="2"/>
  <c r="S1952" i="2"/>
  <c r="S1949" i="2"/>
  <c r="S1946" i="2"/>
  <c r="S1938" i="2"/>
  <c r="S1937" i="2"/>
  <c r="S1935" i="2"/>
  <c r="S1934" i="2"/>
  <c r="S1929" i="2"/>
  <c r="S1928" i="2"/>
  <c r="S1927" i="2"/>
  <c r="S1925" i="2"/>
  <c r="S1924" i="2"/>
  <c r="S1923" i="2"/>
  <c r="S1922" i="2"/>
  <c r="S1921" i="2"/>
  <c r="S1916" i="2"/>
  <c r="S1915" i="2"/>
  <c r="S1914" i="2"/>
  <c r="S1907" i="2"/>
  <c r="S1906" i="2"/>
  <c r="S1905" i="2"/>
  <c r="S1904" i="2"/>
  <c r="S1902" i="2"/>
  <c r="S1901" i="2"/>
  <c r="S1899" i="2"/>
  <c r="S1898" i="2"/>
  <c r="S1892" i="2"/>
  <c r="S1890" i="2"/>
  <c r="S1888" i="2"/>
  <c r="S1886" i="2"/>
  <c r="S1884" i="2"/>
  <c r="S1883" i="2"/>
  <c r="S1880" i="2"/>
  <c r="S1879" i="2"/>
  <c r="S1874" i="2"/>
  <c r="S1871" i="2"/>
  <c r="S1868" i="2"/>
  <c r="S1867" i="2"/>
  <c r="S1864" i="2"/>
  <c r="S1863" i="2"/>
  <c r="S1862" i="2"/>
  <c r="S1861" i="2"/>
  <c r="S1859" i="2"/>
  <c r="S1858" i="2"/>
  <c r="S1857" i="2"/>
  <c r="S1856" i="2"/>
  <c r="S1855" i="2"/>
  <c r="S1854" i="2"/>
  <c r="S1853" i="2"/>
  <c r="S1849" i="2"/>
  <c r="S1844" i="2"/>
  <c r="S1841" i="2"/>
  <c r="S1840" i="2"/>
  <c r="S1837" i="2"/>
  <c r="S1834" i="2"/>
  <c r="S1831" i="2"/>
  <c r="S1827" i="2"/>
  <c r="S1823" i="2"/>
  <c r="S1822" i="2"/>
  <c r="S1821" i="2"/>
  <c r="S1820" i="2"/>
  <c r="S1819" i="2"/>
  <c r="S1814" i="2"/>
  <c r="S1813" i="2"/>
  <c r="S1803" i="2"/>
  <c r="S1802" i="2"/>
  <c r="S1800" i="2"/>
  <c r="S1791" i="2"/>
  <c r="S1788" i="2"/>
  <c r="S1787" i="2"/>
  <c r="S1786" i="2"/>
  <c r="S1784" i="2"/>
  <c r="S1783" i="2"/>
  <c r="S1782" i="2"/>
  <c r="S1781" i="2"/>
  <c r="S1780" i="2"/>
  <c r="S1779" i="2"/>
  <c r="S1778" i="2"/>
  <c r="S1774" i="2"/>
  <c r="S1771" i="2"/>
  <c r="S1764" i="2"/>
  <c r="S1762" i="2"/>
  <c r="S1761" i="2"/>
  <c r="S1759" i="2"/>
  <c r="S1758" i="2"/>
  <c r="S1757" i="2"/>
  <c r="S1755" i="2"/>
  <c r="S1749" i="2"/>
  <c r="S1745" i="2"/>
  <c r="S1743" i="2"/>
  <c r="S1742" i="2"/>
  <c r="S1740" i="2"/>
  <c r="S1739" i="2"/>
  <c r="S1738" i="2"/>
  <c r="S1735" i="2"/>
  <c r="S1734" i="2"/>
  <c r="S1733" i="2"/>
  <c r="S1731" i="2"/>
  <c r="S1727" i="2"/>
  <c r="S1726" i="2"/>
  <c r="S1724" i="2"/>
  <c r="S1723" i="2"/>
  <c r="S1720" i="2"/>
  <c r="S1712" i="2"/>
  <c r="S1709" i="2"/>
  <c r="S1707" i="2"/>
  <c r="S1705" i="2"/>
  <c r="S1704" i="2"/>
  <c r="S1703" i="2"/>
  <c r="S1701" i="2"/>
  <c r="S1700" i="2"/>
  <c r="S1699" i="2"/>
  <c r="S1697" i="2"/>
  <c r="S1696" i="2"/>
  <c r="S1694" i="2"/>
  <c r="S1693" i="2"/>
  <c r="S1692" i="2"/>
  <c r="S1691" i="2"/>
  <c r="S1690" i="2"/>
  <c r="S1689" i="2"/>
  <c r="S1680" i="2"/>
  <c r="S1678" i="2"/>
  <c r="S1676" i="2"/>
  <c r="S1672" i="2"/>
  <c r="S1671" i="2"/>
  <c r="S1669" i="2"/>
  <c r="S1663" i="2"/>
  <c r="S1662" i="2"/>
  <c r="S1661" i="2"/>
  <c r="S1660" i="2"/>
  <c r="S1659" i="2"/>
  <c r="S1657" i="2"/>
  <c r="S1656" i="2"/>
  <c r="S1654" i="2"/>
  <c r="S1642" i="2"/>
  <c r="S1639" i="2"/>
  <c r="S1631" i="2"/>
  <c r="S1630" i="2"/>
  <c r="S1628" i="2"/>
  <c r="S1622" i="2"/>
  <c r="S1621" i="2"/>
  <c r="S1617" i="2"/>
  <c r="S1616" i="2"/>
  <c r="S1613" i="2"/>
  <c r="S1612" i="2"/>
  <c r="S1608" i="2"/>
  <c r="S1607" i="2"/>
  <c r="S1606" i="2"/>
  <c r="S1605" i="2"/>
  <c r="S1604" i="2"/>
  <c r="S1603" i="2"/>
  <c r="S1602" i="2"/>
  <c r="S1601" i="2"/>
  <c r="S1599" i="2"/>
  <c r="S1598" i="2"/>
  <c r="S1596" i="2"/>
  <c r="S1593" i="2"/>
  <c r="S1586" i="2"/>
  <c r="S1584" i="2"/>
  <c r="S1582" i="2"/>
  <c r="S1580" i="2"/>
  <c r="S1575" i="2"/>
  <c r="S1573" i="2"/>
  <c r="S1572" i="2"/>
  <c r="S1570" i="2"/>
  <c r="S1569" i="2"/>
  <c r="S1565" i="2"/>
  <c r="S1562" i="2"/>
  <c r="S1561" i="2"/>
  <c r="S1560" i="2"/>
  <c r="S1559" i="2"/>
  <c r="S1558" i="2"/>
  <c r="S1555" i="2"/>
  <c r="S1553" i="2"/>
  <c r="S1550" i="2"/>
  <c r="S1547" i="2"/>
  <c r="S1545" i="2"/>
  <c r="S1544" i="2"/>
  <c r="S1543" i="2"/>
  <c r="S1542" i="2"/>
  <c r="S1539" i="2"/>
  <c r="S1533" i="2"/>
  <c r="S1531" i="2"/>
  <c r="S1530" i="2"/>
  <c r="S1528" i="2"/>
  <c r="S1526" i="2"/>
  <c r="S1523" i="2"/>
  <c r="S1521" i="2"/>
  <c r="S1520" i="2"/>
  <c r="S1519" i="2"/>
  <c r="S1517" i="2"/>
  <c r="S1513" i="2"/>
  <c r="S1509" i="2"/>
  <c r="S1508" i="2"/>
  <c r="S1505" i="2"/>
  <c r="S1504" i="2"/>
  <c r="S1502" i="2"/>
  <c r="S1499" i="2"/>
  <c r="S1495" i="2"/>
  <c r="S1493" i="2"/>
  <c r="S1490" i="2"/>
  <c r="S1489" i="2"/>
  <c r="S1487" i="2"/>
  <c r="S1481" i="2"/>
  <c r="S1479" i="2"/>
  <c r="S1478" i="2"/>
  <c r="S1476" i="2"/>
  <c r="S1472" i="2"/>
  <c r="S1469" i="2"/>
  <c r="S1463" i="2"/>
  <c r="S1462" i="2"/>
  <c r="S1461" i="2"/>
  <c r="S1458" i="2"/>
  <c r="S1457" i="2"/>
  <c r="S1449" i="2"/>
  <c r="S1448" i="2"/>
  <c r="S1446" i="2"/>
  <c r="S1445" i="2"/>
  <c r="S1443" i="2"/>
  <c r="S1441" i="2"/>
  <c r="S1437" i="2"/>
  <c r="S1434" i="2"/>
  <c r="S1431" i="2"/>
  <c r="S1430" i="2"/>
  <c r="S1429" i="2"/>
  <c r="S1428" i="2"/>
  <c r="S1427" i="2"/>
  <c r="S1426" i="2"/>
  <c r="S1425" i="2"/>
  <c r="S1423" i="2"/>
  <c r="S1420" i="2"/>
  <c r="S1417" i="2"/>
  <c r="S1413" i="2"/>
  <c r="S1411" i="2"/>
  <c r="S1410" i="2"/>
  <c r="S1409" i="2"/>
  <c r="S1402" i="2"/>
  <c r="S1401" i="2"/>
  <c r="S1398" i="2"/>
  <c r="S1397" i="2"/>
  <c r="S1393" i="2"/>
  <c r="S1392" i="2"/>
  <c r="S1391" i="2"/>
  <c r="S1389" i="2"/>
  <c r="S1388" i="2"/>
  <c r="S1376" i="2"/>
  <c r="S1374" i="2"/>
  <c r="S1372" i="2"/>
  <c r="S1371" i="2"/>
  <c r="S1368" i="2"/>
  <c r="S1364" i="2"/>
  <c r="S1363" i="2"/>
  <c r="S1362" i="2"/>
  <c r="S1360" i="2"/>
  <c r="S1359" i="2"/>
  <c r="S1354" i="2"/>
  <c r="S1353" i="2"/>
  <c r="S1352" i="2"/>
  <c r="S1351" i="2"/>
  <c r="S1349" i="2"/>
  <c r="S1347" i="2"/>
  <c r="S1346" i="2"/>
  <c r="S1345" i="2"/>
  <c r="S1342" i="2"/>
  <c r="S1340" i="2"/>
  <c r="S1337" i="2"/>
  <c r="S1333" i="2"/>
  <c r="S1331" i="2"/>
  <c r="S1328" i="2"/>
  <c r="S1326" i="2"/>
  <c r="S1324" i="2"/>
  <c r="S1323" i="2"/>
  <c r="S1315" i="2"/>
  <c r="S1313" i="2"/>
  <c r="S1311" i="2"/>
  <c r="S1308" i="2"/>
  <c r="S1307" i="2"/>
  <c r="S1305" i="2"/>
  <c r="S1304" i="2"/>
  <c r="S1302" i="2"/>
  <c r="S1300" i="2"/>
  <c r="S1299" i="2"/>
  <c r="S1297" i="2"/>
  <c r="S1294" i="2"/>
  <c r="S1292" i="2"/>
  <c r="S1288" i="2"/>
  <c r="S1287" i="2"/>
  <c r="S1286" i="2"/>
  <c r="S1284" i="2"/>
  <c r="S1282" i="2"/>
  <c r="S1280" i="2"/>
  <c r="S1269" i="2"/>
  <c r="S1267" i="2"/>
  <c r="S1265" i="2"/>
  <c r="S1263" i="2"/>
  <c r="S1260" i="2"/>
  <c r="S1259" i="2"/>
  <c r="S1255" i="2"/>
  <c r="S1251" i="2"/>
  <c r="S1250" i="2"/>
  <c r="S1248" i="2"/>
  <c r="S1247" i="2"/>
  <c r="S1244" i="2"/>
  <c r="S1241" i="2"/>
  <c r="S1240" i="2"/>
  <c r="S1237" i="2"/>
  <c r="S1236" i="2"/>
  <c r="S1235" i="2"/>
  <c r="S1234" i="2"/>
  <c r="S1233" i="2"/>
  <c r="S1232" i="2"/>
  <c r="S1231" i="2"/>
  <c r="S1230" i="2"/>
  <c r="S1225" i="2"/>
  <c r="S1223" i="2"/>
  <c r="S1221" i="2"/>
  <c r="S1218" i="2"/>
  <c r="S1216" i="2"/>
  <c r="S1213" i="2"/>
  <c r="S1210" i="2"/>
  <c r="S1208" i="2"/>
  <c r="S1206" i="2"/>
  <c r="S1201" i="2"/>
  <c r="S1198" i="2"/>
  <c r="S1196" i="2"/>
  <c r="S1193" i="2"/>
  <c r="S1192" i="2"/>
  <c r="S1190" i="2"/>
  <c r="S1184" i="2"/>
  <c r="S1182" i="2"/>
  <c r="S1178" i="2"/>
  <c r="S1175" i="2"/>
  <c r="S1173" i="2"/>
  <c r="S1169" i="2"/>
  <c r="S1162" i="2"/>
  <c r="S1159" i="2"/>
  <c r="S1158" i="2"/>
  <c r="S1157" i="2"/>
  <c r="S1156" i="2"/>
  <c r="S1155" i="2"/>
  <c r="S1154" i="2"/>
  <c r="S1151" i="2"/>
  <c r="S1150" i="2"/>
  <c r="S1149" i="2"/>
  <c r="S1142" i="2"/>
  <c r="S1141" i="2"/>
  <c r="S1140" i="2"/>
  <c r="S1137" i="2"/>
  <c r="S1135" i="2"/>
  <c r="S1133" i="2"/>
  <c r="S1128" i="2"/>
  <c r="S1125" i="2"/>
  <c r="S1122" i="2"/>
  <c r="S1120" i="2"/>
  <c r="S1118" i="2"/>
  <c r="S1117" i="2"/>
  <c r="S1116" i="2"/>
  <c r="S1114" i="2"/>
  <c r="S1113" i="2"/>
  <c r="S1112" i="2"/>
  <c r="S1111" i="2"/>
  <c r="S1106" i="2"/>
  <c r="S1105" i="2"/>
  <c r="S1101" i="2"/>
  <c r="S1100" i="2"/>
  <c r="S1097" i="2"/>
  <c r="S1095" i="2"/>
  <c r="S1092" i="2"/>
  <c r="S1091" i="2"/>
  <c r="S1085" i="2"/>
  <c r="S1082" i="2"/>
  <c r="S1079" i="2"/>
  <c r="S1075" i="2"/>
  <c r="S1074" i="2"/>
  <c r="S1065" i="2"/>
  <c r="S1062" i="2"/>
  <c r="S1058" i="2"/>
  <c r="S1057" i="2"/>
  <c r="S1056" i="2"/>
  <c r="S1050" i="2"/>
  <c r="S1049" i="2"/>
  <c r="S1046" i="2"/>
  <c r="S1043" i="2"/>
  <c r="S1042" i="2"/>
  <c r="S1038" i="2"/>
  <c r="S1036" i="2"/>
  <c r="S1035" i="2"/>
  <c r="S1033" i="2"/>
  <c r="S1030" i="2"/>
  <c r="S1027" i="2"/>
  <c r="S1025" i="2"/>
  <c r="S1023" i="2"/>
  <c r="S1020" i="2"/>
  <c r="S1019" i="2"/>
  <c r="S1017" i="2"/>
  <c r="S1016" i="2"/>
  <c r="S1015" i="2"/>
  <c r="S1012" i="2"/>
  <c r="S1011" i="2"/>
  <c r="S1009" i="2"/>
  <c r="S1008" i="2"/>
  <c r="S1006" i="2"/>
  <c r="S1005" i="2"/>
  <c r="S1002" i="2"/>
  <c r="S1001" i="2"/>
  <c r="S997" i="2"/>
  <c r="S995" i="2"/>
  <c r="S994" i="2"/>
  <c r="S991" i="2"/>
  <c r="S985" i="2"/>
  <c r="S984" i="2"/>
  <c r="S981" i="2"/>
  <c r="S979" i="2"/>
  <c r="S976" i="2"/>
  <c r="S975" i="2"/>
  <c r="S974" i="2"/>
  <c r="S973" i="2"/>
  <c r="S968" i="2"/>
  <c r="S967" i="2"/>
  <c r="S966" i="2"/>
  <c r="S958" i="2"/>
  <c r="S954" i="2"/>
  <c r="S953" i="2"/>
  <c r="S952" i="2"/>
  <c r="S946" i="2"/>
  <c r="S945" i="2"/>
  <c r="S939" i="2"/>
  <c r="S936" i="2"/>
  <c r="S933" i="2"/>
  <c r="S929" i="2"/>
  <c r="S924" i="2"/>
  <c r="S922" i="2"/>
  <c r="S920" i="2"/>
  <c r="S915" i="2"/>
  <c r="S912" i="2"/>
  <c r="S911" i="2"/>
  <c r="S910" i="2"/>
  <c r="S909" i="2"/>
  <c r="S906" i="2"/>
  <c r="S902" i="2"/>
  <c r="S901" i="2"/>
  <c r="S897" i="2"/>
  <c r="S891" i="2"/>
  <c r="S889" i="2"/>
  <c r="S886" i="2"/>
  <c r="S883" i="2"/>
  <c r="S881" i="2"/>
  <c r="S880" i="2"/>
  <c r="S878" i="2"/>
  <c r="S877" i="2"/>
  <c r="S872" i="2"/>
  <c r="S869" i="2"/>
  <c r="S868" i="2"/>
  <c r="S865" i="2"/>
  <c r="S864" i="2"/>
  <c r="S862" i="2"/>
  <c r="S861" i="2"/>
  <c r="S856" i="2"/>
  <c r="S854" i="2"/>
  <c r="S851" i="2"/>
  <c r="S847" i="2"/>
  <c r="S843" i="2"/>
  <c r="S841" i="2"/>
  <c r="S837" i="2"/>
  <c r="S834" i="2"/>
  <c r="S833" i="2"/>
  <c r="S831" i="2"/>
  <c r="S829" i="2"/>
  <c r="S828" i="2"/>
  <c r="S827" i="2"/>
  <c r="S826" i="2"/>
  <c r="S823" i="2"/>
  <c r="S819" i="2"/>
  <c r="S818" i="2"/>
  <c r="S815" i="2"/>
  <c r="S811" i="2"/>
  <c r="S810" i="2"/>
  <c r="S809" i="2"/>
  <c r="S800" i="2"/>
  <c r="S799" i="2"/>
  <c r="S795" i="2"/>
  <c r="S792" i="2"/>
  <c r="S788" i="2"/>
  <c r="S787" i="2"/>
  <c r="S785" i="2"/>
  <c r="S782" i="2"/>
  <c r="S778" i="2"/>
  <c r="S770" i="2"/>
  <c r="S769" i="2"/>
  <c r="S767" i="2"/>
  <c r="S766" i="2"/>
  <c r="S765" i="2"/>
  <c r="S762" i="2"/>
  <c r="S761" i="2"/>
  <c r="S759" i="2"/>
  <c r="S756" i="2"/>
  <c r="S754" i="2"/>
  <c r="S753" i="2"/>
  <c r="S752" i="2"/>
  <c r="S751" i="2"/>
  <c r="S748" i="2"/>
  <c r="S747" i="2"/>
  <c r="S746" i="2"/>
  <c r="S745" i="2"/>
  <c r="S744" i="2"/>
  <c r="S743" i="2"/>
  <c r="S741" i="2"/>
  <c r="S740" i="2"/>
  <c r="S737" i="2"/>
  <c r="S731" i="2"/>
  <c r="S730" i="2"/>
  <c r="S728" i="2"/>
  <c r="S727" i="2"/>
  <c r="S723" i="2"/>
  <c r="S719" i="2"/>
  <c r="S716" i="2"/>
  <c r="S713" i="2"/>
  <c r="S712" i="2"/>
  <c r="S711" i="2"/>
  <c r="S710" i="2"/>
  <c r="S709" i="2"/>
  <c r="S706" i="2"/>
  <c r="S701" i="2"/>
  <c r="S696" i="2"/>
  <c r="S695" i="2"/>
  <c r="S689" i="2"/>
  <c r="S688" i="2"/>
  <c r="S687" i="2"/>
  <c r="S683" i="2"/>
  <c r="S680" i="2"/>
  <c r="S679" i="2"/>
  <c r="S676" i="2"/>
  <c r="S675" i="2"/>
  <c r="S674" i="2"/>
  <c r="S671" i="2"/>
  <c r="S669" i="2"/>
  <c r="S662" i="2"/>
  <c r="S661" i="2"/>
  <c r="S659" i="2"/>
  <c r="S657" i="2"/>
  <c r="S653" i="2"/>
  <c r="S652" i="2"/>
  <c r="S651" i="2"/>
  <c r="S649" i="2"/>
  <c r="S645" i="2"/>
  <c r="S642" i="2"/>
  <c r="S641" i="2"/>
  <c r="S640" i="2"/>
  <c r="S639" i="2"/>
  <c r="S635" i="2"/>
  <c r="S632" i="2"/>
  <c r="S627" i="2"/>
  <c r="S626" i="2"/>
  <c r="S621" i="2"/>
  <c r="S618" i="2"/>
  <c r="S614" i="2"/>
  <c r="S612" i="2"/>
  <c r="S610" i="2"/>
  <c r="S608" i="2"/>
  <c r="S605" i="2"/>
  <c r="S604" i="2"/>
  <c r="S601" i="2"/>
  <c r="S599" i="2"/>
  <c r="S592" i="2"/>
  <c r="S591" i="2"/>
  <c r="S589" i="2"/>
  <c r="S585" i="2"/>
  <c r="S580" i="2"/>
  <c r="S579" i="2"/>
  <c r="S576" i="2"/>
  <c r="S575" i="2"/>
  <c r="S574" i="2"/>
  <c r="S573" i="2"/>
  <c r="S572" i="2"/>
  <c r="S569" i="2"/>
  <c r="S568" i="2"/>
  <c r="S564" i="2"/>
  <c r="S563" i="2"/>
  <c r="S561" i="2"/>
  <c r="S559" i="2"/>
  <c r="S557" i="2"/>
  <c r="S554" i="2"/>
  <c r="S549" i="2"/>
  <c r="S540" i="2"/>
  <c r="S537" i="2"/>
  <c r="S535" i="2"/>
  <c r="S534" i="2"/>
  <c r="S533" i="2"/>
  <c r="S530" i="2"/>
  <c r="S529" i="2"/>
  <c r="S527" i="2"/>
  <c r="S526" i="2"/>
  <c r="S525" i="2"/>
  <c r="S523" i="2"/>
  <c r="S519" i="2"/>
  <c r="S517" i="2"/>
  <c r="S515" i="2"/>
  <c r="S510" i="2"/>
  <c r="S509" i="2"/>
  <c r="S508" i="2"/>
  <c r="S505" i="2"/>
  <c r="S500" i="2"/>
  <c r="S499" i="2"/>
  <c r="S498" i="2"/>
  <c r="S497" i="2"/>
  <c r="S493" i="2"/>
  <c r="S492" i="2"/>
  <c r="S491" i="2"/>
  <c r="S490" i="2"/>
  <c r="S489" i="2"/>
  <c r="S488" i="2"/>
  <c r="S484" i="2"/>
  <c r="S483" i="2"/>
  <c r="S481" i="2"/>
  <c r="S479" i="2"/>
  <c r="S475" i="2"/>
  <c r="S474" i="2"/>
  <c r="S472" i="2"/>
  <c r="S468" i="2"/>
  <c r="S465" i="2"/>
  <c r="S464" i="2"/>
  <c r="S463" i="2"/>
  <c r="S460" i="2"/>
  <c r="S459" i="2"/>
  <c r="S457" i="2"/>
  <c r="S455" i="2"/>
  <c r="S454" i="2"/>
  <c r="S450" i="2"/>
  <c r="S447" i="2"/>
  <c r="S443" i="2"/>
  <c r="S436" i="2"/>
  <c r="S435" i="2"/>
  <c r="S434" i="2"/>
  <c r="S431" i="2"/>
  <c r="S426" i="2"/>
  <c r="S425" i="2"/>
  <c r="S424" i="2"/>
  <c r="S422" i="2"/>
  <c r="S418" i="2"/>
  <c r="S415" i="2"/>
  <c r="S413" i="2"/>
  <c r="S412" i="2"/>
  <c r="S411" i="2"/>
  <c r="S409" i="2"/>
  <c r="S408" i="2"/>
  <c r="S407" i="2"/>
  <c r="S400" i="2"/>
  <c r="S398" i="2"/>
  <c r="S396" i="2"/>
  <c r="S395" i="2"/>
  <c r="S392" i="2"/>
  <c r="S391" i="2"/>
  <c r="S389" i="2"/>
  <c r="S384" i="2"/>
  <c r="S382" i="2"/>
  <c r="S381" i="2"/>
  <c r="S380" i="2"/>
  <c r="S378" i="2"/>
  <c r="S377" i="2"/>
  <c r="S376" i="2"/>
  <c r="S374" i="2"/>
  <c r="S372" i="2"/>
  <c r="S370" i="2"/>
  <c r="S368" i="2"/>
  <c r="S366" i="2"/>
  <c r="S365" i="2"/>
  <c r="S361" i="2"/>
  <c r="S360" i="2"/>
  <c r="S358" i="2"/>
  <c r="S352" i="2"/>
  <c r="S351" i="2"/>
  <c r="S350" i="2"/>
  <c r="S349" i="2"/>
  <c r="S345" i="2"/>
  <c r="S343" i="2"/>
  <c r="S341" i="2"/>
  <c r="S339" i="2"/>
  <c r="S338" i="2"/>
  <c r="S337" i="2"/>
  <c r="S335" i="2"/>
  <c r="S333" i="2"/>
  <c r="S332" i="2"/>
  <c r="S331" i="2"/>
  <c r="S329" i="2"/>
  <c r="S326" i="2"/>
  <c r="S317" i="2"/>
  <c r="S313" i="2"/>
  <c r="S311" i="2"/>
  <c r="S309" i="2"/>
  <c r="S307" i="2"/>
  <c r="S304" i="2"/>
  <c r="S303" i="2"/>
  <c r="S302" i="2"/>
  <c r="S300" i="2"/>
  <c r="S299" i="2"/>
  <c r="S296" i="2"/>
  <c r="S292" i="2"/>
  <c r="S291" i="2"/>
  <c r="S289" i="2"/>
  <c r="S288" i="2"/>
  <c r="S284" i="2"/>
  <c r="S283" i="2"/>
  <c r="S282" i="2"/>
  <c r="S278" i="2"/>
  <c r="S276" i="2"/>
  <c r="S275" i="2"/>
  <c r="S271" i="2"/>
  <c r="S269" i="2"/>
  <c r="S268" i="2"/>
  <c r="S266" i="2"/>
  <c r="S265" i="2"/>
  <c r="S264" i="2"/>
  <c r="S262" i="2"/>
  <c r="S261" i="2"/>
  <c r="S260" i="2"/>
  <c r="S254" i="2"/>
  <c r="S252" i="2"/>
  <c r="S249" i="2"/>
  <c r="S248" i="2"/>
  <c r="S245" i="2"/>
  <c r="S243" i="2"/>
  <c r="S241" i="2"/>
  <c r="S240" i="2"/>
  <c r="S239" i="2"/>
  <c r="S237" i="2"/>
  <c r="S236" i="2"/>
  <c r="S233" i="2"/>
  <c r="S230" i="2"/>
  <c r="S229" i="2"/>
  <c r="S224" i="2"/>
  <c r="S220" i="2"/>
  <c r="S216" i="2"/>
  <c r="S215" i="2"/>
  <c r="S214" i="2"/>
  <c r="S213" i="2"/>
  <c r="S211" i="2"/>
  <c r="S210" i="2"/>
  <c r="S207" i="2"/>
  <c r="S205" i="2"/>
  <c r="S201" i="2"/>
  <c r="S198" i="2"/>
  <c r="S196" i="2"/>
  <c r="S192" i="2"/>
  <c r="S189" i="2"/>
  <c r="S188" i="2"/>
  <c r="S184" i="2"/>
  <c r="S182" i="2"/>
  <c r="S176" i="2"/>
  <c r="S169" i="2"/>
  <c r="S168" i="2"/>
  <c r="S166" i="2"/>
  <c r="S165" i="2"/>
  <c r="S159" i="2"/>
  <c r="S157" i="2"/>
  <c r="S156" i="2"/>
  <c r="S154" i="2"/>
  <c r="S153" i="2"/>
  <c r="S151" i="2"/>
  <c r="S148" i="2"/>
  <c r="S146" i="2"/>
  <c r="S145" i="2"/>
  <c r="S144" i="2"/>
  <c r="S143" i="2"/>
  <c r="S141" i="2"/>
  <c r="S137" i="2"/>
  <c r="S134" i="2"/>
  <c r="S132" i="2"/>
  <c r="S131" i="2"/>
  <c r="S129" i="2"/>
  <c r="S127" i="2"/>
  <c r="S123" i="2"/>
  <c r="S121" i="2"/>
  <c r="S117" i="2"/>
  <c r="S115" i="2"/>
  <c r="S114" i="2"/>
  <c r="S107" i="2"/>
  <c r="S106" i="2"/>
  <c r="S104" i="2"/>
  <c r="S103" i="2"/>
  <c r="S100" i="2"/>
  <c r="S97" i="2"/>
  <c r="S96" i="2"/>
  <c r="S95" i="2"/>
  <c r="S94" i="2"/>
  <c r="S88" i="2"/>
  <c r="S86" i="2"/>
  <c r="S85" i="2"/>
  <c r="S84" i="2"/>
  <c r="S81" i="2"/>
  <c r="S77" i="2"/>
  <c r="S73" i="2"/>
  <c r="S72" i="2"/>
  <c r="S70" i="2"/>
  <c r="S69" i="2"/>
  <c r="S68" i="2"/>
  <c r="S66" i="2"/>
  <c r="S65" i="2"/>
  <c r="S64" i="2"/>
  <c r="S61" i="2"/>
  <c r="S56" i="2"/>
  <c r="S55" i="2"/>
  <c r="S54" i="2"/>
  <c r="S53" i="2"/>
  <c r="S52" i="2"/>
  <c r="S47" i="2"/>
  <c r="S44" i="2"/>
  <c r="S38" i="2"/>
  <c r="S36" i="2"/>
  <c r="S35" i="2"/>
  <c r="S34" i="2"/>
  <c r="S27" i="2"/>
  <c r="S25" i="2"/>
  <c r="S23" i="2"/>
  <c r="S22" i="2"/>
  <c r="S19" i="2"/>
  <c r="S16" i="2"/>
  <c r="S15" i="2"/>
  <c r="S14" i="2"/>
  <c r="S8" i="2"/>
  <c r="S7" i="2"/>
  <c r="S6" i="2"/>
  <c r="S3" i="2"/>
  <c r="R1998" i="2"/>
  <c r="R1995" i="2"/>
  <c r="R1992" i="2"/>
  <c r="R1991" i="2"/>
  <c r="R1987" i="2"/>
  <c r="R1986" i="2"/>
  <c r="R1984" i="2"/>
  <c r="R1980" i="2"/>
  <c r="S1980" i="2" s="1"/>
  <c r="R1975" i="2"/>
  <c r="R1971" i="2"/>
  <c r="R1969" i="2"/>
  <c r="R1964" i="2"/>
  <c r="R1960" i="2"/>
  <c r="R1956" i="2"/>
  <c r="R1954" i="2"/>
  <c r="R1953" i="2"/>
  <c r="R1952" i="2"/>
  <c r="R1949" i="2"/>
  <c r="R1946" i="2"/>
  <c r="R1938" i="2"/>
  <c r="R1937" i="2"/>
  <c r="R1935" i="2"/>
  <c r="R1934" i="2"/>
  <c r="R1929" i="2"/>
  <c r="R1928" i="2"/>
  <c r="R1927" i="2"/>
  <c r="R1925" i="2"/>
  <c r="R1924" i="2"/>
  <c r="R1923" i="2"/>
  <c r="R1922" i="2"/>
  <c r="R1921" i="2"/>
  <c r="R1916" i="2"/>
  <c r="R1915" i="2"/>
  <c r="R1914" i="2"/>
  <c r="R1907" i="2"/>
  <c r="R1906" i="2"/>
  <c r="R1905" i="2"/>
  <c r="R1904" i="2"/>
  <c r="R1902" i="2"/>
  <c r="R1901" i="2"/>
  <c r="R1899" i="2"/>
  <c r="R1898" i="2"/>
  <c r="R1892" i="2"/>
  <c r="R1890" i="2"/>
  <c r="R1888" i="2"/>
  <c r="R1886" i="2"/>
  <c r="R1884" i="2"/>
  <c r="R1883" i="2"/>
  <c r="R1880" i="2"/>
  <c r="R1879" i="2"/>
  <c r="R1874" i="2"/>
  <c r="R1871" i="2"/>
  <c r="R1868" i="2"/>
  <c r="R1867" i="2"/>
  <c r="R1864" i="2"/>
  <c r="R1863" i="2"/>
  <c r="R1862" i="2"/>
  <c r="R1861" i="2"/>
  <c r="R1859" i="2"/>
  <c r="R1858" i="2"/>
  <c r="R1857" i="2"/>
  <c r="R1856" i="2"/>
  <c r="R1855" i="2"/>
  <c r="R1854" i="2"/>
  <c r="R1853" i="2"/>
  <c r="R1849" i="2"/>
  <c r="R1844" i="2"/>
  <c r="R1841" i="2"/>
  <c r="R1840" i="2"/>
  <c r="R1837" i="2"/>
  <c r="R1834" i="2"/>
  <c r="R1831" i="2"/>
  <c r="R1827" i="2"/>
  <c r="R1823" i="2"/>
  <c r="R1822" i="2"/>
  <c r="R1821" i="2"/>
  <c r="R1820" i="2"/>
  <c r="R1819" i="2"/>
  <c r="R1814" i="2"/>
  <c r="R1813" i="2"/>
  <c r="R1803" i="2"/>
  <c r="R1802" i="2"/>
  <c r="R1800" i="2"/>
  <c r="R1791" i="2"/>
  <c r="R1788" i="2"/>
  <c r="R1787" i="2"/>
  <c r="R1786" i="2"/>
  <c r="R1784" i="2"/>
  <c r="R1783" i="2"/>
  <c r="R1782" i="2"/>
  <c r="R1781" i="2"/>
  <c r="R1780" i="2"/>
  <c r="R1779" i="2"/>
  <c r="R1778" i="2"/>
  <c r="R1774" i="2"/>
  <c r="R1771" i="2"/>
  <c r="R1764" i="2"/>
  <c r="R1762" i="2"/>
  <c r="R1761" i="2"/>
  <c r="R1759" i="2"/>
  <c r="R1758" i="2"/>
  <c r="R1757" i="2"/>
  <c r="R1755" i="2"/>
  <c r="R1749" i="2"/>
  <c r="R1745" i="2"/>
  <c r="R1743" i="2"/>
  <c r="R1742" i="2"/>
  <c r="R1740" i="2"/>
  <c r="R1739" i="2"/>
  <c r="R1738" i="2"/>
  <c r="R1735" i="2"/>
  <c r="R1734" i="2"/>
  <c r="R1733" i="2"/>
  <c r="R1731" i="2"/>
  <c r="R1727" i="2"/>
  <c r="R1726" i="2"/>
  <c r="R1724" i="2"/>
  <c r="R1723" i="2"/>
  <c r="R1720" i="2"/>
  <c r="R1712" i="2"/>
  <c r="R1709" i="2"/>
  <c r="R1707" i="2"/>
  <c r="R1705" i="2"/>
  <c r="R1704" i="2"/>
  <c r="R1703" i="2"/>
  <c r="R1701" i="2"/>
  <c r="R1700" i="2"/>
  <c r="R1699" i="2"/>
  <c r="R1697" i="2"/>
  <c r="R1696" i="2"/>
  <c r="R1694" i="2"/>
  <c r="R1693" i="2"/>
  <c r="R1692" i="2"/>
  <c r="R1691" i="2"/>
  <c r="R1690" i="2"/>
  <c r="R1689" i="2"/>
  <c r="R1680" i="2"/>
  <c r="R1678" i="2"/>
  <c r="R1676" i="2"/>
  <c r="R1672" i="2"/>
  <c r="R1671" i="2"/>
  <c r="R1669" i="2"/>
  <c r="R1663" i="2"/>
  <c r="R1662" i="2"/>
  <c r="R1661" i="2"/>
  <c r="R1660" i="2"/>
  <c r="R1659" i="2"/>
  <c r="R1657" i="2"/>
  <c r="R1656" i="2"/>
  <c r="R1654" i="2"/>
  <c r="R1642" i="2"/>
  <c r="R1639" i="2"/>
  <c r="R1631" i="2"/>
  <c r="R1630" i="2"/>
  <c r="R1628" i="2"/>
  <c r="R1622" i="2"/>
  <c r="R1621" i="2"/>
  <c r="R1617" i="2"/>
  <c r="R1616" i="2"/>
  <c r="R1613" i="2"/>
  <c r="R1612" i="2"/>
  <c r="R1608" i="2"/>
  <c r="R1607" i="2"/>
  <c r="R1606" i="2"/>
  <c r="R1605" i="2"/>
  <c r="R1604" i="2"/>
  <c r="R1603" i="2"/>
  <c r="R1602" i="2"/>
  <c r="R1601" i="2"/>
  <c r="R1599" i="2"/>
  <c r="R1598" i="2"/>
  <c r="R1596" i="2"/>
  <c r="R1593" i="2"/>
  <c r="R1586" i="2"/>
  <c r="R1584" i="2"/>
  <c r="R1582" i="2"/>
  <c r="R1580" i="2"/>
  <c r="R1575" i="2"/>
  <c r="R1573" i="2"/>
  <c r="R1572" i="2"/>
  <c r="R1570" i="2"/>
  <c r="R1569" i="2"/>
  <c r="R1565" i="2"/>
  <c r="R1562" i="2"/>
  <c r="R1561" i="2"/>
  <c r="R1560" i="2"/>
  <c r="R1559" i="2"/>
  <c r="R1558" i="2"/>
  <c r="R1555" i="2"/>
  <c r="R1553" i="2"/>
  <c r="R1550" i="2"/>
  <c r="R1547" i="2"/>
  <c r="R1545" i="2"/>
  <c r="R1544" i="2"/>
  <c r="R1543" i="2"/>
  <c r="R1542" i="2"/>
  <c r="R1539" i="2"/>
  <c r="R1533" i="2"/>
  <c r="R1531" i="2"/>
  <c r="R1530" i="2"/>
  <c r="R1528" i="2"/>
  <c r="R1526" i="2"/>
  <c r="R1523" i="2"/>
  <c r="R1521" i="2"/>
  <c r="R1520" i="2"/>
  <c r="R1519" i="2"/>
  <c r="R1517" i="2"/>
  <c r="R1513" i="2"/>
  <c r="R1509" i="2"/>
  <c r="R1508" i="2"/>
  <c r="R1505" i="2"/>
  <c r="R1504" i="2"/>
  <c r="R1502" i="2"/>
  <c r="R1499" i="2"/>
  <c r="R1495" i="2"/>
  <c r="R1493" i="2"/>
  <c r="R1490" i="2"/>
  <c r="R1489" i="2"/>
  <c r="R1487" i="2"/>
  <c r="R1481" i="2"/>
  <c r="R1479" i="2"/>
  <c r="R1478" i="2"/>
  <c r="R1476" i="2"/>
  <c r="R1472" i="2"/>
  <c r="R1469" i="2"/>
  <c r="R1463" i="2"/>
  <c r="R1462" i="2"/>
  <c r="R1461" i="2"/>
  <c r="R1458" i="2"/>
  <c r="R1457" i="2"/>
  <c r="R1449" i="2"/>
  <c r="R1448" i="2"/>
  <c r="R1446" i="2"/>
  <c r="R1445" i="2"/>
  <c r="R1443" i="2"/>
  <c r="R1441" i="2"/>
  <c r="R1437" i="2"/>
  <c r="R1434" i="2"/>
  <c r="R1431" i="2"/>
  <c r="R1430" i="2"/>
  <c r="R1429" i="2"/>
  <c r="R1428" i="2"/>
  <c r="R1427" i="2"/>
  <c r="R1426" i="2"/>
  <c r="R1425" i="2"/>
  <c r="R1423" i="2"/>
  <c r="R1420" i="2"/>
  <c r="R1417" i="2"/>
  <c r="R1413" i="2"/>
  <c r="R1411" i="2"/>
  <c r="R1410" i="2"/>
  <c r="R1409" i="2"/>
  <c r="R1402" i="2"/>
  <c r="R1401" i="2"/>
  <c r="R1398" i="2"/>
  <c r="R1397" i="2"/>
  <c r="R1393" i="2"/>
  <c r="R1392" i="2"/>
  <c r="R1391" i="2"/>
  <c r="R1389" i="2"/>
  <c r="R1388" i="2"/>
  <c r="R1376" i="2"/>
  <c r="R1374" i="2"/>
  <c r="R1372" i="2"/>
  <c r="R1371" i="2"/>
  <c r="R1368" i="2"/>
  <c r="R1364" i="2"/>
  <c r="R1363" i="2"/>
  <c r="R1362" i="2"/>
  <c r="R1360" i="2"/>
  <c r="R1359" i="2"/>
  <c r="R1354" i="2"/>
  <c r="R1353" i="2"/>
  <c r="R1352" i="2"/>
  <c r="R1351" i="2"/>
  <c r="R1349" i="2"/>
  <c r="R1347" i="2"/>
  <c r="R1346" i="2"/>
  <c r="R1345" i="2"/>
  <c r="R1342" i="2"/>
  <c r="R1340" i="2"/>
  <c r="R1337" i="2"/>
  <c r="R1333" i="2"/>
  <c r="R1331" i="2"/>
  <c r="R1328" i="2"/>
  <c r="R1326" i="2"/>
  <c r="R1324" i="2"/>
  <c r="R1323" i="2"/>
  <c r="R1315" i="2"/>
  <c r="R1313" i="2"/>
  <c r="R1311" i="2"/>
  <c r="R1308" i="2"/>
  <c r="R1307" i="2"/>
  <c r="R1305" i="2"/>
  <c r="R1304" i="2"/>
  <c r="R1302" i="2"/>
  <c r="R1300" i="2"/>
  <c r="R1299" i="2"/>
  <c r="R1297" i="2"/>
  <c r="R1294" i="2"/>
  <c r="R1292" i="2"/>
  <c r="R1288" i="2"/>
  <c r="R1287" i="2"/>
  <c r="R1286" i="2"/>
  <c r="R1284" i="2"/>
  <c r="R1282" i="2"/>
  <c r="R1280" i="2"/>
  <c r="R1269" i="2"/>
  <c r="R1267" i="2"/>
  <c r="R1265" i="2"/>
  <c r="R1263" i="2"/>
  <c r="R1260" i="2"/>
  <c r="R1259" i="2"/>
  <c r="R1255" i="2"/>
  <c r="R1251" i="2"/>
  <c r="R1250" i="2"/>
  <c r="R1248" i="2"/>
  <c r="R1247" i="2"/>
  <c r="R1244" i="2"/>
  <c r="R1241" i="2"/>
  <c r="R1240" i="2"/>
  <c r="R1237" i="2"/>
  <c r="R1236" i="2"/>
  <c r="R1235" i="2"/>
  <c r="R1234" i="2"/>
  <c r="R1233" i="2"/>
  <c r="R1232" i="2"/>
  <c r="R1231" i="2"/>
  <c r="R1230" i="2"/>
  <c r="R1225" i="2"/>
  <c r="R1223" i="2"/>
  <c r="R1221" i="2"/>
  <c r="R1218" i="2"/>
  <c r="R1216" i="2"/>
  <c r="R1213" i="2"/>
  <c r="R1210" i="2"/>
  <c r="R1208" i="2"/>
  <c r="R1206" i="2"/>
  <c r="R1201" i="2"/>
  <c r="R1198" i="2"/>
  <c r="R1196" i="2"/>
  <c r="R1193" i="2"/>
  <c r="R1192" i="2"/>
  <c r="R1190" i="2"/>
  <c r="R1184" i="2"/>
  <c r="R1182" i="2"/>
  <c r="R1178" i="2"/>
  <c r="R1175" i="2"/>
  <c r="R1173" i="2"/>
  <c r="R1169" i="2"/>
  <c r="R1162" i="2"/>
  <c r="R1159" i="2"/>
  <c r="R1158" i="2"/>
  <c r="R1157" i="2"/>
  <c r="R1156" i="2"/>
  <c r="R1155" i="2"/>
  <c r="R1154" i="2"/>
  <c r="R1151" i="2"/>
  <c r="R1150" i="2"/>
  <c r="R1149" i="2"/>
  <c r="R1142" i="2"/>
  <c r="R1141" i="2"/>
  <c r="R1140" i="2"/>
  <c r="R1137" i="2"/>
  <c r="R1135" i="2"/>
  <c r="R1133" i="2"/>
  <c r="R1128" i="2"/>
  <c r="R1125" i="2"/>
  <c r="R1122" i="2"/>
  <c r="R1120" i="2"/>
  <c r="R1118" i="2"/>
  <c r="R1117" i="2"/>
  <c r="R1116" i="2"/>
  <c r="R1114" i="2"/>
  <c r="R1113" i="2"/>
  <c r="R1112" i="2"/>
  <c r="R1111" i="2"/>
  <c r="R1106" i="2"/>
  <c r="R1105" i="2"/>
  <c r="R1101" i="2"/>
  <c r="R1100" i="2"/>
  <c r="R1097" i="2"/>
  <c r="R1095" i="2"/>
  <c r="R1092" i="2"/>
  <c r="R1091" i="2"/>
  <c r="R1085" i="2"/>
  <c r="R1082" i="2"/>
  <c r="R1079" i="2"/>
  <c r="R1075" i="2"/>
  <c r="R1074" i="2"/>
  <c r="R1065" i="2"/>
  <c r="R1062" i="2"/>
  <c r="R1058" i="2"/>
  <c r="R1057" i="2"/>
  <c r="R1056" i="2"/>
  <c r="R1050" i="2"/>
  <c r="R1049" i="2"/>
  <c r="R1046" i="2"/>
  <c r="R1043" i="2"/>
  <c r="R1042" i="2"/>
  <c r="R1038" i="2"/>
  <c r="R1036" i="2"/>
  <c r="R1035" i="2"/>
  <c r="R1033" i="2"/>
  <c r="R1030" i="2"/>
  <c r="R1027" i="2"/>
  <c r="R1025" i="2"/>
  <c r="R1023" i="2"/>
  <c r="R1020" i="2"/>
  <c r="R1019" i="2"/>
  <c r="R1017" i="2"/>
  <c r="R1016" i="2"/>
  <c r="R1015" i="2"/>
  <c r="R1012" i="2"/>
  <c r="R1011" i="2"/>
  <c r="R1009" i="2"/>
  <c r="R1008" i="2"/>
  <c r="R1006" i="2"/>
  <c r="R1005" i="2"/>
  <c r="R1002" i="2"/>
  <c r="R1001" i="2"/>
  <c r="R997" i="2"/>
  <c r="R995" i="2"/>
  <c r="R994" i="2"/>
  <c r="R991" i="2"/>
  <c r="R985" i="2"/>
  <c r="R984" i="2"/>
  <c r="R981" i="2"/>
  <c r="R979" i="2"/>
  <c r="R976" i="2"/>
  <c r="R975" i="2"/>
  <c r="R974" i="2"/>
  <c r="R973" i="2"/>
  <c r="R968" i="2"/>
  <c r="R967" i="2"/>
  <c r="R966" i="2"/>
  <c r="R958" i="2"/>
  <c r="R954" i="2"/>
  <c r="R953" i="2"/>
  <c r="R952" i="2"/>
  <c r="R946" i="2"/>
  <c r="R945" i="2"/>
  <c r="R939" i="2"/>
  <c r="R936" i="2"/>
  <c r="R933" i="2"/>
  <c r="R929" i="2"/>
  <c r="R924" i="2"/>
  <c r="R922" i="2"/>
  <c r="R920" i="2"/>
  <c r="R915" i="2"/>
  <c r="R912" i="2"/>
  <c r="R911" i="2"/>
  <c r="R910" i="2"/>
  <c r="R909" i="2"/>
  <c r="R906" i="2"/>
  <c r="R902" i="2"/>
  <c r="R901" i="2"/>
  <c r="R897" i="2"/>
  <c r="R891" i="2"/>
  <c r="R889" i="2"/>
  <c r="R886" i="2"/>
  <c r="R883" i="2"/>
  <c r="R881" i="2"/>
  <c r="R880" i="2"/>
  <c r="R878" i="2"/>
  <c r="R877" i="2"/>
  <c r="R872" i="2"/>
  <c r="R869" i="2"/>
  <c r="R868" i="2"/>
  <c r="R865" i="2"/>
  <c r="R864" i="2"/>
  <c r="R862" i="2"/>
  <c r="R861" i="2"/>
  <c r="R856" i="2"/>
  <c r="R854" i="2"/>
  <c r="R851" i="2"/>
  <c r="R847" i="2"/>
  <c r="R843" i="2"/>
  <c r="R841" i="2"/>
  <c r="R837" i="2"/>
  <c r="R834" i="2"/>
  <c r="R833" i="2"/>
  <c r="R831" i="2"/>
  <c r="R829" i="2"/>
  <c r="R828" i="2"/>
  <c r="R827" i="2"/>
  <c r="R826" i="2"/>
  <c r="R823" i="2"/>
  <c r="R819" i="2"/>
  <c r="R818" i="2"/>
  <c r="R815" i="2"/>
  <c r="R811" i="2"/>
  <c r="R810" i="2"/>
  <c r="R809" i="2"/>
  <c r="R800" i="2"/>
  <c r="R799" i="2"/>
  <c r="R795" i="2"/>
  <c r="R792" i="2"/>
  <c r="R788" i="2"/>
  <c r="R787" i="2"/>
  <c r="R785" i="2"/>
  <c r="R782" i="2"/>
  <c r="R778" i="2"/>
  <c r="R770" i="2"/>
  <c r="R769" i="2"/>
  <c r="R767" i="2"/>
  <c r="R766" i="2"/>
  <c r="R765" i="2"/>
  <c r="R762" i="2"/>
  <c r="R761" i="2"/>
  <c r="R759" i="2"/>
  <c r="R756" i="2"/>
  <c r="R754" i="2"/>
  <c r="R753" i="2"/>
  <c r="R752" i="2"/>
  <c r="R751" i="2"/>
  <c r="R748" i="2"/>
  <c r="R747" i="2"/>
  <c r="R746" i="2"/>
  <c r="R745" i="2"/>
  <c r="R744" i="2"/>
  <c r="R743" i="2"/>
  <c r="R741" i="2"/>
  <c r="R740" i="2"/>
  <c r="R737" i="2"/>
  <c r="R731" i="2"/>
  <c r="R730" i="2"/>
  <c r="R728" i="2"/>
  <c r="R727" i="2"/>
  <c r="R723" i="2"/>
  <c r="R719" i="2"/>
  <c r="R716" i="2"/>
  <c r="R713" i="2"/>
  <c r="R712" i="2"/>
  <c r="R711" i="2"/>
  <c r="R710" i="2"/>
  <c r="R709" i="2"/>
  <c r="R706" i="2"/>
  <c r="R701" i="2"/>
  <c r="R696" i="2"/>
  <c r="R695" i="2"/>
  <c r="R689" i="2"/>
  <c r="R688" i="2"/>
  <c r="R687" i="2"/>
  <c r="R683" i="2"/>
  <c r="R680" i="2"/>
  <c r="R679" i="2"/>
  <c r="R676" i="2"/>
  <c r="R675" i="2"/>
  <c r="R674" i="2"/>
  <c r="R671" i="2"/>
  <c r="R669" i="2"/>
  <c r="R662" i="2"/>
  <c r="R661" i="2"/>
  <c r="R659" i="2"/>
  <c r="R657" i="2"/>
  <c r="R653" i="2"/>
  <c r="R652" i="2"/>
  <c r="R651" i="2"/>
  <c r="R649" i="2"/>
  <c r="R645" i="2"/>
  <c r="R642" i="2"/>
  <c r="R641" i="2"/>
  <c r="R640" i="2"/>
  <c r="R639" i="2"/>
  <c r="R635" i="2"/>
  <c r="R632" i="2"/>
  <c r="R627" i="2"/>
  <c r="R626" i="2"/>
  <c r="R621" i="2"/>
  <c r="R618" i="2"/>
  <c r="R614" i="2"/>
  <c r="R612" i="2"/>
  <c r="R610" i="2"/>
  <c r="R608" i="2"/>
  <c r="R605" i="2"/>
  <c r="R604" i="2"/>
  <c r="R601" i="2"/>
  <c r="R599" i="2"/>
  <c r="R592" i="2"/>
  <c r="R591" i="2"/>
  <c r="R589" i="2"/>
  <c r="R585" i="2"/>
  <c r="R580" i="2"/>
  <c r="R579" i="2"/>
  <c r="R576" i="2"/>
  <c r="R575" i="2"/>
  <c r="R574" i="2"/>
  <c r="R573" i="2"/>
  <c r="R572" i="2"/>
  <c r="R569" i="2"/>
  <c r="R568" i="2"/>
  <c r="R564" i="2"/>
  <c r="R563" i="2"/>
  <c r="R561" i="2"/>
  <c r="R559" i="2"/>
  <c r="R557" i="2"/>
  <c r="R554" i="2"/>
  <c r="R549" i="2"/>
  <c r="R540" i="2"/>
  <c r="R537" i="2"/>
  <c r="R535" i="2"/>
  <c r="R534" i="2"/>
  <c r="R533" i="2"/>
  <c r="R530" i="2"/>
  <c r="R529" i="2"/>
  <c r="R527" i="2"/>
  <c r="R526" i="2"/>
  <c r="R525" i="2"/>
  <c r="R523" i="2"/>
  <c r="R519" i="2"/>
  <c r="R517" i="2"/>
  <c r="R515" i="2"/>
  <c r="R510" i="2"/>
  <c r="R509" i="2"/>
  <c r="R508" i="2"/>
  <c r="R505" i="2"/>
  <c r="R500" i="2"/>
  <c r="R499" i="2"/>
  <c r="R498" i="2"/>
  <c r="R497" i="2"/>
  <c r="R493" i="2"/>
  <c r="R492" i="2"/>
  <c r="R491" i="2"/>
  <c r="R490" i="2"/>
  <c r="R489" i="2"/>
  <c r="R488" i="2"/>
  <c r="R484" i="2"/>
  <c r="R483" i="2"/>
  <c r="R481" i="2"/>
  <c r="R479" i="2"/>
  <c r="R475" i="2"/>
  <c r="R474" i="2"/>
  <c r="R472" i="2"/>
  <c r="R468" i="2"/>
  <c r="R465" i="2"/>
  <c r="R464" i="2"/>
  <c r="R463" i="2"/>
  <c r="R460" i="2"/>
  <c r="R459" i="2"/>
  <c r="R457" i="2"/>
  <c r="R455" i="2"/>
  <c r="R454" i="2"/>
  <c r="R450" i="2"/>
  <c r="R447" i="2"/>
  <c r="R443" i="2"/>
  <c r="R436" i="2"/>
  <c r="R435" i="2"/>
  <c r="R434" i="2"/>
  <c r="R431" i="2"/>
  <c r="R426" i="2"/>
  <c r="R425" i="2"/>
  <c r="R424" i="2"/>
  <c r="R422" i="2"/>
  <c r="R418" i="2"/>
  <c r="R415" i="2"/>
  <c r="R413" i="2"/>
  <c r="R412" i="2"/>
  <c r="R411" i="2"/>
  <c r="R409" i="2"/>
  <c r="R408" i="2"/>
  <c r="R407" i="2"/>
  <c r="R400" i="2"/>
  <c r="R398" i="2"/>
  <c r="R396" i="2"/>
  <c r="R395" i="2"/>
  <c r="R392" i="2"/>
  <c r="R391" i="2"/>
  <c r="R389" i="2"/>
  <c r="R384" i="2"/>
  <c r="R382" i="2"/>
  <c r="R381" i="2"/>
  <c r="R380" i="2"/>
  <c r="R378" i="2"/>
  <c r="R377" i="2"/>
  <c r="R376" i="2"/>
  <c r="R374" i="2"/>
  <c r="R372" i="2"/>
  <c r="R370" i="2"/>
  <c r="R368" i="2"/>
  <c r="R366" i="2"/>
  <c r="R365" i="2"/>
  <c r="R361" i="2"/>
  <c r="R360" i="2"/>
  <c r="R358" i="2"/>
  <c r="R352" i="2"/>
  <c r="R351" i="2"/>
  <c r="R350" i="2"/>
  <c r="R349" i="2"/>
  <c r="R345" i="2"/>
  <c r="R343" i="2"/>
  <c r="R341" i="2"/>
  <c r="R339" i="2"/>
  <c r="R338" i="2"/>
  <c r="R337" i="2"/>
  <c r="R335" i="2"/>
  <c r="R333" i="2"/>
  <c r="R332" i="2"/>
  <c r="R331" i="2"/>
  <c r="R329" i="2"/>
  <c r="R326" i="2"/>
  <c r="R317" i="2"/>
  <c r="R313" i="2"/>
  <c r="R311" i="2"/>
  <c r="R309" i="2"/>
  <c r="R307" i="2"/>
  <c r="R304" i="2"/>
  <c r="R303" i="2"/>
  <c r="R302" i="2"/>
  <c r="R300" i="2"/>
  <c r="R299" i="2"/>
  <c r="R296" i="2"/>
  <c r="R292" i="2"/>
  <c r="R291" i="2"/>
  <c r="R289" i="2"/>
  <c r="R288" i="2"/>
  <c r="R284" i="2"/>
  <c r="R283" i="2"/>
  <c r="R282" i="2"/>
  <c r="R278" i="2"/>
  <c r="R276" i="2"/>
  <c r="R275" i="2"/>
  <c r="R271" i="2"/>
  <c r="R269" i="2"/>
  <c r="R268" i="2"/>
  <c r="R266" i="2"/>
  <c r="R265" i="2"/>
  <c r="R264" i="2"/>
  <c r="R262" i="2"/>
  <c r="R261" i="2"/>
  <c r="R260" i="2"/>
  <c r="R254" i="2"/>
  <c r="R252" i="2"/>
  <c r="R249" i="2"/>
  <c r="R248" i="2"/>
  <c r="R245" i="2"/>
  <c r="R243" i="2"/>
  <c r="R241" i="2"/>
  <c r="R240" i="2"/>
  <c r="R239" i="2"/>
  <c r="R237" i="2"/>
  <c r="R236" i="2"/>
  <c r="R233" i="2"/>
  <c r="R230" i="2"/>
  <c r="R229" i="2"/>
  <c r="R224" i="2"/>
  <c r="R220" i="2"/>
  <c r="R216" i="2"/>
  <c r="R215" i="2"/>
  <c r="R214" i="2"/>
  <c r="R213" i="2"/>
  <c r="R211" i="2"/>
  <c r="R210" i="2"/>
  <c r="R207" i="2"/>
  <c r="R205" i="2"/>
  <c r="R201" i="2"/>
  <c r="R198" i="2"/>
  <c r="R196" i="2"/>
  <c r="R192" i="2"/>
  <c r="R189" i="2"/>
  <c r="R188" i="2"/>
  <c r="R184" i="2"/>
  <c r="R182" i="2"/>
  <c r="R176" i="2"/>
  <c r="R169" i="2"/>
  <c r="R168" i="2"/>
  <c r="R166" i="2"/>
  <c r="R165" i="2"/>
  <c r="R159" i="2"/>
  <c r="R157" i="2"/>
  <c r="R156" i="2"/>
  <c r="R154" i="2"/>
  <c r="R153" i="2"/>
  <c r="R151" i="2"/>
  <c r="R148" i="2"/>
  <c r="R146" i="2"/>
  <c r="R145" i="2"/>
  <c r="R144" i="2"/>
  <c r="R143" i="2"/>
  <c r="R141" i="2"/>
  <c r="R137" i="2"/>
  <c r="R134" i="2"/>
  <c r="R132" i="2"/>
  <c r="R131" i="2"/>
  <c r="R129" i="2"/>
  <c r="R127" i="2"/>
  <c r="R123" i="2"/>
  <c r="R121" i="2"/>
  <c r="R117" i="2"/>
  <c r="R115" i="2"/>
  <c r="R114" i="2"/>
  <c r="R107" i="2"/>
  <c r="R106" i="2"/>
  <c r="R104" i="2"/>
  <c r="R103" i="2"/>
  <c r="R100" i="2"/>
  <c r="R97" i="2"/>
  <c r="R96" i="2"/>
  <c r="R95" i="2"/>
  <c r="R94" i="2"/>
  <c r="R88" i="2"/>
  <c r="R86" i="2"/>
  <c r="R85" i="2"/>
  <c r="R84" i="2"/>
  <c r="R81" i="2"/>
  <c r="R77" i="2"/>
  <c r="R73" i="2"/>
  <c r="R72" i="2"/>
  <c r="R70" i="2"/>
  <c r="R69" i="2"/>
  <c r="R68" i="2"/>
  <c r="R66" i="2"/>
  <c r="R65" i="2"/>
  <c r="R64" i="2"/>
  <c r="R61" i="2"/>
  <c r="R56" i="2"/>
  <c r="R55" i="2"/>
  <c r="R54" i="2"/>
  <c r="R53" i="2"/>
  <c r="R52" i="2"/>
  <c r="R47" i="2"/>
  <c r="R44" i="2"/>
  <c r="R38" i="2"/>
  <c r="R36" i="2"/>
  <c r="R35" i="2"/>
  <c r="R34" i="2"/>
  <c r="R27" i="2"/>
  <c r="R25" i="2"/>
  <c r="R23" i="2"/>
  <c r="R22" i="2"/>
  <c r="R19" i="2"/>
  <c r="R16" i="2"/>
  <c r="R15" i="2"/>
  <c r="R14" i="2"/>
  <c r="R8" i="2"/>
  <c r="R7" i="2"/>
  <c r="R6" i="2"/>
  <c r="R3" i="2"/>
  <c r="L1998" i="2"/>
  <c r="N1998" i="2"/>
  <c r="O1998" i="2"/>
  <c r="P1998" i="2"/>
  <c r="Q1998" i="2"/>
  <c r="L1995" i="2"/>
  <c r="N1995" i="2"/>
  <c r="O1995" i="2"/>
  <c r="P1995" i="2"/>
  <c r="Q1995" i="2"/>
  <c r="L1991" i="2"/>
  <c r="N1991" i="2"/>
  <c r="O1991" i="2"/>
  <c r="P1991" i="2"/>
  <c r="Q1991" i="2"/>
  <c r="L1992" i="2"/>
  <c r="N1992" i="2"/>
  <c r="O1992" i="2"/>
  <c r="P1992" i="2"/>
  <c r="Q1992" i="2"/>
  <c r="L1986" i="2"/>
  <c r="N1986" i="2"/>
  <c r="O1986" i="2"/>
  <c r="P1986" i="2"/>
  <c r="Q1986" i="2"/>
  <c r="L1987" i="2"/>
  <c r="N1987" i="2"/>
  <c r="O1987" i="2"/>
  <c r="P1987" i="2"/>
  <c r="Q1987" i="2"/>
  <c r="L1984" i="2"/>
  <c r="N1984" i="2"/>
  <c r="O1984" i="2"/>
  <c r="P1984" i="2"/>
  <c r="Q1984" i="2"/>
  <c r="L1980" i="2"/>
  <c r="N1980" i="2"/>
  <c r="O1980" i="2"/>
  <c r="P1980" i="2"/>
  <c r="Q1980" i="2"/>
  <c r="L1975" i="2"/>
  <c r="N1975" i="2"/>
  <c r="O1975" i="2"/>
  <c r="P1975" i="2"/>
  <c r="Q1975" i="2"/>
  <c r="L1971" i="2"/>
  <c r="N1971" i="2"/>
  <c r="O1971" i="2"/>
  <c r="P1971" i="2"/>
  <c r="Q1971" i="2"/>
  <c r="L1969" i="2"/>
  <c r="N1969" i="2"/>
  <c r="O1969" i="2"/>
  <c r="P1969" i="2"/>
  <c r="Q1969" i="2"/>
  <c r="L1964" i="2"/>
  <c r="N1964" i="2"/>
  <c r="O1964" i="2"/>
  <c r="P1964" i="2"/>
  <c r="Q1964" i="2"/>
  <c r="L1960" i="2"/>
  <c r="N1960" i="2"/>
  <c r="O1960" i="2"/>
  <c r="P1960" i="2"/>
  <c r="Q1960" i="2"/>
  <c r="L1956" i="2"/>
  <c r="N1956" i="2"/>
  <c r="O1956" i="2"/>
  <c r="P1956" i="2"/>
  <c r="Q1956" i="2"/>
  <c r="L1952" i="2"/>
  <c r="N1952" i="2"/>
  <c r="O1952" i="2"/>
  <c r="P1952" i="2"/>
  <c r="Q1952" i="2"/>
  <c r="L1953" i="2"/>
  <c r="N1953" i="2"/>
  <c r="O1953" i="2"/>
  <c r="P1953" i="2"/>
  <c r="Q1953" i="2"/>
  <c r="L1954" i="2"/>
  <c r="N1954" i="2"/>
  <c r="O1954" i="2"/>
  <c r="P1954" i="2"/>
  <c r="Q1954" i="2"/>
  <c r="L1949" i="2"/>
  <c r="N1949" i="2"/>
  <c r="O1949" i="2"/>
  <c r="P1949" i="2"/>
  <c r="Q1949" i="2"/>
  <c r="L1946" i="2"/>
  <c r="N1946" i="2"/>
  <c r="O1946" i="2"/>
  <c r="P1946" i="2"/>
  <c r="Q1946" i="2"/>
  <c r="L1937" i="2"/>
  <c r="N1937" i="2"/>
  <c r="O1937" i="2"/>
  <c r="P1937" i="2"/>
  <c r="Q1937" i="2"/>
  <c r="L1938" i="2"/>
  <c r="N1938" i="2"/>
  <c r="O1938" i="2"/>
  <c r="P1938" i="2"/>
  <c r="Q1938" i="2"/>
  <c r="L1934" i="2"/>
  <c r="N1934" i="2"/>
  <c r="O1934" i="2"/>
  <c r="P1934" i="2"/>
  <c r="Q1934" i="2"/>
  <c r="L1935" i="2"/>
  <c r="N1935" i="2"/>
  <c r="O1935" i="2"/>
  <c r="P1935" i="2"/>
  <c r="Q1935" i="2"/>
  <c r="L1927" i="2"/>
  <c r="N1927" i="2"/>
  <c r="O1927" i="2"/>
  <c r="P1927" i="2"/>
  <c r="Q1927" i="2"/>
  <c r="L1928" i="2"/>
  <c r="N1928" i="2"/>
  <c r="O1928" i="2"/>
  <c r="P1928" i="2"/>
  <c r="Q1928" i="2"/>
  <c r="L1929" i="2"/>
  <c r="N1929" i="2"/>
  <c r="O1929" i="2"/>
  <c r="P1929" i="2"/>
  <c r="Q1929" i="2"/>
  <c r="L1921" i="2"/>
  <c r="N1921" i="2"/>
  <c r="O1921" i="2"/>
  <c r="P1921" i="2"/>
  <c r="Q1921" i="2"/>
  <c r="L1922" i="2"/>
  <c r="N1922" i="2"/>
  <c r="O1922" i="2"/>
  <c r="P1922" i="2"/>
  <c r="Q1922" i="2"/>
  <c r="L1923" i="2"/>
  <c r="N1923" i="2"/>
  <c r="O1923" i="2"/>
  <c r="P1923" i="2"/>
  <c r="Q1923" i="2"/>
  <c r="L1924" i="2"/>
  <c r="N1924" i="2"/>
  <c r="O1924" i="2"/>
  <c r="P1924" i="2"/>
  <c r="Q1924" i="2"/>
  <c r="L1925" i="2"/>
  <c r="N1925" i="2"/>
  <c r="O1925" i="2"/>
  <c r="P1925" i="2"/>
  <c r="Q1925" i="2"/>
  <c r="L1914" i="2"/>
  <c r="N1914" i="2"/>
  <c r="O1914" i="2"/>
  <c r="P1914" i="2"/>
  <c r="Q1914" i="2"/>
  <c r="L1915" i="2"/>
  <c r="N1915" i="2"/>
  <c r="O1915" i="2"/>
  <c r="P1915" i="2"/>
  <c r="Q1915" i="2"/>
  <c r="L1916" i="2"/>
  <c r="N1916" i="2"/>
  <c r="O1916" i="2"/>
  <c r="P1916" i="2"/>
  <c r="Q1916" i="2"/>
  <c r="L1904" i="2"/>
  <c r="N1904" i="2"/>
  <c r="O1904" i="2"/>
  <c r="P1904" i="2"/>
  <c r="Q1904" i="2"/>
  <c r="L1905" i="2"/>
  <c r="N1905" i="2"/>
  <c r="O1905" i="2"/>
  <c r="P1905" i="2"/>
  <c r="Q1905" i="2"/>
  <c r="L1906" i="2"/>
  <c r="N1906" i="2"/>
  <c r="O1906" i="2"/>
  <c r="P1906" i="2"/>
  <c r="Q1906" i="2"/>
  <c r="L1907" i="2"/>
  <c r="N1907" i="2"/>
  <c r="O1907" i="2"/>
  <c r="P1907" i="2"/>
  <c r="Q1907" i="2"/>
  <c r="L1901" i="2"/>
  <c r="N1901" i="2"/>
  <c r="O1901" i="2"/>
  <c r="P1901" i="2"/>
  <c r="Q1901" i="2"/>
  <c r="L1902" i="2"/>
  <c r="N1902" i="2"/>
  <c r="O1902" i="2"/>
  <c r="P1902" i="2"/>
  <c r="Q1902" i="2"/>
  <c r="L1898" i="2"/>
  <c r="N1898" i="2"/>
  <c r="O1898" i="2"/>
  <c r="P1898" i="2"/>
  <c r="Q1898" i="2"/>
  <c r="L1899" i="2"/>
  <c r="N1899" i="2"/>
  <c r="O1899" i="2"/>
  <c r="P1899" i="2"/>
  <c r="Q1899" i="2"/>
  <c r="L1892" i="2"/>
  <c r="N1892" i="2"/>
  <c r="O1892" i="2"/>
  <c r="P1892" i="2"/>
  <c r="Q1892" i="2"/>
  <c r="L1890" i="2"/>
  <c r="N1890" i="2"/>
  <c r="O1890" i="2"/>
  <c r="P1890" i="2"/>
  <c r="Q1890" i="2"/>
  <c r="L1888" i="2"/>
  <c r="N1888" i="2"/>
  <c r="O1888" i="2"/>
  <c r="P1888" i="2"/>
  <c r="Q1888" i="2"/>
  <c r="L1886" i="2"/>
  <c r="N1886" i="2"/>
  <c r="O1886" i="2"/>
  <c r="P1886" i="2"/>
  <c r="Q1886" i="2"/>
  <c r="L1883" i="2"/>
  <c r="N1883" i="2"/>
  <c r="O1883" i="2"/>
  <c r="P1883" i="2"/>
  <c r="Q1883" i="2"/>
  <c r="L1884" i="2"/>
  <c r="N1884" i="2"/>
  <c r="O1884" i="2"/>
  <c r="P1884" i="2"/>
  <c r="Q1884" i="2"/>
  <c r="L1879" i="2"/>
  <c r="N1879" i="2"/>
  <c r="O1879" i="2"/>
  <c r="P1879" i="2"/>
  <c r="Q1879" i="2"/>
  <c r="L1880" i="2"/>
  <c r="N1880" i="2"/>
  <c r="O1880" i="2"/>
  <c r="P1880" i="2"/>
  <c r="Q1880" i="2"/>
  <c r="L1874" i="2"/>
  <c r="N1874" i="2"/>
  <c r="O1874" i="2"/>
  <c r="P1874" i="2"/>
  <c r="Q1874" i="2"/>
  <c r="L1871" i="2"/>
  <c r="N1871" i="2"/>
  <c r="O1871" i="2"/>
  <c r="P1871" i="2"/>
  <c r="Q1871" i="2"/>
  <c r="L1867" i="2"/>
  <c r="N1867" i="2"/>
  <c r="O1867" i="2"/>
  <c r="P1867" i="2"/>
  <c r="Q1867" i="2"/>
  <c r="L1868" i="2"/>
  <c r="N1868" i="2"/>
  <c r="O1868" i="2"/>
  <c r="P1868" i="2"/>
  <c r="Q1868" i="2"/>
  <c r="L1861" i="2"/>
  <c r="N1861" i="2"/>
  <c r="O1861" i="2"/>
  <c r="P1861" i="2"/>
  <c r="Q1861" i="2"/>
  <c r="L1862" i="2"/>
  <c r="N1862" i="2"/>
  <c r="O1862" i="2"/>
  <c r="P1862" i="2"/>
  <c r="Q1862" i="2"/>
  <c r="L1863" i="2"/>
  <c r="N1863" i="2"/>
  <c r="O1863" i="2"/>
  <c r="P1863" i="2"/>
  <c r="Q1863" i="2"/>
  <c r="L1864" i="2"/>
  <c r="N1864" i="2"/>
  <c r="O1864" i="2"/>
  <c r="P1864" i="2"/>
  <c r="Q1864" i="2"/>
  <c r="L1853" i="2"/>
  <c r="N1853" i="2"/>
  <c r="O1853" i="2"/>
  <c r="P1853" i="2"/>
  <c r="Q1853" i="2"/>
  <c r="L1854" i="2"/>
  <c r="N1854" i="2"/>
  <c r="O1854" i="2"/>
  <c r="P1854" i="2"/>
  <c r="Q1854" i="2"/>
  <c r="L1855" i="2"/>
  <c r="N1855" i="2"/>
  <c r="O1855" i="2"/>
  <c r="P1855" i="2"/>
  <c r="Q1855" i="2"/>
  <c r="L1856" i="2"/>
  <c r="N1856" i="2"/>
  <c r="O1856" i="2"/>
  <c r="P1856" i="2"/>
  <c r="Q1856" i="2"/>
  <c r="L1857" i="2"/>
  <c r="N1857" i="2"/>
  <c r="O1857" i="2"/>
  <c r="P1857" i="2"/>
  <c r="Q1857" i="2"/>
  <c r="L1858" i="2"/>
  <c r="N1858" i="2"/>
  <c r="O1858" i="2"/>
  <c r="P1858" i="2"/>
  <c r="Q1858" i="2"/>
  <c r="L1859" i="2"/>
  <c r="N1859" i="2"/>
  <c r="O1859" i="2"/>
  <c r="P1859" i="2"/>
  <c r="Q1859" i="2"/>
  <c r="L1849" i="2"/>
  <c r="N1849" i="2"/>
  <c r="O1849" i="2"/>
  <c r="P1849" i="2"/>
  <c r="Q1849" i="2"/>
  <c r="L1844" i="2"/>
  <c r="N1844" i="2"/>
  <c r="O1844" i="2"/>
  <c r="P1844" i="2"/>
  <c r="Q1844" i="2"/>
  <c r="L1840" i="2"/>
  <c r="N1840" i="2"/>
  <c r="O1840" i="2"/>
  <c r="P1840" i="2"/>
  <c r="Q1840" i="2"/>
  <c r="L1841" i="2"/>
  <c r="N1841" i="2"/>
  <c r="O1841" i="2"/>
  <c r="P1841" i="2"/>
  <c r="Q1841" i="2"/>
  <c r="L1837" i="2"/>
  <c r="N1837" i="2"/>
  <c r="O1837" i="2"/>
  <c r="P1837" i="2"/>
  <c r="Q1837" i="2"/>
  <c r="L1834" i="2"/>
  <c r="N1834" i="2"/>
  <c r="O1834" i="2"/>
  <c r="P1834" i="2"/>
  <c r="Q1834" i="2"/>
  <c r="L1831" i="2"/>
  <c r="N1831" i="2"/>
  <c r="O1831" i="2"/>
  <c r="P1831" i="2"/>
  <c r="Q1831" i="2"/>
  <c r="L1827" i="2"/>
  <c r="N1827" i="2"/>
  <c r="O1827" i="2"/>
  <c r="P1827" i="2"/>
  <c r="Q1827" i="2"/>
  <c r="L1819" i="2"/>
  <c r="N1819" i="2"/>
  <c r="O1819" i="2"/>
  <c r="P1819" i="2"/>
  <c r="Q1819" i="2"/>
  <c r="L1820" i="2"/>
  <c r="N1820" i="2"/>
  <c r="O1820" i="2"/>
  <c r="P1820" i="2"/>
  <c r="Q1820" i="2"/>
  <c r="L1821" i="2"/>
  <c r="N1821" i="2"/>
  <c r="O1821" i="2"/>
  <c r="P1821" i="2"/>
  <c r="Q1821" i="2"/>
  <c r="L1822" i="2"/>
  <c r="N1822" i="2"/>
  <c r="O1822" i="2"/>
  <c r="P1822" i="2"/>
  <c r="Q1822" i="2"/>
  <c r="L1823" i="2"/>
  <c r="N1823" i="2"/>
  <c r="O1823" i="2"/>
  <c r="P1823" i="2"/>
  <c r="Q1823" i="2"/>
  <c r="L1813" i="2"/>
  <c r="N1813" i="2"/>
  <c r="O1813" i="2"/>
  <c r="P1813" i="2"/>
  <c r="Q1813" i="2"/>
  <c r="L1814" i="2"/>
  <c r="N1814" i="2"/>
  <c r="O1814" i="2"/>
  <c r="P1814" i="2"/>
  <c r="Q1814" i="2"/>
  <c r="L1802" i="2"/>
  <c r="N1802" i="2"/>
  <c r="O1802" i="2"/>
  <c r="P1802" i="2"/>
  <c r="Q1802" i="2"/>
  <c r="L1803" i="2"/>
  <c r="N1803" i="2"/>
  <c r="O1803" i="2"/>
  <c r="P1803" i="2"/>
  <c r="Q1803" i="2"/>
  <c r="L1800" i="2"/>
  <c r="N1800" i="2"/>
  <c r="O1800" i="2"/>
  <c r="P1800" i="2"/>
  <c r="Q1800" i="2"/>
  <c r="L1791" i="2"/>
  <c r="N1791" i="2"/>
  <c r="O1791" i="2"/>
  <c r="P1791" i="2"/>
  <c r="Q1791" i="2"/>
  <c r="L1786" i="2"/>
  <c r="N1786" i="2"/>
  <c r="O1786" i="2"/>
  <c r="P1786" i="2"/>
  <c r="Q1786" i="2"/>
  <c r="L1787" i="2"/>
  <c r="N1787" i="2"/>
  <c r="O1787" i="2"/>
  <c r="P1787" i="2"/>
  <c r="Q1787" i="2"/>
  <c r="L1788" i="2"/>
  <c r="N1788" i="2"/>
  <c r="O1788" i="2"/>
  <c r="P1788" i="2"/>
  <c r="Q1788" i="2"/>
  <c r="L1778" i="2"/>
  <c r="N1778" i="2"/>
  <c r="O1778" i="2"/>
  <c r="P1778" i="2"/>
  <c r="Q1778" i="2"/>
  <c r="L1779" i="2"/>
  <c r="N1779" i="2"/>
  <c r="O1779" i="2"/>
  <c r="P1779" i="2"/>
  <c r="Q1779" i="2"/>
  <c r="L1780" i="2"/>
  <c r="N1780" i="2"/>
  <c r="O1780" i="2"/>
  <c r="P1780" i="2"/>
  <c r="Q1780" i="2"/>
  <c r="L1781" i="2"/>
  <c r="N1781" i="2"/>
  <c r="O1781" i="2"/>
  <c r="P1781" i="2"/>
  <c r="Q1781" i="2"/>
  <c r="L1782" i="2"/>
  <c r="N1782" i="2"/>
  <c r="O1782" i="2"/>
  <c r="P1782" i="2"/>
  <c r="Q1782" i="2"/>
  <c r="L1783" i="2"/>
  <c r="N1783" i="2"/>
  <c r="O1783" i="2"/>
  <c r="P1783" i="2"/>
  <c r="Q1783" i="2"/>
  <c r="L1784" i="2"/>
  <c r="N1784" i="2"/>
  <c r="O1784" i="2"/>
  <c r="P1784" i="2"/>
  <c r="Q1784" i="2"/>
  <c r="L1774" i="2"/>
  <c r="N1774" i="2"/>
  <c r="O1774" i="2"/>
  <c r="P1774" i="2"/>
  <c r="Q1774" i="2"/>
  <c r="L1771" i="2"/>
  <c r="N1771" i="2"/>
  <c r="O1771" i="2"/>
  <c r="P1771" i="2"/>
  <c r="Q1771" i="2"/>
  <c r="L1764" i="2"/>
  <c r="N1764" i="2"/>
  <c r="O1764" i="2"/>
  <c r="P1764" i="2"/>
  <c r="Q1764" i="2"/>
  <c r="L1761" i="2"/>
  <c r="N1761" i="2"/>
  <c r="O1761" i="2"/>
  <c r="P1761" i="2"/>
  <c r="Q1761" i="2"/>
  <c r="L1762" i="2"/>
  <c r="N1762" i="2"/>
  <c r="O1762" i="2"/>
  <c r="P1762" i="2"/>
  <c r="Q1762" i="2"/>
  <c r="L1757" i="2"/>
  <c r="N1757" i="2"/>
  <c r="O1757" i="2"/>
  <c r="P1757" i="2"/>
  <c r="Q1757" i="2"/>
  <c r="L1758" i="2"/>
  <c r="N1758" i="2"/>
  <c r="O1758" i="2"/>
  <c r="P1758" i="2"/>
  <c r="Q1758" i="2"/>
  <c r="L1759" i="2"/>
  <c r="N1759" i="2"/>
  <c r="O1759" i="2"/>
  <c r="P1759" i="2"/>
  <c r="Q1759" i="2"/>
  <c r="L1755" i="2"/>
  <c r="N1755" i="2"/>
  <c r="O1755" i="2"/>
  <c r="P1755" i="2"/>
  <c r="Q1755" i="2"/>
  <c r="L1749" i="2"/>
  <c r="N1749" i="2"/>
  <c r="O1749" i="2"/>
  <c r="P1749" i="2"/>
  <c r="Q1749" i="2"/>
  <c r="L1745" i="2"/>
  <c r="N1745" i="2"/>
  <c r="O1745" i="2"/>
  <c r="P1745" i="2"/>
  <c r="Q1745" i="2"/>
  <c r="L1742" i="2"/>
  <c r="N1742" i="2"/>
  <c r="O1742" i="2"/>
  <c r="P1742" i="2"/>
  <c r="Q1742" i="2"/>
  <c r="L1743" i="2"/>
  <c r="N1743" i="2"/>
  <c r="O1743" i="2"/>
  <c r="P1743" i="2"/>
  <c r="Q1743" i="2"/>
  <c r="L1738" i="2"/>
  <c r="N1738" i="2"/>
  <c r="O1738" i="2"/>
  <c r="P1738" i="2"/>
  <c r="Q1738" i="2"/>
  <c r="L1739" i="2"/>
  <c r="N1739" i="2"/>
  <c r="O1739" i="2"/>
  <c r="P1739" i="2"/>
  <c r="Q1739" i="2"/>
  <c r="L1740" i="2"/>
  <c r="N1740" i="2"/>
  <c r="O1740" i="2"/>
  <c r="P1740" i="2"/>
  <c r="Q1740" i="2"/>
  <c r="L1733" i="2"/>
  <c r="N1733" i="2"/>
  <c r="O1733" i="2"/>
  <c r="P1733" i="2"/>
  <c r="Q1733" i="2"/>
  <c r="L1734" i="2"/>
  <c r="N1734" i="2"/>
  <c r="O1734" i="2"/>
  <c r="P1734" i="2"/>
  <c r="Q1734" i="2"/>
  <c r="L1735" i="2"/>
  <c r="N1735" i="2"/>
  <c r="O1735" i="2"/>
  <c r="P1735" i="2"/>
  <c r="Q1735" i="2"/>
  <c r="L1731" i="2"/>
  <c r="N1731" i="2"/>
  <c r="O1731" i="2"/>
  <c r="P1731" i="2"/>
  <c r="Q1731" i="2"/>
  <c r="L1726" i="2"/>
  <c r="N1726" i="2"/>
  <c r="O1726" i="2"/>
  <c r="P1726" i="2"/>
  <c r="Q1726" i="2"/>
  <c r="L1727" i="2"/>
  <c r="N1727" i="2"/>
  <c r="O1727" i="2"/>
  <c r="P1727" i="2"/>
  <c r="Q1727" i="2"/>
  <c r="L1723" i="2"/>
  <c r="N1723" i="2"/>
  <c r="O1723" i="2"/>
  <c r="P1723" i="2"/>
  <c r="Q1723" i="2"/>
  <c r="L1724" i="2"/>
  <c r="N1724" i="2"/>
  <c r="O1724" i="2"/>
  <c r="P1724" i="2"/>
  <c r="Q1724" i="2"/>
  <c r="L1720" i="2"/>
  <c r="N1720" i="2"/>
  <c r="O1720" i="2"/>
  <c r="P1720" i="2"/>
  <c r="Q1720" i="2"/>
  <c r="L1712" i="2"/>
  <c r="N1712" i="2"/>
  <c r="O1712" i="2"/>
  <c r="P1712" i="2"/>
  <c r="Q1712" i="2"/>
  <c r="L1709" i="2"/>
  <c r="N1709" i="2"/>
  <c r="O1709" i="2"/>
  <c r="P1709" i="2"/>
  <c r="Q1709" i="2"/>
  <c r="L1707" i="2"/>
  <c r="N1707" i="2"/>
  <c r="O1707" i="2"/>
  <c r="P1707" i="2"/>
  <c r="Q1707" i="2"/>
  <c r="L1703" i="2"/>
  <c r="N1703" i="2"/>
  <c r="O1703" i="2"/>
  <c r="P1703" i="2"/>
  <c r="Q1703" i="2"/>
  <c r="L1704" i="2"/>
  <c r="N1704" i="2"/>
  <c r="O1704" i="2"/>
  <c r="P1704" i="2"/>
  <c r="Q1704" i="2"/>
  <c r="L1705" i="2"/>
  <c r="N1705" i="2"/>
  <c r="O1705" i="2"/>
  <c r="P1705" i="2"/>
  <c r="Q1705" i="2"/>
  <c r="L1699" i="2"/>
  <c r="N1699" i="2"/>
  <c r="O1699" i="2"/>
  <c r="P1699" i="2"/>
  <c r="Q1699" i="2"/>
  <c r="L1700" i="2"/>
  <c r="N1700" i="2"/>
  <c r="O1700" i="2"/>
  <c r="P1700" i="2"/>
  <c r="Q1700" i="2"/>
  <c r="L1701" i="2"/>
  <c r="N1701" i="2"/>
  <c r="O1701" i="2"/>
  <c r="P1701" i="2"/>
  <c r="Q1701" i="2"/>
  <c r="L1696" i="2"/>
  <c r="N1696" i="2"/>
  <c r="O1696" i="2"/>
  <c r="P1696" i="2"/>
  <c r="Q1696" i="2"/>
  <c r="L1697" i="2"/>
  <c r="N1697" i="2"/>
  <c r="O1697" i="2"/>
  <c r="P1697" i="2"/>
  <c r="Q1697" i="2"/>
  <c r="L1689" i="2"/>
  <c r="N1689" i="2"/>
  <c r="O1689" i="2"/>
  <c r="P1689" i="2"/>
  <c r="Q1689" i="2"/>
  <c r="L1690" i="2"/>
  <c r="N1690" i="2"/>
  <c r="O1690" i="2"/>
  <c r="P1690" i="2"/>
  <c r="Q1690" i="2"/>
  <c r="L1691" i="2"/>
  <c r="N1691" i="2"/>
  <c r="O1691" i="2"/>
  <c r="P1691" i="2"/>
  <c r="Q1691" i="2"/>
  <c r="L1692" i="2"/>
  <c r="N1692" i="2"/>
  <c r="O1692" i="2"/>
  <c r="P1692" i="2"/>
  <c r="Q1692" i="2"/>
  <c r="L1693" i="2"/>
  <c r="N1693" i="2"/>
  <c r="O1693" i="2"/>
  <c r="P1693" i="2"/>
  <c r="Q1693" i="2"/>
  <c r="L1694" i="2"/>
  <c r="N1694" i="2"/>
  <c r="O1694" i="2"/>
  <c r="P1694" i="2"/>
  <c r="Q1694" i="2"/>
  <c r="L1680" i="2"/>
  <c r="N1680" i="2"/>
  <c r="O1680" i="2"/>
  <c r="P1680" i="2"/>
  <c r="Q1680" i="2"/>
  <c r="L1678" i="2"/>
  <c r="N1678" i="2"/>
  <c r="O1678" i="2"/>
  <c r="P1678" i="2"/>
  <c r="Q1678" i="2"/>
  <c r="L1676" i="2"/>
  <c r="N1676" i="2"/>
  <c r="O1676" i="2"/>
  <c r="P1676" i="2"/>
  <c r="Q1676" i="2"/>
  <c r="L1671" i="2"/>
  <c r="N1671" i="2"/>
  <c r="O1671" i="2"/>
  <c r="P1671" i="2"/>
  <c r="Q1671" i="2"/>
  <c r="L1672" i="2"/>
  <c r="N1672" i="2"/>
  <c r="O1672" i="2"/>
  <c r="P1672" i="2"/>
  <c r="Q1672" i="2"/>
  <c r="L1669" i="2"/>
  <c r="N1669" i="2"/>
  <c r="O1669" i="2"/>
  <c r="P1669" i="2"/>
  <c r="Q1669" i="2"/>
  <c r="L1659" i="2"/>
  <c r="N1659" i="2"/>
  <c r="O1659" i="2"/>
  <c r="P1659" i="2"/>
  <c r="Q1659" i="2"/>
  <c r="L1660" i="2"/>
  <c r="N1660" i="2"/>
  <c r="O1660" i="2"/>
  <c r="P1660" i="2"/>
  <c r="Q1660" i="2"/>
  <c r="L1661" i="2"/>
  <c r="N1661" i="2"/>
  <c r="O1661" i="2"/>
  <c r="P1661" i="2"/>
  <c r="Q1661" i="2"/>
  <c r="L1662" i="2"/>
  <c r="N1662" i="2"/>
  <c r="O1662" i="2"/>
  <c r="P1662" i="2"/>
  <c r="Q1662" i="2"/>
  <c r="L1663" i="2"/>
  <c r="N1663" i="2"/>
  <c r="O1663" i="2"/>
  <c r="P1663" i="2"/>
  <c r="Q1663" i="2"/>
  <c r="L1656" i="2"/>
  <c r="N1656" i="2"/>
  <c r="O1656" i="2"/>
  <c r="P1656" i="2"/>
  <c r="Q1656" i="2"/>
  <c r="L1657" i="2"/>
  <c r="N1657" i="2"/>
  <c r="O1657" i="2"/>
  <c r="P1657" i="2"/>
  <c r="Q1657" i="2"/>
  <c r="L1654" i="2"/>
  <c r="N1654" i="2"/>
  <c r="O1654" i="2"/>
  <c r="P1654" i="2"/>
  <c r="Q1654" i="2"/>
  <c r="L1642" i="2"/>
  <c r="N1642" i="2"/>
  <c r="O1642" i="2"/>
  <c r="P1642" i="2"/>
  <c r="Q1642" i="2"/>
  <c r="L1639" i="2"/>
  <c r="N1639" i="2"/>
  <c r="O1639" i="2"/>
  <c r="P1639" i="2"/>
  <c r="Q1639" i="2"/>
  <c r="L1630" i="2"/>
  <c r="N1630" i="2"/>
  <c r="O1630" i="2"/>
  <c r="P1630" i="2"/>
  <c r="Q1630" i="2"/>
  <c r="L1631" i="2"/>
  <c r="N1631" i="2"/>
  <c r="O1631" i="2"/>
  <c r="P1631" i="2"/>
  <c r="Q1631" i="2"/>
  <c r="L1628" i="2"/>
  <c r="N1628" i="2"/>
  <c r="O1628" i="2"/>
  <c r="P1628" i="2"/>
  <c r="Q1628" i="2"/>
  <c r="L1621" i="2"/>
  <c r="N1621" i="2"/>
  <c r="O1621" i="2"/>
  <c r="P1621" i="2"/>
  <c r="Q1621" i="2"/>
  <c r="L1622" i="2"/>
  <c r="N1622" i="2"/>
  <c r="O1622" i="2"/>
  <c r="P1622" i="2"/>
  <c r="Q1622" i="2"/>
  <c r="L1616" i="2"/>
  <c r="N1616" i="2"/>
  <c r="O1616" i="2"/>
  <c r="P1616" i="2"/>
  <c r="Q1616" i="2"/>
  <c r="L1617" i="2"/>
  <c r="N1617" i="2"/>
  <c r="O1617" i="2"/>
  <c r="P1617" i="2"/>
  <c r="Q1617" i="2"/>
  <c r="L1612" i="2"/>
  <c r="N1612" i="2"/>
  <c r="O1612" i="2"/>
  <c r="P1612" i="2"/>
  <c r="Q1612" i="2"/>
  <c r="L1613" i="2"/>
  <c r="N1613" i="2"/>
  <c r="O1613" i="2"/>
  <c r="P1613" i="2"/>
  <c r="Q1613" i="2"/>
  <c r="L1601" i="2"/>
  <c r="N1601" i="2"/>
  <c r="O1601" i="2"/>
  <c r="P1601" i="2"/>
  <c r="Q1601" i="2"/>
  <c r="L1602" i="2"/>
  <c r="N1602" i="2"/>
  <c r="O1602" i="2"/>
  <c r="P1602" i="2"/>
  <c r="Q1602" i="2"/>
  <c r="L1603" i="2"/>
  <c r="N1603" i="2"/>
  <c r="O1603" i="2"/>
  <c r="P1603" i="2"/>
  <c r="Q1603" i="2"/>
  <c r="L1604" i="2"/>
  <c r="N1604" i="2"/>
  <c r="O1604" i="2"/>
  <c r="P1604" i="2"/>
  <c r="Q1604" i="2"/>
  <c r="L1605" i="2"/>
  <c r="N1605" i="2"/>
  <c r="O1605" i="2"/>
  <c r="P1605" i="2"/>
  <c r="Q1605" i="2"/>
  <c r="L1606" i="2"/>
  <c r="N1606" i="2"/>
  <c r="O1606" i="2"/>
  <c r="P1606" i="2"/>
  <c r="Q1606" i="2"/>
  <c r="L1607" i="2"/>
  <c r="N1607" i="2"/>
  <c r="O1607" i="2"/>
  <c r="P1607" i="2"/>
  <c r="Q1607" i="2"/>
  <c r="L1608" i="2"/>
  <c r="N1608" i="2"/>
  <c r="O1608" i="2"/>
  <c r="P1608" i="2"/>
  <c r="Q1608" i="2"/>
  <c r="L1598" i="2"/>
  <c r="N1598" i="2"/>
  <c r="O1598" i="2"/>
  <c r="P1598" i="2"/>
  <c r="Q1598" i="2"/>
  <c r="L1599" i="2"/>
  <c r="N1599" i="2"/>
  <c r="O1599" i="2"/>
  <c r="P1599" i="2"/>
  <c r="Q1599" i="2"/>
  <c r="L1596" i="2"/>
  <c r="N1596" i="2"/>
  <c r="O1596" i="2"/>
  <c r="P1596" i="2"/>
  <c r="Q1596" i="2"/>
  <c r="L1593" i="2"/>
  <c r="N1593" i="2"/>
  <c r="O1593" i="2"/>
  <c r="P1593" i="2"/>
  <c r="Q1593" i="2"/>
  <c r="L1586" i="2"/>
  <c r="N1586" i="2"/>
  <c r="O1586" i="2"/>
  <c r="P1586" i="2"/>
  <c r="Q1586" i="2"/>
  <c r="L1584" i="2"/>
  <c r="N1584" i="2"/>
  <c r="O1584" i="2"/>
  <c r="P1584" i="2"/>
  <c r="Q1584" i="2"/>
  <c r="L1582" i="2"/>
  <c r="N1582" i="2"/>
  <c r="O1582" i="2"/>
  <c r="P1582" i="2"/>
  <c r="Q1582" i="2"/>
  <c r="L1580" i="2"/>
  <c r="N1580" i="2"/>
  <c r="O1580" i="2"/>
  <c r="P1580" i="2"/>
  <c r="Q1580" i="2"/>
  <c r="L1575" i="2"/>
  <c r="N1575" i="2"/>
  <c r="O1575" i="2"/>
  <c r="P1575" i="2"/>
  <c r="Q1575" i="2"/>
  <c r="L1572" i="2"/>
  <c r="N1572" i="2"/>
  <c r="O1572" i="2"/>
  <c r="P1572" i="2"/>
  <c r="Q1572" i="2"/>
  <c r="L1573" i="2"/>
  <c r="N1573" i="2"/>
  <c r="O1573" i="2"/>
  <c r="P1573" i="2"/>
  <c r="Q1573" i="2"/>
  <c r="L1569" i="2"/>
  <c r="N1569" i="2"/>
  <c r="O1569" i="2"/>
  <c r="P1569" i="2"/>
  <c r="Q1569" i="2"/>
  <c r="L1570" i="2"/>
  <c r="N1570" i="2"/>
  <c r="O1570" i="2"/>
  <c r="P1570" i="2"/>
  <c r="Q1570" i="2"/>
  <c r="L1565" i="2"/>
  <c r="N1565" i="2"/>
  <c r="O1565" i="2"/>
  <c r="P1565" i="2"/>
  <c r="Q1565" i="2"/>
  <c r="L1558" i="2"/>
  <c r="N1558" i="2"/>
  <c r="O1558" i="2"/>
  <c r="P1558" i="2"/>
  <c r="Q1558" i="2"/>
  <c r="L1559" i="2"/>
  <c r="N1559" i="2"/>
  <c r="O1559" i="2"/>
  <c r="P1559" i="2"/>
  <c r="Q1559" i="2"/>
  <c r="L1560" i="2"/>
  <c r="N1560" i="2"/>
  <c r="O1560" i="2"/>
  <c r="P1560" i="2"/>
  <c r="Q1560" i="2"/>
  <c r="L1561" i="2"/>
  <c r="N1561" i="2"/>
  <c r="O1561" i="2"/>
  <c r="P1561" i="2"/>
  <c r="Q1561" i="2"/>
  <c r="L1562" i="2"/>
  <c r="N1562" i="2"/>
  <c r="O1562" i="2"/>
  <c r="P1562" i="2"/>
  <c r="Q1562" i="2"/>
  <c r="L1555" i="2"/>
  <c r="N1555" i="2"/>
  <c r="O1555" i="2"/>
  <c r="P1555" i="2"/>
  <c r="Q1555" i="2"/>
  <c r="L1553" i="2"/>
  <c r="N1553" i="2"/>
  <c r="O1553" i="2"/>
  <c r="P1553" i="2"/>
  <c r="Q1553" i="2"/>
  <c r="L1550" i="2"/>
  <c r="N1550" i="2"/>
  <c r="O1550" i="2"/>
  <c r="P1550" i="2"/>
  <c r="Q1550" i="2"/>
  <c r="L1547" i="2"/>
  <c r="N1547" i="2"/>
  <c r="O1547" i="2"/>
  <c r="P1547" i="2"/>
  <c r="Q1547" i="2"/>
  <c r="L1542" i="2"/>
  <c r="N1542" i="2"/>
  <c r="O1542" i="2"/>
  <c r="P1542" i="2"/>
  <c r="Q1542" i="2"/>
  <c r="L1543" i="2"/>
  <c r="N1543" i="2"/>
  <c r="O1543" i="2"/>
  <c r="P1543" i="2"/>
  <c r="Q1543" i="2"/>
  <c r="L1544" i="2"/>
  <c r="N1544" i="2"/>
  <c r="O1544" i="2"/>
  <c r="P1544" i="2"/>
  <c r="Q1544" i="2"/>
  <c r="L1545" i="2"/>
  <c r="N1545" i="2"/>
  <c r="O1545" i="2"/>
  <c r="P1545" i="2"/>
  <c r="Q1545" i="2"/>
  <c r="L1539" i="2"/>
  <c r="N1539" i="2"/>
  <c r="O1539" i="2"/>
  <c r="P1539" i="2"/>
  <c r="Q1539" i="2"/>
  <c r="L1533" i="2"/>
  <c r="N1533" i="2"/>
  <c r="O1533" i="2"/>
  <c r="P1533" i="2"/>
  <c r="Q1533" i="2"/>
  <c r="L1530" i="2"/>
  <c r="N1530" i="2"/>
  <c r="O1530" i="2"/>
  <c r="P1530" i="2"/>
  <c r="Q1530" i="2"/>
  <c r="L1531" i="2"/>
  <c r="N1531" i="2"/>
  <c r="O1531" i="2"/>
  <c r="P1531" i="2"/>
  <c r="Q1531" i="2"/>
  <c r="L1528" i="2"/>
  <c r="N1528" i="2"/>
  <c r="O1528" i="2"/>
  <c r="P1528" i="2"/>
  <c r="Q1528" i="2"/>
  <c r="L1526" i="2"/>
  <c r="N1526" i="2"/>
  <c r="O1526" i="2"/>
  <c r="P1526" i="2"/>
  <c r="Q1526" i="2"/>
  <c r="L1523" i="2"/>
  <c r="N1523" i="2"/>
  <c r="O1523" i="2"/>
  <c r="P1523" i="2"/>
  <c r="Q1523" i="2"/>
  <c r="L1519" i="2"/>
  <c r="N1519" i="2"/>
  <c r="O1519" i="2"/>
  <c r="P1519" i="2"/>
  <c r="Q1519" i="2"/>
  <c r="L1520" i="2"/>
  <c r="N1520" i="2"/>
  <c r="O1520" i="2"/>
  <c r="P1520" i="2"/>
  <c r="Q1520" i="2"/>
  <c r="L1521" i="2"/>
  <c r="N1521" i="2"/>
  <c r="O1521" i="2"/>
  <c r="P1521" i="2"/>
  <c r="Q1521" i="2"/>
  <c r="L1517" i="2"/>
  <c r="N1517" i="2"/>
  <c r="O1517" i="2"/>
  <c r="P1517" i="2"/>
  <c r="Q1517" i="2"/>
  <c r="L1513" i="2"/>
  <c r="N1513" i="2"/>
  <c r="O1513" i="2"/>
  <c r="P1513" i="2"/>
  <c r="Q1513" i="2"/>
  <c r="L1508" i="2"/>
  <c r="N1508" i="2"/>
  <c r="O1508" i="2"/>
  <c r="P1508" i="2"/>
  <c r="Q1508" i="2"/>
  <c r="L1509" i="2"/>
  <c r="N1509" i="2"/>
  <c r="O1509" i="2"/>
  <c r="P1509" i="2"/>
  <c r="Q1509" i="2"/>
  <c r="L1504" i="2"/>
  <c r="N1504" i="2"/>
  <c r="O1504" i="2"/>
  <c r="P1504" i="2"/>
  <c r="Q1504" i="2"/>
  <c r="L1505" i="2"/>
  <c r="N1505" i="2"/>
  <c r="O1505" i="2"/>
  <c r="P1505" i="2"/>
  <c r="Q1505" i="2"/>
  <c r="L1502" i="2"/>
  <c r="N1502" i="2"/>
  <c r="O1502" i="2"/>
  <c r="P1502" i="2"/>
  <c r="Q1502" i="2"/>
  <c r="L1499" i="2"/>
  <c r="N1499" i="2"/>
  <c r="O1499" i="2"/>
  <c r="P1499" i="2"/>
  <c r="Q1499" i="2"/>
  <c r="L1495" i="2"/>
  <c r="N1495" i="2"/>
  <c r="O1495" i="2"/>
  <c r="P1495" i="2"/>
  <c r="Q1495" i="2"/>
  <c r="L1493" i="2"/>
  <c r="N1493" i="2"/>
  <c r="O1493" i="2"/>
  <c r="P1493" i="2"/>
  <c r="Q1493" i="2"/>
  <c r="L1489" i="2"/>
  <c r="N1489" i="2"/>
  <c r="O1489" i="2"/>
  <c r="P1489" i="2"/>
  <c r="Q1489" i="2"/>
  <c r="L1490" i="2"/>
  <c r="N1490" i="2"/>
  <c r="O1490" i="2"/>
  <c r="P1490" i="2"/>
  <c r="Q1490" i="2"/>
  <c r="L1487" i="2"/>
  <c r="N1487" i="2"/>
  <c r="O1487" i="2"/>
  <c r="P1487" i="2"/>
  <c r="Q1487" i="2"/>
  <c r="L1481" i="2"/>
  <c r="N1481" i="2"/>
  <c r="O1481" i="2"/>
  <c r="P1481" i="2"/>
  <c r="Q1481" i="2"/>
  <c r="L1478" i="2"/>
  <c r="N1478" i="2"/>
  <c r="O1478" i="2"/>
  <c r="P1478" i="2"/>
  <c r="Q1478" i="2"/>
  <c r="L1479" i="2"/>
  <c r="N1479" i="2"/>
  <c r="O1479" i="2"/>
  <c r="P1479" i="2"/>
  <c r="Q1479" i="2"/>
  <c r="L1476" i="2"/>
  <c r="N1476" i="2"/>
  <c r="O1476" i="2"/>
  <c r="P1476" i="2"/>
  <c r="Q1476" i="2"/>
  <c r="L1472" i="2"/>
  <c r="N1472" i="2"/>
  <c r="O1472" i="2"/>
  <c r="P1472" i="2"/>
  <c r="Q1472" i="2"/>
  <c r="L1469" i="2"/>
  <c r="N1469" i="2"/>
  <c r="O1469" i="2"/>
  <c r="P1469" i="2"/>
  <c r="Q1469" i="2"/>
  <c r="L1461" i="2"/>
  <c r="N1461" i="2"/>
  <c r="O1461" i="2"/>
  <c r="P1461" i="2"/>
  <c r="Q1461" i="2"/>
  <c r="L1462" i="2"/>
  <c r="N1462" i="2"/>
  <c r="O1462" i="2"/>
  <c r="P1462" i="2"/>
  <c r="Q1462" i="2"/>
  <c r="L1463" i="2"/>
  <c r="N1463" i="2"/>
  <c r="O1463" i="2"/>
  <c r="P1463" i="2"/>
  <c r="Q1463" i="2"/>
  <c r="L1457" i="2"/>
  <c r="N1457" i="2"/>
  <c r="O1457" i="2"/>
  <c r="P1457" i="2"/>
  <c r="Q1457" i="2"/>
  <c r="L1458" i="2"/>
  <c r="N1458" i="2"/>
  <c r="O1458" i="2"/>
  <c r="P1458" i="2"/>
  <c r="Q1458" i="2"/>
  <c r="L1448" i="2"/>
  <c r="N1448" i="2"/>
  <c r="O1448" i="2"/>
  <c r="P1448" i="2"/>
  <c r="Q1448" i="2"/>
  <c r="L1449" i="2"/>
  <c r="N1449" i="2"/>
  <c r="O1449" i="2"/>
  <c r="P1449" i="2"/>
  <c r="Q1449" i="2"/>
  <c r="L1445" i="2"/>
  <c r="N1445" i="2"/>
  <c r="O1445" i="2"/>
  <c r="P1445" i="2"/>
  <c r="Q1445" i="2"/>
  <c r="L1446" i="2"/>
  <c r="N1446" i="2"/>
  <c r="O1446" i="2"/>
  <c r="P1446" i="2"/>
  <c r="Q1446" i="2"/>
  <c r="L1443" i="2"/>
  <c r="N1443" i="2"/>
  <c r="O1443" i="2"/>
  <c r="P1443" i="2"/>
  <c r="Q1443" i="2"/>
  <c r="L1441" i="2"/>
  <c r="N1441" i="2"/>
  <c r="O1441" i="2"/>
  <c r="P1441" i="2"/>
  <c r="Q1441" i="2"/>
  <c r="L1437" i="2"/>
  <c r="N1437" i="2"/>
  <c r="O1437" i="2"/>
  <c r="P1437" i="2"/>
  <c r="Q1437" i="2"/>
  <c r="L1434" i="2"/>
  <c r="N1434" i="2"/>
  <c r="O1434" i="2"/>
  <c r="P1434" i="2"/>
  <c r="Q1434" i="2"/>
  <c r="L1425" i="2"/>
  <c r="N1425" i="2"/>
  <c r="O1425" i="2"/>
  <c r="P1425" i="2"/>
  <c r="Q1425" i="2"/>
  <c r="L1426" i="2"/>
  <c r="N1426" i="2"/>
  <c r="O1426" i="2"/>
  <c r="P1426" i="2"/>
  <c r="Q1426" i="2"/>
  <c r="L1427" i="2"/>
  <c r="N1427" i="2"/>
  <c r="O1427" i="2"/>
  <c r="P1427" i="2"/>
  <c r="Q1427" i="2"/>
  <c r="L1428" i="2"/>
  <c r="N1428" i="2"/>
  <c r="O1428" i="2"/>
  <c r="P1428" i="2"/>
  <c r="Q1428" i="2"/>
  <c r="L1429" i="2"/>
  <c r="N1429" i="2"/>
  <c r="O1429" i="2"/>
  <c r="P1429" i="2"/>
  <c r="Q1429" i="2"/>
  <c r="L1430" i="2"/>
  <c r="N1430" i="2"/>
  <c r="O1430" i="2"/>
  <c r="P1430" i="2"/>
  <c r="Q1430" i="2"/>
  <c r="L1431" i="2"/>
  <c r="N1431" i="2"/>
  <c r="O1431" i="2"/>
  <c r="P1431" i="2"/>
  <c r="Q1431" i="2"/>
  <c r="L1423" i="2"/>
  <c r="N1423" i="2"/>
  <c r="O1423" i="2"/>
  <c r="P1423" i="2"/>
  <c r="Q1423" i="2"/>
  <c r="L1420" i="2"/>
  <c r="N1420" i="2"/>
  <c r="O1420" i="2"/>
  <c r="P1420" i="2"/>
  <c r="Q1420" i="2"/>
  <c r="L1417" i="2"/>
  <c r="N1417" i="2"/>
  <c r="O1417" i="2"/>
  <c r="P1417" i="2"/>
  <c r="Q1417" i="2"/>
  <c r="L1413" i="2"/>
  <c r="N1413" i="2"/>
  <c r="O1413" i="2"/>
  <c r="P1413" i="2"/>
  <c r="Q1413" i="2"/>
  <c r="L1409" i="2"/>
  <c r="N1409" i="2"/>
  <c r="O1409" i="2"/>
  <c r="P1409" i="2"/>
  <c r="Q1409" i="2"/>
  <c r="L1410" i="2"/>
  <c r="N1410" i="2"/>
  <c r="O1410" i="2"/>
  <c r="P1410" i="2"/>
  <c r="Q1410" i="2"/>
  <c r="L1411" i="2"/>
  <c r="N1411" i="2"/>
  <c r="O1411" i="2"/>
  <c r="P1411" i="2"/>
  <c r="Q1411" i="2"/>
  <c r="L1401" i="2"/>
  <c r="N1401" i="2"/>
  <c r="O1401" i="2"/>
  <c r="P1401" i="2"/>
  <c r="Q1401" i="2"/>
  <c r="L1402" i="2"/>
  <c r="N1402" i="2"/>
  <c r="O1402" i="2"/>
  <c r="P1402" i="2"/>
  <c r="Q1402" i="2"/>
  <c r="L1397" i="2"/>
  <c r="N1397" i="2"/>
  <c r="O1397" i="2"/>
  <c r="P1397" i="2"/>
  <c r="Q1397" i="2"/>
  <c r="L1398" i="2"/>
  <c r="N1398" i="2"/>
  <c r="O1398" i="2"/>
  <c r="P1398" i="2"/>
  <c r="Q1398" i="2"/>
  <c r="L1391" i="2"/>
  <c r="N1391" i="2"/>
  <c r="O1391" i="2"/>
  <c r="P1391" i="2"/>
  <c r="Q1391" i="2"/>
  <c r="L1392" i="2"/>
  <c r="N1392" i="2"/>
  <c r="O1392" i="2"/>
  <c r="P1392" i="2"/>
  <c r="Q1392" i="2"/>
  <c r="L1393" i="2"/>
  <c r="N1393" i="2"/>
  <c r="O1393" i="2"/>
  <c r="P1393" i="2"/>
  <c r="Q1393" i="2"/>
  <c r="L1388" i="2"/>
  <c r="N1388" i="2"/>
  <c r="O1388" i="2"/>
  <c r="P1388" i="2"/>
  <c r="Q1388" i="2"/>
  <c r="L1389" i="2"/>
  <c r="N1389" i="2"/>
  <c r="O1389" i="2"/>
  <c r="P1389" i="2"/>
  <c r="Q1389" i="2"/>
  <c r="L1376" i="2"/>
  <c r="N1376" i="2"/>
  <c r="O1376" i="2"/>
  <c r="P1376" i="2"/>
  <c r="Q1376" i="2"/>
  <c r="L1374" i="2"/>
  <c r="N1374" i="2"/>
  <c r="O1374" i="2"/>
  <c r="P1374" i="2"/>
  <c r="Q1374" i="2"/>
  <c r="L1371" i="2"/>
  <c r="N1371" i="2"/>
  <c r="O1371" i="2"/>
  <c r="P1371" i="2"/>
  <c r="Q1371" i="2"/>
  <c r="L1372" i="2"/>
  <c r="N1372" i="2"/>
  <c r="O1372" i="2"/>
  <c r="P1372" i="2"/>
  <c r="Q1372" i="2"/>
  <c r="L1368" i="2"/>
  <c r="N1368" i="2"/>
  <c r="O1368" i="2"/>
  <c r="P1368" i="2"/>
  <c r="Q1368" i="2"/>
  <c r="L1362" i="2"/>
  <c r="N1362" i="2"/>
  <c r="O1362" i="2"/>
  <c r="P1362" i="2"/>
  <c r="Q1362" i="2"/>
  <c r="L1363" i="2"/>
  <c r="N1363" i="2"/>
  <c r="O1363" i="2"/>
  <c r="P1363" i="2"/>
  <c r="Q1363" i="2"/>
  <c r="L1364" i="2"/>
  <c r="N1364" i="2"/>
  <c r="O1364" i="2"/>
  <c r="P1364" i="2"/>
  <c r="Q1364" i="2"/>
  <c r="L1359" i="2"/>
  <c r="N1359" i="2"/>
  <c r="O1359" i="2"/>
  <c r="P1359" i="2"/>
  <c r="Q1359" i="2"/>
  <c r="L1360" i="2"/>
  <c r="N1360" i="2"/>
  <c r="O1360" i="2"/>
  <c r="P1360" i="2"/>
  <c r="Q1360" i="2"/>
  <c r="L1351" i="2"/>
  <c r="N1351" i="2"/>
  <c r="O1351" i="2"/>
  <c r="P1351" i="2"/>
  <c r="Q1351" i="2"/>
  <c r="L1352" i="2"/>
  <c r="N1352" i="2"/>
  <c r="O1352" i="2"/>
  <c r="P1352" i="2"/>
  <c r="Q1352" i="2"/>
  <c r="L1353" i="2"/>
  <c r="N1353" i="2"/>
  <c r="O1353" i="2"/>
  <c r="P1353" i="2"/>
  <c r="Q1353" i="2"/>
  <c r="L1354" i="2"/>
  <c r="N1354" i="2"/>
  <c r="O1354" i="2"/>
  <c r="P1354" i="2"/>
  <c r="Q1354" i="2"/>
  <c r="L1349" i="2"/>
  <c r="N1349" i="2"/>
  <c r="O1349" i="2"/>
  <c r="P1349" i="2"/>
  <c r="Q1349" i="2"/>
  <c r="L1345" i="2"/>
  <c r="N1345" i="2"/>
  <c r="O1345" i="2"/>
  <c r="P1345" i="2"/>
  <c r="Q1345" i="2"/>
  <c r="L1346" i="2"/>
  <c r="N1346" i="2"/>
  <c r="O1346" i="2"/>
  <c r="P1346" i="2"/>
  <c r="Q1346" i="2"/>
  <c r="L1347" i="2"/>
  <c r="N1347" i="2"/>
  <c r="O1347" i="2"/>
  <c r="P1347" i="2"/>
  <c r="Q1347" i="2"/>
  <c r="L1342" i="2"/>
  <c r="N1342" i="2"/>
  <c r="O1342" i="2"/>
  <c r="P1342" i="2"/>
  <c r="Q1342" i="2"/>
  <c r="L1340" i="2"/>
  <c r="N1340" i="2"/>
  <c r="O1340" i="2"/>
  <c r="P1340" i="2"/>
  <c r="Q1340" i="2"/>
  <c r="L1337" i="2"/>
  <c r="N1337" i="2"/>
  <c r="O1337" i="2"/>
  <c r="P1337" i="2"/>
  <c r="Q1337" i="2"/>
  <c r="L1333" i="2"/>
  <c r="N1333" i="2"/>
  <c r="O1333" i="2"/>
  <c r="P1333" i="2"/>
  <c r="Q1333" i="2"/>
  <c r="L1331" i="2"/>
  <c r="N1331" i="2"/>
  <c r="O1331" i="2"/>
  <c r="P1331" i="2"/>
  <c r="Q1331" i="2"/>
  <c r="L1328" i="2"/>
  <c r="N1328" i="2"/>
  <c r="O1328" i="2"/>
  <c r="P1328" i="2"/>
  <c r="Q1328" i="2"/>
  <c r="L1326" i="2"/>
  <c r="N1326" i="2"/>
  <c r="O1326" i="2"/>
  <c r="P1326" i="2"/>
  <c r="Q1326" i="2"/>
  <c r="L1323" i="2"/>
  <c r="N1323" i="2"/>
  <c r="O1323" i="2"/>
  <c r="P1323" i="2"/>
  <c r="Q1323" i="2"/>
  <c r="L1324" i="2"/>
  <c r="N1324" i="2"/>
  <c r="O1324" i="2"/>
  <c r="P1324" i="2"/>
  <c r="Q1324" i="2"/>
  <c r="L1315" i="2"/>
  <c r="N1315" i="2"/>
  <c r="O1315" i="2"/>
  <c r="P1315" i="2"/>
  <c r="Q1315" i="2"/>
  <c r="L1313" i="2"/>
  <c r="N1313" i="2"/>
  <c r="O1313" i="2"/>
  <c r="P1313" i="2"/>
  <c r="Q1313" i="2"/>
  <c r="L1311" i="2"/>
  <c r="N1311" i="2"/>
  <c r="O1311" i="2"/>
  <c r="P1311" i="2"/>
  <c r="Q1311" i="2"/>
  <c r="L1307" i="2"/>
  <c r="N1307" i="2"/>
  <c r="O1307" i="2"/>
  <c r="P1307" i="2"/>
  <c r="Q1307" i="2"/>
  <c r="L1308" i="2"/>
  <c r="N1308" i="2"/>
  <c r="O1308" i="2"/>
  <c r="P1308" i="2"/>
  <c r="Q1308" i="2"/>
  <c r="L1304" i="2"/>
  <c r="N1304" i="2"/>
  <c r="O1304" i="2"/>
  <c r="P1304" i="2"/>
  <c r="Q1304" i="2"/>
  <c r="L1305" i="2"/>
  <c r="N1305" i="2"/>
  <c r="O1305" i="2"/>
  <c r="P1305" i="2"/>
  <c r="Q1305" i="2"/>
  <c r="L1302" i="2"/>
  <c r="N1302" i="2"/>
  <c r="O1302" i="2"/>
  <c r="P1302" i="2"/>
  <c r="Q1302" i="2"/>
  <c r="L1299" i="2"/>
  <c r="N1299" i="2"/>
  <c r="O1299" i="2"/>
  <c r="P1299" i="2"/>
  <c r="Q1299" i="2"/>
  <c r="L1300" i="2"/>
  <c r="N1300" i="2"/>
  <c r="O1300" i="2"/>
  <c r="P1300" i="2"/>
  <c r="Q1300" i="2"/>
  <c r="L1297" i="2"/>
  <c r="N1297" i="2"/>
  <c r="O1297" i="2"/>
  <c r="P1297" i="2"/>
  <c r="Q1297" i="2"/>
  <c r="L1294" i="2"/>
  <c r="N1294" i="2"/>
  <c r="O1294" i="2"/>
  <c r="P1294" i="2"/>
  <c r="Q1294" i="2"/>
  <c r="L1292" i="2"/>
  <c r="N1292" i="2"/>
  <c r="O1292" i="2"/>
  <c r="P1292" i="2"/>
  <c r="Q1292" i="2"/>
  <c r="L1286" i="2"/>
  <c r="N1286" i="2"/>
  <c r="O1286" i="2"/>
  <c r="P1286" i="2"/>
  <c r="Q1286" i="2"/>
  <c r="L1287" i="2"/>
  <c r="N1287" i="2"/>
  <c r="O1287" i="2"/>
  <c r="P1287" i="2"/>
  <c r="Q1287" i="2"/>
  <c r="L1288" i="2"/>
  <c r="N1288" i="2"/>
  <c r="O1288" i="2"/>
  <c r="P1288" i="2"/>
  <c r="Q1288" i="2"/>
  <c r="L1284" i="2"/>
  <c r="N1284" i="2"/>
  <c r="O1284" i="2"/>
  <c r="P1284" i="2"/>
  <c r="Q1284" i="2"/>
  <c r="L1282" i="2"/>
  <c r="N1282" i="2"/>
  <c r="O1282" i="2"/>
  <c r="P1282" i="2"/>
  <c r="Q1282" i="2"/>
  <c r="L1280" i="2"/>
  <c r="N1280" i="2"/>
  <c r="O1280" i="2"/>
  <c r="P1280" i="2"/>
  <c r="Q1280" i="2"/>
  <c r="L1269" i="2"/>
  <c r="N1269" i="2"/>
  <c r="O1269" i="2"/>
  <c r="P1269" i="2"/>
  <c r="Q1269" i="2"/>
  <c r="L1267" i="2"/>
  <c r="N1267" i="2"/>
  <c r="O1267" i="2"/>
  <c r="P1267" i="2"/>
  <c r="Q1267" i="2"/>
  <c r="L1265" i="2"/>
  <c r="N1265" i="2"/>
  <c r="O1265" i="2"/>
  <c r="P1265" i="2"/>
  <c r="Q1265" i="2"/>
  <c r="L1263" i="2"/>
  <c r="N1263" i="2"/>
  <c r="O1263" i="2"/>
  <c r="P1263" i="2"/>
  <c r="Q1263" i="2"/>
  <c r="L1259" i="2"/>
  <c r="N1259" i="2"/>
  <c r="O1259" i="2"/>
  <c r="P1259" i="2"/>
  <c r="Q1259" i="2"/>
  <c r="L1260" i="2"/>
  <c r="N1260" i="2"/>
  <c r="O1260" i="2"/>
  <c r="P1260" i="2"/>
  <c r="Q1260" i="2"/>
  <c r="L1255" i="2"/>
  <c r="N1255" i="2"/>
  <c r="O1255" i="2"/>
  <c r="P1255" i="2"/>
  <c r="Q1255" i="2"/>
  <c r="L1250" i="2"/>
  <c r="N1250" i="2"/>
  <c r="O1250" i="2"/>
  <c r="P1250" i="2"/>
  <c r="Q1250" i="2"/>
  <c r="L1251" i="2"/>
  <c r="N1251" i="2"/>
  <c r="O1251" i="2"/>
  <c r="P1251" i="2"/>
  <c r="Q1251" i="2"/>
  <c r="L1247" i="2"/>
  <c r="N1247" i="2"/>
  <c r="O1247" i="2"/>
  <c r="P1247" i="2"/>
  <c r="Q1247" i="2"/>
  <c r="L1248" i="2"/>
  <c r="N1248" i="2"/>
  <c r="O1248" i="2"/>
  <c r="P1248" i="2"/>
  <c r="Q1248" i="2"/>
  <c r="L1244" i="2"/>
  <c r="N1244" i="2"/>
  <c r="O1244" i="2"/>
  <c r="P1244" i="2"/>
  <c r="Q1244" i="2"/>
  <c r="L1240" i="2"/>
  <c r="N1240" i="2"/>
  <c r="O1240" i="2"/>
  <c r="P1240" i="2"/>
  <c r="Q1240" i="2"/>
  <c r="L1241" i="2"/>
  <c r="N1241" i="2"/>
  <c r="O1241" i="2"/>
  <c r="P1241" i="2"/>
  <c r="Q1241" i="2"/>
  <c r="L1230" i="2"/>
  <c r="N1230" i="2"/>
  <c r="O1230" i="2"/>
  <c r="P1230" i="2"/>
  <c r="Q1230" i="2"/>
  <c r="L1231" i="2"/>
  <c r="N1231" i="2"/>
  <c r="O1231" i="2"/>
  <c r="P1231" i="2"/>
  <c r="Q1231" i="2"/>
  <c r="L1232" i="2"/>
  <c r="N1232" i="2"/>
  <c r="O1232" i="2"/>
  <c r="P1232" i="2"/>
  <c r="Q1232" i="2"/>
  <c r="L1233" i="2"/>
  <c r="N1233" i="2"/>
  <c r="O1233" i="2"/>
  <c r="P1233" i="2"/>
  <c r="Q1233" i="2"/>
  <c r="L1234" i="2"/>
  <c r="N1234" i="2"/>
  <c r="O1234" i="2"/>
  <c r="P1234" i="2"/>
  <c r="Q1234" i="2"/>
  <c r="L1235" i="2"/>
  <c r="N1235" i="2"/>
  <c r="O1235" i="2"/>
  <c r="P1235" i="2"/>
  <c r="Q1235" i="2"/>
  <c r="L1236" i="2"/>
  <c r="N1236" i="2"/>
  <c r="O1236" i="2"/>
  <c r="P1236" i="2"/>
  <c r="Q1236" i="2"/>
  <c r="L1237" i="2"/>
  <c r="N1237" i="2"/>
  <c r="O1237" i="2"/>
  <c r="P1237" i="2"/>
  <c r="Q1237" i="2"/>
  <c r="L1225" i="2"/>
  <c r="N1225" i="2"/>
  <c r="O1225" i="2"/>
  <c r="P1225" i="2"/>
  <c r="Q1225" i="2"/>
  <c r="L1223" i="2"/>
  <c r="N1223" i="2"/>
  <c r="O1223" i="2"/>
  <c r="P1223" i="2"/>
  <c r="Q1223" i="2"/>
  <c r="L1221" i="2"/>
  <c r="N1221" i="2"/>
  <c r="O1221" i="2"/>
  <c r="P1221" i="2"/>
  <c r="Q1221" i="2"/>
  <c r="L1218" i="2"/>
  <c r="N1218" i="2"/>
  <c r="O1218" i="2"/>
  <c r="P1218" i="2"/>
  <c r="Q1218" i="2"/>
  <c r="L1216" i="2"/>
  <c r="N1216" i="2"/>
  <c r="O1216" i="2"/>
  <c r="P1216" i="2"/>
  <c r="Q1216" i="2"/>
  <c r="L1213" i="2"/>
  <c r="N1213" i="2"/>
  <c r="O1213" i="2"/>
  <c r="P1213" i="2"/>
  <c r="Q1213" i="2"/>
  <c r="L1210" i="2"/>
  <c r="N1210" i="2"/>
  <c r="O1210" i="2"/>
  <c r="P1210" i="2"/>
  <c r="Q1210" i="2"/>
  <c r="L1208" i="2"/>
  <c r="N1208" i="2"/>
  <c r="O1208" i="2"/>
  <c r="P1208" i="2"/>
  <c r="Q1208" i="2"/>
  <c r="L1206" i="2"/>
  <c r="N1206" i="2"/>
  <c r="O1206" i="2"/>
  <c r="P1206" i="2"/>
  <c r="Q1206" i="2"/>
  <c r="L1201" i="2"/>
  <c r="N1201" i="2"/>
  <c r="O1201" i="2"/>
  <c r="P1201" i="2"/>
  <c r="Q1201" i="2"/>
  <c r="L1198" i="2"/>
  <c r="N1198" i="2"/>
  <c r="O1198" i="2"/>
  <c r="P1198" i="2"/>
  <c r="Q1198" i="2"/>
  <c r="L1196" i="2"/>
  <c r="N1196" i="2"/>
  <c r="O1196" i="2"/>
  <c r="P1196" i="2"/>
  <c r="Q1196" i="2"/>
  <c r="L1192" i="2"/>
  <c r="N1192" i="2"/>
  <c r="O1192" i="2"/>
  <c r="P1192" i="2"/>
  <c r="Q1192" i="2"/>
  <c r="L1193" i="2"/>
  <c r="N1193" i="2"/>
  <c r="O1193" i="2"/>
  <c r="P1193" i="2"/>
  <c r="Q1193" i="2"/>
  <c r="L1190" i="2"/>
  <c r="N1190" i="2"/>
  <c r="O1190" i="2"/>
  <c r="P1190" i="2"/>
  <c r="Q1190" i="2"/>
  <c r="L1184" i="2"/>
  <c r="N1184" i="2"/>
  <c r="O1184" i="2"/>
  <c r="P1184" i="2"/>
  <c r="Q1184" i="2"/>
  <c r="L1182" i="2"/>
  <c r="N1182" i="2"/>
  <c r="O1182" i="2"/>
  <c r="P1182" i="2"/>
  <c r="Q1182" i="2"/>
  <c r="L1178" i="2"/>
  <c r="N1178" i="2"/>
  <c r="O1178" i="2"/>
  <c r="P1178" i="2"/>
  <c r="Q1178" i="2"/>
  <c r="L1175" i="2"/>
  <c r="N1175" i="2"/>
  <c r="O1175" i="2"/>
  <c r="P1175" i="2"/>
  <c r="Q1175" i="2"/>
  <c r="L1173" i="2"/>
  <c r="N1173" i="2"/>
  <c r="O1173" i="2"/>
  <c r="P1173" i="2"/>
  <c r="Q1173" i="2"/>
  <c r="L1169" i="2"/>
  <c r="N1169" i="2"/>
  <c r="O1169" i="2"/>
  <c r="P1169" i="2"/>
  <c r="Q1169" i="2"/>
  <c r="L1162" i="2"/>
  <c r="N1162" i="2"/>
  <c r="O1162" i="2"/>
  <c r="P1162" i="2"/>
  <c r="Q1162" i="2"/>
  <c r="L1154" i="2"/>
  <c r="N1154" i="2"/>
  <c r="O1154" i="2"/>
  <c r="P1154" i="2"/>
  <c r="Q1154" i="2"/>
  <c r="L1155" i="2"/>
  <c r="N1155" i="2"/>
  <c r="O1155" i="2"/>
  <c r="P1155" i="2"/>
  <c r="Q1155" i="2"/>
  <c r="L1156" i="2"/>
  <c r="N1156" i="2"/>
  <c r="O1156" i="2"/>
  <c r="P1156" i="2"/>
  <c r="Q1156" i="2"/>
  <c r="L1157" i="2"/>
  <c r="N1157" i="2"/>
  <c r="O1157" i="2"/>
  <c r="P1157" i="2"/>
  <c r="Q1157" i="2"/>
  <c r="L1158" i="2"/>
  <c r="N1158" i="2"/>
  <c r="O1158" i="2"/>
  <c r="P1158" i="2"/>
  <c r="Q1158" i="2"/>
  <c r="L1159" i="2"/>
  <c r="N1159" i="2"/>
  <c r="O1159" i="2"/>
  <c r="P1159" i="2"/>
  <c r="Q1159" i="2"/>
  <c r="L1149" i="2"/>
  <c r="N1149" i="2"/>
  <c r="O1149" i="2"/>
  <c r="P1149" i="2"/>
  <c r="Q1149" i="2"/>
  <c r="L1150" i="2"/>
  <c r="N1150" i="2"/>
  <c r="O1150" i="2"/>
  <c r="P1150" i="2"/>
  <c r="Q1150" i="2"/>
  <c r="L1151" i="2"/>
  <c r="N1151" i="2"/>
  <c r="O1151" i="2"/>
  <c r="P1151" i="2"/>
  <c r="Q1151" i="2"/>
  <c r="L1140" i="2"/>
  <c r="N1140" i="2"/>
  <c r="O1140" i="2"/>
  <c r="P1140" i="2"/>
  <c r="Q1140" i="2"/>
  <c r="L1141" i="2"/>
  <c r="N1141" i="2"/>
  <c r="O1141" i="2"/>
  <c r="P1141" i="2"/>
  <c r="Q1141" i="2"/>
  <c r="L1142" i="2"/>
  <c r="N1142" i="2"/>
  <c r="O1142" i="2"/>
  <c r="P1142" i="2"/>
  <c r="Q1142" i="2"/>
  <c r="L1137" i="2"/>
  <c r="N1137" i="2"/>
  <c r="O1137" i="2"/>
  <c r="P1137" i="2"/>
  <c r="Q1137" i="2"/>
  <c r="L1135" i="2"/>
  <c r="N1135" i="2"/>
  <c r="O1135" i="2"/>
  <c r="P1135" i="2"/>
  <c r="Q1135" i="2"/>
  <c r="L1133" i="2"/>
  <c r="N1133" i="2"/>
  <c r="O1133" i="2"/>
  <c r="P1133" i="2"/>
  <c r="Q1133" i="2"/>
  <c r="L1128" i="2"/>
  <c r="N1128" i="2"/>
  <c r="O1128" i="2"/>
  <c r="P1128" i="2"/>
  <c r="Q1128" i="2"/>
  <c r="L1125" i="2"/>
  <c r="N1125" i="2"/>
  <c r="O1125" i="2"/>
  <c r="P1125" i="2"/>
  <c r="Q1125" i="2"/>
  <c r="L1122" i="2"/>
  <c r="N1122" i="2"/>
  <c r="O1122" i="2"/>
  <c r="P1122" i="2"/>
  <c r="Q1122" i="2"/>
  <c r="L1120" i="2"/>
  <c r="N1120" i="2"/>
  <c r="O1120" i="2"/>
  <c r="P1120" i="2"/>
  <c r="Q1120" i="2"/>
  <c r="L1116" i="2"/>
  <c r="N1116" i="2"/>
  <c r="O1116" i="2"/>
  <c r="P1116" i="2"/>
  <c r="Q1116" i="2"/>
  <c r="L1117" i="2"/>
  <c r="N1117" i="2"/>
  <c r="O1117" i="2"/>
  <c r="P1117" i="2"/>
  <c r="Q1117" i="2"/>
  <c r="L1118" i="2"/>
  <c r="N1118" i="2"/>
  <c r="O1118" i="2"/>
  <c r="P1118" i="2"/>
  <c r="Q1118" i="2"/>
  <c r="L1111" i="2"/>
  <c r="N1111" i="2"/>
  <c r="O1111" i="2"/>
  <c r="P1111" i="2"/>
  <c r="Q1111" i="2"/>
  <c r="L1112" i="2"/>
  <c r="N1112" i="2"/>
  <c r="O1112" i="2"/>
  <c r="P1112" i="2"/>
  <c r="Q1112" i="2"/>
  <c r="L1113" i="2"/>
  <c r="N1113" i="2"/>
  <c r="O1113" i="2"/>
  <c r="P1113" i="2"/>
  <c r="Q1113" i="2"/>
  <c r="L1114" i="2"/>
  <c r="N1114" i="2"/>
  <c r="O1114" i="2"/>
  <c r="P1114" i="2"/>
  <c r="Q1114" i="2"/>
  <c r="L1105" i="2"/>
  <c r="N1105" i="2"/>
  <c r="O1105" i="2"/>
  <c r="P1105" i="2"/>
  <c r="Q1105" i="2"/>
  <c r="L1106" i="2"/>
  <c r="N1106" i="2"/>
  <c r="O1106" i="2"/>
  <c r="P1106" i="2"/>
  <c r="Q1106" i="2"/>
  <c r="L1100" i="2"/>
  <c r="N1100" i="2"/>
  <c r="O1100" i="2"/>
  <c r="P1100" i="2"/>
  <c r="Q1100" i="2"/>
  <c r="L1101" i="2"/>
  <c r="N1101" i="2"/>
  <c r="O1101" i="2"/>
  <c r="P1101" i="2"/>
  <c r="Q1101" i="2"/>
  <c r="L1097" i="2"/>
  <c r="N1097" i="2"/>
  <c r="O1097" i="2"/>
  <c r="P1097" i="2"/>
  <c r="Q1097" i="2"/>
  <c r="L1095" i="2"/>
  <c r="N1095" i="2"/>
  <c r="O1095" i="2"/>
  <c r="P1095" i="2"/>
  <c r="Q1095" i="2"/>
  <c r="L1091" i="2"/>
  <c r="N1091" i="2"/>
  <c r="O1091" i="2"/>
  <c r="P1091" i="2"/>
  <c r="Q1091" i="2"/>
  <c r="L1092" i="2"/>
  <c r="N1092" i="2"/>
  <c r="O1092" i="2"/>
  <c r="P1092" i="2"/>
  <c r="Q1092" i="2"/>
  <c r="L1085" i="2"/>
  <c r="N1085" i="2"/>
  <c r="O1085" i="2"/>
  <c r="P1085" i="2"/>
  <c r="Q1085" i="2"/>
  <c r="L1082" i="2"/>
  <c r="N1082" i="2"/>
  <c r="O1082" i="2"/>
  <c r="P1082" i="2"/>
  <c r="Q1082" i="2"/>
  <c r="L1079" i="2"/>
  <c r="N1079" i="2"/>
  <c r="O1079" i="2"/>
  <c r="P1079" i="2"/>
  <c r="Q1079" i="2"/>
  <c r="L1074" i="2"/>
  <c r="N1074" i="2"/>
  <c r="O1074" i="2"/>
  <c r="P1074" i="2"/>
  <c r="Q1074" i="2"/>
  <c r="L1075" i="2"/>
  <c r="N1075" i="2"/>
  <c r="O1075" i="2"/>
  <c r="P1075" i="2"/>
  <c r="Q1075" i="2"/>
  <c r="L1065" i="2"/>
  <c r="N1065" i="2"/>
  <c r="O1065" i="2"/>
  <c r="P1065" i="2"/>
  <c r="Q1065" i="2"/>
  <c r="L1062" i="2"/>
  <c r="N1062" i="2"/>
  <c r="O1062" i="2"/>
  <c r="P1062" i="2"/>
  <c r="Q1062" i="2"/>
  <c r="L1056" i="2"/>
  <c r="N1056" i="2"/>
  <c r="O1056" i="2"/>
  <c r="P1056" i="2"/>
  <c r="Q1056" i="2"/>
  <c r="L1057" i="2"/>
  <c r="N1057" i="2"/>
  <c r="O1057" i="2"/>
  <c r="P1057" i="2"/>
  <c r="Q1057" i="2"/>
  <c r="L1058" i="2"/>
  <c r="N1058" i="2"/>
  <c r="O1058" i="2"/>
  <c r="P1058" i="2"/>
  <c r="Q1058" i="2"/>
  <c r="L1049" i="2"/>
  <c r="N1049" i="2"/>
  <c r="O1049" i="2"/>
  <c r="P1049" i="2"/>
  <c r="Q1049" i="2"/>
  <c r="L1050" i="2"/>
  <c r="N1050" i="2"/>
  <c r="O1050" i="2"/>
  <c r="P1050" i="2"/>
  <c r="Q1050" i="2"/>
  <c r="L1046" i="2"/>
  <c r="N1046" i="2"/>
  <c r="O1046" i="2"/>
  <c r="P1046" i="2"/>
  <c r="Q1046" i="2"/>
  <c r="L1042" i="2"/>
  <c r="N1042" i="2"/>
  <c r="O1042" i="2"/>
  <c r="P1042" i="2"/>
  <c r="Q1042" i="2"/>
  <c r="L1043" i="2"/>
  <c r="N1043" i="2"/>
  <c r="O1043" i="2"/>
  <c r="P1043" i="2"/>
  <c r="Q1043" i="2"/>
  <c r="L1038" i="2"/>
  <c r="N1038" i="2"/>
  <c r="O1038" i="2"/>
  <c r="P1038" i="2"/>
  <c r="Q1038" i="2"/>
  <c r="L1035" i="2"/>
  <c r="N1035" i="2"/>
  <c r="O1035" i="2"/>
  <c r="P1035" i="2"/>
  <c r="Q1035" i="2"/>
  <c r="L1036" i="2"/>
  <c r="N1036" i="2"/>
  <c r="O1036" i="2"/>
  <c r="P1036" i="2"/>
  <c r="Q1036" i="2"/>
  <c r="L1033" i="2"/>
  <c r="N1033" i="2"/>
  <c r="O1033" i="2"/>
  <c r="P1033" i="2"/>
  <c r="Q1033" i="2"/>
  <c r="L1030" i="2"/>
  <c r="N1030" i="2"/>
  <c r="O1030" i="2"/>
  <c r="P1030" i="2"/>
  <c r="Q1030" i="2"/>
  <c r="L1027" i="2"/>
  <c r="N1027" i="2"/>
  <c r="O1027" i="2"/>
  <c r="P1027" i="2"/>
  <c r="Q1027" i="2"/>
  <c r="L1025" i="2"/>
  <c r="N1025" i="2"/>
  <c r="O1025" i="2"/>
  <c r="P1025" i="2"/>
  <c r="Q1025" i="2"/>
  <c r="L1023" i="2"/>
  <c r="N1023" i="2"/>
  <c r="O1023" i="2"/>
  <c r="P1023" i="2"/>
  <c r="Q1023" i="2"/>
  <c r="L1019" i="2"/>
  <c r="N1019" i="2"/>
  <c r="O1019" i="2"/>
  <c r="P1019" i="2"/>
  <c r="Q1019" i="2"/>
  <c r="L1020" i="2"/>
  <c r="N1020" i="2"/>
  <c r="O1020" i="2"/>
  <c r="P1020" i="2"/>
  <c r="Q1020" i="2"/>
  <c r="L1015" i="2"/>
  <c r="N1015" i="2"/>
  <c r="O1015" i="2"/>
  <c r="P1015" i="2"/>
  <c r="Q1015" i="2"/>
  <c r="L1016" i="2"/>
  <c r="N1016" i="2"/>
  <c r="O1016" i="2"/>
  <c r="P1016" i="2"/>
  <c r="Q1016" i="2"/>
  <c r="L1017" i="2"/>
  <c r="N1017" i="2"/>
  <c r="O1017" i="2"/>
  <c r="P1017" i="2"/>
  <c r="Q1017" i="2"/>
  <c r="L1011" i="2"/>
  <c r="N1011" i="2"/>
  <c r="O1011" i="2"/>
  <c r="P1011" i="2"/>
  <c r="Q1011" i="2"/>
  <c r="L1012" i="2"/>
  <c r="N1012" i="2"/>
  <c r="O1012" i="2"/>
  <c r="P1012" i="2"/>
  <c r="Q1012" i="2"/>
  <c r="L1008" i="2"/>
  <c r="N1008" i="2"/>
  <c r="O1008" i="2"/>
  <c r="P1008" i="2"/>
  <c r="Q1008" i="2"/>
  <c r="L1009" i="2"/>
  <c r="N1009" i="2"/>
  <c r="O1009" i="2"/>
  <c r="P1009" i="2"/>
  <c r="Q1009" i="2"/>
  <c r="L1005" i="2"/>
  <c r="N1005" i="2"/>
  <c r="O1005" i="2"/>
  <c r="P1005" i="2"/>
  <c r="Q1005" i="2"/>
  <c r="L1006" i="2"/>
  <c r="N1006" i="2"/>
  <c r="O1006" i="2"/>
  <c r="P1006" i="2"/>
  <c r="Q1006" i="2"/>
  <c r="L1001" i="2"/>
  <c r="N1001" i="2"/>
  <c r="O1001" i="2"/>
  <c r="P1001" i="2"/>
  <c r="Q1001" i="2"/>
  <c r="L1002" i="2"/>
  <c r="N1002" i="2"/>
  <c r="O1002" i="2"/>
  <c r="P1002" i="2"/>
  <c r="Q1002" i="2"/>
  <c r="L997" i="2"/>
  <c r="N997" i="2"/>
  <c r="O997" i="2"/>
  <c r="P997" i="2"/>
  <c r="Q997" i="2"/>
  <c r="L994" i="2"/>
  <c r="N994" i="2"/>
  <c r="O994" i="2"/>
  <c r="P994" i="2"/>
  <c r="Q994" i="2"/>
  <c r="L995" i="2"/>
  <c r="N995" i="2"/>
  <c r="O995" i="2"/>
  <c r="P995" i="2"/>
  <c r="Q995" i="2"/>
  <c r="L991" i="2"/>
  <c r="N991" i="2"/>
  <c r="O991" i="2"/>
  <c r="P991" i="2"/>
  <c r="Q991" i="2"/>
  <c r="L984" i="2"/>
  <c r="N984" i="2"/>
  <c r="O984" i="2"/>
  <c r="P984" i="2"/>
  <c r="Q984" i="2"/>
  <c r="L985" i="2"/>
  <c r="N985" i="2"/>
  <c r="O985" i="2"/>
  <c r="P985" i="2"/>
  <c r="Q985" i="2"/>
  <c r="L981" i="2"/>
  <c r="N981" i="2"/>
  <c r="O981" i="2"/>
  <c r="P981" i="2"/>
  <c r="Q981" i="2"/>
  <c r="L979" i="2"/>
  <c r="N979" i="2"/>
  <c r="O979" i="2"/>
  <c r="P979" i="2"/>
  <c r="Q979" i="2"/>
  <c r="L973" i="2"/>
  <c r="N973" i="2"/>
  <c r="O973" i="2"/>
  <c r="P973" i="2"/>
  <c r="Q973" i="2"/>
  <c r="L974" i="2"/>
  <c r="N974" i="2"/>
  <c r="O974" i="2"/>
  <c r="P974" i="2"/>
  <c r="Q974" i="2"/>
  <c r="L975" i="2"/>
  <c r="N975" i="2"/>
  <c r="O975" i="2"/>
  <c r="P975" i="2"/>
  <c r="Q975" i="2"/>
  <c r="L976" i="2"/>
  <c r="N976" i="2"/>
  <c r="O976" i="2"/>
  <c r="P976" i="2"/>
  <c r="Q976" i="2"/>
  <c r="L966" i="2"/>
  <c r="N966" i="2"/>
  <c r="O966" i="2"/>
  <c r="P966" i="2"/>
  <c r="Q966" i="2"/>
  <c r="L967" i="2"/>
  <c r="N967" i="2"/>
  <c r="O967" i="2"/>
  <c r="P967" i="2"/>
  <c r="Q967" i="2"/>
  <c r="L968" i="2"/>
  <c r="N968" i="2"/>
  <c r="O968" i="2"/>
  <c r="P968" i="2"/>
  <c r="Q968" i="2"/>
  <c r="L958" i="2"/>
  <c r="N958" i="2"/>
  <c r="O958" i="2"/>
  <c r="P958" i="2"/>
  <c r="Q958" i="2"/>
  <c r="L952" i="2"/>
  <c r="N952" i="2"/>
  <c r="O952" i="2"/>
  <c r="P952" i="2"/>
  <c r="Q952" i="2"/>
  <c r="L953" i="2"/>
  <c r="N953" i="2"/>
  <c r="O953" i="2"/>
  <c r="P953" i="2"/>
  <c r="Q953" i="2"/>
  <c r="L954" i="2"/>
  <c r="N954" i="2"/>
  <c r="O954" i="2"/>
  <c r="P954" i="2"/>
  <c r="Q954" i="2"/>
  <c r="L945" i="2"/>
  <c r="N945" i="2"/>
  <c r="O945" i="2"/>
  <c r="P945" i="2"/>
  <c r="Q945" i="2"/>
  <c r="L946" i="2"/>
  <c r="N946" i="2"/>
  <c r="O946" i="2"/>
  <c r="P946" i="2"/>
  <c r="Q946" i="2"/>
  <c r="L939" i="2"/>
  <c r="N939" i="2"/>
  <c r="O939" i="2"/>
  <c r="P939" i="2"/>
  <c r="Q939" i="2"/>
  <c r="L936" i="2"/>
  <c r="N936" i="2"/>
  <c r="O936" i="2"/>
  <c r="P936" i="2"/>
  <c r="Q936" i="2"/>
  <c r="L933" i="2"/>
  <c r="N933" i="2"/>
  <c r="O933" i="2"/>
  <c r="P933" i="2"/>
  <c r="Q933" i="2"/>
  <c r="L929" i="2"/>
  <c r="N929" i="2"/>
  <c r="O929" i="2"/>
  <c r="P929" i="2"/>
  <c r="Q929" i="2"/>
  <c r="L924" i="2"/>
  <c r="N924" i="2"/>
  <c r="O924" i="2"/>
  <c r="P924" i="2"/>
  <c r="Q924" i="2"/>
  <c r="L922" i="2"/>
  <c r="N922" i="2"/>
  <c r="O922" i="2"/>
  <c r="P922" i="2"/>
  <c r="Q922" i="2"/>
  <c r="L920" i="2"/>
  <c r="N920" i="2"/>
  <c r="O920" i="2"/>
  <c r="P920" i="2"/>
  <c r="Q920" i="2"/>
  <c r="L915" i="2"/>
  <c r="N915" i="2"/>
  <c r="O915" i="2"/>
  <c r="P915" i="2"/>
  <c r="Q915" i="2"/>
  <c r="L909" i="2"/>
  <c r="N909" i="2"/>
  <c r="O909" i="2"/>
  <c r="P909" i="2"/>
  <c r="Q909" i="2"/>
  <c r="L910" i="2"/>
  <c r="N910" i="2"/>
  <c r="O910" i="2"/>
  <c r="P910" i="2"/>
  <c r="Q910" i="2"/>
  <c r="L911" i="2"/>
  <c r="N911" i="2"/>
  <c r="O911" i="2"/>
  <c r="P911" i="2"/>
  <c r="Q911" i="2"/>
  <c r="L912" i="2"/>
  <c r="N912" i="2"/>
  <c r="O912" i="2"/>
  <c r="P912" i="2"/>
  <c r="Q912" i="2"/>
  <c r="L906" i="2"/>
  <c r="N906" i="2"/>
  <c r="O906" i="2"/>
  <c r="P906" i="2"/>
  <c r="Q906" i="2"/>
  <c r="L901" i="2"/>
  <c r="N901" i="2"/>
  <c r="O901" i="2"/>
  <c r="P901" i="2"/>
  <c r="Q901" i="2"/>
  <c r="L902" i="2"/>
  <c r="N902" i="2"/>
  <c r="O902" i="2"/>
  <c r="P902" i="2"/>
  <c r="Q902" i="2"/>
  <c r="L897" i="2"/>
  <c r="N897" i="2"/>
  <c r="O897" i="2"/>
  <c r="P897" i="2"/>
  <c r="Q897" i="2"/>
  <c r="L891" i="2"/>
  <c r="N891" i="2"/>
  <c r="O891" i="2"/>
  <c r="P891" i="2"/>
  <c r="Q891" i="2"/>
  <c r="L889" i="2"/>
  <c r="N889" i="2"/>
  <c r="O889" i="2"/>
  <c r="P889" i="2"/>
  <c r="Q889" i="2"/>
  <c r="L886" i="2"/>
  <c r="N886" i="2"/>
  <c r="O886" i="2"/>
  <c r="P886" i="2"/>
  <c r="Q886" i="2"/>
  <c r="L883" i="2"/>
  <c r="N883" i="2"/>
  <c r="O883" i="2"/>
  <c r="P883" i="2"/>
  <c r="Q883" i="2"/>
  <c r="L880" i="2"/>
  <c r="N880" i="2"/>
  <c r="O880" i="2"/>
  <c r="P880" i="2"/>
  <c r="Q880" i="2"/>
  <c r="L881" i="2"/>
  <c r="N881" i="2"/>
  <c r="O881" i="2"/>
  <c r="P881" i="2"/>
  <c r="Q881" i="2"/>
  <c r="L877" i="2"/>
  <c r="N877" i="2"/>
  <c r="O877" i="2"/>
  <c r="P877" i="2"/>
  <c r="Q877" i="2"/>
  <c r="L878" i="2"/>
  <c r="N878" i="2"/>
  <c r="O878" i="2"/>
  <c r="P878" i="2"/>
  <c r="Q878" i="2"/>
  <c r="L872" i="2"/>
  <c r="N872" i="2"/>
  <c r="O872" i="2"/>
  <c r="P872" i="2"/>
  <c r="Q872" i="2"/>
  <c r="L868" i="2"/>
  <c r="N868" i="2"/>
  <c r="O868" i="2"/>
  <c r="P868" i="2"/>
  <c r="Q868" i="2"/>
  <c r="L869" i="2"/>
  <c r="N869" i="2"/>
  <c r="O869" i="2"/>
  <c r="P869" i="2"/>
  <c r="Q869" i="2"/>
  <c r="L864" i="2"/>
  <c r="N864" i="2"/>
  <c r="O864" i="2"/>
  <c r="P864" i="2"/>
  <c r="Q864" i="2"/>
  <c r="L865" i="2"/>
  <c r="N865" i="2"/>
  <c r="O865" i="2"/>
  <c r="P865" i="2"/>
  <c r="Q865" i="2"/>
  <c r="L861" i="2"/>
  <c r="N861" i="2"/>
  <c r="O861" i="2"/>
  <c r="P861" i="2"/>
  <c r="Q861" i="2"/>
  <c r="L862" i="2"/>
  <c r="N862" i="2"/>
  <c r="O862" i="2"/>
  <c r="P862" i="2"/>
  <c r="Q862" i="2"/>
  <c r="L856" i="2"/>
  <c r="N856" i="2"/>
  <c r="O856" i="2"/>
  <c r="P856" i="2"/>
  <c r="Q856" i="2"/>
  <c r="L854" i="2"/>
  <c r="N854" i="2"/>
  <c r="O854" i="2"/>
  <c r="P854" i="2"/>
  <c r="Q854" i="2"/>
  <c r="L851" i="2"/>
  <c r="N851" i="2"/>
  <c r="O851" i="2"/>
  <c r="P851" i="2"/>
  <c r="Q851" i="2"/>
  <c r="L847" i="2"/>
  <c r="N847" i="2"/>
  <c r="O847" i="2"/>
  <c r="P847" i="2"/>
  <c r="Q847" i="2"/>
  <c r="L843" i="2"/>
  <c r="N843" i="2"/>
  <c r="O843" i="2"/>
  <c r="P843" i="2"/>
  <c r="Q843" i="2"/>
  <c r="L841" i="2"/>
  <c r="N841" i="2"/>
  <c r="O841" i="2"/>
  <c r="P841" i="2"/>
  <c r="Q841" i="2"/>
  <c r="L837" i="2"/>
  <c r="N837" i="2"/>
  <c r="O837" i="2"/>
  <c r="P837" i="2"/>
  <c r="Q837" i="2"/>
  <c r="L833" i="2"/>
  <c r="N833" i="2"/>
  <c r="O833" i="2"/>
  <c r="P833" i="2"/>
  <c r="Q833" i="2"/>
  <c r="L834" i="2"/>
  <c r="N834" i="2"/>
  <c r="O834" i="2"/>
  <c r="P834" i="2"/>
  <c r="Q834" i="2"/>
  <c r="L831" i="2"/>
  <c r="N831" i="2"/>
  <c r="O831" i="2"/>
  <c r="P831" i="2"/>
  <c r="Q831" i="2"/>
  <c r="L826" i="2"/>
  <c r="N826" i="2"/>
  <c r="O826" i="2"/>
  <c r="P826" i="2"/>
  <c r="Q826" i="2"/>
  <c r="L827" i="2"/>
  <c r="N827" i="2"/>
  <c r="O827" i="2"/>
  <c r="P827" i="2"/>
  <c r="Q827" i="2"/>
  <c r="L828" i="2"/>
  <c r="N828" i="2"/>
  <c r="O828" i="2"/>
  <c r="P828" i="2"/>
  <c r="Q828" i="2"/>
  <c r="L829" i="2"/>
  <c r="N829" i="2"/>
  <c r="O829" i="2"/>
  <c r="P829" i="2"/>
  <c r="Q829" i="2"/>
  <c r="L823" i="2"/>
  <c r="N823" i="2"/>
  <c r="O823" i="2"/>
  <c r="P823" i="2"/>
  <c r="Q823" i="2"/>
  <c r="L818" i="2"/>
  <c r="N818" i="2"/>
  <c r="O818" i="2"/>
  <c r="P818" i="2"/>
  <c r="Q818" i="2"/>
  <c r="L819" i="2"/>
  <c r="N819" i="2"/>
  <c r="O819" i="2"/>
  <c r="P819" i="2"/>
  <c r="Q819" i="2"/>
  <c r="L815" i="2"/>
  <c r="N815" i="2"/>
  <c r="O815" i="2"/>
  <c r="P815" i="2"/>
  <c r="Q815" i="2"/>
  <c r="L809" i="2"/>
  <c r="N809" i="2"/>
  <c r="O809" i="2"/>
  <c r="P809" i="2"/>
  <c r="Q809" i="2"/>
  <c r="L810" i="2"/>
  <c r="N810" i="2"/>
  <c r="O810" i="2"/>
  <c r="P810" i="2"/>
  <c r="Q810" i="2"/>
  <c r="L811" i="2"/>
  <c r="N811" i="2"/>
  <c r="O811" i="2"/>
  <c r="P811" i="2"/>
  <c r="Q811" i="2"/>
  <c r="L799" i="2"/>
  <c r="N799" i="2"/>
  <c r="O799" i="2"/>
  <c r="P799" i="2"/>
  <c r="Q799" i="2"/>
  <c r="L800" i="2"/>
  <c r="N800" i="2"/>
  <c r="O800" i="2"/>
  <c r="P800" i="2"/>
  <c r="Q800" i="2"/>
  <c r="L795" i="2"/>
  <c r="N795" i="2"/>
  <c r="O795" i="2"/>
  <c r="P795" i="2"/>
  <c r="Q795" i="2"/>
  <c r="L792" i="2"/>
  <c r="N792" i="2"/>
  <c r="O792" i="2"/>
  <c r="P792" i="2"/>
  <c r="Q792" i="2"/>
  <c r="L787" i="2"/>
  <c r="N787" i="2"/>
  <c r="O787" i="2"/>
  <c r="P787" i="2"/>
  <c r="Q787" i="2"/>
  <c r="L788" i="2"/>
  <c r="N788" i="2"/>
  <c r="O788" i="2"/>
  <c r="P788" i="2"/>
  <c r="Q788" i="2"/>
  <c r="L785" i="2"/>
  <c r="N785" i="2"/>
  <c r="O785" i="2"/>
  <c r="P785" i="2"/>
  <c r="Q785" i="2"/>
  <c r="L782" i="2"/>
  <c r="N782" i="2"/>
  <c r="O782" i="2"/>
  <c r="P782" i="2"/>
  <c r="Q782" i="2"/>
  <c r="L778" i="2"/>
  <c r="N778" i="2"/>
  <c r="O778" i="2"/>
  <c r="P778" i="2"/>
  <c r="Q778" i="2"/>
  <c r="L769" i="2"/>
  <c r="N769" i="2"/>
  <c r="O769" i="2"/>
  <c r="P769" i="2"/>
  <c r="Q769" i="2"/>
  <c r="L770" i="2"/>
  <c r="N770" i="2"/>
  <c r="O770" i="2"/>
  <c r="P770" i="2"/>
  <c r="Q770" i="2"/>
  <c r="L765" i="2"/>
  <c r="N765" i="2"/>
  <c r="O765" i="2"/>
  <c r="P765" i="2"/>
  <c r="Q765" i="2"/>
  <c r="L766" i="2"/>
  <c r="N766" i="2"/>
  <c r="O766" i="2"/>
  <c r="P766" i="2"/>
  <c r="Q766" i="2"/>
  <c r="L767" i="2"/>
  <c r="N767" i="2"/>
  <c r="O767" i="2"/>
  <c r="P767" i="2"/>
  <c r="Q767" i="2"/>
  <c r="L761" i="2"/>
  <c r="N761" i="2"/>
  <c r="O761" i="2"/>
  <c r="P761" i="2"/>
  <c r="Q761" i="2"/>
  <c r="L762" i="2"/>
  <c r="N762" i="2"/>
  <c r="O762" i="2"/>
  <c r="P762" i="2"/>
  <c r="Q762" i="2"/>
  <c r="L759" i="2"/>
  <c r="N759" i="2"/>
  <c r="O759" i="2"/>
  <c r="P759" i="2"/>
  <c r="Q759" i="2"/>
  <c r="L756" i="2"/>
  <c r="N756" i="2"/>
  <c r="O756" i="2"/>
  <c r="P756" i="2"/>
  <c r="Q756" i="2"/>
  <c r="L751" i="2"/>
  <c r="N751" i="2"/>
  <c r="O751" i="2"/>
  <c r="P751" i="2"/>
  <c r="Q751" i="2"/>
  <c r="L752" i="2"/>
  <c r="N752" i="2"/>
  <c r="O752" i="2"/>
  <c r="P752" i="2"/>
  <c r="Q752" i="2"/>
  <c r="L753" i="2"/>
  <c r="N753" i="2"/>
  <c r="O753" i="2"/>
  <c r="P753" i="2"/>
  <c r="Q753" i="2"/>
  <c r="L754" i="2"/>
  <c r="N754" i="2"/>
  <c r="O754" i="2"/>
  <c r="P754" i="2"/>
  <c r="Q754" i="2"/>
  <c r="L743" i="2"/>
  <c r="N743" i="2"/>
  <c r="O743" i="2"/>
  <c r="P743" i="2"/>
  <c r="Q743" i="2"/>
  <c r="L744" i="2"/>
  <c r="N744" i="2"/>
  <c r="O744" i="2"/>
  <c r="P744" i="2"/>
  <c r="Q744" i="2"/>
  <c r="L745" i="2"/>
  <c r="N745" i="2"/>
  <c r="O745" i="2"/>
  <c r="P745" i="2"/>
  <c r="Q745" i="2"/>
  <c r="L746" i="2"/>
  <c r="N746" i="2"/>
  <c r="O746" i="2"/>
  <c r="P746" i="2"/>
  <c r="Q746" i="2"/>
  <c r="L747" i="2"/>
  <c r="N747" i="2"/>
  <c r="O747" i="2"/>
  <c r="P747" i="2"/>
  <c r="Q747" i="2"/>
  <c r="L748" i="2"/>
  <c r="N748" i="2"/>
  <c r="O748" i="2"/>
  <c r="P748" i="2"/>
  <c r="Q748" i="2"/>
  <c r="L740" i="2"/>
  <c r="N740" i="2"/>
  <c r="O740" i="2"/>
  <c r="P740" i="2"/>
  <c r="Q740" i="2"/>
  <c r="L741" i="2"/>
  <c r="N741" i="2"/>
  <c r="O741" i="2"/>
  <c r="P741" i="2"/>
  <c r="Q741" i="2"/>
  <c r="L737" i="2"/>
  <c r="N737" i="2"/>
  <c r="O737" i="2"/>
  <c r="P737" i="2"/>
  <c r="Q737" i="2"/>
  <c r="L730" i="2"/>
  <c r="N730" i="2"/>
  <c r="O730" i="2"/>
  <c r="P730" i="2"/>
  <c r="Q730" i="2"/>
  <c r="L731" i="2"/>
  <c r="N731" i="2"/>
  <c r="O731" i="2"/>
  <c r="P731" i="2"/>
  <c r="Q731" i="2"/>
  <c r="L727" i="2"/>
  <c r="N727" i="2"/>
  <c r="O727" i="2"/>
  <c r="P727" i="2"/>
  <c r="Q727" i="2"/>
  <c r="L728" i="2"/>
  <c r="N728" i="2"/>
  <c r="O728" i="2"/>
  <c r="P728" i="2"/>
  <c r="Q728" i="2"/>
  <c r="L723" i="2"/>
  <c r="N723" i="2"/>
  <c r="O723" i="2"/>
  <c r="P723" i="2"/>
  <c r="Q723" i="2"/>
  <c r="L719" i="2"/>
  <c r="N719" i="2"/>
  <c r="O719" i="2"/>
  <c r="P719" i="2"/>
  <c r="Q719" i="2"/>
  <c r="L716" i="2"/>
  <c r="N716" i="2"/>
  <c r="O716" i="2"/>
  <c r="P716" i="2"/>
  <c r="Q716" i="2"/>
  <c r="L709" i="2"/>
  <c r="N709" i="2"/>
  <c r="O709" i="2"/>
  <c r="P709" i="2"/>
  <c r="Q709" i="2"/>
  <c r="L710" i="2"/>
  <c r="N710" i="2"/>
  <c r="O710" i="2"/>
  <c r="P710" i="2"/>
  <c r="Q710" i="2"/>
  <c r="L711" i="2"/>
  <c r="N711" i="2"/>
  <c r="O711" i="2"/>
  <c r="P711" i="2"/>
  <c r="Q711" i="2"/>
  <c r="L712" i="2"/>
  <c r="N712" i="2"/>
  <c r="O712" i="2"/>
  <c r="P712" i="2"/>
  <c r="Q712" i="2"/>
  <c r="L713" i="2"/>
  <c r="N713" i="2"/>
  <c r="O713" i="2"/>
  <c r="P713" i="2"/>
  <c r="Q713" i="2"/>
  <c r="L706" i="2"/>
  <c r="N706" i="2"/>
  <c r="O706" i="2"/>
  <c r="P706" i="2"/>
  <c r="Q706" i="2"/>
  <c r="L701" i="2"/>
  <c r="N701" i="2"/>
  <c r="O701" i="2"/>
  <c r="P701" i="2"/>
  <c r="Q701" i="2"/>
  <c r="L695" i="2"/>
  <c r="N695" i="2"/>
  <c r="O695" i="2"/>
  <c r="P695" i="2"/>
  <c r="Q695" i="2"/>
  <c r="L696" i="2"/>
  <c r="N696" i="2"/>
  <c r="O696" i="2"/>
  <c r="P696" i="2"/>
  <c r="Q696" i="2"/>
  <c r="L687" i="2"/>
  <c r="N687" i="2"/>
  <c r="O687" i="2"/>
  <c r="P687" i="2"/>
  <c r="Q687" i="2"/>
  <c r="L688" i="2"/>
  <c r="N688" i="2"/>
  <c r="O688" i="2"/>
  <c r="P688" i="2"/>
  <c r="Q688" i="2"/>
  <c r="L689" i="2"/>
  <c r="N689" i="2"/>
  <c r="O689" i="2"/>
  <c r="P689" i="2"/>
  <c r="Q689" i="2"/>
  <c r="L683" i="2"/>
  <c r="N683" i="2"/>
  <c r="O683" i="2"/>
  <c r="P683" i="2"/>
  <c r="Q683" i="2"/>
  <c r="L679" i="2"/>
  <c r="N679" i="2"/>
  <c r="O679" i="2"/>
  <c r="P679" i="2"/>
  <c r="Q679" i="2"/>
  <c r="L680" i="2"/>
  <c r="N680" i="2"/>
  <c r="O680" i="2"/>
  <c r="P680" i="2"/>
  <c r="Q680" i="2"/>
  <c r="L674" i="2"/>
  <c r="N674" i="2"/>
  <c r="O674" i="2"/>
  <c r="P674" i="2"/>
  <c r="Q674" i="2"/>
  <c r="L675" i="2"/>
  <c r="N675" i="2"/>
  <c r="O675" i="2"/>
  <c r="P675" i="2"/>
  <c r="Q675" i="2"/>
  <c r="L676" i="2"/>
  <c r="N676" i="2"/>
  <c r="O676" i="2"/>
  <c r="P676" i="2"/>
  <c r="Q676" i="2"/>
  <c r="L671" i="2"/>
  <c r="N671" i="2"/>
  <c r="O671" i="2"/>
  <c r="P671" i="2"/>
  <c r="Q671" i="2"/>
  <c r="L669" i="2"/>
  <c r="N669" i="2"/>
  <c r="O669" i="2"/>
  <c r="P669" i="2"/>
  <c r="Q669" i="2"/>
  <c r="L661" i="2"/>
  <c r="N661" i="2"/>
  <c r="O661" i="2"/>
  <c r="P661" i="2"/>
  <c r="Q661" i="2"/>
  <c r="L662" i="2"/>
  <c r="N662" i="2"/>
  <c r="O662" i="2"/>
  <c r="P662" i="2"/>
  <c r="Q662" i="2"/>
  <c r="L659" i="2"/>
  <c r="N659" i="2"/>
  <c r="O659" i="2"/>
  <c r="P659" i="2"/>
  <c r="Q659" i="2"/>
  <c r="L657" i="2"/>
  <c r="N657" i="2"/>
  <c r="O657" i="2"/>
  <c r="P657" i="2"/>
  <c r="Q657" i="2"/>
  <c r="L651" i="2"/>
  <c r="N651" i="2"/>
  <c r="O651" i="2"/>
  <c r="P651" i="2"/>
  <c r="Q651" i="2"/>
  <c r="L652" i="2"/>
  <c r="N652" i="2"/>
  <c r="O652" i="2"/>
  <c r="P652" i="2"/>
  <c r="Q652" i="2"/>
  <c r="L653" i="2"/>
  <c r="N653" i="2"/>
  <c r="O653" i="2"/>
  <c r="P653" i="2"/>
  <c r="Q653" i="2"/>
  <c r="L649" i="2"/>
  <c r="N649" i="2"/>
  <c r="O649" i="2"/>
  <c r="P649" i="2"/>
  <c r="Q649" i="2"/>
  <c r="L645" i="2"/>
  <c r="N645" i="2"/>
  <c r="O645" i="2"/>
  <c r="P645" i="2"/>
  <c r="Q645" i="2"/>
  <c r="L639" i="2"/>
  <c r="N639" i="2"/>
  <c r="O639" i="2"/>
  <c r="P639" i="2"/>
  <c r="Q639" i="2"/>
  <c r="L640" i="2"/>
  <c r="N640" i="2"/>
  <c r="O640" i="2"/>
  <c r="P640" i="2"/>
  <c r="Q640" i="2"/>
  <c r="L641" i="2"/>
  <c r="N641" i="2"/>
  <c r="O641" i="2"/>
  <c r="P641" i="2"/>
  <c r="Q641" i="2"/>
  <c r="L642" i="2"/>
  <c r="N642" i="2"/>
  <c r="O642" i="2"/>
  <c r="P642" i="2"/>
  <c r="Q642" i="2"/>
  <c r="L635" i="2"/>
  <c r="N635" i="2"/>
  <c r="O635" i="2"/>
  <c r="P635" i="2"/>
  <c r="Q635" i="2"/>
  <c r="L632" i="2"/>
  <c r="N632" i="2"/>
  <c r="O632" i="2"/>
  <c r="P632" i="2"/>
  <c r="Q632" i="2"/>
  <c r="L626" i="2"/>
  <c r="N626" i="2"/>
  <c r="O626" i="2"/>
  <c r="P626" i="2"/>
  <c r="Q626" i="2"/>
  <c r="L627" i="2"/>
  <c r="N627" i="2"/>
  <c r="O627" i="2"/>
  <c r="P627" i="2"/>
  <c r="Q627" i="2"/>
  <c r="L621" i="2"/>
  <c r="N621" i="2"/>
  <c r="O621" i="2"/>
  <c r="P621" i="2"/>
  <c r="Q621" i="2"/>
  <c r="L618" i="2"/>
  <c r="N618" i="2"/>
  <c r="O618" i="2"/>
  <c r="P618" i="2"/>
  <c r="Q618" i="2"/>
  <c r="L614" i="2"/>
  <c r="N614" i="2"/>
  <c r="O614" i="2"/>
  <c r="P614" i="2"/>
  <c r="Q614" i="2"/>
  <c r="L612" i="2"/>
  <c r="N612" i="2"/>
  <c r="O612" i="2"/>
  <c r="P612" i="2"/>
  <c r="Q612" i="2"/>
  <c r="L610" i="2"/>
  <c r="N610" i="2"/>
  <c r="O610" i="2"/>
  <c r="P610" i="2"/>
  <c r="Q610" i="2"/>
  <c r="L608" i="2"/>
  <c r="N608" i="2"/>
  <c r="O608" i="2"/>
  <c r="P608" i="2"/>
  <c r="Q608" i="2"/>
  <c r="L604" i="2"/>
  <c r="N604" i="2"/>
  <c r="O604" i="2"/>
  <c r="P604" i="2"/>
  <c r="Q604" i="2"/>
  <c r="L605" i="2"/>
  <c r="N605" i="2"/>
  <c r="O605" i="2"/>
  <c r="P605" i="2"/>
  <c r="Q605" i="2"/>
  <c r="L601" i="2"/>
  <c r="N601" i="2"/>
  <c r="O601" i="2"/>
  <c r="P601" i="2"/>
  <c r="Q601" i="2"/>
  <c r="L599" i="2"/>
  <c r="N599" i="2"/>
  <c r="O599" i="2"/>
  <c r="P599" i="2"/>
  <c r="Q599" i="2"/>
  <c r="L591" i="2"/>
  <c r="N591" i="2"/>
  <c r="O591" i="2"/>
  <c r="P591" i="2"/>
  <c r="Q591" i="2"/>
  <c r="L592" i="2"/>
  <c r="N592" i="2"/>
  <c r="O592" i="2"/>
  <c r="P592" i="2"/>
  <c r="Q592" i="2"/>
  <c r="L589" i="2"/>
  <c r="N589" i="2"/>
  <c r="O589" i="2"/>
  <c r="P589" i="2"/>
  <c r="Q589" i="2"/>
  <c r="L585" i="2"/>
  <c r="N585" i="2"/>
  <c r="O585" i="2"/>
  <c r="P585" i="2"/>
  <c r="Q585" i="2"/>
  <c r="L579" i="2"/>
  <c r="N579" i="2"/>
  <c r="O579" i="2"/>
  <c r="P579" i="2"/>
  <c r="Q579" i="2"/>
  <c r="L580" i="2"/>
  <c r="N580" i="2"/>
  <c r="O580" i="2"/>
  <c r="P580" i="2"/>
  <c r="Q580" i="2"/>
  <c r="L572" i="2"/>
  <c r="N572" i="2"/>
  <c r="O572" i="2"/>
  <c r="P572" i="2"/>
  <c r="Q572" i="2"/>
  <c r="L573" i="2"/>
  <c r="N573" i="2"/>
  <c r="O573" i="2"/>
  <c r="P573" i="2"/>
  <c r="Q573" i="2"/>
  <c r="L574" i="2"/>
  <c r="N574" i="2"/>
  <c r="O574" i="2"/>
  <c r="P574" i="2"/>
  <c r="Q574" i="2"/>
  <c r="L575" i="2"/>
  <c r="N575" i="2"/>
  <c r="O575" i="2"/>
  <c r="P575" i="2"/>
  <c r="Q575" i="2"/>
  <c r="L576" i="2"/>
  <c r="N576" i="2"/>
  <c r="O576" i="2"/>
  <c r="P576" i="2"/>
  <c r="Q576" i="2"/>
  <c r="L568" i="2"/>
  <c r="N568" i="2"/>
  <c r="O568" i="2"/>
  <c r="P568" i="2"/>
  <c r="Q568" i="2"/>
  <c r="L569" i="2"/>
  <c r="N569" i="2"/>
  <c r="O569" i="2"/>
  <c r="P569" i="2"/>
  <c r="Q569" i="2"/>
  <c r="L563" i="2"/>
  <c r="N563" i="2"/>
  <c r="O563" i="2"/>
  <c r="P563" i="2"/>
  <c r="Q563" i="2"/>
  <c r="L564" i="2"/>
  <c r="N564" i="2"/>
  <c r="O564" i="2"/>
  <c r="P564" i="2"/>
  <c r="Q564" i="2"/>
  <c r="L561" i="2"/>
  <c r="N561" i="2"/>
  <c r="O561" i="2"/>
  <c r="P561" i="2"/>
  <c r="Q561" i="2"/>
  <c r="L559" i="2"/>
  <c r="N559" i="2"/>
  <c r="O559" i="2"/>
  <c r="P559" i="2"/>
  <c r="Q559" i="2"/>
  <c r="L557" i="2"/>
  <c r="N557" i="2"/>
  <c r="O557" i="2"/>
  <c r="P557" i="2"/>
  <c r="Q557" i="2"/>
  <c r="L554" i="2"/>
  <c r="N554" i="2"/>
  <c r="O554" i="2"/>
  <c r="P554" i="2"/>
  <c r="Q554" i="2"/>
  <c r="L549" i="2"/>
  <c r="N549" i="2"/>
  <c r="O549" i="2"/>
  <c r="P549" i="2"/>
  <c r="Q549" i="2"/>
  <c r="L540" i="2"/>
  <c r="N540" i="2"/>
  <c r="O540" i="2"/>
  <c r="P540" i="2"/>
  <c r="Q540" i="2"/>
  <c r="L537" i="2"/>
  <c r="N537" i="2"/>
  <c r="O537" i="2"/>
  <c r="P537" i="2"/>
  <c r="Q537" i="2"/>
  <c r="L533" i="2"/>
  <c r="N533" i="2"/>
  <c r="O533" i="2"/>
  <c r="P533" i="2"/>
  <c r="Q533" i="2"/>
  <c r="L534" i="2"/>
  <c r="N534" i="2"/>
  <c r="O534" i="2"/>
  <c r="P534" i="2"/>
  <c r="Q534" i="2"/>
  <c r="L535" i="2"/>
  <c r="N535" i="2"/>
  <c r="O535" i="2"/>
  <c r="P535" i="2"/>
  <c r="Q535" i="2"/>
  <c r="L529" i="2"/>
  <c r="N529" i="2"/>
  <c r="O529" i="2"/>
  <c r="P529" i="2"/>
  <c r="Q529" i="2"/>
  <c r="L530" i="2"/>
  <c r="N530" i="2"/>
  <c r="O530" i="2"/>
  <c r="P530" i="2"/>
  <c r="Q530" i="2"/>
  <c r="L525" i="2"/>
  <c r="N525" i="2"/>
  <c r="O525" i="2"/>
  <c r="P525" i="2"/>
  <c r="Q525" i="2"/>
  <c r="L526" i="2"/>
  <c r="N526" i="2"/>
  <c r="O526" i="2"/>
  <c r="P526" i="2"/>
  <c r="Q526" i="2"/>
  <c r="L527" i="2"/>
  <c r="N527" i="2"/>
  <c r="O527" i="2"/>
  <c r="P527" i="2"/>
  <c r="Q527" i="2"/>
  <c r="L523" i="2"/>
  <c r="N523" i="2"/>
  <c r="O523" i="2"/>
  <c r="P523" i="2"/>
  <c r="Q523" i="2"/>
  <c r="L519" i="2"/>
  <c r="N519" i="2"/>
  <c r="O519" i="2"/>
  <c r="P519" i="2"/>
  <c r="Q519" i="2"/>
  <c r="L517" i="2"/>
  <c r="N517" i="2"/>
  <c r="O517" i="2"/>
  <c r="P517" i="2"/>
  <c r="Q517" i="2"/>
  <c r="L515" i="2"/>
  <c r="N515" i="2"/>
  <c r="O515" i="2"/>
  <c r="P515" i="2"/>
  <c r="Q515" i="2"/>
  <c r="L508" i="2"/>
  <c r="N508" i="2"/>
  <c r="O508" i="2"/>
  <c r="P508" i="2"/>
  <c r="Q508" i="2"/>
  <c r="L509" i="2"/>
  <c r="N509" i="2"/>
  <c r="O509" i="2"/>
  <c r="P509" i="2"/>
  <c r="Q509" i="2"/>
  <c r="L510" i="2"/>
  <c r="N510" i="2"/>
  <c r="O510" i="2"/>
  <c r="P510" i="2"/>
  <c r="Q510" i="2"/>
  <c r="L505" i="2"/>
  <c r="N505" i="2"/>
  <c r="O505" i="2"/>
  <c r="P505" i="2"/>
  <c r="Q505" i="2"/>
  <c r="L497" i="2"/>
  <c r="N497" i="2"/>
  <c r="O497" i="2"/>
  <c r="P497" i="2"/>
  <c r="Q497" i="2"/>
  <c r="L498" i="2"/>
  <c r="N498" i="2"/>
  <c r="O498" i="2"/>
  <c r="P498" i="2"/>
  <c r="Q498" i="2"/>
  <c r="L499" i="2"/>
  <c r="N499" i="2"/>
  <c r="O499" i="2"/>
  <c r="P499" i="2"/>
  <c r="Q499" i="2"/>
  <c r="L500" i="2"/>
  <c r="N500" i="2"/>
  <c r="O500" i="2"/>
  <c r="P500" i="2"/>
  <c r="Q500" i="2"/>
  <c r="L488" i="2"/>
  <c r="N488" i="2"/>
  <c r="O488" i="2"/>
  <c r="P488" i="2"/>
  <c r="Q488" i="2"/>
  <c r="L489" i="2"/>
  <c r="N489" i="2"/>
  <c r="O489" i="2"/>
  <c r="P489" i="2"/>
  <c r="Q489" i="2"/>
  <c r="L490" i="2"/>
  <c r="N490" i="2"/>
  <c r="O490" i="2"/>
  <c r="P490" i="2"/>
  <c r="Q490" i="2"/>
  <c r="L491" i="2"/>
  <c r="N491" i="2"/>
  <c r="O491" i="2"/>
  <c r="P491" i="2"/>
  <c r="Q491" i="2"/>
  <c r="L492" i="2"/>
  <c r="N492" i="2"/>
  <c r="O492" i="2"/>
  <c r="P492" i="2"/>
  <c r="Q492" i="2"/>
  <c r="L493" i="2"/>
  <c r="N493" i="2"/>
  <c r="O493" i="2"/>
  <c r="P493" i="2"/>
  <c r="Q493" i="2"/>
  <c r="L483" i="2"/>
  <c r="N483" i="2"/>
  <c r="O483" i="2"/>
  <c r="P483" i="2"/>
  <c r="Q483" i="2"/>
  <c r="L484" i="2"/>
  <c r="N484" i="2"/>
  <c r="O484" i="2"/>
  <c r="P484" i="2"/>
  <c r="Q484" i="2"/>
  <c r="L481" i="2"/>
  <c r="N481" i="2"/>
  <c r="O481" i="2"/>
  <c r="P481" i="2"/>
  <c r="Q481" i="2"/>
  <c r="L479" i="2"/>
  <c r="N479" i="2"/>
  <c r="O479" i="2"/>
  <c r="P479" i="2"/>
  <c r="Q479" i="2"/>
  <c r="L474" i="2"/>
  <c r="N474" i="2"/>
  <c r="O474" i="2"/>
  <c r="P474" i="2"/>
  <c r="Q474" i="2"/>
  <c r="L475" i="2"/>
  <c r="N475" i="2"/>
  <c r="O475" i="2"/>
  <c r="P475" i="2"/>
  <c r="Q475" i="2"/>
  <c r="L472" i="2"/>
  <c r="N472" i="2"/>
  <c r="O472" i="2"/>
  <c r="P472" i="2"/>
  <c r="Q472" i="2"/>
  <c r="L468" i="2"/>
  <c r="N468" i="2"/>
  <c r="O468" i="2"/>
  <c r="P468" i="2"/>
  <c r="Q468" i="2"/>
  <c r="L463" i="2"/>
  <c r="N463" i="2"/>
  <c r="O463" i="2"/>
  <c r="P463" i="2"/>
  <c r="Q463" i="2"/>
  <c r="L464" i="2"/>
  <c r="N464" i="2"/>
  <c r="O464" i="2"/>
  <c r="P464" i="2"/>
  <c r="Q464" i="2"/>
  <c r="L465" i="2"/>
  <c r="N465" i="2"/>
  <c r="O465" i="2"/>
  <c r="P465" i="2"/>
  <c r="Q465" i="2"/>
  <c r="L459" i="2"/>
  <c r="N459" i="2"/>
  <c r="O459" i="2"/>
  <c r="P459" i="2"/>
  <c r="Q459" i="2"/>
  <c r="L460" i="2"/>
  <c r="N460" i="2"/>
  <c r="O460" i="2"/>
  <c r="P460" i="2"/>
  <c r="Q460" i="2"/>
  <c r="L457" i="2"/>
  <c r="N457" i="2"/>
  <c r="O457" i="2"/>
  <c r="P457" i="2"/>
  <c r="Q457" i="2"/>
  <c r="L454" i="2"/>
  <c r="N454" i="2"/>
  <c r="O454" i="2"/>
  <c r="P454" i="2"/>
  <c r="Q454" i="2"/>
  <c r="L455" i="2"/>
  <c r="N455" i="2"/>
  <c r="O455" i="2"/>
  <c r="P455" i="2"/>
  <c r="Q455" i="2"/>
  <c r="L450" i="2"/>
  <c r="N450" i="2"/>
  <c r="O450" i="2"/>
  <c r="P450" i="2"/>
  <c r="Q450" i="2"/>
  <c r="L447" i="2"/>
  <c r="N447" i="2"/>
  <c r="O447" i="2"/>
  <c r="P447" i="2"/>
  <c r="Q447" i="2"/>
  <c r="L443" i="2"/>
  <c r="N443" i="2"/>
  <c r="O443" i="2"/>
  <c r="P443" i="2"/>
  <c r="Q443" i="2"/>
  <c r="L434" i="2"/>
  <c r="N434" i="2"/>
  <c r="O434" i="2"/>
  <c r="P434" i="2"/>
  <c r="Q434" i="2"/>
  <c r="L435" i="2"/>
  <c r="N435" i="2"/>
  <c r="O435" i="2"/>
  <c r="P435" i="2"/>
  <c r="Q435" i="2"/>
  <c r="L436" i="2"/>
  <c r="N436" i="2"/>
  <c r="O436" i="2"/>
  <c r="P436" i="2"/>
  <c r="Q436" i="2"/>
  <c r="L431" i="2"/>
  <c r="N431" i="2"/>
  <c r="O431" i="2"/>
  <c r="P431" i="2"/>
  <c r="Q431" i="2"/>
  <c r="L424" i="2"/>
  <c r="N424" i="2"/>
  <c r="O424" i="2"/>
  <c r="P424" i="2"/>
  <c r="Q424" i="2"/>
  <c r="L425" i="2"/>
  <c r="N425" i="2"/>
  <c r="O425" i="2"/>
  <c r="P425" i="2"/>
  <c r="Q425" i="2"/>
  <c r="L426" i="2"/>
  <c r="N426" i="2"/>
  <c r="O426" i="2"/>
  <c r="P426" i="2"/>
  <c r="Q426" i="2"/>
  <c r="L422" i="2"/>
  <c r="N422" i="2"/>
  <c r="O422" i="2"/>
  <c r="P422" i="2"/>
  <c r="Q422" i="2"/>
  <c r="L418" i="2"/>
  <c r="N418" i="2"/>
  <c r="O418" i="2"/>
  <c r="P418" i="2"/>
  <c r="Q418" i="2"/>
  <c r="L415" i="2"/>
  <c r="N415" i="2"/>
  <c r="O415" i="2"/>
  <c r="P415" i="2"/>
  <c r="Q415" i="2"/>
  <c r="L411" i="2"/>
  <c r="N411" i="2"/>
  <c r="O411" i="2"/>
  <c r="P411" i="2"/>
  <c r="Q411" i="2"/>
  <c r="L412" i="2"/>
  <c r="N412" i="2"/>
  <c r="O412" i="2"/>
  <c r="P412" i="2"/>
  <c r="Q412" i="2"/>
  <c r="L413" i="2"/>
  <c r="N413" i="2"/>
  <c r="O413" i="2"/>
  <c r="P413" i="2"/>
  <c r="Q413" i="2"/>
  <c r="L407" i="2"/>
  <c r="N407" i="2"/>
  <c r="O407" i="2"/>
  <c r="P407" i="2"/>
  <c r="Q407" i="2"/>
  <c r="L408" i="2"/>
  <c r="N408" i="2"/>
  <c r="O408" i="2"/>
  <c r="P408" i="2"/>
  <c r="Q408" i="2"/>
  <c r="L409" i="2"/>
  <c r="N409" i="2"/>
  <c r="O409" i="2"/>
  <c r="P409" i="2"/>
  <c r="Q409" i="2"/>
  <c r="L400" i="2"/>
  <c r="N400" i="2"/>
  <c r="O400" i="2"/>
  <c r="P400" i="2"/>
  <c r="Q400" i="2"/>
  <c r="L398" i="2"/>
  <c r="N398" i="2"/>
  <c r="O398" i="2"/>
  <c r="P398" i="2"/>
  <c r="Q398" i="2"/>
  <c r="L395" i="2"/>
  <c r="N395" i="2"/>
  <c r="O395" i="2"/>
  <c r="P395" i="2"/>
  <c r="Q395" i="2"/>
  <c r="L396" i="2"/>
  <c r="N396" i="2"/>
  <c r="O396" i="2"/>
  <c r="P396" i="2"/>
  <c r="Q396" i="2"/>
  <c r="L391" i="2"/>
  <c r="N391" i="2"/>
  <c r="O391" i="2"/>
  <c r="P391" i="2"/>
  <c r="Q391" i="2"/>
  <c r="L392" i="2"/>
  <c r="N392" i="2"/>
  <c r="O392" i="2"/>
  <c r="P392" i="2"/>
  <c r="Q392" i="2"/>
  <c r="L389" i="2"/>
  <c r="N389" i="2"/>
  <c r="O389" i="2"/>
  <c r="P389" i="2"/>
  <c r="Q389" i="2"/>
  <c r="L384" i="2"/>
  <c r="N384" i="2"/>
  <c r="O384" i="2"/>
  <c r="P384" i="2"/>
  <c r="Q384" i="2"/>
  <c r="L380" i="2"/>
  <c r="N380" i="2"/>
  <c r="O380" i="2"/>
  <c r="P380" i="2"/>
  <c r="Q380" i="2"/>
  <c r="L381" i="2"/>
  <c r="N381" i="2"/>
  <c r="O381" i="2"/>
  <c r="P381" i="2"/>
  <c r="Q381" i="2"/>
  <c r="L382" i="2"/>
  <c r="N382" i="2"/>
  <c r="O382" i="2"/>
  <c r="P382" i="2"/>
  <c r="Q382" i="2"/>
  <c r="L376" i="2"/>
  <c r="N376" i="2"/>
  <c r="O376" i="2"/>
  <c r="P376" i="2"/>
  <c r="Q376" i="2"/>
  <c r="L377" i="2"/>
  <c r="N377" i="2"/>
  <c r="O377" i="2"/>
  <c r="P377" i="2"/>
  <c r="Q377" i="2"/>
  <c r="L378" i="2"/>
  <c r="N378" i="2"/>
  <c r="O378" i="2"/>
  <c r="P378" i="2"/>
  <c r="Q378" i="2"/>
  <c r="L374" i="2"/>
  <c r="N374" i="2"/>
  <c r="O374" i="2"/>
  <c r="P374" i="2"/>
  <c r="Q374" i="2"/>
  <c r="L372" i="2"/>
  <c r="N372" i="2"/>
  <c r="O372" i="2"/>
  <c r="P372" i="2"/>
  <c r="Q372" i="2"/>
  <c r="L370" i="2"/>
  <c r="N370" i="2"/>
  <c r="O370" i="2"/>
  <c r="P370" i="2"/>
  <c r="Q370" i="2"/>
  <c r="L368" i="2"/>
  <c r="N368" i="2"/>
  <c r="O368" i="2"/>
  <c r="P368" i="2"/>
  <c r="Q368" i="2"/>
  <c r="L365" i="2"/>
  <c r="N365" i="2"/>
  <c r="O365" i="2"/>
  <c r="P365" i="2"/>
  <c r="Q365" i="2"/>
  <c r="L366" i="2"/>
  <c r="N366" i="2"/>
  <c r="O366" i="2"/>
  <c r="P366" i="2"/>
  <c r="Q366" i="2"/>
  <c r="L360" i="2"/>
  <c r="N360" i="2"/>
  <c r="O360" i="2"/>
  <c r="P360" i="2"/>
  <c r="Q360" i="2"/>
  <c r="L361" i="2"/>
  <c r="N361" i="2"/>
  <c r="O361" i="2"/>
  <c r="P361" i="2"/>
  <c r="Q361" i="2"/>
  <c r="L358" i="2"/>
  <c r="N358" i="2"/>
  <c r="O358" i="2"/>
  <c r="P358" i="2"/>
  <c r="Q358" i="2"/>
  <c r="L349" i="2"/>
  <c r="N349" i="2"/>
  <c r="O349" i="2"/>
  <c r="P349" i="2"/>
  <c r="Q349" i="2"/>
  <c r="L350" i="2"/>
  <c r="N350" i="2"/>
  <c r="O350" i="2"/>
  <c r="P350" i="2"/>
  <c r="Q350" i="2"/>
  <c r="L351" i="2"/>
  <c r="N351" i="2"/>
  <c r="O351" i="2"/>
  <c r="P351" i="2"/>
  <c r="Q351" i="2"/>
  <c r="L352" i="2"/>
  <c r="N352" i="2"/>
  <c r="O352" i="2"/>
  <c r="P352" i="2"/>
  <c r="Q352" i="2"/>
  <c r="L345" i="2"/>
  <c r="N345" i="2"/>
  <c r="O345" i="2"/>
  <c r="P345" i="2"/>
  <c r="Q345" i="2"/>
  <c r="L343" i="2"/>
  <c r="N343" i="2"/>
  <c r="O343" i="2"/>
  <c r="P343" i="2"/>
  <c r="Q343" i="2"/>
  <c r="L341" i="2"/>
  <c r="N341" i="2"/>
  <c r="O341" i="2"/>
  <c r="P341" i="2"/>
  <c r="Q341" i="2"/>
  <c r="L337" i="2"/>
  <c r="N337" i="2"/>
  <c r="O337" i="2"/>
  <c r="P337" i="2"/>
  <c r="Q337" i="2"/>
  <c r="L338" i="2"/>
  <c r="N338" i="2"/>
  <c r="O338" i="2"/>
  <c r="P338" i="2"/>
  <c r="Q338" i="2"/>
  <c r="L339" i="2"/>
  <c r="N339" i="2"/>
  <c r="O339" i="2"/>
  <c r="P339" i="2"/>
  <c r="Q339" i="2"/>
  <c r="L335" i="2"/>
  <c r="N335" i="2"/>
  <c r="O335" i="2"/>
  <c r="P335" i="2"/>
  <c r="Q335" i="2"/>
  <c r="L331" i="2"/>
  <c r="N331" i="2"/>
  <c r="O331" i="2"/>
  <c r="P331" i="2"/>
  <c r="Q331" i="2"/>
  <c r="L332" i="2"/>
  <c r="N332" i="2"/>
  <c r="O332" i="2"/>
  <c r="P332" i="2"/>
  <c r="Q332" i="2"/>
  <c r="L333" i="2"/>
  <c r="N333" i="2"/>
  <c r="O333" i="2"/>
  <c r="P333" i="2"/>
  <c r="Q333" i="2"/>
  <c r="L329" i="2"/>
  <c r="N329" i="2"/>
  <c r="O329" i="2"/>
  <c r="P329" i="2"/>
  <c r="Q329" i="2"/>
  <c r="L326" i="2"/>
  <c r="N326" i="2"/>
  <c r="O326" i="2"/>
  <c r="P326" i="2"/>
  <c r="Q326" i="2"/>
  <c r="L317" i="2"/>
  <c r="N317" i="2"/>
  <c r="O317" i="2"/>
  <c r="P317" i="2"/>
  <c r="Q317" i="2"/>
  <c r="L313" i="2"/>
  <c r="N313" i="2"/>
  <c r="O313" i="2"/>
  <c r="P313" i="2"/>
  <c r="Q313" i="2"/>
  <c r="L311" i="2"/>
  <c r="N311" i="2"/>
  <c r="O311" i="2"/>
  <c r="P311" i="2"/>
  <c r="Q311" i="2"/>
  <c r="L309" i="2"/>
  <c r="N309" i="2"/>
  <c r="O309" i="2"/>
  <c r="P309" i="2"/>
  <c r="Q309" i="2"/>
  <c r="L307" i="2"/>
  <c r="N307" i="2"/>
  <c r="O307" i="2"/>
  <c r="P307" i="2"/>
  <c r="Q307" i="2"/>
  <c r="L302" i="2"/>
  <c r="N302" i="2"/>
  <c r="O302" i="2"/>
  <c r="P302" i="2"/>
  <c r="Q302" i="2"/>
  <c r="L303" i="2"/>
  <c r="N303" i="2"/>
  <c r="O303" i="2"/>
  <c r="P303" i="2"/>
  <c r="Q303" i="2"/>
  <c r="L304" i="2"/>
  <c r="N304" i="2"/>
  <c r="O304" i="2"/>
  <c r="P304" i="2"/>
  <c r="Q304" i="2"/>
  <c r="L299" i="2"/>
  <c r="N299" i="2"/>
  <c r="O299" i="2"/>
  <c r="P299" i="2"/>
  <c r="Q299" i="2"/>
  <c r="L300" i="2"/>
  <c r="N300" i="2"/>
  <c r="O300" i="2"/>
  <c r="P300" i="2"/>
  <c r="Q300" i="2"/>
  <c r="L296" i="2"/>
  <c r="N296" i="2"/>
  <c r="O296" i="2"/>
  <c r="P296" i="2"/>
  <c r="Q296" i="2"/>
  <c r="L291" i="2"/>
  <c r="N291" i="2"/>
  <c r="O291" i="2"/>
  <c r="P291" i="2"/>
  <c r="Q291" i="2"/>
  <c r="L292" i="2"/>
  <c r="N292" i="2"/>
  <c r="O292" i="2"/>
  <c r="P292" i="2"/>
  <c r="Q292" i="2"/>
  <c r="L288" i="2"/>
  <c r="N288" i="2"/>
  <c r="O288" i="2"/>
  <c r="P288" i="2"/>
  <c r="Q288" i="2"/>
  <c r="L289" i="2"/>
  <c r="N289" i="2"/>
  <c r="O289" i="2"/>
  <c r="P289" i="2"/>
  <c r="Q289" i="2"/>
  <c r="L282" i="2"/>
  <c r="N282" i="2"/>
  <c r="O282" i="2"/>
  <c r="P282" i="2"/>
  <c r="Q282" i="2"/>
  <c r="L283" i="2"/>
  <c r="N283" i="2"/>
  <c r="O283" i="2"/>
  <c r="P283" i="2"/>
  <c r="Q283" i="2"/>
  <c r="L284" i="2"/>
  <c r="N284" i="2"/>
  <c r="O284" i="2"/>
  <c r="P284" i="2"/>
  <c r="Q284" i="2"/>
  <c r="L278" i="2"/>
  <c r="N278" i="2"/>
  <c r="O278" i="2"/>
  <c r="P278" i="2"/>
  <c r="Q278" i="2"/>
  <c r="L275" i="2"/>
  <c r="N275" i="2"/>
  <c r="O275" i="2"/>
  <c r="P275" i="2"/>
  <c r="Q275" i="2"/>
  <c r="L276" i="2"/>
  <c r="N276" i="2"/>
  <c r="O276" i="2"/>
  <c r="P276" i="2"/>
  <c r="Q276" i="2"/>
  <c r="L271" i="2"/>
  <c r="N271" i="2"/>
  <c r="O271" i="2"/>
  <c r="P271" i="2"/>
  <c r="Q271" i="2"/>
  <c r="L268" i="2"/>
  <c r="N268" i="2"/>
  <c r="O268" i="2"/>
  <c r="P268" i="2"/>
  <c r="Q268" i="2"/>
  <c r="L269" i="2"/>
  <c r="N269" i="2"/>
  <c r="O269" i="2"/>
  <c r="P269" i="2"/>
  <c r="Q269" i="2"/>
  <c r="L264" i="2"/>
  <c r="N264" i="2"/>
  <c r="O264" i="2"/>
  <c r="P264" i="2"/>
  <c r="Q264" i="2"/>
  <c r="L265" i="2"/>
  <c r="N265" i="2"/>
  <c r="O265" i="2"/>
  <c r="P265" i="2"/>
  <c r="Q265" i="2"/>
  <c r="L266" i="2"/>
  <c r="N266" i="2"/>
  <c r="O266" i="2"/>
  <c r="P266" i="2"/>
  <c r="Q266" i="2"/>
  <c r="L260" i="2"/>
  <c r="N260" i="2"/>
  <c r="O260" i="2"/>
  <c r="P260" i="2"/>
  <c r="Q260" i="2"/>
  <c r="L261" i="2"/>
  <c r="N261" i="2"/>
  <c r="O261" i="2"/>
  <c r="P261" i="2"/>
  <c r="Q261" i="2"/>
  <c r="L262" i="2"/>
  <c r="N262" i="2"/>
  <c r="O262" i="2"/>
  <c r="P262" i="2"/>
  <c r="Q262" i="2"/>
  <c r="L254" i="2"/>
  <c r="N254" i="2"/>
  <c r="O254" i="2"/>
  <c r="P254" i="2"/>
  <c r="Q254" i="2"/>
  <c r="L252" i="2"/>
  <c r="N252" i="2"/>
  <c r="O252" i="2"/>
  <c r="P252" i="2"/>
  <c r="Q252" i="2"/>
  <c r="L248" i="2"/>
  <c r="N248" i="2"/>
  <c r="O248" i="2"/>
  <c r="P248" i="2"/>
  <c r="Q248" i="2"/>
  <c r="L249" i="2"/>
  <c r="N249" i="2"/>
  <c r="O249" i="2"/>
  <c r="P249" i="2"/>
  <c r="Q249" i="2"/>
  <c r="L245" i="2"/>
  <c r="N245" i="2"/>
  <c r="O245" i="2"/>
  <c r="P245" i="2"/>
  <c r="Q245" i="2"/>
  <c r="L243" i="2"/>
  <c r="N243" i="2"/>
  <c r="O243" i="2"/>
  <c r="P243" i="2"/>
  <c r="Q243" i="2"/>
  <c r="L239" i="2"/>
  <c r="N239" i="2"/>
  <c r="O239" i="2"/>
  <c r="P239" i="2"/>
  <c r="Q239" i="2"/>
  <c r="L240" i="2"/>
  <c r="N240" i="2"/>
  <c r="O240" i="2"/>
  <c r="P240" i="2"/>
  <c r="Q240" i="2"/>
  <c r="L241" i="2"/>
  <c r="N241" i="2"/>
  <c r="O241" i="2"/>
  <c r="P241" i="2"/>
  <c r="Q241" i="2"/>
  <c r="L236" i="2"/>
  <c r="N236" i="2"/>
  <c r="O236" i="2"/>
  <c r="P236" i="2"/>
  <c r="Q236" i="2"/>
  <c r="L237" i="2"/>
  <c r="N237" i="2"/>
  <c r="O237" i="2"/>
  <c r="P237" i="2"/>
  <c r="Q237" i="2"/>
  <c r="L233" i="2"/>
  <c r="N233" i="2"/>
  <c r="O233" i="2"/>
  <c r="P233" i="2"/>
  <c r="Q233" i="2"/>
  <c r="L229" i="2"/>
  <c r="N229" i="2"/>
  <c r="O229" i="2"/>
  <c r="P229" i="2"/>
  <c r="Q229" i="2"/>
  <c r="L230" i="2"/>
  <c r="N230" i="2"/>
  <c r="O230" i="2"/>
  <c r="P230" i="2"/>
  <c r="Q230" i="2"/>
  <c r="L224" i="2"/>
  <c r="N224" i="2"/>
  <c r="O224" i="2"/>
  <c r="P224" i="2"/>
  <c r="Q224" i="2"/>
  <c r="L220" i="2"/>
  <c r="N220" i="2"/>
  <c r="O220" i="2"/>
  <c r="P220" i="2"/>
  <c r="Q220" i="2"/>
  <c r="L213" i="2"/>
  <c r="N213" i="2"/>
  <c r="O213" i="2"/>
  <c r="P213" i="2"/>
  <c r="Q213" i="2"/>
  <c r="L214" i="2"/>
  <c r="N214" i="2"/>
  <c r="O214" i="2"/>
  <c r="P214" i="2"/>
  <c r="Q214" i="2"/>
  <c r="L215" i="2"/>
  <c r="N215" i="2"/>
  <c r="O215" i="2"/>
  <c r="P215" i="2"/>
  <c r="Q215" i="2"/>
  <c r="L216" i="2"/>
  <c r="N216" i="2"/>
  <c r="O216" i="2"/>
  <c r="P216" i="2"/>
  <c r="Q216" i="2"/>
  <c r="L210" i="2"/>
  <c r="N210" i="2"/>
  <c r="O210" i="2"/>
  <c r="P210" i="2"/>
  <c r="Q210" i="2"/>
  <c r="L211" i="2"/>
  <c r="N211" i="2"/>
  <c r="O211" i="2"/>
  <c r="P211" i="2"/>
  <c r="Q211" i="2"/>
  <c r="L207" i="2"/>
  <c r="N207" i="2"/>
  <c r="O207" i="2"/>
  <c r="P207" i="2"/>
  <c r="Q207" i="2"/>
  <c r="L205" i="2"/>
  <c r="N205" i="2"/>
  <c r="O205" i="2"/>
  <c r="P205" i="2"/>
  <c r="Q205" i="2"/>
  <c r="L201" i="2"/>
  <c r="N201" i="2"/>
  <c r="O201" i="2"/>
  <c r="P201" i="2"/>
  <c r="Q201" i="2"/>
  <c r="L198" i="2"/>
  <c r="N198" i="2"/>
  <c r="O198" i="2"/>
  <c r="P198" i="2"/>
  <c r="Q198" i="2"/>
  <c r="L196" i="2"/>
  <c r="N196" i="2"/>
  <c r="O196" i="2"/>
  <c r="P196" i="2"/>
  <c r="Q196" i="2"/>
  <c r="L192" i="2"/>
  <c r="N192" i="2"/>
  <c r="O192" i="2"/>
  <c r="P192" i="2"/>
  <c r="Q192" i="2"/>
  <c r="L188" i="2"/>
  <c r="N188" i="2"/>
  <c r="O188" i="2"/>
  <c r="P188" i="2"/>
  <c r="Q188" i="2"/>
  <c r="L189" i="2"/>
  <c r="N189" i="2"/>
  <c r="O189" i="2"/>
  <c r="P189" i="2"/>
  <c r="Q189" i="2"/>
  <c r="L184" i="2"/>
  <c r="N184" i="2"/>
  <c r="O184" i="2"/>
  <c r="P184" i="2"/>
  <c r="Q184" i="2"/>
  <c r="L182" i="2"/>
  <c r="N182" i="2"/>
  <c r="O182" i="2"/>
  <c r="P182" i="2"/>
  <c r="Q182" i="2"/>
  <c r="L176" i="2"/>
  <c r="N176" i="2"/>
  <c r="O176" i="2"/>
  <c r="P176" i="2"/>
  <c r="Q176" i="2"/>
  <c r="L168" i="2"/>
  <c r="N168" i="2"/>
  <c r="O168" i="2"/>
  <c r="P168" i="2"/>
  <c r="Q168" i="2"/>
  <c r="L169" i="2"/>
  <c r="N169" i="2"/>
  <c r="O169" i="2"/>
  <c r="P169" i="2"/>
  <c r="Q169" i="2"/>
  <c r="L165" i="2"/>
  <c r="N165" i="2"/>
  <c r="O165" i="2"/>
  <c r="P165" i="2"/>
  <c r="Q165" i="2"/>
  <c r="L166" i="2"/>
  <c r="N166" i="2"/>
  <c r="O166" i="2"/>
  <c r="P166" i="2"/>
  <c r="Q166" i="2"/>
  <c r="L159" i="2"/>
  <c r="N159" i="2"/>
  <c r="O159" i="2"/>
  <c r="P159" i="2"/>
  <c r="Q159" i="2"/>
  <c r="L156" i="2"/>
  <c r="N156" i="2"/>
  <c r="O156" i="2"/>
  <c r="P156" i="2"/>
  <c r="Q156" i="2"/>
  <c r="L157" i="2"/>
  <c r="N157" i="2"/>
  <c r="O157" i="2"/>
  <c r="P157" i="2"/>
  <c r="Q157" i="2"/>
  <c r="L153" i="2"/>
  <c r="N153" i="2"/>
  <c r="O153" i="2"/>
  <c r="P153" i="2"/>
  <c r="Q153" i="2"/>
  <c r="L154" i="2"/>
  <c r="N154" i="2"/>
  <c r="O154" i="2"/>
  <c r="P154" i="2"/>
  <c r="Q154" i="2"/>
  <c r="L151" i="2"/>
  <c r="N151" i="2"/>
  <c r="O151" i="2"/>
  <c r="P151" i="2"/>
  <c r="Q151" i="2"/>
  <c r="L148" i="2"/>
  <c r="N148" i="2"/>
  <c r="O148" i="2"/>
  <c r="P148" i="2"/>
  <c r="Q148" i="2"/>
  <c r="L143" i="2"/>
  <c r="N143" i="2"/>
  <c r="O143" i="2"/>
  <c r="P143" i="2"/>
  <c r="Q143" i="2"/>
  <c r="L144" i="2"/>
  <c r="N144" i="2"/>
  <c r="O144" i="2"/>
  <c r="P144" i="2"/>
  <c r="Q144" i="2"/>
  <c r="L145" i="2"/>
  <c r="N145" i="2"/>
  <c r="O145" i="2"/>
  <c r="P145" i="2"/>
  <c r="Q145" i="2"/>
  <c r="L146" i="2"/>
  <c r="N146" i="2"/>
  <c r="O146" i="2"/>
  <c r="P146" i="2"/>
  <c r="Q146" i="2"/>
  <c r="L141" i="2"/>
  <c r="N141" i="2"/>
  <c r="O141" i="2"/>
  <c r="P141" i="2"/>
  <c r="Q141" i="2"/>
  <c r="L137" i="2"/>
  <c r="N137" i="2"/>
  <c r="O137" i="2"/>
  <c r="P137" i="2"/>
  <c r="Q137" i="2"/>
  <c r="L134" i="2"/>
  <c r="N134" i="2"/>
  <c r="O134" i="2"/>
  <c r="P134" i="2"/>
  <c r="Q134" i="2"/>
  <c r="L131" i="2"/>
  <c r="N131" i="2"/>
  <c r="O131" i="2"/>
  <c r="P131" i="2"/>
  <c r="Q131" i="2"/>
  <c r="L132" i="2"/>
  <c r="N132" i="2"/>
  <c r="O132" i="2"/>
  <c r="P132" i="2"/>
  <c r="Q132" i="2"/>
  <c r="L129" i="2"/>
  <c r="N129" i="2"/>
  <c r="O129" i="2"/>
  <c r="P129" i="2"/>
  <c r="Q129" i="2"/>
  <c r="L127" i="2"/>
  <c r="N127" i="2"/>
  <c r="O127" i="2"/>
  <c r="P127" i="2"/>
  <c r="Q127" i="2"/>
  <c r="L123" i="2"/>
  <c r="N123" i="2"/>
  <c r="O123" i="2"/>
  <c r="P123" i="2"/>
  <c r="Q123" i="2"/>
  <c r="L121" i="2"/>
  <c r="N121" i="2"/>
  <c r="O121" i="2"/>
  <c r="P121" i="2"/>
  <c r="Q121" i="2"/>
  <c r="L117" i="2"/>
  <c r="N117" i="2"/>
  <c r="O117" i="2"/>
  <c r="P117" i="2"/>
  <c r="Q117" i="2"/>
  <c r="L114" i="2"/>
  <c r="N114" i="2"/>
  <c r="O114" i="2"/>
  <c r="P114" i="2"/>
  <c r="Q114" i="2"/>
  <c r="L115" i="2"/>
  <c r="N115" i="2"/>
  <c r="O115" i="2"/>
  <c r="P115" i="2"/>
  <c r="Q115" i="2"/>
  <c r="L106" i="2"/>
  <c r="N106" i="2"/>
  <c r="O106" i="2"/>
  <c r="P106" i="2"/>
  <c r="Q106" i="2"/>
  <c r="L107" i="2"/>
  <c r="N107" i="2"/>
  <c r="O107" i="2"/>
  <c r="P107" i="2"/>
  <c r="Q107" i="2"/>
  <c r="L103" i="2"/>
  <c r="N103" i="2"/>
  <c r="O103" i="2"/>
  <c r="P103" i="2"/>
  <c r="Q103" i="2"/>
  <c r="L104" i="2"/>
  <c r="N104" i="2"/>
  <c r="O104" i="2"/>
  <c r="P104" i="2"/>
  <c r="Q104" i="2"/>
  <c r="L100" i="2"/>
  <c r="N100" i="2"/>
  <c r="O100" i="2"/>
  <c r="P100" i="2"/>
  <c r="Q100" i="2"/>
  <c r="L94" i="2"/>
  <c r="N94" i="2"/>
  <c r="O94" i="2"/>
  <c r="P94" i="2"/>
  <c r="Q94" i="2"/>
  <c r="L95" i="2"/>
  <c r="N95" i="2"/>
  <c r="O95" i="2"/>
  <c r="P95" i="2"/>
  <c r="Q95" i="2"/>
  <c r="L96" i="2"/>
  <c r="N96" i="2"/>
  <c r="O96" i="2"/>
  <c r="P96" i="2"/>
  <c r="Q96" i="2"/>
  <c r="L97" i="2"/>
  <c r="N97" i="2"/>
  <c r="O97" i="2"/>
  <c r="P97" i="2"/>
  <c r="Q97" i="2"/>
  <c r="L88" i="2"/>
  <c r="N88" i="2"/>
  <c r="O88" i="2"/>
  <c r="P88" i="2"/>
  <c r="Q88" i="2"/>
  <c r="L84" i="2"/>
  <c r="N84" i="2"/>
  <c r="O84" i="2"/>
  <c r="P84" i="2"/>
  <c r="Q84" i="2"/>
  <c r="L85" i="2"/>
  <c r="N85" i="2"/>
  <c r="O85" i="2"/>
  <c r="P85" i="2"/>
  <c r="Q85" i="2"/>
  <c r="L86" i="2"/>
  <c r="N86" i="2"/>
  <c r="O86" i="2"/>
  <c r="P86" i="2"/>
  <c r="Q86" i="2"/>
  <c r="L81" i="2"/>
  <c r="N81" i="2"/>
  <c r="O81" i="2"/>
  <c r="P81" i="2"/>
  <c r="Q81" i="2"/>
  <c r="L77" i="2"/>
  <c r="N77" i="2"/>
  <c r="O77" i="2"/>
  <c r="P77" i="2"/>
  <c r="Q77" i="2"/>
  <c r="L72" i="2"/>
  <c r="N72" i="2"/>
  <c r="O72" i="2"/>
  <c r="P72" i="2"/>
  <c r="Q72" i="2"/>
  <c r="L73" i="2"/>
  <c r="N73" i="2"/>
  <c r="O73" i="2"/>
  <c r="P73" i="2"/>
  <c r="Q73" i="2"/>
  <c r="L68" i="2"/>
  <c r="N68" i="2"/>
  <c r="O68" i="2"/>
  <c r="P68" i="2"/>
  <c r="Q68" i="2"/>
  <c r="L69" i="2"/>
  <c r="N69" i="2"/>
  <c r="O69" i="2"/>
  <c r="P69" i="2"/>
  <c r="Q69" i="2"/>
  <c r="L70" i="2"/>
  <c r="N70" i="2"/>
  <c r="O70" i="2"/>
  <c r="P70" i="2"/>
  <c r="Q70" i="2"/>
  <c r="L64" i="2"/>
  <c r="N64" i="2"/>
  <c r="O64" i="2"/>
  <c r="P64" i="2"/>
  <c r="Q64" i="2"/>
  <c r="L65" i="2"/>
  <c r="N65" i="2"/>
  <c r="O65" i="2"/>
  <c r="P65" i="2"/>
  <c r="Q65" i="2"/>
  <c r="L66" i="2"/>
  <c r="N66" i="2"/>
  <c r="O66" i="2"/>
  <c r="P66" i="2"/>
  <c r="Q66" i="2"/>
  <c r="L61" i="2"/>
  <c r="N61" i="2"/>
  <c r="O61" i="2"/>
  <c r="P61" i="2"/>
  <c r="Q61" i="2"/>
  <c r="L52" i="2"/>
  <c r="N52" i="2"/>
  <c r="O52" i="2"/>
  <c r="P52" i="2"/>
  <c r="Q52" i="2"/>
  <c r="L53" i="2"/>
  <c r="N53" i="2"/>
  <c r="O53" i="2"/>
  <c r="P53" i="2"/>
  <c r="Q53" i="2"/>
  <c r="L54" i="2"/>
  <c r="N54" i="2"/>
  <c r="O54" i="2"/>
  <c r="P54" i="2"/>
  <c r="Q54" i="2"/>
  <c r="L55" i="2"/>
  <c r="N55" i="2"/>
  <c r="O55" i="2"/>
  <c r="P55" i="2"/>
  <c r="Q55" i="2"/>
  <c r="L56" i="2"/>
  <c r="N56" i="2"/>
  <c r="O56" i="2"/>
  <c r="P56" i="2"/>
  <c r="Q56" i="2"/>
  <c r="L47" i="2"/>
  <c r="N47" i="2"/>
  <c r="O47" i="2"/>
  <c r="P47" i="2"/>
  <c r="Q47" i="2"/>
  <c r="L44" i="2"/>
  <c r="N44" i="2"/>
  <c r="O44" i="2"/>
  <c r="P44" i="2"/>
  <c r="Q44" i="2"/>
  <c r="L38" i="2"/>
  <c r="N38" i="2"/>
  <c r="O38" i="2"/>
  <c r="P38" i="2"/>
  <c r="Q38" i="2"/>
  <c r="L34" i="2"/>
  <c r="N34" i="2"/>
  <c r="O34" i="2"/>
  <c r="P34" i="2"/>
  <c r="Q34" i="2"/>
  <c r="L35" i="2"/>
  <c r="N35" i="2"/>
  <c r="O35" i="2"/>
  <c r="P35" i="2"/>
  <c r="Q35" i="2"/>
  <c r="L36" i="2"/>
  <c r="N36" i="2"/>
  <c r="O36" i="2"/>
  <c r="P36" i="2"/>
  <c r="Q36" i="2"/>
  <c r="L27" i="2"/>
  <c r="N27" i="2"/>
  <c r="O27" i="2"/>
  <c r="P27" i="2"/>
  <c r="Q27" i="2"/>
  <c r="L25" i="2"/>
  <c r="N25" i="2"/>
  <c r="O25" i="2"/>
  <c r="P25" i="2"/>
  <c r="Q25" i="2"/>
  <c r="L22" i="2"/>
  <c r="N22" i="2"/>
  <c r="O22" i="2"/>
  <c r="P22" i="2"/>
  <c r="Q22" i="2"/>
  <c r="L23" i="2"/>
  <c r="N23" i="2"/>
  <c r="O23" i="2"/>
  <c r="P23" i="2"/>
  <c r="Q23" i="2"/>
  <c r="L19" i="2"/>
  <c r="N19" i="2"/>
  <c r="O19" i="2"/>
  <c r="P19" i="2"/>
  <c r="Q19" i="2"/>
  <c r="L14" i="2"/>
  <c r="N14" i="2"/>
  <c r="O14" i="2"/>
  <c r="P14" i="2"/>
  <c r="Q14" i="2"/>
  <c r="L15" i="2"/>
  <c r="N15" i="2"/>
  <c r="O15" i="2"/>
  <c r="P15" i="2"/>
  <c r="Q15" i="2"/>
  <c r="L16" i="2"/>
  <c r="N16" i="2"/>
  <c r="O16" i="2"/>
  <c r="P16" i="2"/>
  <c r="Q16" i="2"/>
  <c r="L6" i="2"/>
  <c r="N6" i="2"/>
  <c r="O6" i="2"/>
  <c r="P6" i="2"/>
  <c r="Q6" i="2"/>
  <c r="L7" i="2"/>
  <c r="N7" i="2"/>
  <c r="O7" i="2"/>
  <c r="P7" i="2"/>
  <c r="Q7" i="2"/>
  <c r="L8" i="2"/>
  <c r="N8" i="2"/>
  <c r="O8" i="2"/>
  <c r="P8" i="2"/>
  <c r="Q8" i="2"/>
  <c r="L3" i="2"/>
  <c r="N3" i="2"/>
  <c r="O3" i="2"/>
  <c r="P3" i="2"/>
  <c r="Q3" i="2"/>
  <c r="A40" i="13"/>
  <c r="A38" i="13" a="1"/>
  <c r="A38" i="13" s="1"/>
  <c r="D4" i="13"/>
  <c r="E10" i="12"/>
  <c r="E9" i="12" a="1"/>
  <c r="E9" i="12" s="1"/>
  <c r="E6" i="12"/>
  <c r="E5" i="12"/>
  <c r="E10" i="11"/>
  <c r="E9" i="11" a="1"/>
  <c r="E9" i="11" s="1"/>
  <c r="E8" i="11" a="1"/>
  <c r="E8" i="11" s="1"/>
  <c r="E7" i="11" a="1"/>
  <c r="E7" i="11" s="1"/>
  <c r="E6" i="11" a="1"/>
  <c r="E6" i="11" s="1"/>
  <c r="E5" i="11" a="1"/>
  <c r="E5" i="11" s="1"/>
  <c r="E12" i="10" a="1"/>
  <c r="E12" i="10" s="1"/>
  <c r="E11" i="10" a="1"/>
  <c r="E11" i="10" s="1"/>
  <c r="E10" i="10" a="1"/>
  <c r="E10" i="10" s="1"/>
  <c r="E9" i="10" a="1"/>
  <c r="E9" i="10" s="1"/>
  <c r="E8" i="10" a="1"/>
  <c r="E8" i="10" s="1"/>
  <c r="E7" i="10" a="1"/>
  <c r="E7" i="10" s="1"/>
  <c r="E6" i="10" a="1"/>
  <c r="E6" i="10" s="1"/>
  <c r="E5" i="10" a="1"/>
  <c r="E5" i="10" s="1"/>
  <c r="O2001" i="2"/>
  <c r="N2001" i="2"/>
  <c r="L2001" i="2"/>
  <c r="O2000" i="2"/>
  <c r="N2000" i="2"/>
  <c r="L2000" i="2"/>
  <c r="O1999" i="2"/>
  <c r="N1999" i="2"/>
  <c r="L1999" i="2"/>
  <c r="O1997" i="2"/>
  <c r="N1997" i="2"/>
  <c r="L1997" i="2"/>
  <c r="O1996" i="2"/>
  <c r="N1996" i="2"/>
  <c r="L1996" i="2"/>
  <c r="O1994" i="2"/>
  <c r="N1994" i="2"/>
  <c r="L1994" i="2"/>
  <c r="O1993" i="2"/>
  <c r="N1993" i="2"/>
  <c r="L1993" i="2"/>
  <c r="O1990" i="2"/>
  <c r="N1990" i="2"/>
  <c r="L1990" i="2"/>
  <c r="O1989" i="2"/>
  <c r="N1989" i="2"/>
  <c r="L1989" i="2"/>
  <c r="O1988" i="2"/>
  <c r="N1988" i="2"/>
  <c r="L1988" i="2"/>
  <c r="O1985" i="2"/>
  <c r="N1985" i="2"/>
  <c r="L1985" i="2"/>
  <c r="O1983" i="2"/>
  <c r="N1983" i="2"/>
  <c r="L1983" i="2"/>
  <c r="O1982" i="2"/>
  <c r="N1982" i="2"/>
  <c r="L1982" i="2"/>
  <c r="O1981" i="2"/>
  <c r="N1981" i="2"/>
  <c r="L1981" i="2"/>
  <c r="O1979" i="2"/>
  <c r="N1979" i="2"/>
  <c r="L1979" i="2"/>
  <c r="O1978" i="2"/>
  <c r="N1978" i="2"/>
  <c r="L1978" i="2"/>
  <c r="O1977" i="2"/>
  <c r="N1977" i="2"/>
  <c r="L1977" i="2"/>
  <c r="O1976" i="2"/>
  <c r="N1976" i="2"/>
  <c r="L1976" i="2"/>
  <c r="O1974" i="2"/>
  <c r="N1974" i="2"/>
  <c r="L1974" i="2"/>
  <c r="O1973" i="2"/>
  <c r="N1973" i="2"/>
  <c r="L1973" i="2"/>
  <c r="O1972" i="2"/>
  <c r="N1972" i="2"/>
  <c r="L1972" i="2"/>
  <c r="O1970" i="2"/>
  <c r="N1970" i="2"/>
  <c r="L1970" i="2"/>
  <c r="O1968" i="2"/>
  <c r="N1968" i="2"/>
  <c r="L1968" i="2"/>
  <c r="O1967" i="2"/>
  <c r="N1967" i="2"/>
  <c r="L1967" i="2"/>
  <c r="O1966" i="2"/>
  <c r="N1966" i="2"/>
  <c r="L1966" i="2"/>
  <c r="O1965" i="2"/>
  <c r="N1965" i="2"/>
  <c r="L1965" i="2"/>
  <c r="O1963" i="2"/>
  <c r="N1963" i="2"/>
  <c r="L1963" i="2"/>
  <c r="O1962" i="2"/>
  <c r="N1962" i="2"/>
  <c r="L1962" i="2"/>
  <c r="O1961" i="2"/>
  <c r="N1961" i="2"/>
  <c r="L1961" i="2"/>
  <c r="O1959" i="2"/>
  <c r="N1959" i="2"/>
  <c r="L1959" i="2"/>
  <c r="O1958" i="2"/>
  <c r="N1958" i="2"/>
  <c r="L1958" i="2"/>
  <c r="O1957" i="2"/>
  <c r="N1957" i="2"/>
  <c r="L1957" i="2"/>
  <c r="O1955" i="2"/>
  <c r="N1955" i="2"/>
  <c r="L1955" i="2"/>
  <c r="O1951" i="2"/>
  <c r="N1951" i="2"/>
  <c r="L1951" i="2"/>
  <c r="O1950" i="2"/>
  <c r="N1950" i="2"/>
  <c r="L1950" i="2"/>
  <c r="O1948" i="2"/>
  <c r="N1948" i="2"/>
  <c r="L1948" i="2"/>
  <c r="O1947" i="2"/>
  <c r="N1947" i="2"/>
  <c r="L1947" i="2"/>
  <c r="O1945" i="2"/>
  <c r="N1945" i="2"/>
  <c r="L1945" i="2"/>
  <c r="O1944" i="2"/>
  <c r="N1944" i="2"/>
  <c r="L1944" i="2"/>
  <c r="O1943" i="2"/>
  <c r="N1943" i="2"/>
  <c r="L1943" i="2"/>
  <c r="O1942" i="2"/>
  <c r="N1942" i="2"/>
  <c r="L1942" i="2"/>
  <c r="O1941" i="2"/>
  <c r="N1941" i="2"/>
  <c r="L1941" i="2"/>
  <c r="O1940" i="2"/>
  <c r="N1940" i="2"/>
  <c r="L1940" i="2"/>
  <c r="O1939" i="2"/>
  <c r="N1939" i="2"/>
  <c r="L1939" i="2"/>
  <c r="O1936" i="2"/>
  <c r="N1936" i="2"/>
  <c r="L1936" i="2"/>
  <c r="O1933" i="2"/>
  <c r="N1933" i="2"/>
  <c r="L1933" i="2"/>
  <c r="O1932" i="2"/>
  <c r="N1932" i="2"/>
  <c r="L1932" i="2"/>
  <c r="O1931" i="2"/>
  <c r="N1931" i="2"/>
  <c r="L1931" i="2"/>
  <c r="O1930" i="2"/>
  <c r="N1930" i="2"/>
  <c r="L1930" i="2"/>
  <c r="O1926" i="2"/>
  <c r="N1926" i="2"/>
  <c r="L1926" i="2"/>
  <c r="O1920" i="2"/>
  <c r="N1920" i="2"/>
  <c r="L1920" i="2"/>
  <c r="O1919" i="2"/>
  <c r="N1919" i="2"/>
  <c r="L1919" i="2"/>
  <c r="O1918" i="2"/>
  <c r="N1918" i="2"/>
  <c r="L1918" i="2"/>
  <c r="O1917" i="2"/>
  <c r="N1917" i="2"/>
  <c r="L1917" i="2"/>
  <c r="O1913" i="2"/>
  <c r="N1913" i="2"/>
  <c r="L1913" i="2"/>
  <c r="O1912" i="2"/>
  <c r="N1912" i="2"/>
  <c r="L1912" i="2"/>
  <c r="O1911" i="2"/>
  <c r="N1911" i="2"/>
  <c r="L1911" i="2"/>
  <c r="O1910" i="2"/>
  <c r="N1910" i="2"/>
  <c r="L1910" i="2"/>
  <c r="O1909" i="2"/>
  <c r="N1909" i="2"/>
  <c r="L1909" i="2"/>
  <c r="O1908" i="2"/>
  <c r="N1908" i="2"/>
  <c r="L1908" i="2"/>
  <c r="O1903" i="2"/>
  <c r="N1903" i="2"/>
  <c r="L1903" i="2"/>
  <c r="O1900" i="2"/>
  <c r="N1900" i="2"/>
  <c r="L1900" i="2"/>
  <c r="O1897" i="2"/>
  <c r="N1897" i="2"/>
  <c r="L1897" i="2"/>
  <c r="O1896" i="2"/>
  <c r="N1896" i="2"/>
  <c r="L1896" i="2"/>
  <c r="O1895" i="2"/>
  <c r="N1895" i="2"/>
  <c r="L1895" i="2"/>
  <c r="O1894" i="2"/>
  <c r="N1894" i="2"/>
  <c r="L1894" i="2"/>
  <c r="O1893" i="2"/>
  <c r="N1893" i="2"/>
  <c r="L1893" i="2"/>
  <c r="O1891" i="2"/>
  <c r="N1891" i="2"/>
  <c r="L1891" i="2"/>
  <c r="O1889" i="2"/>
  <c r="N1889" i="2"/>
  <c r="L1889" i="2"/>
  <c r="O1887" i="2"/>
  <c r="N1887" i="2"/>
  <c r="L1887" i="2"/>
  <c r="O1885" i="2"/>
  <c r="N1885" i="2"/>
  <c r="L1885" i="2"/>
  <c r="O1882" i="2"/>
  <c r="N1882" i="2"/>
  <c r="L1882" i="2"/>
  <c r="O1881" i="2"/>
  <c r="N1881" i="2"/>
  <c r="L1881" i="2"/>
  <c r="O1878" i="2"/>
  <c r="N1878" i="2"/>
  <c r="L1878" i="2"/>
  <c r="O1877" i="2"/>
  <c r="N1877" i="2"/>
  <c r="L1877" i="2"/>
  <c r="O1876" i="2"/>
  <c r="N1876" i="2"/>
  <c r="L1876" i="2"/>
  <c r="O1875" i="2"/>
  <c r="N1875" i="2"/>
  <c r="L1875" i="2"/>
  <c r="O1873" i="2"/>
  <c r="N1873" i="2"/>
  <c r="L1873" i="2"/>
  <c r="O1872" i="2"/>
  <c r="N1872" i="2"/>
  <c r="L1872" i="2"/>
  <c r="O1870" i="2"/>
  <c r="N1870" i="2"/>
  <c r="L1870" i="2"/>
  <c r="O1869" i="2"/>
  <c r="N1869" i="2"/>
  <c r="L1869" i="2"/>
  <c r="O1866" i="2"/>
  <c r="N1866" i="2"/>
  <c r="L1866" i="2"/>
  <c r="O1865" i="2"/>
  <c r="N1865" i="2"/>
  <c r="L1865" i="2"/>
  <c r="O1860" i="2"/>
  <c r="N1860" i="2"/>
  <c r="L1860" i="2"/>
  <c r="O1852" i="2"/>
  <c r="N1852" i="2"/>
  <c r="L1852" i="2"/>
  <c r="O1851" i="2"/>
  <c r="N1851" i="2"/>
  <c r="L1851" i="2"/>
  <c r="O1850" i="2"/>
  <c r="N1850" i="2"/>
  <c r="L1850" i="2"/>
  <c r="O1848" i="2"/>
  <c r="N1848" i="2"/>
  <c r="L1848" i="2"/>
  <c r="O1847" i="2"/>
  <c r="N1847" i="2"/>
  <c r="L1847" i="2"/>
  <c r="O1846" i="2"/>
  <c r="N1846" i="2"/>
  <c r="L1846" i="2"/>
  <c r="O1845" i="2"/>
  <c r="N1845" i="2"/>
  <c r="L1845" i="2"/>
  <c r="O1843" i="2"/>
  <c r="N1843" i="2"/>
  <c r="L1843" i="2"/>
  <c r="O1842" i="2"/>
  <c r="N1842" i="2"/>
  <c r="L1842" i="2"/>
  <c r="O1839" i="2"/>
  <c r="N1839" i="2"/>
  <c r="L1839" i="2"/>
  <c r="O1838" i="2"/>
  <c r="N1838" i="2"/>
  <c r="L1838" i="2"/>
  <c r="O1836" i="2"/>
  <c r="N1836" i="2"/>
  <c r="L1836" i="2"/>
  <c r="O1835" i="2"/>
  <c r="N1835" i="2"/>
  <c r="L1835" i="2"/>
  <c r="O1833" i="2"/>
  <c r="N1833" i="2"/>
  <c r="L1833" i="2"/>
  <c r="O1832" i="2"/>
  <c r="N1832" i="2"/>
  <c r="L1832" i="2"/>
  <c r="O1830" i="2"/>
  <c r="N1830" i="2"/>
  <c r="L1830" i="2"/>
  <c r="O1829" i="2"/>
  <c r="N1829" i="2"/>
  <c r="L1829" i="2"/>
  <c r="O1828" i="2"/>
  <c r="N1828" i="2"/>
  <c r="L1828" i="2"/>
  <c r="O1826" i="2"/>
  <c r="N1826" i="2"/>
  <c r="L1826" i="2"/>
  <c r="O1825" i="2"/>
  <c r="N1825" i="2"/>
  <c r="L1825" i="2"/>
  <c r="O1824" i="2"/>
  <c r="N1824" i="2"/>
  <c r="L1824" i="2"/>
  <c r="O1818" i="2"/>
  <c r="N1818" i="2"/>
  <c r="L1818" i="2"/>
  <c r="O1817" i="2"/>
  <c r="N1817" i="2"/>
  <c r="L1817" i="2"/>
  <c r="O1816" i="2"/>
  <c r="N1816" i="2"/>
  <c r="L1816" i="2"/>
  <c r="O1815" i="2"/>
  <c r="N1815" i="2"/>
  <c r="L1815" i="2"/>
  <c r="O1812" i="2"/>
  <c r="N1812" i="2"/>
  <c r="L1812" i="2"/>
  <c r="O1811" i="2"/>
  <c r="N1811" i="2"/>
  <c r="L1811" i="2"/>
  <c r="O1810" i="2"/>
  <c r="N1810" i="2"/>
  <c r="L1810" i="2"/>
  <c r="O1809" i="2"/>
  <c r="N1809" i="2"/>
  <c r="L1809" i="2"/>
  <c r="O1808" i="2"/>
  <c r="N1808" i="2"/>
  <c r="L1808" i="2"/>
  <c r="O1807" i="2"/>
  <c r="N1807" i="2"/>
  <c r="L1807" i="2"/>
  <c r="O1806" i="2"/>
  <c r="N1806" i="2"/>
  <c r="L1806" i="2"/>
  <c r="O1805" i="2"/>
  <c r="N1805" i="2"/>
  <c r="L1805" i="2"/>
  <c r="O1804" i="2"/>
  <c r="N1804" i="2"/>
  <c r="L1804" i="2"/>
  <c r="O1801" i="2"/>
  <c r="N1801" i="2"/>
  <c r="L1801" i="2"/>
  <c r="O1799" i="2"/>
  <c r="N1799" i="2"/>
  <c r="L1799" i="2"/>
  <c r="O1798" i="2"/>
  <c r="N1798" i="2"/>
  <c r="L1798" i="2"/>
  <c r="O1797" i="2"/>
  <c r="N1797" i="2"/>
  <c r="L1797" i="2"/>
  <c r="O1796" i="2"/>
  <c r="N1796" i="2"/>
  <c r="L1796" i="2"/>
  <c r="O1795" i="2"/>
  <c r="N1795" i="2"/>
  <c r="L1795" i="2"/>
  <c r="O1794" i="2"/>
  <c r="N1794" i="2"/>
  <c r="L1794" i="2"/>
  <c r="O1793" i="2"/>
  <c r="N1793" i="2"/>
  <c r="L1793" i="2"/>
  <c r="O1792" i="2"/>
  <c r="N1792" i="2"/>
  <c r="L1792" i="2"/>
  <c r="O1790" i="2"/>
  <c r="N1790" i="2"/>
  <c r="L1790" i="2"/>
  <c r="O1789" i="2"/>
  <c r="N1789" i="2"/>
  <c r="L1789" i="2"/>
  <c r="O1785" i="2"/>
  <c r="N1785" i="2"/>
  <c r="L1785" i="2"/>
  <c r="O1777" i="2"/>
  <c r="N1777" i="2"/>
  <c r="L1777" i="2"/>
  <c r="O1776" i="2"/>
  <c r="N1776" i="2"/>
  <c r="L1776" i="2"/>
  <c r="O1775" i="2"/>
  <c r="N1775" i="2"/>
  <c r="L1775" i="2"/>
  <c r="O1773" i="2"/>
  <c r="N1773" i="2"/>
  <c r="L1773" i="2"/>
  <c r="O1772" i="2"/>
  <c r="N1772" i="2"/>
  <c r="L1772" i="2"/>
  <c r="O1770" i="2"/>
  <c r="N1770" i="2"/>
  <c r="L1770" i="2"/>
  <c r="O1769" i="2"/>
  <c r="N1769" i="2"/>
  <c r="L1769" i="2"/>
  <c r="O1768" i="2"/>
  <c r="N1768" i="2"/>
  <c r="L1768" i="2"/>
  <c r="O1767" i="2"/>
  <c r="N1767" i="2"/>
  <c r="L1767" i="2"/>
  <c r="O1766" i="2"/>
  <c r="N1766" i="2"/>
  <c r="L1766" i="2"/>
  <c r="O1765" i="2"/>
  <c r="N1765" i="2"/>
  <c r="L1765" i="2"/>
  <c r="O1763" i="2"/>
  <c r="N1763" i="2"/>
  <c r="L1763" i="2"/>
  <c r="O1760" i="2"/>
  <c r="N1760" i="2"/>
  <c r="L1760" i="2"/>
  <c r="O1756" i="2"/>
  <c r="N1756" i="2"/>
  <c r="L1756" i="2"/>
  <c r="O1754" i="2"/>
  <c r="N1754" i="2"/>
  <c r="L1754" i="2"/>
  <c r="O1753" i="2"/>
  <c r="N1753" i="2"/>
  <c r="L1753" i="2"/>
  <c r="O1752" i="2"/>
  <c r="N1752" i="2"/>
  <c r="L1752" i="2"/>
  <c r="O1751" i="2"/>
  <c r="N1751" i="2"/>
  <c r="L1751" i="2"/>
  <c r="O1750" i="2"/>
  <c r="N1750" i="2"/>
  <c r="L1750" i="2"/>
  <c r="O1748" i="2"/>
  <c r="N1748" i="2"/>
  <c r="L1748" i="2"/>
  <c r="O1747" i="2"/>
  <c r="N1747" i="2"/>
  <c r="L1747" i="2"/>
  <c r="O1746" i="2"/>
  <c r="N1746" i="2"/>
  <c r="L1746" i="2"/>
  <c r="O1744" i="2"/>
  <c r="N1744" i="2"/>
  <c r="L1744" i="2"/>
  <c r="O1741" i="2"/>
  <c r="N1741" i="2"/>
  <c r="L1741" i="2"/>
  <c r="O1737" i="2"/>
  <c r="N1737" i="2"/>
  <c r="L1737" i="2"/>
  <c r="O1736" i="2"/>
  <c r="N1736" i="2"/>
  <c r="L1736" i="2"/>
  <c r="O1732" i="2"/>
  <c r="N1732" i="2"/>
  <c r="L1732" i="2"/>
  <c r="O1730" i="2"/>
  <c r="N1730" i="2"/>
  <c r="L1730" i="2"/>
  <c r="O1729" i="2"/>
  <c r="N1729" i="2"/>
  <c r="L1729" i="2"/>
  <c r="O1728" i="2"/>
  <c r="N1728" i="2"/>
  <c r="L1728" i="2"/>
  <c r="O1725" i="2"/>
  <c r="N1725" i="2"/>
  <c r="L1725" i="2"/>
  <c r="O1722" i="2"/>
  <c r="N1722" i="2"/>
  <c r="L1722" i="2"/>
  <c r="O1721" i="2"/>
  <c r="N1721" i="2"/>
  <c r="L1721" i="2"/>
  <c r="O1719" i="2"/>
  <c r="N1719" i="2"/>
  <c r="L1719" i="2"/>
  <c r="O1718" i="2"/>
  <c r="N1718" i="2"/>
  <c r="L1718" i="2"/>
  <c r="O1717" i="2"/>
  <c r="N1717" i="2"/>
  <c r="L1717" i="2"/>
  <c r="O1716" i="2"/>
  <c r="N1716" i="2"/>
  <c r="L1716" i="2"/>
  <c r="O1715" i="2"/>
  <c r="N1715" i="2"/>
  <c r="L1715" i="2"/>
  <c r="O1714" i="2"/>
  <c r="N1714" i="2"/>
  <c r="L1714" i="2"/>
  <c r="O1713" i="2"/>
  <c r="N1713" i="2"/>
  <c r="L1713" i="2"/>
  <c r="O1711" i="2"/>
  <c r="N1711" i="2"/>
  <c r="L1711" i="2"/>
  <c r="O1710" i="2"/>
  <c r="N1710" i="2"/>
  <c r="L1710" i="2"/>
  <c r="O1708" i="2"/>
  <c r="N1708" i="2"/>
  <c r="L1708" i="2"/>
  <c r="O1706" i="2"/>
  <c r="N1706" i="2"/>
  <c r="L1706" i="2"/>
  <c r="O1702" i="2"/>
  <c r="N1702" i="2"/>
  <c r="L1702" i="2"/>
  <c r="O1698" i="2"/>
  <c r="N1698" i="2"/>
  <c r="L1698" i="2"/>
  <c r="O1695" i="2"/>
  <c r="N1695" i="2"/>
  <c r="L1695" i="2"/>
  <c r="O1688" i="2"/>
  <c r="N1688" i="2"/>
  <c r="L1688" i="2"/>
  <c r="O1687" i="2"/>
  <c r="N1687" i="2"/>
  <c r="L1687" i="2"/>
  <c r="O1686" i="2"/>
  <c r="N1686" i="2"/>
  <c r="L1686" i="2"/>
  <c r="O1685" i="2"/>
  <c r="N1685" i="2"/>
  <c r="L1685" i="2"/>
  <c r="O1684" i="2"/>
  <c r="N1684" i="2"/>
  <c r="L1684" i="2"/>
  <c r="O1683" i="2"/>
  <c r="N1683" i="2"/>
  <c r="L1683" i="2"/>
  <c r="O1682" i="2"/>
  <c r="N1682" i="2"/>
  <c r="L1682" i="2"/>
  <c r="O1681" i="2"/>
  <c r="N1681" i="2"/>
  <c r="L1681" i="2"/>
  <c r="O1679" i="2"/>
  <c r="N1679" i="2"/>
  <c r="L1679" i="2"/>
  <c r="O1677" i="2"/>
  <c r="N1677" i="2"/>
  <c r="L1677" i="2"/>
  <c r="O1675" i="2"/>
  <c r="N1675" i="2"/>
  <c r="L1675" i="2"/>
  <c r="O1674" i="2"/>
  <c r="N1674" i="2"/>
  <c r="L1674" i="2"/>
  <c r="O1673" i="2"/>
  <c r="N1673" i="2"/>
  <c r="L1673" i="2"/>
  <c r="O1670" i="2"/>
  <c r="N1670" i="2"/>
  <c r="L1670" i="2"/>
  <c r="O1668" i="2"/>
  <c r="N1668" i="2"/>
  <c r="L1668" i="2"/>
  <c r="O1667" i="2"/>
  <c r="N1667" i="2"/>
  <c r="L1667" i="2"/>
  <c r="O1666" i="2"/>
  <c r="N1666" i="2"/>
  <c r="L1666" i="2"/>
  <c r="O1665" i="2"/>
  <c r="N1665" i="2"/>
  <c r="L1665" i="2"/>
  <c r="O1664" i="2"/>
  <c r="N1664" i="2"/>
  <c r="L1664" i="2"/>
  <c r="O1658" i="2"/>
  <c r="N1658" i="2"/>
  <c r="L1658" i="2"/>
  <c r="O1655" i="2"/>
  <c r="N1655" i="2"/>
  <c r="L1655" i="2"/>
  <c r="O1653" i="2"/>
  <c r="N1653" i="2"/>
  <c r="L1653" i="2"/>
  <c r="O1652" i="2"/>
  <c r="N1652" i="2"/>
  <c r="L1652" i="2"/>
  <c r="O1651" i="2"/>
  <c r="N1651" i="2"/>
  <c r="L1651" i="2"/>
  <c r="O1650" i="2"/>
  <c r="N1650" i="2"/>
  <c r="L1650" i="2"/>
  <c r="O1649" i="2"/>
  <c r="N1649" i="2"/>
  <c r="L1649" i="2"/>
  <c r="O1648" i="2"/>
  <c r="N1648" i="2"/>
  <c r="L1648" i="2"/>
  <c r="O1647" i="2"/>
  <c r="N1647" i="2"/>
  <c r="L1647" i="2"/>
  <c r="O1646" i="2"/>
  <c r="N1646" i="2"/>
  <c r="L1646" i="2"/>
  <c r="O1645" i="2"/>
  <c r="N1645" i="2"/>
  <c r="L1645" i="2"/>
  <c r="O1644" i="2"/>
  <c r="N1644" i="2"/>
  <c r="L1644" i="2"/>
  <c r="O1643" i="2"/>
  <c r="N1643" i="2"/>
  <c r="L1643" i="2"/>
  <c r="O1641" i="2"/>
  <c r="N1641" i="2"/>
  <c r="L1641" i="2"/>
  <c r="O1640" i="2"/>
  <c r="N1640" i="2"/>
  <c r="L1640" i="2"/>
  <c r="O1638" i="2"/>
  <c r="N1638" i="2"/>
  <c r="L1638" i="2"/>
  <c r="O1637" i="2"/>
  <c r="N1637" i="2"/>
  <c r="L1637" i="2"/>
  <c r="O1636" i="2"/>
  <c r="N1636" i="2"/>
  <c r="L1636" i="2"/>
  <c r="O1635" i="2"/>
  <c r="N1635" i="2"/>
  <c r="L1635" i="2"/>
  <c r="O1634" i="2"/>
  <c r="N1634" i="2"/>
  <c r="L1634" i="2"/>
  <c r="O1633" i="2"/>
  <c r="N1633" i="2"/>
  <c r="L1633" i="2"/>
  <c r="O1632" i="2"/>
  <c r="N1632" i="2"/>
  <c r="L1632" i="2"/>
  <c r="O1629" i="2"/>
  <c r="N1629" i="2"/>
  <c r="L1629" i="2"/>
  <c r="O1627" i="2"/>
  <c r="N1627" i="2"/>
  <c r="L1627" i="2"/>
  <c r="O1626" i="2"/>
  <c r="N1626" i="2"/>
  <c r="L1626" i="2"/>
  <c r="O1625" i="2"/>
  <c r="N1625" i="2"/>
  <c r="L1625" i="2"/>
  <c r="O1624" i="2"/>
  <c r="N1624" i="2"/>
  <c r="L1624" i="2"/>
  <c r="O1623" i="2"/>
  <c r="N1623" i="2"/>
  <c r="L1623" i="2"/>
  <c r="O1620" i="2"/>
  <c r="N1620" i="2"/>
  <c r="L1620" i="2"/>
  <c r="O1619" i="2"/>
  <c r="N1619" i="2"/>
  <c r="L1619" i="2"/>
  <c r="O1618" i="2"/>
  <c r="N1618" i="2"/>
  <c r="L1618" i="2"/>
  <c r="O1615" i="2"/>
  <c r="N1615" i="2"/>
  <c r="L1615" i="2"/>
  <c r="O1614" i="2"/>
  <c r="N1614" i="2"/>
  <c r="L1614" i="2"/>
  <c r="O1611" i="2"/>
  <c r="N1611" i="2"/>
  <c r="L1611" i="2"/>
  <c r="O1610" i="2"/>
  <c r="N1610" i="2"/>
  <c r="L1610" i="2"/>
  <c r="O1609" i="2"/>
  <c r="N1609" i="2"/>
  <c r="L1609" i="2"/>
  <c r="O1600" i="2"/>
  <c r="N1600" i="2"/>
  <c r="L1600" i="2"/>
  <c r="O1597" i="2"/>
  <c r="N1597" i="2"/>
  <c r="L1597" i="2"/>
  <c r="O1595" i="2"/>
  <c r="N1595" i="2"/>
  <c r="L1595" i="2"/>
  <c r="O1594" i="2"/>
  <c r="N1594" i="2"/>
  <c r="L1594" i="2"/>
  <c r="O1592" i="2"/>
  <c r="N1592" i="2"/>
  <c r="L1592" i="2"/>
  <c r="O1591" i="2"/>
  <c r="N1591" i="2"/>
  <c r="L1591" i="2"/>
  <c r="O1590" i="2"/>
  <c r="N1590" i="2"/>
  <c r="L1590" i="2"/>
  <c r="O1589" i="2"/>
  <c r="N1589" i="2"/>
  <c r="L1589" i="2"/>
  <c r="O1588" i="2"/>
  <c r="N1588" i="2"/>
  <c r="L1588" i="2"/>
  <c r="O1587" i="2"/>
  <c r="N1587" i="2"/>
  <c r="L1587" i="2"/>
  <c r="O1585" i="2"/>
  <c r="N1585" i="2"/>
  <c r="L1585" i="2"/>
  <c r="O1583" i="2"/>
  <c r="N1583" i="2"/>
  <c r="L1583" i="2"/>
  <c r="O1581" i="2"/>
  <c r="N1581" i="2"/>
  <c r="L1581" i="2"/>
  <c r="O1579" i="2"/>
  <c r="N1579" i="2"/>
  <c r="L1579" i="2"/>
  <c r="O1578" i="2"/>
  <c r="N1578" i="2"/>
  <c r="L1578" i="2"/>
  <c r="O1577" i="2"/>
  <c r="N1577" i="2"/>
  <c r="L1577" i="2"/>
  <c r="O1576" i="2"/>
  <c r="N1576" i="2"/>
  <c r="L1576" i="2"/>
  <c r="O1574" i="2"/>
  <c r="N1574" i="2"/>
  <c r="L1574" i="2"/>
  <c r="O1571" i="2"/>
  <c r="N1571" i="2"/>
  <c r="L1571" i="2"/>
  <c r="O1568" i="2"/>
  <c r="N1568" i="2"/>
  <c r="L1568" i="2"/>
  <c r="O1567" i="2"/>
  <c r="N1567" i="2"/>
  <c r="L1567" i="2"/>
  <c r="O1566" i="2"/>
  <c r="N1566" i="2"/>
  <c r="L1566" i="2"/>
  <c r="O1564" i="2"/>
  <c r="N1564" i="2"/>
  <c r="L1564" i="2"/>
  <c r="O1563" i="2"/>
  <c r="N1563" i="2"/>
  <c r="L1563" i="2"/>
  <c r="O1557" i="2"/>
  <c r="N1557" i="2"/>
  <c r="L1557" i="2"/>
  <c r="O1556" i="2"/>
  <c r="N1556" i="2"/>
  <c r="L1556" i="2"/>
  <c r="O1554" i="2"/>
  <c r="N1554" i="2"/>
  <c r="L1554" i="2"/>
  <c r="O1552" i="2"/>
  <c r="N1552" i="2"/>
  <c r="L1552" i="2"/>
  <c r="O1551" i="2"/>
  <c r="N1551" i="2"/>
  <c r="L1551" i="2"/>
  <c r="O1549" i="2"/>
  <c r="N1549" i="2"/>
  <c r="L1549" i="2"/>
  <c r="O1548" i="2"/>
  <c r="N1548" i="2"/>
  <c r="L1548" i="2"/>
  <c r="O1546" i="2"/>
  <c r="N1546" i="2"/>
  <c r="L1546" i="2"/>
  <c r="O1541" i="2"/>
  <c r="N1541" i="2"/>
  <c r="L1541" i="2"/>
  <c r="O1540" i="2"/>
  <c r="N1540" i="2"/>
  <c r="L1540" i="2"/>
  <c r="O1538" i="2"/>
  <c r="N1538" i="2"/>
  <c r="L1538" i="2"/>
  <c r="O1537" i="2"/>
  <c r="N1537" i="2"/>
  <c r="L1537" i="2"/>
  <c r="O1536" i="2"/>
  <c r="N1536" i="2"/>
  <c r="L1536" i="2"/>
  <c r="O1535" i="2"/>
  <c r="N1535" i="2"/>
  <c r="L1535" i="2"/>
  <c r="O1534" i="2"/>
  <c r="N1534" i="2"/>
  <c r="L1534" i="2"/>
  <c r="O1532" i="2"/>
  <c r="N1532" i="2"/>
  <c r="L1532" i="2"/>
  <c r="O1529" i="2"/>
  <c r="N1529" i="2"/>
  <c r="L1529" i="2"/>
  <c r="O1527" i="2"/>
  <c r="N1527" i="2"/>
  <c r="L1527" i="2"/>
  <c r="O1525" i="2"/>
  <c r="N1525" i="2"/>
  <c r="L1525" i="2"/>
  <c r="O1524" i="2"/>
  <c r="N1524" i="2"/>
  <c r="L1524" i="2"/>
  <c r="O1522" i="2"/>
  <c r="N1522" i="2"/>
  <c r="L1522" i="2"/>
  <c r="O1518" i="2"/>
  <c r="N1518" i="2"/>
  <c r="L1518" i="2"/>
  <c r="O1516" i="2"/>
  <c r="N1516" i="2"/>
  <c r="L1516" i="2"/>
  <c r="O1515" i="2"/>
  <c r="N1515" i="2"/>
  <c r="L1515" i="2"/>
  <c r="O1514" i="2"/>
  <c r="N1514" i="2"/>
  <c r="L1514" i="2"/>
  <c r="O1512" i="2"/>
  <c r="N1512" i="2"/>
  <c r="L1512" i="2"/>
  <c r="O1511" i="2"/>
  <c r="N1511" i="2"/>
  <c r="L1511" i="2"/>
  <c r="O1510" i="2"/>
  <c r="N1510" i="2"/>
  <c r="L1510" i="2"/>
  <c r="O1507" i="2"/>
  <c r="N1507" i="2"/>
  <c r="L1507" i="2"/>
  <c r="O1506" i="2"/>
  <c r="N1506" i="2"/>
  <c r="L1506" i="2"/>
  <c r="O1503" i="2"/>
  <c r="N1503" i="2"/>
  <c r="L1503" i="2"/>
  <c r="O1501" i="2"/>
  <c r="N1501" i="2"/>
  <c r="L1501" i="2"/>
  <c r="O1500" i="2"/>
  <c r="N1500" i="2"/>
  <c r="L1500" i="2"/>
  <c r="O1498" i="2"/>
  <c r="N1498" i="2"/>
  <c r="L1498" i="2"/>
  <c r="O1497" i="2"/>
  <c r="N1497" i="2"/>
  <c r="L1497" i="2"/>
  <c r="O1496" i="2"/>
  <c r="N1496" i="2"/>
  <c r="L1496" i="2"/>
  <c r="O1494" i="2"/>
  <c r="N1494" i="2"/>
  <c r="L1494" i="2"/>
  <c r="O1492" i="2"/>
  <c r="N1492" i="2"/>
  <c r="L1492" i="2"/>
  <c r="O1491" i="2"/>
  <c r="N1491" i="2"/>
  <c r="L1491" i="2"/>
  <c r="O1488" i="2"/>
  <c r="N1488" i="2"/>
  <c r="L1488" i="2"/>
  <c r="O1486" i="2"/>
  <c r="N1486" i="2"/>
  <c r="L1486" i="2"/>
  <c r="O1485" i="2"/>
  <c r="N1485" i="2"/>
  <c r="L1485" i="2"/>
  <c r="O1484" i="2"/>
  <c r="N1484" i="2"/>
  <c r="L1484" i="2"/>
  <c r="O1483" i="2"/>
  <c r="N1483" i="2"/>
  <c r="L1483" i="2"/>
  <c r="O1482" i="2"/>
  <c r="N1482" i="2"/>
  <c r="L1482" i="2"/>
  <c r="O1480" i="2"/>
  <c r="N1480" i="2"/>
  <c r="L1480" i="2"/>
  <c r="O1477" i="2"/>
  <c r="N1477" i="2"/>
  <c r="L1477" i="2"/>
  <c r="O1475" i="2"/>
  <c r="N1475" i="2"/>
  <c r="L1475" i="2"/>
  <c r="O1474" i="2"/>
  <c r="N1474" i="2"/>
  <c r="L1474" i="2"/>
  <c r="O1473" i="2"/>
  <c r="N1473" i="2"/>
  <c r="L1473" i="2"/>
  <c r="O1471" i="2"/>
  <c r="N1471" i="2"/>
  <c r="L1471" i="2"/>
  <c r="O1470" i="2"/>
  <c r="N1470" i="2"/>
  <c r="L1470" i="2"/>
  <c r="O1468" i="2"/>
  <c r="N1468" i="2"/>
  <c r="L1468" i="2"/>
  <c r="O1467" i="2"/>
  <c r="N1467" i="2"/>
  <c r="L1467" i="2"/>
  <c r="O1466" i="2"/>
  <c r="N1466" i="2"/>
  <c r="L1466" i="2"/>
  <c r="O1465" i="2"/>
  <c r="N1465" i="2"/>
  <c r="L1465" i="2"/>
  <c r="O1464" i="2"/>
  <c r="N1464" i="2"/>
  <c r="L1464" i="2"/>
  <c r="O1460" i="2"/>
  <c r="N1460" i="2"/>
  <c r="L1460" i="2"/>
  <c r="O1459" i="2"/>
  <c r="N1459" i="2"/>
  <c r="L1459" i="2"/>
  <c r="O1456" i="2"/>
  <c r="N1456" i="2"/>
  <c r="L1456" i="2"/>
  <c r="O1455" i="2"/>
  <c r="N1455" i="2"/>
  <c r="L1455" i="2"/>
  <c r="O1454" i="2"/>
  <c r="N1454" i="2"/>
  <c r="L1454" i="2"/>
  <c r="O1453" i="2"/>
  <c r="N1453" i="2"/>
  <c r="L1453" i="2"/>
  <c r="O1452" i="2"/>
  <c r="N1452" i="2"/>
  <c r="L1452" i="2"/>
  <c r="O1451" i="2"/>
  <c r="N1451" i="2"/>
  <c r="L1451" i="2"/>
  <c r="O1450" i="2"/>
  <c r="N1450" i="2"/>
  <c r="L1450" i="2"/>
  <c r="O1447" i="2"/>
  <c r="N1447" i="2"/>
  <c r="L1447" i="2"/>
  <c r="O1444" i="2"/>
  <c r="N1444" i="2"/>
  <c r="L1444" i="2"/>
  <c r="O1442" i="2"/>
  <c r="N1442" i="2"/>
  <c r="L1442" i="2"/>
  <c r="O1440" i="2"/>
  <c r="N1440" i="2"/>
  <c r="L1440" i="2"/>
  <c r="O1439" i="2"/>
  <c r="N1439" i="2"/>
  <c r="L1439" i="2"/>
  <c r="O1438" i="2"/>
  <c r="N1438" i="2"/>
  <c r="L1438" i="2"/>
  <c r="O1436" i="2"/>
  <c r="N1436" i="2"/>
  <c r="L1436" i="2"/>
  <c r="O1435" i="2"/>
  <c r="N1435" i="2"/>
  <c r="L1435" i="2"/>
  <c r="O1433" i="2"/>
  <c r="N1433" i="2"/>
  <c r="L1433" i="2"/>
  <c r="O1432" i="2"/>
  <c r="N1432" i="2"/>
  <c r="L1432" i="2"/>
  <c r="O1424" i="2"/>
  <c r="N1424" i="2"/>
  <c r="L1424" i="2"/>
  <c r="O1422" i="2"/>
  <c r="N1422" i="2"/>
  <c r="L1422" i="2"/>
  <c r="O1421" i="2"/>
  <c r="N1421" i="2"/>
  <c r="L1421" i="2"/>
  <c r="O1419" i="2"/>
  <c r="N1419" i="2"/>
  <c r="L1419" i="2"/>
  <c r="O1418" i="2"/>
  <c r="N1418" i="2"/>
  <c r="L1418" i="2"/>
  <c r="O1416" i="2"/>
  <c r="N1416" i="2"/>
  <c r="L1416" i="2"/>
  <c r="O1415" i="2"/>
  <c r="N1415" i="2"/>
  <c r="L1415" i="2"/>
  <c r="O1414" i="2"/>
  <c r="N1414" i="2"/>
  <c r="L1414" i="2"/>
  <c r="O1412" i="2"/>
  <c r="N1412" i="2"/>
  <c r="L1412" i="2"/>
  <c r="O1408" i="2"/>
  <c r="N1408" i="2"/>
  <c r="L1408" i="2"/>
  <c r="O1407" i="2"/>
  <c r="N1407" i="2"/>
  <c r="L1407" i="2"/>
  <c r="O1406" i="2"/>
  <c r="N1406" i="2"/>
  <c r="L1406" i="2"/>
  <c r="O1405" i="2"/>
  <c r="N1405" i="2"/>
  <c r="L1405" i="2"/>
  <c r="O1404" i="2"/>
  <c r="N1404" i="2"/>
  <c r="L1404" i="2"/>
  <c r="O1403" i="2"/>
  <c r="N1403" i="2"/>
  <c r="L1403" i="2"/>
  <c r="O1400" i="2"/>
  <c r="N1400" i="2"/>
  <c r="L1400" i="2"/>
  <c r="O1399" i="2"/>
  <c r="N1399" i="2"/>
  <c r="L1399" i="2"/>
  <c r="O1396" i="2"/>
  <c r="N1396" i="2"/>
  <c r="L1396" i="2"/>
  <c r="O1395" i="2"/>
  <c r="N1395" i="2"/>
  <c r="L1395" i="2"/>
  <c r="O1394" i="2"/>
  <c r="N1394" i="2"/>
  <c r="L1394" i="2"/>
  <c r="O1390" i="2"/>
  <c r="N1390" i="2"/>
  <c r="L1390" i="2"/>
  <c r="O1387" i="2"/>
  <c r="N1387" i="2"/>
  <c r="L1387" i="2"/>
  <c r="O1386" i="2"/>
  <c r="N1386" i="2"/>
  <c r="L1386" i="2"/>
  <c r="O1385" i="2"/>
  <c r="N1385" i="2"/>
  <c r="L1385" i="2"/>
  <c r="O1384" i="2"/>
  <c r="N1384" i="2"/>
  <c r="L1384" i="2"/>
  <c r="O1383" i="2"/>
  <c r="N1383" i="2"/>
  <c r="L1383" i="2"/>
  <c r="O1382" i="2"/>
  <c r="N1382" i="2"/>
  <c r="L1382" i="2"/>
  <c r="O1381" i="2"/>
  <c r="N1381" i="2"/>
  <c r="L1381" i="2"/>
  <c r="O1380" i="2"/>
  <c r="N1380" i="2"/>
  <c r="L1380" i="2"/>
  <c r="O1379" i="2"/>
  <c r="N1379" i="2"/>
  <c r="L1379" i="2"/>
  <c r="O1378" i="2"/>
  <c r="N1378" i="2"/>
  <c r="L1378" i="2"/>
  <c r="O1377" i="2"/>
  <c r="N1377" i="2"/>
  <c r="L1377" i="2"/>
  <c r="O1375" i="2"/>
  <c r="N1375" i="2"/>
  <c r="L1375" i="2"/>
  <c r="O1373" i="2"/>
  <c r="N1373" i="2"/>
  <c r="L1373" i="2"/>
  <c r="O1370" i="2"/>
  <c r="N1370" i="2"/>
  <c r="L1370" i="2"/>
  <c r="O1369" i="2"/>
  <c r="N1369" i="2"/>
  <c r="L1369" i="2"/>
  <c r="O1367" i="2"/>
  <c r="N1367" i="2"/>
  <c r="L1367" i="2"/>
  <c r="O1366" i="2"/>
  <c r="N1366" i="2"/>
  <c r="L1366" i="2"/>
  <c r="O1365" i="2"/>
  <c r="N1365" i="2"/>
  <c r="L1365" i="2"/>
  <c r="O1361" i="2"/>
  <c r="N1361" i="2"/>
  <c r="L1361" i="2"/>
  <c r="O1358" i="2"/>
  <c r="N1358" i="2"/>
  <c r="L1358" i="2"/>
  <c r="O1357" i="2"/>
  <c r="N1357" i="2"/>
  <c r="L1357" i="2"/>
  <c r="O1356" i="2"/>
  <c r="N1356" i="2"/>
  <c r="L1356" i="2"/>
  <c r="O1355" i="2"/>
  <c r="N1355" i="2"/>
  <c r="L1355" i="2"/>
  <c r="O1350" i="2"/>
  <c r="N1350" i="2"/>
  <c r="L1350" i="2"/>
  <c r="O1348" i="2"/>
  <c r="N1348" i="2"/>
  <c r="L1348" i="2"/>
  <c r="O1344" i="2"/>
  <c r="N1344" i="2"/>
  <c r="L1344" i="2"/>
  <c r="O1343" i="2"/>
  <c r="N1343" i="2"/>
  <c r="L1343" i="2"/>
  <c r="O1341" i="2"/>
  <c r="N1341" i="2"/>
  <c r="L1341" i="2"/>
  <c r="O1339" i="2"/>
  <c r="N1339" i="2"/>
  <c r="L1339" i="2"/>
  <c r="O1338" i="2"/>
  <c r="N1338" i="2"/>
  <c r="L1338" i="2"/>
  <c r="O1336" i="2"/>
  <c r="N1336" i="2"/>
  <c r="L1336" i="2"/>
  <c r="O1335" i="2"/>
  <c r="N1335" i="2"/>
  <c r="L1335" i="2"/>
  <c r="O1334" i="2"/>
  <c r="N1334" i="2"/>
  <c r="L1334" i="2"/>
  <c r="O1332" i="2"/>
  <c r="N1332" i="2"/>
  <c r="L1332" i="2"/>
  <c r="O1330" i="2"/>
  <c r="N1330" i="2"/>
  <c r="L1330" i="2"/>
  <c r="O1329" i="2"/>
  <c r="N1329" i="2"/>
  <c r="L1329" i="2"/>
  <c r="O1327" i="2"/>
  <c r="N1327" i="2"/>
  <c r="L1327" i="2"/>
  <c r="O1325" i="2"/>
  <c r="N1325" i="2"/>
  <c r="L1325" i="2"/>
  <c r="O1322" i="2"/>
  <c r="N1322" i="2"/>
  <c r="L1322" i="2"/>
  <c r="O1321" i="2"/>
  <c r="N1321" i="2"/>
  <c r="L1321" i="2"/>
  <c r="O1320" i="2"/>
  <c r="N1320" i="2"/>
  <c r="L1320" i="2"/>
  <c r="O1319" i="2"/>
  <c r="N1319" i="2"/>
  <c r="L1319" i="2"/>
  <c r="O1318" i="2"/>
  <c r="N1318" i="2"/>
  <c r="L1318" i="2"/>
  <c r="O1317" i="2"/>
  <c r="N1317" i="2"/>
  <c r="L1317" i="2"/>
  <c r="O1316" i="2"/>
  <c r="N1316" i="2"/>
  <c r="L1316" i="2"/>
  <c r="O1314" i="2"/>
  <c r="N1314" i="2"/>
  <c r="L1314" i="2"/>
  <c r="O1312" i="2"/>
  <c r="N1312" i="2"/>
  <c r="L1312" i="2"/>
  <c r="O1310" i="2"/>
  <c r="N1310" i="2"/>
  <c r="L1310" i="2"/>
  <c r="O1309" i="2"/>
  <c r="N1309" i="2"/>
  <c r="L1309" i="2"/>
  <c r="O1306" i="2"/>
  <c r="N1306" i="2"/>
  <c r="L1306" i="2"/>
  <c r="O1303" i="2"/>
  <c r="N1303" i="2"/>
  <c r="L1303" i="2"/>
  <c r="O1301" i="2"/>
  <c r="N1301" i="2"/>
  <c r="L1301" i="2"/>
  <c r="O1298" i="2"/>
  <c r="N1298" i="2"/>
  <c r="L1298" i="2"/>
  <c r="O1296" i="2"/>
  <c r="N1296" i="2"/>
  <c r="L1296" i="2"/>
  <c r="O1295" i="2"/>
  <c r="N1295" i="2"/>
  <c r="L1295" i="2"/>
  <c r="O1293" i="2"/>
  <c r="N1293" i="2"/>
  <c r="L1293" i="2"/>
  <c r="O1291" i="2"/>
  <c r="N1291" i="2"/>
  <c r="L1291" i="2"/>
  <c r="O1290" i="2"/>
  <c r="N1290" i="2"/>
  <c r="L1290" i="2"/>
  <c r="O1289" i="2"/>
  <c r="N1289" i="2"/>
  <c r="L1289" i="2"/>
  <c r="O1285" i="2"/>
  <c r="N1285" i="2"/>
  <c r="L1285" i="2"/>
  <c r="O1283" i="2"/>
  <c r="N1283" i="2"/>
  <c r="L1283" i="2"/>
  <c r="O1281" i="2"/>
  <c r="N1281" i="2"/>
  <c r="L1281" i="2"/>
  <c r="O1279" i="2"/>
  <c r="N1279" i="2"/>
  <c r="L1279" i="2"/>
  <c r="O1278" i="2"/>
  <c r="N1278" i="2"/>
  <c r="L1278" i="2"/>
  <c r="O1277" i="2"/>
  <c r="N1277" i="2"/>
  <c r="L1277" i="2"/>
  <c r="O1276" i="2"/>
  <c r="N1276" i="2"/>
  <c r="L1276" i="2"/>
  <c r="O1275" i="2"/>
  <c r="N1275" i="2"/>
  <c r="L1275" i="2"/>
  <c r="O1274" i="2"/>
  <c r="N1274" i="2"/>
  <c r="L1274" i="2"/>
  <c r="O1273" i="2"/>
  <c r="N1273" i="2"/>
  <c r="L1273" i="2"/>
  <c r="O1272" i="2"/>
  <c r="N1272" i="2"/>
  <c r="L1272" i="2"/>
  <c r="O1271" i="2"/>
  <c r="N1271" i="2"/>
  <c r="L1271" i="2"/>
  <c r="O1270" i="2"/>
  <c r="N1270" i="2"/>
  <c r="L1270" i="2"/>
  <c r="O1268" i="2"/>
  <c r="N1268" i="2"/>
  <c r="L1268" i="2"/>
  <c r="O1266" i="2"/>
  <c r="N1266" i="2"/>
  <c r="L1266" i="2"/>
  <c r="O1264" i="2"/>
  <c r="N1264" i="2"/>
  <c r="L1264" i="2"/>
  <c r="O1262" i="2"/>
  <c r="N1262" i="2"/>
  <c r="L1262" i="2"/>
  <c r="O1261" i="2"/>
  <c r="N1261" i="2"/>
  <c r="L1261" i="2"/>
  <c r="O1258" i="2"/>
  <c r="N1258" i="2"/>
  <c r="L1258" i="2"/>
  <c r="O1257" i="2"/>
  <c r="N1257" i="2"/>
  <c r="L1257" i="2"/>
  <c r="O1256" i="2"/>
  <c r="N1256" i="2"/>
  <c r="L1256" i="2"/>
  <c r="O1254" i="2"/>
  <c r="N1254" i="2"/>
  <c r="L1254" i="2"/>
  <c r="O1253" i="2"/>
  <c r="N1253" i="2"/>
  <c r="L1253" i="2"/>
  <c r="O1252" i="2"/>
  <c r="N1252" i="2"/>
  <c r="L1252" i="2"/>
  <c r="O1249" i="2"/>
  <c r="N1249" i="2"/>
  <c r="L1249" i="2"/>
  <c r="O1246" i="2"/>
  <c r="N1246" i="2"/>
  <c r="L1246" i="2"/>
  <c r="O1245" i="2"/>
  <c r="N1245" i="2"/>
  <c r="L1245" i="2"/>
  <c r="O1243" i="2"/>
  <c r="N1243" i="2"/>
  <c r="L1243" i="2"/>
  <c r="O1242" i="2"/>
  <c r="N1242" i="2"/>
  <c r="L1242" i="2"/>
  <c r="O1239" i="2"/>
  <c r="N1239" i="2"/>
  <c r="L1239" i="2"/>
  <c r="O1238" i="2"/>
  <c r="N1238" i="2"/>
  <c r="L1238" i="2"/>
  <c r="O1229" i="2"/>
  <c r="N1229" i="2"/>
  <c r="L1229" i="2"/>
  <c r="O1228" i="2"/>
  <c r="N1228" i="2"/>
  <c r="L1228" i="2"/>
  <c r="O1227" i="2"/>
  <c r="N1227" i="2"/>
  <c r="L1227" i="2"/>
  <c r="O1226" i="2"/>
  <c r="N1226" i="2"/>
  <c r="L1226" i="2"/>
  <c r="O1224" i="2"/>
  <c r="N1224" i="2"/>
  <c r="L1224" i="2"/>
  <c r="O1222" i="2"/>
  <c r="N1222" i="2"/>
  <c r="L1222" i="2"/>
  <c r="O1220" i="2"/>
  <c r="N1220" i="2"/>
  <c r="L1220" i="2"/>
  <c r="O1219" i="2"/>
  <c r="N1219" i="2"/>
  <c r="L1219" i="2"/>
  <c r="O1217" i="2"/>
  <c r="N1217" i="2"/>
  <c r="L1217" i="2"/>
  <c r="O1215" i="2"/>
  <c r="N1215" i="2"/>
  <c r="L1215" i="2"/>
  <c r="O1214" i="2"/>
  <c r="N1214" i="2"/>
  <c r="L1214" i="2"/>
  <c r="O1212" i="2"/>
  <c r="N1212" i="2"/>
  <c r="L1212" i="2"/>
  <c r="O1211" i="2"/>
  <c r="N1211" i="2"/>
  <c r="L1211" i="2"/>
  <c r="O1209" i="2"/>
  <c r="N1209" i="2"/>
  <c r="L1209" i="2"/>
  <c r="O1207" i="2"/>
  <c r="N1207" i="2"/>
  <c r="L1207" i="2"/>
  <c r="O1205" i="2"/>
  <c r="N1205" i="2"/>
  <c r="L1205" i="2"/>
  <c r="O1204" i="2"/>
  <c r="N1204" i="2"/>
  <c r="L1204" i="2"/>
  <c r="O1203" i="2"/>
  <c r="N1203" i="2"/>
  <c r="L1203" i="2"/>
  <c r="O1202" i="2"/>
  <c r="N1202" i="2"/>
  <c r="L1202" i="2"/>
  <c r="O1200" i="2"/>
  <c r="N1200" i="2"/>
  <c r="L1200" i="2"/>
  <c r="O1199" i="2"/>
  <c r="N1199" i="2"/>
  <c r="L1199" i="2"/>
  <c r="O1197" i="2"/>
  <c r="N1197" i="2"/>
  <c r="L1197" i="2"/>
  <c r="O1195" i="2"/>
  <c r="N1195" i="2"/>
  <c r="L1195" i="2"/>
  <c r="O1194" i="2"/>
  <c r="N1194" i="2"/>
  <c r="L1194" i="2"/>
  <c r="O1191" i="2"/>
  <c r="N1191" i="2"/>
  <c r="L1191" i="2"/>
  <c r="O1189" i="2"/>
  <c r="N1189" i="2"/>
  <c r="L1189" i="2"/>
  <c r="O1188" i="2"/>
  <c r="N1188" i="2"/>
  <c r="L1188" i="2"/>
  <c r="O1187" i="2"/>
  <c r="N1187" i="2"/>
  <c r="L1187" i="2"/>
  <c r="O1186" i="2"/>
  <c r="N1186" i="2"/>
  <c r="L1186" i="2"/>
  <c r="O1185" i="2"/>
  <c r="N1185" i="2"/>
  <c r="L1185" i="2"/>
  <c r="O1183" i="2"/>
  <c r="N1183" i="2"/>
  <c r="L1183" i="2"/>
  <c r="O1181" i="2"/>
  <c r="N1181" i="2"/>
  <c r="L1181" i="2"/>
  <c r="O1180" i="2"/>
  <c r="N1180" i="2"/>
  <c r="L1180" i="2"/>
  <c r="O1179" i="2"/>
  <c r="N1179" i="2"/>
  <c r="L1179" i="2"/>
  <c r="O1177" i="2"/>
  <c r="N1177" i="2"/>
  <c r="L1177" i="2"/>
  <c r="O1176" i="2"/>
  <c r="N1176" i="2"/>
  <c r="L1176" i="2"/>
  <c r="O1174" i="2"/>
  <c r="N1174" i="2"/>
  <c r="L1174" i="2"/>
  <c r="O1172" i="2"/>
  <c r="N1172" i="2"/>
  <c r="L1172" i="2"/>
  <c r="O1171" i="2"/>
  <c r="N1171" i="2"/>
  <c r="L1171" i="2"/>
  <c r="O1170" i="2"/>
  <c r="N1170" i="2"/>
  <c r="L1170" i="2"/>
  <c r="O1168" i="2"/>
  <c r="N1168" i="2"/>
  <c r="L1168" i="2"/>
  <c r="O1167" i="2"/>
  <c r="N1167" i="2"/>
  <c r="L1167" i="2"/>
  <c r="O1166" i="2"/>
  <c r="N1166" i="2"/>
  <c r="L1166" i="2"/>
  <c r="O1165" i="2"/>
  <c r="N1165" i="2"/>
  <c r="L1165" i="2"/>
  <c r="O1164" i="2"/>
  <c r="N1164" i="2"/>
  <c r="L1164" i="2"/>
  <c r="O1163" i="2"/>
  <c r="N1163" i="2"/>
  <c r="L1163" i="2"/>
  <c r="O1161" i="2"/>
  <c r="N1161" i="2"/>
  <c r="L1161" i="2"/>
  <c r="O1160" i="2"/>
  <c r="N1160" i="2"/>
  <c r="L1160" i="2"/>
  <c r="O1153" i="2"/>
  <c r="N1153" i="2"/>
  <c r="L1153" i="2"/>
  <c r="O1152" i="2"/>
  <c r="N1152" i="2"/>
  <c r="L1152" i="2"/>
  <c r="O1148" i="2"/>
  <c r="N1148" i="2"/>
  <c r="L1148" i="2"/>
  <c r="O1147" i="2"/>
  <c r="N1147" i="2"/>
  <c r="L1147" i="2"/>
  <c r="O1146" i="2"/>
  <c r="N1146" i="2"/>
  <c r="L1146" i="2"/>
  <c r="O1145" i="2"/>
  <c r="N1145" i="2"/>
  <c r="L1145" i="2"/>
  <c r="O1144" i="2"/>
  <c r="N1144" i="2"/>
  <c r="L1144" i="2"/>
  <c r="O1143" i="2"/>
  <c r="N1143" i="2"/>
  <c r="L1143" i="2"/>
  <c r="O1139" i="2"/>
  <c r="N1139" i="2"/>
  <c r="L1139" i="2"/>
  <c r="O1138" i="2"/>
  <c r="N1138" i="2"/>
  <c r="L1138" i="2"/>
  <c r="O1136" i="2"/>
  <c r="N1136" i="2"/>
  <c r="L1136" i="2"/>
  <c r="O1134" i="2"/>
  <c r="N1134" i="2"/>
  <c r="L1134" i="2"/>
  <c r="O1132" i="2"/>
  <c r="N1132" i="2"/>
  <c r="L1132" i="2"/>
  <c r="O1131" i="2"/>
  <c r="N1131" i="2"/>
  <c r="L1131" i="2"/>
  <c r="O1130" i="2"/>
  <c r="N1130" i="2"/>
  <c r="L1130" i="2"/>
  <c r="O1129" i="2"/>
  <c r="N1129" i="2"/>
  <c r="L1129" i="2"/>
  <c r="O1127" i="2"/>
  <c r="N1127" i="2"/>
  <c r="L1127" i="2"/>
  <c r="O1126" i="2"/>
  <c r="N1126" i="2"/>
  <c r="L1126" i="2"/>
  <c r="O1124" i="2"/>
  <c r="N1124" i="2"/>
  <c r="L1124" i="2"/>
  <c r="O1123" i="2"/>
  <c r="N1123" i="2"/>
  <c r="L1123" i="2"/>
  <c r="O1121" i="2"/>
  <c r="N1121" i="2"/>
  <c r="L1121" i="2"/>
  <c r="O1119" i="2"/>
  <c r="N1119" i="2"/>
  <c r="L1119" i="2"/>
  <c r="O1115" i="2"/>
  <c r="N1115" i="2"/>
  <c r="L1115" i="2"/>
  <c r="O1110" i="2"/>
  <c r="N1110" i="2"/>
  <c r="L1110" i="2"/>
  <c r="O1109" i="2"/>
  <c r="N1109" i="2"/>
  <c r="L1109" i="2"/>
  <c r="O1108" i="2"/>
  <c r="N1108" i="2"/>
  <c r="L1108" i="2"/>
  <c r="O1107" i="2"/>
  <c r="N1107" i="2"/>
  <c r="L1107" i="2"/>
  <c r="O1104" i="2"/>
  <c r="N1104" i="2"/>
  <c r="L1104" i="2"/>
  <c r="O1103" i="2"/>
  <c r="N1103" i="2"/>
  <c r="L1103" i="2"/>
  <c r="O1102" i="2"/>
  <c r="N1102" i="2"/>
  <c r="L1102" i="2"/>
  <c r="O1099" i="2"/>
  <c r="N1099" i="2"/>
  <c r="L1099" i="2"/>
  <c r="O1098" i="2"/>
  <c r="N1098" i="2"/>
  <c r="L1098" i="2"/>
  <c r="O1096" i="2"/>
  <c r="N1096" i="2"/>
  <c r="L1096" i="2"/>
  <c r="O1094" i="2"/>
  <c r="N1094" i="2"/>
  <c r="L1094" i="2"/>
  <c r="O1093" i="2"/>
  <c r="N1093" i="2"/>
  <c r="L1093" i="2"/>
  <c r="O1090" i="2"/>
  <c r="N1090" i="2"/>
  <c r="L1090" i="2"/>
  <c r="O1089" i="2"/>
  <c r="N1089" i="2"/>
  <c r="L1089" i="2"/>
  <c r="O1088" i="2"/>
  <c r="N1088" i="2"/>
  <c r="L1088" i="2"/>
  <c r="O1087" i="2"/>
  <c r="N1087" i="2"/>
  <c r="L1087" i="2"/>
  <c r="O1086" i="2"/>
  <c r="N1086" i="2"/>
  <c r="L1086" i="2"/>
  <c r="O1084" i="2"/>
  <c r="N1084" i="2"/>
  <c r="L1084" i="2"/>
  <c r="O1083" i="2"/>
  <c r="N1083" i="2"/>
  <c r="L1083" i="2"/>
  <c r="O1081" i="2"/>
  <c r="N1081" i="2"/>
  <c r="L1081" i="2"/>
  <c r="O1080" i="2"/>
  <c r="N1080" i="2"/>
  <c r="L1080" i="2"/>
  <c r="O1078" i="2"/>
  <c r="N1078" i="2"/>
  <c r="L1078" i="2"/>
  <c r="O1077" i="2"/>
  <c r="N1077" i="2"/>
  <c r="L1077" i="2"/>
  <c r="O1076" i="2"/>
  <c r="N1076" i="2"/>
  <c r="L1076" i="2"/>
  <c r="O1073" i="2"/>
  <c r="N1073" i="2"/>
  <c r="L1073" i="2"/>
  <c r="O1072" i="2"/>
  <c r="N1072" i="2"/>
  <c r="L1072" i="2"/>
  <c r="O1071" i="2"/>
  <c r="N1071" i="2"/>
  <c r="L1071" i="2"/>
  <c r="O1070" i="2"/>
  <c r="N1070" i="2"/>
  <c r="L1070" i="2"/>
  <c r="O1069" i="2"/>
  <c r="N1069" i="2"/>
  <c r="L1069" i="2"/>
  <c r="O1068" i="2"/>
  <c r="N1068" i="2"/>
  <c r="L1068" i="2"/>
  <c r="O1067" i="2"/>
  <c r="N1067" i="2"/>
  <c r="L1067" i="2"/>
  <c r="O1066" i="2"/>
  <c r="N1066" i="2"/>
  <c r="L1066" i="2"/>
  <c r="O1064" i="2"/>
  <c r="N1064" i="2"/>
  <c r="L1064" i="2"/>
  <c r="O1063" i="2"/>
  <c r="N1063" i="2"/>
  <c r="L1063" i="2"/>
  <c r="O1061" i="2"/>
  <c r="N1061" i="2"/>
  <c r="L1061" i="2"/>
  <c r="O1060" i="2"/>
  <c r="N1060" i="2"/>
  <c r="L1060" i="2"/>
  <c r="O1059" i="2"/>
  <c r="N1059" i="2"/>
  <c r="L1059" i="2"/>
  <c r="O1055" i="2"/>
  <c r="N1055" i="2"/>
  <c r="L1055" i="2"/>
  <c r="O1054" i="2"/>
  <c r="N1054" i="2"/>
  <c r="L1054" i="2"/>
  <c r="O1053" i="2"/>
  <c r="N1053" i="2"/>
  <c r="L1053" i="2"/>
  <c r="O1052" i="2"/>
  <c r="N1052" i="2"/>
  <c r="L1052" i="2"/>
  <c r="O1051" i="2"/>
  <c r="N1051" i="2"/>
  <c r="L1051" i="2"/>
  <c r="O1048" i="2"/>
  <c r="N1048" i="2"/>
  <c r="L1048" i="2"/>
  <c r="O1047" i="2"/>
  <c r="N1047" i="2"/>
  <c r="L1047" i="2"/>
  <c r="O1045" i="2"/>
  <c r="N1045" i="2"/>
  <c r="L1045" i="2"/>
  <c r="O1044" i="2"/>
  <c r="N1044" i="2"/>
  <c r="L1044" i="2"/>
  <c r="O1041" i="2"/>
  <c r="N1041" i="2"/>
  <c r="L1041" i="2"/>
  <c r="O1040" i="2"/>
  <c r="N1040" i="2"/>
  <c r="L1040" i="2"/>
  <c r="O1039" i="2"/>
  <c r="N1039" i="2"/>
  <c r="L1039" i="2"/>
  <c r="O1037" i="2"/>
  <c r="N1037" i="2"/>
  <c r="L1037" i="2"/>
  <c r="O1034" i="2"/>
  <c r="N1034" i="2"/>
  <c r="L1034" i="2"/>
  <c r="O1032" i="2"/>
  <c r="N1032" i="2"/>
  <c r="L1032" i="2"/>
  <c r="O1031" i="2"/>
  <c r="N1031" i="2"/>
  <c r="L1031" i="2"/>
  <c r="O1029" i="2"/>
  <c r="N1029" i="2"/>
  <c r="L1029" i="2"/>
  <c r="O1028" i="2"/>
  <c r="N1028" i="2"/>
  <c r="L1028" i="2"/>
  <c r="O1026" i="2"/>
  <c r="N1026" i="2"/>
  <c r="L1026" i="2"/>
  <c r="O1024" i="2"/>
  <c r="N1024" i="2"/>
  <c r="L1024" i="2"/>
  <c r="O1022" i="2"/>
  <c r="N1022" i="2"/>
  <c r="L1022" i="2"/>
  <c r="O1021" i="2"/>
  <c r="N1021" i="2"/>
  <c r="L1021" i="2"/>
  <c r="O1018" i="2"/>
  <c r="N1018" i="2"/>
  <c r="L1018" i="2"/>
  <c r="O1014" i="2"/>
  <c r="N1014" i="2"/>
  <c r="L1014" i="2"/>
  <c r="O1013" i="2"/>
  <c r="N1013" i="2"/>
  <c r="L1013" i="2"/>
  <c r="O1010" i="2"/>
  <c r="N1010" i="2"/>
  <c r="L1010" i="2"/>
  <c r="O1007" i="2"/>
  <c r="N1007" i="2"/>
  <c r="L1007" i="2"/>
  <c r="O1004" i="2"/>
  <c r="N1004" i="2"/>
  <c r="L1004" i="2"/>
  <c r="O1003" i="2"/>
  <c r="N1003" i="2"/>
  <c r="L1003" i="2"/>
  <c r="O1000" i="2"/>
  <c r="N1000" i="2"/>
  <c r="L1000" i="2"/>
  <c r="O999" i="2"/>
  <c r="N999" i="2"/>
  <c r="L999" i="2"/>
  <c r="O998" i="2"/>
  <c r="N998" i="2"/>
  <c r="L998" i="2"/>
  <c r="O996" i="2"/>
  <c r="N996" i="2"/>
  <c r="L996" i="2"/>
  <c r="O993" i="2"/>
  <c r="N993" i="2"/>
  <c r="L993" i="2"/>
  <c r="O992" i="2"/>
  <c r="N992" i="2"/>
  <c r="L992" i="2"/>
  <c r="O990" i="2"/>
  <c r="N990" i="2"/>
  <c r="L990" i="2"/>
  <c r="O989" i="2"/>
  <c r="N989" i="2"/>
  <c r="L989" i="2"/>
  <c r="O988" i="2"/>
  <c r="N988" i="2"/>
  <c r="L988" i="2"/>
  <c r="O987" i="2"/>
  <c r="N987" i="2"/>
  <c r="L987" i="2"/>
  <c r="O986" i="2"/>
  <c r="N986" i="2"/>
  <c r="L986" i="2"/>
  <c r="O983" i="2"/>
  <c r="N983" i="2"/>
  <c r="L983" i="2"/>
  <c r="O982" i="2"/>
  <c r="N982" i="2"/>
  <c r="L982" i="2"/>
  <c r="O980" i="2"/>
  <c r="N980" i="2"/>
  <c r="L980" i="2"/>
  <c r="O978" i="2"/>
  <c r="N978" i="2"/>
  <c r="L978" i="2"/>
  <c r="O977" i="2"/>
  <c r="N977" i="2"/>
  <c r="L977" i="2"/>
  <c r="O972" i="2"/>
  <c r="N972" i="2"/>
  <c r="L972" i="2"/>
  <c r="O971" i="2"/>
  <c r="N971" i="2"/>
  <c r="L971" i="2"/>
  <c r="O970" i="2"/>
  <c r="N970" i="2"/>
  <c r="L970" i="2"/>
  <c r="O969" i="2"/>
  <c r="N969" i="2"/>
  <c r="L969" i="2"/>
  <c r="O965" i="2"/>
  <c r="N965" i="2"/>
  <c r="L965" i="2"/>
  <c r="O964" i="2"/>
  <c r="N964" i="2"/>
  <c r="L964" i="2"/>
  <c r="O963" i="2"/>
  <c r="N963" i="2"/>
  <c r="L963" i="2"/>
  <c r="O962" i="2"/>
  <c r="N962" i="2"/>
  <c r="L962" i="2"/>
  <c r="O961" i="2"/>
  <c r="N961" i="2"/>
  <c r="L961" i="2"/>
  <c r="O960" i="2"/>
  <c r="N960" i="2"/>
  <c r="L960" i="2"/>
  <c r="O959" i="2"/>
  <c r="N959" i="2"/>
  <c r="L959" i="2"/>
  <c r="O957" i="2"/>
  <c r="N957" i="2"/>
  <c r="L957" i="2"/>
  <c r="O956" i="2"/>
  <c r="N956" i="2"/>
  <c r="L956" i="2"/>
  <c r="O955" i="2"/>
  <c r="N955" i="2"/>
  <c r="L955" i="2"/>
  <c r="O951" i="2"/>
  <c r="N951" i="2"/>
  <c r="L951" i="2"/>
  <c r="O950" i="2"/>
  <c r="N950" i="2"/>
  <c r="L950" i="2"/>
  <c r="O949" i="2"/>
  <c r="N949" i="2"/>
  <c r="L949" i="2"/>
  <c r="O948" i="2"/>
  <c r="N948" i="2"/>
  <c r="L948" i="2"/>
  <c r="O947" i="2"/>
  <c r="N947" i="2"/>
  <c r="L947" i="2"/>
  <c r="O944" i="2"/>
  <c r="N944" i="2"/>
  <c r="L944" i="2"/>
  <c r="O943" i="2"/>
  <c r="N943" i="2"/>
  <c r="L943" i="2"/>
  <c r="O942" i="2"/>
  <c r="N942" i="2"/>
  <c r="L942" i="2"/>
  <c r="O941" i="2"/>
  <c r="N941" i="2"/>
  <c r="L941" i="2"/>
  <c r="O940" i="2"/>
  <c r="N940" i="2"/>
  <c r="L940" i="2"/>
  <c r="O938" i="2"/>
  <c r="N938" i="2"/>
  <c r="L938" i="2"/>
  <c r="O937" i="2"/>
  <c r="N937" i="2"/>
  <c r="L937" i="2"/>
  <c r="O935" i="2"/>
  <c r="N935" i="2"/>
  <c r="L935" i="2"/>
  <c r="O934" i="2"/>
  <c r="N934" i="2"/>
  <c r="L934" i="2"/>
  <c r="O932" i="2"/>
  <c r="N932" i="2"/>
  <c r="L932" i="2"/>
  <c r="O931" i="2"/>
  <c r="N931" i="2"/>
  <c r="L931" i="2"/>
  <c r="O930" i="2"/>
  <c r="N930" i="2"/>
  <c r="L930" i="2"/>
  <c r="O928" i="2"/>
  <c r="N928" i="2"/>
  <c r="L928" i="2"/>
  <c r="O927" i="2"/>
  <c r="N927" i="2"/>
  <c r="L927" i="2"/>
  <c r="O926" i="2"/>
  <c r="N926" i="2"/>
  <c r="L926" i="2"/>
  <c r="O925" i="2"/>
  <c r="N925" i="2"/>
  <c r="L925" i="2"/>
  <c r="O923" i="2"/>
  <c r="N923" i="2"/>
  <c r="L923" i="2"/>
  <c r="O921" i="2"/>
  <c r="N921" i="2"/>
  <c r="L921" i="2"/>
  <c r="O919" i="2"/>
  <c r="N919" i="2"/>
  <c r="L919" i="2"/>
  <c r="O918" i="2"/>
  <c r="N918" i="2"/>
  <c r="L918" i="2"/>
  <c r="O917" i="2"/>
  <c r="N917" i="2"/>
  <c r="L917" i="2"/>
  <c r="O916" i="2"/>
  <c r="N916" i="2"/>
  <c r="L916" i="2"/>
  <c r="O914" i="2"/>
  <c r="N914" i="2"/>
  <c r="L914" i="2"/>
  <c r="O913" i="2"/>
  <c r="N913" i="2"/>
  <c r="L913" i="2"/>
  <c r="O908" i="2"/>
  <c r="N908" i="2"/>
  <c r="L908" i="2"/>
  <c r="O907" i="2"/>
  <c r="N907" i="2"/>
  <c r="L907" i="2"/>
  <c r="O905" i="2"/>
  <c r="N905" i="2"/>
  <c r="L905" i="2"/>
  <c r="O904" i="2"/>
  <c r="N904" i="2"/>
  <c r="L904" i="2"/>
  <c r="O903" i="2"/>
  <c r="N903" i="2"/>
  <c r="L903" i="2"/>
  <c r="O900" i="2"/>
  <c r="N900" i="2"/>
  <c r="L900" i="2"/>
  <c r="O899" i="2"/>
  <c r="N899" i="2"/>
  <c r="L899" i="2"/>
  <c r="O898" i="2"/>
  <c r="N898" i="2"/>
  <c r="L898" i="2"/>
  <c r="O896" i="2"/>
  <c r="N896" i="2"/>
  <c r="L896" i="2"/>
  <c r="O895" i="2"/>
  <c r="N895" i="2"/>
  <c r="L895" i="2"/>
  <c r="O894" i="2"/>
  <c r="N894" i="2"/>
  <c r="L894" i="2"/>
  <c r="O893" i="2"/>
  <c r="N893" i="2"/>
  <c r="L893" i="2"/>
  <c r="O892" i="2"/>
  <c r="N892" i="2"/>
  <c r="L892" i="2"/>
  <c r="O890" i="2"/>
  <c r="N890" i="2"/>
  <c r="L890" i="2"/>
  <c r="O888" i="2"/>
  <c r="N888" i="2"/>
  <c r="L888" i="2"/>
  <c r="O887" i="2"/>
  <c r="N887" i="2"/>
  <c r="L887" i="2"/>
  <c r="O885" i="2"/>
  <c r="N885" i="2"/>
  <c r="L885" i="2"/>
  <c r="O884" i="2"/>
  <c r="N884" i="2"/>
  <c r="L884" i="2"/>
  <c r="O882" i="2"/>
  <c r="N882" i="2"/>
  <c r="L882" i="2"/>
  <c r="O879" i="2"/>
  <c r="N879" i="2"/>
  <c r="L879" i="2"/>
  <c r="O876" i="2"/>
  <c r="N876" i="2"/>
  <c r="L876" i="2"/>
  <c r="O875" i="2"/>
  <c r="N875" i="2"/>
  <c r="L875" i="2"/>
  <c r="O874" i="2"/>
  <c r="N874" i="2"/>
  <c r="L874" i="2"/>
  <c r="O873" i="2"/>
  <c r="N873" i="2"/>
  <c r="L873" i="2"/>
  <c r="O871" i="2"/>
  <c r="N871" i="2"/>
  <c r="L871" i="2"/>
  <c r="O870" i="2"/>
  <c r="N870" i="2"/>
  <c r="L870" i="2"/>
  <c r="O867" i="2"/>
  <c r="N867" i="2"/>
  <c r="L867" i="2"/>
  <c r="O866" i="2"/>
  <c r="N866" i="2"/>
  <c r="L866" i="2"/>
  <c r="O863" i="2"/>
  <c r="N863" i="2"/>
  <c r="L863" i="2"/>
  <c r="O860" i="2"/>
  <c r="N860" i="2"/>
  <c r="L860" i="2"/>
  <c r="O859" i="2"/>
  <c r="N859" i="2"/>
  <c r="L859" i="2"/>
  <c r="O858" i="2"/>
  <c r="N858" i="2"/>
  <c r="L858" i="2"/>
  <c r="O857" i="2"/>
  <c r="N857" i="2"/>
  <c r="L857" i="2"/>
  <c r="O855" i="2"/>
  <c r="N855" i="2"/>
  <c r="L855" i="2"/>
  <c r="O853" i="2"/>
  <c r="N853" i="2"/>
  <c r="L853" i="2"/>
  <c r="O852" i="2"/>
  <c r="N852" i="2"/>
  <c r="L852" i="2"/>
  <c r="O850" i="2"/>
  <c r="N850" i="2"/>
  <c r="L850" i="2"/>
  <c r="O849" i="2"/>
  <c r="N849" i="2"/>
  <c r="L849" i="2"/>
  <c r="O848" i="2"/>
  <c r="N848" i="2"/>
  <c r="L848" i="2"/>
  <c r="O846" i="2"/>
  <c r="N846" i="2"/>
  <c r="L846" i="2"/>
  <c r="O845" i="2"/>
  <c r="N845" i="2"/>
  <c r="L845" i="2"/>
  <c r="O844" i="2"/>
  <c r="N844" i="2"/>
  <c r="L844" i="2"/>
  <c r="O842" i="2"/>
  <c r="N842" i="2"/>
  <c r="L842" i="2"/>
  <c r="O840" i="2"/>
  <c r="N840" i="2"/>
  <c r="L840" i="2"/>
  <c r="O839" i="2"/>
  <c r="N839" i="2"/>
  <c r="L839" i="2"/>
  <c r="O838" i="2"/>
  <c r="N838" i="2"/>
  <c r="L838" i="2"/>
  <c r="O836" i="2"/>
  <c r="N836" i="2"/>
  <c r="L836" i="2"/>
  <c r="O835" i="2"/>
  <c r="N835" i="2"/>
  <c r="L835" i="2"/>
  <c r="O832" i="2"/>
  <c r="N832" i="2"/>
  <c r="L832" i="2"/>
  <c r="O830" i="2"/>
  <c r="N830" i="2"/>
  <c r="L830" i="2"/>
  <c r="O825" i="2"/>
  <c r="N825" i="2"/>
  <c r="L825" i="2"/>
  <c r="O824" i="2"/>
  <c r="N824" i="2"/>
  <c r="L824" i="2"/>
  <c r="O822" i="2"/>
  <c r="N822" i="2"/>
  <c r="L822" i="2"/>
  <c r="O821" i="2"/>
  <c r="N821" i="2"/>
  <c r="L821" i="2"/>
  <c r="O820" i="2"/>
  <c r="N820" i="2"/>
  <c r="L820" i="2"/>
  <c r="O817" i="2"/>
  <c r="N817" i="2"/>
  <c r="L817" i="2"/>
  <c r="O816" i="2"/>
  <c r="N816" i="2"/>
  <c r="L816" i="2"/>
  <c r="O814" i="2"/>
  <c r="N814" i="2"/>
  <c r="L814" i="2"/>
  <c r="O813" i="2"/>
  <c r="N813" i="2"/>
  <c r="L813" i="2"/>
  <c r="O812" i="2"/>
  <c r="N812" i="2"/>
  <c r="L812" i="2"/>
  <c r="O808" i="2"/>
  <c r="N808" i="2"/>
  <c r="L808" i="2"/>
  <c r="O807" i="2"/>
  <c r="N807" i="2"/>
  <c r="L807" i="2"/>
  <c r="O806" i="2"/>
  <c r="N806" i="2"/>
  <c r="L806" i="2"/>
  <c r="O805" i="2"/>
  <c r="N805" i="2"/>
  <c r="L805" i="2"/>
  <c r="O804" i="2"/>
  <c r="N804" i="2"/>
  <c r="L804" i="2"/>
  <c r="O803" i="2"/>
  <c r="N803" i="2"/>
  <c r="L803" i="2"/>
  <c r="O802" i="2"/>
  <c r="N802" i="2"/>
  <c r="L802" i="2"/>
  <c r="O801" i="2"/>
  <c r="N801" i="2"/>
  <c r="L801" i="2"/>
  <c r="O798" i="2"/>
  <c r="N798" i="2"/>
  <c r="L798" i="2"/>
  <c r="O797" i="2"/>
  <c r="N797" i="2"/>
  <c r="L797" i="2"/>
  <c r="O796" i="2"/>
  <c r="N796" i="2"/>
  <c r="L796" i="2"/>
  <c r="O794" i="2"/>
  <c r="N794" i="2"/>
  <c r="L794" i="2"/>
  <c r="O793" i="2"/>
  <c r="N793" i="2"/>
  <c r="L793" i="2"/>
  <c r="O791" i="2"/>
  <c r="N791" i="2"/>
  <c r="L791" i="2"/>
  <c r="O790" i="2"/>
  <c r="N790" i="2"/>
  <c r="L790" i="2"/>
  <c r="O789" i="2"/>
  <c r="N789" i="2"/>
  <c r="L789" i="2"/>
  <c r="O786" i="2"/>
  <c r="N786" i="2"/>
  <c r="L786" i="2"/>
  <c r="O784" i="2"/>
  <c r="N784" i="2"/>
  <c r="L784" i="2"/>
  <c r="O783" i="2"/>
  <c r="N783" i="2"/>
  <c r="L783" i="2"/>
  <c r="O781" i="2"/>
  <c r="N781" i="2"/>
  <c r="L781" i="2"/>
  <c r="O780" i="2"/>
  <c r="N780" i="2"/>
  <c r="L780" i="2"/>
  <c r="O779" i="2"/>
  <c r="N779" i="2"/>
  <c r="L779" i="2"/>
  <c r="O777" i="2"/>
  <c r="N777" i="2"/>
  <c r="L777" i="2"/>
  <c r="O776" i="2"/>
  <c r="N776" i="2"/>
  <c r="L776" i="2"/>
  <c r="O775" i="2"/>
  <c r="N775" i="2"/>
  <c r="L775" i="2"/>
  <c r="O774" i="2"/>
  <c r="N774" i="2"/>
  <c r="L774" i="2"/>
  <c r="O773" i="2"/>
  <c r="N773" i="2"/>
  <c r="L773" i="2"/>
  <c r="O772" i="2"/>
  <c r="N772" i="2"/>
  <c r="L772" i="2"/>
  <c r="O771" i="2"/>
  <c r="N771" i="2"/>
  <c r="L771" i="2"/>
  <c r="O768" i="2"/>
  <c r="N768" i="2"/>
  <c r="L768" i="2"/>
  <c r="O764" i="2"/>
  <c r="N764" i="2"/>
  <c r="L764" i="2"/>
  <c r="O763" i="2"/>
  <c r="N763" i="2"/>
  <c r="L763" i="2"/>
  <c r="O760" i="2"/>
  <c r="N760" i="2"/>
  <c r="L760" i="2"/>
  <c r="O758" i="2"/>
  <c r="N758" i="2"/>
  <c r="L758" i="2"/>
  <c r="O757" i="2"/>
  <c r="N757" i="2"/>
  <c r="L757" i="2"/>
  <c r="O755" i="2"/>
  <c r="N755" i="2"/>
  <c r="L755" i="2"/>
  <c r="O750" i="2"/>
  <c r="N750" i="2"/>
  <c r="L750" i="2"/>
  <c r="O749" i="2"/>
  <c r="N749" i="2"/>
  <c r="L749" i="2"/>
  <c r="O742" i="2"/>
  <c r="N742" i="2"/>
  <c r="L742" i="2"/>
  <c r="O739" i="2"/>
  <c r="N739" i="2"/>
  <c r="L739" i="2"/>
  <c r="O738" i="2"/>
  <c r="N738" i="2"/>
  <c r="L738" i="2"/>
  <c r="O736" i="2"/>
  <c r="N736" i="2"/>
  <c r="L736" i="2"/>
  <c r="O735" i="2"/>
  <c r="N735" i="2"/>
  <c r="L735" i="2"/>
  <c r="O734" i="2"/>
  <c r="N734" i="2"/>
  <c r="L734" i="2"/>
  <c r="O733" i="2"/>
  <c r="N733" i="2"/>
  <c r="L733" i="2"/>
  <c r="O732" i="2"/>
  <c r="N732" i="2"/>
  <c r="L732" i="2"/>
  <c r="O729" i="2"/>
  <c r="N729" i="2"/>
  <c r="L729" i="2"/>
  <c r="O726" i="2"/>
  <c r="N726" i="2"/>
  <c r="L726" i="2"/>
  <c r="O725" i="2"/>
  <c r="N725" i="2"/>
  <c r="L725" i="2"/>
  <c r="O724" i="2"/>
  <c r="N724" i="2"/>
  <c r="L724" i="2"/>
  <c r="O722" i="2"/>
  <c r="N722" i="2"/>
  <c r="L722" i="2"/>
  <c r="O721" i="2"/>
  <c r="N721" i="2"/>
  <c r="L721" i="2"/>
  <c r="O720" i="2"/>
  <c r="N720" i="2"/>
  <c r="L720" i="2"/>
  <c r="O718" i="2"/>
  <c r="N718" i="2"/>
  <c r="L718" i="2"/>
  <c r="O717" i="2"/>
  <c r="N717" i="2"/>
  <c r="L717" i="2"/>
  <c r="O715" i="2"/>
  <c r="N715" i="2"/>
  <c r="L715" i="2"/>
  <c r="O714" i="2"/>
  <c r="N714" i="2"/>
  <c r="L714" i="2"/>
  <c r="O708" i="2"/>
  <c r="N708" i="2"/>
  <c r="L708" i="2"/>
  <c r="O707" i="2"/>
  <c r="N707" i="2"/>
  <c r="L707" i="2"/>
  <c r="O705" i="2"/>
  <c r="N705" i="2"/>
  <c r="L705" i="2"/>
  <c r="O704" i="2"/>
  <c r="N704" i="2"/>
  <c r="L704" i="2"/>
  <c r="O703" i="2"/>
  <c r="N703" i="2"/>
  <c r="L703" i="2"/>
  <c r="O702" i="2"/>
  <c r="N702" i="2"/>
  <c r="L702" i="2"/>
  <c r="O700" i="2"/>
  <c r="N700" i="2"/>
  <c r="L700" i="2"/>
  <c r="O699" i="2"/>
  <c r="N699" i="2"/>
  <c r="L699" i="2"/>
  <c r="O698" i="2"/>
  <c r="N698" i="2"/>
  <c r="L698" i="2"/>
  <c r="O697" i="2"/>
  <c r="N697" i="2"/>
  <c r="L697" i="2"/>
  <c r="O694" i="2"/>
  <c r="N694" i="2"/>
  <c r="L694" i="2"/>
  <c r="O693" i="2"/>
  <c r="N693" i="2"/>
  <c r="L693" i="2"/>
  <c r="O692" i="2"/>
  <c r="N692" i="2"/>
  <c r="L692" i="2"/>
  <c r="O691" i="2"/>
  <c r="N691" i="2"/>
  <c r="L691" i="2"/>
  <c r="O690" i="2"/>
  <c r="N690" i="2"/>
  <c r="L690" i="2"/>
  <c r="O686" i="2"/>
  <c r="N686" i="2"/>
  <c r="L686" i="2"/>
  <c r="O685" i="2"/>
  <c r="N685" i="2"/>
  <c r="L685" i="2"/>
  <c r="O684" i="2"/>
  <c r="N684" i="2"/>
  <c r="L684" i="2"/>
  <c r="O682" i="2"/>
  <c r="N682" i="2"/>
  <c r="L682" i="2"/>
  <c r="O681" i="2"/>
  <c r="N681" i="2"/>
  <c r="L681" i="2"/>
  <c r="O678" i="2"/>
  <c r="N678" i="2"/>
  <c r="L678" i="2"/>
  <c r="O677" i="2"/>
  <c r="N677" i="2"/>
  <c r="L677" i="2"/>
  <c r="O673" i="2"/>
  <c r="N673" i="2"/>
  <c r="L673" i="2"/>
  <c r="O672" i="2"/>
  <c r="N672" i="2"/>
  <c r="L672" i="2"/>
  <c r="O670" i="2"/>
  <c r="N670" i="2"/>
  <c r="L670" i="2"/>
  <c r="O668" i="2"/>
  <c r="N668" i="2"/>
  <c r="L668" i="2"/>
  <c r="O667" i="2"/>
  <c r="N667" i="2"/>
  <c r="L667" i="2"/>
  <c r="O666" i="2"/>
  <c r="N666" i="2"/>
  <c r="L666" i="2"/>
  <c r="O665" i="2"/>
  <c r="N665" i="2"/>
  <c r="L665" i="2"/>
  <c r="O664" i="2"/>
  <c r="N664" i="2"/>
  <c r="L664" i="2"/>
  <c r="O663" i="2"/>
  <c r="N663" i="2"/>
  <c r="L663" i="2"/>
  <c r="O660" i="2"/>
  <c r="N660" i="2"/>
  <c r="L660" i="2"/>
  <c r="O658" i="2"/>
  <c r="N658" i="2"/>
  <c r="L658" i="2"/>
  <c r="O656" i="2"/>
  <c r="N656" i="2"/>
  <c r="L656" i="2"/>
  <c r="O655" i="2"/>
  <c r="N655" i="2"/>
  <c r="L655" i="2"/>
  <c r="O654" i="2"/>
  <c r="N654" i="2"/>
  <c r="L654" i="2"/>
  <c r="O650" i="2"/>
  <c r="N650" i="2"/>
  <c r="L650" i="2"/>
  <c r="O648" i="2"/>
  <c r="N648" i="2"/>
  <c r="L648" i="2"/>
  <c r="O647" i="2"/>
  <c r="N647" i="2"/>
  <c r="L647" i="2"/>
  <c r="O646" i="2"/>
  <c r="N646" i="2"/>
  <c r="L646" i="2"/>
  <c r="O644" i="2"/>
  <c r="N644" i="2"/>
  <c r="L644" i="2"/>
  <c r="O643" i="2"/>
  <c r="N643" i="2"/>
  <c r="L643" i="2"/>
  <c r="O638" i="2"/>
  <c r="N638" i="2"/>
  <c r="L638" i="2"/>
  <c r="O637" i="2"/>
  <c r="N637" i="2"/>
  <c r="L637" i="2"/>
  <c r="O636" i="2"/>
  <c r="N636" i="2"/>
  <c r="L636" i="2"/>
  <c r="O634" i="2"/>
  <c r="N634" i="2"/>
  <c r="L634" i="2"/>
  <c r="O633" i="2"/>
  <c r="N633" i="2"/>
  <c r="L633" i="2"/>
  <c r="O631" i="2"/>
  <c r="N631" i="2"/>
  <c r="L631" i="2"/>
  <c r="O630" i="2"/>
  <c r="N630" i="2"/>
  <c r="L630" i="2"/>
  <c r="O629" i="2"/>
  <c r="N629" i="2"/>
  <c r="L629" i="2"/>
  <c r="O628" i="2"/>
  <c r="N628" i="2"/>
  <c r="L628" i="2"/>
  <c r="O625" i="2"/>
  <c r="N625" i="2"/>
  <c r="L625" i="2"/>
  <c r="O624" i="2"/>
  <c r="N624" i="2"/>
  <c r="L624" i="2"/>
  <c r="O623" i="2"/>
  <c r="N623" i="2"/>
  <c r="L623" i="2"/>
  <c r="O622" i="2"/>
  <c r="N622" i="2"/>
  <c r="L622" i="2"/>
  <c r="O620" i="2"/>
  <c r="N620" i="2"/>
  <c r="L620" i="2"/>
  <c r="O619" i="2"/>
  <c r="N619" i="2"/>
  <c r="L619" i="2"/>
  <c r="O617" i="2"/>
  <c r="N617" i="2"/>
  <c r="L617" i="2"/>
  <c r="O616" i="2"/>
  <c r="N616" i="2"/>
  <c r="L616" i="2"/>
  <c r="O615" i="2"/>
  <c r="N615" i="2"/>
  <c r="L615" i="2"/>
  <c r="O613" i="2"/>
  <c r="N613" i="2"/>
  <c r="L613" i="2"/>
  <c r="O611" i="2"/>
  <c r="N611" i="2"/>
  <c r="L611" i="2"/>
  <c r="O609" i="2"/>
  <c r="N609" i="2"/>
  <c r="L609" i="2"/>
  <c r="O607" i="2"/>
  <c r="N607" i="2"/>
  <c r="L607" i="2"/>
  <c r="O606" i="2"/>
  <c r="N606" i="2"/>
  <c r="L606" i="2"/>
  <c r="O603" i="2"/>
  <c r="N603" i="2"/>
  <c r="L603" i="2"/>
  <c r="O602" i="2"/>
  <c r="N602" i="2"/>
  <c r="L602" i="2"/>
  <c r="O600" i="2"/>
  <c r="N600" i="2"/>
  <c r="L600" i="2"/>
  <c r="O598" i="2"/>
  <c r="N598" i="2"/>
  <c r="L598" i="2"/>
  <c r="O597" i="2"/>
  <c r="N597" i="2"/>
  <c r="L597" i="2"/>
  <c r="O596" i="2"/>
  <c r="N596" i="2"/>
  <c r="L596" i="2"/>
  <c r="O595" i="2"/>
  <c r="N595" i="2"/>
  <c r="L595" i="2"/>
  <c r="O594" i="2"/>
  <c r="N594" i="2"/>
  <c r="L594" i="2"/>
  <c r="O593" i="2"/>
  <c r="N593" i="2"/>
  <c r="L593" i="2"/>
  <c r="O590" i="2"/>
  <c r="N590" i="2"/>
  <c r="L590" i="2"/>
  <c r="O588" i="2"/>
  <c r="N588" i="2"/>
  <c r="L588" i="2"/>
  <c r="O587" i="2"/>
  <c r="N587" i="2"/>
  <c r="L587" i="2"/>
  <c r="O586" i="2"/>
  <c r="N586" i="2"/>
  <c r="L586" i="2"/>
  <c r="O584" i="2"/>
  <c r="N584" i="2"/>
  <c r="L584" i="2"/>
  <c r="O583" i="2"/>
  <c r="N583" i="2"/>
  <c r="L583" i="2"/>
  <c r="O582" i="2"/>
  <c r="N582" i="2"/>
  <c r="L582" i="2"/>
  <c r="O581" i="2"/>
  <c r="N581" i="2"/>
  <c r="L581" i="2"/>
  <c r="O578" i="2"/>
  <c r="N578" i="2"/>
  <c r="L578" i="2"/>
  <c r="O577" i="2"/>
  <c r="N577" i="2"/>
  <c r="L577" i="2"/>
  <c r="O571" i="2"/>
  <c r="N571" i="2"/>
  <c r="L571" i="2"/>
  <c r="O570" i="2"/>
  <c r="N570" i="2"/>
  <c r="L570" i="2"/>
  <c r="O567" i="2"/>
  <c r="N567" i="2"/>
  <c r="L567" i="2"/>
  <c r="O566" i="2"/>
  <c r="N566" i="2"/>
  <c r="L566" i="2"/>
  <c r="O565" i="2"/>
  <c r="N565" i="2"/>
  <c r="L565" i="2"/>
  <c r="O562" i="2"/>
  <c r="N562" i="2"/>
  <c r="L562" i="2"/>
  <c r="O560" i="2"/>
  <c r="N560" i="2"/>
  <c r="L560" i="2"/>
  <c r="O558" i="2"/>
  <c r="N558" i="2"/>
  <c r="L558" i="2"/>
  <c r="O556" i="2"/>
  <c r="N556" i="2"/>
  <c r="L556" i="2"/>
  <c r="O555" i="2"/>
  <c r="N555" i="2"/>
  <c r="L555" i="2"/>
  <c r="O553" i="2"/>
  <c r="N553" i="2"/>
  <c r="L553" i="2"/>
  <c r="O552" i="2"/>
  <c r="N552" i="2"/>
  <c r="L552" i="2"/>
  <c r="O551" i="2"/>
  <c r="N551" i="2"/>
  <c r="L551" i="2"/>
  <c r="O550" i="2"/>
  <c r="N550" i="2"/>
  <c r="L550" i="2"/>
  <c r="O548" i="2"/>
  <c r="N548" i="2"/>
  <c r="L548" i="2"/>
  <c r="O547" i="2"/>
  <c r="N547" i="2"/>
  <c r="L547" i="2"/>
  <c r="O546" i="2"/>
  <c r="N546" i="2"/>
  <c r="L546" i="2"/>
  <c r="O545" i="2"/>
  <c r="N545" i="2"/>
  <c r="L545" i="2"/>
  <c r="O544" i="2"/>
  <c r="N544" i="2"/>
  <c r="L544" i="2"/>
  <c r="O543" i="2"/>
  <c r="N543" i="2"/>
  <c r="L543" i="2"/>
  <c r="O542" i="2"/>
  <c r="N542" i="2"/>
  <c r="L542" i="2"/>
  <c r="O541" i="2"/>
  <c r="N541" i="2"/>
  <c r="L541" i="2"/>
  <c r="O539" i="2"/>
  <c r="N539" i="2"/>
  <c r="L539" i="2"/>
  <c r="O538" i="2"/>
  <c r="N538" i="2"/>
  <c r="L538" i="2"/>
  <c r="O536" i="2"/>
  <c r="N536" i="2"/>
  <c r="L536" i="2"/>
  <c r="O532" i="2"/>
  <c r="N532" i="2"/>
  <c r="L532" i="2"/>
  <c r="O531" i="2"/>
  <c r="N531" i="2"/>
  <c r="L531" i="2"/>
  <c r="O528" i="2"/>
  <c r="N528" i="2"/>
  <c r="L528" i="2"/>
  <c r="O524" i="2"/>
  <c r="N524" i="2"/>
  <c r="L524" i="2"/>
  <c r="O522" i="2"/>
  <c r="N522" i="2"/>
  <c r="L522" i="2"/>
  <c r="O521" i="2"/>
  <c r="N521" i="2"/>
  <c r="L521" i="2"/>
  <c r="O520" i="2"/>
  <c r="N520" i="2"/>
  <c r="L520" i="2"/>
  <c r="O518" i="2"/>
  <c r="N518" i="2"/>
  <c r="L518" i="2"/>
  <c r="O516" i="2"/>
  <c r="N516" i="2"/>
  <c r="L516" i="2"/>
  <c r="O514" i="2"/>
  <c r="N514" i="2"/>
  <c r="L514" i="2"/>
  <c r="O513" i="2"/>
  <c r="N513" i="2"/>
  <c r="L513" i="2"/>
  <c r="O512" i="2"/>
  <c r="N512" i="2"/>
  <c r="L512" i="2"/>
  <c r="O511" i="2"/>
  <c r="N511" i="2"/>
  <c r="L511" i="2"/>
  <c r="O507" i="2"/>
  <c r="N507" i="2"/>
  <c r="L507" i="2"/>
  <c r="O506" i="2"/>
  <c r="N506" i="2"/>
  <c r="L506" i="2"/>
  <c r="O504" i="2"/>
  <c r="N504" i="2"/>
  <c r="L504" i="2"/>
  <c r="O503" i="2"/>
  <c r="N503" i="2"/>
  <c r="L503" i="2"/>
  <c r="O502" i="2"/>
  <c r="N502" i="2"/>
  <c r="L502" i="2"/>
  <c r="O501" i="2"/>
  <c r="N501" i="2"/>
  <c r="L501" i="2"/>
  <c r="O496" i="2"/>
  <c r="N496" i="2"/>
  <c r="L496" i="2"/>
  <c r="O495" i="2"/>
  <c r="N495" i="2"/>
  <c r="L495" i="2"/>
  <c r="O494" i="2"/>
  <c r="N494" i="2"/>
  <c r="L494" i="2"/>
  <c r="O487" i="2"/>
  <c r="N487" i="2"/>
  <c r="L487" i="2"/>
  <c r="O486" i="2"/>
  <c r="N486" i="2"/>
  <c r="L486" i="2"/>
  <c r="O485" i="2"/>
  <c r="N485" i="2"/>
  <c r="L485" i="2"/>
  <c r="O482" i="2"/>
  <c r="N482" i="2"/>
  <c r="L482" i="2"/>
  <c r="O480" i="2"/>
  <c r="N480" i="2"/>
  <c r="L480" i="2"/>
  <c r="O478" i="2"/>
  <c r="N478" i="2"/>
  <c r="L478" i="2"/>
  <c r="O477" i="2"/>
  <c r="N477" i="2"/>
  <c r="L477" i="2"/>
  <c r="O476" i="2"/>
  <c r="N476" i="2"/>
  <c r="L476" i="2"/>
  <c r="O473" i="2"/>
  <c r="N473" i="2"/>
  <c r="L473" i="2"/>
  <c r="O471" i="2"/>
  <c r="N471" i="2"/>
  <c r="L471" i="2"/>
  <c r="O470" i="2"/>
  <c r="N470" i="2"/>
  <c r="L470" i="2"/>
  <c r="O469" i="2"/>
  <c r="N469" i="2"/>
  <c r="L469" i="2"/>
  <c r="O467" i="2"/>
  <c r="N467" i="2"/>
  <c r="L467" i="2"/>
  <c r="O466" i="2"/>
  <c r="N466" i="2"/>
  <c r="L466" i="2"/>
  <c r="O462" i="2"/>
  <c r="N462" i="2"/>
  <c r="L462" i="2"/>
  <c r="O461" i="2"/>
  <c r="N461" i="2"/>
  <c r="L461" i="2"/>
  <c r="O458" i="2"/>
  <c r="N458" i="2"/>
  <c r="L458" i="2"/>
  <c r="O456" i="2"/>
  <c r="N456" i="2"/>
  <c r="L456" i="2"/>
  <c r="O453" i="2"/>
  <c r="N453" i="2"/>
  <c r="L453" i="2"/>
  <c r="O452" i="2"/>
  <c r="N452" i="2"/>
  <c r="L452" i="2"/>
  <c r="O451" i="2"/>
  <c r="N451" i="2"/>
  <c r="L451" i="2"/>
  <c r="O449" i="2"/>
  <c r="N449" i="2"/>
  <c r="L449" i="2"/>
  <c r="O448" i="2"/>
  <c r="N448" i="2"/>
  <c r="L448" i="2"/>
  <c r="O446" i="2"/>
  <c r="N446" i="2"/>
  <c r="L446" i="2"/>
  <c r="O445" i="2"/>
  <c r="N445" i="2"/>
  <c r="L445" i="2"/>
  <c r="O444" i="2"/>
  <c r="N444" i="2"/>
  <c r="L444" i="2"/>
  <c r="O442" i="2"/>
  <c r="N442" i="2"/>
  <c r="L442" i="2"/>
  <c r="O441" i="2"/>
  <c r="N441" i="2"/>
  <c r="L441" i="2"/>
  <c r="O440" i="2"/>
  <c r="N440" i="2"/>
  <c r="L440" i="2"/>
  <c r="O439" i="2"/>
  <c r="N439" i="2"/>
  <c r="L439" i="2"/>
  <c r="O438" i="2"/>
  <c r="N438" i="2"/>
  <c r="L438" i="2"/>
  <c r="O437" i="2"/>
  <c r="N437" i="2"/>
  <c r="L437" i="2"/>
  <c r="O433" i="2"/>
  <c r="N433" i="2"/>
  <c r="L433" i="2"/>
  <c r="O432" i="2"/>
  <c r="N432" i="2"/>
  <c r="L432" i="2"/>
  <c r="O430" i="2"/>
  <c r="N430" i="2"/>
  <c r="L430" i="2"/>
  <c r="O429" i="2"/>
  <c r="N429" i="2"/>
  <c r="L429" i="2"/>
  <c r="O428" i="2"/>
  <c r="N428" i="2"/>
  <c r="L428" i="2"/>
  <c r="O427" i="2"/>
  <c r="N427" i="2"/>
  <c r="L427" i="2"/>
  <c r="O423" i="2"/>
  <c r="N423" i="2"/>
  <c r="L423" i="2"/>
  <c r="O421" i="2"/>
  <c r="N421" i="2"/>
  <c r="L421" i="2"/>
  <c r="O420" i="2"/>
  <c r="N420" i="2"/>
  <c r="L420" i="2"/>
  <c r="O419" i="2"/>
  <c r="N419" i="2"/>
  <c r="L419" i="2"/>
  <c r="O417" i="2"/>
  <c r="N417" i="2"/>
  <c r="L417" i="2"/>
  <c r="O416" i="2"/>
  <c r="N416" i="2"/>
  <c r="L416" i="2"/>
  <c r="O414" i="2"/>
  <c r="N414" i="2"/>
  <c r="L414" i="2"/>
  <c r="O410" i="2"/>
  <c r="N410" i="2"/>
  <c r="L410" i="2"/>
  <c r="O406" i="2"/>
  <c r="N406" i="2"/>
  <c r="L406" i="2"/>
  <c r="O405" i="2"/>
  <c r="N405" i="2"/>
  <c r="L405" i="2"/>
  <c r="O404" i="2"/>
  <c r="N404" i="2"/>
  <c r="L404" i="2"/>
  <c r="O403" i="2"/>
  <c r="N403" i="2"/>
  <c r="L403" i="2"/>
  <c r="O402" i="2"/>
  <c r="N402" i="2"/>
  <c r="L402" i="2"/>
  <c r="O401" i="2"/>
  <c r="N401" i="2"/>
  <c r="L401" i="2"/>
  <c r="O399" i="2"/>
  <c r="N399" i="2"/>
  <c r="L399" i="2"/>
  <c r="O397" i="2"/>
  <c r="N397" i="2"/>
  <c r="L397" i="2"/>
  <c r="O394" i="2"/>
  <c r="N394" i="2"/>
  <c r="L394" i="2"/>
  <c r="O393" i="2"/>
  <c r="N393" i="2"/>
  <c r="L393" i="2"/>
  <c r="O390" i="2"/>
  <c r="N390" i="2"/>
  <c r="L390" i="2"/>
  <c r="O388" i="2"/>
  <c r="N388" i="2"/>
  <c r="L388" i="2"/>
  <c r="O387" i="2"/>
  <c r="N387" i="2"/>
  <c r="L387" i="2"/>
  <c r="O386" i="2"/>
  <c r="N386" i="2"/>
  <c r="L386" i="2"/>
  <c r="O385" i="2"/>
  <c r="N385" i="2"/>
  <c r="L385" i="2"/>
  <c r="O383" i="2"/>
  <c r="N383" i="2"/>
  <c r="L383" i="2"/>
  <c r="O379" i="2"/>
  <c r="N379" i="2"/>
  <c r="L379" i="2"/>
  <c r="O375" i="2"/>
  <c r="N375" i="2"/>
  <c r="L375" i="2"/>
  <c r="O373" i="2"/>
  <c r="N373" i="2"/>
  <c r="L373" i="2"/>
  <c r="O371" i="2"/>
  <c r="N371" i="2"/>
  <c r="L371" i="2"/>
  <c r="O369" i="2"/>
  <c r="N369" i="2"/>
  <c r="L369" i="2"/>
  <c r="O367" i="2"/>
  <c r="N367" i="2"/>
  <c r="L367" i="2"/>
  <c r="O364" i="2"/>
  <c r="N364" i="2"/>
  <c r="L364" i="2"/>
  <c r="O363" i="2"/>
  <c r="N363" i="2"/>
  <c r="L363" i="2"/>
  <c r="O362" i="2"/>
  <c r="N362" i="2"/>
  <c r="L362" i="2"/>
  <c r="O359" i="2"/>
  <c r="N359" i="2"/>
  <c r="L359" i="2"/>
  <c r="O357" i="2"/>
  <c r="N357" i="2"/>
  <c r="L357" i="2"/>
  <c r="O356" i="2"/>
  <c r="N356" i="2"/>
  <c r="L356" i="2"/>
  <c r="O355" i="2"/>
  <c r="N355" i="2"/>
  <c r="L355" i="2"/>
  <c r="O354" i="2"/>
  <c r="N354" i="2"/>
  <c r="L354" i="2"/>
  <c r="O353" i="2"/>
  <c r="N353" i="2"/>
  <c r="L353" i="2"/>
  <c r="O348" i="2"/>
  <c r="N348" i="2"/>
  <c r="L348" i="2"/>
  <c r="O347" i="2"/>
  <c r="N347" i="2"/>
  <c r="L347" i="2"/>
  <c r="O346" i="2"/>
  <c r="N346" i="2"/>
  <c r="L346" i="2"/>
  <c r="O344" i="2"/>
  <c r="N344" i="2"/>
  <c r="L344" i="2"/>
  <c r="O342" i="2"/>
  <c r="N342" i="2"/>
  <c r="L342" i="2"/>
  <c r="O340" i="2"/>
  <c r="N340" i="2"/>
  <c r="L340" i="2"/>
  <c r="O336" i="2"/>
  <c r="N336" i="2"/>
  <c r="L336" i="2"/>
  <c r="O334" i="2"/>
  <c r="N334" i="2"/>
  <c r="L334" i="2"/>
  <c r="O330" i="2"/>
  <c r="N330" i="2"/>
  <c r="L330" i="2"/>
  <c r="O328" i="2"/>
  <c r="N328" i="2"/>
  <c r="L328" i="2"/>
  <c r="O327" i="2"/>
  <c r="N327" i="2"/>
  <c r="L327" i="2"/>
  <c r="O325" i="2"/>
  <c r="N325" i="2"/>
  <c r="L325" i="2"/>
  <c r="O324" i="2"/>
  <c r="N324" i="2"/>
  <c r="L324" i="2"/>
  <c r="O323" i="2"/>
  <c r="N323" i="2"/>
  <c r="L323" i="2"/>
  <c r="O322" i="2"/>
  <c r="N322" i="2"/>
  <c r="L322" i="2"/>
  <c r="O321" i="2"/>
  <c r="N321" i="2"/>
  <c r="L321" i="2"/>
  <c r="O320" i="2"/>
  <c r="N320" i="2"/>
  <c r="L320" i="2"/>
  <c r="O319" i="2"/>
  <c r="N319" i="2"/>
  <c r="L319" i="2"/>
  <c r="O318" i="2"/>
  <c r="N318" i="2"/>
  <c r="L318" i="2"/>
  <c r="O316" i="2"/>
  <c r="N316" i="2"/>
  <c r="L316" i="2"/>
  <c r="O315" i="2"/>
  <c r="N315" i="2"/>
  <c r="L315" i="2"/>
  <c r="O314" i="2"/>
  <c r="N314" i="2"/>
  <c r="L314" i="2"/>
  <c r="O312" i="2"/>
  <c r="N312" i="2"/>
  <c r="L312" i="2"/>
  <c r="O310" i="2"/>
  <c r="N310" i="2"/>
  <c r="L310" i="2"/>
  <c r="O308" i="2"/>
  <c r="N308" i="2"/>
  <c r="L308" i="2"/>
  <c r="O306" i="2"/>
  <c r="N306" i="2"/>
  <c r="L306" i="2"/>
  <c r="O305" i="2"/>
  <c r="N305" i="2"/>
  <c r="L305" i="2"/>
  <c r="O301" i="2"/>
  <c r="N301" i="2"/>
  <c r="L301" i="2"/>
  <c r="O298" i="2"/>
  <c r="N298" i="2"/>
  <c r="L298" i="2"/>
  <c r="O297" i="2"/>
  <c r="N297" i="2"/>
  <c r="L297" i="2"/>
  <c r="O295" i="2"/>
  <c r="N295" i="2"/>
  <c r="L295" i="2"/>
  <c r="O294" i="2"/>
  <c r="N294" i="2"/>
  <c r="L294" i="2"/>
  <c r="O293" i="2"/>
  <c r="N293" i="2"/>
  <c r="L293" i="2"/>
  <c r="O290" i="2"/>
  <c r="N290" i="2"/>
  <c r="L290" i="2"/>
  <c r="O287" i="2"/>
  <c r="N287" i="2"/>
  <c r="L287" i="2"/>
  <c r="O286" i="2"/>
  <c r="N286" i="2"/>
  <c r="L286" i="2"/>
  <c r="O285" i="2"/>
  <c r="N285" i="2"/>
  <c r="L285" i="2"/>
  <c r="O281" i="2"/>
  <c r="N281" i="2"/>
  <c r="L281" i="2"/>
  <c r="O280" i="2"/>
  <c r="N280" i="2"/>
  <c r="L280" i="2"/>
  <c r="O279" i="2"/>
  <c r="N279" i="2"/>
  <c r="L279" i="2"/>
  <c r="O277" i="2"/>
  <c r="N277" i="2"/>
  <c r="L277" i="2"/>
  <c r="O274" i="2"/>
  <c r="N274" i="2"/>
  <c r="L274" i="2"/>
  <c r="O273" i="2"/>
  <c r="N273" i="2"/>
  <c r="L273" i="2"/>
  <c r="O272" i="2"/>
  <c r="N272" i="2"/>
  <c r="L272" i="2"/>
  <c r="O270" i="2"/>
  <c r="N270" i="2"/>
  <c r="L270" i="2"/>
  <c r="O267" i="2"/>
  <c r="N267" i="2"/>
  <c r="L267" i="2"/>
  <c r="O263" i="2"/>
  <c r="N263" i="2"/>
  <c r="L263" i="2"/>
  <c r="O259" i="2"/>
  <c r="N259" i="2"/>
  <c r="L259" i="2"/>
  <c r="O258" i="2"/>
  <c r="N258" i="2"/>
  <c r="L258" i="2"/>
  <c r="O257" i="2"/>
  <c r="N257" i="2"/>
  <c r="L257" i="2"/>
  <c r="O256" i="2"/>
  <c r="N256" i="2"/>
  <c r="L256" i="2"/>
  <c r="O255" i="2"/>
  <c r="N255" i="2"/>
  <c r="L255" i="2"/>
  <c r="O253" i="2"/>
  <c r="N253" i="2"/>
  <c r="L253" i="2"/>
  <c r="O251" i="2"/>
  <c r="N251" i="2"/>
  <c r="L251" i="2"/>
  <c r="O250" i="2"/>
  <c r="N250" i="2"/>
  <c r="L250" i="2"/>
  <c r="O247" i="2"/>
  <c r="N247" i="2"/>
  <c r="L247" i="2"/>
  <c r="O246" i="2"/>
  <c r="N246" i="2"/>
  <c r="L246" i="2"/>
  <c r="O244" i="2"/>
  <c r="N244" i="2"/>
  <c r="L244" i="2"/>
  <c r="O242" i="2"/>
  <c r="N242" i="2"/>
  <c r="L242" i="2"/>
  <c r="O238" i="2"/>
  <c r="N238" i="2"/>
  <c r="L238" i="2"/>
  <c r="O235" i="2"/>
  <c r="N235" i="2"/>
  <c r="L235" i="2"/>
  <c r="O234" i="2"/>
  <c r="N234" i="2"/>
  <c r="L234" i="2"/>
  <c r="O232" i="2"/>
  <c r="N232" i="2"/>
  <c r="L232" i="2"/>
  <c r="O231" i="2"/>
  <c r="N231" i="2"/>
  <c r="L231" i="2"/>
  <c r="O228" i="2"/>
  <c r="N228" i="2"/>
  <c r="L228" i="2"/>
  <c r="O227" i="2"/>
  <c r="N227" i="2"/>
  <c r="L227" i="2"/>
  <c r="O226" i="2"/>
  <c r="N226" i="2"/>
  <c r="L226" i="2"/>
  <c r="O225" i="2"/>
  <c r="N225" i="2"/>
  <c r="L225" i="2"/>
  <c r="O223" i="2"/>
  <c r="N223" i="2"/>
  <c r="L223" i="2"/>
  <c r="O222" i="2"/>
  <c r="N222" i="2"/>
  <c r="L222" i="2"/>
  <c r="O221" i="2"/>
  <c r="N221" i="2"/>
  <c r="L221" i="2"/>
  <c r="O219" i="2"/>
  <c r="N219" i="2"/>
  <c r="L219" i="2"/>
  <c r="O218" i="2"/>
  <c r="N218" i="2"/>
  <c r="L218" i="2"/>
  <c r="O217" i="2"/>
  <c r="N217" i="2"/>
  <c r="L217" i="2"/>
  <c r="O212" i="2"/>
  <c r="N212" i="2"/>
  <c r="L212" i="2"/>
  <c r="O209" i="2"/>
  <c r="N209" i="2"/>
  <c r="L209" i="2"/>
  <c r="O208" i="2"/>
  <c r="N208" i="2"/>
  <c r="L208" i="2"/>
  <c r="O206" i="2"/>
  <c r="N206" i="2"/>
  <c r="L206" i="2"/>
  <c r="O204" i="2"/>
  <c r="N204" i="2"/>
  <c r="L204" i="2"/>
  <c r="O203" i="2"/>
  <c r="N203" i="2"/>
  <c r="L203" i="2"/>
  <c r="O202" i="2"/>
  <c r="N202" i="2"/>
  <c r="L202" i="2"/>
  <c r="O200" i="2"/>
  <c r="N200" i="2"/>
  <c r="L200" i="2"/>
  <c r="O199" i="2"/>
  <c r="N199" i="2"/>
  <c r="L199" i="2"/>
  <c r="O197" i="2"/>
  <c r="N197" i="2"/>
  <c r="L197" i="2"/>
  <c r="O195" i="2"/>
  <c r="N195" i="2"/>
  <c r="L195" i="2"/>
  <c r="O194" i="2"/>
  <c r="N194" i="2"/>
  <c r="L194" i="2"/>
  <c r="O193" i="2"/>
  <c r="N193" i="2"/>
  <c r="L193" i="2"/>
  <c r="O191" i="2"/>
  <c r="N191" i="2"/>
  <c r="L191" i="2"/>
  <c r="O190" i="2"/>
  <c r="N190" i="2"/>
  <c r="L190" i="2"/>
  <c r="O187" i="2"/>
  <c r="N187" i="2"/>
  <c r="L187" i="2"/>
  <c r="O186" i="2"/>
  <c r="N186" i="2"/>
  <c r="L186" i="2"/>
  <c r="O185" i="2"/>
  <c r="N185" i="2"/>
  <c r="L185" i="2"/>
  <c r="O183" i="2"/>
  <c r="N183" i="2"/>
  <c r="L183" i="2"/>
  <c r="O181" i="2"/>
  <c r="N181" i="2"/>
  <c r="L181" i="2"/>
  <c r="O180" i="2"/>
  <c r="N180" i="2"/>
  <c r="L180" i="2"/>
  <c r="O179" i="2"/>
  <c r="N179" i="2"/>
  <c r="L179" i="2"/>
  <c r="O178" i="2"/>
  <c r="N178" i="2"/>
  <c r="L178" i="2"/>
  <c r="O177" i="2"/>
  <c r="N177" i="2"/>
  <c r="L177" i="2"/>
  <c r="O175" i="2"/>
  <c r="N175" i="2"/>
  <c r="L175" i="2"/>
  <c r="O174" i="2"/>
  <c r="N174" i="2"/>
  <c r="L174" i="2"/>
  <c r="O173" i="2"/>
  <c r="N173" i="2"/>
  <c r="L173" i="2"/>
  <c r="O172" i="2"/>
  <c r="N172" i="2"/>
  <c r="L172" i="2"/>
  <c r="O171" i="2"/>
  <c r="N171" i="2"/>
  <c r="L171" i="2"/>
  <c r="O170" i="2"/>
  <c r="N170" i="2"/>
  <c r="L170" i="2"/>
  <c r="O167" i="2"/>
  <c r="N167" i="2"/>
  <c r="L167" i="2"/>
  <c r="O164" i="2"/>
  <c r="N164" i="2"/>
  <c r="L164" i="2"/>
  <c r="O163" i="2"/>
  <c r="N163" i="2"/>
  <c r="L163" i="2"/>
  <c r="O162" i="2"/>
  <c r="N162" i="2"/>
  <c r="L162" i="2"/>
  <c r="O161" i="2"/>
  <c r="N161" i="2"/>
  <c r="L161" i="2"/>
  <c r="O160" i="2"/>
  <c r="N160" i="2"/>
  <c r="L160" i="2"/>
  <c r="O158" i="2"/>
  <c r="N158" i="2"/>
  <c r="L158" i="2"/>
  <c r="O155" i="2"/>
  <c r="N155" i="2"/>
  <c r="L155" i="2"/>
  <c r="O152" i="2"/>
  <c r="N152" i="2"/>
  <c r="L152" i="2"/>
  <c r="O150" i="2"/>
  <c r="N150" i="2"/>
  <c r="L150" i="2"/>
  <c r="O149" i="2"/>
  <c r="N149" i="2"/>
  <c r="L149" i="2"/>
  <c r="O147" i="2"/>
  <c r="N147" i="2"/>
  <c r="L147" i="2"/>
  <c r="O142" i="2"/>
  <c r="N142" i="2"/>
  <c r="L142" i="2"/>
  <c r="O140" i="2"/>
  <c r="N140" i="2"/>
  <c r="L140" i="2"/>
  <c r="O139" i="2"/>
  <c r="N139" i="2"/>
  <c r="L139" i="2"/>
  <c r="O138" i="2"/>
  <c r="N138" i="2"/>
  <c r="L138" i="2"/>
  <c r="O136" i="2"/>
  <c r="N136" i="2"/>
  <c r="L136" i="2"/>
  <c r="O135" i="2"/>
  <c r="N135" i="2"/>
  <c r="L135" i="2"/>
  <c r="O133" i="2"/>
  <c r="N133" i="2"/>
  <c r="L133" i="2"/>
  <c r="O130" i="2"/>
  <c r="N130" i="2"/>
  <c r="L130" i="2"/>
  <c r="O128" i="2"/>
  <c r="N128" i="2"/>
  <c r="L128" i="2"/>
  <c r="O126" i="2"/>
  <c r="N126" i="2"/>
  <c r="L126" i="2"/>
  <c r="O125" i="2"/>
  <c r="N125" i="2"/>
  <c r="L125" i="2"/>
  <c r="O124" i="2"/>
  <c r="N124" i="2"/>
  <c r="L124" i="2"/>
  <c r="O122" i="2"/>
  <c r="N122" i="2"/>
  <c r="L122" i="2"/>
  <c r="O120" i="2"/>
  <c r="N120" i="2"/>
  <c r="L120" i="2"/>
  <c r="O119" i="2"/>
  <c r="N119" i="2"/>
  <c r="L119" i="2"/>
  <c r="O118" i="2"/>
  <c r="N118" i="2"/>
  <c r="L118" i="2"/>
  <c r="O116" i="2"/>
  <c r="N116" i="2"/>
  <c r="L116" i="2"/>
  <c r="O113" i="2"/>
  <c r="N113" i="2"/>
  <c r="L113" i="2"/>
  <c r="O112" i="2"/>
  <c r="N112" i="2"/>
  <c r="L112" i="2"/>
  <c r="O111" i="2"/>
  <c r="N111" i="2"/>
  <c r="L111" i="2"/>
  <c r="O110" i="2"/>
  <c r="N110" i="2"/>
  <c r="L110" i="2"/>
  <c r="O109" i="2"/>
  <c r="N109" i="2"/>
  <c r="L109" i="2"/>
  <c r="O108" i="2"/>
  <c r="N108" i="2"/>
  <c r="L108" i="2"/>
  <c r="O105" i="2"/>
  <c r="N105" i="2"/>
  <c r="L105" i="2"/>
  <c r="O102" i="2"/>
  <c r="N102" i="2"/>
  <c r="L102" i="2"/>
  <c r="O101" i="2"/>
  <c r="N101" i="2"/>
  <c r="L101" i="2"/>
  <c r="O99" i="2"/>
  <c r="N99" i="2"/>
  <c r="L99" i="2"/>
  <c r="O98" i="2"/>
  <c r="N98" i="2"/>
  <c r="L98" i="2"/>
  <c r="O93" i="2"/>
  <c r="N93" i="2"/>
  <c r="L93" i="2"/>
  <c r="O92" i="2"/>
  <c r="N92" i="2"/>
  <c r="L92" i="2"/>
  <c r="O91" i="2"/>
  <c r="N91" i="2"/>
  <c r="L91" i="2"/>
  <c r="O90" i="2"/>
  <c r="N90" i="2"/>
  <c r="L90" i="2"/>
  <c r="O89" i="2"/>
  <c r="N89" i="2"/>
  <c r="L89" i="2"/>
  <c r="O87" i="2"/>
  <c r="N87" i="2"/>
  <c r="L87" i="2"/>
  <c r="O83" i="2"/>
  <c r="N83" i="2"/>
  <c r="L83" i="2"/>
  <c r="O82" i="2"/>
  <c r="N82" i="2"/>
  <c r="L82" i="2"/>
  <c r="O80" i="2"/>
  <c r="N80" i="2"/>
  <c r="L80" i="2"/>
  <c r="O79" i="2"/>
  <c r="N79" i="2"/>
  <c r="L79" i="2"/>
  <c r="O78" i="2"/>
  <c r="N78" i="2"/>
  <c r="L78" i="2"/>
  <c r="O76" i="2"/>
  <c r="N76" i="2"/>
  <c r="L76" i="2"/>
  <c r="O75" i="2"/>
  <c r="N75" i="2"/>
  <c r="L75" i="2"/>
  <c r="O74" i="2"/>
  <c r="N74" i="2"/>
  <c r="L74" i="2"/>
  <c r="O71" i="2"/>
  <c r="N71" i="2"/>
  <c r="L71" i="2"/>
  <c r="O67" i="2"/>
  <c r="N67" i="2"/>
  <c r="L67" i="2"/>
  <c r="O63" i="2"/>
  <c r="N63" i="2"/>
  <c r="L63" i="2"/>
  <c r="O62" i="2"/>
  <c r="N62" i="2"/>
  <c r="L62" i="2"/>
  <c r="O60" i="2"/>
  <c r="N60" i="2"/>
  <c r="L60" i="2"/>
  <c r="O59" i="2"/>
  <c r="N59" i="2"/>
  <c r="L59" i="2"/>
  <c r="O58" i="2"/>
  <c r="N58" i="2"/>
  <c r="L58" i="2"/>
  <c r="O57" i="2"/>
  <c r="N57" i="2"/>
  <c r="L57" i="2"/>
  <c r="O51" i="2"/>
  <c r="N51" i="2"/>
  <c r="L51" i="2"/>
  <c r="O50" i="2"/>
  <c r="N50" i="2"/>
  <c r="L50" i="2"/>
  <c r="O49" i="2"/>
  <c r="N49" i="2"/>
  <c r="L49" i="2"/>
  <c r="O48" i="2"/>
  <c r="N48" i="2"/>
  <c r="L48" i="2"/>
  <c r="O46" i="2"/>
  <c r="N46" i="2"/>
  <c r="L46" i="2"/>
  <c r="O45" i="2"/>
  <c r="N45" i="2"/>
  <c r="L45" i="2"/>
  <c r="O43" i="2"/>
  <c r="N43" i="2"/>
  <c r="L43" i="2"/>
  <c r="O42" i="2"/>
  <c r="N42" i="2"/>
  <c r="L42" i="2"/>
  <c r="O41" i="2"/>
  <c r="N41" i="2"/>
  <c r="L41" i="2"/>
  <c r="O40" i="2"/>
  <c r="N40" i="2"/>
  <c r="L40" i="2"/>
  <c r="O39" i="2"/>
  <c r="N39" i="2"/>
  <c r="L39" i="2"/>
  <c r="O37" i="2"/>
  <c r="N37" i="2"/>
  <c r="L37" i="2"/>
  <c r="O33" i="2"/>
  <c r="N33" i="2"/>
  <c r="L33" i="2"/>
  <c r="O32" i="2"/>
  <c r="N32" i="2"/>
  <c r="L32" i="2"/>
  <c r="O31" i="2"/>
  <c r="N31" i="2"/>
  <c r="L31" i="2"/>
  <c r="O30" i="2"/>
  <c r="N30" i="2"/>
  <c r="L30" i="2"/>
  <c r="O29" i="2"/>
  <c r="N29" i="2"/>
  <c r="L29" i="2"/>
  <c r="O28" i="2"/>
  <c r="N28" i="2"/>
  <c r="L28" i="2"/>
  <c r="O26" i="2"/>
  <c r="N26" i="2"/>
  <c r="L26" i="2"/>
  <c r="O24" i="2"/>
  <c r="N24" i="2"/>
  <c r="L24" i="2"/>
  <c r="O21" i="2"/>
  <c r="N21" i="2"/>
  <c r="L21" i="2"/>
  <c r="O20" i="2"/>
  <c r="N20" i="2"/>
  <c r="L20" i="2"/>
  <c r="O18" i="2"/>
  <c r="N18" i="2"/>
  <c r="L18" i="2"/>
  <c r="O17" i="2"/>
  <c r="N17" i="2"/>
  <c r="L17" i="2"/>
  <c r="O13" i="2"/>
  <c r="N13" i="2"/>
  <c r="L13" i="2"/>
  <c r="O12" i="2"/>
  <c r="N12" i="2"/>
  <c r="L12" i="2"/>
  <c r="O11" i="2"/>
  <c r="N11" i="2"/>
  <c r="L11" i="2"/>
  <c r="O10" i="2"/>
  <c r="N10" i="2"/>
  <c r="L10" i="2"/>
  <c r="O9" i="2"/>
  <c r="N9" i="2"/>
  <c r="L9" i="2"/>
  <c r="O5" i="2"/>
  <c r="N5" i="2"/>
  <c r="L5" i="2"/>
  <c r="O4" i="2"/>
  <c r="N4" i="2"/>
  <c r="L4" i="2"/>
  <c r="O2" i="2"/>
  <c r="N2" i="2"/>
  <c r="L2" i="2"/>
  <c r="B20" i="16"/>
  <c r="E7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<sst xmlns="http://schemas.openxmlformats.org/spreadsheetml/2006/main" count="14925" uniqueCount="3042">
  <si>
    <t>THE UNLOX ACADEMY - DA/DS TRACK</t>
  </si>
  <si>
    <t>order_id</t>
  </si>
  <si>
    <t>Excel Minor Project - Sales Operations Analytics</t>
  </si>
  <si>
    <t>Interview-Grade Data Analytics Assessment · 100 Marks</t>
  </si>
  <si>
    <t>order_date</t>
  </si>
  <si>
    <t>THE SCENARIO</t>
  </si>
  <si>
    <t>customer_id</t>
  </si>
  <si>
    <t>product_id</t>
  </si>
  <si>
    <t>sales_rep_id</t>
  </si>
  <si>
    <t>You have just joined the analytics team at a fast-growing multi-category retailer operating across 6 Indian cities.</t>
  </si>
  <si>
    <t>quantity</t>
  </si>
  <si>
    <t>unit_price</t>
  </si>
  <si>
    <t>discount_pct</t>
  </si>
  <si>
    <t>The head of sales has handed you 5 raw data files - Orders, Customers, Products, Sales Reps, and Targets - and asked</t>
  </si>
  <si>
    <t>final_amount</t>
  </si>
  <si>
    <t>payment_status</t>
  </si>
  <si>
    <t>you to answer a set of business questions before the leadership review tomorrow morning.</t>
  </si>
  <si>
    <t>ship_city</t>
  </si>
  <si>
    <t>category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</si>
  <si>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</si>
  <si>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</si>
  <si>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 xml:space="preserve"> </t>
  </si>
  <si>
    <t>sometimes the data itself is telling a story.</t>
  </si>
  <si>
    <t>segment</t>
  </si>
  <si>
    <t>age</t>
  </si>
  <si>
    <t>RULES OF THE ASSESSMENT</t>
  </si>
  <si>
    <t>Sales Region</t>
  </si>
  <si>
    <t>1. Write your answer in the YELLOW cells on each question sheet. Empty answer cell = 0 marks.</t>
  </si>
  <si>
    <t>Order Month</t>
  </si>
  <si>
    <t>2. You may use ANY Excel feature: formulas, PivotTables, PivotCharts, filters, sorting, helper columns.</t>
  </si>
  <si>
    <t>ORD-00001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</si>
  <si>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</si>
  <si>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</si>
  <si>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</si>
  <si>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</si>
  <si>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CUST-0243</t>
  </si>
  <si>
    <t>MARKS DISTRIBUTION</t>
  </si>
  <si>
    <t>PROD-014</t>
  </si>
  <si>
    <t>R007</t>
  </si>
  <si>
    <t>Section</t>
  </si>
  <si>
    <t>Topic</t>
  </si>
  <si>
    <t>Completed</t>
  </si>
  <si>
    <t>Pune</t>
  </si>
  <si>
    <t>Questions</t>
  </si>
  <si>
    <t>Details for Sum of final_amount - Sales Region: South, category: Electronics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</si>
  <si>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</si>
  <si>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</si>
  <si>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</si>
  <si>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</si>
  <si>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</si>
  <si>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</si>
  <si>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</si>
  <si>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</si>
  <si>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</si>
  <si>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</si>
  <si>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</si>
  <si>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</si>
  <si>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</si>
  <si>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</si>
  <si>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</si>
  <si>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</si>
  <si>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</si>
  <si>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</si>
  <si>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</si>
  <si>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</si>
  <si>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</si>
  <si>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</si>
  <si>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</si>
  <si>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</si>
  <si>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</si>
  <si>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</si>
  <si>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</si>
  <si>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</si>
  <si>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</si>
  <si>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</si>
  <si>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</si>
  <si>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</si>
  <si>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</si>
  <si>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</si>
  <si>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</si>
  <si>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</si>
  <si>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</si>
  <si>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</si>
  <si>
    <t>DATA SHEETS OVERVIEW</t>
  </si>
  <si>
    <t>Sheet</t>
  </si>
  <si>
    <t>Rows</t>
  </si>
  <si>
    <t>Key Columns</t>
  </si>
  <si>
    <t>Joins to</t>
  </si>
  <si>
    <t>Orders</t>
  </si>
  <si>
    <t>ORD-00002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</si>
  <si>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</si>
  <si>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</si>
  <si>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</si>
  <si>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</si>
  <si>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CUST-0202</t>
  </si>
  <si>
    <t>PROD-020</t>
  </si>
  <si>
    <t>R005</t>
  </si>
  <si>
    <t>Pending</t>
  </si>
  <si>
    <t>Chennai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</si>
  <si>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</si>
  <si>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</si>
  <si>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</si>
  <si>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</si>
  <si>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</si>
  <si>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</si>
  <si>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</si>
  <si>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</si>
  <si>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</si>
  <si>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</si>
  <si>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</si>
  <si>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</si>
  <si>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</si>
  <si>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</si>
  <si>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ORD-01997</t>
  </si>
  <si>
    <t>ORD-00003</t>
  </si>
  <si>
    <t>CUST-0098</t>
  </si>
  <si>
    <t>PROD-053</t>
  </si>
  <si>
    <t>R014</t>
  </si>
  <si>
    <t>CUST-0135</t>
  </si>
  <si>
    <t>Delhi</t>
  </si>
  <si>
    <t>PROD-006</t>
  </si>
  <si>
    <t>R017</t>
  </si>
  <si>
    <t>ORD-00004</t>
  </si>
  <si>
    <t>CUST-0071</t>
  </si>
  <si>
    <t>PROD-028</t>
  </si>
  <si>
    <t>R006</t>
  </si>
  <si>
    <t>Electronics</t>
  </si>
  <si>
    <t>SMB</t>
  </si>
  <si>
    <t>South</t>
  </si>
  <si>
    <t>ORD-01963</t>
  </si>
  <si>
    <t>CUST-0074</t>
  </si>
  <si>
    <t>PROD-008</t>
  </si>
  <si>
    <t>ORD-00005</t>
  </si>
  <si>
    <t>CUST-0180</t>
  </si>
  <si>
    <t>PROD-012</t>
  </si>
  <si>
    <t>R008</t>
  </si>
  <si>
    <t>Bengaluru</t>
  </si>
  <si>
    <t>Retail</t>
  </si>
  <si>
    <t>ORD-01951</t>
  </si>
  <si>
    <t>CUST-0004</t>
  </si>
  <si>
    <t>PROD-007</t>
  </si>
  <si>
    <t>ORD-00006</t>
  </si>
  <si>
    <t>CUST-0275</t>
  </si>
  <si>
    <t>R030</t>
  </si>
  <si>
    <t>PROD-032</t>
  </si>
  <si>
    <t>R025</t>
  </si>
  <si>
    <t>Mumbai</t>
  </si>
  <si>
    <t>Cancelled</t>
  </si>
  <si>
    <t>ORD-01891</t>
  </si>
  <si>
    <t>ORD-00007</t>
  </si>
  <si>
    <t>CUST-0168</t>
  </si>
  <si>
    <t>CUST-0293</t>
  </si>
  <si>
    <t>PROD-057</t>
  </si>
  <si>
    <t>R024</t>
  </si>
  <si>
    <t>PROD-005</t>
  </si>
  <si>
    <t>ORD-00008</t>
  </si>
  <si>
    <t>ORD-01853</t>
  </si>
  <si>
    <t>CUST-0281</t>
  </si>
  <si>
    <t>R019</t>
  </si>
  <si>
    <t>CUST-0277</t>
  </si>
  <si>
    <t>PROD-009</t>
  </si>
  <si>
    <t>ORD-00009</t>
  </si>
  <si>
    <t>CUST-0260</t>
  </si>
  <si>
    <t>PROD-038</t>
  </si>
  <si>
    <t>Corporate</t>
  </si>
  <si>
    <t>ORD-01839</t>
  </si>
  <si>
    <t>CUST-0170</t>
  </si>
  <si>
    <t>R018</t>
  </si>
  <si>
    <t>ORD-01801</t>
  </si>
  <si>
    <t>ORD-00010</t>
  </si>
  <si>
    <t>CUST-0147</t>
  </si>
  <si>
    <t>PROD-030</t>
  </si>
  <si>
    <t>R028</t>
  </si>
  <si>
    <t>CUST-0118</t>
  </si>
  <si>
    <t>ORD-00011</t>
  </si>
  <si>
    <t>CUST-0204</t>
  </si>
  <si>
    <t>PROD-024</t>
  </si>
  <si>
    <t>R010</t>
  </si>
  <si>
    <t>Hyderabad</t>
  </si>
  <si>
    <t>ORD-01722</t>
  </si>
  <si>
    <t>ORD-00012</t>
  </si>
  <si>
    <t>PROD-010</t>
  </si>
  <si>
    <t>ORD-00013</t>
  </si>
  <si>
    <t>CUST-0280</t>
  </si>
  <si>
    <t>PROD-002</t>
  </si>
  <si>
    <t>R004</t>
  </si>
  <si>
    <t>ORD-01656</t>
  </si>
  <si>
    <t>CUST-0240</t>
  </si>
  <si>
    <t>PROD-004</t>
  </si>
  <si>
    <t>R012</t>
  </si>
  <si>
    <t>ORD-00014</t>
  </si>
  <si>
    <t>CUST-0008</t>
  </si>
  <si>
    <t>PROD-036</t>
  </si>
  <si>
    <t>Refunded</t>
  </si>
  <si>
    <t>ORD-01601</t>
  </si>
  <si>
    <t>CUST-0155</t>
  </si>
  <si>
    <t>R022</t>
  </si>
  <si>
    <t>ORD-00015</t>
  </si>
  <si>
    <t>CUST-0052</t>
  </si>
  <si>
    <t>PROD-060</t>
  </si>
  <si>
    <t>R003</t>
  </si>
  <si>
    <t>ORD-01532</t>
  </si>
  <si>
    <t>ORD-00016</t>
  </si>
  <si>
    <t>CUST-0078</t>
  </si>
  <si>
    <t>CUST-0184</t>
  </si>
  <si>
    <t>PROD-058</t>
  </si>
  <si>
    <t>ORD-00017</t>
  </si>
  <si>
    <t>CUST-0056</t>
  </si>
  <si>
    <t>R023</t>
  </si>
  <si>
    <t>ORD-01507</t>
  </si>
  <si>
    <t>CUST-0196</t>
  </si>
  <si>
    <t>PROD-003</t>
  </si>
  <si>
    <t>ORD-00018</t>
  </si>
  <si>
    <t>CUST-0273</t>
  </si>
  <si>
    <t>R009</t>
  </si>
  <si>
    <t>PROD-047</t>
  </si>
  <si>
    <t>R021</t>
  </si>
  <si>
    <t>ORD-00019</t>
  </si>
  <si>
    <t>CUST-0182</t>
  </si>
  <si>
    <t>PROD-051</t>
  </si>
  <si>
    <t>ORD-01489</t>
  </si>
  <si>
    <t>R016</t>
  </si>
  <si>
    <t>ORD-00020</t>
  </si>
  <si>
    <t>CUST-0265</t>
  </si>
  <si>
    <t>PROD-040</t>
  </si>
  <si>
    <t>ORD-00021</t>
  </si>
  <si>
    <t>CUST-0159</t>
  </si>
  <si>
    <t>PROD-019</t>
  </si>
  <si>
    <t>ORD-01480</t>
  </si>
  <si>
    <t>CUST-0201</t>
  </si>
  <si>
    <t>PROD-001</t>
  </si>
  <si>
    <t>R001</t>
  </si>
  <si>
    <t>ORD-00022</t>
  </si>
  <si>
    <t>CUST-0259</t>
  </si>
  <si>
    <t>ORD-01456</t>
  </si>
  <si>
    <t>CUST-0044</t>
  </si>
  <si>
    <t>R029</t>
  </si>
  <si>
    <t>ORD-00023</t>
  </si>
  <si>
    <t>CUST-0107</t>
  </si>
  <si>
    <t>PROD-015</t>
  </si>
  <si>
    <t>ORD-00024</t>
  </si>
  <si>
    <t>CUST-0101</t>
  </si>
  <si>
    <t>PROD-044</t>
  </si>
  <si>
    <t>ORD-01429</t>
  </si>
  <si>
    <t>CUST-0066</t>
  </si>
  <si>
    <t>ORD-00025</t>
  </si>
  <si>
    <t>CUST-0142</t>
  </si>
  <si>
    <t>PROD-043</t>
  </si>
  <si>
    <t>customer_name</t>
  </si>
  <si>
    <t>city</t>
  </si>
  <si>
    <t>signup_date</t>
  </si>
  <si>
    <t>CUST-0001</t>
  </si>
  <si>
    <t>ORD-01426</t>
  </si>
  <si>
    <t>Amit Agarwal</t>
  </si>
  <si>
    <t>CUST-0002</t>
  </si>
  <si>
    <t>Vihaan Malhotra</t>
  </si>
  <si>
    <t>ORD-00026</t>
  </si>
  <si>
    <t>CUST-0003</t>
  </si>
  <si>
    <t>CUST-0250</t>
  </si>
  <si>
    <t>Navya Malhotra</t>
  </si>
  <si>
    <t>PROD-054</t>
  </si>
  <si>
    <t>R002</t>
  </si>
  <si>
    <t>Aaradhya Mehta</t>
  </si>
  <si>
    <t>delhi</t>
  </si>
  <si>
    <t>CUST-0005</t>
  </si>
  <si>
    <t>Myra Malhotra</t>
  </si>
  <si>
    <t>CUST-0006</t>
  </si>
  <si>
    <t>Shaurya Iyer</t>
  </si>
  <si>
    <t>CUST-0007</t>
  </si>
  <si>
    <t>Dhruv Joshi</t>
  </si>
  <si>
    <t>Kavita Malhotra</t>
  </si>
  <si>
    <t>CUST-0009</t>
  </si>
  <si>
    <t>Neha Malhotra</t>
  </si>
  <si>
    <t>CUST-0010</t>
  </si>
  <si>
    <t>Aaradhya Gupta</t>
  </si>
  <si>
    <t>CUST-0011</t>
  </si>
  <si>
    <t>Diya Menon</t>
  </si>
  <si>
    <t>CUST-0012</t>
  </si>
  <si>
    <t>Prisha Desai</t>
  </si>
  <si>
    <t>CUST-0013</t>
  </si>
  <si>
    <t>Aryan Chopra</t>
  </si>
  <si>
    <t>ORD-01370</t>
  </si>
  <si>
    <t>ORD-00027</t>
  </si>
  <si>
    <t>PROD-046</t>
  </si>
  <si>
    <t>CUST-0014</t>
  </si>
  <si>
    <t>Priya Malhotra</t>
  </si>
  <si>
    <t>CUST-0015</t>
  </si>
  <si>
    <t>Aadhya Bhatt</t>
  </si>
  <si>
    <t>CUST-0016</t>
  </si>
  <si>
    <t>Vivaan Nair</t>
  </si>
  <si>
    <t>CUST-0017</t>
  </si>
  <si>
    <t>Pranav Reddy</t>
  </si>
  <si>
    <t>CUST-0018</t>
  </si>
  <si>
    <t>Ahana Agarwal</t>
  </si>
  <si>
    <t>CUST-0019</t>
  </si>
  <si>
    <t>Myra Shah</t>
  </si>
  <si>
    <t>CUST-0020</t>
  </si>
  <si>
    <t>Dhruv Iyer</t>
  </si>
  <si>
    <t>ORD-00028</t>
  </si>
  <si>
    <t>CUST-0143</t>
  </si>
  <si>
    <t>CUST-0021</t>
  </si>
  <si>
    <t>R015</t>
  </si>
  <si>
    <t>CUST-0022</t>
  </si>
  <si>
    <t>Aditya Shah</t>
  </si>
  <si>
    <t>CUST-0023</t>
  </si>
  <si>
    <t>Kavya Sharma</t>
  </si>
  <si>
    <t>CUST-0024</t>
  </si>
  <si>
    <t>Rohan Kapoor</t>
  </si>
  <si>
    <t>CHENNAI</t>
  </si>
  <si>
    <t>CUST-0025</t>
  </si>
  <si>
    <t>Angel Gupta</t>
  </si>
  <si>
    <t>ORD-01322</t>
  </si>
  <si>
    <t>CUST-0026</t>
  </si>
  <si>
    <t>Anika Menon</t>
  </si>
  <si>
    <t>CUST-0027</t>
  </si>
  <si>
    <t xml:space="preserve">Diya Sharma   </t>
  </si>
  <si>
    <t>ORD-00029</t>
  </si>
  <si>
    <t>CUST-0028</t>
  </si>
  <si>
    <t>Navya Reddy</t>
  </si>
  <si>
    <t>CUST-0086</t>
  </si>
  <si>
    <t>PROD-048</t>
  </si>
  <si>
    <t>R020</t>
  </si>
  <si>
    <t>CUST-0029</t>
  </si>
  <si>
    <t>Aarav Chopra</t>
  </si>
  <si>
    <t>CUST-0030</t>
  </si>
  <si>
    <t>Ananya Agarwal</t>
  </si>
  <si>
    <t>CUST-0031</t>
  </si>
  <si>
    <t>Advik Joshi</t>
  </si>
  <si>
    <t>CUST-0032</t>
  </si>
  <si>
    <t>Vijay Kumar</t>
  </si>
  <si>
    <t>CUST-0033</t>
  </si>
  <si>
    <t>Rohit Kumar</t>
  </si>
  <si>
    <t>CUST-0034</t>
  </si>
  <si>
    <t>Pari Shah</t>
  </si>
  <si>
    <t>CUST-0035</t>
  </si>
  <si>
    <t>Rahul Rao</t>
  </si>
  <si>
    <t>ORD-00030</t>
  </si>
  <si>
    <t>CUST-0036</t>
  </si>
  <si>
    <t>PROD-055</t>
  </si>
  <si>
    <t>Aaradhya Desai</t>
  </si>
  <si>
    <t>CUST-0037</t>
  </si>
  <si>
    <t>Rohit Singh</t>
  </si>
  <si>
    <t>CUST-0038</t>
  </si>
  <si>
    <t>Iraa Mehta</t>
  </si>
  <si>
    <t>CUST-0039</t>
  </si>
  <si>
    <t>Rudra Verma</t>
  </si>
  <si>
    <t>CUST-0040</t>
  </si>
  <si>
    <t>Shaurya Menon</t>
  </si>
  <si>
    <t>ORD-01306</t>
  </si>
  <si>
    <t>CUST-0041</t>
  </si>
  <si>
    <t>Aarav Nair</t>
  </si>
  <si>
    <t>CUST-0042</t>
  </si>
  <si>
    <t>Pranav Gupta</t>
  </si>
  <si>
    <t>CUST-0083</t>
  </si>
  <si>
    <t>CUST-0043</t>
  </si>
  <si>
    <t>ORD-00031</t>
  </si>
  <si>
    <t xml:space="preserve">Rohan Reddy   </t>
  </si>
  <si>
    <t>CUST-0241</t>
  </si>
  <si>
    <t>Advik Kumar</t>
  </si>
  <si>
    <t>CUST-0045</t>
  </si>
  <si>
    <t>Myra Reddy</t>
  </si>
  <si>
    <t>CUST-0046</t>
  </si>
  <si>
    <t>Rohan Bhatt</t>
  </si>
  <si>
    <t>CUST-0047</t>
  </si>
  <si>
    <t>Rudra Agarwal</t>
  </si>
  <si>
    <t>CUST-0048</t>
  </si>
  <si>
    <t>Prisha Kumar</t>
  </si>
  <si>
    <t>CUST-0049</t>
  </si>
  <si>
    <t>Prisha Chopra</t>
  </si>
  <si>
    <t>CUST-0050</t>
  </si>
  <si>
    <t>Aadhya Reddy</t>
  </si>
  <si>
    <t>ORD-00032</t>
  </si>
  <si>
    <t>CUST-0051</t>
  </si>
  <si>
    <t>Myra Singh</t>
  </si>
  <si>
    <t>PROD-021</t>
  </si>
  <si>
    <t>Rahul Kumar</t>
  </si>
  <si>
    <t>R026</t>
  </si>
  <si>
    <t>CUST-0053</t>
  </si>
  <si>
    <t>Pari Kumar</t>
  </si>
  <si>
    <t>CUST-0054</t>
  </si>
  <si>
    <t>Vivaan Shah</t>
  </si>
  <si>
    <t>ORD-01304</t>
  </si>
  <si>
    <t>CUST-0055</t>
  </si>
  <si>
    <t>Aarohi Patel</t>
  </si>
  <si>
    <t>CUST-0090</t>
  </si>
  <si>
    <t>CUST-0057</t>
  </si>
  <si>
    <t>Vivaan Verma</t>
  </si>
  <si>
    <t>ORD-00033</t>
  </si>
  <si>
    <t>CUST-0058</t>
  </si>
  <si>
    <t>PROD-037</t>
  </si>
  <si>
    <t>Kavya Iyer</t>
  </si>
  <si>
    <t>CUST-0059</t>
  </si>
  <si>
    <t>Riya Mehta</t>
  </si>
  <si>
    <t>CUST-0060</t>
  </si>
  <si>
    <t>Priya Mehta</t>
  </si>
  <si>
    <t>CUST-0061</t>
  </si>
  <si>
    <t>Rahul Joshi</t>
  </si>
  <si>
    <t>CUST-0062</t>
  </si>
  <si>
    <t>Prisha Malhotra</t>
  </si>
  <si>
    <t>CUST-0063</t>
  </si>
  <si>
    <t>Kartik Chopra</t>
  </si>
  <si>
    <t>CUST-0064</t>
  </si>
  <si>
    <t>Rudra Singh</t>
  </si>
  <si>
    <t>CUST-0065</t>
  </si>
  <si>
    <t>Kabir Singh</t>
  </si>
  <si>
    <t>Aaradhya Bhatt</t>
  </si>
  <si>
    <t>CUST-0067</t>
  </si>
  <si>
    <t>Kiara Rao</t>
  </si>
  <si>
    <t>CUST-0068</t>
  </si>
  <si>
    <t>Kavya Chopra</t>
  </si>
  <si>
    <t>CUST-0069</t>
  </si>
  <si>
    <t>Kavita Menon</t>
  </si>
  <si>
    <t>ORD-00034</t>
  </si>
  <si>
    <t>CUST-0070</t>
  </si>
  <si>
    <t>Diya Shah</t>
  </si>
  <si>
    <t>Neha Menon</t>
  </si>
  <si>
    <t>CUST-0072</t>
  </si>
  <si>
    <t xml:space="preserve"> Anvi Kumar </t>
  </si>
  <si>
    <t>CUST-0073</t>
  </si>
  <si>
    <t>Pranav Malhotra</t>
  </si>
  <si>
    <t>ORD-01247</t>
  </si>
  <si>
    <t>Kabir Nair</t>
  </si>
  <si>
    <t>CUST-0075</t>
  </si>
  <si>
    <t>Vihaan Bhatt</t>
  </si>
  <si>
    <t>CUST-0254</t>
  </si>
  <si>
    <t>CUST-0076</t>
  </si>
  <si>
    <t>Rudra Desai</t>
  </si>
  <si>
    <t>ORD-00035</t>
  </si>
  <si>
    <t>CUST-0077</t>
  </si>
  <si>
    <t>Diya Patel</t>
  </si>
  <si>
    <t xml:space="preserve">Myra Gupta   </t>
  </si>
  <si>
    <t>CUST-0079</t>
  </si>
  <si>
    <t>Kiara Chopra</t>
  </si>
  <si>
    <t>CUST-0080</t>
  </si>
  <si>
    <t>Amit Iyer</t>
  </si>
  <si>
    <t>CUST-0081</t>
  </si>
  <si>
    <t>Amit Kumar</t>
  </si>
  <si>
    <t>CUST-0082</t>
  </si>
  <si>
    <t>Aditya Bhatt</t>
  </si>
  <si>
    <t>Meera Reddy</t>
  </si>
  <si>
    <t>CUST-0084</t>
  </si>
  <si>
    <t>Shaurya Bhatt</t>
  </si>
  <si>
    <t>CUST-0085</t>
  </si>
  <si>
    <t>Riya Patel</t>
  </si>
  <si>
    <t>Shaurya Reddy</t>
  </si>
  <si>
    <t>ORD-01233</t>
  </si>
  <si>
    <t>CUST-0087</t>
  </si>
  <si>
    <t>Aditya Kumar</t>
  </si>
  <si>
    <t>ORD-00036</t>
  </si>
  <si>
    <t>CUST-0088</t>
  </si>
  <si>
    <t>Ishaan Chopra</t>
  </si>
  <si>
    <t>CUST-0089</t>
  </si>
  <si>
    <t>Vijay Reddy</t>
  </si>
  <si>
    <t>Ahana Singh</t>
  </si>
  <si>
    <t>CUST-0091</t>
  </si>
  <si>
    <t>Kabir Chopra</t>
  </si>
  <si>
    <t>CUST-0092</t>
  </si>
  <si>
    <t>Dhruv Nair</t>
  </si>
  <si>
    <t>CUST-0093</t>
  </si>
  <si>
    <t>Suresh Mehta</t>
  </si>
  <si>
    <t>CUST-0094</t>
  </si>
  <si>
    <t>Kabir Shah</t>
  </si>
  <si>
    <t>ORD-00037</t>
  </si>
  <si>
    <t>CUST-0095</t>
  </si>
  <si>
    <t>CUST-0177</t>
  </si>
  <si>
    <t xml:space="preserve">  Pari Malhotra</t>
  </si>
  <si>
    <t>CUST-0096</t>
  </si>
  <si>
    <t>Riya Singh</t>
  </si>
  <si>
    <t>CUST-0097</t>
  </si>
  <si>
    <t>Iraa Kapoor</t>
  </si>
  <si>
    <t>Anika Malhotra</t>
  </si>
  <si>
    <t>CUST-0099</t>
  </si>
  <si>
    <t>Angel Sharma</t>
  </si>
  <si>
    <t>ORD-01191</t>
  </si>
  <si>
    <t>CUST-0100</t>
  </si>
  <si>
    <t>Myra Gupta</t>
  </si>
  <si>
    <t>Rudra Kapoor</t>
  </si>
  <si>
    <t>CUST-0102</t>
  </si>
  <si>
    <t>Advik Nair</t>
  </si>
  <si>
    <t>CUST-0103</t>
  </si>
  <si>
    <t>Pooja Singh</t>
  </si>
  <si>
    <t>CUST-0104</t>
  </si>
  <si>
    <t>Kiara Shah</t>
  </si>
  <si>
    <t>CUST-0105</t>
  </si>
  <si>
    <t>Aryan Agarwal</t>
  </si>
  <si>
    <t>ORD-00038</t>
  </si>
  <si>
    <t>CUST-0186</t>
  </si>
  <si>
    <t>CUST-0106</t>
  </si>
  <si>
    <t>Navya Mehta</t>
  </si>
  <si>
    <t xml:space="preserve">Ishaan Kapoor   </t>
  </si>
  <si>
    <t>CUST-0108</t>
  </si>
  <si>
    <t>Angel Shah</t>
  </si>
  <si>
    <t>CUST-0109</t>
  </si>
  <si>
    <t>Dhruv Gupta</t>
  </si>
  <si>
    <t>CUST-0110</t>
  </si>
  <si>
    <t>CUST-0111</t>
  </si>
  <si>
    <t>Ayaan Reddy</t>
  </si>
  <si>
    <t>ORD-01154</t>
  </si>
  <si>
    <t>CUST-0112</t>
  </si>
  <si>
    <t>Anika Shah</t>
  </si>
  <si>
    <t>CUST-0113</t>
  </si>
  <si>
    <t>ORD-00039</t>
  </si>
  <si>
    <t>Anvi Reddy</t>
  </si>
  <si>
    <t>CUST-0274</t>
  </si>
  <si>
    <t>CUST-0114</t>
  </si>
  <si>
    <t>Reyansh Patel</t>
  </si>
  <si>
    <t>CUST-0115</t>
  </si>
  <si>
    <t>CUST-0116</t>
  </si>
  <si>
    <t>Ritvik Kapoor</t>
  </si>
  <si>
    <t>BENGALURU</t>
  </si>
  <si>
    <t>CUST-0117</t>
  </si>
  <si>
    <t>Rohan Rao</t>
  </si>
  <si>
    <t>Myra Patel</t>
  </si>
  <si>
    <t>CUST-0119</t>
  </si>
  <si>
    <t>Aaradhya Joshi</t>
  </si>
  <si>
    <t>CUST-0120</t>
  </si>
  <si>
    <t>Vihaan Chopra</t>
  </si>
  <si>
    <t>ORD-00040</t>
  </si>
  <si>
    <t>CUST-0121</t>
  </si>
  <si>
    <t>CUST-0283</t>
  </si>
  <si>
    <t>Rohit Shah</t>
  </si>
  <si>
    <t>CUST-0122</t>
  </si>
  <si>
    <t xml:space="preserve"> Priya Kumar </t>
  </si>
  <si>
    <t>CUST-0123</t>
  </si>
  <si>
    <t>Pari Joshi</t>
  </si>
  <si>
    <t>CUST-0124</t>
  </si>
  <si>
    <t>Shaurya Agarwal</t>
  </si>
  <si>
    <t>ORD-01136</t>
  </si>
  <si>
    <t>CUST-0125</t>
  </si>
  <si>
    <t>Aryan Desai</t>
  </si>
  <si>
    <t>CUST-0126</t>
  </si>
  <si>
    <t>Neha Agarwal</t>
  </si>
  <si>
    <t>CUST-0171</t>
  </si>
  <si>
    <t>CUST-0127</t>
  </si>
  <si>
    <t>ORD-00041</t>
  </si>
  <si>
    <t>CUST-9507</t>
  </si>
  <si>
    <t>CUST-0128</t>
  </si>
  <si>
    <t>Angel Joshi</t>
  </si>
  <si>
    <t>CUST-0129</t>
  </si>
  <si>
    <t>Rohit Iyer</t>
  </si>
  <si>
    <t>hyderabad</t>
  </si>
  <si>
    <t>CUST-0130</t>
  </si>
  <si>
    <t>Kabir Kapoor</t>
  </si>
  <si>
    <t>CUST-0131</t>
  </si>
  <si>
    <t>Krishna Kapoor</t>
  </si>
  <si>
    <t>CUST-0132</t>
  </si>
  <si>
    <t xml:space="preserve">  Ishaan Joshi</t>
  </si>
  <si>
    <t>CUST-0133</t>
  </si>
  <si>
    <t>Iraa Kumar</t>
  </si>
  <si>
    <t>CUST-0134</t>
  </si>
  <si>
    <t>Ritvik Shah</t>
  </si>
  <si>
    <t>Aarohi Mehta</t>
  </si>
  <si>
    <t>ORD-00042</t>
  </si>
  <si>
    <t>CUST-0136</t>
  </si>
  <si>
    <t>Arjun Shah</t>
  </si>
  <si>
    <t>CUST-0137</t>
  </si>
  <si>
    <t>CUST-0138</t>
  </si>
  <si>
    <t>Riya Desai</t>
  </si>
  <si>
    <t>CUST-0139</t>
  </si>
  <si>
    <t>ORD-01105</t>
  </si>
  <si>
    <t>Aadhya Kumar</t>
  </si>
  <si>
    <t>CUST-0140</t>
  </si>
  <si>
    <t>Kavya Kumar</t>
  </si>
  <si>
    <t>CUST-0224</t>
  </si>
  <si>
    <t>CUST-0141</t>
  </si>
  <si>
    <t>Ishaan Verma</t>
  </si>
  <si>
    <t>chennai</t>
  </si>
  <si>
    <t>ORD-00043</t>
  </si>
  <si>
    <t>CUST-0222</t>
  </si>
  <si>
    <t>PROD-031</t>
  </si>
  <si>
    <t>Karan Gupta</t>
  </si>
  <si>
    <t>CUST-0144</t>
  </si>
  <si>
    <t xml:space="preserve">  Kavita Shah</t>
  </si>
  <si>
    <t>CUST-0145</t>
  </si>
  <si>
    <t>Anika Bhatt</t>
  </si>
  <si>
    <t>CUST-0146</t>
  </si>
  <si>
    <t xml:space="preserve">Riya Kapoor   </t>
  </si>
  <si>
    <t>Aarohi Iyer</t>
  </si>
  <si>
    <t>CUST-0148</t>
  </si>
  <si>
    <t>Advik Menon</t>
  </si>
  <si>
    <t>CUST-0149</t>
  </si>
  <si>
    <t>Sanvi Menon</t>
  </si>
  <si>
    <t>HYDERABAD</t>
  </si>
  <si>
    <t>CUST-0150</t>
  </si>
  <si>
    <t>CUST-0151</t>
  </si>
  <si>
    <t>Suresh Bhatt</t>
  </si>
  <si>
    <t>ORD-01104</t>
  </si>
  <si>
    <t>CUST-0152</t>
  </si>
  <si>
    <t>Aaradhya Verma</t>
  </si>
  <si>
    <t>CUST-0153</t>
  </si>
  <si>
    <t>Ayaan Chopra</t>
  </si>
  <si>
    <t>CUST-0154</t>
  </si>
  <si>
    <t>CUST-0247</t>
  </si>
  <si>
    <t>Pari Desai</t>
  </si>
  <si>
    <t>ORD-00044</t>
  </si>
  <si>
    <t>Anvi Patel</t>
  </si>
  <si>
    <t>CUST-0156</t>
  </si>
  <si>
    <t>Vihaan Kapoor</t>
  </si>
  <si>
    <t>CUST-0157</t>
  </si>
  <si>
    <t xml:space="preserve">Dhruv Kumar   </t>
  </si>
  <si>
    <t>CUST-0158</t>
  </si>
  <si>
    <t>Pooja Reddy</t>
  </si>
  <si>
    <t>Anaya Chopra</t>
  </si>
  <si>
    <t>CUST-0160</t>
  </si>
  <si>
    <t>Priya Joshi</t>
  </si>
  <si>
    <t>CUST-0161</t>
  </si>
  <si>
    <t>Krishna Reddy</t>
  </si>
  <si>
    <t>ORD-00045</t>
  </si>
  <si>
    <t>CUST-0162</t>
  </si>
  <si>
    <t>Meera Malhotra</t>
  </si>
  <si>
    <t>CUST-0163</t>
  </si>
  <si>
    <t>CUST-0164</t>
  </si>
  <si>
    <t>ORD-00953</t>
  </si>
  <si>
    <t>CUST-0165</t>
  </si>
  <si>
    <t>CUST-0166</t>
  </si>
  <si>
    <t>Neha Kumar</t>
  </si>
  <si>
    <t>CUST-0167</t>
  </si>
  <si>
    <t>Kartik Patel</t>
  </si>
  <si>
    <t>Vivaan Kumar</t>
  </si>
  <si>
    <t>R027</t>
  </si>
  <si>
    <t>CUST-0169</t>
  </si>
  <si>
    <t>ORD-00046</t>
  </si>
  <si>
    <t>Reyansh Verma</t>
  </si>
  <si>
    <t>CUST-0291</t>
  </si>
  <si>
    <t>PROD-027</t>
  </si>
  <si>
    <t>Vihaan Gupta</t>
  </si>
  <si>
    <t>Aarav Iyer</t>
  </si>
  <si>
    <t>CUST-0172</t>
  </si>
  <si>
    <t>Aarav Singh</t>
  </si>
  <si>
    <t>CUST-0173</t>
  </si>
  <si>
    <t>Aditya Chopra</t>
  </si>
  <si>
    <t>CUST-0174</t>
  </si>
  <si>
    <t>Kiara Singh</t>
  </si>
  <si>
    <t>CUST-0175</t>
  </si>
  <si>
    <t>Sanvi Agarwal</t>
  </si>
  <si>
    <t>CUST-0176</t>
  </si>
  <si>
    <t>Suresh Nair</t>
  </si>
  <si>
    <t>CUST-0178</t>
  </si>
  <si>
    <t>Sara Desai</t>
  </si>
  <si>
    <t>CUST-0179</t>
  </si>
  <si>
    <t>Vivaan Gupta</t>
  </si>
  <si>
    <t>ORD-00855</t>
  </si>
  <si>
    <t>ORD-00047</t>
  </si>
  <si>
    <t>Amit Chopra</t>
  </si>
  <si>
    <t>PROD-013</t>
  </si>
  <si>
    <t>CUST-0181</t>
  </si>
  <si>
    <t>Kabir Desai</t>
  </si>
  <si>
    <t>CUST-0234</t>
  </si>
  <si>
    <t>Aaradhya Malhotra</t>
  </si>
  <si>
    <t>CUST-0183</t>
  </si>
  <si>
    <t>Anika Mehta</t>
  </si>
  <si>
    <t>Aadhya Kapoor</t>
  </si>
  <si>
    <t>CUST-0185</t>
  </si>
  <si>
    <t>Advik Agarwal</t>
  </si>
  <si>
    <t>CUST-0187</t>
  </si>
  <si>
    <t>Navya Rao</t>
  </si>
  <si>
    <t>CUST-0188</t>
  </si>
  <si>
    <t>Rohit Chopra</t>
  </si>
  <si>
    <t>CUST-0189</t>
  </si>
  <si>
    <t>Kabir Joshi</t>
  </si>
  <si>
    <t>ORD-00048</t>
  </si>
  <si>
    <t>CUST-9800</t>
  </si>
  <si>
    <t>PROD-050</t>
  </si>
  <si>
    <t>CUST-0190</t>
  </si>
  <si>
    <t>Kartik Kumar</t>
  </si>
  <si>
    <t>CUST-0191</t>
  </si>
  <si>
    <t>Riya Verma</t>
  </si>
  <si>
    <t>CUST-0192</t>
  </si>
  <si>
    <t>Anaya Sharma</t>
  </si>
  <si>
    <t>ORD-00730</t>
  </si>
  <si>
    <t>CUST-0193</t>
  </si>
  <si>
    <t>Aryan Menon</t>
  </si>
  <si>
    <t>CUST-0194</t>
  </si>
  <si>
    <t>CUST-0195</t>
  </si>
  <si>
    <t xml:space="preserve"> Shaurya Rao </t>
  </si>
  <si>
    <t>Rahul Singh</t>
  </si>
  <si>
    <t>ORD-00049</t>
  </si>
  <si>
    <t>CUST-0197</t>
  </si>
  <si>
    <t>Vijay Shah</t>
  </si>
  <si>
    <t>CUST-0198</t>
  </si>
  <si>
    <t>Karan Agarwal</t>
  </si>
  <si>
    <t>CUST-0199</t>
  </si>
  <si>
    <t>Sara Malhotra</t>
  </si>
  <si>
    <t>CUST-0200</t>
  </si>
  <si>
    <t>Myra Kapoor</t>
  </si>
  <si>
    <t>Kavya Mehta</t>
  </si>
  <si>
    <t>CUST-0203</t>
  </si>
  <si>
    <t>Reyansh Gupta</t>
  </si>
  <si>
    <t>ORD-00050</t>
  </si>
  <si>
    <t>Ishaan Mehta</t>
  </si>
  <si>
    <t>CUST-0226</t>
  </si>
  <si>
    <t>PROD-022</t>
  </si>
  <si>
    <t>CUST-0205</t>
  </si>
  <si>
    <t>ORD-00726</t>
  </si>
  <si>
    <t>CUST-0206</t>
  </si>
  <si>
    <t>CUST-0207</t>
  </si>
  <si>
    <t>CUST-0211</t>
  </si>
  <si>
    <t>Krishna Mehta</t>
  </si>
  <si>
    <t>CUST-0208</t>
  </si>
  <si>
    <t>Aadhya Shah</t>
  </si>
  <si>
    <t>CUST-0209</t>
  </si>
  <si>
    <t>Ritvik Agarwal</t>
  </si>
  <si>
    <t>CUST-0210</t>
  </si>
  <si>
    <t>Aryan Singh</t>
  </si>
  <si>
    <t>Ayaan Joshi</t>
  </si>
  <si>
    <t>ORD-00051</t>
  </si>
  <si>
    <t>CUST-0212</t>
  </si>
  <si>
    <t>Ayaan Singh</t>
  </si>
  <si>
    <t>CUST-0213</t>
  </si>
  <si>
    <t>CUST-0214</t>
  </si>
  <si>
    <t>Anika Rao</t>
  </si>
  <si>
    <t>CUST-0215</t>
  </si>
  <si>
    <t>Shaurya Kumar</t>
  </si>
  <si>
    <t>CUST-0216</t>
  </si>
  <si>
    <t>Priya Chopra</t>
  </si>
  <si>
    <t>CUST-0217</t>
  </si>
  <si>
    <t>Pari Verma</t>
  </si>
  <si>
    <t>CUST-0218</t>
  </si>
  <si>
    <t>Anvi Malhotra</t>
  </si>
  <si>
    <t>CUST-0219</t>
  </si>
  <si>
    <t>ORD-00712</t>
  </si>
  <si>
    <t>Kavita Bhatt</t>
  </si>
  <si>
    <t>CUST-0220</t>
  </si>
  <si>
    <t>Krishna Menon</t>
  </si>
  <si>
    <t>CUST-0221</t>
  </si>
  <si>
    <t>Pooja Kumar</t>
  </si>
  <si>
    <t xml:space="preserve">Anika Singh   </t>
  </si>
  <si>
    <t>CUST-0223</t>
  </si>
  <si>
    <t>ORD-00052</t>
  </si>
  <si>
    <t>Kavita Sharma</t>
  </si>
  <si>
    <t>Suresh Kumar</t>
  </si>
  <si>
    <t>CUST-0225</t>
  </si>
  <si>
    <t>Aarav Mehta</t>
  </si>
  <si>
    <t>CUST-0227</t>
  </si>
  <si>
    <t>CUST-0228</t>
  </si>
  <si>
    <t>Aaradhya Iyer</t>
  </si>
  <si>
    <t>CUST-0229</t>
  </si>
  <si>
    <t>Karan Singh</t>
  </si>
  <si>
    <t>CUST-0230</t>
  </si>
  <si>
    <t>Aadhya Singh</t>
  </si>
  <si>
    <t>CUST-0231</t>
  </si>
  <si>
    <t>Aarav Menon</t>
  </si>
  <si>
    <t>CUST-0232</t>
  </si>
  <si>
    <t>Kiara Agarwal</t>
  </si>
  <si>
    <t>ORD-00053</t>
  </si>
  <si>
    <t>R013</t>
  </si>
  <si>
    <t>CUST-0233</t>
  </si>
  <si>
    <t>Ahana Patel</t>
  </si>
  <si>
    <t>CUST-0235</t>
  </si>
  <si>
    <t>ORD-00678</t>
  </si>
  <si>
    <t>CUST-0236</t>
  </si>
  <si>
    <t>Iraa Shah</t>
  </si>
  <si>
    <t>CUST-0237</t>
  </si>
  <si>
    <t>Rohit Kapoor</t>
  </si>
  <si>
    <t>CUST-0238</t>
  </si>
  <si>
    <t>CUST-0239</t>
  </si>
  <si>
    <t>Kavita Agarwal</t>
  </si>
  <si>
    <t>Rudra Gupta</t>
  </si>
  <si>
    <t>Dhruv Verma</t>
  </si>
  <si>
    <t>CUST-0242</t>
  </si>
  <si>
    <t>ORD-00054</t>
  </si>
  <si>
    <t>CUST-0244</t>
  </si>
  <si>
    <t>Ananya Verma</t>
  </si>
  <si>
    <t>CUST-0245</t>
  </si>
  <si>
    <t>Aditya Nair</t>
  </si>
  <si>
    <t>CUST-0246</t>
  </si>
  <si>
    <t>Pari Kapoor</t>
  </si>
  <si>
    <t>Prisha Patel</t>
  </si>
  <si>
    <t>CUST-0248</t>
  </si>
  <si>
    <t>ORD-00055</t>
  </si>
  <si>
    <t>Aryan Iyer</t>
  </si>
  <si>
    <t>CUST-0267</t>
  </si>
  <si>
    <t>CUST-0249</t>
  </si>
  <si>
    <t xml:space="preserve">Kavita Shah   </t>
  </si>
  <si>
    <t>Pari Patel</t>
  </si>
  <si>
    <t>ORD-00553</t>
  </si>
  <si>
    <t>CUST-0251</t>
  </si>
  <si>
    <t>Aadhya Mehta</t>
  </si>
  <si>
    <t>CUST-0252</t>
  </si>
  <si>
    <t>Ananya Malhotra</t>
  </si>
  <si>
    <t>CUST-0253</t>
  </si>
  <si>
    <t>Anika Joshi</t>
  </si>
  <si>
    <t>Neha Patel</t>
  </si>
  <si>
    <t>CUST-0255</t>
  </si>
  <si>
    <t>CUST-0256</t>
  </si>
  <si>
    <t>Sanvi Shah</t>
  </si>
  <si>
    <t>CUST-0257</t>
  </si>
  <si>
    <t>ORD-00056</t>
  </si>
  <si>
    <t>Navya Menon</t>
  </si>
  <si>
    <t>PROD-041</t>
  </si>
  <si>
    <t>CUST-0258</t>
  </si>
  <si>
    <t>Neha Mehta</t>
  </si>
  <si>
    <t>Sara Joshi</t>
  </si>
  <si>
    <t>Diya Reddy</t>
  </si>
  <si>
    <t>CUST-0261</t>
  </si>
  <si>
    <t>Kabir Menon</t>
  </si>
  <si>
    <t>CUST-0262</t>
  </si>
  <si>
    <t>Rahul Desai</t>
  </si>
  <si>
    <t>ORD-00539</t>
  </si>
  <si>
    <t>CUST-0263</t>
  </si>
  <si>
    <t>Arjun Kapoor</t>
  </si>
  <si>
    <t>CUST-0264</t>
  </si>
  <si>
    <t>Riya Kapoor</t>
  </si>
  <si>
    <t>ORD-00057</t>
  </si>
  <si>
    <t xml:space="preserve">  Ishaan Kumar</t>
  </si>
  <si>
    <t>CUST-0266</t>
  </si>
  <si>
    <t>Ishaan Kumar</t>
  </si>
  <si>
    <t>Aarohi Gupta</t>
  </si>
  <si>
    <t>CUST-0268</t>
  </si>
  <si>
    <t>Aditya Patel</t>
  </si>
  <si>
    <t>CUST-0269</t>
  </si>
  <si>
    <t>Ananya Menon</t>
  </si>
  <si>
    <t>CUST-0270</t>
  </si>
  <si>
    <t>Myra Bhatt</t>
  </si>
  <si>
    <t>CUST-0271</t>
  </si>
  <si>
    <t>ORD-00058</t>
  </si>
  <si>
    <t>CUST-0272</t>
  </si>
  <si>
    <t>Pranav Bhatt</t>
  </si>
  <si>
    <t>PROD-026</t>
  </si>
  <si>
    <t>Kavita Mehta</t>
  </si>
  <si>
    <t>Aadhya Desai</t>
  </si>
  <si>
    <t>Myra Kumar</t>
  </si>
  <si>
    <t>CUST-0276</t>
  </si>
  <si>
    <t>CUST-0278</t>
  </si>
  <si>
    <t>ORD-00059</t>
  </si>
  <si>
    <t>Kartik Malhotra</t>
  </si>
  <si>
    <t>CUST-0279</t>
  </si>
  <si>
    <t>Kavita Patel</t>
  </si>
  <si>
    <t>ORD-00467</t>
  </si>
  <si>
    <t>CUST-0282</t>
  </si>
  <si>
    <t>Kabir Gupta</t>
  </si>
  <si>
    <t>Dhruv Reddy</t>
  </si>
  <si>
    <t>CUST-0284</t>
  </si>
  <si>
    <t>Arjun Singh</t>
  </si>
  <si>
    <t>CUST-0285</t>
  </si>
  <si>
    <t>Rohan Sharma</t>
  </si>
  <si>
    <t>CUST-0286</t>
  </si>
  <si>
    <t>ORD-00060</t>
  </si>
  <si>
    <t>Aarohi Nair</t>
  </si>
  <si>
    <t>PROD-039</t>
  </si>
  <si>
    <t>CUST-0287</t>
  </si>
  <si>
    <t>Anaya Joshi</t>
  </si>
  <si>
    <t>CUST-0288</t>
  </si>
  <si>
    <t>Ayaan Verma</t>
  </si>
  <si>
    <t>CUST-0289</t>
  </si>
  <si>
    <t>Krishna Desai</t>
  </si>
  <si>
    <t>CUST-0290</t>
  </si>
  <si>
    <t>Meera Chopra</t>
  </si>
  <si>
    <t>Rohan Menon</t>
  </si>
  <si>
    <t>CUST-0292</t>
  </si>
  <si>
    <t>Neha Desai</t>
  </si>
  <si>
    <t>CUST-0294</t>
  </si>
  <si>
    <t>CUST-0295</t>
  </si>
  <si>
    <t>Rohan Agarwal</t>
  </si>
  <si>
    <t>CUST-0296</t>
  </si>
  <si>
    <t>Navya Sharma</t>
  </si>
  <si>
    <t>CUST-0297</t>
  </si>
  <si>
    <t>Vivaan Agarwal</t>
  </si>
  <si>
    <t>CUST-0298</t>
  </si>
  <si>
    <t>Rahul Iyer</t>
  </si>
  <si>
    <t>ORD-00435</t>
  </si>
  <si>
    <t>CUST-0299</t>
  </si>
  <si>
    <t>CUST-0300</t>
  </si>
  <si>
    <t>Rohit Nair</t>
  </si>
  <si>
    <t>ORD-00061</t>
  </si>
  <si>
    <t>R011</t>
  </si>
  <si>
    <t>ORD-00062</t>
  </si>
  <si>
    <t>PROD-045</t>
  </si>
  <si>
    <t>ORD-00433</t>
  </si>
  <si>
    <t>ORD-00063</t>
  </si>
  <si>
    <t>ORD-00064</t>
  </si>
  <si>
    <t>ORD-00411</t>
  </si>
  <si>
    <t>ORD-00065</t>
  </si>
  <si>
    <t>product_name</t>
  </si>
  <si>
    <t>unit_cost</t>
  </si>
  <si>
    <t>is_active</t>
  </si>
  <si>
    <t>Smartphone Pro</t>
  </si>
  <si>
    <t>ORD-00066</t>
  </si>
  <si>
    <t>Wireless Earbuds</t>
  </si>
  <si>
    <t>Smart Watch</t>
  </si>
  <si>
    <t>ORD-00388</t>
  </si>
  <si>
    <t>Laptop Bag</t>
  </si>
  <si>
    <t>Power Bank</t>
  </si>
  <si>
    <t>Bluetooth Speaker</t>
  </si>
  <si>
    <t>USB-C Cable</t>
  </si>
  <si>
    <t>ORD-00067</t>
  </si>
  <si>
    <t>Wireless Mouse</t>
  </si>
  <si>
    <t>Mechanical Keyboard</t>
  </si>
  <si>
    <t>Tablet Stand</t>
  </si>
  <si>
    <t>PROD-011</t>
  </si>
  <si>
    <t>Cotton T-Shirt</t>
  </si>
  <si>
    <t>Apparel</t>
  </si>
  <si>
    <t>Denim Jeans</t>
  </si>
  <si>
    <t>Formal Shirt</t>
  </si>
  <si>
    <t>Winter Jacket</t>
  </si>
  <si>
    <t>Sports Shoes</t>
  </si>
  <si>
    <t>PROD-016</t>
  </si>
  <si>
    <t>Casual Sneakers</t>
  </si>
  <si>
    <t>PROD-017</t>
  </si>
  <si>
    <t>ORD-00308</t>
  </si>
  <si>
    <t>Silk Saree</t>
  </si>
  <si>
    <t>PROD-018</t>
  </si>
  <si>
    <t>Kurta Set</t>
  </si>
  <si>
    <t>ORD-00068</t>
  </si>
  <si>
    <t>Track Pants</t>
  </si>
  <si>
    <t>Woolen Sweater</t>
  </si>
  <si>
    <t>Basmati Rice 5kg</t>
  </si>
  <si>
    <t>Grocery</t>
  </si>
  <si>
    <t>Wheat Flour 10kg</t>
  </si>
  <si>
    <t>PROD-023</t>
  </si>
  <si>
    <t>Cooking Oil 5L</t>
  </si>
  <si>
    <t>Turmeric Powder 500g</t>
  </si>
  <si>
    <t>PROD-025</t>
  </si>
  <si>
    <t>Chili Powder 500g</t>
  </si>
  <si>
    <t>Sugar 5kg</t>
  </si>
  <si>
    <t>Tea Leaves 1kg</t>
  </si>
  <si>
    <t>ORD-00069</t>
  </si>
  <si>
    <t>Coffee Beans 500g</t>
  </si>
  <si>
    <t>PROD-029</t>
  </si>
  <si>
    <t>Ghee 1L</t>
  </si>
  <si>
    <t>Salt 1kg</t>
  </si>
  <si>
    <t>Bed Sheet Set</t>
  </si>
  <si>
    <t>Home</t>
  </si>
  <si>
    <t>Pillow Cover Pair</t>
  </si>
  <si>
    <t>PROD-033</t>
  </si>
  <si>
    <t>Curtain Set</t>
  </si>
  <si>
    <t>PROD-034</t>
  </si>
  <si>
    <t>Kitchen Towel Set</t>
  </si>
  <si>
    <t>ORD-00298</t>
  </si>
  <si>
    <t>PROD-035</t>
  </si>
  <si>
    <t>Doormat</t>
  </si>
  <si>
    <t>Wall Clock</t>
  </si>
  <si>
    <t>Table Lamp</t>
  </si>
  <si>
    <t>ORD-00070</t>
  </si>
  <si>
    <t>Storage Box</t>
  </si>
  <si>
    <t>Photo Frame</t>
  </si>
  <si>
    <t>Cushion Cover</t>
  </si>
  <si>
    <t>Face Wash 100ml</t>
  </si>
  <si>
    <t>Beauty</t>
  </si>
  <si>
    <t>PROD-042</t>
  </si>
  <si>
    <t>Moisturizer 200ml</t>
  </si>
  <si>
    <t>Shampoo 500ml</t>
  </si>
  <si>
    <t>Conditioner 500ml</t>
  </si>
  <si>
    <t>ORD-00071</t>
  </si>
  <si>
    <t>Body Lotion 400ml</t>
  </si>
  <si>
    <t>Sunscreen SPF50</t>
  </si>
  <si>
    <t>Lipstick</t>
  </si>
  <si>
    <t>ORD-00263</t>
  </si>
  <si>
    <t>Kajal</t>
  </si>
  <si>
    <t>PROD-049</t>
  </si>
  <si>
    <t>Hair Oil 200ml</t>
  </si>
  <si>
    <t>Perfume 100ml</t>
  </si>
  <si>
    <t>Yoga Mat</t>
  </si>
  <si>
    <t>Sports</t>
  </si>
  <si>
    <t>PROD-052</t>
  </si>
  <si>
    <t>Dumbbells 5kg</t>
  </si>
  <si>
    <t>Skipping Rope</t>
  </si>
  <si>
    <t>Cricket Bat</t>
  </si>
  <si>
    <t>Football Size 5</t>
  </si>
  <si>
    <t>PROD-056</t>
  </si>
  <si>
    <t>Badminton Racket</t>
  </si>
  <si>
    <t>ORD-00072</t>
  </si>
  <si>
    <t>Tennis Ball Pack</t>
  </si>
  <si>
    <t>Cycling Helmet</t>
  </si>
  <si>
    <t>PROD-059</t>
  </si>
  <si>
    <t>Water Bottle 1L</t>
  </si>
  <si>
    <t>Gym Gloves</t>
  </si>
  <si>
    <t>ORD-00261</t>
  </si>
  <si>
    <t>ORD-00073</t>
  </si>
  <si>
    <t>ORD-00074</t>
  </si>
  <si>
    <t>ORD-00248</t>
  </si>
  <si>
    <t>ORD-00075</t>
  </si>
  <si>
    <t>ORD-00076</t>
  </si>
  <si>
    <t>ORD-00206</t>
  </si>
  <si>
    <t>ORD-00077</t>
  </si>
  <si>
    <t>ORD-00200</t>
  </si>
  <si>
    <t>ORD-00078</t>
  </si>
  <si>
    <t>ORD-00079</t>
  </si>
  <si>
    <t>ORD-00080</t>
  </si>
  <si>
    <t>rep_id</t>
  </si>
  <si>
    <t>rep_name</t>
  </si>
  <si>
    <t>ORD-00150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</si>
  <si>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</si>
  <si>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</si>
  <si>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</si>
  <si>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</si>
  <si>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</si>
  <si>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</si>
  <si>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</si>
  <si>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</si>
  <si>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</si>
  <si>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</si>
  <si>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</si>
  <si>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Divya Rao</t>
  </si>
  <si>
    <t>Anil Verma</t>
  </si>
  <si>
    <t>Pooja Nair</t>
  </si>
  <si>
    <t>Sanjay Kapoor</t>
  </si>
  <si>
    <t>ORD-00081</t>
  </si>
  <si>
    <t>Ritu Menon</t>
  </si>
  <si>
    <t>Deepak Shah</t>
  </si>
  <si>
    <t>ORD-01445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</si>
  <si>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</si>
  <si>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</si>
  <si>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</si>
  <si>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</si>
  <si>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</si>
  <si>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</si>
  <si>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</si>
  <si>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ORD-00082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</si>
  <si>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</si>
  <si>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</si>
  <si>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</si>
  <si>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</si>
  <si>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</si>
  <si>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</si>
  <si>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</si>
  <si>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</si>
  <si>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</si>
  <si>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ORD-00083</t>
  </si>
  <si>
    <t>Kiran Bhatt</t>
  </si>
  <si>
    <t>ORD-00084</t>
  </si>
  <si>
    <t>ORD-00085</t>
  </si>
  <si>
    <t>ORD-00086</t>
  </si>
  <si>
    <t>ORD-00087</t>
  </si>
  <si>
    <t>ORD-00088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</si>
  <si>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</si>
  <si>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</si>
  <si>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</si>
  <si>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</si>
  <si>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</si>
  <si>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</si>
  <si>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</si>
  <si>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</si>
  <si>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</si>
  <si>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</si>
  <si>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</si>
  <si>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</si>
  <si>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</si>
  <si>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</si>
  <si>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</si>
  <si>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</si>
  <si>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</si>
  <si>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</si>
  <si>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</si>
  <si>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</si>
  <si>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</si>
  <si>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Q1 - LOOKUP FUNCTIONS  (25 marks total)</t>
  </si>
  <si>
    <t>ORD-00098</t>
  </si>
  <si>
    <t>VLOOKUP · INDEX-MATCH · Two-way lookup · Chain lookup · Approximate lookup · Self-join</t>
  </si>
  <si>
    <t>ORD-00099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</si>
  <si>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</si>
  <si>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</si>
  <si>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</si>
  <si>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</si>
  <si>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</si>
  <si>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</si>
  <si>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</si>
  <si>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</si>
  <si>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ORD-00100</t>
  </si>
  <si>
    <t>ORD-00101</t>
  </si>
  <si>
    <t>Q2 - DATA CLEANING &amp; QUALITY DIAGNOSTICS  (20 marks total)</t>
  </si>
  <si>
    <t>CUST-####</t>
  </si>
  <si>
    <t>Duplicates · Whitespace · Case Inconsistency · Referential Integrity · Discontinued SKUs · Anomaly Patterns</t>
  </si>
  <si>
    <t>Q1.2</t>
  </si>
  <si>
    <t>For order ORD-00456, what is the product_name? (You will need to look up the product_id first, then find its name in Products.)</t>
  </si>
  <si>
    <t>Two-step lookup, or nested VLOOKUP.</t>
  </si>
  <si>
    <t>ORD-00102</t>
  </si>
  <si>
    <t>Q2.1</t>
  </si>
  <si>
    <t>How many DUPLICATE rows exist in the Orders sheet (i.e., how many order_id values appear more than once)? Count each duplicate as ONE (not the extras).</t>
  </si>
  <si>
    <t>Text</t>
  </si>
  <si>
    <t>Q1.3</t>
  </si>
  <si>
    <t>COUNTIF &gt; 1, then count. Watch what you're counting - rows or IDs.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</si>
  <si>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</si>
  <si>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</si>
  <si>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ORD-00103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</si>
  <si>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</si>
  <si>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</si>
  <si>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</si>
  <si>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</si>
  <si>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</si>
  <si>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</si>
  <si>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</si>
  <si>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ORD-00104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</si>
  <si>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</si>
  <si>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</si>
  <si>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</si>
  <si>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ORD-00105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</si>
  <si>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</si>
  <si>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</si>
  <si>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</si>
  <si>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ORD-00106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</si>
  <si>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</si>
  <si>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</si>
  <si>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</si>
  <si>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Q2.2</t>
  </si>
  <si>
    <t>How many customers in the Customers sheet have LEADING or TRAILING whitespace in their customer_name?</t>
  </si>
  <si>
    <t>Compare LEN vs LEN(TRIM). Or use SUMPRODUCT with a boolean.</t>
  </si>
  <si>
    <t>ORD-00107</t>
  </si>
  <si>
    <t>DISCOUNT SLAB REFERENCE TABLE (use for Q1.6)</t>
  </si>
  <si>
    <t>Discount % (Lower)</t>
  </si>
  <si>
    <t>Slab</t>
  </si>
  <si>
    <t>ORD-00108</t>
  </si>
  <si>
    <t>Bronze</t>
  </si>
  <si>
    <t>Silver</t>
  </si>
  <si>
    <t>Gold</t>
  </si>
  <si>
    <t>Platinum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</si>
  <si>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</si>
  <si>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</si>
  <si>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</si>
  <si>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ORD-00109</t>
  </si>
  <si>
    <t>Q2.4</t>
  </si>
  <si>
    <t>How many orders reference a customer_id that DOES NOT EXIST in the Customers sheet? (Broken foreign key)</t>
  </si>
  <si>
    <t>Use MATCH with ISNA/ISERROR, then count.</t>
  </si>
  <si>
    <t>ORD-00110</t>
  </si>
  <si>
    <t>ORD-00111</t>
  </si>
  <si>
    <t>Q3 - CONDITIONAL AGGREGATION  (25 marks total)</t>
  </si>
  <si>
    <t>Q2.5</t>
  </si>
  <si>
    <t>How many orders reference a product that is currently DISCONTINUED (is_active = FALSE in the Products sheet)?</t>
  </si>
  <si>
    <t>VLOOKUP the is_active flag, then count where FALSE.</t>
  </si>
  <si>
    <t>ORD-00112</t>
  </si>
  <si>
    <t>SUMIFS · COUNTIFS · AVERAGEIFS · Nested IF logic · Multi-sheet aggregation · Top-N logic</t>
  </si>
  <si>
    <t>ORD-00113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</si>
  <si>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</si>
  <si>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</si>
  <si>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</si>
  <si>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</si>
  <si>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</si>
  <si>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</si>
  <si>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ORD-00114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</si>
  <si>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</si>
  <si>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</si>
  <si>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</si>
  <si>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</si>
  <si>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</si>
  <si>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ORD-00115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</si>
  <si>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</si>
  <si>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</si>
  <si>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</si>
  <si>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</si>
  <si>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</si>
  <si>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</si>
  <si>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ORD-00116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</si>
  <si>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</si>
  <si>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</si>
  <si>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ORD-00117</t>
  </si>
  <si>
    <t>ORD-00118</t>
  </si>
  <si>
    <t>Q3.6</t>
  </si>
  <si>
    <t>What is the TOTAL revenue from Corporate segment customers aged between 30 and 40 (both inclusive)?</t>
  </si>
  <si>
    <t>Helper columns for age and segment. Then SUMIFS with numeric range.</t>
  </si>
  <si>
    <t>ORD-00119</t>
  </si>
  <si>
    <t>ORD-00120</t>
  </si>
  <si>
    <t>ORD-00121</t>
  </si>
  <si>
    <t>ORD-00122</t>
  </si>
  <si>
    <t>ORD-00123</t>
  </si>
  <si>
    <t>ORD-00124</t>
  </si>
  <si>
    <t>ORD-00125</t>
  </si>
  <si>
    <t>Q4 - PIVOT TABLES  (20 marks total)</t>
  </si>
  <si>
    <t>2D Pivots · Filters · % of Row Total · Date Grouping · Calculated Fields · Cross-Sheet Data</t>
  </si>
  <si>
    <t>ORD-00126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</si>
  <si>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</si>
  <si>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</si>
  <si>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</si>
  <si>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ORD-00127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</si>
  <si>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</si>
  <si>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</si>
  <si>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</si>
  <si>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</si>
  <si>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</si>
  <si>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</si>
  <si>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</si>
  <si>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ORD-00128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</si>
  <si>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</si>
  <si>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</si>
  <si>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</si>
  <si>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</si>
  <si>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</si>
  <si>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</si>
  <si>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ORD-00129</t>
  </si>
  <si>
    <t>ORD-00130</t>
  </si>
  <si>
    <t>ORD-00131</t>
  </si>
  <si>
    <t>ORD-00132</t>
  </si>
  <si>
    <t>ORD-00133</t>
  </si>
  <si>
    <t>ORD-00134</t>
  </si>
  <si>
    <t>ORD-00135</t>
  </si>
  <si>
    <t>Sum of final_amount</t>
  </si>
  <si>
    <t>ORD-00137</t>
  </si>
  <si>
    <t>ORD-00138</t>
  </si>
  <si>
    <t>Grand Total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</si>
  <si>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</si>
  <si>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</si>
  <si>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</si>
  <si>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</si>
  <si>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</si>
  <si>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</si>
  <si>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</si>
  <si>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</si>
  <si>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CUST-9657</t>
  </si>
  <si>
    <t>ORD-00147</t>
  </si>
  <si>
    <t>ORD-00148</t>
  </si>
  <si>
    <t>ORD-00149</t>
  </si>
  <si>
    <t>ORD-00151</t>
  </si>
  <si>
    <t>MUMBAI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</si>
  <si>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</si>
  <si>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</si>
  <si>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</si>
  <si>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</si>
  <si>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</si>
  <si>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</si>
  <si>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</si>
  <si>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</si>
  <si>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</si>
  <si>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</si>
  <si>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</si>
  <si>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</si>
  <si>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</si>
  <si>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</si>
  <si>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</si>
  <si>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</si>
  <si>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</si>
  <si>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</si>
  <si>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</si>
  <si>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</si>
  <si>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</si>
  <si>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</si>
  <si>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</si>
  <si>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</si>
  <si>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Q5 - ADVANCED  (10 marks total)</t>
  </si>
  <si>
    <t>ORD-00176</t>
  </si>
  <si>
    <t>RANK · Running Totals · TEXTJOIN · LARGE + INDEX/MATCH · Multi-condition top-N</t>
  </si>
  <si>
    <t>Q5.1</t>
  </si>
  <si>
    <t>Rank all sales reps by total revenue (highest = rank 1). Who (name) is at RANK #7?</t>
  </si>
  <si>
    <t>ORD-00177</t>
  </si>
  <si>
    <t>Per-rep totals, then use RANK.EQ, or sort. Return the rep_name at position 7.</t>
  </si>
  <si>
    <t>ORD-00178</t>
  </si>
  <si>
    <t>Q5.2</t>
  </si>
  <si>
    <t>What is the CUMULATIVE revenue from Jan 2024 through the end of Aug 2024? (Sum of final_amount where order_date &lt;= 31-Aug-2024.)</t>
  </si>
  <si>
    <t>ORD-00179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</si>
  <si>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</si>
  <si>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</si>
  <si>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</si>
  <si>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</si>
  <si>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ORD-00180</t>
  </si>
  <si>
    <t>ORD-00181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</si>
  <si>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</si>
  <si>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</si>
  <si>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</si>
  <si>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ORD-00182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</si>
  <si>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</si>
  <si>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</si>
  <si>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</si>
  <si>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</si>
  <si>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</si>
  <si>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</si>
  <si>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</si>
  <si>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</si>
  <si>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</si>
  <si>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</si>
  <si>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</si>
  <si>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</si>
  <si>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</si>
  <si>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</si>
  <si>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</si>
  <si>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</si>
  <si>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</si>
  <si>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</si>
  <si>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</si>
  <si>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</si>
  <si>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ORD-00201</t>
  </si>
  <si>
    <t>ORD-00202</t>
  </si>
  <si>
    <t>ORD-00203</t>
  </si>
  <si>
    <t>ORD-00204</t>
  </si>
  <si>
    <t>ORD-00205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</si>
  <si>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</si>
  <si>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</si>
  <si>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</si>
  <si>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</si>
  <si>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</si>
  <si>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</si>
  <si>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</si>
  <si>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</si>
  <si>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</si>
  <si>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</si>
  <si>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</si>
  <si>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</si>
  <si>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</si>
  <si>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</si>
  <si>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</si>
  <si>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</si>
  <si>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</si>
  <si>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</si>
  <si>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</si>
  <si>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</si>
  <si>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</si>
  <si>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</si>
  <si>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</si>
  <si>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</si>
  <si>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</si>
  <si>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</si>
  <si>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</si>
  <si>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</si>
  <si>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</si>
  <si>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</si>
  <si>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</si>
  <si>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</si>
  <si>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</si>
  <si>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</si>
  <si>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</si>
  <si>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</si>
  <si>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</si>
  <si>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</si>
  <si>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</si>
  <si>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</si>
  <si>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</si>
  <si>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</si>
  <si>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</si>
  <si>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</si>
  <si>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</si>
  <si>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</si>
  <si>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</si>
  <si>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</si>
  <si>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</si>
  <si>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</si>
  <si>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</si>
  <si>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</si>
  <si>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</si>
  <si>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ORD-00262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</si>
  <si>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</si>
  <si>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</si>
  <si>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</si>
  <si>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</si>
  <si>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</si>
  <si>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</si>
  <si>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</si>
  <si>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</si>
  <si>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</si>
  <si>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</si>
  <si>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</si>
  <si>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</si>
  <si>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</si>
  <si>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</si>
  <si>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</si>
  <si>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</si>
  <si>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</si>
  <si>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</si>
  <si>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</si>
  <si>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</si>
  <si>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</si>
  <si>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</si>
  <si>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</si>
  <si>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</si>
  <si>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</si>
  <si>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</si>
  <si>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</si>
  <si>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</si>
  <si>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</si>
  <si>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ORD-00335</t>
  </si>
  <si>
    <t>ORD-00294</t>
  </si>
  <si>
    <t>ORD-00295</t>
  </si>
  <si>
    <t>ORD-00296</t>
  </si>
  <si>
    <t>ORD-01770</t>
  </si>
  <si>
    <t>ORD-00299</t>
  </si>
  <si>
    <t>ORD-00300</t>
  </si>
  <si>
    <t>ORD-00301</t>
  </si>
  <si>
    <t>ORD-00302</t>
  </si>
  <si>
    <t>ORD-00303</t>
  </si>
  <si>
    <t>ORD-00881</t>
  </si>
  <si>
    <t>ORD-00305</t>
  </si>
  <si>
    <t>ORD-00306</t>
  </si>
  <si>
    <t>ORD-00307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</si>
  <si>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</si>
  <si>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</si>
  <si>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</si>
  <si>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</si>
  <si>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</si>
  <si>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</si>
  <si>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</si>
  <si>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</si>
  <si>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</si>
  <si>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</si>
  <si>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</si>
  <si>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</si>
  <si>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</si>
  <si>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</si>
  <si>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</si>
  <si>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</si>
  <si>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</si>
  <si>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</si>
  <si>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</si>
  <si>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</si>
  <si>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</si>
  <si>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</si>
  <si>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</si>
  <si>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</si>
  <si>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</si>
  <si>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</si>
  <si>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PUNE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</si>
  <si>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</si>
  <si>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</si>
  <si>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</si>
  <si>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</si>
  <si>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</si>
  <si>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</si>
  <si>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</si>
  <si>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</si>
  <si>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</si>
  <si>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ORD-00593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</si>
  <si>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</si>
  <si>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</si>
  <si>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</si>
  <si>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</si>
  <si>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</si>
  <si>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</si>
  <si>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</si>
  <si>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</si>
  <si>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</si>
  <si>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</si>
  <si>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</si>
  <si>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</si>
  <si>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</si>
  <si>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</si>
  <si>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</si>
  <si>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</si>
  <si>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</si>
  <si>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</si>
  <si>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</si>
  <si>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</si>
  <si>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</si>
  <si>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</si>
  <si>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</si>
  <si>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</si>
  <si>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</si>
  <si>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</si>
  <si>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</si>
  <si>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</si>
  <si>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</si>
  <si>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</si>
  <si>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</si>
  <si>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</si>
  <si>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</si>
  <si>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</si>
  <si>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</si>
  <si>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</si>
  <si>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</si>
  <si>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</si>
  <si>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pune</t>
  </si>
  <si>
    <t>ORD-00384</t>
  </si>
  <si>
    <t>ORD-00385</t>
  </si>
  <si>
    <t>ORD-00386</t>
  </si>
  <si>
    <t>ORD-00387</t>
  </si>
  <si>
    <t>ORD-00389</t>
  </si>
  <si>
    <t>ORD-00390</t>
  </si>
  <si>
    <t>ORD-00391</t>
  </si>
  <si>
    <t>ORD-00392</t>
  </si>
  <si>
    <t>ORD-00393</t>
  </si>
  <si>
    <t>CUST-9557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</si>
  <si>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</si>
  <si>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</si>
  <si>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</si>
  <si>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</si>
  <si>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</si>
  <si>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</si>
  <si>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</si>
  <si>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</si>
  <si>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</si>
  <si>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</si>
  <si>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</si>
  <si>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</si>
  <si>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</si>
  <si>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</si>
  <si>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</si>
  <si>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</si>
  <si>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</si>
  <si>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</si>
  <si>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</si>
  <si>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</si>
  <si>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</si>
  <si>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</si>
  <si>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</si>
  <si>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</si>
  <si>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</si>
  <si>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</si>
  <si>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</si>
  <si>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</si>
  <si>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</si>
  <si>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</si>
  <si>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</si>
  <si>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</si>
  <si>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</si>
  <si>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</si>
  <si>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</si>
  <si>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</si>
  <si>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</si>
  <si>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</si>
  <si>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</si>
  <si>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ORD-00434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</si>
  <si>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</si>
  <si>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</si>
  <si>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</si>
  <si>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</si>
  <si>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</si>
  <si>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</si>
  <si>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</si>
  <si>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</si>
  <si>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</si>
  <si>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</si>
  <si>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</si>
  <si>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</si>
  <si>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</si>
  <si>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</si>
  <si>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</si>
  <si>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</si>
  <si>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</si>
  <si>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</si>
  <si>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</si>
  <si>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</si>
  <si>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</si>
  <si>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</si>
  <si>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</si>
  <si>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</si>
  <si>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</si>
  <si>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</si>
  <si>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</si>
  <si>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</si>
  <si>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</si>
  <si>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</si>
  <si>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</si>
  <si>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</si>
  <si>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</si>
  <si>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</si>
  <si>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</si>
  <si>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</si>
  <si>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</si>
  <si>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</si>
  <si>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</si>
  <si>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</si>
  <si>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</si>
  <si>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</si>
  <si>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ORD-01195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</si>
  <si>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</si>
  <si>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</si>
  <si>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</si>
  <si>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</si>
  <si>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</si>
  <si>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</si>
  <si>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</si>
  <si>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</si>
  <si>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</si>
  <si>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</si>
  <si>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</si>
  <si>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</si>
  <si>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</si>
  <si>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</si>
  <si>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</si>
  <si>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</si>
  <si>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</si>
  <si>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</si>
  <si>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</si>
  <si>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</si>
  <si>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</si>
  <si>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</si>
  <si>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</si>
  <si>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</si>
  <si>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</si>
  <si>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</si>
  <si>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</si>
  <si>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</si>
  <si>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</si>
  <si>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</si>
  <si>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</si>
  <si>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</si>
  <si>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</si>
  <si>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</si>
  <si>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</si>
  <si>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</si>
  <si>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</si>
  <si>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</si>
  <si>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</si>
  <si>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</si>
  <si>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SUM of final_amount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</si>
  <si>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</si>
  <si>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</si>
  <si>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</si>
  <si>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</si>
  <si>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</si>
  <si>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</si>
  <si>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</si>
  <si>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</si>
  <si>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</si>
  <si>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</si>
  <si>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</si>
  <si>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</si>
  <si>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</si>
  <si>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</si>
  <si>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</si>
  <si>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</si>
  <si>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</si>
  <si>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</si>
  <si>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</si>
  <si>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</si>
  <si>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</si>
  <si>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</si>
  <si>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</si>
  <si>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</si>
  <si>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</si>
  <si>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</si>
  <si>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</si>
  <si>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</si>
  <si>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</si>
  <si>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</si>
  <si>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</si>
  <si>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</si>
  <si>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</si>
  <si>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</si>
  <si>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</si>
  <si>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</si>
  <si>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</si>
  <si>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</si>
  <si>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</si>
  <si>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</si>
  <si>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</si>
  <si>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</si>
  <si>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</si>
  <si>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</si>
  <si>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</si>
  <si>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</si>
  <si>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</si>
  <si>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</si>
  <si>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</si>
  <si>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</si>
  <si>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</si>
  <si>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</si>
  <si>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</si>
  <si>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</si>
  <si>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</si>
  <si>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</si>
  <si>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</si>
  <si>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</si>
  <si>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</si>
  <si>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</si>
  <si>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</si>
  <si>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</si>
  <si>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</si>
  <si>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</si>
  <si>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</si>
  <si>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</si>
  <si>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</si>
  <si>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</si>
  <si>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</si>
  <si>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</si>
  <si>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</si>
  <si>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</si>
  <si>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</si>
  <si>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</si>
  <si>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</si>
  <si>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</si>
  <si>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</si>
  <si>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</si>
  <si>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</si>
  <si>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</si>
  <si>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</si>
  <si>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</si>
  <si>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</si>
  <si>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</si>
  <si>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</si>
  <si>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</si>
  <si>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</si>
  <si>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</si>
  <si>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</si>
  <si>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</si>
  <si>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</si>
  <si>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</si>
  <si>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</si>
  <si>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</si>
  <si>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</si>
  <si>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</si>
  <si>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</si>
  <si>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</si>
  <si>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</si>
  <si>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</si>
  <si>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</si>
  <si>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</si>
  <si>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</si>
  <si>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</si>
  <si>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</si>
  <si>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</si>
  <si>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</si>
  <si>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</si>
  <si>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</si>
  <si>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</si>
  <si>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</si>
  <si>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</si>
  <si>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</si>
  <si>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</si>
  <si>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</si>
  <si>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</si>
  <si>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</si>
  <si>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</si>
  <si>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</si>
  <si>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</si>
  <si>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</si>
  <si>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</si>
  <si>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</si>
  <si>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</si>
  <si>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</si>
  <si>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</si>
  <si>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</si>
  <si>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</si>
  <si>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</si>
  <si>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</si>
  <si>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</si>
  <si>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</si>
  <si>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</si>
  <si>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</si>
  <si>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</si>
  <si>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</si>
  <si>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</si>
  <si>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</si>
  <si>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</si>
  <si>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</si>
  <si>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</si>
  <si>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</si>
  <si>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</si>
  <si>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</si>
  <si>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</si>
  <si>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</si>
  <si>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</si>
  <si>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</si>
  <si>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</si>
  <si>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</si>
  <si>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</si>
  <si>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</si>
  <si>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</si>
  <si>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</si>
  <si>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</si>
  <si>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</si>
  <si>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</si>
  <si>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</si>
  <si>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</si>
  <si>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</si>
  <si>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</si>
  <si>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</si>
  <si>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</si>
  <si>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</si>
  <si>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</si>
  <si>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</si>
  <si>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</si>
  <si>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</si>
  <si>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</si>
  <si>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</si>
  <si>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</si>
  <si>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</si>
  <si>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</si>
  <si>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</si>
  <si>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</si>
  <si>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</si>
  <si>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</si>
  <si>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</si>
  <si>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</si>
  <si>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</si>
  <si>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</si>
  <si>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</si>
  <si>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</si>
  <si>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</si>
  <si>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</si>
  <si>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</si>
  <si>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</si>
  <si>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</si>
  <si>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</si>
  <si>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</si>
  <si>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</si>
  <si>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</si>
  <si>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</si>
  <si>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</si>
  <si>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</si>
  <si>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</si>
  <si>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</si>
  <si>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</si>
  <si>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</si>
  <si>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</si>
  <si>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</si>
  <si>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</si>
  <si>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ORD-00727</t>
  </si>
  <si>
    <t>ORD-00728</t>
  </si>
  <si>
    <t>ORD-00729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</si>
  <si>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</si>
  <si>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</si>
  <si>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</si>
  <si>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</si>
  <si>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</si>
  <si>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</si>
  <si>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</si>
  <si>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</si>
  <si>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</si>
  <si>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</si>
  <si>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</si>
  <si>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</si>
  <si>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</si>
  <si>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</si>
  <si>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</si>
  <si>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</si>
  <si>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</si>
  <si>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</si>
  <si>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</si>
  <si>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</si>
  <si>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</si>
  <si>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</si>
  <si>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</si>
  <si>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</si>
  <si>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</si>
  <si>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</si>
  <si>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</si>
  <si>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</si>
  <si>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</si>
  <si>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</si>
  <si>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</si>
  <si>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</si>
  <si>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</si>
  <si>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</si>
  <si>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</si>
  <si>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</si>
  <si>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</si>
  <si>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</si>
  <si>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</si>
  <si>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</si>
  <si>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</si>
  <si>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</si>
  <si>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</si>
  <si>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</si>
  <si>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</si>
  <si>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</si>
  <si>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</si>
  <si>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</si>
  <si>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</si>
  <si>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</si>
  <si>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</si>
  <si>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</si>
  <si>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</si>
  <si>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</si>
  <si>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</si>
  <si>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</si>
  <si>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</si>
  <si>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</si>
  <si>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</si>
  <si>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</si>
  <si>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</si>
  <si>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</si>
  <si>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</si>
  <si>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</si>
  <si>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</si>
  <si>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</si>
  <si>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</si>
  <si>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</si>
  <si>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</si>
  <si>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</si>
  <si>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</si>
  <si>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</si>
  <si>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</si>
  <si>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</si>
  <si>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</si>
  <si>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</si>
  <si>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</si>
  <si>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</si>
  <si>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</si>
  <si>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</si>
  <si>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</si>
  <si>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</si>
  <si>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</si>
  <si>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</si>
  <si>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</si>
  <si>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</si>
  <si>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</si>
  <si>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</si>
  <si>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ORD-00818</t>
  </si>
  <si>
    <t>ORD-00819</t>
  </si>
  <si>
    <t>ORD-00820</t>
  </si>
  <si>
    <t>ORD-00821</t>
  </si>
  <si>
    <t>ORD-00822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</si>
  <si>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</si>
  <si>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</si>
  <si>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</si>
  <si>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</si>
  <si>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</si>
  <si>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</si>
  <si>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</si>
  <si>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</si>
  <si>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</si>
  <si>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</si>
  <si>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</si>
  <si>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</si>
  <si>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</si>
  <si>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</si>
  <si>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</si>
  <si>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</si>
  <si>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</si>
  <si>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</si>
  <si>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</si>
  <si>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</si>
  <si>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</si>
  <si>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</si>
  <si>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</si>
  <si>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</si>
  <si>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</si>
  <si>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</si>
  <si>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</si>
  <si>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</si>
  <si>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</si>
  <si>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</si>
  <si>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</si>
  <si>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</si>
  <si>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</si>
  <si>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</si>
  <si>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</si>
  <si>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</si>
  <si>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</si>
  <si>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</si>
  <si>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</si>
  <si>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</si>
  <si>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</si>
  <si>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</si>
  <si>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</si>
  <si>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</si>
  <si>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</si>
  <si>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</si>
  <si>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</si>
  <si>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</si>
  <si>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</si>
  <si>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</si>
  <si>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</si>
  <si>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</si>
  <si>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</si>
  <si>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</si>
  <si>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</si>
  <si>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</si>
  <si>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</si>
  <si>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</si>
  <si>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</si>
  <si>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</si>
  <si>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</si>
  <si>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</si>
  <si>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</si>
  <si>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</si>
  <si>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</si>
  <si>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</si>
  <si>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</si>
  <si>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</si>
  <si>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</si>
  <si>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</si>
  <si>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</si>
  <si>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</si>
  <si>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</si>
  <si>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</si>
  <si>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</si>
  <si>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</si>
  <si>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</si>
  <si>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</si>
  <si>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</si>
  <si>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</si>
  <si>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</si>
  <si>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</si>
  <si>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</si>
  <si>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</si>
  <si>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</si>
  <si>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</si>
  <si>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</si>
  <si>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</si>
  <si>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</si>
  <si>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</si>
  <si>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</si>
  <si>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</si>
  <si>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</si>
  <si>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</si>
  <si>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</si>
  <si>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</si>
  <si>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</si>
  <si>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</si>
  <si>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</si>
  <si>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</si>
  <si>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</si>
  <si>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</si>
  <si>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</si>
  <si>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</si>
  <si>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</si>
  <si>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</si>
  <si>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</si>
  <si>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</si>
  <si>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</si>
  <si>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</si>
  <si>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</si>
  <si>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</si>
  <si>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</si>
  <si>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</si>
  <si>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</si>
  <si>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</si>
  <si>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</si>
  <si>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</si>
  <si>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</si>
  <si>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</si>
  <si>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</si>
  <si>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</si>
  <si>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</si>
  <si>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</si>
  <si>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</si>
  <si>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</si>
  <si>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</si>
  <si>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</si>
  <si>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</si>
  <si>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</si>
  <si>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</si>
  <si>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</si>
  <si>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</si>
  <si>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</si>
  <si>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</si>
  <si>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</si>
  <si>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</si>
  <si>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</si>
  <si>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</si>
  <si>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</si>
  <si>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</si>
  <si>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</si>
  <si>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</si>
  <si>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</si>
  <si>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</si>
  <si>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</si>
  <si>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</si>
  <si>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</si>
  <si>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</si>
  <si>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</si>
  <si>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</si>
  <si>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</si>
  <si>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</si>
  <si>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</si>
  <si>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</si>
  <si>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</si>
  <si>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</si>
  <si>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</si>
  <si>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</si>
  <si>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</si>
  <si>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</si>
  <si>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</si>
  <si>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</si>
  <si>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</si>
  <si>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</si>
  <si>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</si>
  <si>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</si>
  <si>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</si>
  <si>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</si>
  <si>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</si>
  <si>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</si>
  <si>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</si>
  <si>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</si>
  <si>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</si>
  <si>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</si>
  <si>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</si>
  <si>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</si>
  <si>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</si>
  <si>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</si>
  <si>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</si>
  <si>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</si>
  <si>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</si>
  <si>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</si>
  <si>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</si>
  <si>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</si>
  <si>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</si>
  <si>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</si>
  <si>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</si>
  <si>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</si>
  <si>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</si>
  <si>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</si>
  <si>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</si>
  <si>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</si>
  <si>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</si>
  <si>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</si>
  <si>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</si>
  <si>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</si>
  <si>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</si>
  <si>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</si>
  <si>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</si>
  <si>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</si>
  <si>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</si>
  <si>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</si>
  <si>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</si>
  <si>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</si>
  <si>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</si>
  <si>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</si>
  <si>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</si>
  <si>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</si>
  <si>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</si>
  <si>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</si>
  <si>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</si>
  <si>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</si>
  <si>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</si>
  <si>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</si>
  <si>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</si>
  <si>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</si>
  <si>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</si>
  <si>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</si>
  <si>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</si>
  <si>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</si>
  <si>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</si>
  <si>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</si>
  <si>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</si>
  <si>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</si>
  <si>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</si>
  <si>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</si>
  <si>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</si>
  <si>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</si>
  <si>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</si>
  <si>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</si>
  <si>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</si>
  <si>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</si>
  <si>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</si>
  <si>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</si>
  <si>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</si>
  <si>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</si>
  <si>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</si>
  <si>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</si>
  <si>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</si>
  <si>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</si>
  <si>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</si>
  <si>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</si>
  <si>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</si>
  <si>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</si>
  <si>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</si>
  <si>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</si>
  <si>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</si>
  <si>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</si>
  <si>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</si>
  <si>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</si>
  <si>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</si>
  <si>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</si>
  <si>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</si>
  <si>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</si>
  <si>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</si>
  <si>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</si>
  <si>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</si>
  <si>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</si>
  <si>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</si>
  <si>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</si>
  <si>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</si>
  <si>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</si>
  <si>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</si>
  <si>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</si>
  <si>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</si>
  <si>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</si>
  <si>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</si>
  <si>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</si>
  <si>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</si>
  <si>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</si>
  <si>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</si>
  <si>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</si>
  <si>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</si>
  <si>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</si>
  <si>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</si>
  <si>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</si>
  <si>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</si>
  <si>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</si>
  <si>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</si>
  <si>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</si>
  <si>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</si>
  <si>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</si>
  <si>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</si>
  <si>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</si>
  <si>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</si>
  <si>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</si>
  <si>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</si>
  <si>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</si>
  <si>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</si>
  <si>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</si>
  <si>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</si>
  <si>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</si>
  <si>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</si>
  <si>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</si>
  <si>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</si>
  <si>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</si>
  <si>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</si>
  <si>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</si>
  <si>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</si>
  <si>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</si>
  <si>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</si>
  <si>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</si>
  <si>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</si>
  <si>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</si>
  <si>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</si>
  <si>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</si>
  <si>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</si>
  <si>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</si>
  <si>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</si>
  <si>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</si>
  <si>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</si>
  <si>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</si>
  <si>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</si>
  <si>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</si>
  <si>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</si>
  <si>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</si>
  <si>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</si>
  <si>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</si>
  <si>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</si>
  <si>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</si>
  <si>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</si>
  <si>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</si>
  <si>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</si>
  <si>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</si>
  <si>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</si>
  <si>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</si>
  <si>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</si>
  <si>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</si>
  <si>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</si>
  <si>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</si>
  <si>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</si>
  <si>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</si>
  <si>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</si>
  <si>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</si>
  <si>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</si>
  <si>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</si>
  <si>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</si>
  <si>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</si>
  <si>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</si>
  <si>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</si>
  <si>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</si>
  <si>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</si>
  <si>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</si>
  <si>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</si>
  <si>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</si>
  <si>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</si>
  <si>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</si>
  <si>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</si>
  <si>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</si>
  <si>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</si>
  <si>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</si>
  <si>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</si>
  <si>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</si>
  <si>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</si>
  <si>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</si>
  <si>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</si>
  <si>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</si>
  <si>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</si>
  <si>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</si>
  <si>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</si>
  <si>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</si>
  <si>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</si>
  <si>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</si>
  <si>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</si>
  <si>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</si>
  <si>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</si>
  <si>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</si>
  <si>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</si>
  <si>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</si>
  <si>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</si>
  <si>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</si>
  <si>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</si>
  <si>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</si>
  <si>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</si>
  <si>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</si>
  <si>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</si>
  <si>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</si>
  <si>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</si>
  <si>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</si>
  <si>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</si>
  <si>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</si>
  <si>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</si>
  <si>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</si>
  <si>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</si>
  <si>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</si>
  <si>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</si>
  <si>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</si>
  <si>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</si>
  <si>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</si>
  <si>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</si>
  <si>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</si>
  <si>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</si>
  <si>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</si>
  <si>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</si>
  <si>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</si>
  <si>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</si>
  <si>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</si>
  <si>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</si>
  <si>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</si>
  <si>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</si>
  <si>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</si>
  <si>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</si>
  <si>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</si>
  <si>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ORD-01234</t>
  </si>
  <si>
    <t>ORD-01235</t>
  </si>
  <si>
    <t>ORD-01236</t>
  </si>
  <si>
    <t>ORD-01237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</si>
  <si>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</si>
  <si>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</si>
  <si>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</si>
  <si>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</si>
  <si>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</si>
  <si>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</si>
  <si>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</si>
  <si>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</si>
  <si>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</si>
  <si>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</si>
  <si>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</si>
  <si>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</si>
  <si>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</si>
  <si>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</si>
  <si>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</si>
  <si>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</si>
  <si>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</si>
  <si>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</si>
  <si>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</si>
  <si>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</si>
  <si>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</si>
  <si>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</si>
  <si>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</si>
  <si>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</si>
  <si>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</si>
  <si>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</si>
  <si>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</si>
  <si>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</si>
  <si>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</si>
  <si>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</si>
  <si>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</si>
  <si>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</si>
  <si>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</si>
  <si>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</si>
  <si>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</si>
  <si>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</si>
  <si>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</si>
  <si>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</si>
  <si>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</si>
  <si>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</si>
  <si>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</si>
  <si>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</si>
  <si>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</si>
  <si>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</si>
  <si>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</si>
  <si>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</si>
  <si>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</si>
  <si>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</si>
  <si>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</si>
  <si>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</si>
  <si>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</si>
  <si>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</si>
  <si>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</si>
  <si>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</si>
  <si>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</si>
  <si>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</si>
  <si>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</si>
  <si>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</si>
  <si>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</si>
  <si>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</si>
  <si>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</si>
  <si>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</si>
  <si>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</si>
  <si>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</si>
  <si>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</si>
  <si>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ORD-01305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</si>
  <si>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</si>
  <si>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</si>
  <si>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</si>
  <si>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</si>
  <si>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</si>
  <si>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</si>
  <si>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</si>
  <si>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</si>
  <si>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</si>
  <si>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</si>
  <si>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</si>
  <si>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</si>
  <si>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</si>
  <si>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</si>
  <si>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</si>
  <si>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</si>
  <si>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</si>
  <si>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</si>
  <si>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</si>
  <si>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</si>
  <si>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</si>
  <si>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</si>
  <si>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</si>
  <si>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</si>
  <si>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</si>
  <si>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</si>
  <si>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</si>
  <si>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</si>
  <si>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</si>
  <si>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</si>
  <si>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</si>
  <si>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</si>
  <si>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</si>
  <si>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</si>
  <si>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</si>
  <si>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</si>
  <si>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</si>
  <si>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</si>
  <si>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</si>
  <si>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</si>
  <si>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</si>
  <si>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</si>
  <si>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</si>
  <si>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</si>
  <si>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</si>
  <si>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</si>
  <si>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</si>
  <si>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</si>
  <si>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</si>
  <si>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</si>
  <si>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</si>
  <si>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</si>
  <si>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</si>
  <si>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</si>
  <si>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</si>
  <si>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</si>
  <si>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</si>
  <si>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</si>
  <si>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</si>
  <si>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</si>
  <si>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</si>
  <si>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</si>
  <si>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</si>
  <si>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</si>
  <si>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</si>
  <si>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</si>
  <si>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</si>
  <si>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</si>
  <si>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</si>
  <si>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</si>
  <si>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</si>
  <si>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</si>
  <si>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</si>
  <si>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</si>
  <si>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</si>
  <si>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</si>
  <si>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</si>
  <si>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</si>
  <si>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</si>
  <si>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</si>
  <si>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</si>
  <si>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</si>
  <si>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</si>
  <si>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</si>
  <si>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</si>
  <si>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</si>
  <si>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</si>
  <si>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</si>
  <si>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</si>
  <si>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</si>
  <si>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</si>
  <si>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</si>
  <si>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</si>
  <si>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</si>
  <si>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</si>
  <si>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</si>
  <si>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</si>
  <si>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</si>
  <si>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</si>
  <si>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</si>
  <si>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</si>
  <si>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</si>
  <si>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</si>
  <si>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</si>
  <si>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</si>
  <si>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</si>
  <si>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</si>
  <si>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</si>
  <si>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</si>
  <si>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</si>
  <si>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</si>
  <si>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</si>
  <si>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</si>
  <si>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</si>
  <si>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</si>
  <si>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</si>
  <si>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ORD-01427</t>
  </si>
  <si>
    <t>ORD-01428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</si>
  <si>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</si>
  <si>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</si>
  <si>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</si>
  <si>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</si>
  <si>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</si>
  <si>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</si>
  <si>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</si>
  <si>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</si>
  <si>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</si>
  <si>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</si>
  <si>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</si>
  <si>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</si>
  <si>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</si>
  <si>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</si>
  <si>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</si>
  <si>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</si>
  <si>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</si>
  <si>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</si>
  <si>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</si>
  <si>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</si>
  <si>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</si>
  <si>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</si>
  <si>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</si>
  <si>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</si>
  <si>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</si>
  <si>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</si>
  <si>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</si>
  <si>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</si>
  <si>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</si>
  <si>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</si>
  <si>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</si>
  <si>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</si>
  <si>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</si>
  <si>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</si>
  <si>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</si>
  <si>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</si>
  <si>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</si>
  <si>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</si>
  <si>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</si>
  <si>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</si>
  <si>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</si>
  <si>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</si>
  <si>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</si>
  <si>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</si>
  <si>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</si>
  <si>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</si>
  <si>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</si>
  <si>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</si>
  <si>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</si>
  <si>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</si>
  <si>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</si>
  <si>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</si>
  <si>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</si>
  <si>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</si>
  <si>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</si>
  <si>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</si>
  <si>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</si>
  <si>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</si>
  <si>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</si>
  <si>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</si>
  <si>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</si>
  <si>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</si>
  <si>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</si>
  <si>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</si>
  <si>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</si>
  <si>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</si>
  <si>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</si>
  <si>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</si>
  <si>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</si>
  <si>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</si>
  <si>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</si>
  <si>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</si>
  <si>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</si>
  <si>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</si>
  <si>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</si>
  <si>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</si>
  <si>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</si>
  <si>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</si>
  <si>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</si>
  <si>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</si>
  <si>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</si>
  <si>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</si>
  <si>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</si>
  <si>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</si>
  <si>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</si>
  <si>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</si>
  <si>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</si>
  <si>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</si>
  <si>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</si>
  <si>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</si>
  <si>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</si>
  <si>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</si>
  <si>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</si>
  <si>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</si>
  <si>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</si>
  <si>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</si>
  <si>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</si>
  <si>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</si>
  <si>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</si>
  <si>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</si>
  <si>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</si>
  <si>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</si>
  <si>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</si>
  <si>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</si>
  <si>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</si>
  <si>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</si>
  <si>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</si>
  <si>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</si>
  <si>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</si>
  <si>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</si>
  <si>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</si>
  <si>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</si>
  <si>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</si>
  <si>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</si>
  <si>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</si>
  <si>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</si>
  <si>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</si>
  <si>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</si>
  <si>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</si>
  <si>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</si>
  <si>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</si>
  <si>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</si>
  <si>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</si>
  <si>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</si>
  <si>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</si>
  <si>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</si>
  <si>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</si>
  <si>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</si>
  <si>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</si>
  <si>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</si>
  <si>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</si>
  <si>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</si>
  <si>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</si>
  <si>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</si>
  <si>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</si>
  <si>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</si>
  <si>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</si>
  <si>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</si>
  <si>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</si>
  <si>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</si>
  <si>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</si>
  <si>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</si>
  <si>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</si>
  <si>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</si>
  <si>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</si>
  <si>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</si>
  <si>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</si>
  <si>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</si>
  <si>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</si>
  <si>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</si>
  <si>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</si>
  <si>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</si>
  <si>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</si>
  <si>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</si>
  <si>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</si>
  <si>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</si>
  <si>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</si>
  <si>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</si>
  <si>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</si>
  <si>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</si>
  <si>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</si>
  <si>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</si>
  <si>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</si>
  <si>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</si>
  <si>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</si>
  <si>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</si>
  <si>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</si>
  <si>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</si>
  <si>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</si>
  <si>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</si>
  <si>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</si>
  <si>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</si>
  <si>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</si>
  <si>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</si>
  <si>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</si>
  <si>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</si>
  <si>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</si>
  <si>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</si>
  <si>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</si>
  <si>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</si>
  <si>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</si>
  <si>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</si>
  <si>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</si>
  <si>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</si>
  <si>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</si>
  <si>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</si>
  <si>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</si>
  <si>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</si>
  <si>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</si>
  <si>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</si>
  <si>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</si>
  <si>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</si>
  <si>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</si>
  <si>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</si>
  <si>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</si>
  <si>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</si>
  <si>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</si>
  <si>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</si>
  <si>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</si>
  <si>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</si>
  <si>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</si>
  <si>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</si>
  <si>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</si>
  <si>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</si>
  <si>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</si>
  <si>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</si>
  <si>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</si>
  <si>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</si>
  <si>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</si>
  <si>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</si>
  <si>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</si>
  <si>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</si>
  <si>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</si>
  <si>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</si>
  <si>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</si>
  <si>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</si>
  <si>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</si>
  <si>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</si>
  <si>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</si>
  <si>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</si>
  <si>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</si>
  <si>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</si>
  <si>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</si>
  <si>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</si>
  <si>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</si>
  <si>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</si>
  <si>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</si>
  <si>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</si>
  <si>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</si>
  <si>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</si>
  <si>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</si>
  <si>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</si>
  <si>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</si>
  <si>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</si>
  <si>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</si>
  <si>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</si>
  <si>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</si>
  <si>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</si>
  <si>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</si>
  <si>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</si>
  <si>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</si>
  <si>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</si>
  <si>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</si>
  <si>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</si>
  <si>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</si>
  <si>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</si>
  <si>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</si>
  <si>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</si>
  <si>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</si>
  <si>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</si>
  <si>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</si>
  <si>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</si>
  <si>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</si>
  <si>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</si>
  <si>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</si>
  <si>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</si>
  <si>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</si>
  <si>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</si>
  <si>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</si>
  <si>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</si>
  <si>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</si>
  <si>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</si>
  <si>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</si>
  <si>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</si>
  <si>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</si>
  <si>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</si>
  <si>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</si>
  <si>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</si>
  <si>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</si>
  <si>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</si>
  <si>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</si>
  <si>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</si>
  <si>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</si>
  <si>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</si>
  <si>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</si>
  <si>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</si>
  <si>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</si>
  <si>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</si>
  <si>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</si>
  <si>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</si>
  <si>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</si>
  <si>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</si>
  <si>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</si>
  <si>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</si>
  <si>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</si>
  <si>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</si>
  <si>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</si>
  <si>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</si>
  <si>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</si>
  <si>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</si>
  <si>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</si>
  <si>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</si>
  <si>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</si>
  <si>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</si>
  <si>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</si>
  <si>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</si>
  <si>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</si>
  <si>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</si>
  <si>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</si>
  <si>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</si>
  <si>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</si>
  <si>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</si>
  <si>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</si>
  <si>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</si>
  <si>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</si>
  <si>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</si>
  <si>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</si>
  <si>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</si>
  <si>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</si>
  <si>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</si>
  <si>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</si>
  <si>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</si>
  <si>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</si>
  <si>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</si>
  <si>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</si>
  <si>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</si>
  <si>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</si>
  <si>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</si>
  <si>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</si>
  <si>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</si>
  <si>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</si>
  <si>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</si>
  <si>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</si>
  <si>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</si>
  <si>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</si>
  <si>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</si>
  <si>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</si>
  <si>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</si>
  <si>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</si>
  <si>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</si>
  <si>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</si>
  <si>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</si>
  <si>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</si>
  <si>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</si>
  <si>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</si>
  <si>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</si>
  <si>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</si>
  <si>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</si>
  <si>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</si>
  <si>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</si>
  <si>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</si>
  <si>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</si>
  <si>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</si>
  <si>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</si>
  <si>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</si>
  <si>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</si>
  <si>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</si>
  <si>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</si>
  <si>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</si>
  <si>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</si>
  <si>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</si>
  <si>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</si>
  <si>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</si>
  <si>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</si>
  <si>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</si>
  <si>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</si>
  <si>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</si>
  <si>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</si>
  <si>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</si>
  <si>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</si>
  <si>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</si>
  <si>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</si>
  <si>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</si>
  <si>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</si>
  <si>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</si>
  <si>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</si>
  <si>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</si>
  <si>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</si>
  <si>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</si>
  <si>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</si>
  <si>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</si>
  <si>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</si>
  <si>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</si>
  <si>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</si>
  <si>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</si>
  <si>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</si>
  <si>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</si>
  <si>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</si>
  <si>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</si>
  <si>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</si>
  <si>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</si>
  <si>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</si>
  <si>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</si>
  <si>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</si>
  <si>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</si>
  <si>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</si>
  <si>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</si>
  <si>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</si>
  <si>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</si>
  <si>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</si>
  <si>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</si>
  <si>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</si>
  <si>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</si>
  <si>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</si>
  <si>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</si>
  <si>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</si>
  <si>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</si>
  <si>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</si>
  <si>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</si>
  <si>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</si>
  <si>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</si>
  <si>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</si>
  <si>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</si>
  <si>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</si>
  <si>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</si>
  <si>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</si>
  <si>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</si>
  <si>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</si>
  <si>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</si>
  <si>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</si>
  <si>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</si>
  <si>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</si>
  <si>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</si>
  <si>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</si>
  <si>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</si>
  <si>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</si>
  <si>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</si>
  <si>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</si>
  <si>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</si>
  <si>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</si>
  <si>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</si>
  <si>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</si>
  <si>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</si>
  <si>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</si>
  <si>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</si>
  <si>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</si>
  <si>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</si>
  <si>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</si>
  <si>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</si>
  <si>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</si>
  <si>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</si>
  <si>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</si>
  <si>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</si>
  <si>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</si>
  <si>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</si>
  <si>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</si>
  <si>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</si>
  <si>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</si>
  <si>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</si>
  <si>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</si>
  <si>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</si>
  <si>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</si>
  <si>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</si>
  <si>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</si>
  <si>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</si>
  <si>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</si>
  <si>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</si>
  <si>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</si>
  <si>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</si>
  <si>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</si>
  <si>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</si>
  <si>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</si>
  <si>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</si>
  <si>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</si>
  <si>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</si>
  <si>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</si>
  <si>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</si>
  <si>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</si>
  <si>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</si>
  <si>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</si>
  <si>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</si>
  <si>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</si>
  <si>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</si>
  <si>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</si>
  <si>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</si>
  <si>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</si>
  <si>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</si>
  <si>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</si>
  <si>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</si>
  <si>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</si>
  <si>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</si>
  <si>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</si>
  <si>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</si>
  <si>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</si>
  <si>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</si>
  <si>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</si>
  <si>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</si>
  <si>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</si>
  <si>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</si>
  <si>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</si>
  <si>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</si>
  <si>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</si>
  <si>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</si>
  <si>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</si>
  <si>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</si>
  <si>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</si>
  <si>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</si>
  <si>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</si>
  <si>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</si>
  <si>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</si>
  <si>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</si>
  <si>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</si>
  <si>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</si>
  <si>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</si>
  <si>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</si>
  <si>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</si>
  <si>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</si>
  <si>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</si>
  <si>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</si>
  <si>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</si>
  <si>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</si>
  <si>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</si>
  <si>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</si>
  <si>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</si>
  <si>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</si>
  <si>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</si>
  <si>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</si>
  <si>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</si>
  <si>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</si>
  <si>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</si>
  <si>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</si>
  <si>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</si>
  <si>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</si>
  <si>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</si>
  <si>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</si>
  <si>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</si>
  <si>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</si>
  <si>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</si>
  <si>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</si>
  <si>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</si>
  <si>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</si>
  <si>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</si>
  <si>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</si>
  <si>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</si>
  <si>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</si>
  <si>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</si>
  <si>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</si>
  <si>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</si>
  <si>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</si>
  <si>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</si>
  <si>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</si>
  <si>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</si>
  <si>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</si>
  <si>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</si>
  <si>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</si>
  <si>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</si>
  <si>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</si>
  <si>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</si>
  <si>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</si>
  <si>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</si>
  <si>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</si>
  <si>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</si>
  <si>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</si>
  <si>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</si>
  <si>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</si>
  <si>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</si>
  <si>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</si>
  <si>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</si>
  <si>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</si>
  <si>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</si>
  <si>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</si>
  <si>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</si>
  <si>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</si>
  <si>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</si>
  <si>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</si>
  <si>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</si>
  <si>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</si>
  <si>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</si>
  <si>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</si>
  <si>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</si>
  <si>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</si>
  <si>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ORD-01998</t>
  </si>
  <si>
    <t>ORD-01999</t>
  </si>
  <si>
    <t>ORD-02000</t>
  </si>
  <si>
    <t>Qtr1</t>
  </si>
  <si>
    <t>Qtr2</t>
  </si>
  <si>
    <t>Qtr3</t>
  </si>
  <si>
    <t>Qtr4</t>
  </si>
  <si>
    <t>(blank)</t>
  </si>
  <si>
    <t>profit_margin</t>
  </si>
  <si>
    <t/>
  </si>
  <si>
    <t>Average of profit_margin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</si>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</sst>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m/d/yyyy"/>
  </numFmts>
  <fonts count="22" x14ac:knownFonts="1">
    <font>
      <sz val="11"/>
      <color theme="1"/>
      <name val="Calibri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b/>
      <sz val="11"/>
      <color rgb="FFFFFFFF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theme="1"/>
      <name val="Calibri"/>
    </font>
    <font>
      <b/>
      <sz val="10"/>
      <color theme="1"/>
      <name val="Arial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rgb="FFFFFFFF"/>
      <name val="Arial"/>
    </font>
    <font>
      <sz val="11"/>
      <name val="Calibri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DDD9C3"/>
        <bgColor rgb="FFDDD9C3"/>
      </patternFill>
    </fill>
    <fill>
      <patternFill patternType="solid">
        <fgColor rgb="FFFFFF99"/>
        <bgColor rgb="FFFFF2CC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5" fontId="3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3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left" vertical="center"/>
    </xf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1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65" fontId="7" fillId="0" borderId="1" xfId="0" applyNumberFormat="1" applyFont="1" applyBorder="1" applyAlignment="1">
      <alignment horizontal="left"/>
    </xf>
    <xf numFmtId="0" fontId="11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12" fillId="0" borderId="6" xfId="0" applyFont="1" applyBorder="1"/>
    <xf numFmtId="0" fontId="3" fillId="2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 wrapText="1"/>
    </xf>
    <xf numFmtId="0" fontId="9" fillId="4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8" fillId="0" borderId="0" xfId="0" applyFont="1"/>
    <xf numFmtId="0" fontId="19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5" borderId="7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/>
    </xf>
    <xf numFmtId="0" fontId="12" fillId="5" borderId="7" xfId="0" applyFont="1" applyFill="1" applyBorder="1"/>
    <xf numFmtId="2" fontId="12" fillId="0" borderId="0" xfId="0" applyNumberFormat="1" applyFont="1"/>
    <xf numFmtId="165" fontId="11" fillId="0" borderId="0" xfId="0" applyNumberFormat="1" applyFont="1"/>
    <xf numFmtId="0" fontId="0" fillId="0" borderId="11" xfId="0" pivotButton="1" applyBorder="1"/>
    <xf numFmtId="0" fontId="0" fillId="0" borderId="12" xfId="0" applyBorder="1"/>
    <xf numFmtId="164" fontId="0" fillId="0" borderId="11" xfId="0" applyNumberFormat="1" applyBorder="1"/>
    <xf numFmtId="164" fontId="0" fillId="0" borderId="13" xfId="0" applyNumberFormat="1" applyBorder="1"/>
    <xf numFmtId="164" fontId="0" fillId="0" borderId="15" xfId="0" applyNumberFormat="1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19" xfId="0" applyBorder="1"/>
    <xf numFmtId="0" fontId="0" fillId="0" borderId="13" xfId="0" applyBorder="1"/>
    <xf numFmtId="0" fontId="0" fillId="0" borderId="15" xfId="0" applyBorder="1"/>
    <xf numFmtId="10" fontId="0" fillId="0" borderId="11" xfId="0" applyNumberFormat="1" applyBorder="1"/>
    <xf numFmtId="10" fontId="0" fillId="0" borderId="19" xfId="0" applyNumberFormat="1" applyBorder="1"/>
    <xf numFmtId="10" fontId="0" fillId="0" borderId="12" xfId="0" applyNumberFormat="1" applyBorder="1"/>
    <xf numFmtId="10" fontId="0" fillId="0" borderId="13" xfId="0" applyNumberFormat="1" applyBorder="1"/>
    <xf numFmtId="10" fontId="0" fillId="0" borderId="10" xfId="0" applyNumberFormat="1" applyBorder="1"/>
    <xf numFmtId="10" fontId="0" fillId="0" borderId="14" xfId="0" applyNumberFormat="1" applyBorder="1"/>
    <xf numFmtId="10" fontId="0" fillId="0" borderId="15" xfId="0" applyNumberFormat="1" applyBorder="1"/>
    <xf numFmtId="10" fontId="0" fillId="0" borderId="20" xfId="0" applyNumberFormat="1" applyBorder="1"/>
    <xf numFmtId="10" fontId="0" fillId="0" borderId="16" xfId="0" applyNumberFormat="1" applyBorder="1"/>
    <xf numFmtId="0" fontId="0" fillId="0" borderId="21" xfId="0" applyBorder="1"/>
    <xf numFmtId="0" fontId="9" fillId="6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5" xfId="0" applyBorder="1" applyAlignment="1">
      <alignment horizontal="left"/>
    </xf>
    <xf numFmtId="0" fontId="20" fillId="7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6" fillId="0" borderId="0" xfId="0" applyFont="1"/>
    <xf numFmtId="0" fontId="0" fillId="0" borderId="0" xfId="0"/>
    <xf numFmtId="0" fontId="5" fillId="0" borderId="0" xfId="0" applyFont="1"/>
    <xf numFmtId="0" fontId="13" fillId="2" borderId="3" xfId="0" applyFont="1" applyFill="1" applyBorder="1" applyAlignment="1">
      <alignment horizontal="center" vertical="center"/>
    </xf>
    <xf numFmtId="0" fontId="14" fillId="0" borderId="4" xfId="0" applyFont="1" applyBorder="1"/>
    <xf numFmtId="0" fontId="14" fillId="0" borderId="5" xfId="0" applyFont="1" applyBorder="1"/>
    <xf numFmtId="0" fontId="15" fillId="0" borderId="3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9" xfId="0" applyFont="1" applyBorder="1"/>
    <xf numFmtId="0" fontId="14" fillId="0" borderId="10" xfId="0" applyFont="1" applyBorder="1"/>
    <xf numFmtId="0" fontId="15" fillId="0" borderId="0" xfId="0" applyFont="1" applyAlignment="1">
      <alignment horizontal="center" vertical="center"/>
    </xf>
    <xf numFmtId="0" fontId="0" fillId="0" borderId="12" xfId="0" applyNumberFormat="1" applyBorder="1"/>
    <xf numFmtId="0" fontId="0" fillId="0" borderId="14" xfId="0" applyNumberFormat="1" applyBorder="1"/>
    <xf numFmtId="0" fontId="0" fillId="0" borderId="16" xfId="0" applyNumberFormat="1" applyBorder="1"/>
    <xf numFmtId="0" fontId="0" fillId="0" borderId="11" xfId="0" applyNumberFormat="1" applyBorder="1"/>
    <xf numFmtId="0" fontId="0" fillId="0" borderId="19" xfId="0" applyNumberFormat="1" applyBorder="1"/>
    <xf numFmtId="0" fontId="0" fillId="0" borderId="13" xfId="0" applyNumberFormat="1" applyBorder="1"/>
    <xf numFmtId="0" fontId="0" fillId="0" borderId="10" xfId="0" applyNumberFormat="1" applyBorder="1"/>
    <xf numFmtId="0" fontId="0" fillId="0" borderId="15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5" xfId="0" applyNumberFormat="1" applyBorder="1"/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name="Detail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Detail2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customschemas.google.com/relationships/workbookmetadata" Target="metadata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Orders!$S$1</c:f>
              <c:strCache>
                <c:ptCount val="1"/>
                <c:pt idx="0">
                  <c:v>profit_margin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Orders!$R$2:$R$1998</c:f>
              <c:numCache>
                <c:formatCode>General</c:formatCode>
                <c:ptCount val="838"/>
                <c:pt idx="0">
                  <c:v>391</c:v>
                </c:pt>
                <c:pt idx="1">
                  <c:v>1886</c:v>
                </c:pt>
                <c:pt idx="2">
                  <c:v>288</c:v>
                </c:pt>
                <c:pt idx="3">
                  <c:v>705</c:v>
                </c:pt>
                <c:pt idx="4">
                  <c:v>1052</c:v>
                </c:pt>
                <c:pt idx="5">
                  <c:v>1556</c:v>
                </c:pt>
                <c:pt idx="6">
                  <c:v>147</c:v>
                </c:pt>
                <c:pt idx="7">
                  <c:v>2420</c:v>
                </c:pt>
                <c:pt idx="8">
                  <c:v>1173</c:v>
                </c:pt>
                <c:pt idx="9">
                  <c:v>1556</c:v>
                </c:pt>
                <c:pt idx="10">
                  <c:v>1222</c:v>
                </c:pt>
                <c:pt idx="11">
                  <c:v>516</c:v>
                </c:pt>
                <c:pt idx="12">
                  <c:v>329</c:v>
                </c:pt>
                <c:pt idx="13">
                  <c:v>1556</c:v>
                </c:pt>
                <c:pt idx="14">
                  <c:v>2237</c:v>
                </c:pt>
                <c:pt idx="15">
                  <c:v>2549</c:v>
                </c:pt>
                <c:pt idx="16">
                  <c:v>2135</c:v>
                </c:pt>
                <c:pt idx="17">
                  <c:v>2436</c:v>
                </c:pt>
                <c:pt idx="18">
                  <c:v>1559</c:v>
                </c:pt>
                <c:pt idx="19">
                  <c:v>2768</c:v>
                </c:pt>
                <c:pt idx="20">
                  <c:v>2436</c:v>
                </c:pt>
                <c:pt idx="21">
                  <c:v>1556</c:v>
                </c:pt>
                <c:pt idx="22">
                  <c:v>2611</c:v>
                </c:pt>
                <c:pt idx="23">
                  <c:v>1850</c:v>
                </c:pt>
                <c:pt idx="24">
                  <c:v>1259</c:v>
                </c:pt>
                <c:pt idx="25">
                  <c:v>128</c:v>
                </c:pt>
                <c:pt idx="26">
                  <c:v>1149</c:v>
                </c:pt>
                <c:pt idx="27">
                  <c:v>1435</c:v>
                </c:pt>
                <c:pt idx="28">
                  <c:v>2509</c:v>
                </c:pt>
                <c:pt idx="29">
                  <c:v>396</c:v>
                </c:pt>
                <c:pt idx="30">
                  <c:v>1886</c:v>
                </c:pt>
                <c:pt idx="31">
                  <c:v>434</c:v>
                </c:pt>
                <c:pt idx="32">
                  <c:v>1435</c:v>
                </c:pt>
                <c:pt idx="33">
                  <c:v>2027</c:v>
                </c:pt>
                <c:pt idx="34">
                  <c:v>1173</c:v>
                </c:pt>
                <c:pt idx="35">
                  <c:v>1259</c:v>
                </c:pt>
                <c:pt idx="36">
                  <c:v>1626</c:v>
                </c:pt>
                <c:pt idx="37">
                  <c:v>302</c:v>
                </c:pt>
                <c:pt idx="38">
                  <c:v>1010</c:v>
                </c:pt>
                <c:pt idx="39">
                  <c:v>147</c:v>
                </c:pt>
                <c:pt idx="40">
                  <c:v>2237</c:v>
                </c:pt>
                <c:pt idx="41">
                  <c:v>516</c:v>
                </c:pt>
                <c:pt idx="42">
                  <c:v>2911</c:v>
                </c:pt>
                <c:pt idx="43">
                  <c:v>1556</c:v>
                </c:pt>
                <c:pt idx="44">
                  <c:v>2265</c:v>
                </c:pt>
                <c:pt idx="45">
                  <c:v>2405</c:v>
                </c:pt>
                <c:pt idx="46">
                  <c:v>1182</c:v>
                </c:pt>
                <c:pt idx="47">
                  <c:v>675</c:v>
                </c:pt>
                <c:pt idx="48">
                  <c:v>1052</c:v>
                </c:pt>
                <c:pt idx="49">
                  <c:v>1219</c:v>
                </c:pt>
                <c:pt idx="50">
                  <c:v>1728</c:v>
                </c:pt>
                <c:pt idx="51">
                  <c:v>2509</c:v>
                </c:pt>
                <c:pt idx="52">
                  <c:v>675</c:v>
                </c:pt>
                <c:pt idx="53">
                  <c:v>434</c:v>
                </c:pt>
                <c:pt idx="54">
                  <c:v>1203</c:v>
                </c:pt>
                <c:pt idx="55">
                  <c:v>2768</c:v>
                </c:pt>
                <c:pt idx="56">
                  <c:v>1219</c:v>
                </c:pt>
                <c:pt idx="57">
                  <c:v>2405</c:v>
                </c:pt>
                <c:pt idx="58">
                  <c:v>1435</c:v>
                </c:pt>
                <c:pt idx="59">
                  <c:v>2265</c:v>
                </c:pt>
                <c:pt idx="60">
                  <c:v>1203</c:v>
                </c:pt>
                <c:pt idx="61">
                  <c:v>1886</c:v>
                </c:pt>
                <c:pt idx="62">
                  <c:v>2911</c:v>
                </c:pt>
                <c:pt idx="63">
                  <c:v>288</c:v>
                </c:pt>
                <c:pt idx="64">
                  <c:v>128</c:v>
                </c:pt>
                <c:pt idx="65">
                  <c:v>2549</c:v>
                </c:pt>
                <c:pt idx="66">
                  <c:v>1748</c:v>
                </c:pt>
                <c:pt idx="67">
                  <c:v>1556</c:v>
                </c:pt>
                <c:pt idx="68">
                  <c:v>1886</c:v>
                </c:pt>
                <c:pt idx="69">
                  <c:v>1860</c:v>
                </c:pt>
                <c:pt idx="70">
                  <c:v>391</c:v>
                </c:pt>
                <c:pt idx="71">
                  <c:v>1143</c:v>
                </c:pt>
                <c:pt idx="72">
                  <c:v>1412</c:v>
                </c:pt>
                <c:pt idx="73">
                  <c:v>302</c:v>
                </c:pt>
                <c:pt idx="74">
                  <c:v>302</c:v>
                </c:pt>
                <c:pt idx="75">
                  <c:v>1748</c:v>
                </c:pt>
                <c:pt idx="76">
                  <c:v>1435</c:v>
                </c:pt>
                <c:pt idx="77">
                  <c:v>675</c:v>
                </c:pt>
                <c:pt idx="78">
                  <c:v>1728</c:v>
                </c:pt>
                <c:pt idx="79">
                  <c:v>1886</c:v>
                </c:pt>
                <c:pt idx="80">
                  <c:v>647</c:v>
                </c:pt>
                <c:pt idx="81">
                  <c:v>147</c:v>
                </c:pt>
                <c:pt idx="82">
                  <c:v>1665</c:v>
                </c:pt>
                <c:pt idx="83">
                  <c:v>1435</c:v>
                </c:pt>
                <c:pt idx="84">
                  <c:v>128</c:v>
                </c:pt>
                <c:pt idx="85">
                  <c:v>2135</c:v>
                </c:pt>
                <c:pt idx="86">
                  <c:v>1173</c:v>
                </c:pt>
                <c:pt idx="87">
                  <c:v>2768</c:v>
                </c:pt>
                <c:pt idx="88">
                  <c:v>2509</c:v>
                </c:pt>
                <c:pt idx="89">
                  <c:v>2865</c:v>
                </c:pt>
                <c:pt idx="90">
                  <c:v>1412</c:v>
                </c:pt>
                <c:pt idx="91">
                  <c:v>1665</c:v>
                </c:pt>
                <c:pt idx="92">
                  <c:v>128</c:v>
                </c:pt>
                <c:pt idx="93">
                  <c:v>2617</c:v>
                </c:pt>
                <c:pt idx="94">
                  <c:v>1203</c:v>
                </c:pt>
                <c:pt idx="95">
                  <c:v>516</c:v>
                </c:pt>
                <c:pt idx="96">
                  <c:v>288</c:v>
                </c:pt>
                <c:pt idx="97">
                  <c:v>1412</c:v>
                </c:pt>
                <c:pt idx="98">
                  <c:v>2405</c:v>
                </c:pt>
                <c:pt idx="99">
                  <c:v>2027</c:v>
                </c:pt>
                <c:pt idx="100">
                  <c:v>128</c:v>
                </c:pt>
                <c:pt idx="101">
                  <c:v>2028</c:v>
                </c:pt>
                <c:pt idx="102">
                  <c:v>1149</c:v>
                </c:pt>
                <c:pt idx="103">
                  <c:v>516</c:v>
                </c:pt>
                <c:pt idx="104">
                  <c:v>1052</c:v>
                </c:pt>
                <c:pt idx="105">
                  <c:v>391</c:v>
                </c:pt>
                <c:pt idx="106">
                  <c:v>2027</c:v>
                </c:pt>
                <c:pt idx="107">
                  <c:v>519</c:v>
                </c:pt>
                <c:pt idx="108">
                  <c:v>1748</c:v>
                </c:pt>
                <c:pt idx="109">
                  <c:v>1259</c:v>
                </c:pt>
                <c:pt idx="110">
                  <c:v>1052</c:v>
                </c:pt>
                <c:pt idx="111">
                  <c:v>2911</c:v>
                </c:pt>
                <c:pt idx="112">
                  <c:v>2549</c:v>
                </c:pt>
                <c:pt idx="113">
                  <c:v>396</c:v>
                </c:pt>
                <c:pt idx="114">
                  <c:v>1556</c:v>
                </c:pt>
                <c:pt idx="115">
                  <c:v>2611</c:v>
                </c:pt>
                <c:pt idx="116">
                  <c:v>2911</c:v>
                </c:pt>
                <c:pt idx="117">
                  <c:v>2459</c:v>
                </c:pt>
                <c:pt idx="118">
                  <c:v>396</c:v>
                </c:pt>
                <c:pt idx="119">
                  <c:v>517</c:v>
                </c:pt>
                <c:pt idx="120">
                  <c:v>2549</c:v>
                </c:pt>
                <c:pt idx="121">
                  <c:v>1222</c:v>
                </c:pt>
                <c:pt idx="122">
                  <c:v>1626</c:v>
                </c:pt>
                <c:pt idx="123">
                  <c:v>288</c:v>
                </c:pt>
                <c:pt idx="124">
                  <c:v>2629</c:v>
                </c:pt>
                <c:pt idx="125">
                  <c:v>516</c:v>
                </c:pt>
                <c:pt idx="126">
                  <c:v>1203</c:v>
                </c:pt>
                <c:pt idx="127">
                  <c:v>517</c:v>
                </c:pt>
                <c:pt idx="128">
                  <c:v>1075</c:v>
                </c:pt>
                <c:pt idx="129">
                  <c:v>1143</c:v>
                </c:pt>
                <c:pt idx="130">
                  <c:v>1860</c:v>
                </c:pt>
                <c:pt idx="131">
                  <c:v>1886</c:v>
                </c:pt>
                <c:pt idx="132">
                  <c:v>2459</c:v>
                </c:pt>
                <c:pt idx="133">
                  <c:v>1259</c:v>
                </c:pt>
                <c:pt idx="134">
                  <c:v>1435</c:v>
                </c:pt>
                <c:pt idx="135">
                  <c:v>2768</c:v>
                </c:pt>
                <c:pt idx="136">
                  <c:v>647</c:v>
                </c:pt>
                <c:pt idx="137">
                  <c:v>1182</c:v>
                </c:pt>
                <c:pt idx="138">
                  <c:v>391</c:v>
                </c:pt>
                <c:pt idx="139">
                  <c:v>1559</c:v>
                </c:pt>
                <c:pt idx="140">
                  <c:v>2420</c:v>
                </c:pt>
                <c:pt idx="141">
                  <c:v>2237</c:v>
                </c:pt>
                <c:pt idx="142">
                  <c:v>2405</c:v>
                </c:pt>
                <c:pt idx="143">
                  <c:v>1075</c:v>
                </c:pt>
                <c:pt idx="144">
                  <c:v>1182</c:v>
                </c:pt>
                <c:pt idx="145">
                  <c:v>1748</c:v>
                </c:pt>
                <c:pt idx="146">
                  <c:v>2405</c:v>
                </c:pt>
                <c:pt idx="147">
                  <c:v>516</c:v>
                </c:pt>
                <c:pt idx="148">
                  <c:v>2467</c:v>
                </c:pt>
                <c:pt idx="149">
                  <c:v>2265</c:v>
                </c:pt>
                <c:pt idx="150">
                  <c:v>1665</c:v>
                </c:pt>
                <c:pt idx="151">
                  <c:v>288</c:v>
                </c:pt>
                <c:pt idx="152">
                  <c:v>1075</c:v>
                </c:pt>
                <c:pt idx="153">
                  <c:v>2509</c:v>
                </c:pt>
                <c:pt idx="154">
                  <c:v>647</c:v>
                </c:pt>
                <c:pt idx="155">
                  <c:v>2028</c:v>
                </c:pt>
                <c:pt idx="156">
                  <c:v>1748</c:v>
                </c:pt>
                <c:pt idx="157">
                  <c:v>1010</c:v>
                </c:pt>
                <c:pt idx="158">
                  <c:v>647</c:v>
                </c:pt>
                <c:pt idx="159">
                  <c:v>147</c:v>
                </c:pt>
                <c:pt idx="160">
                  <c:v>1219</c:v>
                </c:pt>
                <c:pt idx="161">
                  <c:v>2459</c:v>
                </c:pt>
                <c:pt idx="162">
                  <c:v>1219</c:v>
                </c:pt>
                <c:pt idx="163">
                  <c:v>302</c:v>
                </c:pt>
                <c:pt idx="164">
                  <c:v>2237</c:v>
                </c:pt>
                <c:pt idx="165">
                  <c:v>1143</c:v>
                </c:pt>
                <c:pt idx="166">
                  <c:v>2459</c:v>
                </c:pt>
                <c:pt idx="167">
                  <c:v>1182</c:v>
                </c:pt>
                <c:pt idx="168">
                  <c:v>1203</c:v>
                </c:pt>
                <c:pt idx="169">
                  <c:v>1052</c:v>
                </c:pt>
                <c:pt idx="170">
                  <c:v>2827</c:v>
                </c:pt>
                <c:pt idx="171">
                  <c:v>1728</c:v>
                </c:pt>
                <c:pt idx="172">
                  <c:v>302</c:v>
                </c:pt>
                <c:pt idx="173">
                  <c:v>2214</c:v>
                </c:pt>
                <c:pt idx="174">
                  <c:v>1219</c:v>
                </c:pt>
                <c:pt idx="175">
                  <c:v>2459</c:v>
                </c:pt>
                <c:pt idx="176">
                  <c:v>2028</c:v>
                </c:pt>
                <c:pt idx="177">
                  <c:v>517</c:v>
                </c:pt>
                <c:pt idx="178">
                  <c:v>1412</c:v>
                </c:pt>
                <c:pt idx="179">
                  <c:v>1886</c:v>
                </c:pt>
                <c:pt idx="180">
                  <c:v>1052</c:v>
                </c:pt>
                <c:pt idx="181">
                  <c:v>1850</c:v>
                </c:pt>
                <c:pt idx="182">
                  <c:v>1962</c:v>
                </c:pt>
                <c:pt idx="183">
                  <c:v>464</c:v>
                </c:pt>
                <c:pt idx="184">
                  <c:v>2549</c:v>
                </c:pt>
                <c:pt idx="185">
                  <c:v>2214</c:v>
                </c:pt>
                <c:pt idx="186">
                  <c:v>2420</c:v>
                </c:pt>
                <c:pt idx="187">
                  <c:v>2027</c:v>
                </c:pt>
                <c:pt idx="188">
                  <c:v>2911</c:v>
                </c:pt>
                <c:pt idx="189">
                  <c:v>1052</c:v>
                </c:pt>
                <c:pt idx="190">
                  <c:v>1075</c:v>
                </c:pt>
                <c:pt idx="191">
                  <c:v>2405</c:v>
                </c:pt>
                <c:pt idx="192">
                  <c:v>1556</c:v>
                </c:pt>
                <c:pt idx="193">
                  <c:v>1665</c:v>
                </c:pt>
                <c:pt idx="194">
                  <c:v>2265</c:v>
                </c:pt>
                <c:pt idx="195">
                  <c:v>2420</c:v>
                </c:pt>
                <c:pt idx="196">
                  <c:v>2611</c:v>
                </c:pt>
                <c:pt idx="197">
                  <c:v>2265</c:v>
                </c:pt>
                <c:pt idx="198">
                  <c:v>1052</c:v>
                </c:pt>
                <c:pt idx="199">
                  <c:v>1850</c:v>
                </c:pt>
                <c:pt idx="200">
                  <c:v>1748</c:v>
                </c:pt>
                <c:pt idx="201">
                  <c:v>1962</c:v>
                </c:pt>
                <c:pt idx="202">
                  <c:v>1259</c:v>
                </c:pt>
                <c:pt idx="203">
                  <c:v>1559</c:v>
                </c:pt>
                <c:pt idx="204">
                  <c:v>1626</c:v>
                </c:pt>
                <c:pt idx="205">
                  <c:v>302</c:v>
                </c:pt>
                <c:pt idx="206">
                  <c:v>1556</c:v>
                </c:pt>
                <c:pt idx="207">
                  <c:v>1728</c:v>
                </c:pt>
                <c:pt idx="208">
                  <c:v>2214</c:v>
                </c:pt>
                <c:pt idx="209">
                  <c:v>464</c:v>
                </c:pt>
                <c:pt idx="210">
                  <c:v>1860</c:v>
                </c:pt>
                <c:pt idx="211">
                  <c:v>647</c:v>
                </c:pt>
                <c:pt idx="212">
                  <c:v>1435</c:v>
                </c:pt>
                <c:pt idx="213">
                  <c:v>2865</c:v>
                </c:pt>
                <c:pt idx="214">
                  <c:v>1748</c:v>
                </c:pt>
                <c:pt idx="215">
                  <c:v>2629</c:v>
                </c:pt>
                <c:pt idx="216">
                  <c:v>1665</c:v>
                </c:pt>
                <c:pt idx="217">
                  <c:v>675</c:v>
                </c:pt>
                <c:pt idx="218">
                  <c:v>128</c:v>
                </c:pt>
                <c:pt idx="219">
                  <c:v>1182</c:v>
                </c:pt>
                <c:pt idx="220">
                  <c:v>705</c:v>
                </c:pt>
                <c:pt idx="221">
                  <c:v>974</c:v>
                </c:pt>
                <c:pt idx="222">
                  <c:v>128</c:v>
                </c:pt>
                <c:pt idx="223">
                  <c:v>1173</c:v>
                </c:pt>
                <c:pt idx="224">
                  <c:v>1222</c:v>
                </c:pt>
                <c:pt idx="225">
                  <c:v>1962</c:v>
                </c:pt>
                <c:pt idx="226">
                  <c:v>2509</c:v>
                </c:pt>
                <c:pt idx="227">
                  <c:v>147</c:v>
                </c:pt>
                <c:pt idx="228">
                  <c:v>2459</c:v>
                </c:pt>
                <c:pt idx="229">
                  <c:v>302</c:v>
                </c:pt>
                <c:pt idx="230">
                  <c:v>2265</c:v>
                </c:pt>
                <c:pt idx="231">
                  <c:v>2509</c:v>
                </c:pt>
                <c:pt idx="232">
                  <c:v>2420</c:v>
                </c:pt>
                <c:pt idx="233">
                  <c:v>2214</c:v>
                </c:pt>
                <c:pt idx="234">
                  <c:v>2509</c:v>
                </c:pt>
                <c:pt idx="235">
                  <c:v>2768</c:v>
                </c:pt>
                <c:pt idx="236">
                  <c:v>302</c:v>
                </c:pt>
                <c:pt idx="237">
                  <c:v>1182</c:v>
                </c:pt>
                <c:pt idx="238">
                  <c:v>861</c:v>
                </c:pt>
                <c:pt idx="239">
                  <c:v>2459</c:v>
                </c:pt>
                <c:pt idx="240">
                  <c:v>128</c:v>
                </c:pt>
                <c:pt idx="241">
                  <c:v>2827</c:v>
                </c:pt>
                <c:pt idx="242">
                  <c:v>2436</c:v>
                </c:pt>
                <c:pt idx="243">
                  <c:v>1412</c:v>
                </c:pt>
                <c:pt idx="244">
                  <c:v>1435</c:v>
                </c:pt>
                <c:pt idx="245">
                  <c:v>1203</c:v>
                </c:pt>
                <c:pt idx="246">
                  <c:v>1259</c:v>
                </c:pt>
                <c:pt idx="247">
                  <c:v>434</c:v>
                </c:pt>
                <c:pt idx="248">
                  <c:v>1182</c:v>
                </c:pt>
                <c:pt idx="249">
                  <c:v>302</c:v>
                </c:pt>
                <c:pt idx="250">
                  <c:v>2237</c:v>
                </c:pt>
                <c:pt idx="251">
                  <c:v>675</c:v>
                </c:pt>
                <c:pt idx="252">
                  <c:v>2027</c:v>
                </c:pt>
                <c:pt idx="253">
                  <c:v>2768</c:v>
                </c:pt>
                <c:pt idx="254">
                  <c:v>1412</c:v>
                </c:pt>
                <c:pt idx="255">
                  <c:v>1748</c:v>
                </c:pt>
                <c:pt idx="256">
                  <c:v>1010</c:v>
                </c:pt>
                <c:pt idx="257">
                  <c:v>2549</c:v>
                </c:pt>
                <c:pt idx="258">
                  <c:v>1259</c:v>
                </c:pt>
                <c:pt idx="259">
                  <c:v>2459</c:v>
                </c:pt>
                <c:pt idx="260">
                  <c:v>1203</c:v>
                </c:pt>
                <c:pt idx="261">
                  <c:v>2420</c:v>
                </c:pt>
                <c:pt idx="262">
                  <c:v>517</c:v>
                </c:pt>
                <c:pt idx="263">
                  <c:v>2237</c:v>
                </c:pt>
                <c:pt idx="264">
                  <c:v>2214</c:v>
                </c:pt>
                <c:pt idx="265">
                  <c:v>396</c:v>
                </c:pt>
                <c:pt idx="266">
                  <c:v>1219</c:v>
                </c:pt>
                <c:pt idx="267">
                  <c:v>1143</c:v>
                </c:pt>
                <c:pt idx="268">
                  <c:v>974</c:v>
                </c:pt>
                <c:pt idx="269">
                  <c:v>516</c:v>
                </c:pt>
                <c:pt idx="270">
                  <c:v>1559</c:v>
                </c:pt>
                <c:pt idx="271">
                  <c:v>396</c:v>
                </c:pt>
                <c:pt idx="272">
                  <c:v>2611</c:v>
                </c:pt>
                <c:pt idx="273">
                  <c:v>329</c:v>
                </c:pt>
                <c:pt idx="274">
                  <c:v>1559</c:v>
                </c:pt>
                <c:pt idx="275">
                  <c:v>288</c:v>
                </c:pt>
                <c:pt idx="276">
                  <c:v>2509</c:v>
                </c:pt>
                <c:pt idx="277">
                  <c:v>2911</c:v>
                </c:pt>
                <c:pt idx="278">
                  <c:v>2436</c:v>
                </c:pt>
                <c:pt idx="279">
                  <c:v>2135</c:v>
                </c:pt>
                <c:pt idx="280">
                  <c:v>2911</c:v>
                </c:pt>
                <c:pt idx="281">
                  <c:v>1203</c:v>
                </c:pt>
                <c:pt idx="282">
                  <c:v>1860</c:v>
                </c:pt>
                <c:pt idx="283">
                  <c:v>1173</c:v>
                </c:pt>
                <c:pt idx="284">
                  <c:v>1052</c:v>
                </c:pt>
                <c:pt idx="285">
                  <c:v>1052</c:v>
                </c:pt>
                <c:pt idx="286">
                  <c:v>1435</c:v>
                </c:pt>
                <c:pt idx="287">
                  <c:v>2436</c:v>
                </c:pt>
                <c:pt idx="288">
                  <c:v>391</c:v>
                </c:pt>
                <c:pt idx="289">
                  <c:v>396</c:v>
                </c:pt>
                <c:pt idx="290">
                  <c:v>1219</c:v>
                </c:pt>
                <c:pt idx="291">
                  <c:v>861</c:v>
                </c:pt>
                <c:pt idx="292">
                  <c:v>974</c:v>
                </c:pt>
                <c:pt idx="293">
                  <c:v>2827</c:v>
                </c:pt>
                <c:pt idx="294">
                  <c:v>2459</c:v>
                </c:pt>
                <c:pt idx="295">
                  <c:v>1219</c:v>
                </c:pt>
                <c:pt idx="296">
                  <c:v>1143</c:v>
                </c:pt>
                <c:pt idx="297">
                  <c:v>1219</c:v>
                </c:pt>
                <c:pt idx="298">
                  <c:v>1748</c:v>
                </c:pt>
                <c:pt idx="299">
                  <c:v>519</c:v>
                </c:pt>
                <c:pt idx="300">
                  <c:v>1203</c:v>
                </c:pt>
                <c:pt idx="301">
                  <c:v>2214</c:v>
                </c:pt>
                <c:pt idx="302">
                  <c:v>517</c:v>
                </c:pt>
                <c:pt idx="303">
                  <c:v>2265</c:v>
                </c:pt>
                <c:pt idx="304">
                  <c:v>1143</c:v>
                </c:pt>
                <c:pt idx="305">
                  <c:v>517</c:v>
                </c:pt>
                <c:pt idx="306">
                  <c:v>675</c:v>
                </c:pt>
                <c:pt idx="307">
                  <c:v>1748</c:v>
                </c:pt>
                <c:pt idx="308">
                  <c:v>2214</c:v>
                </c:pt>
                <c:pt idx="309">
                  <c:v>128</c:v>
                </c:pt>
                <c:pt idx="310">
                  <c:v>1259</c:v>
                </c:pt>
                <c:pt idx="311">
                  <c:v>861</c:v>
                </c:pt>
                <c:pt idx="312">
                  <c:v>1149</c:v>
                </c:pt>
                <c:pt idx="313">
                  <c:v>2405</c:v>
                </c:pt>
                <c:pt idx="314">
                  <c:v>1259</c:v>
                </c:pt>
                <c:pt idx="315">
                  <c:v>1728</c:v>
                </c:pt>
                <c:pt idx="316">
                  <c:v>2028</c:v>
                </c:pt>
                <c:pt idx="317">
                  <c:v>1728</c:v>
                </c:pt>
                <c:pt idx="318">
                  <c:v>1010</c:v>
                </c:pt>
                <c:pt idx="319">
                  <c:v>2420</c:v>
                </c:pt>
                <c:pt idx="320">
                  <c:v>2237</c:v>
                </c:pt>
                <c:pt idx="321">
                  <c:v>2237</c:v>
                </c:pt>
                <c:pt idx="322">
                  <c:v>1075</c:v>
                </c:pt>
                <c:pt idx="323">
                  <c:v>1556</c:v>
                </c:pt>
                <c:pt idx="324">
                  <c:v>288</c:v>
                </c:pt>
                <c:pt idx="325">
                  <c:v>391</c:v>
                </c:pt>
                <c:pt idx="326">
                  <c:v>1182</c:v>
                </c:pt>
                <c:pt idx="327">
                  <c:v>1850</c:v>
                </c:pt>
                <c:pt idx="328">
                  <c:v>1728</c:v>
                </c:pt>
                <c:pt idx="329">
                  <c:v>2611</c:v>
                </c:pt>
                <c:pt idx="330">
                  <c:v>1886</c:v>
                </c:pt>
                <c:pt idx="331">
                  <c:v>2027</c:v>
                </c:pt>
                <c:pt idx="332">
                  <c:v>2911</c:v>
                </c:pt>
                <c:pt idx="333">
                  <c:v>1412</c:v>
                </c:pt>
                <c:pt idx="334">
                  <c:v>2436</c:v>
                </c:pt>
                <c:pt idx="335">
                  <c:v>1559</c:v>
                </c:pt>
                <c:pt idx="336">
                  <c:v>288</c:v>
                </c:pt>
                <c:pt idx="337">
                  <c:v>2467</c:v>
                </c:pt>
                <c:pt idx="338">
                  <c:v>1748</c:v>
                </c:pt>
                <c:pt idx="339">
                  <c:v>1203</c:v>
                </c:pt>
                <c:pt idx="340">
                  <c:v>2549</c:v>
                </c:pt>
                <c:pt idx="341">
                  <c:v>1143</c:v>
                </c:pt>
                <c:pt idx="342">
                  <c:v>2549</c:v>
                </c:pt>
                <c:pt idx="343">
                  <c:v>288</c:v>
                </c:pt>
                <c:pt idx="344">
                  <c:v>2027</c:v>
                </c:pt>
                <c:pt idx="345">
                  <c:v>288</c:v>
                </c:pt>
                <c:pt idx="346">
                  <c:v>434</c:v>
                </c:pt>
                <c:pt idx="347">
                  <c:v>2027</c:v>
                </c:pt>
                <c:pt idx="348">
                  <c:v>2459</c:v>
                </c:pt>
                <c:pt idx="349">
                  <c:v>464</c:v>
                </c:pt>
                <c:pt idx="350">
                  <c:v>1052</c:v>
                </c:pt>
                <c:pt idx="351">
                  <c:v>1559</c:v>
                </c:pt>
                <c:pt idx="352">
                  <c:v>675</c:v>
                </c:pt>
                <c:pt idx="353">
                  <c:v>2768</c:v>
                </c:pt>
                <c:pt idx="354">
                  <c:v>974</c:v>
                </c:pt>
                <c:pt idx="355">
                  <c:v>1850</c:v>
                </c:pt>
                <c:pt idx="356">
                  <c:v>434</c:v>
                </c:pt>
                <c:pt idx="357">
                  <c:v>861</c:v>
                </c:pt>
                <c:pt idx="358">
                  <c:v>519</c:v>
                </c:pt>
                <c:pt idx="359">
                  <c:v>2214</c:v>
                </c:pt>
                <c:pt idx="360">
                  <c:v>1222</c:v>
                </c:pt>
                <c:pt idx="361">
                  <c:v>1010</c:v>
                </c:pt>
                <c:pt idx="362">
                  <c:v>1412</c:v>
                </c:pt>
                <c:pt idx="363">
                  <c:v>1173</c:v>
                </c:pt>
                <c:pt idx="364">
                  <c:v>2405</c:v>
                </c:pt>
                <c:pt idx="365">
                  <c:v>2405</c:v>
                </c:pt>
                <c:pt idx="366">
                  <c:v>1665</c:v>
                </c:pt>
                <c:pt idx="367">
                  <c:v>1860</c:v>
                </c:pt>
                <c:pt idx="368">
                  <c:v>1149</c:v>
                </c:pt>
                <c:pt idx="369">
                  <c:v>519</c:v>
                </c:pt>
                <c:pt idx="370">
                  <c:v>1556</c:v>
                </c:pt>
                <c:pt idx="371">
                  <c:v>2865</c:v>
                </c:pt>
                <c:pt idx="372">
                  <c:v>2509</c:v>
                </c:pt>
                <c:pt idx="373">
                  <c:v>1203</c:v>
                </c:pt>
                <c:pt idx="374">
                  <c:v>2436</c:v>
                </c:pt>
                <c:pt idx="375">
                  <c:v>2911</c:v>
                </c:pt>
                <c:pt idx="376">
                  <c:v>519</c:v>
                </c:pt>
                <c:pt idx="377">
                  <c:v>1412</c:v>
                </c:pt>
                <c:pt idx="378">
                  <c:v>147</c:v>
                </c:pt>
                <c:pt idx="379">
                  <c:v>705</c:v>
                </c:pt>
                <c:pt idx="380">
                  <c:v>1052</c:v>
                </c:pt>
                <c:pt idx="381">
                  <c:v>2617</c:v>
                </c:pt>
                <c:pt idx="382">
                  <c:v>1626</c:v>
                </c:pt>
                <c:pt idx="383">
                  <c:v>464</c:v>
                </c:pt>
                <c:pt idx="384">
                  <c:v>2911</c:v>
                </c:pt>
                <c:pt idx="385">
                  <c:v>1850</c:v>
                </c:pt>
                <c:pt idx="386">
                  <c:v>2027</c:v>
                </c:pt>
                <c:pt idx="387">
                  <c:v>2509</c:v>
                </c:pt>
                <c:pt idx="388">
                  <c:v>705</c:v>
                </c:pt>
                <c:pt idx="389">
                  <c:v>1173</c:v>
                </c:pt>
                <c:pt idx="390">
                  <c:v>1222</c:v>
                </c:pt>
                <c:pt idx="391">
                  <c:v>1412</c:v>
                </c:pt>
                <c:pt idx="392">
                  <c:v>1748</c:v>
                </c:pt>
                <c:pt idx="393">
                  <c:v>1665</c:v>
                </c:pt>
                <c:pt idx="394">
                  <c:v>302</c:v>
                </c:pt>
                <c:pt idx="395">
                  <c:v>1559</c:v>
                </c:pt>
                <c:pt idx="396">
                  <c:v>647</c:v>
                </c:pt>
                <c:pt idx="397">
                  <c:v>1559</c:v>
                </c:pt>
                <c:pt idx="398">
                  <c:v>2420</c:v>
                </c:pt>
                <c:pt idx="399">
                  <c:v>2467</c:v>
                </c:pt>
                <c:pt idx="400">
                  <c:v>2405</c:v>
                </c:pt>
                <c:pt idx="401">
                  <c:v>2629</c:v>
                </c:pt>
                <c:pt idx="402">
                  <c:v>2237</c:v>
                </c:pt>
                <c:pt idx="403">
                  <c:v>1626</c:v>
                </c:pt>
                <c:pt idx="404">
                  <c:v>705</c:v>
                </c:pt>
                <c:pt idx="405">
                  <c:v>2459</c:v>
                </c:pt>
                <c:pt idx="406">
                  <c:v>861</c:v>
                </c:pt>
                <c:pt idx="407">
                  <c:v>329</c:v>
                </c:pt>
                <c:pt idx="408">
                  <c:v>647</c:v>
                </c:pt>
                <c:pt idx="409">
                  <c:v>2420</c:v>
                </c:pt>
                <c:pt idx="410">
                  <c:v>1748</c:v>
                </c:pt>
                <c:pt idx="411">
                  <c:v>647</c:v>
                </c:pt>
                <c:pt idx="412">
                  <c:v>2135</c:v>
                </c:pt>
                <c:pt idx="413">
                  <c:v>516</c:v>
                </c:pt>
                <c:pt idx="414">
                  <c:v>1075</c:v>
                </c:pt>
                <c:pt idx="415">
                  <c:v>1626</c:v>
                </c:pt>
                <c:pt idx="416">
                  <c:v>1143</c:v>
                </c:pt>
                <c:pt idx="417">
                  <c:v>1748</c:v>
                </c:pt>
                <c:pt idx="418">
                  <c:v>1886</c:v>
                </c:pt>
                <c:pt idx="419">
                  <c:v>675</c:v>
                </c:pt>
                <c:pt idx="420">
                  <c:v>519</c:v>
                </c:pt>
                <c:pt idx="421">
                  <c:v>2611</c:v>
                </c:pt>
                <c:pt idx="422">
                  <c:v>1962</c:v>
                </c:pt>
                <c:pt idx="423">
                  <c:v>517</c:v>
                </c:pt>
                <c:pt idx="424">
                  <c:v>1149</c:v>
                </c:pt>
                <c:pt idx="425">
                  <c:v>434</c:v>
                </c:pt>
                <c:pt idx="426">
                  <c:v>1665</c:v>
                </c:pt>
                <c:pt idx="427">
                  <c:v>434</c:v>
                </c:pt>
                <c:pt idx="428">
                  <c:v>974</c:v>
                </c:pt>
                <c:pt idx="429">
                  <c:v>1556</c:v>
                </c:pt>
                <c:pt idx="430">
                  <c:v>2436</c:v>
                </c:pt>
                <c:pt idx="431">
                  <c:v>1412</c:v>
                </c:pt>
                <c:pt idx="432">
                  <c:v>2028</c:v>
                </c:pt>
                <c:pt idx="433">
                  <c:v>329</c:v>
                </c:pt>
                <c:pt idx="434">
                  <c:v>396</c:v>
                </c:pt>
                <c:pt idx="435">
                  <c:v>1886</c:v>
                </c:pt>
                <c:pt idx="436">
                  <c:v>1010</c:v>
                </c:pt>
                <c:pt idx="437">
                  <c:v>288</c:v>
                </c:pt>
                <c:pt idx="438">
                  <c:v>2459</c:v>
                </c:pt>
                <c:pt idx="439">
                  <c:v>2265</c:v>
                </c:pt>
                <c:pt idx="440">
                  <c:v>2768</c:v>
                </c:pt>
                <c:pt idx="441">
                  <c:v>1182</c:v>
                </c:pt>
                <c:pt idx="442">
                  <c:v>2509</c:v>
                </c:pt>
                <c:pt idx="443">
                  <c:v>2617</c:v>
                </c:pt>
                <c:pt idx="444">
                  <c:v>647</c:v>
                </c:pt>
                <c:pt idx="445">
                  <c:v>516</c:v>
                </c:pt>
                <c:pt idx="446">
                  <c:v>2467</c:v>
                </c:pt>
                <c:pt idx="447">
                  <c:v>1010</c:v>
                </c:pt>
                <c:pt idx="448">
                  <c:v>2617</c:v>
                </c:pt>
                <c:pt idx="449">
                  <c:v>1728</c:v>
                </c:pt>
                <c:pt idx="450">
                  <c:v>2214</c:v>
                </c:pt>
                <c:pt idx="451">
                  <c:v>675</c:v>
                </c:pt>
                <c:pt idx="452">
                  <c:v>519</c:v>
                </c:pt>
                <c:pt idx="453">
                  <c:v>302</c:v>
                </c:pt>
                <c:pt idx="454">
                  <c:v>2865</c:v>
                </c:pt>
                <c:pt idx="455">
                  <c:v>2135</c:v>
                </c:pt>
                <c:pt idx="456">
                  <c:v>2459</c:v>
                </c:pt>
                <c:pt idx="457">
                  <c:v>1559</c:v>
                </c:pt>
                <c:pt idx="458">
                  <c:v>1143</c:v>
                </c:pt>
                <c:pt idx="459">
                  <c:v>2405</c:v>
                </c:pt>
                <c:pt idx="460">
                  <c:v>1665</c:v>
                </c:pt>
                <c:pt idx="461">
                  <c:v>1075</c:v>
                </c:pt>
                <c:pt idx="462">
                  <c:v>1143</c:v>
                </c:pt>
                <c:pt idx="463">
                  <c:v>147</c:v>
                </c:pt>
                <c:pt idx="464">
                  <c:v>1010</c:v>
                </c:pt>
                <c:pt idx="465">
                  <c:v>517</c:v>
                </c:pt>
                <c:pt idx="466">
                  <c:v>2827</c:v>
                </c:pt>
                <c:pt idx="467">
                  <c:v>2028</c:v>
                </c:pt>
                <c:pt idx="468">
                  <c:v>391</c:v>
                </c:pt>
                <c:pt idx="469">
                  <c:v>2420</c:v>
                </c:pt>
                <c:pt idx="470">
                  <c:v>1143</c:v>
                </c:pt>
                <c:pt idx="471">
                  <c:v>1728</c:v>
                </c:pt>
                <c:pt idx="472">
                  <c:v>2549</c:v>
                </c:pt>
                <c:pt idx="473">
                  <c:v>329</c:v>
                </c:pt>
                <c:pt idx="474">
                  <c:v>1052</c:v>
                </c:pt>
                <c:pt idx="475">
                  <c:v>2768</c:v>
                </c:pt>
                <c:pt idx="476">
                  <c:v>1728</c:v>
                </c:pt>
                <c:pt idx="477">
                  <c:v>434</c:v>
                </c:pt>
                <c:pt idx="478">
                  <c:v>1962</c:v>
                </c:pt>
                <c:pt idx="479">
                  <c:v>2911</c:v>
                </c:pt>
                <c:pt idx="480">
                  <c:v>1665</c:v>
                </c:pt>
                <c:pt idx="481">
                  <c:v>288</c:v>
                </c:pt>
                <c:pt idx="482">
                  <c:v>517</c:v>
                </c:pt>
                <c:pt idx="483">
                  <c:v>1149</c:v>
                </c:pt>
                <c:pt idx="484">
                  <c:v>2237</c:v>
                </c:pt>
                <c:pt idx="485">
                  <c:v>2617</c:v>
                </c:pt>
                <c:pt idx="486">
                  <c:v>128</c:v>
                </c:pt>
                <c:pt idx="487">
                  <c:v>1728</c:v>
                </c:pt>
                <c:pt idx="488">
                  <c:v>1222</c:v>
                </c:pt>
                <c:pt idx="489">
                  <c:v>1412</c:v>
                </c:pt>
                <c:pt idx="490">
                  <c:v>2027</c:v>
                </c:pt>
                <c:pt idx="491">
                  <c:v>2509</c:v>
                </c:pt>
                <c:pt idx="492">
                  <c:v>1665</c:v>
                </c:pt>
                <c:pt idx="493">
                  <c:v>1860</c:v>
                </c:pt>
                <c:pt idx="494">
                  <c:v>2265</c:v>
                </c:pt>
                <c:pt idx="495">
                  <c:v>1665</c:v>
                </c:pt>
                <c:pt idx="496">
                  <c:v>434</c:v>
                </c:pt>
                <c:pt idx="497">
                  <c:v>2237</c:v>
                </c:pt>
                <c:pt idx="498">
                  <c:v>1173</c:v>
                </c:pt>
                <c:pt idx="499">
                  <c:v>1075</c:v>
                </c:pt>
                <c:pt idx="500">
                  <c:v>1203</c:v>
                </c:pt>
                <c:pt idx="501">
                  <c:v>2459</c:v>
                </c:pt>
                <c:pt idx="502">
                  <c:v>647</c:v>
                </c:pt>
                <c:pt idx="503">
                  <c:v>519</c:v>
                </c:pt>
                <c:pt idx="504">
                  <c:v>1219</c:v>
                </c:pt>
                <c:pt idx="505">
                  <c:v>2420</c:v>
                </c:pt>
                <c:pt idx="506">
                  <c:v>1850</c:v>
                </c:pt>
                <c:pt idx="507">
                  <c:v>2827</c:v>
                </c:pt>
                <c:pt idx="508">
                  <c:v>2237</c:v>
                </c:pt>
                <c:pt idx="509">
                  <c:v>1886</c:v>
                </c:pt>
                <c:pt idx="510">
                  <c:v>516</c:v>
                </c:pt>
                <c:pt idx="511">
                  <c:v>647</c:v>
                </c:pt>
                <c:pt idx="512">
                  <c:v>2237</c:v>
                </c:pt>
                <c:pt idx="513">
                  <c:v>861</c:v>
                </c:pt>
                <c:pt idx="514">
                  <c:v>2549</c:v>
                </c:pt>
                <c:pt idx="515">
                  <c:v>1222</c:v>
                </c:pt>
                <c:pt idx="516">
                  <c:v>1626</c:v>
                </c:pt>
                <c:pt idx="517">
                  <c:v>2237</c:v>
                </c:pt>
                <c:pt idx="518">
                  <c:v>2405</c:v>
                </c:pt>
                <c:pt idx="519">
                  <c:v>1052</c:v>
                </c:pt>
                <c:pt idx="520">
                  <c:v>1259</c:v>
                </c:pt>
                <c:pt idx="521">
                  <c:v>2405</c:v>
                </c:pt>
                <c:pt idx="522">
                  <c:v>147</c:v>
                </c:pt>
                <c:pt idx="523">
                  <c:v>2865</c:v>
                </c:pt>
                <c:pt idx="524">
                  <c:v>302</c:v>
                </c:pt>
                <c:pt idx="525">
                  <c:v>1149</c:v>
                </c:pt>
                <c:pt idx="526">
                  <c:v>2459</c:v>
                </c:pt>
                <c:pt idx="527">
                  <c:v>329</c:v>
                </c:pt>
                <c:pt idx="528">
                  <c:v>329</c:v>
                </c:pt>
                <c:pt idx="529">
                  <c:v>1222</c:v>
                </c:pt>
                <c:pt idx="530">
                  <c:v>1182</c:v>
                </c:pt>
                <c:pt idx="531">
                  <c:v>1222</c:v>
                </c:pt>
                <c:pt idx="532">
                  <c:v>2028</c:v>
                </c:pt>
                <c:pt idx="533">
                  <c:v>675</c:v>
                </c:pt>
                <c:pt idx="534">
                  <c:v>288</c:v>
                </c:pt>
                <c:pt idx="535">
                  <c:v>2549</c:v>
                </c:pt>
                <c:pt idx="536">
                  <c:v>288</c:v>
                </c:pt>
                <c:pt idx="537">
                  <c:v>329</c:v>
                </c:pt>
                <c:pt idx="538">
                  <c:v>1010</c:v>
                </c:pt>
                <c:pt idx="539">
                  <c:v>705</c:v>
                </c:pt>
                <c:pt idx="540">
                  <c:v>1219</c:v>
                </c:pt>
                <c:pt idx="541">
                  <c:v>519</c:v>
                </c:pt>
                <c:pt idx="542">
                  <c:v>1010</c:v>
                </c:pt>
                <c:pt idx="543">
                  <c:v>1143</c:v>
                </c:pt>
                <c:pt idx="544">
                  <c:v>1559</c:v>
                </c:pt>
                <c:pt idx="545">
                  <c:v>2405</c:v>
                </c:pt>
                <c:pt idx="546">
                  <c:v>517</c:v>
                </c:pt>
                <c:pt idx="547">
                  <c:v>288</c:v>
                </c:pt>
                <c:pt idx="548">
                  <c:v>2611</c:v>
                </c:pt>
                <c:pt idx="549">
                  <c:v>2237</c:v>
                </c:pt>
                <c:pt idx="550">
                  <c:v>1259</c:v>
                </c:pt>
                <c:pt idx="551">
                  <c:v>2865</c:v>
                </c:pt>
                <c:pt idx="552">
                  <c:v>974</c:v>
                </c:pt>
                <c:pt idx="553">
                  <c:v>517</c:v>
                </c:pt>
                <c:pt idx="554">
                  <c:v>516</c:v>
                </c:pt>
                <c:pt idx="555">
                  <c:v>1886</c:v>
                </c:pt>
                <c:pt idx="556">
                  <c:v>329</c:v>
                </c:pt>
                <c:pt idx="557">
                  <c:v>2611</c:v>
                </c:pt>
                <c:pt idx="558">
                  <c:v>2405</c:v>
                </c:pt>
                <c:pt idx="559">
                  <c:v>1886</c:v>
                </c:pt>
                <c:pt idx="560">
                  <c:v>464</c:v>
                </c:pt>
                <c:pt idx="561">
                  <c:v>288</c:v>
                </c:pt>
                <c:pt idx="562">
                  <c:v>2629</c:v>
                </c:pt>
                <c:pt idx="563">
                  <c:v>288</c:v>
                </c:pt>
                <c:pt idx="564">
                  <c:v>1962</c:v>
                </c:pt>
                <c:pt idx="565">
                  <c:v>2459</c:v>
                </c:pt>
                <c:pt idx="566">
                  <c:v>1219</c:v>
                </c:pt>
                <c:pt idx="567">
                  <c:v>1860</c:v>
                </c:pt>
                <c:pt idx="568">
                  <c:v>1748</c:v>
                </c:pt>
                <c:pt idx="569">
                  <c:v>675</c:v>
                </c:pt>
                <c:pt idx="570">
                  <c:v>2629</c:v>
                </c:pt>
                <c:pt idx="571">
                  <c:v>2911</c:v>
                </c:pt>
                <c:pt idx="572">
                  <c:v>1182</c:v>
                </c:pt>
                <c:pt idx="573">
                  <c:v>517</c:v>
                </c:pt>
                <c:pt idx="574">
                  <c:v>2827</c:v>
                </c:pt>
                <c:pt idx="575">
                  <c:v>1182</c:v>
                </c:pt>
                <c:pt idx="576">
                  <c:v>1143</c:v>
                </c:pt>
                <c:pt idx="577">
                  <c:v>1860</c:v>
                </c:pt>
                <c:pt idx="578">
                  <c:v>2509</c:v>
                </c:pt>
                <c:pt idx="579">
                  <c:v>1728</c:v>
                </c:pt>
                <c:pt idx="580">
                  <c:v>974</c:v>
                </c:pt>
                <c:pt idx="581">
                  <c:v>2028</c:v>
                </c:pt>
                <c:pt idx="582">
                  <c:v>2459</c:v>
                </c:pt>
                <c:pt idx="583">
                  <c:v>464</c:v>
                </c:pt>
                <c:pt idx="584">
                  <c:v>1748</c:v>
                </c:pt>
                <c:pt idx="585">
                  <c:v>1886</c:v>
                </c:pt>
                <c:pt idx="586">
                  <c:v>2611</c:v>
                </c:pt>
                <c:pt idx="587">
                  <c:v>396</c:v>
                </c:pt>
                <c:pt idx="588">
                  <c:v>1860</c:v>
                </c:pt>
                <c:pt idx="589">
                  <c:v>1222</c:v>
                </c:pt>
                <c:pt idx="590">
                  <c:v>2405</c:v>
                </c:pt>
                <c:pt idx="591">
                  <c:v>1962</c:v>
                </c:pt>
                <c:pt idx="592">
                  <c:v>1665</c:v>
                </c:pt>
                <c:pt idx="593">
                  <c:v>2436</c:v>
                </c:pt>
                <c:pt idx="594">
                  <c:v>2911</c:v>
                </c:pt>
                <c:pt idx="595">
                  <c:v>128</c:v>
                </c:pt>
                <c:pt idx="596">
                  <c:v>1556</c:v>
                </c:pt>
                <c:pt idx="597">
                  <c:v>2028</c:v>
                </c:pt>
                <c:pt idx="598">
                  <c:v>517</c:v>
                </c:pt>
                <c:pt idx="599">
                  <c:v>2436</c:v>
                </c:pt>
                <c:pt idx="600">
                  <c:v>1010</c:v>
                </c:pt>
                <c:pt idx="601">
                  <c:v>516</c:v>
                </c:pt>
                <c:pt idx="602">
                  <c:v>1259</c:v>
                </c:pt>
                <c:pt idx="603">
                  <c:v>1010</c:v>
                </c:pt>
                <c:pt idx="604">
                  <c:v>1860</c:v>
                </c:pt>
                <c:pt idx="605">
                  <c:v>516</c:v>
                </c:pt>
                <c:pt idx="606">
                  <c:v>2214</c:v>
                </c:pt>
                <c:pt idx="607">
                  <c:v>1412</c:v>
                </c:pt>
                <c:pt idx="608">
                  <c:v>517</c:v>
                </c:pt>
                <c:pt idx="609">
                  <c:v>464</c:v>
                </c:pt>
                <c:pt idx="610">
                  <c:v>1010</c:v>
                </c:pt>
                <c:pt idx="611">
                  <c:v>434</c:v>
                </c:pt>
                <c:pt idx="612">
                  <c:v>2629</c:v>
                </c:pt>
                <c:pt idx="613">
                  <c:v>2237</c:v>
                </c:pt>
                <c:pt idx="614">
                  <c:v>2135</c:v>
                </c:pt>
                <c:pt idx="615">
                  <c:v>2611</c:v>
                </c:pt>
                <c:pt idx="616">
                  <c:v>974</c:v>
                </c:pt>
                <c:pt idx="617">
                  <c:v>2549</c:v>
                </c:pt>
                <c:pt idx="618">
                  <c:v>2405</c:v>
                </c:pt>
                <c:pt idx="619">
                  <c:v>2405</c:v>
                </c:pt>
                <c:pt idx="620">
                  <c:v>516</c:v>
                </c:pt>
                <c:pt idx="621">
                  <c:v>1559</c:v>
                </c:pt>
                <c:pt idx="622">
                  <c:v>2768</c:v>
                </c:pt>
                <c:pt idx="623">
                  <c:v>1626</c:v>
                </c:pt>
                <c:pt idx="624">
                  <c:v>1182</c:v>
                </c:pt>
                <c:pt idx="625">
                  <c:v>288</c:v>
                </c:pt>
                <c:pt idx="626">
                  <c:v>861</c:v>
                </c:pt>
                <c:pt idx="627">
                  <c:v>302</c:v>
                </c:pt>
                <c:pt idx="628">
                  <c:v>1665</c:v>
                </c:pt>
                <c:pt idx="629">
                  <c:v>2467</c:v>
                </c:pt>
                <c:pt idx="630">
                  <c:v>2459</c:v>
                </c:pt>
                <c:pt idx="631">
                  <c:v>519</c:v>
                </c:pt>
                <c:pt idx="632">
                  <c:v>2865</c:v>
                </c:pt>
                <c:pt idx="633">
                  <c:v>1222</c:v>
                </c:pt>
                <c:pt idx="634">
                  <c:v>1728</c:v>
                </c:pt>
                <c:pt idx="635">
                  <c:v>2436</c:v>
                </c:pt>
                <c:pt idx="636">
                  <c:v>2436</c:v>
                </c:pt>
                <c:pt idx="637">
                  <c:v>2827</c:v>
                </c:pt>
                <c:pt idx="638">
                  <c:v>1143</c:v>
                </c:pt>
                <c:pt idx="639">
                  <c:v>2865</c:v>
                </c:pt>
                <c:pt idx="640">
                  <c:v>1559</c:v>
                </c:pt>
                <c:pt idx="641">
                  <c:v>1010</c:v>
                </c:pt>
                <c:pt idx="642">
                  <c:v>2611</c:v>
                </c:pt>
                <c:pt idx="643">
                  <c:v>2467</c:v>
                </c:pt>
                <c:pt idx="644">
                  <c:v>2420</c:v>
                </c:pt>
                <c:pt idx="645">
                  <c:v>1219</c:v>
                </c:pt>
                <c:pt idx="646">
                  <c:v>1850</c:v>
                </c:pt>
                <c:pt idx="647">
                  <c:v>647</c:v>
                </c:pt>
                <c:pt idx="648">
                  <c:v>1412</c:v>
                </c:pt>
                <c:pt idx="649">
                  <c:v>1728</c:v>
                </c:pt>
                <c:pt idx="650">
                  <c:v>2028</c:v>
                </c:pt>
                <c:pt idx="651">
                  <c:v>1149</c:v>
                </c:pt>
                <c:pt idx="652">
                  <c:v>1748</c:v>
                </c:pt>
                <c:pt idx="653">
                  <c:v>288</c:v>
                </c:pt>
                <c:pt idx="654">
                  <c:v>2911</c:v>
                </c:pt>
                <c:pt idx="655">
                  <c:v>288</c:v>
                </c:pt>
                <c:pt idx="656">
                  <c:v>675</c:v>
                </c:pt>
                <c:pt idx="657">
                  <c:v>1435</c:v>
                </c:pt>
                <c:pt idx="658">
                  <c:v>1052</c:v>
                </c:pt>
                <c:pt idx="659">
                  <c:v>1665</c:v>
                </c:pt>
                <c:pt idx="660">
                  <c:v>675</c:v>
                </c:pt>
                <c:pt idx="661">
                  <c:v>2549</c:v>
                </c:pt>
                <c:pt idx="662">
                  <c:v>1412</c:v>
                </c:pt>
                <c:pt idx="663">
                  <c:v>1559</c:v>
                </c:pt>
                <c:pt idx="664">
                  <c:v>675</c:v>
                </c:pt>
                <c:pt idx="665">
                  <c:v>2865</c:v>
                </c:pt>
                <c:pt idx="666">
                  <c:v>2027</c:v>
                </c:pt>
                <c:pt idx="667">
                  <c:v>516</c:v>
                </c:pt>
                <c:pt idx="668">
                  <c:v>434</c:v>
                </c:pt>
                <c:pt idx="669">
                  <c:v>1748</c:v>
                </c:pt>
                <c:pt idx="670">
                  <c:v>1149</c:v>
                </c:pt>
                <c:pt idx="671">
                  <c:v>1665</c:v>
                </c:pt>
                <c:pt idx="672">
                  <c:v>861</c:v>
                </c:pt>
                <c:pt idx="673">
                  <c:v>705</c:v>
                </c:pt>
                <c:pt idx="674">
                  <c:v>1556</c:v>
                </c:pt>
                <c:pt idx="675">
                  <c:v>2467</c:v>
                </c:pt>
                <c:pt idx="676">
                  <c:v>1203</c:v>
                </c:pt>
                <c:pt idx="677">
                  <c:v>1435</c:v>
                </c:pt>
                <c:pt idx="678">
                  <c:v>2509</c:v>
                </c:pt>
                <c:pt idx="679">
                  <c:v>2405</c:v>
                </c:pt>
                <c:pt idx="680">
                  <c:v>519</c:v>
                </c:pt>
                <c:pt idx="681">
                  <c:v>1412</c:v>
                </c:pt>
                <c:pt idx="682">
                  <c:v>288</c:v>
                </c:pt>
                <c:pt idx="683">
                  <c:v>1052</c:v>
                </c:pt>
                <c:pt idx="684">
                  <c:v>1149</c:v>
                </c:pt>
                <c:pt idx="685">
                  <c:v>464</c:v>
                </c:pt>
                <c:pt idx="686">
                  <c:v>2214</c:v>
                </c:pt>
                <c:pt idx="687">
                  <c:v>1748</c:v>
                </c:pt>
                <c:pt idx="688">
                  <c:v>1182</c:v>
                </c:pt>
                <c:pt idx="689">
                  <c:v>396</c:v>
                </c:pt>
                <c:pt idx="690">
                  <c:v>1559</c:v>
                </c:pt>
                <c:pt idx="691">
                  <c:v>2027</c:v>
                </c:pt>
                <c:pt idx="692">
                  <c:v>391</c:v>
                </c:pt>
                <c:pt idx="693">
                  <c:v>1626</c:v>
                </c:pt>
                <c:pt idx="694">
                  <c:v>2629</c:v>
                </c:pt>
                <c:pt idx="695">
                  <c:v>1728</c:v>
                </c:pt>
                <c:pt idx="696">
                  <c:v>329</c:v>
                </c:pt>
                <c:pt idx="697">
                  <c:v>2237</c:v>
                </c:pt>
                <c:pt idx="698">
                  <c:v>1886</c:v>
                </c:pt>
                <c:pt idx="699">
                  <c:v>2135</c:v>
                </c:pt>
                <c:pt idx="700">
                  <c:v>302</c:v>
                </c:pt>
                <c:pt idx="701">
                  <c:v>861</c:v>
                </c:pt>
                <c:pt idx="702">
                  <c:v>1886</c:v>
                </c:pt>
                <c:pt idx="703">
                  <c:v>2420</c:v>
                </c:pt>
                <c:pt idx="704">
                  <c:v>675</c:v>
                </c:pt>
                <c:pt idx="705">
                  <c:v>2827</c:v>
                </c:pt>
                <c:pt idx="706">
                  <c:v>974</c:v>
                </c:pt>
                <c:pt idx="707">
                  <c:v>2265</c:v>
                </c:pt>
                <c:pt idx="708">
                  <c:v>464</c:v>
                </c:pt>
                <c:pt idx="709">
                  <c:v>1435</c:v>
                </c:pt>
                <c:pt idx="710">
                  <c:v>517</c:v>
                </c:pt>
                <c:pt idx="711">
                  <c:v>2467</c:v>
                </c:pt>
                <c:pt idx="712">
                  <c:v>1010</c:v>
                </c:pt>
                <c:pt idx="713">
                  <c:v>1556</c:v>
                </c:pt>
                <c:pt idx="714">
                  <c:v>974</c:v>
                </c:pt>
                <c:pt idx="715">
                  <c:v>2265</c:v>
                </c:pt>
                <c:pt idx="716">
                  <c:v>2911</c:v>
                </c:pt>
                <c:pt idx="717">
                  <c:v>1728</c:v>
                </c:pt>
                <c:pt idx="718">
                  <c:v>391</c:v>
                </c:pt>
                <c:pt idx="719">
                  <c:v>1435</c:v>
                </c:pt>
                <c:pt idx="720">
                  <c:v>1259</c:v>
                </c:pt>
                <c:pt idx="721">
                  <c:v>2865</c:v>
                </c:pt>
                <c:pt idx="722">
                  <c:v>1412</c:v>
                </c:pt>
                <c:pt idx="723">
                  <c:v>1412</c:v>
                </c:pt>
                <c:pt idx="724">
                  <c:v>2027</c:v>
                </c:pt>
                <c:pt idx="725">
                  <c:v>2135</c:v>
                </c:pt>
                <c:pt idx="726">
                  <c:v>396</c:v>
                </c:pt>
                <c:pt idx="727">
                  <c:v>1149</c:v>
                </c:pt>
                <c:pt idx="728">
                  <c:v>1173</c:v>
                </c:pt>
                <c:pt idx="729">
                  <c:v>2617</c:v>
                </c:pt>
                <c:pt idx="730">
                  <c:v>147</c:v>
                </c:pt>
                <c:pt idx="731">
                  <c:v>1556</c:v>
                </c:pt>
                <c:pt idx="732">
                  <c:v>1143</c:v>
                </c:pt>
                <c:pt idx="733">
                  <c:v>1728</c:v>
                </c:pt>
                <c:pt idx="734">
                  <c:v>2214</c:v>
                </c:pt>
                <c:pt idx="735">
                  <c:v>2436</c:v>
                </c:pt>
                <c:pt idx="736">
                  <c:v>2027</c:v>
                </c:pt>
                <c:pt idx="737">
                  <c:v>1149</c:v>
                </c:pt>
                <c:pt idx="738">
                  <c:v>1860</c:v>
                </c:pt>
                <c:pt idx="739">
                  <c:v>1886</c:v>
                </c:pt>
                <c:pt idx="740">
                  <c:v>2028</c:v>
                </c:pt>
                <c:pt idx="741">
                  <c:v>147</c:v>
                </c:pt>
                <c:pt idx="742">
                  <c:v>302</c:v>
                </c:pt>
                <c:pt idx="743">
                  <c:v>1010</c:v>
                </c:pt>
                <c:pt idx="744">
                  <c:v>1075</c:v>
                </c:pt>
                <c:pt idx="745">
                  <c:v>288</c:v>
                </c:pt>
                <c:pt idx="746">
                  <c:v>1173</c:v>
                </c:pt>
                <c:pt idx="747">
                  <c:v>1149</c:v>
                </c:pt>
                <c:pt idx="748">
                  <c:v>464</c:v>
                </c:pt>
                <c:pt idx="749">
                  <c:v>1728</c:v>
                </c:pt>
                <c:pt idx="750">
                  <c:v>2617</c:v>
                </c:pt>
                <c:pt idx="751">
                  <c:v>2214</c:v>
                </c:pt>
                <c:pt idx="752">
                  <c:v>2420</c:v>
                </c:pt>
                <c:pt idx="753">
                  <c:v>1850</c:v>
                </c:pt>
                <c:pt idx="754">
                  <c:v>1203</c:v>
                </c:pt>
                <c:pt idx="755">
                  <c:v>1626</c:v>
                </c:pt>
                <c:pt idx="756">
                  <c:v>517</c:v>
                </c:pt>
                <c:pt idx="757">
                  <c:v>2436</c:v>
                </c:pt>
                <c:pt idx="758">
                  <c:v>1173</c:v>
                </c:pt>
                <c:pt idx="759">
                  <c:v>1559</c:v>
                </c:pt>
                <c:pt idx="760">
                  <c:v>434</c:v>
                </c:pt>
                <c:pt idx="761">
                  <c:v>705</c:v>
                </c:pt>
                <c:pt idx="762">
                  <c:v>1143</c:v>
                </c:pt>
                <c:pt idx="763">
                  <c:v>1219</c:v>
                </c:pt>
                <c:pt idx="764">
                  <c:v>391</c:v>
                </c:pt>
                <c:pt idx="765">
                  <c:v>2629</c:v>
                </c:pt>
                <c:pt idx="766">
                  <c:v>2028</c:v>
                </c:pt>
                <c:pt idx="767">
                  <c:v>1075</c:v>
                </c:pt>
                <c:pt idx="768">
                  <c:v>2549</c:v>
                </c:pt>
                <c:pt idx="769">
                  <c:v>128</c:v>
                </c:pt>
                <c:pt idx="770">
                  <c:v>1728</c:v>
                </c:pt>
                <c:pt idx="771">
                  <c:v>517</c:v>
                </c:pt>
                <c:pt idx="772">
                  <c:v>2459</c:v>
                </c:pt>
                <c:pt idx="773">
                  <c:v>2027</c:v>
                </c:pt>
                <c:pt idx="774">
                  <c:v>517</c:v>
                </c:pt>
                <c:pt idx="775">
                  <c:v>1173</c:v>
                </c:pt>
                <c:pt idx="776">
                  <c:v>2028</c:v>
                </c:pt>
                <c:pt idx="777">
                  <c:v>2436</c:v>
                </c:pt>
                <c:pt idx="778">
                  <c:v>2028</c:v>
                </c:pt>
                <c:pt idx="779">
                  <c:v>974</c:v>
                </c:pt>
                <c:pt idx="780">
                  <c:v>2237</c:v>
                </c:pt>
                <c:pt idx="781">
                  <c:v>128</c:v>
                </c:pt>
                <c:pt idx="782">
                  <c:v>2467</c:v>
                </c:pt>
                <c:pt idx="783">
                  <c:v>2028</c:v>
                </c:pt>
                <c:pt idx="784">
                  <c:v>2911</c:v>
                </c:pt>
                <c:pt idx="785">
                  <c:v>1219</c:v>
                </c:pt>
                <c:pt idx="786">
                  <c:v>2135</c:v>
                </c:pt>
                <c:pt idx="787">
                  <c:v>302</c:v>
                </c:pt>
                <c:pt idx="788">
                  <c:v>1149</c:v>
                </c:pt>
                <c:pt idx="789">
                  <c:v>1412</c:v>
                </c:pt>
                <c:pt idx="790">
                  <c:v>288</c:v>
                </c:pt>
                <c:pt idx="791">
                  <c:v>434</c:v>
                </c:pt>
                <c:pt idx="792">
                  <c:v>1222</c:v>
                </c:pt>
                <c:pt idx="793">
                  <c:v>1010</c:v>
                </c:pt>
                <c:pt idx="794">
                  <c:v>1860</c:v>
                </c:pt>
                <c:pt idx="795">
                  <c:v>128</c:v>
                </c:pt>
                <c:pt idx="796">
                  <c:v>1435</c:v>
                </c:pt>
                <c:pt idx="797">
                  <c:v>2768</c:v>
                </c:pt>
                <c:pt idx="798">
                  <c:v>1219</c:v>
                </c:pt>
                <c:pt idx="799">
                  <c:v>1435</c:v>
                </c:pt>
                <c:pt idx="800">
                  <c:v>1149</c:v>
                </c:pt>
                <c:pt idx="801">
                  <c:v>1850</c:v>
                </c:pt>
                <c:pt idx="802">
                  <c:v>1010</c:v>
                </c:pt>
                <c:pt idx="803">
                  <c:v>1010</c:v>
                </c:pt>
                <c:pt idx="804">
                  <c:v>2617</c:v>
                </c:pt>
                <c:pt idx="805">
                  <c:v>1850</c:v>
                </c:pt>
                <c:pt idx="806">
                  <c:v>2459</c:v>
                </c:pt>
                <c:pt idx="807">
                  <c:v>1259</c:v>
                </c:pt>
                <c:pt idx="808">
                  <c:v>1182</c:v>
                </c:pt>
                <c:pt idx="809">
                  <c:v>2768</c:v>
                </c:pt>
                <c:pt idx="810">
                  <c:v>2135</c:v>
                </c:pt>
                <c:pt idx="811">
                  <c:v>1860</c:v>
                </c:pt>
                <c:pt idx="812">
                  <c:v>2459</c:v>
                </c:pt>
                <c:pt idx="813">
                  <c:v>2629</c:v>
                </c:pt>
                <c:pt idx="814">
                  <c:v>434</c:v>
                </c:pt>
                <c:pt idx="815">
                  <c:v>516</c:v>
                </c:pt>
                <c:pt idx="816">
                  <c:v>1850</c:v>
                </c:pt>
                <c:pt idx="817">
                  <c:v>1182</c:v>
                </c:pt>
                <c:pt idx="818">
                  <c:v>675</c:v>
                </c:pt>
                <c:pt idx="819">
                  <c:v>2509</c:v>
                </c:pt>
                <c:pt idx="820">
                  <c:v>1203</c:v>
                </c:pt>
                <c:pt idx="821">
                  <c:v>861</c:v>
                </c:pt>
                <c:pt idx="822">
                  <c:v>1665</c:v>
                </c:pt>
                <c:pt idx="823">
                  <c:v>1665</c:v>
                </c:pt>
                <c:pt idx="824">
                  <c:v>2827</c:v>
                </c:pt>
                <c:pt idx="825">
                  <c:v>2027</c:v>
                </c:pt>
                <c:pt idx="826">
                  <c:v>1259</c:v>
                </c:pt>
                <c:pt idx="827">
                  <c:v>517</c:v>
                </c:pt>
                <c:pt idx="828">
                  <c:v>516</c:v>
                </c:pt>
                <c:pt idx="829">
                  <c:v>147</c:v>
                </c:pt>
                <c:pt idx="830">
                  <c:v>1173</c:v>
                </c:pt>
                <c:pt idx="831">
                  <c:v>391</c:v>
                </c:pt>
                <c:pt idx="832">
                  <c:v>1728</c:v>
                </c:pt>
                <c:pt idx="833">
                  <c:v>1173</c:v>
                </c:pt>
                <c:pt idx="834">
                  <c:v>464</c:v>
                </c:pt>
                <c:pt idx="835">
                  <c:v>2237</c:v>
                </c:pt>
                <c:pt idx="836">
                  <c:v>1143</c:v>
                </c:pt>
                <c:pt idx="837">
                  <c:v>2865</c:v>
                </c:pt>
              </c:numCache>
            </c:numRef>
          </c:xVal>
          <c:yVal>
            <c:numRef>
              <c:f>Orders!$S$2:$S$1998</c:f>
              <c:numCache>
                <c:formatCode>General</c:formatCode>
                <c:ptCount val="838"/>
                <c:pt idx="0">
                  <c:v>0.52317073170731709</c:v>
                </c:pt>
                <c:pt idx="1">
                  <c:v>0.4031645569620253</c:v>
                </c:pt>
                <c:pt idx="2">
                  <c:v>0.22162162162162163</c:v>
                </c:pt>
                <c:pt idx="3">
                  <c:v>0.265625</c:v>
                </c:pt>
                <c:pt idx="4">
                  <c:v>0.5953846153846154</c:v>
                </c:pt>
                <c:pt idx="5">
                  <c:v>0.52123076923076928</c:v>
                </c:pt>
                <c:pt idx="6">
                  <c:v>0.22631578947368422</c:v>
                </c:pt>
                <c:pt idx="7">
                  <c:v>0.29855072463768118</c:v>
                </c:pt>
                <c:pt idx="8">
                  <c:v>0.52701612903225803</c:v>
                </c:pt>
                <c:pt idx="9">
                  <c:v>0.52123076923076928</c:v>
                </c:pt>
                <c:pt idx="10">
                  <c:v>0.2593939393939394</c:v>
                </c:pt>
                <c:pt idx="11">
                  <c:v>0.4891089108910891</c:v>
                </c:pt>
                <c:pt idx="12">
                  <c:v>0.50151515151515147</c:v>
                </c:pt>
                <c:pt idx="13">
                  <c:v>0.52123076923076928</c:v>
                </c:pt>
                <c:pt idx="14">
                  <c:v>0.56137254901960787</c:v>
                </c:pt>
                <c:pt idx="15">
                  <c:v>0.53570127504553733</c:v>
                </c:pt>
                <c:pt idx="16">
                  <c:v>0.42761394101876676</c:v>
                </c:pt>
                <c:pt idx="17">
                  <c:v>0.35555555555555557</c:v>
                </c:pt>
                <c:pt idx="18">
                  <c:v>0.59715762273901807</c:v>
                </c:pt>
                <c:pt idx="19">
                  <c:v>0.43278688524590164</c:v>
                </c:pt>
                <c:pt idx="20">
                  <c:v>0.35555555555555557</c:v>
                </c:pt>
                <c:pt idx="21">
                  <c:v>0.52123076923076928</c:v>
                </c:pt>
                <c:pt idx="22">
                  <c:v>0.28269230769230769</c:v>
                </c:pt>
                <c:pt idx="23">
                  <c:v>0.59869848156182215</c:v>
                </c:pt>
                <c:pt idx="24">
                  <c:v>0.52669172932330832</c:v>
                </c:pt>
                <c:pt idx="25">
                  <c:v>0.57333333333333336</c:v>
                </c:pt>
                <c:pt idx="26">
                  <c:v>0.56477272727272732</c:v>
                </c:pt>
                <c:pt idx="27">
                  <c:v>0.48007246376811596</c:v>
                </c:pt>
                <c:pt idx="28">
                  <c:v>0.3069060773480663</c:v>
                </c:pt>
                <c:pt idx="29">
                  <c:v>0.36129032258064514</c:v>
                </c:pt>
                <c:pt idx="30">
                  <c:v>0.4031645569620253</c:v>
                </c:pt>
                <c:pt idx="31">
                  <c:v>0.5525773195876289</c:v>
                </c:pt>
                <c:pt idx="32">
                  <c:v>0.48007246376811596</c:v>
                </c:pt>
                <c:pt idx="33">
                  <c:v>0.50196560196560192</c:v>
                </c:pt>
                <c:pt idx="34">
                  <c:v>0.52701612903225803</c:v>
                </c:pt>
                <c:pt idx="35">
                  <c:v>0.52669172932330832</c:v>
                </c:pt>
                <c:pt idx="36">
                  <c:v>0.46158940397350995</c:v>
                </c:pt>
                <c:pt idx="37">
                  <c:v>0.35744680851063831</c:v>
                </c:pt>
                <c:pt idx="38">
                  <c:v>0.54298642533936647</c:v>
                </c:pt>
                <c:pt idx="39">
                  <c:v>0.22631578947368422</c:v>
                </c:pt>
                <c:pt idx="40">
                  <c:v>0.56137254901960787</c:v>
                </c:pt>
                <c:pt idx="41">
                  <c:v>0.4891089108910891</c:v>
                </c:pt>
                <c:pt idx="42">
                  <c:v>0.28300492610837441</c:v>
                </c:pt>
                <c:pt idx="43">
                  <c:v>0.52123076923076928</c:v>
                </c:pt>
                <c:pt idx="44">
                  <c:v>0.58133086876155271</c:v>
                </c:pt>
                <c:pt idx="45">
                  <c:v>0.54878048780487809</c:v>
                </c:pt>
                <c:pt idx="46">
                  <c:v>0.50336134453781511</c:v>
                </c:pt>
                <c:pt idx="47">
                  <c:v>0.296875</c:v>
                </c:pt>
                <c:pt idx="48">
                  <c:v>0.5953846153846154</c:v>
                </c:pt>
                <c:pt idx="49">
                  <c:v>0.46768558951965067</c:v>
                </c:pt>
                <c:pt idx="50">
                  <c:v>0.48417910447761192</c:v>
                </c:pt>
                <c:pt idx="51">
                  <c:v>0.3069060773480663</c:v>
                </c:pt>
                <c:pt idx="52">
                  <c:v>0.296875</c:v>
                </c:pt>
                <c:pt idx="53">
                  <c:v>0.5525773195876289</c:v>
                </c:pt>
                <c:pt idx="54">
                  <c:v>0.47004405286343615</c:v>
                </c:pt>
                <c:pt idx="55">
                  <c:v>0.43278688524590164</c:v>
                </c:pt>
                <c:pt idx="56">
                  <c:v>0.46768558951965067</c:v>
                </c:pt>
                <c:pt idx="57">
                  <c:v>0.54878048780487809</c:v>
                </c:pt>
                <c:pt idx="58">
                  <c:v>0.48007246376811596</c:v>
                </c:pt>
                <c:pt idx="59">
                  <c:v>0.58133086876155271</c:v>
                </c:pt>
                <c:pt idx="60">
                  <c:v>0.47004405286343615</c:v>
                </c:pt>
                <c:pt idx="61">
                  <c:v>0.4031645569620253</c:v>
                </c:pt>
                <c:pt idx="62">
                  <c:v>0.28300492610837441</c:v>
                </c:pt>
                <c:pt idx="63">
                  <c:v>0.22162162162162163</c:v>
                </c:pt>
                <c:pt idx="64">
                  <c:v>0.57333333333333336</c:v>
                </c:pt>
                <c:pt idx="65">
                  <c:v>0.53570127504553733</c:v>
                </c:pt>
                <c:pt idx="66">
                  <c:v>0.49333333333333335</c:v>
                </c:pt>
                <c:pt idx="67">
                  <c:v>0.52123076923076928</c:v>
                </c:pt>
                <c:pt idx="68">
                  <c:v>0.4031645569620253</c:v>
                </c:pt>
                <c:pt idx="69">
                  <c:v>0.50793650793650791</c:v>
                </c:pt>
                <c:pt idx="70">
                  <c:v>0.52317073170731709</c:v>
                </c:pt>
                <c:pt idx="71">
                  <c:v>0.43694581280788175</c:v>
                </c:pt>
                <c:pt idx="72">
                  <c:v>0.37797356828193834</c:v>
                </c:pt>
                <c:pt idx="73">
                  <c:v>0.35744680851063831</c:v>
                </c:pt>
                <c:pt idx="74">
                  <c:v>0.35744680851063831</c:v>
                </c:pt>
                <c:pt idx="75">
                  <c:v>0.49333333333333335</c:v>
                </c:pt>
                <c:pt idx="76">
                  <c:v>0.48007246376811596</c:v>
                </c:pt>
                <c:pt idx="77">
                  <c:v>0.296875</c:v>
                </c:pt>
                <c:pt idx="78">
                  <c:v>0.48417910447761192</c:v>
                </c:pt>
                <c:pt idx="79">
                  <c:v>0.4031645569620253</c:v>
                </c:pt>
                <c:pt idx="80">
                  <c:v>0.57987012987012987</c:v>
                </c:pt>
                <c:pt idx="81">
                  <c:v>0.22631578947368422</c:v>
                </c:pt>
                <c:pt idx="82">
                  <c:v>0.53361344537815125</c:v>
                </c:pt>
                <c:pt idx="83">
                  <c:v>0.48007246376811596</c:v>
                </c:pt>
                <c:pt idx="84">
                  <c:v>0.57333333333333336</c:v>
                </c:pt>
                <c:pt idx="85">
                  <c:v>0.42761394101876676</c:v>
                </c:pt>
                <c:pt idx="86">
                  <c:v>0.52701612903225803</c:v>
                </c:pt>
                <c:pt idx="87">
                  <c:v>0.43278688524590164</c:v>
                </c:pt>
                <c:pt idx="88">
                  <c:v>0.3069060773480663</c:v>
                </c:pt>
                <c:pt idx="89">
                  <c:v>0.27833753148614609</c:v>
                </c:pt>
                <c:pt idx="90">
                  <c:v>0.37797356828193834</c:v>
                </c:pt>
                <c:pt idx="91">
                  <c:v>0.53361344537815125</c:v>
                </c:pt>
                <c:pt idx="92">
                  <c:v>0.57333333333333336</c:v>
                </c:pt>
                <c:pt idx="93">
                  <c:v>0.56957236842105263</c:v>
                </c:pt>
                <c:pt idx="94">
                  <c:v>0.47004405286343615</c:v>
                </c:pt>
                <c:pt idx="95">
                  <c:v>0.4891089108910891</c:v>
                </c:pt>
                <c:pt idx="96">
                  <c:v>0.22162162162162163</c:v>
                </c:pt>
                <c:pt idx="97">
                  <c:v>0.37797356828193834</c:v>
                </c:pt>
                <c:pt idx="98">
                  <c:v>0.54878048780487809</c:v>
                </c:pt>
                <c:pt idx="99">
                  <c:v>0.50196560196560192</c:v>
                </c:pt>
                <c:pt idx="100">
                  <c:v>0.57333333333333336</c:v>
                </c:pt>
                <c:pt idx="101">
                  <c:v>0.29090909090909089</c:v>
                </c:pt>
                <c:pt idx="102">
                  <c:v>0.56477272727272732</c:v>
                </c:pt>
                <c:pt idx="103">
                  <c:v>0.4891089108910891</c:v>
                </c:pt>
                <c:pt idx="104">
                  <c:v>0.5953846153846154</c:v>
                </c:pt>
                <c:pt idx="105">
                  <c:v>0.52317073170731709</c:v>
                </c:pt>
                <c:pt idx="106">
                  <c:v>0.50196560196560192</c:v>
                </c:pt>
                <c:pt idx="107">
                  <c:v>0.51944444444444449</c:v>
                </c:pt>
                <c:pt idx="108">
                  <c:v>0.49333333333333335</c:v>
                </c:pt>
                <c:pt idx="109">
                  <c:v>0.52669172932330832</c:v>
                </c:pt>
                <c:pt idx="110">
                  <c:v>0.5953846153846154</c:v>
                </c:pt>
                <c:pt idx="111">
                  <c:v>0.28300492610837441</c:v>
                </c:pt>
                <c:pt idx="112">
                  <c:v>0.53570127504553733</c:v>
                </c:pt>
                <c:pt idx="113">
                  <c:v>0.36129032258064514</c:v>
                </c:pt>
                <c:pt idx="114">
                  <c:v>0.52123076923076928</c:v>
                </c:pt>
                <c:pt idx="115">
                  <c:v>0.28269230769230769</c:v>
                </c:pt>
                <c:pt idx="116">
                  <c:v>0.28300492610837441</c:v>
                </c:pt>
                <c:pt idx="117">
                  <c:v>0.51594488188976373</c:v>
                </c:pt>
                <c:pt idx="118">
                  <c:v>0.36129032258064514</c:v>
                </c:pt>
                <c:pt idx="119">
                  <c:v>0.57622950819672136</c:v>
                </c:pt>
                <c:pt idx="120">
                  <c:v>0.53570127504553733</c:v>
                </c:pt>
                <c:pt idx="121">
                  <c:v>0.2593939393939394</c:v>
                </c:pt>
                <c:pt idx="122">
                  <c:v>0.46158940397350995</c:v>
                </c:pt>
                <c:pt idx="123">
                  <c:v>0.22162162162162163</c:v>
                </c:pt>
                <c:pt idx="124">
                  <c:v>0.26151685393258428</c:v>
                </c:pt>
                <c:pt idx="125">
                  <c:v>0.4891089108910891</c:v>
                </c:pt>
                <c:pt idx="126">
                  <c:v>0.47004405286343615</c:v>
                </c:pt>
                <c:pt idx="127">
                  <c:v>0.57622950819672136</c:v>
                </c:pt>
                <c:pt idx="128">
                  <c:v>0.57171314741035861</c:v>
                </c:pt>
                <c:pt idx="129">
                  <c:v>0.43694581280788175</c:v>
                </c:pt>
                <c:pt idx="130">
                  <c:v>0.50793650793650791</c:v>
                </c:pt>
                <c:pt idx="131">
                  <c:v>0.4031645569620253</c:v>
                </c:pt>
                <c:pt idx="132">
                  <c:v>0.51594488188976373</c:v>
                </c:pt>
                <c:pt idx="133">
                  <c:v>0.52669172932330832</c:v>
                </c:pt>
                <c:pt idx="134">
                  <c:v>0.48007246376811596</c:v>
                </c:pt>
                <c:pt idx="135">
                  <c:v>0.43278688524590164</c:v>
                </c:pt>
                <c:pt idx="136">
                  <c:v>0.57987012987012987</c:v>
                </c:pt>
                <c:pt idx="137">
                  <c:v>0.50336134453781511</c:v>
                </c:pt>
                <c:pt idx="138">
                  <c:v>0.52317073170731709</c:v>
                </c:pt>
                <c:pt idx="139">
                  <c:v>0.59715762273901807</c:v>
                </c:pt>
                <c:pt idx="140">
                  <c:v>0.29855072463768118</c:v>
                </c:pt>
                <c:pt idx="141">
                  <c:v>0.56137254901960787</c:v>
                </c:pt>
                <c:pt idx="142">
                  <c:v>0.54878048780487809</c:v>
                </c:pt>
                <c:pt idx="143">
                  <c:v>0.57171314741035861</c:v>
                </c:pt>
                <c:pt idx="144">
                  <c:v>0.50336134453781511</c:v>
                </c:pt>
                <c:pt idx="145">
                  <c:v>0.49333333333333335</c:v>
                </c:pt>
                <c:pt idx="146">
                  <c:v>0.54878048780487809</c:v>
                </c:pt>
                <c:pt idx="147">
                  <c:v>0.4891089108910891</c:v>
                </c:pt>
                <c:pt idx="148">
                  <c:v>0.28492753623188405</c:v>
                </c:pt>
                <c:pt idx="149">
                  <c:v>0.58133086876155271</c:v>
                </c:pt>
                <c:pt idx="150">
                  <c:v>0.53361344537815125</c:v>
                </c:pt>
                <c:pt idx="151">
                  <c:v>0.22162162162162163</c:v>
                </c:pt>
                <c:pt idx="152">
                  <c:v>0.57171314741035861</c:v>
                </c:pt>
                <c:pt idx="153">
                  <c:v>0.3069060773480663</c:v>
                </c:pt>
                <c:pt idx="154">
                  <c:v>0.57987012987012987</c:v>
                </c:pt>
                <c:pt idx="155">
                  <c:v>0.29090909090909089</c:v>
                </c:pt>
                <c:pt idx="156">
                  <c:v>0.49333333333333335</c:v>
                </c:pt>
                <c:pt idx="157">
                  <c:v>0.54298642533936647</c:v>
                </c:pt>
                <c:pt idx="158">
                  <c:v>0.57987012987012987</c:v>
                </c:pt>
                <c:pt idx="159">
                  <c:v>0.22631578947368422</c:v>
                </c:pt>
                <c:pt idx="160">
                  <c:v>0.46768558951965067</c:v>
                </c:pt>
                <c:pt idx="161">
                  <c:v>0.51594488188976373</c:v>
                </c:pt>
                <c:pt idx="162">
                  <c:v>0.46768558951965067</c:v>
                </c:pt>
                <c:pt idx="163">
                  <c:v>0.35744680851063831</c:v>
                </c:pt>
                <c:pt idx="164">
                  <c:v>0.56137254901960787</c:v>
                </c:pt>
                <c:pt idx="165">
                  <c:v>0.43694581280788175</c:v>
                </c:pt>
                <c:pt idx="166">
                  <c:v>0.51594488188976373</c:v>
                </c:pt>
                <c:pt idx="167">
                  <c:v>0.50336134453781511</c:v>
                </c:pt>
                <c:pt idx="168">
                  <c:v>0.47004405286343615</c:v>
                </c:pt>
                <c:pt idx="169">
                  <c:v>0.5953846153846154</c:v>
                </c:pt>
                <c:pt idx="170">
                  <c:v>0.5926512968299712</c:v>
                </c:pt>
                <c:pt idx="171">
                  <c:v>0.48417910447761192</c:v>
                </c:pt>
                <c:pt idx="172">
                  <c:v>0.35744680851063831</c:v>
                </c:pt>
                <c:pt idx="173">
                  <c:v>0.39508196721311473</c:v>
                </c:pt>
                <c:pt idx="174">
                  <c:v>0.46768558951965067</c:v>
                </c:pt>
                <c:pt idx="175">
                  <c:v>0.51594488188976373</c:v>
                </c:pt>
                <c:pt idx="176">
                  <c:v>0.29090909090909089</c:v>
                </c:pt>
                <c:pt idx="177">
                  <c:v>0.57622950819672136</c:v>
                </c:pt>
                <c:pt idx="178">
                  <c:v>0.37797356828193834</c:v>
                </c:pt>
                <c:pt idx="179">
                  <c:v>0.4031645569620253</c:v>
                </c:pt>
                <c:pt idx="180">
                  <c:v>0.5953846153846154</c:v>
                </c:pt>
                <c:pt idx="181">
                  <c:v>0.59869848156182215</c:v>
                </c:pt>
                <c:pt idx="182">
                  <c:v>0.2786764705882353</c:v>
                </c:pt>
                <c:pt idx="183">
                  <c:v>0.57431192660550456</c:v>
                </c:pt>
                <c:pt idx="184">
                  <c:v>0.53570127504553733</c:v>
                </c:pt>
                <c:pt idx="185">
                  <c:v>0.39508196721311473</c:v>
                </c:pt>
                <c:pt idx="186">
                  <c:v>0.29855072463768118</c:v>
                </c:pt>
                <c:pt idx="187">
                  <c:v>0.50196560196560192</c:v>
                </c:pt>
                <c:pt idx="188">
                  <c:v>0.28300492610837441</c:v>
                </c:pt>
                <c:pt idx="189">
                  <c:v>0.5953846153846154</c:v>
                </c:pt>
                <c:pt idx="190">
                  <c:v>0.57171314741035861</c:v>
                </c:pt>
                <c:pt idx="191">
                  <c:v>0.54878048780487809</c:v>
                </c:pt>
                <c:pt idx="192">
                  <c:v>0.52123076923076928</c:v>
                </c:pt>
                <c:pt idx="193">
                  <c:v>0.53361344537815125</c:v>
                </c:pt>
                <c:pt idx="194">
                  <c:v>0.58133086876155271</c:v>
                </c:pt>
                <c:pt idx="195">
                  <c:v>0.29855072463768118</c:v>
                </c:pt>
                <c:pt idx="196">
                  <c:v>0.28269230769230769</c:v>
                </c:pt>
                <c:pt idx="197">
                  <c:v>0.58133086876155271</c:v>
                </c:pt>
                <c:pt idx="198">
                  <c:v>0.5953846153846154</c:v>
                </c:pt>
                <c:pt idx="199">
                  <c:v>0.59869848156182215</c:v>
                </c:pt>
                <c:pt idx="200">
                  <c:v>0.49333333333333335</c:v>
                </c:pt>
                <c:pt idx="201">
                  <c:v>0.2786764705882353</c:v>
                </c:pt>
                <c:pt idx="202">
                  <c:v>0.52669172932330832</c:v>
                </c:pt>
                <c:pt idx="203">
                  <c:v>0.59715762273901807</c:v>
                </c:pt>
                <c:pt idx="204">
                  <c:v>0.46158940397350995</c:v>
                </c:pt>
                <c:pt idx="205">
                  <c:v>0.35744680851063831</c:v>
                </c:pt>
                <c:pt idx="206">
                  <c:v>0.52123076923076928</c:v>
                </c:pt>
                <c:pt idx="207">
                  <c:v>0.48417910447761192</c:v>
                </c:pt>
                <c:pt idx="208">
                  <c:v>0.39508196721311473</c:v>
                </c:pt>
                <c:pt idx="209">
                  <c:v>0.57431192660550456</c:v>
                </c:pt>
                <c:pt idx="210">
                  <c:v>0.50793650793650791</c:v>
                </c:pt>
                <c:pt idx="211">
                  <c:v>0.57987012987012987</c:v>
                </c:pt>
                <c:pt idx="212">
                  <c:v>0.48007246376811596</c:v>
                </c:pt>
                <c:pt idx="213">
                  <c:v>0.27833753148614609</c:v>
                </c:pt>
                <c:pt idx="214">
                  <c:v>0.49333333333333335</c:v>
                </c:pt>
                <c:pt idx="215">
                  <c:v>0.26151685393258428</c:v>
                </c:pt>
                <c:pt idx="216">
                  <c:v>0.53361344537815125</c:v>
                </c:pt>
                <c:pt idx="217">
                  <c:v>0.296875</c:v>
                </c:pt>
                <c:pt idx="218">
                  <c:v>0.57333333333333336</c:v>
                </c:pt>
                <c:pt idx="219">
                  <c:v>0.50336134453781511</c:v>
                </c:pt>
                <c:pt idx="220">
                  <c:v>0.265625</c:v>
                </c:pt>
                <c:pt idx="221">
                  <c:v>0.59416666666666662</c:v>
                </c:pt>
                <c:pt idx="222">
                  <c:v>0.57333333333333336</c:v>
                </c:pt>
                <c:pt idx="223">
                  <c:v>0.52701612903225803</c:v>
                </c:pt>
                <c:pt idx="224">
                  <c:v>0.2593939393939394</c:v>
                </c:pt>
                <c:pt idx="225">
                  <c:v>0.2786764705882353</c:v>
                </c:pt>
                <c:pt idx="226">
                  <c:v>0.3069060773480663</c:v>
                </c:pt>
                <c:pt idx="227">
                  <c:v>0.22631578947368422</c:v>
                </c:pt>
                <c:pt idx="228">
                  <c:v>0.51594488188976373</c:v>
                </c:pt>
                <c:pt idx="229">
                  <c:v>0.35744680851063831</c:v>
                </c:pt>
                <c:pt idx="230">
                  <c:v>0.58133086876155271</c:v>
                </c:pt>
                <c:pt idx="231">
                  <c:v>0.3069060773480663</c:v>
                </c:pt>
                <c:pt idx="232">
                  <c:v>0.29855072463768118</c:v>
                </c:pt>
                <c:pt idx="233">
                  <c:v>0.39508196721311473</c:v>
                </c:pt>
                <c:pt idx="234">
                  <c:v>0.3069060773480663</c:v>
                </c:pt>
                <c:pt idx="235">
                  <c:v>0.43278688524590164</c:v>
                </c:pt>
                <c:pt idx="236">
                  <c:v>0.35744680851063831</c:v>
                </c:pt>
                <c:pt idx="237">
                  <c:v>0.50336134453781511</c:v>
                </c:pt>
                <c:pt idx="238">
                  <c:v>0.39790209790209791</c:v>
                </c:pt>
                <c:pt idx="239">
                  <c:v>0.51594488188976373</c:v>
                </c:pt>
                <c:pt idx="240">
                  <c:v>0.57333333333333336</c:v>
                </c:pt>
                <c:pt idx="241">
                  <c:v>0.5926512968299712</c:v>
                </c:pt>
                <c:pt idx="242">
                  <c:v>0.35555555555555557</c:v>
                </c:pt>
                <c:pt idx="243">
                  <c:v>0.37797356828193834</c:v>
                </c:pt>
                <c:pt idx="244">
                  <c:v>0.48007246376811596</c:v>
                </c:pt>
                <c:pt idx="245">
                  <c:v>0.47004405286343615</c:v>
                </c:pt>
                <c:pt idx="246">
                  <c:v>0.52669172932330832</c:v>
                </c:pt>
                <c:pt idx="247">
                  <c:v>0.5525773195876289</c:v>
                </c:pt>
                <c:pt idx="248">
                  <c:v>0.50336134453781511</c:v>
                </c:pt>
                <c:pt idx="249">
                  <c:v>0.35744680851063831</c:v>
                </c:pt>
                <c:pt idx="250">
                  <c:v>0.56137254901960787</c:v>
                </c:pt>
                <c:pt idx="251">
                  <c:v>0.296875</c:v>
                </c:pt>
                <c:pt idx="252">
                  <c:v>0.50196560196560192</c:v>
                </c:pt>
                <c:pt idx="253">
                  <c:v>0.43278688524590164</c:v>
                </c:pt>
                <c:pt idx="254">
                  <c:v>0.37797356828193834</c:v>
                </c:pt>
                <c:pt idx="255">
                  <c:v>0.49333333333333335</c:v>
                </c:pt>
                <c:pt idx="256">
                  <c:v>0.54298642533936647</c:v>
                </c:pt>
                <c:pt idx="257">
                  <c:v>0.53570127504553733</c:v>
                </c:pt>
                <c:pt idx="258">
                  <c:v>0.52669172932330832</c:v>
                </c:pt>
                <c:pt idx="259">
                  <c:v>0.51594488188976373</c:v>
                </c:pt>
                <c:pt idx="260">
                  <c:v>0.47004405286343615</c:v>
                </c:pt>
                <c:pt idx="261">
                  <c:v>0.29855072463768118</c:v>
                </c:pt>
                <c:pt idx="262">
                  <c:v>0.57622950819672136</c:v>
                </c:pt>
                <c:pt idx="263">
                  <c:v>0.56137254901960787</c:v>
                </c:pt>
                <c:pt idx="264">
                  <c:v>0.39508196721311473</c:v>
                </c:pt>
                <c:pt idx="265">
                  <c:v>0.36129032258064514</c:v>
                </c:pt>
                <c:pt idx="266">
                  <c:v>0.46768558951965067</c:v>
                </c:pt>
                <c:pt idx="267">
                  <c:v>0.43694581280788175</c:v>
                </c:pt>
                <c:pt idx="268">
                  <c:v>0.59416666666666662</c:v>
                </c:pt>
                <c:pt idx="269">
                  <c:v>0.4891089108910891</c:v>
                </c:pt>
                <c:pt idx="270">
                  <c:v>0.59715762273901807</c:v>
                </c:pt>
                <c:pt idx="271">
                  <c:v>0.36129032258064514</c:v>
                </c:pt>
                <c:pt idx="272">
                  <c:v>0.28269230769230769</c:v>
                </c:pt>
                <c:pt idx="273">
                  <c:v>0.50151515151515147</c:v>
                </c:pt>
                <c:pt idx="274">
                  <c:v>0.59715762273901807</c:v>
                </c:pt>
                <c:pt idx="275">
                  <c:v>0.22162162162162163</c:v>
                </c:pt>
                <c:pt idx="276">
                  <c:v>0.3069060773480663</c:v>
                </c:pt>
                <c:pt idx="277">
                  <c:v>0.28300492610837441</c:v>
                </c:pt>
                <c:pt idx="278">
                  <c:v>0.35555555555555557</c:v>
                </c:pt>
                <c:pt idx="279">
                  <c:v>0.42761394101876676</c:v>
                </c:pt>
                <c:pt idx="280">
                  <c:v>0.28300492610837441</c:v>
                </c:pt>
                <c:pt idx="281">
                  <c:v>0.47004405286343615</c:v>
                </c:pt>
                <c:pt idx="282">
                  <c:v>0.50793650793650791</c:v>
                </c:pt>
                <c:pt idx="283">
                  <c:v>0.52701612903225803</c:v>
                </c:pt>
                <c:pt idx="284">
                  <c:v>0.5953846153846154</c:v>
                </c:pt>
                <c:pt idx="285">
                  <c:v>0.5953846153846154</c:v>
                </c:pt>
                <c:pt idx="286">
                  <c:v>0.48007246376811596</c:v>
                </c:pt>
                <c:pt idx="287">
                  <c:v>0.35555555555555557</c:v>
                </c:pt>
                <c:pt idx="288">
                  <c:v>0.52317073170731709</c:v>
                </c:pt>
                <c:pt idx="289">
                  <c:v>0.36129032258064514</c:v>
                </c:pt>
                <c:pt idx="290">
                  <c:v>0.46768558951965067</c:v>
                </c:pt>
                <c:pt idx="291">
                  <c:v>0.39790209790209791</c:v>
                </c:pt>
                <c:pt idx="292">
                  <c:v>0.59416666666666662</c:v>
                </c:pt>
                <c:pt idx="293">
                  <c:v>0.5926512968299712</c:v>
                </c:pt>
                <c:pt idx="294">
                  <c:v>0.51594488188976373</c:v>
                </c:pt>
                <c:pt idx="295">
                  <c:v>0.46768558951965067</c:v>
                </c:pt>
                <c:pt idx="296">
                  <c:v>0.43694581280788175</c:v>
                </c:pt>
                <c:pt idx="297">
                  <c:v>0.46768558951965067</c:v>
                </c:pt>
                <c:pt idx="298">
                  <c:v>0.49333333333333335</c:v>
                </c:pt>
                <c:pt idx="299">
                  <c:v>0.51944444444444449</c:v>
                </c:pt>
                <c:pt idx="300">
                  <c:v>0.47004405286343615</c:v>
                </c:pt>
                <c:pt idx="301">
                  <c:v>0.39508196721311473</c:v>
                </c:pt>
                <c:pt idx="302">
                  <c:v>0.57622950819672136</c:v>
                </c:pt>
                <c:pt idx="303">
                  <c:v>0.58133086876155271</c:v>
                </c:pt>
                <c:pt idx="304">
                  <c:v>0.43694581280788175</c:v>
                </c:pt>
                <c:pt idx="305">
                  <c:v>0.57622950819672136</c:v>
                </c:pt>
                <c:pt idx="306">
                  <c:v>0.296875</c:v>
                </c:pt>
                <c:pt idx="307">
                  <c:v>0.49333333333333335</c:v>
                </c:pt>
                <c:pt idx="308">
                  <c:v>0.39508196721311473</c:v>
                </c:pt>
                <c:pt idx="309">
                  <c:v>0.57333333333333336</c:v>
                </c:pt>
                <c:pt idx="310">
                  <c:v>0.52669172932330832</c:v>
                </c:pt>
                <c:pt idx="311">
                  <c:v>0.39790209790209791</c:v>
                </c:pt>
                <c:pt idx="312">
                  <c:v>0.56477272727272732</c:v>
                </c:pt>
                <c:pt idx="313">
                  <c:v>0.54878048780487809</c:v>
                </c:pt>
                <c:pt idx="314">
                  <c:v>0.52669172932330832</c:v>
                </c:pt>
                <c:pt idx="315">
                  <c:v>0.48417910447761192</c:v>
                </c:pt>
                <c:pt idx="316">
                  <c:v>0.29090909090909089</c:v>
                </c:pt>
                <c:pt idx="317">
                  <c:v>0.48417910447761192</c:v>
                </c:pt>
                <c:pt idx="318">
                  <c:v>0.54298642533936647</c:v>
                </c:pt>
                <c:pt idx="319">
                  <c:v>0.29855072463768118</c:v>
                </c:pt>
                <c:pt idx="320">
                  <c:v>0.56137254901960787</c:v>
                </c:pt>
                <c:pt idx="321">
                  <c:v>0.56137254901960787</c:v>
                </c:pt>
                <c:pt idx="322">
                  <c:v>0.57171314741035861</c:v>
                </c:pt>
                <c:pt idx="323">
                  <c:v>0.52123076923076928</c:v>
                </c:pt>
                <c:pt idx="324">
                  <c:v>0.22162162162162163</c:v>
                </c:pt>
                <c:pt idx="325">
                  <c:v>0.52317073170731709</c:v>
                </c:pt>
                <c:pt idx="326">
                  <c:v>0.50336134453781511</c:v>
                </c:pt>
                <c:pt idx="327">
                  <c:v>0.59869848156182215</c:v>
                </c:pt>
                <c:pt idx="328">
                  <c:v>0.48417910447761192</c:v>
                </c:pt>
                <c:pt idx="329">
                  <c:v>0.28269230769230769</c:v>
                </c:pt>
                <c:pt idx="330">
                  <c:v>0.4031645569620253</c:v>
                </c:pt>
                <c:pt idx="331">
                  <c:v>0.50196560196560192</c:v>
                </c:pt>
                <c:pt idx="332">
                  <c:v>0.28300492610837441</c:v>
                </c:pt>
                <c:pt idx="333">
                  <c:v>0.37797356828193834</c:v>
                </c:pt>
                <c:pt idx="334">
                  <c:v>0.35555555555555557</c:v>
                </c:pt>
                <c:pt idx="335">
                  <c:v>0.59715762273901807</c:v>
                </c:pt>
                <c:pt idx="336">
                  <c:v>0.22162162162162163</c:v>
                </c:pt>
                <c:pt idx="337">
                  <c:v>0.28492753623188405</c:v>
                </c:pt>
                <c:pt idx="338">
                  <c:v>0.49333333333333335</c:v>
                </c:pt>
                <c:pt idx="339">
                  <c:v>0.47004405286343615</c:v>
                </c:pt>
                <c:pt idx="340">
                  <c:v>0.53570127504553733</c:v>
                </c:pt>
                <c:pt idx="341">
                  <c:v>0.43694581280788175</c:v>
                </c:pt>
                <c:pt idx="342">
                  <c:v>0.53570127504553733</c:v>
                </c:pt>
                <c:pt idx="343">
                  <c:v>0.22162162162162163</c:v>
                </c:pt>
                <c:pt idx="344">
                  <c:v>0.50196560196560192</c:v>
                </c:pt>
                <c:pt idx="345">
                  <c:v>0.22162162162162163</c:v>
                </c:pt>
                <c:pt idx="346">
                  <c:v>0.5525773195876289</c:v>
                </c:pt>
                <c:pt idx="347">
                  <c:v>0.50196560196560192</c:v>
                </c:pt>
                <c:pt idx="348">
                  <c:v>0.51594488188976373</c:v>
                </c:pt>
                <c:pt idx="349">
                  <c:v>0.57431192660550456</c:v>
                </c:pt>
                <c:pt idx="350">
                  <c:v>0.5953846153846154</c:v>
                </c:pt>
                <c:pt idx="351">
                  <c:v>0.59715762273901807</c:v>
                </c:pt>
                <c:pt idx="352">
                  <c:v>0.296875</c:v>
                </c:pt>
                <c:pt idx="353">
                  <c:v>0.43278688524590164</c:v>
                </c:pt>
                <c:pt idx="354">
                  <c:v>0.59416666666666662</c:v>
                </c:pt>
                <c:pt idx="355">
                  <c:v>0.59869848156182215</c:v>
                </c:pt>
                <c:pt idx="356">
                  <c:v>0.5525773195876289</c:v>
                </c:pt>
                <c:pt idx="357">
                  <c:v>0.39790209790209791</c:v>
                </c:pt>
                <c:pt idx="358">
                  <c:v>0.51944444444444449</c:v>
                </c:pt>
                <c:pt idx="359">
                  <c:v>0.39508196721311473</c:v>
                </c:pt>
                <c:pt idx="360">
                  <c:v>0.2593939393939394</c:v>
                </c:pt>
                <c:pt idx="361">
                  <c:v>0.54298642533936647</c:v>
                </c:pt>
                <c:pt idx="362">
                  <c:v>0.37797356828193834</c:v>
                </c:pt>
                <c:pt idx="363">
                  <c:v>0.52701612903225803</c:v>
                </c:pt>
                <c:pt idx="364">
                  <c:v>0.54878048780487809</c:v>
                </c:pt>
                <c:pt idx="365">
                  <c:v>0.54878048780487809</c:v>
                </c:pt>
                <c:pt idx="366">
                  <c:v>0.53361344537815125</c:v>
                </c:pt>
                <c:pt idx="367">
                  <c:v>0.50793650793650791</c:v>
                </c:pt>
                <c:pt idx="368">
                  <c:v>0.56477272727272732</c:v>
                </c:pt>
                <c:pt idx="369">
                  <c:v>0.51944444444444449</c:v>
                </c:pt>
                <c:pt idx="370">
                  <c:v>0.52123076923076928</c:v>
                </c:pt>
                <c:pt idx="371">
                  <c:v>0.27833753148614609</c:v>
                </c:pt>
                <c:pt idx="372">
                  <c:v>0.3069060773480663</c:v>
                </c:pt>
                <c:pt idx="373">
                  <c:v>0.47004405286343615</c:v>
                </c:pt>
                <c:pt idx="374">
                  <c:v>0.35555555555555557</c:v>
                </c:pt>
                <c:pt idx="375">
                  <c:v>0.28300492610837441</c:v>
                </c:pt>
                <c:pt idx="376">
                  <c:v>0.51944444444444449</c:v>
                </c:pt>
                <c:pt idx="377">
                  <c:v>0.37797356828193834</c:v>
                </c:pt>
                <c:pt idx="378">
                  <c:v>0.22631578947368422</c:v>
                </c:pt>
                <c:pt idx="379">
                  <c:v>0.265625</c:v>
                </c:pt>
                <c:pt idx="380">
                  <c:v>0.5953846153846154</c:v>
                </c:pt>
                <c:pt idx="381">
                  <c:v>0.56957236842105263</c:v>
                </c:pt>
                <c:pt idx="382">
                  <c:v>0.46158940397350995</c:v>
                </c:pt>
                <c:pt idx="383">
                  <c:v>0.57431192660550456</c:v>
                </c:pt>
                <c:pt idx="384">
                  <c:v>0.28300492610837441</c:v>
                </c:pt>
                <c:pt idx="385">
                  <c:v>0.59869848156182215</c:v>
                </c:pt>
                <c:pt idx="386">
                  <c:v>0.50196560196560192</c:v>
                </c:pt>
                <c:pt idx="387">
                  <c:v>0.3069060773480663</c:v>
                </c:pt>
                <c:pt idx="388">
                  <c:v>0.265625</c:v>
                </c:pt>
                <c:pt idx="389">
                  <c:v>0.52701612903225803</c:v>
                </c:pt>
                <c:pt idx="390">
                  <c:v>0.2593939393939394</c:v>
                </c:pt>
                <c:pt idx="391">
                  <c:v>0.37797356828193834</c:v>
                </c:pt>
                <c:pt idx="392">
                  <c:v>0.49333333333333335</c:v>
                </c:pt>
                <c:pt idx="393">
                  <c:v>0.53361344537815125</c:v>
                </c:pt>
                <c:pt idx="394">
                  <c:v>0.35744680851063831</c:v>
                </c:pt>
                <c:pt idx="395">
                  <c:v>0.59715762273901807</c:v>
                </c:pt>
                <c:pt idx="396">
                  <c:v>0.57987012987012987</c:v>
                </c:pt>
                <c:pt idx="397">
                  <c:v>0.59715762273901807</c:v>
                </c:pt>
                <c:pt idx="398">
                  <c:v>0.29855072463768118</c:v>
                </c:pt>
                <c:pt idx="399">
                  <c:v>0.28492753623188405</c:v>
                </c:pt>
                <c:pt idx="400">
                  <c:v>0.54878048780487809</c:v>
                </c:pt>
                <c:pt idx="401">
                  <c:v>0.26151685393258428</c:v>
                </c:pt>
                <c:pt idx="402">
                  <c:v>0.56137254901960787</c:v>
                </c:pt>
                <c:pt idx="403">
                  <c:v>0.46158940397350995</c:v>
                </c:pt>
                <c:pt idx="404">
                  <c:v>0.265625</c:v>
                </c:pt>
                <c:pt idx="405">
                  <c:v>0.51594488188976373</c:v>
                </c:pt>
                <c:pt idx="406">
                  <c:v>0.39790209790209791</c:v>
                </c:pt>
                <c:pt idx="407">
                  <c:v>0.50151515151515147</c:v>
                </c:pt>
                <c:pt idx="408">
                  <c:v>0.57987012987012987</c:v>
                </c:pt>
                <c:pt idx="409">
                  <c:v>0.29855072463768118</c:v>
                </c:pt>
                <c:pt idx="410">
                  <c:v>0.49333333333333335</c:v>
                </c:pt>
                <c:pt idx="411">
                  <c:v>0.57987012987012987</c:v>
                </c:pt>
                <c:pt idx="412">
                  <c:v>0.42761394101876676</c:v>
                </c:pt>
                <c:pt idx="413">
                  <c:v>0.4891089108910891</c:v>
                </c:pt>
                <c:pt idx="414">
                  <c:v>0.57171314741035861</c:v>
                </c:pt>
                <c:pt idx="415">
                  <c:v>0.46158940397350995</c:v>
                </c:pt>
                <c:pt idx="416">
                  <c:v>0.43694581280788175</c:v>
                </c:pt>
                <c:pt idx="417">
                  <c:v>0.49333333333333335</c:v>
                </c:pt>
                <c:pt idx="418">
                  <c:v>0.4031645569620253</c:v>
                </c:pt>
                <c:pt idx="419">
                  <c:v>0.296875</c:v>
                </c:pt>
                <c:pt idx="420">
                  <c:v>0.51944444444444449</c:v>
                </c:pt>
                <c:pt idx="421">
                  <c:v>0.28269230769230769</c:v>
                </c:pt>
                <c:pt idx="422">
                  <c:v>0.2786764705882353</c:v>
                </c:pt>
                <c:pt idx="423">
                  <c:v>0.57622950819672136</c:v>
                </c:pt>
                <c:pt idx="424">
                  <c:v>0.56477272727272732</c:v>
                </c:pt>
                <c:pt idx="425">
                  <c:v>0.5525773195876289</c:v>
                </c:pt>
                <c:pt idx="426">
                  <c:v>0.53361344537815125</c:v>
                </c:pt>
                <c:pt idx="427">
                  <c:v>0.5525773195876289</c:v>
                </c:pt>
                <c:pt idx="428">
                  <c:v>0.59416666666666662</c:v>
                </c:pt>
                <c:pt idx="429">
                  <c:v>0.52123076923076928</c:v>
                </c:pt>
                <c:pt idx="430">
                  <c:v>0.35555555555555557</c:v>
                </c:pt>
                <c:pt idx="431">
                  <c:v>0.37797356828193834</c:v>
                </c:pt>
                <c:pt idx="432">
                  <c:v>0.29090909090909089</c:v>
                </c:pt>
                <c:pt idx="433">
                  <c:v>0.50151515151515147</c:v>
                </c:pt>
                <c:pt idx="434">
                  <c:v>0.36129032258064514</c:v>
                </c:pt>
                <c:pt idx="435">
                  <c:v>0.4031645569620253</c:v>
                </c:pt>
                <c:pt idx="436">
                  <c:v>0.54298642533936647</c:v>
                </c:pt>
                <c:pt idx="437">
                  <c:v>0.22162162162162163</c:v>
                </c:pt>
                <c:pt idx="438">
                  <c:v>0.51594488188976373</c:v>
                </c:pt>
                <c:pt idx="439">
                  <c:v>0.58133086876155271</c:v>
                </c:pt>
                <c:pt idx="440">
                  <c:v>0.43278688524590164</c:v>
                </c:pt>
                <c:pt idx="441">
                  <c:v>0.50336134453781511</c:v>
                </c:pt>
                <c:pt idx="442">
                  <c:v>0.3069060773480663</c:v>
                </c:pt>
                <c:pt idx="443">
                  <c:v>0.56957236842105263</c:v>
                </c:pt>
                <c:pt idx="444">
                  <c:v>0.57987012987012987</c:v>
                </c:pt>
                <c:pt idx="445">
                  <c:v>0.4891089108910891</c:v>
                </c:pt>
                <c:pt idx="446">
                  <c:v>0.28492753623188405</c:v>
                </c:pt>
                <c:pt idx="447">
                  <c:v>0.54298642533936647</c:v>
                </c:pt>
                <c:pt idx="448">
                  <c:v>0.56957236842105263</c:v>
                </c:pt>
                <c:pt idx="449">
                  <c:v>0.48417910447761192</c:v>
                </c:pt>
                <c:pt idx="450">
                  <c:v>0.39508196721311473</c:v>
                </c:pt>
                <c:pt idx="451">
                  <c:v>0.296875</c:v>
                </c:pt>
                <c:pt idx="452">
                  <c:v>0.51944444444444449</c:v>
                </c:pt>
                <c:pt idx="453">
                  <c:v>0.35744680851063831</c:v>
                </c:pt>
                <c:pt idx="454">
                  <c:v>0.27833753148614609</c:v>
                </c:pt>
                <c:pt idx="455">
                  <c:v>0.42761394101876676</c:v>
                </c:pt>
                <c:pt idx="456">
                  <c:v>0.51594488188976373</c:v>
                </c:pt>
                <c:pt idx="457">
                  <c:v>0.59715762273901807</c:v>
                </c:pt>
                <c:pt idx="458">
                  <c:v>0.43694581280788175</c:v>
                </c:pt>
                <c:pt idx="459">
                  <c:v>0.54878048780487809</c:v>
                </c:pt>
                <c:pt idx="460">
                  <c:v>0.53361344537815125</c:v>
                </c:pt>
                <c:pt idx="461">
                  <c:v>0.57171314741035861</c:v>
                </c:pt>
                <c:pt idx="462">
                  <c:v>0.43694581280788175</c:v>
                </c:pt>
                <c:pt idx="463">
                  <c:v>0.22631578947368422</c:v>
                </c:pt>
                <c:pt idx="464">
                  <c:v>0.54298642533936647</c:v>
                </c:pt>
                <c:pt idx="465">
                  <c:v>0.57622950819672136</c:v>
                </c:pt>
                <c:pt idx="466">
                  <c:v>0.5926512968299712</c:v>
                </c:pt>
                <c:pt idx="467">
                  <c:v>0.29090909090909089</c:v>
                </c:pt>
                <c:pt idx="468">
                  <c:v>0.52317073170731709</c:v>
                </c:pt>
                <c:pt idx="469">
                  <c:v>0.29855072463768118</c:v>
                </c:pt>
                <c:pt idx="470">
                  <c:v>0.43694581280788175</c:v>
                </c:pt>
                <c:pt idx="471">
                  <c:v>0.48417910447761192</c:v>
                </c:pt>
                <c:pt idx="472">
                  <c:v>0.53570127504553733</c:v>
                </c:pt>
                <c:pt idx="473">
                  <c:v>0.50151515151515147</c:v>
                </c:pt>
                <c:pt idx="474">
                  <c:v>0.5953846153846154</c:v>
                </c:pt>
                <c:pt idx="475">
                  <c:v>0.43278688524590164</c:v>
                </c:pt>
                <c:pt idx="476">
                  <c:v>0.48417910447761192</c:v>
                </c:pt>
                <c:pt idx="477">
                  <c:v>0.5525773195876289</c:v>
                </c:pt>
                <c:pt idx="478">
                  <c:v>0.2786764705882353</c:v>
                </c:pt>
                <c:pt idx="479">
                  <c:v>0.28300492610837441</c:v>
                </c:pt>
                <c:pt idx="480">
                  <c:v>0.53361344537815125</c:v>
                </c:pt>
                <c:pt idx="481">
                  <c:v>0.22162162162162163</c:v>
                </c:pt>
                <c:pt idx="482">
                  <c:v>0.57622950819672136</c:v>
                </c:pt>
                <c:pt idx="483">
                  <c:v>0.56477272727272732</c:v>
                </c:pt>
                <c:pt idx="484">
                  <c:v>0.56137254901960787</c:v>
                </c:pt>
                <c:pt idx="485">
                  <c:v>0.56957236842105263</c:v>
                </c:pt>
                <c:pt idx="486">
                  <c:v>0.57333333333333336</c:v>
                </c:pt>
                <c:pt idx="487">
                  <c:v>0.48417910447761192</c:v>
                </c:pt>
                <c:pt idx="488">
                  <c:v>0.2593939393939394</c:v>
                </c:pt>
                <c:pt idx="489">
                  <c:v>0.37797356828193834</c:v>
                </c:pt>
                <c:pt idx="490">
                  <c:v>0.50196560196560192</c:v>
                </c:pt>
                <c:pt idx="491">
                  <c:v>0.3069060773480663</c:v>
                </c:pt>
                <c:pt idx="492">
                  <c:v>0.53361344537815125</c:v>
                </c:pt>
                <c:pt idx="493">
                  <c:v>0.50793650793650791</c:v>
                </c:pt>
                <c:pt idx="494">
                  <c:v>0.58133086876155271</c:v>
                </c:pt>
                <c:pt idx="495">
                  <c:v>0.53361344537815125</c:v>
                </c:pt>
                <c:pt idx="496">
                  <c:v>0.5525773195876289</c:v>
                </c:pt>
                <c:pt idx="497">
                  <c:v>0.56137254901960787</c:v>
                </c:pt>
                <c:pt idx="498">
                  <c:v>0.52701612903225803</c:v>
                </c:pt>
                <c:pt idx="499">
                  <c:v>0.57171314741035861</c:v>
                </c:pt>
                <c:pt idx="500">
                  <c:v>0.47004405286343615</c:v>
                </c:pt>
                <c:pt idx="501">
                  <c:v>0.51594488188976373</c:v>
                </c:pt>
                <c:pt idx="502">
                  <c:v>0.57987012987012987</c:v>
                </c:pt>
                <c:pt idx="503">
                  <c:v>0.51944444444444449</c:v>
                </c:pt>
                <c:pt idx="504">
                  <c:v>0.46768558951965067</c:v>
                </c:pt>
                <c:pt idx="505">
                  <c:v>0.29855072463768118</c:v>
                </c:pt>
                <c:pt idx="506">
                  <c:v>0.59869848156182215</c:v>
                </c:pt>
                <c:pt idx="507">
                  <c:v>0.5926512968299712</c:v>
                </c:pt>
                <c:pt idx="508">
                  <c:v>0.56137254901960787</c:v>
                </c:pt>
                <c:pt idx="509">
                  <c:v>0.4031645569620253</c:v>
                </c:pt>
                <c:pt idx="510">
                  <c:v>0.4891089108910891</c:v>
                </c:pt>
                <c:pt idx="511">
                  <c:v>0.57987012987012987</c:v>
                </c:pt>
                <c:pt idx="512">
                  <c:v>0.56137254901960787</c:v>
                </c:pt>
                <c:pt idx="513">
                  <c:v>0.39790209790209791</c:v>
                </c:pt>
                <c:pt idx="514">
                  <c:v>0.53570127504553733</c:v>
                </c:pt>
                <c:pt idx="515">
                  <c:v>0.2593939393939394</c:v>
                </c:pt>
                <c:pt idx="516">
                  <c:v>0.46158940397350995</c:v>
                </c:pt>
                <c:pt idx="517">
                  <c:v>0.56137254901960787</c:v>
                </c:pt>
                <c:pt idx="518">
                  <c:v>0.54878048780487809</c:v>
                </c:pt>
                <c:pt idx="519">
                  <c:v>0.5953846153846154</c:v>
                </c:pt>
                <c:pt idx="520">
                  <c:v>0.52669172932330832</c:v>
                </c:pt>
                <c:pt idx="521">
                  <c:v>0.54878048780487809</c:v>
                </c:pt>
                <c:pt idx="522">
                  <c:v>0.22631578947368422</c:v>
                </c:pt>
                <c:pt idx="523">
                  <c:v>0.27833753148614609</c:v>
                </c:pt>
                <c:pt idx="524">
                  <c:v>0.35744680851063831</c:v>
                </c:pt>
                <c:pt idx="525">
                  <c:v>0.56477272727272732</c:v>
                </c:pt>
                <c:pt idx="526">
                  <c:v>0.51594488188976373</c:v>
                </c:pt>
                <c:pt idx="527">
                  <c:v>0.50151515151515147</c:v>
                </c:pt>
                <c:pt idx="528">
                  <c:v>0.50151515151515147</c:v>
                </c:pt>
                <c:pt idx="529">
                  <c:v>0.2593939393939394</c:v>
                </c:pt>
                <c:pt idx="530">
                  <c:v>0.50336134453781511</c:v>
                </c:pt>
                <c:pt idx="531">
                  <c:v>0.2593939393939394</c:v>
                </c:pt>
                <c:pt idx="532">
                  <c:v>0.29090909090909089</c:v>
                </c:pt>
                <c:pt idx="533">
                  <c:v>0.296875</c:v>
                </c:pt>
                <c:pt idx="534">
                  <c:v>0.22162162162162163</c:v>
                </c:pt>
                <c:pt idx="535">
                  <c:v>0.53570127504553733</c:v>
                </c:pt>
                <c:pt idx="536">
                  <c:v>0.22162162162162163</c:v>
                </c:pt>
                <c:pt idx="537">
                  <c:v>0.50151515151515147</c:v>
                </c:pt>
                <c:pt idx="538">
                  <c:v>0.54298642533936647</c:v>
                </c:pt>
                <c:pt idx="539">
                  <c:v>0.265625</c:v>
                </c:pt>
                <c:pt idx="540">
                  <c:v>0.46768558951965067</c:v>
                </c:pt>
                <c:pt idx="541">
                  <c:v>0.51944444444444449</c:v>
                </c:pt>
                <c:pt idx="542">
                  <c:v>0.54298642533936647</c:v>
                </c:pt>
                <c:pt idx="543">
                  <c:v>0.43694581280788175</c:v>
                </c:pt>
                <c:pt idx="544">
                  <c:v>0.59715762273901807</c:v>
                </c:pt>
                <c:pt idx="545">
                  <c:v>0.54878048780487809</c:v>
                </c:pt>
                <c:pt idx="546">
                  <c:v>0.57622950819672136</c:v>
                </c:pt>
                <c:pt idx="547">
                  <c:v>0.22162162162162163</c:v>
                </c:pt>
                <c:pt idx="548">
                  <c:v>0.28269230769230769</c:v>
                </c:pt>
                <c:pt idx="549">
                  <c:v>0.56137254901960787</c:v>
                </c:pt>
                <c:pt idx="550">
                  <c:v>0.52669172932330832</c:v>
                </c:pt>
                <c:pt idx="551">
                  <c:v>0.27833753148614609</c:v>
                </c:pt>
                <c:pt idx="552">
                  <c:v>0.59416666666666662</c:v>
                </c:pt>
                <c:pt idx="553">
                  <c:v>0.57622950819672136</c:v>
                </c:pt>
                <c:pt idx="554">
                  <c:v>0.4891089108910891</c:v>
                </c:pt>
                <c:pt idx="555">
                  <c:v>0.4031645569620253</c:v>
                </c:pt>
                <c:pt idx="556">
                  <c:v>0.50151515151515147</c:v>
                </c:pt>
                <c:pt idx="557">
                  <c:v>0.28269230769230769</c:v>
                </c:pt>
                <c:pt idx="558">
                  <c:v>0.54878048780487809</c:v>
                </c:pt>
                <c:pt idx="559">
                  <c:v>0.4031645569620253</c:v>
                </c:pt>
                <c:pt idx="560">
                  <c:v>0.57431192660550456</c:v>
                </c:pt>
                <c:pt idx="561">
                  <c:v>0.22162162162162163</c:v>
                </c:pt>
                <c:pt idx="562">
                  <c:v>0.26151685393258428</c:v>
                </c:pt>
                <c:pt idx="563">
                  <c:v>0.22162162162162163</c:v>
                </c:pt>
                <c:pt idx="564">
                  <c:v>0.2786764705882353</c:v>
                </c:pt>
                <c:pt idx="565">
                  <c:v>0.51594488188976373</c:v>
                </c:pt>
                <c:pt idx="566">
                  <c:v>0.46768558951965067</c:v>
                </c:pt>
                <c:pt idx="567">
                  <c:v>0.50793650793650791</c:v>
                </c:pt>
                <c:pt idx="568">
                  <c:v>0.49333333333333335</c:v>
                </c:pt>
                <c:pt idx="569">
                  <c:v>0.296875</c:v>
                </c:pt>
                <c:pt idx="570">
                  <c:v>0.26151685393258428</c:v>
                </c:pt>
                <c:pt idx="571">
                  <c:v>0.28300492610837441</c:v>
                </c:pt>
                <c:pt idx="572">
                  <c:v>0.50336134453781511</c:v>
                </c:pt>
                <c:pt idx="573">
                  <c:v>0.57622950819672136</c:v>
                </c:pt>
                <c:pt idx="574">
                  <c:v>0.5926512968299712</c:v>
                </c:pt>
                <c:pt idx="575">
                  <c:v>0.50336134453781511</c:v>
                </c:pt>
                <c:pt idx="576">
                  <c:v>0.43694581280788175</c:v>
                </c:pt>
                <c:pt idx="577">
                  <c:v>0.50793650793650791</c:v>
                </c:pt>
                <c:pt idx="578">
                  <c:v>0.3069060773480663</c:v>
                </c:pt>
                <c:pt idx="579">
                  <c:v>0.48417910447761192</c:v>
                </c:pt>
                <c:pt idx="580">
                  <c:v>0.59416666666666662</c:v>
                </c:pt>
                <c:pt idx="581">
                  <c:v>0.29090909090909089</c:v>
                </c:pt>
                <c:pt idx="582">
                  <c:v>0.51594488188976373</c:v>
                </c:pt>
                <c:pt idx="583">
                  <c:v>0.57431192660550456</c:v>
                </c:pt>
                <c:pt idx="584">
                  <c:v>0.49333333333333335</c:v>
                </c:pt>
                <c:pt idx="585">
                  <c:v>0.4031645569620253</c:v>
                </c:pt>
                <c:pt idx="586">
                  <c:v>0.28269230769230769</c:v>
                </c:pt>
                <c:pt idx="587">
                  <c:v>0.36129032258064514</c:v>
                </c:pt>
                <c:pt idx="588">
                  <c:v>0.50793650793650791</c:v>
                </c:pt>
                <c:pt idx="589">
                  <c:v>0.2593939393939394</c:v>
                </c:pt>
                <c:pt idx="590">
                  <c:v>0.54878048780487809</c:v>
                </c:pt>
                <c:pt idx="591">
                  <c:v>0.2786764705882353</c:v>
                </c:pt>
                <c:pt idx="592">
                  <c:v>0.53361344537815125</c:v>
                </c:pt>
                <c:pt idx="593">
                  <c:v>0.35555555555555557</c:v>
                </c:pt>
                <c:pt idx="594">
                  <c:v>0.28300492610837441</c:v>
                </c:pt>
                <c:pt idx="595">
                  <c:v>0.57333333333333336</c:v>
                </c:pt>
                <c:pt idx="596">
                  <c:v>0.52123076923076928</c:v>
                </c:pt>
                <c:pt idx="597">
                  <c:v>0.29090909090909089</c:v>
                </c:pt>
                <c:pt idx="598">
                  <c:v>0.57622950819672136</c:v>
                </c:pt>
                <c:pt idx="599">
                  <c:v>0.35555555555555557</c:v>
                </c:pt>
                <c:pt idx="600">
                  <c:v>0.54298642533936647</c:v>
                </c:pt>
                <c:pt idx="601">
                  <c:v>0.4891089108910891</c:v>
                </c:pt>
                <c:pt idx="602">
                  <c:v>0.52669172932330832</c:v>
                </c:pt>
                <c:pt idx="603">
                  <c:v>0.54298642533936647</c:v>
                </c:pt>
                <c:pt idx="604">
                  <c:v>0.50793650793650791</c:v>
                </c:pt>
                <c:pt idx="605">
                  <c:v>0.4891089108910891</c:v>
                </c:pt>
                <c:pt idx="606">
                  <c:v>0.39508196721311473</c:v>
                </c:pt>
                <c:pt idx="607">
                  <c:v>0.37797356828193834</c:v>
                </c:pt>
                <c:pt idx="608">
                  <c:v>0.57622950819672136</c:v>
                </c:pt>
                <c:pt idx="609">
                  <c:v>0.57431192660550456</c:v>
                </c:pt>
                <c:pt idx="610">
                  <c:v>0.54298642533936647</c:v>
                </c:pt>
                <c:pt idx="611">
                  <c:v>0.5525773195876289</c:v>
                </c:pt>
                <c:pt idx="612">
                  <c:v>0.26151685393258428</c:v>
                </c:pt>
                <c:pt idx="613">
                  <c:v>0.56137254901960787</c:v>
                </c:pt>
                <c:pt idx="614">
                  <c:v>0.42761394101876676</c:v>
                </c:pt>
                <c:pt idx="615">
                  <c:v>0.28269230769230769</c:v>
                </c:pt>
                <c:pt idx="616">
                  <c:v>0.59416666666666662</c:v>
                </c:pt>
                <c:pt idx="617">
                  <c:v>0.53570127504553733</c:v>
                </c:pt>
                <c:pt idx="618">
                  <c:v>0.54878048780487809</c:v>
                </c:pt>
                <c:pt idx="619">
                  <c:v>0.54878048780487809</c:v>
                </c:pt>
                <c:pt idx="620">
                  <c:v>0.4891089108910891</c:v>
                </c:pt>
                <c:pt idx="621">
                  <c:v>0.59715762273901807</c:v>
                </c:pt>
                <c:pt idx="622">
                  <c:v>0.43278688524590164</c:v>
                </c:pt>
                <c:pt idx="623">
                  <c:v>0.46158940397350995</c:v>
                </c:pt>
                <c:pt idx="624">
                  <c:v>0.50336134453781511</c:v>
                </c:pt>
                <c:pt idx="625">
                  <c:v>0.22162162162162163</c:v>
                </c:pt>
                <c:pt idx="626">
                  <c:v>0.39790209790209791</c:v>
                </c:pt>
                <c:pt idx="627">
                  <c:v>0.35744680851063831</c:v>
                </c:pt>
                <c:pt idx="628">
                  <c:v>0.53361344537815125</c:v>
                </c:pt>
                <c:pt idx="629">
                  <c:v>0.28492753623188405</c:v>
                </c:pt>
                <c:pt idx="630">
                  <c:v>0.51594488188976373</c:v>
                </c:pt>
                <c:pt idx="631">
                  <c:v>0.51944444444444449</c:v>
                </c:pt>
                <c:pt idx="632">
                  <c:v>0.27833753148614609</c:v>
                </c:pt>
                <c:pt idx="633">
                  <c:v>0.2593939393939394</c:v>
                </c:pt>
                <c:pt idx="634">
                  <c:v>0.48417910447761192</c:v>
                </c:pt>
                <c:pt idx="635">
                  <c:v>0.35555555555555557</c:v>
                </c:pt>
                <c:pt idx="636">
                  <c:v>0.35555555555555557</c:v>
                </c:pt>
                <c:pt idx="637">
                  <c:v>0.5926512968299712</c:v>
                </c:pt>
                <c:pt idx="638">
                  <c:v>0.43694581280788175</c:v>
                </c:pt>
                <c:pt idx="639">
                  <c:v>0.27833753148614609</c:v>
                </c:pt>
                <c:pt idx="640">
                  <c:v>0.59715762273901807</c:v>
                </c:pt>
                <c:pt idx="641">
                  <c:v>0.54298642533936647</c:v>
                </c:pt>
                <c:pt idx="642">
                  <c:v>0.28269230769230769</c:v>
                </c:pt>
                <c:pt idx="643">
                  <c:v>0.28492753623188405</c:v>
                </c:pt>
                <c:pt idx="644">
                  <c:v>0.29855072463768118</c:v>
                </c:pt>
                <c:pt idx="645">
                  <c:v>0.46768558951965067</c:v>
                </c:pt>
                <c:pt idx="646">
                  <c:v>0.59869848156182215</c:v>
                </c:pt>
                <c:pt idx="647">
                  <c:v>0.57987012987012987</c:v>
                </c:pt>
                <c:pt idx="648">
                  <c:v>0.37797356828193834</c:v>
                </c:pt>
                <c:pt idx="649">
                  <c:v>0.48417910447761192</c:v>
                </c:pt>
                <c:pt idx="650">
                  <c:v>0.29090909090909089</c:v>
                </c:pt>
                <c:pt idx="651">
                  <c:v>0.56477272727272732</c:v>
                </c:pt>
                <c:pt idx="652">
                  <c:v>0.49333333333333335</c:v>
                </c:pt>
                <c:pt idx="653">
                  <c:v>0.22162162162162163</c:v>
                </c:pt>
                <c:pt idx="654">
                  <c:v>0.28300492610837441</c:v>
                </c:pt>
                <c:pt idx="655">
                  <c:v>0.22162162162162163</c:v>
                </c:pt>
                <c:pt idx="656">
                  <c:v>0.296875</c:v>
                </c:pt>
                <c:pt idx="657">
                  <c:v>0.48007246376811596</c:v>
                </c:pt>
                <c:pt idx="658">
                  <c:v>0.5953846153846154</c:v>
                </c:pt>
                <c:pt idx="659">
                  <c:v>0.53361344537815125</c:v>
                </c:pt>
                <c:pt idx="660">
                  <c:v>0.296875</c:v>
                </c:pt>
                <c:pt idx="661">
                  <c:v>0.53570127504553733</c:v>
                </c:pt>
                <c:pt idx="662">
                  <c:v>0.37797356828193834</c:v>
                </c:pt>
                <c:pt idx="663">
                  <c:v>0.59715762273901807</c:v>
                </c:pt>
                <c:pt idx="664">
                  <c:v>0.296875</c:v>
                </c:pt>
                <c:pt idx="665">
                  <c:v>0.27833753148614609</c:v>
                </c:pt>
                <c:pt idx="666">
                  <c:v>0.50196560196560192</c:v>
                </c:pt>
                <c:pt idx="667">
                  <c:v>0.4891089108910891</c:v>
                </c:pt>
                <c:pt idx="668">
                  <c:v>0.5525773195876289</c:v>
                </c:pt>
                <c:pt idx="669">
                  <c:v>0.49333333333333335</c:v>
                </c:pt>
                <c:pt idx="670">
                  <c:v>0.56477272727272732</c:v>
                </c:pt>
                <c:pt idx="671">
                  <c:v>0.53361344537815125</c:v>
                </c:pt>
                <c:pt idx="672">
                  <c:v>0.39790209790209791</c:v>
                </c:pt>
                <c:pt idx="673">
                  <c:v>0.265625</c:v>
                </c:pt>
                <c:pt idx="674">
                  <c:v>0.52123076923076928</c:v>
                </c:pt>
                <c:pt idx="675">
                  <c:v>0.28492753623188405</c:v>
                </c:pt>
                <c:pt idx="676">
                  <c:v>0.47004405286343615</c:v>
                </c:pt>
                <c:pt idx="677">
                  <c:v>0.48007246376811596</c:v>
                </c:pt>
                <c:pt idx="678">
                  <c:v>0.3069060773480663</c:v>
                </c:pt>
                <c:pt idx="679">
                  <c:v>0.54878048780487809</c:v>
                </c:pt>
                <c:pt idx="680">
                  <c:v>0.51944444444444449</c:v>
                </c:pt>
                <c:pt idx="681">
                  <c:v>0.37797356828193834</c:v>
                </c:pt>
                <c:pt idx="682">
                  <c:v>0.22162162162162163</c:v>
                </c:pt>
                <c:pt idx="683">
                  <c:v>0.5953846153846154</c:v>
                </c:pt>
                <c:pt idx="684">
                  <c:v>0.56477272727272732</c:v>
                </c:pt>
                <c:pt idx="685">
                  <c:v>0.57431192660550456</c:v>
                </c:pt>
                <c:pt idx="686">
                  <c:v>0.39508196721311473</c:v>
                </c:pt>
                <c:pt idx="687">
                  <c:v>0.49333333333333335</c:v>
                </c:pt>
                <c:pt idx="688">
                  <c:v>0.50336134453781511</c:v>
                </c:pt>
                <c:pt idx="689">
                  <c:v>0.36129032258064514</c:v>
                </c:pt>
                <c:pt idx="690">
                  <c:v>0.59715762273901807</c:v>
                </c:pt>
                <c:pt idx="691">
                  <c:v>0.50196560196560192</c:v>
                </c:pt>
                <c:pt idx="692">
                  <c:v>0.52317073170731709</c:v>
                </c:pt>
                <c:pt idx="693">
                  <c:v>0.46158940397350995</c:v>
                </c:pt>
                <c:pt idx="694">
                  <c:v>0.26151685393258428</c:v>
                </c:pt>
                <c:pt idx="695">
                  <c:v>0.48417910447761192</c:v>
                </c:pt>
                <c:pt idx="696">
                  <c:v>0.50151515151515147</c:v>
                </c:pt>
                <c:pt idx="697">
                  <c:v>0.56137254901960787</c:v>
                </c:pt>
                <c:pt idx="698">
                  <c:v>0.4031645569620253</c:v>
                </c:pt>
                <c:pt idx="699">
                  <c:v>0.42761394101876676</c:v>
                </c:pt>
                <c:pt idx="700">
                  <c:v>0.35744680851063831</c:v>
                </c:pt>
                <c:pt idx="701">
                  <c:v>0.39790209790209791</c:v>
                </c:pt>
                <c:pt idx="702">
                  <c:v>0.4031645569620253</c:v>
                </c:pt>
                <c:pt idx="703">
                  <c:v>0.29855072463768118</c:v>
                </c:pt>
                <c:pt idx="704">
                  <c:v>0.296875</c:v>
                </c:pt>
                <c:pt idx="705">
                  <c:v>0.5926512968299712</c:v>
                </c:pt>
                <c:pt idx="706">
                  <c:v>0.59416666666666662</c:v>
                </c:pt>
                <c:pt idx="707">
                  <c:v>0.58133086876155271</c:v>
                </c:pt>
                <c:pt idx="708">
                  <c:v>0.57431192660550456</c:v>
                </c:pt>
                <c:pt idx="709">
                  <c:v>0.48007246376811596</c:v>
                </c:pt>
                <c:pt idx="710">
                  <c:v>0.57622950819672136</c:v>
                </c:pt>
                <c:pt idx="711">
                  <c:v>0.28492753623188405</c:v>
                </c:pt>
                <c:pt idx="712">
                  <c:v>0.54298642533936647</c:v>
                </c:pt>
                <c:pt idx="713">
                  <c:v>0.52123076923076928</c:v>
                </c:pt>
                <c:pt idx="714">
                  <c:v>0.59416666666666662</c:v>
                </c:pt>
                <c:pt idx="715">
                  <c:v>0.58133086876155271</c:v>
                </c:pt>
                <c:pt idx="716">
                  <c:v>0.28300492610837441</c:v>
                </c:pt>
                <c:pt idx="717">
                  <c:v>0.48417910447761192</c:v>
                </c:pt>
                <c:pt idx="718">
                  <c:v>0.52317073170731709</c:v>
                </c:pt>
                <c:pt idx="719">
                  <c:v>0.48007246376811596</c:v>
                </c:pt>
                <c:pt idx="720">
                  <c:v>0.52669172932330832</c:v>
                </c:pt>
                <c:pt idx="721">
                  <c:v>0.27833753148614609</c:v>
                </c:pt>
                <c:pt idx="722">
                  <c:v>0.37797356828193834</c:v>
                </c:pt>
                <c:pt idx="723">
                  <c:v>0.37797356828193834</c:v>
                </c:pt>
                <c:pt idx="724">
                  <c:v>0.50196560196560192</c:v>
                </c:pt>
                <c:pt idx="725">
                  <c:v>0.42761394101876676</c:v>
                </c:pt>
                <c:pt idx="726">
                  <c:v>0.36129032258064514</c:v>
                </c:pt>
                <c:pt idx="727">
                  <c:v>0.56477272727272732</c:v>
                </c:pt>
                <c:pt idx="728">
                  <c:v>0.52701612903225803</c:v>
                </c:pt>
                <c:pt idx="729">
                  <c:v>0.56957236842105263</c:v>
                </c:pt>
                <c:pt idx="730">
                  <c:v>0.22631578947368422</c:v>
                </c:pt>
                <c:pt idx="731">
                  <c:v>0.52123076923076928</c:v>
                </c:pt>
                <c:pt idx="732">
                  <c:v>0.43694581280788175</c:v>
                </c:pt>
                <c:pt idx="733">
                  <c:v>0.48417910447761192</c:v>
                </c:pt>
                <c:pt idx="734">
                  <c:v>0.39508196721311473</c:v>
                </c:pt>
                <c:pt idx="735">
                  <c:v>0.35555555555555557</c:v>
                </c:pt>
                <c:pt idx="736">
                  <c:v>0.50196560196560192</c:v>
                </c:pt>
                <c:pt idx="737">
                  <c:v>0.56477272727272732</c:v>
                </c:pt>
                <c:pt idx="738">
                  <c:v>0.50793650793650791</c:v>
                </c:pt>
                <c:pt idx="739">
                  <c:v>0.4031645569620253</c:v>
                </c:pt>
                <c:pt idx="740">
                  <c:v>0.29090909090909089</c:v>
                </c:pt>
                <c:pt idx="741">
                  <c:v>0.22631578947368422</c:v>
                </c:pt>
                <c:pt idx="742">
                  <c:v>0.35744680851063831</c:v>
                </c:pt>
                <c:pt idx="743">
                  <c:v>0.54298642533936647</c:v>
                </c:pt>
                <c:pt idx="744">
                  <c:v>0.57171314741035861</c:v>
                </c:pt>
                <c:pt idx="745">
                  <c:v>0.22162162162162163</c:v>
                </c:pt>
                <c:pt idx="746">
                  <c:v>0.52701612903225803</c:v>
                </c:pt>
                <c:pt idx="747">
                  <c:v>0.56477272727272732</c:v>
                </c:pt>
                <c:pt idx="748">
                  <c:v>0.57431192660550456</c:v>
                </c:pt>
                <c:pt idx="749">
                  <c:v>0.48417910447761192</c:v>
                </c:pt>
                <c:pt idx="750">
                  <c:v>0.56957236842105263</c:v>
                </c:pt>
                <c:pt idx="751">
                  <c:v>0.39508196721311473</c:v>
                </c:pt>
                <c:pt idx="752">
                  <c:v>0.29855072463768118</c:v>
                </c:pt>
                <c:pt idx="753">
                  <c:v>0.59869848156182215</c:v>
                </c:pt>
                <c:pt idx="754">
                  <c:v>0.47004405286343615</c:v>
                </c:pt>
                <c:pt idx="755">
                  <c:v>0.46158940397350995</c:v>
                </c:pt>
                <c:pt idx="756">
                  <c:v>0.57622950819672136</c:v>
                </c:pt>
                <c:pt idx="757">
                  <c:v>0.35555555555555557</c:v>
                </c:pt>
                <c:pt idx="758">
                  <c:v>0.52701612903225803</c:v>
                </c:pt>
                <c:pt idx="759">
                  <c:v>0.59715762273901807</c:v>
                </c:pt>
                <c:pt idx="760">
                  <c:v>0.5525773195876289</c:v>
                </c:pt>
                <c:pt idx="761">
                  <c:v>0.265625</c:v>
                </c:pt>
                <c:pt idx="762">
                  <c:v>0.43694581280788175</c:v>
                </c:pt>
                <c:pt idx="763">
                  <c:v>0.46768558951965067</c:v>
                </c:pt>
                <c:pt idx="764">
                  <c:v>0.52317073170731709</c:v>
                </c:pt>
                <c:pt idx="765">
                  <c:v>0.26151685393258428</c:v>
                </c:pt>
                <c:pt idx="766">
                  <c:v>0.29090909090909089</c:v>
                </c:pt>
                <c:pt idx="767">
                  <c:v>0.57171314741035861</c:v>
                </c:pt>
                <c:pt idx="768">
                  <c:v>0.53570127504553733</c:v>
                </c:pt>
                <c:pt idx="769">
                  <c:v>0.57333333333333336</c:v>
                </c:pt>
                <c:pt idx="770">
                  <c:v>0.48417910447761192</c:v>
                </c:pt>
                <c:pt idx="771">
                  <c:v>0.57622950819672136</c:v>
                </c:pt>
                <c:pt idx="772">
                  <c:v>0.51594488188976373</c:v>
                </c:pt>
                <c:pt idx="773">
                  <c:v>0.50196560196560192</c:v>
                </c:pt>
                <c:pt idx="774">
                  <c:v>0.57622950819672136</c:v>
                </c:pt>
                <c:pt idx="775">
                  <c:v>0.52701612903225803</c:v>
                </c:pt>
                <c:pt idx="776">
                  <c:v>0.29090909090909089</c:v>
                </c:pt>
                <c:pt idx="777">
                  <c:v>0.35555555555555557</c:v>
                </c:pt>
                <c:pt idx="778">
                  <c:v>0.29090909090909089</c:v>
                </c:pt>
                <c:pt idx="779">
                  <c:v>0.59416666666666662</c:v>
                </c:pt>
                <c:pt idx="780">
                  <c:v>0.56137254901960787</c:v>
                </c:pt>
                <c:pt idx="781">
                  <c:v>0.57333333333333336</c:v>
                </c:pt>
                <c:pt idx="782">
                  <c:v>0.28492753623188405</c:v>
                </c:pt>
                <c:pt idx="783">
                  <c:v>0.29090909090909089</c:v>
                </c:pt>
                <c:pt idx="784">
                  <c:v>0.28300492610837441</c:v>
                </c:pt>
                <c:pt idx="785">
                  <c:v>0.46768558951965067</c:v>
                </c:pt>
                <c:pt idx="786">
                  <c:v>0.42761394101876676</c:v>
                </c:pt>
                <c:pt idx="787">
                  <c:v>0.35744680851063831</c:v>
                </c:pt>
                <c:pt idx="788">
                  <c:v>0.56477272727272732</c:v>
                </c:pt>
                <c:pt idx="789">
                  <c:v>0.37797356828193834</c:v>
                </c:pt>
                <c:pt idx="790">
                  <c:v>0.22162162162162163</c:v>
                </c:pt>
                <c:pt idx="791">
                  <c:v>0.5525773195876289</c:v>
                </c:pt>
                <c:pt idx="792">
                  <c:v>0.2593939393939394</c:v>
                </c:pt>
                <c:pt idx="793">
                  <c:v>0.54298642533936647</c:v>
                </c:pt>
                <c:pt idx="794">
                  <c:v>0.50793650793650791</c:v>
                </c:pt>
                <c:pt idx="795">
                  <c:v>0.57333333333333336</c:v>
                </c:pt>
                <c:pt idx="796">
                  <c:v>0.48007246376811596</c:v>
                </c:pt>
                <c:pt idx="797">
                  <c:v>0.43278688524590164</c:v>
                </c:pt>
                <c:pt idx="798">
                  <c:v>0.46768558951965067</c:v>
                </c:pt>
                <c:pt idx="799">
                  <c:v>0.48007246376811596</c:v>
                </c:pt>
                <c:pt idx="800">
                  <c:v>0.56477272727272732</c:v>
                </c:pt>
                <c:pt idx="801">
                  <c:v>0.59869848156182215</c:v>
                </c:pt>
                <c:pt idx="802">
                  <c:v>0.54298642533936647</c:v>
                </c:pt>
                <c:pt idx="803">
                  <c:v>0.54298642533936647</c:v>
                </c:pt>
                <c:pt idx="804">
                  <c:v>0.56957236842105263</c:v>
                </c:pt>
                <c:pt idx="805">
                  <c:v>0.59869848156182215</c:v>
                </c:pt>
                <c:pt idx="806">
                  <c:v>0.51594488188976373</c:v>
                </c:pt>
                <c:pt idx="807">
                  <c:v>0.52669172932330832</c:v>
                </c:pt>
                <c:pt idx="808">
                  <c:v>0.50336134453781511</c:v>
                </c:pt>
                <c:pt idx="809">
                  <c:v>0.43278688524590164</c:v>
                </c:pt>
                <c:pt idx="810">
                  <c:v>0.42761394101876676</c:v>
                </c:pt>
                <c:pt idx="811">
                  <c:v>0.50793650793650791</c:v>
                </c:pt>
                <c:pt idx="812">
                  <c:v>0.51594488188976373</c:v>
                </c:pt>
                <c:pt idx="813">
                  <c:v>0.26151685393258428</c:v>
                </c:pt>
                <c:pt idx="814">
                  <c:v>0.5525773195876289</c:v>
                </c:pt>
                <c:pt idx="815">
                  <c:v>0.4891089108910891</c:v>
                </c:pt>
                <c:pt idx="816">
                  <c:v>0.59869848156182215</c:v>
                </c:pt>
                <c:pt idx="817">
                  <c:v>0.50336134453781511</c:v>
                </c:pt>
                <c:pt idx="818">
                  <c:v>0.296875</c:v>
                </c:pt>
                <c:pt idx="819">
                  <c:v>0.3069060773480663</c:v>
                </c:pt>
                <c:pt idx="820">
                  <c:v>0.47004405286343615</c:v>
                </c:pt>
                <c:pt idx="821">
                  <c:v>0.39790209790209791</c:v>
                </c:pt>
                <c:pt idx="822">
                  <c:v>0.53361344537815125</c:v>
                </c:pt>
                <c:pt idx="823">
                  <c:v>0.53361344537815125</c:v>
                </c:pt>
                <c:pt idx="824">
                  <c:v>0.5926512968299712</c:v>
                </c:pt>
                <c:pt idx="825">
                  <c:v>0.50196560196560192</c:v>
                </c:pt>
                <c:pt idx="826">
                  <c:v>0.52669172932330832</c:v>
                </c:pt>
                <c:pt idx="827">
                  <c:v>0.57622950819672136</c:v>
                </c:pt>
                <c:pt idx="828">
                  <c:v>0.4891089108910891</c:v>
                </c:pt>
                <c:pt idx="829">
                  <c:v>0.22631578947368422</c:v>
                </c:pt>
                <c:pt idx="830">
                  <c:v>0.52701612903225803</c:v>
                </c:pt>
                <c:pt idx="831">
                  <c:v>0.52317073170731709</c:v>
                </c:pt>
                <c:pt idx="832">
                  <c:v>0.48417910447761192</c:v>
                </c:pt>
                <c:pt idx="833">
                  <c:v>0.52701612903225803</c:v>
                </c:pt>
                <c:pt idx="834">
                  <c:v>0.57431192660550456</c:v>
                </c:pt>
                <c:pt idx="835">
                  <c:v>0.56137254901960787</c:v>
                </c:pt>
                <c:pt idx="836">
                  <c:v>0.43694581280788175</c:v>
                </c:pt>
                <c:pt idx="837">
                  <c:v>0.27833753148614609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E4-4B29-948A-16A5F5DC2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067903"/>
        <c:axId val="2082263599"/>
      </c:scatterChart>
      <c:valAx>
        <c:axId val="199206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263599"/>
        <c:crosses val="autoZero"/>
        <c:crossBetween val="midCat"/>
      </c:valAx>
      <c:valAx>
        <c:axId val="20822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06790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0C-4FB1-B2D5-38C3A743D7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0C-4FB1-B2D5-38C3A743D7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0C-4FB1-B2D5-38C3A743D7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0C-4FB1-B2D5-38C3A743D717}"/>
              </c:ext>
            </c:extLst>
          </c:dPt>
          <c:cat>
            <c:strLit>
              <c:ptCount val="4"/>
              <c:pt idx="0">
                <c:v>Corporate</c:v>
              </c:pt>
              <c:pt idx="1">
                <c:v>Retail</c:v>
              </c:pt>
              <c:pt idx="2">
                <c:v>SMB</c:v>
              </c:pt>
              <c:pt idx="3">
                <c:v>#N/A</c:v>
              </c:pt>
            </c:strLit>
          </c:cat>
          <c:val>
            <c:numLit>
              <c:formatCode>General</c:formatCode>
              <c:ptCount val="4"/>
              <c:pt idx="0">
                <c:v>4723576.5900000045</c:v>
              </c:pt>
              <c:pt idx="1">
                <c:v>14213166.239999985</c:v>
              </c:pt>
              <c:pt idx="2">
                <c:v>7217725.4199999981</c:v>
              </c:pt>
              <c:pt idx="3">
                <c:v>418479.95</c:v>
              </c:pt>
            </c:numLit>
          </c:val>
          <c:extLst>
            <c:ext xmlns:c16="http://schemas.microsoft.com/office/drawing/2014/chart" uri="{C3380CC4-5D6E-409C-BE32-E72D297353CC}">
              <c16:uniqueId val="{00000008-0E0C-4FB1-B2D5-38C3A743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2835558.1999999993</c:v>
              </c:pt>
              <c:pt idx="1">
                <c:v>2401528.5000000014</c:v>
              </c:pt>
              <c:pt idx="2">
                <c:v>2901980.6100000013</c:v>
              </c:pt>
              <c:pt idx="3">
                <c:v>2925333.1199999996</c:v>
              </c:pt>
              <c:pt idx="4">
                <c:v>15508547.770000003</c:v>
              </c:pt>
            </c:numLit>
          </c:val>
          <c:extLst>
            <c:ext xmlns:c16="http://schemas.microsoft.com/office/drawing/2014/chart" uri="{C3380CC4-5D6E-409C-BE32-E72D297353CC}">
              <c16:uniqueId val="{00000000-F6E1-4D59-B37F-794C836E3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shape val="box"/>
        <c:axId val="2073415855"/>
        <c:axId val="2022282927"/>
        <c:axId val="0"/>
      </c:bar3DChart>
      <c:catAx>
        <c:axId val="207341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282927"/>
        <c:crosses val="autoZero"/>
        <c:auto val="1"/>
        <c:lblAlgn val="ctr"/>
        <c:lblOffset val="100"/>
        <c:noMultiLvlLbl val="0"/>
      </c:catAx>
      <c:valAx>
        <c:axId val="20222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1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final_amount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6"/>
              <c:pt idx="0">
                <c:v>Apparel</c:v>
              </c:pt>
              <c:pt idx="1">
                <c:v>Beauty</c:v>
              </c:pt>
              <c:pt idx="2">
                <c:v>Electronics</c:v>
              </c:pt>
              <c:pt idx="3">
                <c:v>Grocery</c:v>
              </c:pt>
              <c:pt idx="4">
                <c:v>Home</c:v>
              </c:pt>
              <c:pt idx="5">
                <c:v>Sports</c:v>
              </c:pt>
            </c:strLit>
          </c:cat>
          <c:val>
            <c:numLit>
              <c:formatCode>General</c:formatCode>
              <c:ptCount val="6"/>
              <c:pt idx="0">
                <c:v>3671151.5400000019</c:v>
              </c:pt>
              <c:pt idx="1">
                <c:v>5606379.0499999989</c:v>
              </c:pt>
              <c:pt idx="2">
                <c:v>4972753.1100000022</c:v>
              </c:pt>
              <c:pt idx="3">
                <c:v>4325720.3799999962</c:v>
              </c:pt>
              <c:pt idx="4">
                <c:v>4086952.1899999995</c:v>
              </c:pt>
              <c:pt idx="5">
                <c:v>3909991.930000002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7E7-42AF-B999-C32A39DDA606}"/>
            </c:ext>
          </c:extLst>
        </c:ser>
        <c:ser>
          <c:idx val="1"/>
          <c:order val="1"/>
          <c:tx>
            <c:v>Sum of profit_margin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6"/>
              <c:pt idx="0">
                <c:v>Apparel</c:v>
              </c:pt>
              <c:pt idx="1">
                <c:v>Beauty</c:v>
              </c:pt>
              <c:pt idx="2">
                <c:v>Electronics</c:v>
              </c:pt>
              <c:pt idx="3">
                <c:v>Grocery</c:v>
              </c:pt>
              <c:pt idx="4">
                <c:v>Home</c:v>
              </c:pt>
              <c:pt idx="5">
                <c:v>Sports</c:v>
              </c:pt>
            </c:strLit>
          </c:cat>
          <c:val>
            <c:numLit>
              <c:formatCode>General</c:formatCode>
              <c:ptCount val="6"/>
              <c:pt idx="0">
                <c:v>50.707862881177157</c:v>
              </c:pt>
              <c:pt idx="1">
                <c:v>61.199424539389923</c:v>
              </c:pt>
              <c:pt idx="2">
                <c:v>81.500275091790968</c:v>
              </c:pt>
              <c:pt idx="3">
                <c:v>70.56877897139735</c:v>
              </c:pt>
              <c:pt idx="4">
                <c:v>67.706721578676721</c:v>
              </c:pt>
              <c:pt idx="5">
                <c:v>50.443967459607279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7E7-42AF-B999-C32A39DDA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329151"/>
        <c:axId val="2022306447"/>
      </c:lineChart>
      <c:catAx>
        <c:axId val="20733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06447"/>
        <c:crosses val="autoZero"/>
        <c:auto val="1"/>
        <c:lblAlgn val="ctr"/>
        <c:lblOffset val="100"/>
        <c:noMultiLvlLbl val="0"/>
      </c:catAx>
      <c:valAx>
        <c:axId val="20223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3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1941147.4400000004</c:v>
              </c:pt>
              <c:pt idx="1">
                <c:v>2307493.6700000004</c:v>
              </c:pt>
              <c:pt idx="2">
                <c:v>2480322.6199999996</c:v>
              </c:pt>
              <c:pt idx="3">
                <c:v>2282454.1300000004</c:v>
              </c:pt>
              <c:pt idx="4">
                <c:v>2580391.0199999996</c:v>
              </c:pt>
              <c:pt idx="5">
                <c:v>1965939.0699999998</c:v>
              </c:pt>
              <c:pt idx="6">
                <c:v>1965013.6899999988</c:v>
              </c:pt>
              <c:pt idx="7">
                <c:v>2527927.9600000018</c:v>
              </c:pt>
              <c:pt idx="8">
                <c:v>2062815.6199999994</c:v>
              </c:pt>
              <c:pt idx="9">
                <c:v>1977882.43</c:v>
              </c:pt>
              <c:pt idx="10">
                <c:v>2297637.08</c:v>
              </c:pt>
              <c:pt idx="11">
                <c:v>2183923.4700000007</c:v>
              </c:pt>
            </c:numLit>
          </c:val>
          <c:extLst>
            <c:ext xmlns:c16="http://schemas.microsoft.com/office/drawing/2014/chart" uri="{C3380CC4-5D6E-409C-BE32-E72D297353CC}">
              <c16:uniqueId val="{00000000-AB57-42E7-B919-1841F48BA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394175"/>
        <c:axId val="2022286287"/>
      </c:barChart>
      <c:catAx>
        <c:axId val="207239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286287"/>
        <c:crosses val="autoZero"/>
        <c:auto val="1"/>
        <c:lblAlgn val="ctr"/>
        <c:lblOffset val="100"/>
        <c:noMultiLvlLbl val="0"/>
      </c:catAx>
      <c:valAx>
        <c:axId val="202228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9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0C5-41BD-8B3B-9DCC67E0FAFC}">
          <cx:tx>
            <cx:txData>
              <cx:f>_xlchart.v1.0</cx:f>
              <cx:v>age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</xdr:row>
      <xdr:rowOff>15240</xdr:rowOff>
    </xdr:from>
    <xdr:to>
      <xdr:col>6</xdr:col>
      <xdr:colOff>83820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27EBF-F5BE-4B1A-99D6-D862B611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480060</xdr:colOff>
      <xdr:row>2</xdr:row>
      <xdr:rowOff>30480</xdr:rowOff>
    </xdr:from>
    <xdr:to>
      <xdr:col>21</xdr:col>
      <xdr:colOff>205740</xdr:colOff>
      <xdr:row>15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0D1E02-C773-44D1-B2C1-AE5DEE59F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15</xdr:row>
      <xdr:rowOff>114300</xdr:rowOff>
    </xdr:from>
    <xdr:to>
      <xdr:col>6</xdr:col>
      <xdr:colOff>83820</xdr:colOff>
      <xdr:row>29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722E85-A432-4F6E-865E-47CECAB15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68580</xdr:colOff>
      <xdr:row>15</xdr:row>
      <xdr:rowOff>99060</xdr:rowOff>
    </xdr:from>
    <xdr:to>
      <xdr:col>13</xdr:col>
      <xdr:colOff>495300</xdr:colOff>
      <xdr:row>29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127A5A-B252-4BEC-ADC5-948D850D3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518160</xdr:colOff>
      <xdr:row>15</xdr:row>
      <xdr:rowOff>83820</xdr:rowOff>
    </xdr:from>
    <xdr:to>
      <xdr:col>21</xdr:col>
      <xdr:colOff>213360</xdr:colOff>
      <xdr:row>30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CE0CD3-5E73-408B-AE02-795ECEF99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99060</xdr:colOff>
      <xdr:row>2</xdr:row>
      <xdr:rowOff>30480</xdr:rowOff>
    </xdr:from>
    <xdr:to>
      <xdr:col>13</xdr:col>
      <xdr:colOff>487680</xdr:colOff>
      <xdr:row>15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CC3A036-AA1C-4C9B-9027-2BE93C78E5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55820" y="396240"/>
              <a:ext cx="4655820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 Gaikwad" refreshedDate="46254.823555092589" createdVersion="8" refreshedVersion="8" minRefreshableVersion="3" recordCount="2000" xr:uid="{980291E5-F640-4C86-B2AF-BBADEE36EB28}">
  <cacheSource type="worksheet">
    <worksheetSource ref="A1:S2001" sheet="Orders"/>
  </cacheSource>
  <cacheFields count="21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par="20"/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 count="300">
        <n v="15.4"/>
        <n v="10.8"/>
        <n v="3.3"/>
        <n v="15.7"/>
        <n v="26"/>
        <n v="29"/>
        <n v="5.8"/>
        <n v="2.4"/>
        <n v="14.2"/>
        <n v="1.2"/>
        <n v="7.1"/>
        <n v="21.7"/>
        <n v="4.3"/>
        <n v="14.1"/>
        <n v="20.7"/>
        <n v="10.199999999999999"/>
        <n v="2.6"/>
        <n v="18.5"/>
        <n v="7.3"/>
        <n v="2.2000000000000002"/>
        <n v="28.7"/>
        <n v="24.6"/>
        <n v="26.2"/>
        <n v="9.4"/>
        <n v="6.1"/>
        <n v="16.5"/>
        <n v="23.6"/>
        <n v="16.7"/>
        <n v="25.8"/>
        <n v="29.8"/>
        <n v="5.9"/>
        <n v="18.3"/>
        <n v="10.7"/>
        <n v="26.4"/>
        <n v="5.0999999999999996"/>
        <n v="21.1"/>
        <n v="2.7"/>
        <n v="11.6"/>
        <n v="12.8"/>
        <n v="12.7"/>
        <n v="17.3"/>
        <n v="8.6999999999999993"/>
        <n v="24.4"/>
        <n v="0.6"/>
        <n v="11.5"/>
        <n v="0.3"/>
        <n v="23.9"/>
        <n v="25.5"/>
        <n v="9.9"/>
        <n v="28.8"/>
        <n v="23"/>
        <n v="6.7"/>
        <n v="11.7"/>
        <n v="26.9"/>
        <n v="28.4"/>
        <n v="25.4"/>
        <n v="5.3"/>
        <n v="25.3"/>
        <n v="18.7"/>
        <n v="24"/>
        <n v="4.8"/>
        <n v="19.100000000000001"/>
        <n v="1"/>
        <n v="15.8"/>
        <n v="12.2"/>
        <n v="28.9"/>
        <n v="19.899999999999999"/>
        <n v="25.2"/>
        <n v="8.4"/>
        <n v="1.9"/>
        <n v="18"/>
        <n v="1.1000000000000001"/>
        <n v="21"/>
        <n v="22.2"/>
        <n v="23.3"/>
        <n v="5.4"/>
        <n v="6.5"/>
        <n v="4.5"/>
        <n v="2"/>
        <n v="12.4"/>
        <n v="19.2"/>
        <n v="1.6"/>
        <n v="22.7"/>
        <n v="13.9"/>
        <n v="18.399999999999999"/>
        <n v="9.8000000000000007"/>
        <n v="11.1"/>
        <n v="21.2"/>
        <n v="19.5"/>
        <n v="1.3"/>
        <n v="20.2"/>
        <n v="29.7"/>
        <n v="13.5"/>
        <n v="18.2"/>
        <n v="26.1"/>
        <n v="20.8"/>
        <n v="7.9"/>
        <n v="16.899999999999999"/>
        <n v="2.2999999999999998"/>
        <n v="29.3"/>
        <n v="27.9"/>
        <n v="4.9000000000000004"/>
        <n v="25.1"/>
        <n v="13.8"/>
        <n v="21.6"/>
        <n v="13.2"/>
        <n v="13.4"/>
        <n v="15.2"/>
        <n v="4.2"/>
        <n v="22.6"/>
        <n v="21.8"/>
        <n v="16.100000000000001"/>
        <n v="14.8"/>
        <n v="19.8"/>
        <n v="12.9"/>
        <n v="6.8"/>
        <n v="20.9"/>
        <n v="9.1"/>
        <n v="27.5"/>
        <n v="12.5"/>
        <n v="5.5"/>
        <n v="18.8"/>
        <n v="0.9"/>
        <n v="29.6"/>
        <n v="3.5"/>
        <n v="18.899999999999999"/>
        <n v="20.3"/>
        <n v="17.600000000000001"/>
        <n v="18.100000000000001"/>
        <n v="23.7"/>
        <n v="13.7"/>
        <n v="17.899999999999999"/>
        <n v="28.6"/>
        <n v="6.9"/>
        <n v="0.7"/>
        <n v="16.8"/>
        <n v="6.6"/>
        <n v="14.4"/>
        <n v="20.100000000000001"/>
        <n v="11.3"/>
        <n v="23.4"/>
        <n v="28.3"/>
        <n v="15.6"/>
        <n v="16.3"/>
        <n v="8.5"/>
        <n v="21.5"/>
        <n v="15.3"/>
        <n v="10.1"/>
        <n v="2.5"/>
        <n v="20.6"/>
        <n v="17.100000000000001"/>
        <n v="23.5"/>
        <n v="11.9"/>
        <n v="19.600000000000001"/>
        <n v="28.2"/>
        <n v="13.1"/>
        <n v="1.5"/>
        <n v="18.600000000000001"/>
        <n v="3.7"/>
        <n v="9.1999999999999993"/>
        <n v="0.4"/>
        <n v="24.5"/>
        <n v="29.9"/>
        <n v="25.9"/>
        <n v="3.9"/>
        <n v="23.8"/>
        <n v="17.399999999999999"/>
        <n v="17.5"/>
        <n v="11.2"/>
        <n v="29.5"/>
        <n v="14"/>
        <n v="19"/>
        <n v="4.4000000000000004"/>
        <n v="29.2"/>
        <n v="5.6"/>
        <n v="24.7"/>
        <n v="15.1"/>
        <n v="0.1"/>
        <n v="28"/>
        <n v="7.7"/>
        <n v="9.5"/>
        <n v="3"/>
        <n v="4"/>
        <n v="16.2"/>
        <n v="10.5"/>
        <n v="3.2"/>
        <n v="3.6"/>
        <n v="30"/>
        <n v="13"/>
        <n v="11.4"/>
        <n v="10"/>
        <n v="8.3000000000000007"/>
        <n v="29.4"/>
        <n v="8.9"/>
        <n v="24.3"/>
        <n v="4.0999999999999996"/>
        <n v="29.1"/>
        <n v="2.1"/>
        <n v="6.2"/>
        <n v="25"/>
        <n v="1.8"/>
        <n v="20.399999999999999"/>
        <n v="19.399999999999999"/>
        <n v="9.3000000000000007"/>
        <n v="23.2"/>
        <n v="7.2"/>
        <n v="21.3"/>
        <n v="17.7"/>
        <n v="12.6"/>
        <n v="2.9"/>
        <n v="17"/>
        <n v="4.5999999999999996"/>
        <n v="9.6"/>
        <n v="27.8"/>
        <n v="19.7"/>
        <n v="26.7"/>
        <n v="9.6999999999999993"/>
        <n v="0.5"/>
        <n v="22"/>
        <n v="26.5"/>
        <n v="7.6"/>
        <n v="28.5"/>
        <n v="10.3"/>
        <n v="19.3"/>
        <n v="15"/>
        <n v="21.4"/>
        <n v="28.1"/>
        <n v="5"/>
        <n v="11.8"/>
        <n v="14.6"/>
        <n v="27.4"/>
        <n v="24.2"/>
        <n v="22.8"/>
        <n v="5.2"/>
        <n v="26.3"/>
        <n v="25.7"/>
        <n v="12"/>
        <n v="15.9"/>
        <n v="3.4"/>
        <n v="27.7"/>
        <n v="24.9"/>
        <n v="7.4"/>
        <n v="6"/>
        <n v="21.9"/>
        <n v="24.1"/>
        <n v="27.1"/>
        <n v="22.9"/>
        <n v="25.6"/>
        <n v="8.6"/>
        <n v="10.6"/>
        <n v="4.7"/>
        <n v="8"/>
        <n v="15.5"/>
        <n v="26.8"/>
        <n v="16.600000000000001"/>
        <n v="22.3"/>
        <n v="0.8"/>
        <n v="10.4"/>
        <n v="14.5"/>
        <n v="22.5"/>
        <n v="1.7"/>
        <n v="1.4"/>
        <n v="8.1999999999999993"/>
        <n v="17.8"/>
        <n v="13.6"/>
        <n v="12.1"/>
        <n v="2.8"/>
        <n v="7.5"/>
        <n v="22.4"/>
        <n v="9"/>
        <n v="20.5"/>
        <n v="0.2"/>
        <n v="27.2"/>
        <n v="7"/>
        <n v="14.9"/>
        <n v="13.3"/>
        <n v="27"/>
        <n v="24.8"/>
        <n v="20"/>
        <n v="14.7"/>
        <n v="6.3"/>
        <n v="12.3"/>
        <n v="8.1"/>
        <n v="16.399999999999999"/>
        <n v="14.3"/>
        <n v="23.1"/>
        <n v="8.8000000000000007"/>
        <n v="26.6"/>
        <n v="3.1"/>
        <n v="27.3"/>
        <n v="3.8"/>
        <n v="17.2"/>
        <n v="10.9"/>
        <n v="11"/>
        <n v="7.8"/>
        <n v="6.4"/>
        <n v="16"/>
        <n v="5.7"/>
        <n v="27.6"/>
        <n v="22.1"/>
      </sharedItems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 count="4">
        <s v="Completed"/>
        <s v="Pending"/>
        <s v="Cancelled"/>
        <s v="Refunded"/>
      </sharedItems>
    </cacheField>
    <cacheField name="ship_city" numFmtId="0">
      <sharedItems/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 " numFmtId="0">
      <sharedItems containsNonDate="0" containsString="0" containsBlank="1"/>
    </cacheField>
    <cacheField name="segment" numFmtId="0">
      <sharedItems count="4">
        <s v="SMB"/>
        <s v="Retail"/>
        <s v="Corporate"/>
        <e v="#N/A"/>
      </sharedItems>
    </cacheField>
    <cacheField name="age" numFmtId="0">
      <sharedItems containsMixedTypes="1" containsNumber="1" containsInteger="1" minValue="22" maxValue="65"/>
    </cacheField>
    <cacheField name="Sales Region" numFmtId="0">
      <sharedItems containsBlank="1" count="5">
        <m/>
        <s v="North"/>
        <s v="West"/>
        <s v="East"/>
        <s v="South"/>
      </sharedItems>
    </cacheField>
    <cacheField name="Order Month" numFmtId="0">
      <sharedItems containsBlank="1"/>
    </cacheField>
    <cacheField name="unit_cost" numFmtId="0">
      <sharedItems containsString="0" containsBlank="1" containsNumber="1" containsInteger="1" minValue="128" maxValue="2911"/>
    </cacheField>
    <cacheField name="profit_margin" numFmtId="0">
      <sharedItems containsString="0" containsBlank="1" containsNumber="1" minValue="0.22162162162162163" maxValue="0.59869848156182215"/>
    </cacheField>
    <cacheField name="Days (order_date)" numFmtId="0" databaseField="0">
      <fieldGroup base="1">
        <rangePr groupBy="days" startDate="2024-01-01T00:00:00" endDate="2024-12-3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4"/>
        </groupItems>
      </fieldGroup>
    </cacheField>
    <cacheField name="Months (order_date)" numFmtId="0" databaseField="0">
      <fieldGroup base="1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hruti Gaikwad" refreshedDate="46255.282374652779" refreshedVersion="8" recordCount="1997" xr:uid="{00000000-000A-0000-FFFF-FFFF04000000}">
  <cacheSource type="worksheet">
    <worksheetSource ref="A1:Q1998" sheet="Orders"/>
  </cacheSource>
  <cacheFields count="17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base="1">
        <rangePr autoStart="0" autoEnd="0" groupBy="quarters" startDate="2024-01-01T00:00:00" endDate="2024-12-31T00:00:00"/>
        <groupItems count="6">
          <s v="&lt;01-01-2024"/>
          <s v="Qtr1"/>
          <s v="Qtr2"/>
          <s v="Qtr3"/>
          <s v="Qtr4"/>
          <s v="&gt;31-12-2024"/>
        </groupItems>
      </fieldGroup>
    </cacheField>
    <cacheField name="customer_id" numFmtId="0">
      <sharedItems/>
    </cacheField>
    <cacheField name="product_id" numFmtId="0">
      <sharedItems/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category" numFmtId="0">
      <sharedItems/>
    </cacheField>
    <cacheField name=" " numFmtId="0">
      <sharedItems containsNonDate="0" containsString="0" containsBlank="1"/>
    </cacheField>
    <cacheField name="segment" numFmtId="0">
      <sharedItems/>
    </cacheField>
    <cacheField name="age" numFmtId="0">
      <sharedItems containsMixedTypes="1" containsNumber="1" containsInteger="1" minValue="22" maxValue="65"/>
    </cacheField>
    <cacheField name="Sales Region" numFmtId="0">
      <sharedItems containsBlank="1"/>
    </cacheField>
    <cacheField name="Order 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hruti Gaikwad" refreshedDate="46255.282375462964" refreshedVersion="8" recordCount="2000" xr:uid="{00000000-000A-0000-FFFF-FFFF03000000}">
  <cacheSource type="worksheet">
    <worksheetSource ref="A1:Q2001" sheet="Orders"/>
  </cacheSource>
  <cacheFields count="17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 " numFmtId="0">
      <sharedItems containsNonDate="0" containsString="0" containsBlank="1"/>
    </cacheField>
    <cacheField name="segment" numFmtId="0">
      <sharedItems/>
    </cacheField>
    <cacheField name="age" numFmtId="0">
      <sharedItems containsMixedTypes="1" containsNumber="1" containsInteger="1" minValue="22" maxValue="65"/>
    </cacheField>
    <cacheField name="Sales Region" numFmtId="0">
      <sharedItems containsBlank="1" count="5">
        <m/>
        <s v="North"/>
        <s v="West"/>
        <s v="East"/>
        <s v="South"/>
      </sharedItems>
    </cacheField>
    <cacheField name="Order Month" numFmtId="0">
      <sharedItems containsBlank="1" count="13">
        <m/>
        <s v="Sep-24"/>
        <s v="May-24"/>
        <s v="Nov-24"/>
        <s v="Apr-24"/>
        <s v="Feb-24"/>
        <s v="Aug-24"/>
        <s v="Jun-24"/>
        <s v="Dec-24"/>
        <s v="Oct-24"/>
        <s v="Mar-24"/>
        <s v="Jul-24"/>
        <s v="Jan-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hruti Gaikwad" refreshedDate="46255.282375925926" refreshedVersion="8" recordCount="2000" xr:uid="{00000000-000A-0000-FFFF-FFFF02000000}">
  <cacheSource type="worksheet">
    <worksheetSource ref="A1:P2001" sheet="Orders"/>
  </cacheSource>
  <cacheFields count="16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/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 " numFmtId="0">
      <sharedItems containsNonDate="0" containsString="0" containsBlank="1"/>
    </cacheField>
    <cacheField name="segment" numFmtId="0">
      <sharedItems/>
    </cacheField>
    <cacheField name="age" numFmtId="0">
      <sharedItems containsMixedTypes="1" containsNumber="1" containsInteger="1" minValue="22" maxValue="65"/>
    </cacheField>
    <cacheField name="Sales Region" numFmtId="0">
      <sharedItems containsBlank="1" count="5">
        <m/>
        <s v="North"/>
        <s v="West"/>
        <s v="East"/>
        <s v="Sou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hruti Gaikwad" refreshedDate="46255.282376157411" refreshedVersion="8" recordCount="2000" xr:uid="{00000000-000A-0000-FFFF-FFFF01000000}">
  <cacheSource type="worksheet">
    <worksheetSource ref="A1:K2001" sheet="Orders"/>
  </cacheSource>
  <cacheFields count="11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hruti Gaikwad" refreshedDate="46255.282376620373" createdVersion="8" refreshedVersion="8" minRefreshableVersion="3" recordCount="1997" xr:uid="{6F89AEDC-2FAC-4EFD-8404-595091D06F57}">
  <cacheSource type="worksheet">
    <worksheetSource ref="A1:S1998" sheet="Orders"/>
  </cacheSource>
  <cacheFields count="19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base="1">
        <rangePr autoStart="0" autoEnd="0" groupBy="quarters" startDate="2024-01-01T00:00:00" endDate="2024-12-31T00:00:00"/>
        <groupItems count="6">
          <s v="&lt;01-01-2024"/>
          <s v="Qtr1"/>
          <s v="Qtr2"/>
          <s v="Qtr3"/>
          <s v="Qtr4"/>
          <s v="&gt;31-12-2024"/>
        </groupItems>
      </fieldGroup>
    </cacheField>
    <cacheField name="customer_id" numFmtId="0">
      <sharedItems/>
    </cacheField>
    <cacheField name="product_id" numFmtId="0">
      <sharedItems/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category" numFmtId="0">
      <sharedItems/>
    </cacheField>
    <cacheField name=" " numFmtId="0">
      <sharedItems containsNonDate="0" containsString="0" containsBlank="1"/>
    </cacheField>
    <cacheField name="segment" numFmtId="0">
      <sharedItems/>
    </cacheField>
    <cacheField name="age" numFmtId="0">
      <sharedItems containsMixedTypes="1" containsNumber="1" containsInteger="1" minValue="22" maxValue="65"/>
    </cacheField>
    <cacheField name="Sales Region" numFmtId="0">
      <sharedItems containsBlank="1"/>
    </cacheField>
    <cacheField name="Order Month" numFmtId="0">
      <sharedItems containsBlank="1"/>
    </cacheField>
    <cacheField name="unit_cost" numFmtId="0">
      <sharedItems containsString="0" containsBlank="1" containsNumber="1" containsInteger="1" minValue="128" maxValue="2911"/>
    </cacheField>
    <cacheField name="profit_margin" numFmtId="0">
      <sharedItems containsString="0" containsBlank="1" containsNumber="1" minValue="0.22162162162162163" maxValue="0.598698481561822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x v="0"/>
    <s v="CUST-0243"/>
    <s v="PROD-014"/>
    <x v="0"/>
    <n v="8"/>
    <n v="3620"/>
    <x v="0"/>
    <n v="24500.16"/>
    <x v="0"/>
    <s v="Pune"/>
    <x v="0"/>
    <m/>
    <x v="0"/>
    <n v="44"/>
    <x v="0"/>
    <m/>
    <m/>
    <m/>
  </r>
  <r>
    <s v="ORD-00002"/>
    <x v="1"/>
    <s v="CUST-0202"/>
    <s v="PROD-020"/>
    <x v="1"/>
    <n v="2"/>
    <n v="820"/>
    <x v="1"/>
    <n v="1462.88"/>
    <x v="1"/>
    <s v="Chennai"/>
    <x v="0"/>
    <m/>
    <x v="1"/>
    <n v="39"/>
    <x v="1"/>
    <s v="Sep-24"/>
    <n v="391"/>
    <n v="0.52317073170731709"/>
  </r>
  <r>
    <s v="ORD-00003"/>
    <x v="2"/>
    <s v="CUST-0098"/>
    <s v="PROD-053"/>
    <x v="2"/>
    <n v="8"/>
    <n v="470"/>
    <x v="2"/>
    <n v="3635.92"/>
    <x v="1"/>
    <s v="Delhi"/>
    <x v="1"/>
    <m/>
    <x v="1"/>
    <n v="52"/>
    <x v="0"/>
    <m/>
    <m/>
    <m/>
  </r>
  <r>
    <s v="ORD-00004"/>
    <x v="3"/>
    <s v="CUST-0071"/>
    <s v="PROD-028"/>
    <x v="3"/>
    <n v="1"/>
    <n v="3660"/>
    <x v="3"/>
    <n v="3085.38"/>
    <x v="0"/>
    <s v="Delhi"/>
    <x v="2"/>
    <m/>
    <x v="2"/>
    <n v="46"/>
    <x v="0"/>
    <m/>
    <m/>
    <m/>
  </r>
  <r>
    <s v="ORD-00005"/>
    <x v="4"/>
    <s v="CUST-0180"/>
    <s v="PROD-012"/>
    <x v="4"/>
    <n v="1"/>
    <n v="3160"/>
    <x v="4"/>
    <n v="2338.4"/>
    <x v="0"/>
    <s v="Chennai"/>
    <x v="0"/>
    <m/>
    <x v="1"/>
    <n v="36"/>
    <x v="1"/>
    <s v="May-24"/>
    <n v="1886"/>
    <n v="0.4031645569620253"/>
  </r>
  <r>
    <s v="ORD-00006"/>
    <x v="5"/>
    <s v="CUST-0275"/>
    <s v="PROD-032"/>
    <x v="5"/>
    <n v="4"/>
    <n v="370"/>
    <x v="5"/>
    <n v="1050.8"/>
    <x v="0"/>
    <s v="Mumbai"/>
    <x v="3"/>
    <m/>
    <x v="1"/>
    <n v="36"/>
    <x v="1"/>
    <s v="Nov-24"/>
    <n v="288"/>
    <n v="0.22162162162162163"/>
  </r>
  <r>
    <s v="ORD-00007"/>
    <x v="6"/>
    <s v="CUST-0293"/>
    <s v="PROD-057"/>
    <x v="6"/>
    <n v="3"/>
    <n v="960"/>
    <x v="6"/>
    <n v="2712.96"/>
    <x v="0"/>
    <s v="Bengaluru"/>
    <x v="1"/>
    <m/>
    <x v="1"/>
    <n v="27"/>
    <x v="2"/>
    <s v="Apr-24"/>
    <n v="705"/>
    <n v="0.265625"/>
  </r>
  <r>
    <s v="ORD-00008"/>
    <x v="7"/>
    <s v="CUST-0281"/>
    <s v="PROD-007"/>
    <x v="7"/>
    <n v="8"/>
    <n v="1430"/>
    <x v="7"/>
    <n v="11165.44"/>
    <x v="0"/>
    <s v="Bengaluru"/>
    <x v="4"/>
    <m/>
    <x v="2"/>
    <n v="57"/>
    <x v="0"/>
    <m/>
    <m/>
    <m/>
  </r>
  <r>
    <s v="ORD-00009"/>
    <x v="0"/>
    <s v="CUST-0260"/>
    <s v="PROD-038"/>
    <x v="4"/>
    <n v="3"/>
    <n v="5490"/>
    <x v="8"/>
    <n v="14131.26"/>
    <x v="0"/>
    <s v="Bengaluru"/>
    <x v="3"/>
    <m/>
    <x v="1"/>
    <n v="42"/>
    <x v="0"/>
    <m/>
    <m/>
    <m/>
  </r>
  <r>
    <s v="ORD-00010"/>
    <x v="8"/>
    <s v="CUST-0147"/>
    <s v="PROD-030"/>
    <x v="8"/>
    <n v="3"/>
    <n v="970"/>
    <x v="9"/>
    <n v="2875.08"/>
    <x v="0"/>
    <s v="Pune"/>
    <x v="2"/>
    <m/>
    <x v="1"/>
    <n v="56"/>
    <x v="0"/>
    <m/>
    <m/>
    <m/>
  </r>
  <r>
    <s v="ORD-00011"/>
    <x v="9"/>
    <s v="CUST-0204"/>
    <s v="PROD-024"/>
    <x v="9"/>
    <n v="7"/>
    <n v="2270"/>
    <x v="10"/>
    <n v="14761.81"/>
    <x v="1"/>
    <s v="Hyderabad"/>
    <x v="2"/>
    <m/>
    <x v="1"/>
    <n v="60"/>
    <x v="0"/>
    <m/>
    <m/>
    <m/>
  </r>
  <r>
    <s v="ORD-00012"/>
    <x v="10"/>
    <s v="CUST-0147"/>
    <s v="PROD-010"/>
    <x v="6"/>
    <n v="9"/>
    <n v="2640"/>
    <x v="11"/>
    <n v="18604.080000000002"/>
    <x v="0"/>
    <s v="Pune"/>
    <x v="4"/>
    <m/>
    <x v="1"/>
    <n v="56"/>
    <x v="0"/>
    <m/>
    <m/>
    <m/>
  </r>
  <r>
    <s v="ORD-00013"/>
    <x v="11"/>
    <s v="CUST-0280"/>
    <s v="PROD-002"/>
    <x v="10"/>
    <n v="3"/>
    <n v="2600"/>
    <x v="12"/>
    <n v="7464.6"/>
    <x v="2"/>
    <s v="Delhi"/>
    <x v="4"/>
    <m/>
    <x v="0"/>
    <n v="27"/>
    <x v="2"/>
    <s v="Feb-24"/>
    <n v="1052"/>
    <n v="0.5953846153846154"/>
  </r>
  <r>
    <s v="ORD-00014"/>
    <x v="12"/>
    <s v="CUST-0008"/>
    <s v="PROD-036"/>
    <x v="5"/>
    <n v="3"/>
    <n v="3250"/>
    <x v="13"/>
    <n v="8375.25"/>
    <x v="3"/>
    <s v="Pune"/>
    <x v="3"/>
    <m/>
    <x v="0"/>
    <n v="39"/>
    <x v="1"/>
    <s v="Aug-24"/>
    <n v="1556"/>
    <n v="0.52123076923076928"/>
  </r>
  <r>
    <s v="ORD-00015"/>
    <x v="13"/>
    <s v="CUST-0052"/>
    <s v="PROD-060"/>
    <x v="11"/>
    <n v="1"/>
    <n v="190"/>
    <x v="14"/>
    <n v="150.66999999999999"/>
    <x v="0"/>
    <s v="Pune"/>
    <x v="1"/>
    <m/>
    <x v="1"/>
    <n v="38"/>
    <x v="2"/>
    <s v="Jun-24"/>
    <n v="147"/>
    <n v="0.22631578947368422"/>
  </r>
  <r>
    <s v="ORD-00016"/>
    <x v="14"/>
    <s v="CUST-0184"/>
    <s v="PROD-058"/>
    <x v="2"/>
    <n v="7"/>
    <n v="2400"/>
    <x v="15"/>
    <n v="15086.4"/>
    <x v="1"/>
    <s v="Pune"/>
    <x v="1"/>
    <m/>
    <x v="1"/>
    <n v="63"/>
    <x v="0"/>
    <m/>
    <m/>
    <m/>
  </r>
  <r>
    <s v="ORD-00017"/>
    <x v="15"/>
    <s v="CUST-0056"/>
    <s v="PROD-028"/>
    <x v="12"/>
    <n v="4"/>
    <n v="3660"/>
    <x v="16"/>
    <n v="14259.36"/>
    <x v="0"/>
    <s v="Bengaluru"/>
    <x v="2"/>
    <m/>
    <x v="0"/>
    <n v="46"/>
    <x v="0"/>
    <m/>
    <m/>
    <m/>
  </r>
  <r>
    <s v="ORD-00018"/>
    <x v="16"/>
    <s v="CUST-0273"/>
    <s v="PROD-047"/>
    <x v="13"/>
    <n v="8"/>
    <n v="3450"/>
    <x v="17"/>
    <n v="22494"/>
    <x v="0"/>
    <s v="Hyderabad"/>
    <x v="5"/>
    <m/>
    <x v="2"/>
    <n v="32"/>
    <x v="3"/>
    <s v="Aug-24"/>
    <n v="2420"/>
    <n v="0.29855072463768118"/>
  </r>
  <r>
    <s v="ORD-00019"/>
    <x v="17"/>
    <s v="CUST-0182"/>
    <s v="PROD-051"/>
    <x v="12"/>
    <n v="5"/>
    <n v="3450"/>
    <x v="18"/>
    <n v="15990.75"/>
    <x v="0"/>
    <s v="Mumbai"/>
    <x v="1"/>
    <m/>
    <x v="1"/>
    <n v="54"/>
    <x v="0"/>
    <m/>
    <m/>
    <m/>
  </r>
  <r>
    <s v="ORD-00020"/>
    <x v="18"/>
    <s v="CUST-0265"/>
    <s v="PROD-040"/>
    <x v="12"/>
    <n v="8"/>
    <n v="1080"/>
    <x v="19"/>
    <n v="8449.92"/>
    <x v="0"/>
    <s v="Chennai"/>
    <x v="3"/>
    <m/>
    <x v="1"/>
    <n v="49"/>
    <x v="0"/>
    <m/>
    <m/>
    <m/>
  </r>
  <r>
    <s v="ORD-00021"/>
    <x v="19"/>
    <s v="CUST-0159"/>
    <s v="PROD-019"/>
    <x v="3"/>
    <n v="7"/>
    <n v="2480"/>
    <x v="20"/>
    <n v="12377.68"/>
    <x v="0"/>
    <s v="Hyderabad"/>
    <x v="0"/>
    <m/>
    <x v="1"/>
    <n v="32"/>
    <x v="3"/>
    <s v="Apr-24"/>
    <n v="1173"/>
    <n v="0.52701612903225803"/>
  </r>
  <r>
    <s v="ORD-00022"/>
    <x v="20"/>
    <s v="CUST-0259"/>
    <s v="PROD-036"/>
    <x v="14"/>
    <n v="4"/>
    <n v="3250"/>
    <x v="21"/>
    <n v="9802"/>
    <x v="0"/>
    <s v="Mumbai"/>
    <x v="3"/>
    <m/>
    <x v="1"/>
    <n v="34"/>
    <x v="1"/>
    <s v="Jun-24"/>
    <n v="1556"/>
    <n v="0.52123076923076928"/>
  </r>
  <r>
    <s v="ORD-00023"/>
    <x v="21"/>
    <s v="CUST-0107"/>
    <s v="PROD-015"/>
    <x v="14"/>
    <n v="9"/>
    <n v="2720"/>
    <x v="22"/>
    <n v="18066.240000000002"/>
    <x v="0"/>
    <s v="Pune"/>
    <x v="0"/>
    <m/>
    <x v="1"/>
    <n v="50"/>
    <x v="0"/>
    <m/>
    <m/>
    <m/>
  </r>
  <r>
    <s v="ORD-00024"/>
    <x v="22"/>
    <s v="CUST-0101"/>
    <s v="PROD-044"/>
    <x v="11"/>
    <n v="2"/>
    <n v="1650"/>
    <x v="23"/>
    <n v="2989.8"/>
    <x v="0"/>
    <s v="Hyderabad"/>
    <x v="5"/>
    <m/>
    <x v="0"/>
    <n v="40"/>
    <x v="2"/>
    <s v="Aug-24"/>
    <n v="1222"/>
    <n v="0.2593939393939394"/>
  </r>
  <r>
    <s v="ORD-00025"/>
    <x v="18"/>
    <s v="CUST-0142"/>
    <s v="PROD-043"/>
    <x v="12"/>
    <n v="6"/>
    <n v="3350"/>
    <x v="24"/>
    <n v="18873.900000000001"/>
    <x v="1"/>
    <s v="Chennai"/>
    <x v="5"/>
    <m/>
    <x v="2"/>
    <n v="55"/>
    <x v="0"/>
    <m/>
    <m/>
    <m/>
  </r>
  <r>
    <s v="ORD-00026"/>
    <x v="23"/>
    <s v="CUST-0250"/>
    <s v="PROD-054"/>
    <x v="7"/>
    <n v="2"/>
    <n v="1010"/>
    <x v="25"/>
    <n v="1686.7"/>
    <x v="2"/>
    <s v="Delhi"/>
    <x v="1"/>
    <m/>
    <x v="1"/>
    <n v="31"/>
    <x v="3"/>
    <s v="Apr-24"/>
    <n v="516"/>
    <n v="0.4891089108910891"/>
  </r>
  <r>
    <s v="ORD-00027"/>
    <x v="24"/>
    <s v="CUST-0098"/>
    <s v="PROD-046"/>
    <x v="3"/>
    <n v="5"/>
    <n v="4880"/>
    <x v="26"/>
    <n v="18641.599999999999"/>
    <x v="0"/>
    <s v="Delhi"/>
    <x v="5"/>
    <m/>
    <x v="1"/>
    <n v="52"/>
    <x v="0"/>
    <m/>
    <m/>
    <m/>
  </r>
  <r>
    <s v="ORD-00028"/>
    <x v="25"/>
    <s v="CUST-0143"/>
    <s v="PROD-003"/>
    <x v="15"/>
    <n v="7"/>
    <n v="3570"/>
    <x v="6"/>
    <n v="23540.58"/>
    <x v="2"/>
    <s v="Chennai"/>
    <x v="4"/>
    <m/>
    <x v="0"/>
    <n v="52"/>
    <x v="0"/>
    <m/>
    <m/>
    <m/>
  </r>
  <r>
    <s v="ORD-00029"/>
    <x v="26"/>
    <s v="CUST-0086"/>
    <s v="PROD-048"/>
    <x v="16"/>
    <n v="9"/>
    <n v="5100"/>
    <x v="27"/>
    <n v="38234.699999999997"/>
    <x v="0"/>
    <s v="Hyderabad"/>
    <x v="5"/>
    <m/>
    <x v="2"/>
    <n v="56"/>
    <x v="0"/>
    <m/>
    <m/>
    <m/>
  </r>
  <r>
    <s v="ORD-00030"/>
    <x v="27"/>
    <s v="CUST-0006"/>
    <s v="PROD-055"/>
    <x v="1"/>
    <n v="3"/>
    <n v="2860"/>
    <x v="28"/>
    <n v="6366.36"/>
    <x v="0"/>
    <s v="Pune"/>
    <x v="1"/>
    <m/>
    <x v="0"/>
    <n v="44"/>
    <x v="0"/>
    <m/>
    <m/>
    <m/>
  </r>
  <r>
    <s v="ORD-00031"/>
    <x v="28"/>
    <s v="CUST-0241"/>
    <s v="PROD-030"/>
    <x v="3"/>
    <n v="7"/>
    <n v="970"/>
    <x v="29"/>
    <n v="4766.58"/>
    <x v="0"/>
    <s v="Pune"/>
    <x v="2"/>
    <m/>
    <x v="2"/>
    <n v="47"/>
    <x v="0"/>
    <m/>
    <m/>
    <m/>
  </r>
  <r>
    <s v="ORD-00032"/>
    <x v="29"/>
    <s v="CUST-0035"/>
    <s v="PROD-021"/>
    <x v="17"/>
    <n v="4"/>
    <n v="2760"/>
    <x v="30"/>
    <n v="10388.64"/>
    <x v="0"/>
    <s v="Hyderabad"/>
    <x v="2"/>
    <m/>
    <x v="1"/>
    <n v="53"/>
    <x v="0"/>
    <m/>
    <m/>
    <m/>
  </r>
  <r>
    <s v="ORD-00033"/>
    <x v="30"/>
    <s v="CUST-0273"/>
    <s v="PROD-037"/>
    <x v="18"/>
    <n v="10"/>
    <n v="660"/>
    <x v="31"/>
    <n v="5392.2"/>
    <x v="1"/>
    <s v="Hyderabad"/>
    <x v="3"/>
    <m/>
    <x v="2"/>
    <n v="32"/>
    <x v="2"/>
    <s v="Dec-24"/>
    <n v="329"/>
    <n v="0.50151515151515147"/>
  </r>
  <r>
    <s v="ORD-00034"/>
    <x v="31"/>
    <s v="CUST-0064"/>
    <s v="PROD-036"/>
    <x v="7"/>
    <n v="1"/>
    <n v="3250"/>
    <x v="32"/>
    <n v="2902.25"/>
    <x v="0"/>
    <s v="Hyderabad"/>
    <x v="3"/>
    <m/>
    <x v="0"/>
    <n v="40"/>
    <x v="4"/>
    <s v="Feb-24"/>
    <n v="1556"/>
    <n v="0.52123076923076928"/>
  </r>
  <r>
    <s v="ORD-00035"/>
    <x v="32"/>
    <s v="CUST-0118"/>
    <s v="PROD-048"/>
    <x v="7"/>
    <n v="8"/>
    <n v="5100"/>
    <x v="33"/>
    <n v="30028.799999999999"/>
    <x v="2"/>
    <s v="Hyderabad"/>
    <x v="5"/>
    <m/>
    <x v="1"/>
    <n v="26"/>
    <x v="3"/>
    <s v="Oct-24"/>
    <n v="2237"/>
    <n v="0.56137254901960787"/>
  </r>
  <r>
    <s v="ORD-00036"/>
    <x v="33"/>
    <s v="CUST-0013"/>
    <s v="PROD-040"/>
    <x v="13"/>
    <n v="1"/>
    <n v="1080"/>
    <x v="34"/>
    <n v="1024.92"/>
    <x v="0"/>
    <s v="Delhi"/>
    <x v="3"/>
    <m/>
    <x v="1"/>
    <n v="41"/>
    <x v="0"/>
    <m/>
    <m/>
    <m/>
  </r>
  <r>
    <s v="ORD-00037"/>
    <x v="34"/>
    <s v="CUST-0177"/>
    <s v="PROD-038"/>
    <x v="18"/>
    <n v="2"/>
    <n v="5490"/>
    <x v="35"/>
    <n v="8663.2199999999993"/>
    <x v="2"/>
    <s v="Mumbai"/>
    <x v="3"/>
    <m/>
    <x v="0"/>
    <n v="36"/>
    <x v="3"/>
    <s v="May-24"/>
    <n v="2549"/>
    <n v="0.53570127504553733"/>
  </r>
  <r>
    <s v="ORD-00038"/>
    <x v="35"/>
    <s v="CUST-0186"/>
    <s v="PROD-060"/>
    <x v="19"/>
    <n v="7"/>
    <n v="190"/>
    <x v="20"/>
    <n v="948.29"/>
    <x v="0"/>
    <s v="Bengaluru"/>
    <x v="1"/>
    <m/>
    <x v="1"/>
    <n v="42"/>
    <x v="0"/>
    <m/>
    <m/>
    <m/>
  </r>
  <r>
    <s v="ORD-00039"/>
    <x v="36"/>
    <s v="CUST-0069"/>
    <s v="PROD-058"/>
    <x v="15"/>
    <n v="6"/>
    <n v="2400"/>
    <x v="36"/>
    <n v="14011.2"/>
    <x v="0"/>
    <s v="Chennai"/>
    <x v="1"/>
    <m/>
    <x v="1"/>
    <n v="51"/>
    <x v="0"/>
    <m/>
    <m/>
    <m/>
  </r>
  <r>
    <s v="ORD-00040"/>
    <x v="37"/>
    <s v="CUST-0283"/>
    <s v="PROD-044"/>
    <x v="12"/>
    <n v="9"/>
    <n v="1650"/>
    <x v="37"/>
    <n v="13127.4"/>
    <x v="0"/>
    <s v="Delhi"/>
    <x v="5"/>
    <m/>
    <x v="0"/>
    <n v="50"/>
    <x v="0"/>
    <m/>
    <m/>
    <m/>
  </r>
  <r>
    <s v="ORD-00041"/>
    <x v="38"/>
    <s v="CUST-9507"/>
    <s v="PROD-038"/>
    <x v="3"/>
    <n v="4"/>
    <n v="5490"/>
    <x v="38"/>
    <n v="19149.12"/>
    <x v="2"/>
    <s v="Chennai"/>
    <x v="3"/>
    <m/>
    <x v="3"/>
    <e v="#N/A"/>
    <x v="0"/>
    <m/>
    <m/>
    <m/>
  </r>
  <r>
    <s v="ORD-00042"/>
    <x v="39"/>
    <s v="CUST-0053"/>
    <s v="PROD-046"/>
    <x v="2"/>
    <n v="10"/>
    <n v="4880"/>
    <x v="39"/>
    <n v="42602.400000000001"/>
    <x v="0"/>
    <s v="Delhi"/>
    <x v="5"/>
    <m/>
    <x v="1"/>
    <n v="53"/>
    <x v="0"/>
    <m/>
    <m/>
    <m/>
  </r>
  <r>
    <s v="ORD-00043"/>
    <x v="40"/>
    <s v="CUST-0222"/>
    <s v="PROD-031"/>
    <x v="7"/>
    <n v="2"/>
    <n v="3730"/>
    <x v="28"/>
    <n v="5535.32"/>
    <x v="0"/>
    <s v="Chennai"/>
    <x v="3"/>
    <m/>
    <x v="1"/>
    <n v="37"/>
    <x v="4"/>
    <s v="May-24"/>
    <n v="2135"/>
    <n v="0.42761394101876676"/>
  </r>
  <r>
    <s v="ORD-00044"/>
    <x v="8"/>
    <s v="CUST-0095"/>
    <s v="PROD-047"/>
    <x v="20"/>
    <n v="4"/>
    <n v="3450"/>
    <x v="14"/>
    <n v="10943.4"/>
    <x v="0"/>
    <s v="Mumbai"/>
    <x v="5"/>
    <m/>
    <x v="0"/>
    <n v="54"/>
    <x v="0"/>
    <m/>
    <m/>
    <m/>
  </r>
  <r>
    <s v="ORD-00045"/>
    <x v="41"/>
    <s v="CUST-0152"/>
    <s v="PROD-019"/>
    <x v="7"/>
    <n v="2"/>
    <n v="2480"/>
    <x v="40"/>
    <n v="4101.92"/>
    <x v="0"/>
    <s v="Bengaluru"/>
    <x v="0"/>
    <m/>
    <x v="0"/>
    <n v="64"/>
    <x v="0"/>
    <m/>
    <m/>
    <m/>
  </r>
  <r>
    <s v="ORD-00046"/>
    <x v="42"/>
    <s v="CUST-0291"/>
    <s v="PROD-027"/>
    <x v="15"/>
    <n v="9"/>
    <n v="3780"/>
    <x v="41"/>
    <n v="31060.26"/>
    <x v="1"/>
    <s v="Pune"/>
    <x v="2"/>
    <m/>
    <x v="0"/>
    <n v="29"/>
    <x v="3"/>
    <s v="Mar-24"/>
    <n v="2436"/>
    <n v="0.35555555555555557"/>
  </r>
  <r>
    <s v="ORD-00047"/>
    <x v="1"/>
    <s v="CUST-0112"/>
    <s v="PROD-013"/>
    <x v="21"/>
    <n v="4"/>
    <n v="3640"/>
    <x v="14"/>
    <n v="11546.08"/>
    <x v="0"/>
    <s v="Hyderabad"/>
    <x v="0"/>
    <m/>
    <x v="1"/>
    <n v="64"/>
    <x v="0"/>
    <m/>
    <m/>
    <m/>
  </r>
  <r>
    <s v="ORD-00048"/>
    <x v="43"/>
    <s v="CUST-9800"/>
    <s v="PROD-050"/>
    <x v="11"/>
    <n v="8"/>
    <n v="6080"/>
    <x v="42"/>
    <n v="36771.839999999997"/>
    <x v="0"/>
    <s v="Pune"/>
    <x v="5"/>
    <m/>
    <x v="3"/>
    <e v="#N/A"/>
    <x v="0"/>
    <m/>
    <m/>
    <m/>
  </r>
  <r>
    <s v="ORD-00049"/>
    <x v="44"/>
    <s v="CUST-0143"/>
    <s v="PROD-030"/>
    <x v="0"/>
    <n v="10"/>
    <n v="970"/>
    <x v="43"/>
    <n v="9641.7999999999993"/>
    <x v="2"/>
    <s v="Chennai"/>
    <x v="2"/>
    <m/>
    <x v="0"/>
    <n v="52"/>
    <x v="0"/>
    <m/>
    <m/>
    <m/>
  </r>
  <r>
    <s v="ORD-00050"/>
    <x v="45"/>
    <s v="CUST-0226"/>
    <s v="PROD-022"/>
    <x v="8"/>
    <n v="1"/>
    <n v="2270"/>
    <x v="44"/>
    <n v="2008.95"/>
    <x v="1"/>
    <s v="Chennai"/>
    <x v="2"/>
    <m/>
    <x v="2"/>
    <n v="52"/>
    <x v="0"/>
    <m/>
    <m/>
    <m/>
  </r>
  <r>
    <s v="ORD-00051"/>
    <x v="46"/>
    <s v="CUST-0234"/>
    <s v="PROD-004"/>
    <x v="12"/>
    <n v="7"/>
    <n v="3870"/>
    <x v="45"/>
    <n v="27008.73"/>
    <x v="2"/>
    <s v="Bengaluru"/>
    <x v="4"/>
    <m/>
    <x v="1"/>
    <n v="34"/>
    <x v="2"/>
    <s v="Sep-24"/>
    <n v="1559"/>
    <n v="0.59715762273901807"/>
  </r>
  <r>
    <s v="ORD-00052"/>
    <x v="47"/>
    <s v="CUST-0176"/>
    <s v="PROD-046"/>
    <x v="18"/>
    <n v="1"/>
    <n v="4880"/>
    <x v="46"/>
    <n v="3713.68"/>
    <x v="1"/>
    <s v="Bengaluru"/>
    <x v="5"/>
    <m/>
    <x v="0"/>
    <n v="34"/>
    <x v="3"/>
    <s v="Feb-24"/>
    <n v="2768"/>
    <n v="0.43278688524590164"/>
  </r>
  <r>
    <s v="ORD-00053"/>
    <x v="48"/>
    <s v="CUST-0180"/>
    <s v="PROD-027"/>
    <x v="22"/>
    <n v="5"/>
    <n v="3780"/>
    <x v="17"/>
    <n v="15403.5"/>
    <x v="0"/>
    <s v="Chennai"/>
    <x v="2"/>
    <m/>
    <x v="1"/>
    <n v="36"/>
    <x v="4"/>
    <s v="Aug-24"/>
    <n v="2436"/>
    <n v="0.35555555555555557"/>
  </r>
  <r>
    <s v="ORD-00054"/>
    <x v="49"/>
    <s v="CUST-0088"/>
    <s v="PROD-036"/>
    <x v="16"/>
    <n v="10"/>
    <n v="3250"/>
    <x v="47"/>
    <n v="24212.5"/>
    <x v="0"/>
    <s v="Chennai"/>
    <x v="3"/>
    <m/>
    <x v="1"/>
    <n v="24"/>
    <x v="4"/>
    <s v="Nov-24"/>
    <n v="1556"/>
    <n v="0.52123076923076928"/>
  </r>
  <r>
    <s v="ORD-00055"/>
    <x v="50"/>
    <s v="CUST-0267"/>
    <s v="PROD-013"/>
    <x v="0"/>
    <n v="4"/>
    <n v="3640"/>
    <x v="48"/>
    <n v="13118.56"/>
    <x v="3"/>
    <s v="Hyderabad"/>
    <x v="0"/>
    <m/>
    <x v="1"/>
    <n v="27"/>
    <x v="3"/>
    <s v="May-24"/>
    <n v="2611"/>
    <n v="0.28269230769230769"/>
  </r>
  <r>
    <s v="ORD-00056"/>
    <x v="51"/>
    <s v="CUST-0194"/>
    <s v="PROD-041"/>
    <x v="12"/>
    <n v="4"/>
    <n v="1540"/>
    <x v="49"/>
    <n v="4385.92"/>
    <x v="0"/>
    <s v="Delhi"/>
    <x v="5"/>
    <m/>
    <x v="0"/>
    <n v="55"/>
    <x v="0"/>
    <m/>
    <m/>
    <m/>
  </r>
  <r>
    <s v="ORD-00057"/>
    <x v="48"/>
    <s v="CUST-0261"/>
    <s v="PROD-040"/>
    <x v="21"/>
    <n v="1"/>
    <n v="1080"/>
    <x v="50"/>
    <n v="831.6"/>
    <x v="2"/>
    <s v="Delhi"/>
    <x v="3"/>
    <m/>
    <x v="1"/>
    <n v="54"/>
    <x v="0"/>
    <m/>
    <m/>
    <m/>
  </r>
  <r>
    <s v="ORD-00058"/>
    <x v="52"/>
    <s v="CUST-0031"/>
    <s v="PROD-026"/>
    <x v="0"/>
    <n v="1"/>
    <n v="4070"/>
    <x v="51"/>
    <n v="3797.31"/>
    <x v="0"/>
    <s v="Hyderabad"/>
    <x v="2"/>
    <m/>
    <x v="1"/>
    <n v="53"/>
    <x v="0"/>
    <m/>
    <m/>
    <m/>
  </r>
  <r>
    <s v="ORD-00059"/>
    <x v="53"/>
    <s v="CUST-0175"/>
    <s v="PROD-009"/>
    <x v="14"/>
    <n v="2"/>
    <n v="1220"/>
    <x v="52"/>
    <n v="2154.52"/>
    <x v="2"/>
    <s v="Delhi"/>
    <x v="4"/>
    <m/>
    <x v="2"/>
    <n v="55"/>
    <x v="0"/>
    <m/>
    <m/>
    <m/>
  </r>
  <r>
    <s v="ORD-00060"/>
    <x v="54"/>
    <s v="CUST-0263"/>
    <s v="PROD-039"/>
    <x v="20"/>
    <n v="4"/>
    <n v="4610"/>
    <x v="53"/>
    <n v="13479.64"/>
    <x v="1"/>
    <s v="Mumbai"/>
    <x v="3"/>
    <m/>
    <x v="1"/>
    <n v="40"/>
    <x v="2"/>
    <s v="May-24"/>
    <n v="1850"/>
    <n v="0.59869848156182215"/>
  </r>
  <r>
    <s v="ORD-00061"/>
    <x v="55"/>
    <s v="CUST-0203"/>
    <s v="PROD-040"/>
    <x v="23"/>
    <n v="8"/>
    <n v="1080"/>
    <x v="54"/>
    <n v="6186.24"/>
    <x v="0"/>
    <s v="Chennai"/>
    <x v="3"/>
    <m/>
    <x v="0"/>
    <n v="55"/>
    <x v="0"/>
    <m/>
    <m/>
    <m/>
  </r>
  <r>
    <s v="ORD-00062"/>
    <x v="56"/>
    <s v="CUST-0258"/>
    <s v="PROD-045"/>
    <x v="3"/>
    <n v="10"/>
    <n v="3020"/>
    <x v="55"/>
    <n v="22529.200000000001"/>
    <x v="0"/>
    <s v="Pune"/>
    <x v="5"/>
    <m/>
    <x v="1"/>
    <n v="44"/>
    <x v="0"/>
    <m/>
    <m/>
    <m/>
  </r>
  <r>
    <s v="ORD-00063"/>
    <x v="57"/>
    <s v="CUST-0282"/>
    <s v="PROD-008"/>
    <x v="21"/>
    <n v="7"/>
    <n v="2660"/>
    <x v="56"/>
    <n v="17633.14"/>
    <x v="0"/>
    <s v="Hyderabad"/>
    <x v="4"/>
    <m/>
    <x v="2"/>
    <n v="29"/>
    <x v="1"/>
    <s v="Jul-24"/>
    <n v="1259"/>
    <n v="0.52669172932330832"/>
  </r>
  <r>
    <s v="ORD-00064"/>
    <x v="37"/>
    <s v="CUST-0168"/>
    <s v="PROD-005"/>
    <x v="11"/>
    <n v="9"/>
    <n v="300"/>
    <x v="57"/>
    <n v="2016.9"/>
    <x v="0"/>
    <s v="Pune"/>
    <x v="4"/>
    <m/>
    <x v="1"/>
    <n v="25"/>
    <x v="3"/>
    <s v="Jun-24"/>
    <n v="128"/>
    <n v="0.57333333333333336"/>
  </r>
  <r>
    <s v="ORD-00065"/>
    <x v="58"/>
    <s v="CUST-0040"/>
    <s v="PROD-010"/>
    <x v="24"/>
    <n v="10"/>
    <n v="2640"/>
    <x v="58"/>
    <n v="21463.200000000001"/>
    <x v="2"/>
    <s v="Chennai"/>
    <x v="4"/>
    <m/>
    <x v="1"/>
    <n v="28"/>
    <x v="1"/>
    <s v="Nov-24"/>
    <n v="1149"/>
    <n v="0.56477272727272732"/>
  </r>
  <r>
    <s v="ORD-00066"/>
    <x v="32"/>
    <s v="CUST-0283"/>
    <s v="PROD-020"/>
    <x v="16"/>
    <n v="8"/>
    <n v="820"/>
    <x v="59"/>
    <n v="4985.6000000000004"/>
    <x v="0"/>
    <s v="Delhi"/>
    <x v="0"/>
    <m/>
    <x v="0"/>
    <n v="50"/>
    <x v="0"/>
    <m/>
    <m/>
    <m/>
  </r>
  <r>
    <s v="ORD-00067"/>
    <x v="59"/>
    <s v="CUST-0202"/>
    <s v="PROD-021"/>
    <x v="8"/>
    <n v="1"/>
    <n v="2760"/>
    <x v="60"/>
    <n v="2627.52"/>
    <x v="0"/>
    <s v="Chennai"/>
    <x v="2"/>
    <m/>
    <x v="1"/>
    <n v="39"/>
    <x v="3"/>
    <s v="Jun-24"/>
    <n v="1435"/>
    <n v="0.48007246376811596"/>
  </r>
  <r>
    <s v="ORD-00068"/>
    <x v="60"/>
    <s v="CUST-0161"/>
    <s v="PROD-014"/>
    <x v="21"/>
    <n v="2"/>
    <n v="3620"/>
    <x v="61"/>
    <n v="5857.16"/>
    <x v="0"/>
    <s v="Chennai"/>
    <x v="0"/>
    <m/>
    <x v="1"/>
    <n v="38"/>
    <x v="2"/>
    <s v="Jul-24"/>
    <n v="2509"/>
    <n v="0.3069060773480663"/>
  </r>
  <r>
    <s v="ORD-00069"/>
    <x v="61"/>
    <s v="CUST-0033"/>
    <s v="PROD-016"/>
    <x v="5"/>
    <n v="1"/>
    <n v="620"/>
    <x v="62"/>
    <n v="613.79999999999995"/>
    <x v="0"/>
    <s v="Delhi"/>
    <x v="0"/>
    <m/>
    <x v="1"/>
    <n v="35"/>
    <x v="3"/>
    <s v="Feb-24"/>
    <n v="396"/>
    <n v="0.36129032258064514"/>
  </r>
  <r>
    <s v="ORD-00070"/>
    <x v="62"/>
    <s v="CUST-0191"/>
    <s v="PROD-033"/>
    <x v="14"/>
    <n v="1"/>
    <n v="2030"/>
    <x v="2"/>
    <n v="1963.01"/>
    <x v="0"/>
    <s v="Hyderabad"/>
    <x v="3"/>
    <m/>
    <x v="0"/>
    <n v="43"/>
    <x v="0"/>
    <m/>
    <m/>
    <m/>
  </r>
  <r>
    <s v="ORD-00071"/>
    <x v="19"/>
    <s v="CUST-0180"/>
    <s v="PROD-012"/>
    <x v="25"/>
    <n v="10"/>
    <n v="3160"/>
    <x v="63"/>
    <n v="26607.200000000001"/>
    <x v="0"/>
    <s v="Chennai"/>
    <x v="0"/>
    <m/>
    <x v="1"/>
    <n v="36"/>
    <x v="2"/>
    <s v="Apr-24"/>
    <n v="1886"/>
    <n v="0.4031645569620253"/>
  </r>
  <r>
    <s v="ORD-00072"/>
    <x v="63"/>
    <s v="CUST-0129"/>
    <s v="PROD-030"/>
    <x v="19"/>
    <n v="5"/>
    <n v="970"/>
    <x v="64"/>
    <n v="4258.3"/>
    <x v="0"/>
    <s v="Hyderabad"/>
    <x v="2"/>
    <m/>
    <x v="1"/>
    <n v="29"/>
    <x v="1"/>
    <s v="Jun-24"/>
    <n v="434"/>
    <n v="0.5525773195876289"/>
  </r>
  <r>
    <s v="ORD-00073"/>
    <x v="64"/>
    <s v="CUST-0189"/>
    <s v="PROD-043"/>
    <x v="11"/>
    <n v="9"/>
    <n v="3350"/>
    <x v="28"/>
    <n v="22371.3"/>
    <x v="1"/>
    <s v="Chennai"/>
    <x v="5"/>
    <m/>
    <x v="1"/>
    <n v="41"/>
    <x v="0"/>
    <m/>
    <m/>
    <m/>
  </r>
  <r>
    <s v="ORD-00074"/>
    <x v="65"/>
    <s v="CUST-0194"/>
    <s v="PROD-032"/>
    <x v="26"/>
    <n v="1"/>
    <n v="370"/>
    <x v="65"/>
    <n v="263.07"/>
    <x v="0"/>
    <s v="Delhi"/>
    <x v="3"/>
    <m/>
    <x v="0"/>
    <n v="55"/>
    <x v="0"/>
    <m/>
    <m/>
    <m/>
  </r>
  <r>
    <s v="ORD-00075"/>
    <x v="66"/>
    <s v="CUST-0200"/>
    <s v="PROD-030"/>
    <x v="9"/>
    <n v="3"/>
    <n v="970"/>
    <x v="12"/>
    <n v="2784.87"/>
    <x v="2"/>
    <s v="Hyderabad"/>
    <x v="2"/>
    <m/>
    <x v="2"/>
    <n v="46"/>
    <x v="0"/>
    <m/>
    <m/>
    <m/>
  </r>
  <r>
    <s v="ORD-00076"/>
    <x v="67"/>
    <s v="CUST-0008"/>
    <s v="PROD-021"/>
    <x v="24"/>
    <n v="6"/>
    <n v="2760"/>
    <x v="66"/>
    <n v="13264.56"/>
    <x v="1"/>
    <s v="Pune"/>
    <x v="2"/>
    <m/>
    <x v="0"/>
    <n v="39"/>
    <x v="4"/>
    <s v="Jul-24"/>
    <n v="1435"/>
    <n v="0.48007246376811596"/>
  </r>
  <r>
    <s v="ORD-00077"/>
    <x v="68"/>
    <s v="CUST-0051"/>
    <s v="PROD-021"/>
    <x v="7"/>
    <n v="7"/>
    <n v="2760"/>
    <x v="67"/>
    <n v="14451.36"/>
    <x v="0"/>
    <s v="Pune"/>
    <x v="2"/>
    <m/>
    <x v="0"/>
    <n v="54"/>
    <x v="0"/>
    <m/>
    <m/>
    <m/>
  </r>
  <r>
    <s v="ORD-00078"/>
    <x v="69"/>
    <s v="CUST-0193"/>
    <s v="PROD-009"/>
    <x v="24"/>
    <n v="4"/>
    <n v="1220"/>
    <x v="68"/>
    <n v="4470.08"/>
    <x v="0"/>
    <s v="Bengaluru"/>
    <x v="4"/>
    <m/>
    <x v="1"/>
    <n v="42"/>
    <x v="0"/>
    <m/>
    <m/>
    <m/>
  </r>
  <r>
    <s v="ORD-00079"/>
    <x v="70"/>
    <s v="CUST-0020"/>
    <s v="PROD-002"/>
    <x v="8"/>
    <n v="2"/>
    <n v="2600"/>
    <x v="69"/>
    <n v="5101.2"/>
    <x v="1"/>
    <s v="Hyderabad"/>
    <x v="4"/>
    <m/>
    <x v="1"/>
    <n v="46"/>
    <x v="0"/>
    <m/>
    <m/>
    <m/>
  </r>
  <r>
    <s v="ORD-00080"/>
    <x v="71"/>
    <s v="CUST-0230"/>
    <s v="PROD-026"/>
    <x v="14"/>
    <n v="9"/>
    <n v="4070"/>
    <x v="49"/>
    <n v="26080.560000000001"/>
    <x v="0"/>
    <s v="Pune"/>
    <x v="2"/>
    <m/>
    <x v="2"/>
    <n v="33"/>
    <x v="2"/>
    <s v="Nov-24"/>
    <n v="2027"/>
    <n v="0.50196560196560192"/>
  </r>
  <r>
    <s v="ORD-00081"/>
    <x v="50"/>
    <s v="CUST-0094"/>
    <s v="PROD-024"/>
    <x v="1"/>
    <n v="2"/>
    <n v="2270"/>
    <x v="70"/>
    <n v="3722.8"/>
    <x v="3"/>
    <s v="Pune"/>
    <x v="2"/>
    <m/>
    <x v="0"/>
    <n v="60"/>
    <x v="0"/>
    <m/>
    <m/>
    <m/>
  </r>
  <r>
    <s v="ORD-00082"/>
    <x v="72"/>
    <s v="CUST-0248"/>
    <s v="PROD-012"/>
    <x v="21"/>
    <n v="2"/>
    <n v="3160"/>
    <x v="31"/>
    <n v="5163.4399999999996"/>
    <x v="0"/>
    <s v="Chennai"/>
    <x v="0"/>
    <m/>
    <x v="0"/>
    <n v="57"/>
    <x v="0"/>
    <m/>
    <m/>
    <m/>
  </r>
  <r>
    <s v="ORD-00083"/>
    <x v="73"/>
    <s v="CUST-0082"/>
    <s v="PROD-019"/>
    <x v="0"/>
    <n v="4"/>
    <n v="2480"/>
    <x v="71"/>
    <n v="9810.8799999999992"/>
    <x v="1"/>
    <s v="Hyderabad"/>
    <x v="0"/>
    <m/>
    <x v="0"/>
    <n v="36"/>
    <x v="3"/>
    <s v="Aug-24"/>
    <n v="1173"/>
    <n v="0.52701612903225803"/>
  </r>
  <r>
    <s v="ORD-00084"/>
    <x v="74"/>
    <s v="CUST-0078"/>
    <s v="PROD-008"/>
    <x v="17"/>
    <n v="1"/>
    <n v="2660"/>
    <x v="72"/>
    <n v="2101.4"/>
    <x v="0"/>
    <s v="Delhi"/>
    <x v="4"/>
    <m/>
    <x v="1"/>
    <n v="31"/>
    <x v="1"/>
    <s v="Apr-24"/>
    <n v="1259"/>
    <n v="0.52669172932330832"/>
  </r>
  <r>
    <s v="ORD-00085"/>
    <x v="75"/>
    <s v="CUST-0032"/>
    <s v="PROD-045"/>
    <x v="27"/>
    <n v="5"/>
    <n v="3020"/>
    <x v="73"/>
    <n v="11747.8"/>
    <x v="0"/>
    <s v="Hyderabad"/>
    <x v="5"/>
    <m/>
    <x v="1"/>
    <n v="28"/>
    <x v="2"/>
    <s v="Sep-24"/>
    <n v="1626"/>
    <n v="0.46158940397350995"/>
  </r>
  <r>
    <s v="ORD-00086"/>
    <x v="76"/>
    <s v="CUST-0006"/>
    <s v="PROD-016"/>
    <x v="14"/>
    <n v="9"/>
    <n v="620"/>
    <x v="74"/>
    <n v="4279.8599999999997"/>
    <x v="0"/>
    <s v="Pune"/>
    <x v="0"/>
    <m/>
    <x v="0"/>
    <n v="44"/>
    <x v="0"/>
    <m/>
    <m/>
    <m/>
  </r>
  <r>
    <s v="ORD-00087"/>
    <x v="77"/>
    <s v="CUST-0084"/>
    <s v="PROD-053"/>
    <x v="17"/>
    <n v="2"/>
    <n v="470"/>
    <x v="75"/>
    <n v="889.24"/>
    <x v="0"/>
    <s v="Chennai"/>
    <x v="1"/>
    <m/>
    <x v="1"/>
    <n v="28"/>
    <x v="2"/>
    <s v="Jun-24"/>
    <n v="302"/>
    <n v="0.35744680851063831"/>
  </r>
  <r>
    <s v="ORD-00088"/>
    <x v="78"/>
    <s v="CUST-0107"/>
    <s v="PROD-007"/>
    <x v="9"/>
    <n v="3"/>
    <n v="1430"/>
    <x v="76"/>
    <n v="4011.15"/>
    <x v="0"/>
    <s v="Pune"/>
    <x v="4"/>
    <m/>
    <x v="1"/>
    <n v="50"/>
    <x v="0"/>
    <m/>
    <m/>
    <m/>
  </r>
  <r>
    <s v="ORD-00089"/>
    <x v="79"/>
    <s v="CUST-0108"/>
    <s v="PROD-016"/>
    <x v="10"/>
    <n v="6"/>
    <n v="620"/>
    <x v="16"/>
    <n v="3623.28"/>
    <x v="0"/>
    <s v="Bengaluru"/>
    <x v="0"/>
    <m/>
    <x v="2"/>
    <n v="59"/>
    <x v="0"/>
    <m/>
    <m/>
    <m/>
  </r>
  <r>
    <s v="ORD-00090"/>
    <x v="80"/>
    <s v="CUST-0139"/>
    <s v="PROD-003"/>
    <x v="27"/>
    <n v="4"/>
    <n v="3570"/>
    <x v="77"/>
    <n v="13637.4"/>
    <x v="1"/>
    <s v="Hyderabad"/>
    <x v="4"/>
    <m/>
    <x v="0"/>
    <n v="65"/>
    <x v="0"/>
    <m/>
    <m/>
    <m/>
  </r>
  <r>
    <s v="ORD-00091"/>
    <x v="81"/>
    <s v="CUST-0200"/>
    <s v="PROD-022"/>
    <x v="9"/>
    <n v="6"/>
    <n v="2270"/>
    <x v="78"/>
    <n v="13347.6"/>
    <x v="0"/>
    <s v="Hyderabad"/>
    <x v="2"/>
    <m/>
    <x v="2"/>
    <n v="46"/>
    <x v="0"/>
    <m/>
    <m/>
    <m/>
  </r>
  <r>
    <s v="ORD-00092"/>
    <x v="60"/>
    <s v="CUST-0208"/>
    <s v="PROD-015"/>
    <x v="2"/>
    <n v="7"/>
    <n v="2720"/>
    <x v="0"/>
    <n v="16107.84"/>
    <x v="0"/>
    <s v="Mumbai"/>
    <x v="0"/>
    <m/>
    <x v="1"/>
    <n v="49"/>
    <x v="0"/>
    <m/>
    <m/>
    <m/>
  </r>
  <r>
    <s v="ORD-00093"/>
    <x v="82"/>
    <s v="CUST-0161"/>
    <s v="PROD-029"/>
    <x v="19"/>
    <n v="9"/>
    <n v="2210"/>
    <x v="79"/>
    <n v="17423.64"/>
    <x v="0"/>
    <s v="Chennai"/>
    <x v="2"/>
    <m/>
    <x v="1"/>
    <n v="38"/>
    <x v="4"/>
    <s v="Feb-24"/>
    <n v="1010"/>
    <n v="0.54298642533936647"/>
  </r>
  <r>
    <s v="ORD-00094"/>
    <x v="83"/>
    <s v="CUST-0042"/>
    <s v="PROD-060"/>
    <x v="17"/>
    <n v="6"/>
    <n v="190"/>
    <x v="80"/>
    <n v="921.12"/>
    <x v="0"/>
    <s v="Pune"/>
    <x v="1"/>
    <m/>
    <x v="1"/>
    <n v="25"/>
    <x v="1"/>
    <s v="Mar-24"/>
    <n v="147"/>
    <n v="0.22631578947368422"/>
  </r>
  <r>
    <s v="ORD-00095"/>
    <x v="84"/>
    <s v="CUST-0133"/>
    <s v="PROD-048"/>
    <x v="28"/>
    <n v="10"/>
    <n v="5100"/>
    <x v="55"/>
    <n v="38046"/>
    <x v="3"/>
    <s v="Chennai"/>
    <x v="5"/>
    <m/>
    <x v="1"/>
    <n v="26"/>
    <x v="2"/>
    <s v="Dec-24"/>
    <n v="2237"/>
    <n v="0.56137254901960787"/>
  </r>
  <r>
    <s v="ORD-00096"/>
    <x v="85"/>
    <s v="CUST-0219"/>
    <s v="PROD-054"/>
    <x v="29"/>
    <n v="5"/>
    <n v="1010"/>
    <x v="81"/>
    <n v="4969.2"/>
    <x v="0"/>
    <s v="Chennai"/>
    <x v="1"/>
    <m/>
    <x v="2"/>
    <n v="38"/>
    <x v="2"/>
    <s v="Nov-24"/>
    <n v="516"/>
    <n v="0.4891089108910891"/>
  </r>
  <r>
    <s v="ORD-00097"/>
    <x v="60"/>
    <s v="CUST-0031"/>
    <s v="PROD-031"/>
    <x v="5"/>
    <n v="1"/>
    <n v="3730"/>
    <x v="82"/>
    <n v="2883.29"/>
    <x v="0"/>
    <s v="Hyderabad"/>
    <x v="3"/>
    <m/>
    <x v="1"/>
    <n v="53"/>
    <x v="0"/>
    <m/>
    <m/>
    <m/>
  </r>
  <r>
    <s v="ORD-00098"/>
    <x v="41"/>
    <s v="CUST-0189"/>
    <s v="PROD-002"/>
    <x v="8"/>
    <n v="10"/>
    <n v="2600"/>
    <x v="14"/>
    <n v="20618"/>
    <x v="0"/>
    <s v="Chennai"/>
    <x v="4"/>
    <m/>
    <x v="1"/>
    <n v="41"/>
    <x v="0"/>
    <m/>
    <m/>
    <m/>
  </r>
  <r>
    <s v="ORD-00099"/>
    <x v="86"/>
    <s v="CUST-0170"/>
    <s v="PROD-025"/>
    <x v="3"/>
    <n v="4"/>
    <n v="4060"/>
    <x v="83"/>
    <n v="13982.64"/>
    <x v="0"/>
    <s v="Mumbai"/>
    <x v="2"/>
    <m/>
    <x v="0"/>
    <n v="22"/>
    <x v="2"/>
    <s v="Mar-24"/>
    <n v="2911"/>
    <n v="0.28300492610837441"/>
  </r>
  <r>
    <s v="ORD-00100"/>
    <x v="87"/>
    <s v="CUST-0164"/>
    <s v="PROD-050"/>
    <x v="28"/>
    <n v="6"/>
    <n v="6080"/>
    <x v="25"/>
    <n v="30460.799999999999"/>
    <x v="0"/>
    <s v="Chennai"/>
    <x v="5"/>
    <m/>
    <x v="1"/>
    <n v="60"/>
    <x v="0"/>
    <m/>
    <m/>
    <m/>
  </r>
  <r>
    <s v="ORD-00101"/>
    <x v="88"/>
    <s v="CUST-0006"/>
    <s v="PROD-017"/>
    <x v="8"/>
    <n v="6"/>
    <n v="2510"/>
    <x v="52"/>
    <n v="13297.98"/>
    <x v="0"/>
    <s v="Pune"/>
    <x v="0"/>
    <m/>
    <x v="0"/>
    <n v="44"/>
    <x v="0"/>
    <m/>
    <m/>
    <m/>
  </r>
  <r>
    <s v="ORD-00102"/>
    <x v="89"/>
    <s v="CUST-0181"/>
    <s v="PROD-036"/>
    <x v="17"/>
    <n v="5"/>
    <n v="3250"/>
    <x v="84"/>
    <n v="13260"/>
    <x v="0"/>
    <s v="Delhi"/>
    <x v="3"/>
    <m/>
    <x v="0"/>
    <n v="38"/>
    <x v="2"/>
    <s v="Sep-24"/>
    <n v="1556"/>
    <n v="0.52123076923076928"/>
  </r>
  <r>
    <s v="ORD-00103"/>
    <x v="90"/>
    <s v="CUST-0131"/>
    <s v="PROD-052"/>
    <x v="1"/>
    <n v="4"/>
    <n v="5410"/>
    <x v="85"/>
    <n v="19519.28"/>
    <x v="2"/>
    <s v="Delhi"/>
    <x v="1"/>
    <m/>
    <x v="0"/>
    <n v="28"/>
    <x v="2"/>
    <s v="Aug-24"/>
    <n v="2265"/>
    <n v="0.58133086876155271"/>
  </r>
  <r>
    <s v="ORD-00104"/>
    <x v="91"/>
    <s v="CUST-0255"/>
    <s v="PROD-003"/>
    <x v="26"/>
    <n v="8"/>
    <n v="3570"/>
    <x v="86"/>
    <n v="25389.84"/>
    <x v="0"/>
    <s v="Chennai"/>
    <x v="4"/>
    <m/>
    <x v="2"/>
    <n v="51"/>
    <x v="0"/>
    <m/>
    <m/>
    <m/>
  </r>
  <r>
    <s v="ORD-00105"/>
    <x v="92"/>
    <s v="CUST-0170"/>
    <s v="PROD-001"/>
    <x v="11"/>
    <n v="10"/>
    <n v="5330"/>
    <x v="87"/>
    <n v="42000.4"/>
    <x v="0"/>
    <s v="Mumbai"/>
    <x v="4"/>
    <m/>
    <x v="0"/>
    <n v="22"/>
    <x v="3"/>
    <s v="Apr-24"/>
    <n v="2405"/>
    <n v="0.54878048780487809"/>
  </r>
  <r>
    <s v="ORD-00106"/>
    <x v="93"/>
    <s v="CUST-0081"/>
    <s v="PROD-023"/>
    <x v="21"/>
    <n v="4"/>
    <n v="2380"/>
    <x v="22"/>
    <n v="7025.76"/>
    <x v="0"/>
    <s v="Mumbai"/>
    <x v="2"/>
    <m/>
    <x v="1"/>
    <n v="25"/>
    <x v="1"/>
    <s v="Jan-24"/>
    <n v="1182"/>
    <n v="0.50336134453781511"/>
  </r>
  <r>
    <s v="ORD-00107"/>
    <x v="94"/>
    <s v="CUST-0102"/>
    <s v="PROD-054"/>
    <x v="28"/>
    <n v="1"/>
    <n v="1010"/>
    <x v="88"/>
    <n v="813.05"/>
    <x v="2"/>
    <s v="Chennai"/>
    <x v="1"/>
    <m/>
    <x v="0"/>
    <n v="62"/>
    <x v="0"/>
    <m/>
    <m/>
    <m/>
  </r>
  <r>
    <s v="ORD-00108"/>
    <x v="85"/>
    <s v="CUST-0070"/>
    <s v="PROD-028"/>
    <x v="5"/>
    <n v="1"/>
    <n v="3660"/>
    <x v="89"/>
    <n v="3612.42"/>
    <x v="0"/>
    <s v="Mumbai"/>
    <x v="2"/>
    <m/>
    <x v="1"/>
    <n v="42"/>
    <x v="0"/>
    <m/>
    <m/>
    <m/>
  </r>
  <r>
    <s v="ORD-00109"/>
    <x v="95"/>
    <s v="CUST-0012"/>
    <s v="PROD-026"/>
    <x v="22"/>
    <n v="2"/>
    <n v="4070"/>
    <x v="5"/>
    <n v="5779.4"/>
    <x v="2"/>
    <s v="Pune"/>
    <x v="2"/>
    <m/>
    <x v="1"/>
    <n v="43"/>
    <x v="0"/>
    <m/>
    <m/>
    <m/>
  </r>
  <r>
    <s v="ORD-00110"/>
    <x v="96"/>
    <s v="CUST-0086"/>
    <s v="PROD-037"/>
    <x v="20"/>
    <n v="6"/>
    <n v="660"/>
    <x v="90"/>
    <n v="3160.08"/>
    <x v="1"/>
    <s v="Hyderabad"/>
    <x v="3"/>
    <m/>
    <x v="2"/>
    <n v="56"/>
    <x v="0"/>
    <m/>
    <m/>
    <m/>
  </r>
  <r>
    <s v="ORD-00111"/>
    <x v="97"/>
    <s v="CUST-0145"/>
    <s v="PROD-040"/>
    <x v="6"/>
    <n v="3"/>
    <n v="1080"/>
    <x v="91"/>
    <n v="2277.7199999999998"/>
    <x v="0"/>
    <s v="Bengaluru"/>
    <x v="3"/>
    <m/>
    <x v="0"/>
    <n v="44"/>
    <x v="0"/>
    <m/>
    <m/>
    <m/>
  </r>
  <r>
    <s v="ORD-00112"/>
    <x v="98"/>
    <s v="CUST-0287"/>
    <s v="PROD-020"/>
    <x v="3"/>
    <n v="7"/>
    <n v="820"/>
    <x v="92"/>
    <n v="4965.1000000000004"/>
    <x v="2"/>
    <s v="Chennai"/>
    <x v="0"/>
    <m/>
    <x v="0"/>
    <n v="53"/>
    <x v="0"/>
    <m/>
    <m/>
    <m/>
  </r>
  <r>
    <s v="ORD-00113"/>
    <x v="18"/>
    <s v="CUST-0280"/>
    <s v="PROD-049"/>
    <x v="28"/>
    <n v="4"/>
    <n v="960"/>
    <x v="4"/>
    <n v="2841.6"/>
    <x v="0"/>
    <s v="Delhi"/>
    <x v="5"/>
    <m/>
    <x v="0"/>
    <n v="27"/>
    <x v="1"/>
    <s v="Dec-24"/>
    <n v="675"/>
    <n v="0.296875"/>
  </r>
  <r>
    <s v="ORD-00114"/>
    <x v="99"/>
    <s v="CUST-0096"/>
    <s v="PROD-002"/>
    <x v="2"/>
    <n v="3"/>
    <n v="2600"/>
    <x v="93"/>
    <n v="6380.4"/>
    <x v="0"/>
    <s v="Delhi"/>
    <x v="4"/>
    <m/>
    <x v="2"/>
    <n v="27"/>
    <x v="2"/>
    <s v="Apr-24"/>
    <n v="1052"/>
    <n v="0.5953846153846154"/>
  </r>
  <r>
    <s v="ORD-00115"/>
    <x v="43"/>
    <s v="CUST-0184"/>
    <s v="PROD-033"/>
    <x v="20"/>
    <n v="9"/>
    <n v="2030"/>
    <x v="94"/>
    <n v="13501.53"/>
    <x v="0"/>
    <s v="Pune"/>
    <x v="3"/>
    <m/>
    <x v="1"/>
    <n v="63"/>
    <x v="0"/>
    <m/>
    <m/>
    <m/>
  </r>
  <r>
    <s v="ORD-00116"/>
    <x v="100"/>
    <s v="CUST-0025"/>
    <s v="PROD-042"/>
    <x v="8"/>
    <n v="8"/>
    <n v="2290"/>
    <x v="95"/>
    <n v="14509.44"/>
    <x v="0"/>
    <s v="Bengaluru"/>
    <x v="5"/>
    <m/>
    <x v="1"/>
    <n v="23"/>
    <x v="2"/>
    <s v="Mar-24"/>
    <n v="1219"/>
    <n v="0.46768558951965067"/>
  </r>
  <r>
    <s v="ORD-00117"/>
    <x v="101"/>
    <s v="CUST-0149"/>
    <s v="PROD-031"/>
    <x v="20"/>
    <n v="3"/>
    <n v="3730"/>
    <x v="96"/>
    <n v="10305.99"/>
    <x v="0"/>
    <s v="Hyderabad"/>
    <x v="3"/>
    <m/>
    <x v="1"/>
    <n v="44"/>
    <x v="0"/>
    <m/>
    <m/>
    <m/>
  </r>
  <r>
    <s v="ORD-00118"/>
    <x v="102"/>
    <s v="CUST-0018"/>
    <s v="PROD-005"/>
    <x v="2"/>
    <n v="1"/>
    <n v="300"/>
    <x v="97"/>
    <n v="249.3"/>
    <x v="1"/>
    <s v="Pune"/>
    <x v="4"/>
    <m/>
    <x v="0"/>
    <n v="54"/>
    <x v="0"/>
    <m/>
    <m/>
    <m/>
  </r>
  <r>
    <s v="ORD-00119"/>
    <x v="103"/>
    <s v="CUST-0216"/>
    <s v="PROD-005"/>
    <x v="27"/>
    <n v="3"/>
    <n v="300"/>
    <x v="43"/>
    <n v="894.6"/>
    <x v="0"/>
    <s v="Mumbai"/>
    <x v="4"/>
    <m/>
    <x v="1"/>
    <n v="50"/>
    <x v="0"/>
    <m/>
    <m/>
    <m/>
  </r>
  <r>
    <s v="ORD-00120"/>
    <x v="90"/>
    <s v="CUST-0092"/>
    <s v="PROD-043"/>
    <x v="0"/>
    <n v="6"/>
    <n v="3350"/>
    <x v="98"/>
    <n v="19637.7"/>
    <x v="2"/>
    <s v="Bengaluru"/>
    <x v="5"/>
    <m/>
    <x v="0"/>
    <n v="28"/>
    <x v="4"/>
    <s v="May-24"/>
    <n v="1728"/>
    <n v="0.48417910447761192"/>
  </r>
  <r>
    <s v="ORD-00121"/>
    <x v="104"/>
    <s v="CUST-0056"/>
    <s v="PROD-001"/>
    <x v="11"/>
    <n v="4"/>
    <n v="5330"/>
    <x v="99"/>
    <n v="15073.24"/>
    <x v="0"/>
    <s v="Bengaluru"/>
    <x v="4"/>
    <m/>
    <x v="0"/>
    <n v="46"/>
    <x v="0"/>
    <m/>
    <m/>
    <m/>
  </r>
  <r>
    <s v="ORD-00122"/>
    <x v="105"/>
    <s v="CUST-0113"/>
    <s v="PROD-014"/>
    <x v="25"/>
    <n v="6"/>
    <n v="3620"/>
    <x v="1"/>
    <n v="19374.240000000002"/>
    <x v="0"/>
    <s v="Delhi"/>
    <x v="0"/>
    <m/>
    <x v="1"/>
    <n v="30"/>
    <x v="1"/>
    <s v="May-24"/>
    <n v="2509"/>
    <n v="0.3069060773480663"/>
  </r>
  <r>
    <s v="ORD-00123"/>
    <x v="106"/>
    <s v="CUST-0253"/>
    <s v="PROD-014"/>
    <x v="1"/>
    <n v="6"/>
    <n v="3620"/>
    <x v="11"/>
    <n v="17006.759999999998"/>
    <x v="0"/>
    <s v="Delhi"/>
    <x v="0"/>
    <m/>
    <x v="0"/>
    <n v="53"/>
    <x v="0"/>
    <m/>
    <m/>
    <m/>
  </r>
  <r>
    <s v="ORD-00124"/>
    <x v="107"/>
    <s v="CUST-0187"/>
    <s v="PROD-057"/>
    <x v="4"/>
    <n v="8"/>
    <n v="960"/>
    <x v="100"/>
    <n v="5537.28"/>
    <x v="0"/>
    <s v="Chennai"/>
    <x v="1"/>
    <m/>
    <x v="0"/>
    <n v="51"/>
    <x v="0"/>
    <m/>
    <m/>
    <m/>
  </r>
  <r>
    <s v="ORD-00125"/>
    <x v="108"/>
    <s v="CUST-0028"/>
    <s v="PROD-044"/>
    <x v="5"/>
    <n v="5"/>
    <n v="1650"/>
    <x v="101"/>
    <n v="7845.75"/>
    <x v="0"/>
    <s v="Bengaluru"/>
    <x v="5"/>
    <m/>
    <x v="1"/>
    <n v="59"/>
    <x v="0"/>
    <m/>
    <m/>
    <m/>
  </r>
  <r>
    <s v="ORD-00126"/>
    <x v="95"/>
    <s v="CUST-0224"/>
    <s v="PROD-049"/>
    <x v="9"/>
    <n v="9"/>
    <n v="960"/>
    <x v="102"/>
    <n v="6471.36"/>
    <x v="3"/>
    <s v="Chennai"/>
    <x v="5"/>
    <m/>
    <x v="2"/>
    <n v="24"/>
    <x v="2"/>
    <s v="Dec-24"/>
    <n v="675"/>
    <n v="0.296875"/>
  </r>
  <r>
    <s v="ORD-00127"/>
    <x v="99"/>
    <s v="CUST-0150"/>
    <s v="PROD-006"/>
    <x v="11"/>
    <n v="7"/>
    <n v="3970"/>
    <x v="103"/>
    <n v="23954.98"/>
    <x v="1"/>
    <s v="Pune"/>
    <x v="4"/>
    <m/>
    <x v="0"/>
    <n v="53"/>
    <x v="0"/>
    <m/>
    <m/>
    <m/>
  </r>
  <r>
    <s v="ORD-00128"/>
    <x v="109"/>
    <s v="CUST-0129"/>
    <s v="PROD-030"/>
    <x v="1"/>
    <n v="7"/>
    <n v="970"/>
    <x v="104"/>
    <n v="5323.36"/>
    <x v="1"/>
    <s v="Hyderabad"/>
    <x v="2"/>
    <m/>
    <x v="1"/>
    <n v="29"/>
    <x v="1"/>
    <s v="Jun-24"/>
    <n v="434"/>
    <n v="0.5525773195876289"/>
  </r>
  <r>
    <s v="ORD-00129"/>
    <x v="110"/>
    <s v="CUST-0239"/>
    <s v="PROD-033"/>
    <x v="19"/>
    <n v="10"/>
    <n v="2030"/>
    <x v="9"/>
    <n v="20056.400000000001"/>
    <x v="0"/>
    <s v="Mumbai"/>
    <x v="3"/>
    <m/>
    <x v="1"/>
    <n v="61"/>
    <x v="0"/>
    <m/>
    <m/>
    <m/>
  </r>
  <r>
    <s v="ORD-00130"/>
    <x v="93"/>
    <s v="CUST-0106"/>
    <s v="PROD-024"/>
    <x v="13"/>
    <n v="9"/>
    <n v="2270"/>
    <x v="105"/>
    <n v="17733.240000000002"/>
    <x v="1"/>
    <s v="Pune"/>
    <x v="2"/>
    <m/>
    <x v="1"/>
    <n v="22"/>
    <x v="1"/>
    <s v="Sep-24"/>
    <n v="1203"/>
    <n v="0.47004405286343615"/>
  </r>
  <r>
    <s v="ORD-00131"/>
    <x v="111"/>
    <s v="CUST-0273"/>
    <s v="PROD-046"/>
    <x v="11"/>
    <n v="8"/>
    <n v="4880"/>
    <x v="106"/>
    <n v="33808.639999999999"/>
    <x v="0"/>
    <s v="Hyderabad"/>
    <x v="5"/>
    <m/>
    <x v="2"/>
    <n v="32"/>
    <x v="3"/>
    <s v="Dec-24"/>
    <n v="2768"/>
    <n v="0.43278688524590164"/>
  </r>
  <r>
    <s v="ORD-00132"/>
    <x v="112"/>
    <s v="CUST-0114"/>
    <s v="PROD-004"/>
    <x v="23"/>
    <n v="10"/>
    <n v="3870"/>
    <x v="46"/>
    <n v="29450.7"/>
    <x v="0"/>
    <s v="Bengaluru"/>
    <x v="4"/>
    <m/>
    <x v="2"/>
    <n v="42"/>
    <x v="0"/>
    <m/>
    <m/>
    <m/>
  </r>
  <r>
    <s v="ORD-00133"/>
    <x v="113"/>
    <s v="CUST-0146"/>
    <s v="PROD-042"/>
    <x v="25"/>
    <n v="4"/>
    <n v="2290"/>
    <x v="107"/>
    <n v="7767.68"/>
    <x v="0"/>
    <s v="Hyderabad"/>
    <x v="5"/>
    <m/>
    <x v="1"/>
    <n v="22"/>
    <x v="4"/>
    <s v="Feb-24"/>
    <n v="1219"/>
    <n v="0.46768558951965067"/>
  </r>
  <r>
    <s v="ORD-00134"/>
    <x v="68"/>
    <s v="CUST-0298"/>
    <s v="PROD-023"/>
    <x v="16"/>
    <n v="8"/>
    <n v="2380"/>
    <x v="108"/>
    <n v="18240.32"/>
    <x v="0"/>
    <s v="Delhi"/>
    <x v="2"/>
    <m/>
    <x v="1"/>
    <n v="44"/>
    <x v="0"/>
    <m/>
    <m/>
    <m/>
  </r>
  <r>
    <s v="ORD-00135"/>
    <x v="114"/>
    <s v="CUST-0111"/>
    <s v="PROD-029"/>
    <x v="22"/>
    <n v="8"/>
    <n v="2210"/>
    <x v="44"/>
    <n v="15646.8"/>
    <x v="0"/>
    <s v="Chennai"/>
    <x v="2"/>
    <m/>
    <x v="0"/>
    <n v="64"/>
    <x v="0"/>
    <m/>
    <m/>
    <m/>
  </r>
  <r>
    <s v="ORD-01445"/>
    <x v="107"/>
    <s v="CUST-0291"/>
    <s v="PROD-001"/>
    <x v="24"/>
    <n v="4"/>
    <n v="5330"/>
    <x v="109"/>
    <n v="16501.68"/>
    <x v="1"/>
    <s v="Pune"/>
    <x v="4"/>
    <m/>
    <x v="0"/>
    <n v="29"/>
    <x v="4"/>
    <s v="Jan-24"/>
    <n v="2405"/>
    <n v="0.54878048780487809"/>
  </r>
  <r>
    <s v="ORD-00137"/>
    <x v="115"/>
    <s v="CUST-0024"/>
    <s v="PROD-006"/>
    <x v="24"/>
    <n v="8"/>
    <n v="3970"/>
    <x v="110"/>
    <n v="24836.32"/>
    <x v="0"/>
    <s v="Chennai"/>
    <x v="4"/>
    <m/>
    <x v="0"/>
    <n v="64"/>
    <x v="0"/>
    <m/>
    <m/>
    <m/>
  </r>
  <r>
    <s v="ORD-00138"/>
    <x v="14"/>
    <s v="CUST-0210"/>
    <s v="PROD-012"/>
    <x v="16"/>
    <n v="10"/>
    <n v="3160"/>
    <x v="111"/>
    <n v="26512.400000000001"/>
    <x v="2"/>
    <s v="Pune"/>
    <x v="0"/>
    <m/>
    <x v="2"/>
    <n v="48"/>
    <x v="0"/>
    <m/>
    <m/>
    <m/>
  </r>
  <r>
    <s v="ORD-00139"/>
    <x v="54"/>
    <s v="CUST-0192"/>
    <s v="PROD-060"/>
    <x v="18"/>
    <n v="5"/>
    <n v="190"/>
    <x v="112"/>
    <n v="809.4"/>
    <x v="0"/>
    <s v="Bengaluru"/>
    <x v="1"/>
    <m/>
    <x v="1"/>
    <n v="55"/>
    <x v="0"/>
    <m/>
    <m/>
    <m/>
  </r>
  <r>
    <s v="ORD-00140"/>
    <x v="116"/>
    <s v="CUST-0078"/>
    <s v="PROD-021"/>
    <x v="0"/>
    <n v="6"/>
    <n v="2760"/>
    <x v="113"/>
    <n v="13281.12"/>
    <x v="0"/>
    <s v="Delhi"/>
    <x v="2"/>
    <m/>
    <x v="1"/>
    <n v="31"/>
    <x v="4"/>
    <s v="May-24"/>
    <n v="1435"/>
    <n v="0.48007246376811596"/>
  </r>
  <r>
    <s v="ORD-00141"/>
    <x v="117"/>
    <s v="CUST-0070"/>
    <s v="PROD-022"/>
    <x v="7"/>
    <n v="9"/>
    <n v="2270"/>
    <x v="95"/>
    <n v="16180.56"/>
    <x v="2"/>
    <s v="Mumbai"/>
    <x v="2"/>
    <m/>
    <x v="1"/>
    <n v="42"/>
    <x v="0"/>
    <m/>
    <m/>
    <m/>
  </r>
  <r>
    <s v="ORD-00142"/>
    <x v="60"/>
    <s v="CUST-0159"/>
    <s v="PROD-052"/>
    <x v="19"/>
    <n v="8"/>
    <n v="5410"/>
    <x v="114"/>
    <n v="37696.879999999997"/>
    <x v="0"/>
    <s v="Hyderabad"/>
    <x v="1"/>
    <m/>
    <x v="1"/>
    <n v="32"/>
    <x v="3"/>
    <s v="Nov-24"/>
    <n v="2265"/>
    <n v="0.58133086876155271"/>
  </r>
  <r>
    <s v="ORD-00143"/>
    <x v="118"/>
    <s v="CUST-0294"/>
    <s v="PROD-024"/>
    <x v="18"/>
    <n v="9"/>
    <n v="2270"/>
    <x v="115"/>
    <n v="19040.759999999998"/>
    <x v="0"/>
    <s v="Delhi"/>
    <x v="2"/>
    <m/>
    <x v="2"/>
    <n v="31"/>
    <x v="1"/>
    <s v="Feb-24"/>
    <n v="1203"/>
    <n v="0.47004405286343615"/>
  </r>
  <r>
    <s v="ORD-00144"/>
    <x v="119"/>
    <s v="CUST-0280"/>
    <s v="PROD-012"/>
    <x v="19"/>
    <n v="3"/>
    <n v="3160"/>
    <x v="38"/>
    <n v="8266.56"/>
    <x v="0"/>
    <s v="Delhi"/>
    <x v="0"/>
    <m/>
    <x v="0"/>
    <n v="27"/>
    <x v="4"/>
    <s v="Aug-24"/>
    <n v="1886"/>
    <n v="0.4031645569620253"/>
  </r>
  <r>
    <s v="ORD-00145"/>
    <x v="120"/>
    <s v="CUST-0291"/>
    <s v="PROD-025"/>
    <x v="8"/>
    <n v="8"/>
    <n v="4060"/>
    <x v="116"/>
    <n v="25691.68"/>
    <x v="0"/>
    <s v="Pune"/>
    <x v="2"/>
    <m/>
    <x v="0"/>
    <n v="29"/>
    <x v="1"/>
    <s v="Jan-24"/>
    <n v="2911"/>
    <n v="0.28300492610837441"/>
  </r>
  <r>
    <s v="ORD-00146"/>
    <x v="121"/>
    <s v="CUST-9657"/>
    <s v="PROD-020"/>
    <x v="26"/>
    <n v="5"/>
    <n v="820"/>
    <x v="117"/>
    <n v="3726.9"/>
    <x v="3"/>
    <s v="Pune"/>
    <x v="0"/>
    <m/>
    <x v="3"/>
    <e v="#N/A"/>
    <x v="0"/>
    <m/>
    <m/>
    <m/>
  </r>
  <r>
    <s v="ORD-00147"/>
    <x v="122"/>
    <s v="CUST-0080"/>
    <s v="PROD-032"/>
    <x v="0"/>
    <n v="5"/>
    <n v="370"/>
    <x v="44"/>
    <n v="1637.25"/>
    <x v="0"/>
    <s v="Pune"/>
    <x v="3"/>
    <m/>
    <x v="0"/>
    <n v="30"/>
    <x v="3"/>
    <s v="Jun-24"/>
    <n v="288"/>
    <n v="0.22162162162162163"/>
  </r>
  <r>
    <s v="ORD-00148"/>
    <x v="123"/>
    <s v="CUST-0172"/>
    <s v="PROD-034"/>
    <x v="25"/>
    <n v="9"/>
    <n v="5080"/>
    <x v="118"/>
    <n v="33147"/>
    <x v="0"/>
    <s v="Pune"/>
    <x v="3"/>
    <m/>
    <x v="1"/>
    <n v="65"/>
    <x v="0"/>
    <m/>
    <m/>
    <m/>
  </r>
  <r>
    <s v="ORD-00149"/>
    <x v="124"/>
    <s v="CUST-0051"/>
    <s v="PROD-026"/>
    <x v="27"/>
    <n v="6"/>
    <n v="4070"/>
    <x v="119"/>
    <n v="21367.5"/>
    <x v="0"/>
    <s v="Pune"/>
    <x v="2"/>
    <m/>
    <x v="0"/>
    <n v="54"/>
    <x v="0"/>
    <m/>
    <m/>
    <m/>
  </r>
  <r>
    <s v="ORD-00150"/>
    <x v="63"/>
    <s v="CUST-0080"/>
    <s v="PROD-005"/>
    <x v="6"/>
    <n v="5"/>
    <n v="300"/>
    <x v="28"/>
    <n v="1113"/>
    <x v="0"/>
    <s v="Pune"/>
    <x v="4"/>
    <m/>
    <x v="0"/>
    <n v="30"/>
    <x v="4"/>
    <s v="May-24"/>
    <n v="128"/>
    <n v="0.57333333333333336"/>
  </r>
  <r>
    <s v="ORD-00151"/>
    <x v="125"/>
    <s v="CUST-0137"/>
    <s v="PROD-048"/>
    <x v="23"/>
    <n v="7"/>
    <n v="5100"/>
    <x v="49"/>
    <n v="25418.400000000001"/>
    <x v="0"/>
    <s v="Mumbai"/>
    <x v="5"/>
    <m/>
    <x v="1"/>
    <n v="41"/>
    <x v="0"/>
    <m/>
    <m/>
    <m/>
  </r>
  <r>
    <s v="ORD-00152"/>
    <x v="126"/>
    <s v="CUST-0222"/>
    <s v="PROD-038"/>
    <x v="27"/>
    <n v="2"/>
    <n v="5490"/>
    <x v="120"/>
    <n v="10376.1"/>
    <x v="0"/>
    <s v="Chennai"/>
    <x v="3"/>
    <m/>
    <x v="1"/>
    <n v="37"/>
    <x v="4"/>
    <s v="Jan-24"/>
    <n v="2549"/>
    <n v="0.53570127504553733"/>
  </r>
  <r>
    <s v="ORD-00153"/>
    <x v="127"/>
    <s v="CUST-0117"/>
    <s v="PROD-011"/>
    <x v="15"/>
    <n v="2"/>
    <n v="3450"/>
    <x v="9"/>
    <n v="6817.2"/>
    <x v="0"/>
    <s v="Delhi"/>
    <x v="0"/>
    <m/>
    <x v="0"/>
    <n v="34"/>
    <x v="4"/>
    <s v="Aug-24"/>
    <n v="1748"/>
    <n v="0.49333333333333335"/>
  </r>
  <r>
    <s v="ORD-00154"/>
    <x v="21"/>
    <s v="CUST-0104"/>
    <s v="PROD-029"/>
    <x v="25"/>
    <n v="10"/>
    <n v="2210"/>
    <x v="121"/>
    <n v="17945.2"/>
    <x v="0"/>
    <s v="Hyderabad"/>
    <x v="2"/>
    <m/>
    <x v="2"/>
    <n v="43"/>
    <x v="0"/>
    <m/>
    <m/>
    <m/>
  </r>
  <r>
    <s v="ORD-00155"/>
    <x v="128"/>
    <s v="CUST-0082"/>
    <s v="PROD-036"/>
    <x v="22"/>
    <n v="2"/>
    <n v="3250"/>
    <x v="22"/>
    <n v="4797"/>
    <x v="0"/>
    <s v="Hyderabad"/>
    <x v="3"/>
    <m/>
    <x v="0"/>
    <n v="36"/>
    <x v="1"/>
    <s v="Aug-24"/>
    <n v="1556"/>
    <n v="0.52123076923076928"/>
  </r>
  <r>
    <s v="ORD-00156"/>
    <x v="129"/>
    <s v="CUST-0165"/>
    <s v="PROD-012"/>
    <x v="19"/>
    <n v="5"/>
    <n v="3160"/>
    <x v="122"/>
    <n v="15657.8"/>
    <x v="0"/>
    <s v="Pune"/>
    <x v="0"/>
    <m/>
    <x v="1"/>
    <n v="29"/>
    <x v="4"/>
    <s v="Dec-24"/>
    <n v="1886"/>
    <n v="0.4031645569620253"/>
  </r>
  <r>
    <s v="ORD-00157"/>
    <x v="130"/>
    <s v="CUST-0150"/>
    <s v="PROD-004"/>
    <x v="14"/>
    <n v="4"/>
    <n v="3870"/>
    <x v="123"/>
    <n v="10897.92"/>
    <x v="2"/>
    <s v="Pune"/>
    <x v="4"/>
    <m/>
    <x v="0"/>
    <n v="53"/>
    <x v="0"/>
    <m/>
    <m/>
    <m/>
  </r>
  <r>
    <s v="ORD-00158"/>
    <x v="131"/>
    <s v="CUST-0228"/>
    <s v="PROD-059"/>
    <x v="24"/>
    <n v="4"/>
    <n v="3780"/>
    <x v="124"/>
    <n v="14590.8"/>
    <x v="2"/>
    <s v="Pune"/>
    <x v="1"/>
    <m/>
    <x v="2"/>
    <n v="37"/>
    <x v="2"/>
    <s v="Jun-24"/>
    <n v="1860"/>
    <n v="0.50793650793650791"/>
  </r>
  <r>
    <s v="ORD-00159"/>
    <x v="49"/>
    <s v="CUST-0197"/>
    <s v="PROD-045"/>
    <x v="13"/>
    <n v="4"/>
    <n v="3020"/>
    <x v="125"/>
    <n v="9796.8799999999992"/>
    <x v="0"/>
    <s v="Bengaluru"/>
    <x v="5"/>
    <m/>
    <x v="1"/>
    <n v="55"/>
    <x v="0"/>
    <m/>
    <m/>
    <m/>
  </r>
  <r>
    <s v="ORD-00160"/>
    <x v="132"/>
    <s v="CUST-0009"/>
    <s v="PROD-031"/>
    <x v="15"/>
    <n v="1"/>
    <n v="3730"/>
    <x v="1"/>
    <n v="3327.16"/>
    <x v="3"/>
    <s v="Mumbai"/>
    <x v="3"/>
    <m/>
    <x v="1"/>
    <n v="61"/>
    <x v="0"/>
    <m/>
    <m/>
    <m/>
  </r>
  <r>
    <s v="ORD-00161"/>
    <x v="18"/>
    <s v="CUST-0139"/>
    <s v="PROD-046"/>
    <x v="26"/>
    <n v="8"/>
    <n v="4880"/>
    <x v="126"/>
    <n v="31114.880000000001"/>
    <x v="0"/>
    <s v="Hyderabad"/>
    <x v="5"/>
    <m/>
    <x v="0"/>
    <n v="65"/>
    <x v="0"/>
    <m/>
    <m/>
    <m/>
  </r>
  <r>
    <s v="ORD-00162"/>
    <x v="133"/>
    <s v="CUST-0184"/>
    <s v="PROD-030"/>
    <x v="17"/>
    <n v="9"/>
    <n v="970"/>
    <x v="93"/>
    <n v="7141.14"/>
    <x v="0"/>
    <s v="Pune"/>
    <x v="2"/>
    <m/>
    <x v="1"/>
    <n v="63"/>
    <x v="0"/>
    <m/>
    <m/>
    <m/>
  </r>
  <r>
    <s v="ORD-00163"/>
    <x v="33"/>
    <s v="CUST-0119"/>
    <s v="PROD-008"/>
    <x v="21"/>
    <n v="8"/>
    <n v="2660"/>
    <x v="127"/>
    <n v="17534.72"/>
    <x v="0"/>
    <s v="Bengaluru"/>
    <x v="4"/>
    <m/>
    <x v="0"/>
    <n v="43"/>
    <x v="0"/>
    <m/>
    <m/>
    <m/>
  </r>
  <r>
    <s v="ORD-00164"/>
    <x v="85"/>
    <s v="CUST-0280"/>
    <s v="PROD-020"/>
    <x v="15"/>
    <n v="2"/>
    <n v="820"/>
    <x v="128"/>
    <n v="1343.16"/>
    <x v="2"/>
    <s v="Delhi"/>
    <x v="0"/>
    <m/>
    <x v="0"/>
    <n v="27"/>
    <x v="3"/>
    <s v="May-24"/>
    <n v="391"/>
    <n v="0.52317073170731709"/>
  </r>
  <r>
    <s v="ORD-00165"/>
    <x v="134"/>
    <s v="CUST-0240"/>
    <s v="PROD-033"/>
    <x v="18"/>
    <n v="7"/>
    <n v="2030"/>
    <x v="129"/>
    <n v="10842.23"/>
    <x v="1"/>
    <s v="Chennai"/>
    <x v="3"/>
    <m/>
    <x v="2"/>
    <n v="35"/>
    <x v="4"/>
    <s v="May-24"/>
    <n v="1143"/>
    <n v="0.43694581280788175"/>
  </r>
  <r>
    <s v="ORD-00166"/>
    <x v="80"/>
    <s v="CUST-0067"/>
    <s v="PROD-016"/>
    <x v="18"/>
    <n v="5"/>
    <n v="620"/>
    <x v="103"/>
    <n v="2672.2"/>
    <x v="0"/>
    <s v="Delhi"/>
    <x v="0"/>
    <m/>
    <x v="0"/>
    <n v="59"/>
    <x v="0"/>
    <m/>
    <m/>
    <m/>
  </r>
  <r>
    <s v="ORD-00167"/>
    <x v="135"/>
    <s v="CUST-0117"/>
    <s v="PROD-022"/>
    <x v="24"/>
    <n v="7"/>
    <n v="2270"/>
    <x v="120"/>
    <n v="15016.05"/>
    <x v="0"/>
    <s v="Delhi"/>
    <x v="2"/>
    <m/>
    <x v="0"/>
    <n v="34"/>
    <x v="4"/>
    <s v="Aug-24"/>
    <n v="1412"/>
    <n v="0.37797356828193834"/>
  </r>
  <r>
    <s v="ORD-00168"/>
    <x v="136"/>
    <s v="CUST-0101"/>
    <s v="PROD-053"/>
    <x v="29"/>
    <n v="1"/>
    <n v="470"/>
    <x v="130"/>
    <n v="405.61"/>
    <x v="1"/>
    <s v="Hyderabad"/>
    <x v="1"/>
    <m/>
    <x v="0"/>
    <n v="40"/>
    <x v="3"/>
    <s v="Jul-24"/>
    <n v="302"/>
    <n v="0.35744680851063831"/>
  </r>
  <r>
    <s v="ORD-00169"/>
    <x v="131"/>
    <s v="CUST-0184"/>
    <s v="PROD-001"/>
    <x v="0"/>
    <n v="6"/>
    <n v="5330"/>
    <x v="131"/>
    <n v="26255.58"/>
    <x v="0"/>
    <s v="Pune"/>
    <x v="4"/>
    <m/>
    <x v="1"/>
    <n v="63"/>
    <x v="0"/>
    <m/>
    <m/>
    <m/>
  </r>
  <r>
    <s v="ORD-00170"/>
    <x v="137"/>
    <s v="CUST-0087"/>
    <s v="PROD-050"/>
    <x v="25"/>
    <n v="1"/>
    <n v="6080"/>
    <x v="47"/>
    <n v="4529.6000000000004"/>
    <x v="0"/>
    <s v="Pune"/>
    <x v="5"/>
    <m/>
    <x v="0"/>
    <n v="49"/>
    <x v="0"/>
    <m/>
    <m/>
    <m/>
  </r>
  <r>
    <s v="ORD-00171"/>
    <x v="138"/>
    <s v="CUST-0261"/>
    <s v="PROD-027"/>
    <x v="24"/>
    <n v="5"/>
    <n v="3780"/>
    <x v="132"/>
    <n v="13494.6"/>
    <x v="0"/>
    <s v="Delhi"/>
    <x v="2"/>
    <m/>
    <x v="1"/>
    <n v="54"/>
    <x v="0"/>
    <m/>
    <m/>
    <m/>
  </r>
  <r>
    <s v="ORD-00172"/>
    <x v="139"/>
    <s v="CUST-0027"/>
    <s v="PROD-016"/>
    <x v="9"/>
    <n v="5"/>
    <n v="620"/>
    <x v="133"/>
    <n v="2886.1"/>
    <x v="2"/>
    <s v="Hyderabad"/>
    <x v="0"/>
    <m/>
    <x v="2"/>
    <n v="52"/>
    <x v="0"/>
    <m/>
    <m/>
    <m/>
  </r>
  <r>
    <s v="ORD-00173"/>
    <x v="140"/>
    <s v="CUST-0210"/>
    <s v="PROD-017"/>
    <x v="28"/>
    <n v="8"/>
    <n v="2510"/>
    <x v="134"/>
    <n v="19939.439999999999"/>
    <x v="0"/>
    <s v="Pune"/>
    <x v="0"/>
    <m/>
    <x v="2"/>
    <n v="48"/>
    <x v="0"/>
    <m/>
    <m/>
    <m/>
  </r>
  <r>
    <s v="ORD-00174"/>
    <x v="141"/>
    <s v="CUST-0163"/>
    <s v="PROD-015"/>
    <x v="16"/>
    <n v="1"/>
    <n v="2720"/>
    <x v="130"/>
    <n v="2347.36"/>
    <x v="0"/>
    <s v="Pune"/>
    <x v="0"/>
    <m/>
    <x v="1"/>
    <n v="49"/>
    <x v="0"/>
    <m/>
    <m/>
    <m/>
  </r>
  <r>
    <s v="ORD-00175"/>
    <x v="14"/>
    <s v="CUST-0059"/>
    <s v="PROD-053"/>
    <x v="26"/>
    <n v="9"/>
    <n v="470"/>
    <x v="26"/>
    <n v="3231.72"/>
    <x v="0"/>
    <s v="Pune"/>
    <x v="1"/>
    <m/>
    <x v="2"/>
    <n v="29"/>
    <x v="3"/>
    <s v="Jan-24"/>
    <n v="302"/>
    <n v="0.35744680851063831"/>
  </r>
  <r>
    <s v="ORD-00176"/>
    <x v="142"/>
    <s v="CUST-0020"/>
    <s v="PROD-036"/>
    <x v="26"/>
    <n v="10"/>
    <n v="3250"/>
    <x v="72"/>
    <n v="25675"/>
    <x v="2"/>
    <s v="Hyderabad"/>
    <x v="3"/>
    <m/>
    <x v="1"/>
    <n v="46"/>
    <x v="0"/>
    <m/>
    <m/>
    <m/>
  </r>
  <r>
    <s v="ORD-00177"/>
    <x v="51"/>
    <s v="CUST-0048"/>
    <s v="PROD-034"/>
    <x v="8"/>
    <n v="6"/>
    <n v="5080"/>
    <x v="135"/>
    <n v="25359.360000000001"/>
    <x v="1"/>
    <s v="Delhi"/>
    <x v="3"/>
    <m/>
    <x v="1"/>
    <n v="59"/>
    <x v="0"/>
    <m/>
    <m/>
    <m/>
  </r>
  <r>
    <s v="ORD-00178"/>
    <x v="42"/>
    <s v="CUST-0172"/>
    <s v="PROD-003"/>
    <x v="27"/>
    <n v="2"/>
    <n v="3570"/>
    <x v="51"/>
    <n v="6661.62"/>
    <x v="2"/>
    <s v="Pune"/>
    <x v="4"/>
    <m/>
    <x v="1"/>
    <n v="65"/>
    <x v="0"/>
    <m/>
    <m/>
    <m/>
  </r>
  <r>
    <s v="ORD-00179"/>
    <x v="143"/>
    <s v="CUST-0124"/>
    <s v="PROD-013"/>
    <x v="27"/>
    <n v="4"/>
    <n v="3640"/>
    <x v="84"/>
    <n v="11880.96"/>
    <x v="0"/>
    <s v="Pune"/>
    <x v="0"/>
    <m/>
    <x v="1"/>
    <n v="57"/>
    <x v="0"/>
    <m/>
    <m/>
    <m/>
  </r>
  <r>
    <s v="ORD-00180"/>
    <x v="111"/>
    <s v="CUST-0184"/>
    <s v="PROD-026"/>
    <x v="19"/>
    <n v="8"/>
    <n v="4070"/>
    <x v="136"/>
    <n v="30411.040000000001"/>
    <x v="0"/>
    <s v="Pune"/>
    <x v="2"/>
    <m/>
    <x v="1"/>
    <n v="63"/>
    <x v="0"/>
    <m/>
    <m/>
    <m/>
  </r>
  <r>
    <s v="ORD-00181"/>
    <x v="40"/>
    <s v="CUST-0259"/>
    <s v="PROD-011"/>
    <x v="27"/>
    <n v="6"/>
    <n v="3450"/>
    <x v="137"/>
    <n v="17719.2"/>
    <x v="1"/>
    <s v="Mumbai"/>
    <x v="0"/>
    <m/>
    <x v="1"/>
    <n v="34"/>
    <x v="1"/>
    <s v="Aug-24"/>
    <n v="1748"/>
    <n v="0.49333333333333335"/>
  </r>
  <r>
    <s v="ORD-00182"/>
    <x v="68"/>
    <s v="CUST-0204"/>
    <s v="PROD-034"/>
    <x v="20"/>
    <n v="7"/>
    <n v="5080"/>
    <x v="55"/>
    <n v="26527.759999999998"/>
    <x v="1"/>
    <s v="Hyderabad"/>
    <x v="3"/>
    <m/>
    <x v="1"/>
    <n v="60"/>
    <x v="0"/>
    <m/>
    <m/>
    <m/>
  </r>
  <r>
    <s v="ORD-00183"/>
    <x v="144"/>
    <s v="CUST-0032"/>
    <s v="PROD-021"/>
    <x v="8"/>
    <n v="10"/>
    <n v="2760"/>
    <x v="138"/>
    <n v="22052.400000000001"/>
    <x v="0"/>
    <s v="Hyderabad"/>
    <x v="2"/>
    <m/>
    <x v="1"/>
    <n v="28"/>
    <x v="2"/>
    <s v="May-24"/>
    <n v="1435"/>
    <n v="0.48007246376811596"/>
  </r>
  <r>
    <s v="ORD-00184"/>
    <x v="145"/>
    <s v="CUST-0239"/>
    <s v="PROD-044"/>
    <x v="29"/>
    <n v="6"/>
    <n v="1650"/>
    <x v="139"/>
    <n v="8781.2999999999993"/>
    <x v="1"/>
    <s v="Mumbai"/>
    <x v="5"/>
    <m/>
    <x v="1"/>
    <n v="61"/>
    <x v="0"/>
    <m/>
    <m/>
    <m/>
  </r>
  <r>
    <s v="ORD-00185"/>
    <x v="146"/>
    <s v="CUST-0191"/>
    <s v="PROD-004"/>
    <x v="0"/>
    <n v="9"/>
    <n v="3870"/>
    <x v="118"/>
    <n v="25251.75"/>
    <x v="0"/>
    <s v="Hyderabad"/>
    <x v="4"/>
    <m/>
    <x v="0"/>
    <n v="43"/>
    <x v="0"/>
    <m/>
    <m/>
    <m/>
  </r>
  <r>
    <s v="ORD-00186"/>
    <x v="147"/>
    <s v="CUST-0284"/>
    <s v="PROD-035"/>
    <x v="24"/>
    <n v="2"/>
    <n v="1090"/>
    <x v="58"/>
    <n v="1772.34"/>
    <x v="3"/>
    <s v="Hyderabad"/>
    <x v="3"/>
    <m/>
    <x v="0"/>
    <n v="65"/>
    <x v="0"/>
    <m/>
    <m/>
    <m/>
  </r>
  <r>
    <s v="ORD-00187"/>
    <x v="148"/>
    <s v="CUST-0274"/>
    <s v="PROD-049"/>
    <x v="5"/>
    <n v="4"/>
    <n v="960"/>
    <x v="140"/>
    <n v="2941.44"/>
    <x v="0"/>
    <s v="Bengaluru"/>
    <x v="5"/>
    <m/>
    <x v="2"/>
    <n v="36"/>
    <x v="3"/>
    <s v="Aug-24"/>
    <n v="675"/>
    <n v="0.296875"/>
  </r>
  <r>
    <s v="ORD-00188"/>
    <x v="149"/>
    <s v="CUST-0234"/>
    <s v="PROD-043"/>
    <x v="13"/>
    <n v="3"/>
    <n v="3350"/>
    <x v="131"/>
    <n v="8251.0499999999993"/>
    <x v="0"/>
    <s v="Bengaluru"/>
    <x v="5"/>
    <m/>
    <x v="1"/>
    <n v="34"/>
    <x v="2"/>
    <s v="Sep-24"/>
    <n v="1728"/>
    <n v="0.48417910447761192"/>
  </r>
  <r>
    <s v="ORD-00189"/>
    <x v="150"/>
    <s v="CUST-0264"/>
    <s v="PROD-022"/>
    <x v="1"/>
    <n v="4"/>
    <n v="2270"/>
    <x v="5"/>
    <n v="6446.8"/>
    <x v="0"/>
    <s v="Pune"/>
    <x v="2"/>
    <m/>
    <x v="1"/>
    <n v="59"/>
    <x v="0"/>
    <m/>
    <m/>
    <m/>
  </r>
  <r>
    <s v="ORD-00190"/>
    <x v="151"/>
    <s v="CUST-0192"/>
    <s v="PROD-039"/>
    <x v="12"/>
    <n v="9"/>
    <n v="4610"/>
    <x v="141"/>
    <n v="29748.33"/>
    <x v="1"/>
    <s v="Bengaluru"/>
    <x v="3"/>
    <m/>
    <x v="1"/>
    <n v="55"/>
    <x v="0"/>
    <m/>
    <m/>
    <m/>
  </r>
  <r>
    <s v="ORD-00191"/>
    <x v="152"/>
    <s v="CUST-0041"/>
    <s v="PROD-012"/>
    <x v="18"/>
    <n v="3"/>
    <n v="3160"/>
    <x v="18"/>
    <n v="8787.9599999999991"/>
    <x v="0"/>
    <s v="Bengaluru"/>
    <x v="0"/>
    <m/>
    <x v="0"/>
    <n v="26"/>
    <x v="3"/>
    <s v="Jun-24"/>
    <n v="1886"/>
    <n v="0.4031645569620253"/>
  </r>
  <r>
    <s v="ORD-00192"/>
    <x v="52"/>
    <s v="CUST-0043"/>
    <s v="PROD-022"/>
    <x v="10"/>
    <n v="8"/>
    <n v="2270"/>
    <x v="142"/>
    <n v="15327.04"/>
    <x v="0"/>
    <s v="Hyderabad"/>
    <x v="2"/>
    <m/>
    <x v="1"/>
    <n v="61"/>
    <x v="0"/>
    <m/>
    <m/>
    <m/>
  </r>
  <r>
    <s v="ORD-00193"/>
    <x v="64"/>
    <s v="CUST-0147"/>
    <s v="PROD-045"/>
    <x v="8"/>
    <n v="8"/>
    <n v="3020"/>
    <x v="143"/>
    <n v="20221.919999999998"/>
    <x v="2"/>
    <s v="Pune"/>
    <x v="5"/>
    <m/>
    <x v="1"/>
    <n v="56"/>
    <x v="0"/>
    <m/>
    <m/>
    <m/>
  </r>
  <r>
    <s v="ORD-00194"/>
    <x v="7"/>
    <s v="CUST-0056"/>
    <s v="PROD-056"/>
    <x v="14"/>
    <n v="7"/>
    <n v="6940"/>
    <x v="144"/>
    <n v="44450.7"/>
    <x v="0"/>
    <s v="Bengaluru"/>
    <x v="1"/>
    <m/>
    <x v="0"/>
    <n v="46"/>
    <x v="0"/>
    <m/>
    <m/>
    <m/>
  </r>
  <r>
    <s v="ORD-00195"/>
    <x v="14"/>
    <s v="CUST-0059"/>
    <s v="PROD-041"/>
    <x v="27"/>
    <n v="8"/>
    <n v="1540"/>
    <x v="72"/>
    <n v="9732.7999999999993"/>
    <x v="0"/>
    <s v="Pune"/>
    <x v="5"/>
    <m/>
    <x v="2"/>
    <n v="29"/>
    <x v="2"/>
    <s v="Nov-24"/>
    <n v="647"/>
    <n v="0.57987012987012987"/>
  </r>
  <r>
    <s v="ORD-00196"/>
    <x v="82"/>
    <s v="CUST-0047"/>
    <s v="PROD-019"/>
    <x v="20"/>
    <n v="6"/>
    <n v="2480"/>
    <x v="100"/>
    <n v="10728.48"/>
    <x v="0"/>
    <s v="Pune"/>
    <x v="0"/>
    <m/>
    <x v="1"/>
    <n v="49"/>
    <x v="0"/>
    <m/>
    <m/>
    <m/>
  </r>
  <r>
    <s v="ORD-00197"/>
    <x v="153"/>
    <s v="CUST-0162"/>
    <s v="PROD-060"/>
    <x v="24"/>
    <n v="4"/>
    <n v="190"/>
    <x v="145"/>
    <n v="596.6"/>
    <x v="0"/>
    <s v="Mumbai"/>
    <x v="1"/>
    <m/>
    <x v="2"/>
    <n v="35"/>
    <x v="2"/>
    <s v="Mar-24"/>
    <n v="147"/>
    <n v="0.22631578947368422"/>
  </r>
  <r>
    <s v="ORD-00198"/>
    <x v="36"/>
    <s v="CUST-0121"/>
    <s v="PROD-055"/>
    <x v="2"/>
    <n v="1"/>
    <n v="2860"/>
    <x v="146"/>
    <n v="2422.42"/>
    <x v="0"/>
    <s v="Delhi"/>
    <x v="1"/>
    <m/>
    <x v="0"/>
    <n v="55"/>
    <x v="0"/>
    <m/>
    <m/>
    <m/>
  </r>
  <r>
    <s v="ORD-00199"/>
    <x v="154"/>
    <s v="CUST-0075"/>
    <s v="PROD-017"/>
    <x v="15"/>
    <n v="4"/>
    <n v="2510"/>
    <x v="147"/>
    <n v="9025.9599999999991"/>
    <x v="3"/>
    <s v="Mumbai"/>
    <x v="0"/>
    <m/>
    <x v="2"/>
    <n v="55"/>
    <x v="0"/>
    <m/>
    <m/>
    <m/>
  </r>
  <r>
    <s v="ORD-00200"/>
    <x v="78"/>
    <s v="CUST-0025"/>
    <s v="PROD-003"/>
    <x v="11"/>
    <n v="2"/>
    <n v="3570"/>
    <x v="37"/>
    <n v="6311.76"/>
    <x v="1"/>
    <s v="Bengaluru"/>
    <x v="4"/>
    <m/>
    <x v="1"/>
    <n v="23"/>
    <x v="4"/>
    <s v="Feb-24"/>
    <n v="1665"/>
    <n v="0.53361344537815125"/>
  </r>
  <r>
    <s v="ORD-00201"/>
    <x v="112"/>
    <s v="CUST-0048"/>
    <s v="PROD-031"/>
    <x v="29"/>
    <n v="7"/>
    <n v="3730"/>
    <x v="148"/>
    <n v="25457.25"/>
    <x v="2"/>
    <s v="Delhi"/>
    <x v="3"/>
    <m/>
    <x v="1"/>
    <n v="59"/>
    <x v="0"/>
    <m/>
    <m/>
    <m/>
  </r>
  <r>
    <s v="ORD-00202"/>
    <x v="155"/>
    <s v="CUST-0251"/>
    <s v="PROD-032"/>
    <x v="14"/>
    <n v="6"/>
    <n v="370"/>
    <x v="48"/>
    <n v="2000.22"/>
    <x v="0"/>
    <s v="Mumbai"/>
    <x v="3"/>
    <m/>
    <x v="1"/>
    <n v="44"/>
    <x v="0"/>
    <m/>
    <m/>
    <m/>
  </r>
  <r>
    <s v="ORD-00203"/>
    <x v="156"/>
    <s v="CUST-0125"/>
    <s v="PROD-008"/>
    <x v="2"/>
    <n v="4"/>
    <n v="2660"/>
    <x v="91"/>
    <n v="7479.92"/>
    <x v="0"/>
    <s v="Delhi"/>
    <x v="4"/>
    <m/>
    <x v="1"/>
    <n v="45"/>
    <x v="0"/>
    <m/>
    <m/>
    <m/>
  </r>
  <r>
    <s v="ORD-00204"/>
    <x v="152"/>
    <s v="CUST-0025"/>
    <s v="PROD-021"/>
    <x v="15"/>
    <n v="6"/>
    <n v="2760"/>
    <x v="122"/>
    <n v="16410.96"/>
    <x v="0"/>
    <s v="Bengaluru"/>
    <x v="2"/>
    <m/>
    <x v="1"/>
    <n v="23"/>
    <x v="4"/>
    <s v="Jul-24"/>
    <n v="1435"/>
    <n v="0.48007246376811596"/>
  </r>
  <r>
    <s v="ORD-00205"/>
    <x v="157"/>
    <s v="CUST-0068"/>
    <s v="PROD-043"/>
    <x v="18"/>
    <n v="6"/>
    <n v="3350"/>
    <x v="131"/>
    <n v="16502.099999999999"/>
    <x v="0"/>
    <s v="Delhi"/>
    <x v="5"/>
    <m/>
    <x v="0"/>
    <n v="48"/>
    <x v="0"/>
    <m/>
    <m/>
    <m/>
  </r>
  <r>
    <s v="ORD-00206"/>
    <x v="158"/>
    <s v="CUST-0080"/>
    <s v="PROD-005"/>
    <x v="21"/>
    <n v="8"/>
    <n v="300"/>
    <x v="149"/>
    <n v="1905.6"/>
    <x v="3"/>
    <s v="Pune"/>
    <x v="4"/>
    <m/>
    <x v="0"/>
    <n v="30"/>
    <x v="4"/>
    <s v="Oct-24"/>
    <n v="128"/>
    <n v="0.57333333333333336"/>
  </r>
  <r>
    <s v="ORD-00207"/>
    <x v="159"/>
    <s v="CUST-0251"/>
    <s v="PROD-015"/>
    <x v="25"/>
    <n v="5"/>
    <n v="2720"/>
    <x v="150"/>
    <n v="11274.4"/>
    <x v="1"/>
    <s v="Mumbai"/>
    <x v="0"/>
    <m/>
    <x v="1"/>
    <n v="44"/>
    <x v="0"/>
    <m/>
    <m/>
    <m/>
  </r>
  <r>
    <s v="ORD-00208"/>
    <x v="160"/>
    <s v="CUST-0077"/>
    <s v="PROD-004"/>
    <x v="15"/>
    <n v="1"/>
    <n v="3870"/>
    <x v="151"/>
    <n v="2960.55"/>
    <x v="1"/>
    <s v="Hyderabad"/>
    <x v="4"/>
    <m/>
    <x v="0"/>
    <n v="48"/>
    <x v="0"/>
    <m/>
    <m/>
    <m/>
  </r>
  <r>
    <s v="ORD-00209"/>
    <x v="161"/>
    <s v="CUST-0232"/>
    <s v="PROD-031"/>
    <x v="27"/>
    <n v="3"/>
    <n v="3730"/>
    <x v="134"/>
    <n v="11111.67"/>
    <x v="1"/>
    <s v="Hyderabad"/>
    <x v="3"/>
    <m/>
    <x v="1"/>
    <n v="38"/>
    <x v="4"/>
    <s v="Oct-24"/>
    <n v="2135"/>
    <n v="0.42761394101876676"/>
  </r>
  <r>
    <s v="ORD-00210"/>
    <x v="162"/>
    <s v="CUST-0277"/>
    <s v="PROD-019"/>
    <x v="27"/>
    <n v="8"/>
    <n v="2480"/>
    <x v="93"/>
    <n v="16229.12"/>
    <x v="2"/>
    <s v="Chennai"/>
    <x v="0"/>
    <m/>
    <x v="2"/>
    <n v="34"/>
    <x v="4"/>
    <s v="Dec-24"/>
    <n v="1173"/>
    <n v="0.52701612903225803"/>
  </r>
  <r>
    <s v="ORD-00211"/>
    <x v="163"/>
    <s v="CUST-0149"/>
    <s v="PROD-057"/>
    <x v="7"/>
    <n v="2"/>
    <n v="960"/>
    <x v="19"/>
    <n v="1877.76"/>
    <x v="0"/>
    <s v="Hyderabad"/>
    <x v="1"/>
    <m/>
    <x v="1"/>
    <n v="44"/>
    <x v="0"/>
    <m/>
    <m/>
    <m/>
  </r>
  <r>
    <s v="ORD-00212"/>
    <x v="164"/>
    <s v="CUST-0178"/>
    <s v="PROD-046"/>
    <x v="26"/>
    <n v="8"/>
    <n v="4880"/>
    <x v="152"/>
    <n v="34394.239999999998"/>
    <x v="0"/>
    <s v="Hyderabad"/>
    <x v="5"/>
    <m/>
    <x v="1"/>
    <n v="25"/>
    <x v="3"/>
    <s v="Mar-24"/>
    <n v="2768"/>
    <n v="0.43278688524590164"/>
  </r>
  <r>
    <s v="ORD-00213"/>
    <x v="165"/>
    <s v="CUST-0246"/>
    <s v="PROD-014"/>
    <x v="14"/>
    <n v="2"/>
    <n v="3620"/>
    <x v="71"/>
    <n v="7160.36"/>
    <x v="1"/>
    <s v="Delhi"/>
    <x v="0"/>
    <m/>
    <x v="0"/>
    <n v="29"/>
    <x v="3"/>
    <s v="Feb-24"/>
    <n v="2509"/>
    <n v="0.3069060773480663"/>
  </r>
  <r>
    <s v="ORD-00214"/>
    <x v="52"/>
    <s v="CUST-0033"/>
    <s v="PROD-006"/>
    <x v="4"/>
    <n v="8"/>
    <n v="3970"/>
    <x v="128"/>
    <n v="26011.439999999999"/>
    <x v="0"/>
    <s v="Delhi"/>
    <x v="4"/>
    <m/>
    <x v="1"/>
    <n v="35"/>
    <x v="2"/>
    <s v="Dec-24"/>
    <n v="2865"/>
    <n v="0.27833753148614609"/>
  </r>
  <r>
    <s v="ORD-00215"/>
    <x v="166"/>
    <s v="CUST-0159"/>
    <s v="PROD-022"/>
    <x v="17"/>
    <n v="8"/>
    <n v="2270"/>
    <x v="153"/>
    <n v="14600.64"/>
    <x v="0"/>
    <s v="Hyderabad"/>
    <x v="2"/>
    <m/>
    <x v="1"/>
    <n v="32"/>
    <x v="1"/>
    <s v="Oct-24"/>
    <n v="1412"/>
    <n v="0.37797356828193834"/>
  </r>
  <r>
    <s v="ORD-00216"/>
    <x v="167"/>
    <s v="CUST-0175"/>
    <s v="PROD-027"/>
    <x v="22"/>
    <n v="1"/>
    <n v="3780"/>
    <x v="109"/>
    <n v="2925.72"/>
    <x v="0"/>
    <s v="Delhi"/>
    <x v="2"/>
    <m/>
    <x v="2"/>
    <n v="55"/>
    <x v="0"/>
    <m/>
    <m/>
    <m/>
  </r>
  <r>
    <s v="ORD-00217"/>
    <x v="168"/>
    <s v="CUST-0079"/>
    <s v="PROD-026"/>
    <x v="24"/>
    <n v="9"/>
    <n v="4070"/>
    <x v="154"/>
    <n v="26300.34"/>
    <x v="0"/>
    <s v="Mumbai"/>
    <x v="2"/>
    <m/>
    <x v="2"/>
    <n v="60"/>
    <x v="0"/>
    <m/>
    <m/>
    <m/>
  </r>
  <r>
    <s v="ORD-00218"/>
    <x v="75"/>
    <s v="CUST-0173"/>
    <s v="PROD-008"/>
    <x v="3"/>
    <n v="9"/>
    <n v="2660"/>
    <x v="155"/>
    <n v="20803.86"/>
    <x v="1"/>
    <s v="Mumbai"/>
    <x v="4"/>
    <m/>
    <x v="1"/>
    <n v="65"/>
    <x v="0"/>
    <m/>
    <m/>
    <m/>
  </r>
  <r>
    <s v="ORD-00219"/>
    <x v="169"/>
    <s v="CUST-0050"/>
    <s v="PROD-003"/>
    <x v="10"/>
    <n v="4"/>
    <n v="3570"/>
    <x v="156"/>
    <n v="14065.8"/>
    <x v="2"/>
    <s v="Mumbai"/>
    <x v="4"/>
    <m/>
    <x v="1"/>
    <n v="37"/>
    <x v="1"/>
    <s v="May-24"/>
    <n v="1665"/>
    <n v="0.53361344537815125"/>
  </r>
  <r>
    <s v="ORD-00220"/>
    <x v="101"/>
    <s v="CUST-0097"/>
    <s v="PROD-049"/>
    <x v="19"/>
    <n v="2"/>
    <n v="960"/>
    <x v="157"/>
    <n v="1562.88"/>
    <x v="0"/>
    <s v="Mumbai"/>
    <x v="5"/>
    <m/>
    <x v="1"/>
    <n v="65"/>
    <x v="0"/>
    <m/>
    <m/>
    <m/>
  </r>
  <r>
    <s v="ORD-00221"/>
    <x v="14"/>
    <s v="CUST-0026"/>
    <s v="PROD-047"/>
    <x v="26"/>
    <n v="2"/>
    <n v="3450"/>
    <x v="158"/>
    <n v="6644.7"/>
    <x v="0"/>
    <s v="Pune"/>
    <x v="5"/>
    <m/>
    <x v="1"/>
    <n v="62"/>
    <x v="0"/>
    <m/>
    <m/>
    <m/>
  </r>
  <r>
    <s v="ORD-00222"/>
    <x v="170"/>
    <s v="CUST-0185"/>
    <s v="PROD-048"/>
    <x v="0"/>
    <n v="6"/>
    <n v="5100"/>
    <x v="9"/>
    <n v="30232.799999999999"/>
    <x v="0"/>
    <s v="Hyderabad"/>
    <x v="5"/>
    <m/>
    <x v="0"/>
    <n v="43"/>
    <x v="0"/>
    <m/>
    <m/>
    <m/>
  </r>
  <r>
    <s v="ORD-00223"/>
    <x v="105"/>
    <s v="CUST-0135"/>
    <s v="PROD-005"/>
    <x v="1"/>
    <n v="9"/>
    <n v="300"/>
    <x v="55"/>
    <n v="2014.2"/>
    <x v="2"/>
    <s v="Pune"/>
    <x v="4"/>
    <m/>
    <x v="0"/>
    <n v="24"/>
    <x v="1"/>
    <s v="Nov-24"/>
    <n v="128"/>
    <n v="0.57333333333333336"/>
  </r>
  <r>
    <s v="ORD-00224"/>
    <x v="171"/>
    <s v="CUST-0010"/>
    <s v="PROD-046"/>
    <x v="16"/>
    <n v="7"/>
    <n v="4880"/>
    <x v="97"/>
    <n v="28386.959999999999"/>
    <x v="1"/>
    <s v="Mumbai"/>
    <x v="5"/>
    <m/>
    <x v="0"/>
    <n v="61"/>
    <x v="0"/>
    <m/>
    <m/>
    <m/>
  </r>
  <r>
    <s v="ORD-00225"/>
    <x v="172"/>
    <s v="CUST-0271"/>
    <s v="PROD-036"/>
    <x v="12"/>
    <n v="9"/>
    <n v="3250"/>
    <x v="1"/>
    <n v="26091"/>
    <x v="2"/>
    <s v="Bengaluru"/>
    <x v="3"/>
    <m/>
    <x v="2"/>
    <n v="41"/>
    <x v="0"/>
    <m/>
    <m/>
    <m/>
  </r>
  <r>
    <s v="ORD-00226"/>
    <x v="129"/>
    <s v="CUST-0172"/>
    <s v="PROD-047"/>
    <x v="3"/>
    <n v="3"/>
    <n v="3450"/>
    <x v="75"/>
    <n v="9791.1"/>
    <x v="1"/>
    <s v="Pune"/>
    <x v="5"/>
    <m/>
    <x v="1"/>
    <n v="65"/>
    <x v="0"/>
    <m/>
    <m/>
    <m/>
  </r>
  <r>
    <s v="ORD-00227"/>
    <x v="63"/>
    <s v="CUST-0296"/>
    <s v="PROD-050"/>
    <x v="13"/>
    <n v="5"/>
    <n v="6080"/>
    <x v="70"/>
    <n v="24928"/>
    <x v="0"/>
    <s v="Delhi"/>
    <x v="5"/>
    <m/>
    <x v="2"/>
    <n v="47"/>
    <x v="0"/>
    <m/>
    <m/>
    <m/>
  </r>
  <r>
    <s v="ORD-00228"/>
    <x v="173"/>
    <s v="CUST-0080"/>
    <s v="PROD-050"/>
    <x v="24"/>
    <n v="7"/>
    <n v="6080"/>
    <x v="159"/>
    <n v="38644.480000000003"/>
    <x v="0"/>
    <s v="Pune"/>
    <x v="5"/>
    <m/>
    <x v="0"/>
    <n v="30"/>
    <x v="3"/>
    <s v="Feb-24"/>
    <n v="2617"/>
    <n v="0.56957236842105263"/>
  </r>
  <r>
    <s v="ORD-00229"/>
    <x v="65"/>
    <s v="CUST-0232"/>
    <s v="PROD-024"/>
    <x v="2"/>
    <n v="5"/>
    <n v="2270"/>
    <x v="160"/>
    <n v="11304.6"/>
    <x v="2"/>
    <s v="Hyderabad"/>
    <x v="2"/>
    <m/>
    <x v="1"/>
    <n v="38"/>
    <x v="3"/>
    <s v="Jul-24"/>
    <n v="1203"/>
    <n v="0.47004405286343615"/>
  </r>
  <r>
    <s v="ORD-00230"/>
    <x v="41"/>
    <s v="CUST-0070"/>
    <s v="PROD-046"/>
    <x v="29"/>
    <n v="10"/>
    <n v="4880"/>
    <x v="161"/>
    <n v="36844"/>
    <x v="3"/>
    <s v="Mumbai"/>
    <x v="5"/>
    <m/>
    <x v="1"/>
    <n v="42"/>
    <x v="0"/>
    <m/>
    <m/>
    <m/>
  </r>
  <r>
    <s v="ORD-00231"/>
    <x v="174"/>
    <s v="CUST-0142"/>
    <s v="PROD-023"/>
    <x v="25"/>
    <n v="2"/>
    <n v="2380"/>
    <x v="98"/>
    <n v="4650.5200000000004"/>
    <x v="0"/>
    <s v="Chennai"/>
    <x v="2"/>
    <m/>
    <x v="2"/>
    <n v="55"/>
    <x v="0"/>
    <m/>
    <m/>
    <m/>
  </r>
  <r>
    <s v="ORD-00232"/>
    <x v="71"/>
    <s v="CUST-0161"/>
    <s v="PROD-054"/>
    <x v="5"/>
    <n v="1"/>
    <n v="1010"/>
    <x v="162"/>
    <n v="708.01"/>
    <x v="0"/>
    <s v="Chennai"/>
    <x v="1"/>
    <m/>
    <x v="1"/>
    <n v="38"/>
    <x v="1"/>
    <s v="Jan-24"/>
    <n v="516"/>
    <n v="0.4891089108910891"/>
  </r>
  <r>
    <s v="ORD-00233"/>
    <x v="175"/>
    <s v="CUST-0020"/>
    <s v="PROD-056"/>
    <x v="20"/>
    <n v="7"/>
    <n v="6940"/>
    <x v="28"/>
    <n v="36046.36"/>
    <x v="0"/>
    <s v="Hyderabad"/>
    <x v="1"/>
    <m/>
    <x v="1"/>
    <n v="46"/>
    <x v="0"/>
    <m/>
    <m/>
    <m/>
  </r>
  <r>
    <s v="ORD-00234"/>
    <x v="176"/>
    <s v="CUST-0173"/>
    <s v="PROD-042"/>
    <x v="6"/>
    <n v="6"/>
    <n v="2290"/>
    <x v="163"/>
    <n v="10181.34"/>
    <x v="1"/>
    <s v="Mumbai"/>
    <x v="5"/>
    <m/>
    <x v="1"/>
    <n v="65"/>
    <x v="0"/>
    <m/>
    <m/>
    <m/>
  </r>
  <r>
    <s v="ORD-00235"/>
    <x v="118"/>
    <s v="CUST-0280"/>
    <s v="PROD-032"/>
    <x v="2"/>
    <n v="2"/>
    <n v="370"/>
    <x v="164"/>
    <n v="711.14"/>
    <x v="0"/>
    <s v="Delhi"/>
    <x v="3"/>
    <m/>
    <x v="0"/>
    <n v="27"/>
    <x v="2"/>
    <s v="Sep-24"/>
    <n v="288"/>
    <n v="0.22162162162162163"/>
  </r>
  <r>
    <s v="ORD-00236"/>
    <x v="177"/>
    <s v="CUST-0073"/>
    <s v="PROD-022"/>
    <x v="16"/>
    <n v="1"/>
    <n v="2270"/>
    <x v="57"/>
    <n v="1695.69"/>
    <x v="0"/>
    <s v="Pune"/>
    <x v="2"/>
    <m/>
    <x v="2"/>
    <n v="40"/>
    <x v="4"/>
    <s v="Aug-24"/>
    <n v="1412"/>
    <n v="0.37797356828193834"/>
  </r>
  <r>
    <s v="ORD-00237"/>
    <x v="112"/>
    <s v="CUST-0242"/>
    <s v="PROD-050"/>
    <x v="25"/>
    <n v="4"/>
    <n v="6080"/>
    <x v="49"/>
    <n v="17315.84"/>
    <x v="1"/>
    <s v="Chennai"/>
    <x v="5"/>
    <m/>
    <x v="0"/>
    <n v="59"/>
    <x v="0"/>
    <m/>
    <m/>
    <m/>
  </r>
  <r>
    <s v="ORD-00238"/>
    <x v="44"/>
    <s v="CUST-0234"/>
    <s v="PROD-001"/>
    <x v="26"/>
    <n v="2"/>
    <n v="5330"/>
    <x v="165"/>
    <n v="8122.92"/>
    <x v="1"/>
    <s v="Bengaluru"/>
    <x v="4"/>
    <m/>
    <x v="1"/>
    <n v="34"/>
    <x v="1"/>
    <s v="Feb-24"/>
    <n v="2405"/>
    <n v="0.54878048780487809"/>
  </r>
  <r>
    <s v="ORD-00239"/>
    <x v="112"/>
    <s v="CUST-0085"/>
    <s v="PROD-026"/>
    <x v="6"/>
    <n v="2"/>
    <n v="4070"/>
    <x v="12"/>
    <n v="7789.98"/>
    <x v="0"/>
    <s v="Chennai"/>
    <x v="2"/>
    <m/>
    <x v="1"/>
    <n v="26"/>
    <x v="3"/>
    <s v="Apr-24"/>
    <n v="2027"/>
    <n v="0.50196560196560192"/>
  </r>
  <r>
    <s v="ORD-00240"/>
    <x v="178"/>
    <s v="CUST-0228"/>
    <s v="PROD-005"/>
    <x v="10"/>
    <n v="6"/>
    <n v="300"/>
    <x v="166"/>
    <n v="1486.8"/>
    <x v="2"/>
    <s v="Pune"/>
    <x v="4"/>
    <m/>
    <x v="2"/>
    <n v="37"/>
    <x v="2"/>
    <s v="Feb-24"/>
    <n v="128"/>
    <n v="0.57333333333333336"/>
  </r>
  <r>
    <s v="ORD-00241"/>
    <x v="56"/>
    <s v="CUST-0147"/>
    <s v="PROD-046"/>
    <x v="2"/>
    <n v="1"/>
    <n v="4880"/>
    <x v="167"/>
    <n v="4026"/>
    <x v="0"/>
    <s v="Pune"/>
    <x v="5"/>
    <m/>
    <x v="1"/>
    <n v="56"/>
    <x v="0"/>
    <m/>
    <m/>
    <m/>
  </r>
  <r>
    <s v="ORD-00242"/>
    <x v="179"/>
    <s v="CUST-0171"/>
    <s v="PROD-055"/>
    <x v="28"/>
    <n v="3"/>
    <n v="2860"/>
    <x v="138"/>
    <n v="6855.42"/>
    <x v="0"/>
    <s v="Chennai"/>
    <x v="1"/>
    <m/>
    <x v="2"/>
    <n v="30"/>
    <x v="4"/>
    <s v="Jul-24"/>
    <n v="2028"/>
    <n v="0.29090909090909089"/>
  </r>
  <r>
    <s v="ORD-00243"/>
    <x v="180"/>
    <s v="CUST-0051"/>
    <s v="PROD-041"/>
    <x v="25"/>
    <n v="3"/>
    <n v="1540"/>
    <x v="116"/>
    <n v="3654.42"/>
    <x v="0"/>
    <s v="Pune"/>
    <x v="5"/>
    <m/>
    <x v="0"/>
    <n v="54"/>
    <x v="0"/>
    <m/>
    <m/>
    <m/>
  </r>
  <r>
    <s v="ORD-00244"/>
    <x v="31"/>
    <s v="CUST-0285"/>
    <s v="PROD-010"/>
    <x v="9"/>
    <n v="10"/>
    <n v="2640"/>
    <x v="168"/>
    <n v="23443.200000000001"/>
    <x v="1"/>
    <s v="Hyderabad"/>
    <x v="4"/>
    <m/>
    <x v="1"/>
    <n v="22"/>
    <x v="1"/>
    <s v="Dec-24"/>
    <n v="1149"/>
    <n v="0.56477272727272732"/>
  </r>
  <r>
    <s v="ORD-00245"/>
    <x v="58"/>
    <s v="CUST-0114"/>
    <s v="PROD-012"/>
    <x v="22"/>
    <n v="1"/>
    <n v="3160"/>
    <x v="44"/>
    <n v="2796.6"/>
    <x v="0"/>
    <s v="Bengaluru"/>
    <x v="0"/>
    <m/>
    <x v="2"/>
    <n v="42"/>
    <x v="0"/>
    <m/>
    <m/>
    <m/>
  </r>
  <r>
    <s v="ORD-00246"/>
    <x v="181"/>
    <s v="CUST-0295"/>
    <s v="PROD-040"/>
    <x v="0"/>
    <n v="4"/>
    <n v="1080"/>
    <x v="14"/>
    <n v="3425.76"/>
    <x v="1"/>
    <s v="Delhi"/>
    <x v="3"/>
    <m/>
    <x v="0"/>
    <n v="48"/>
    <x v="0"/>
    <m/>
    <m/>
    <m/>
  </r>
  <r>
    <s v="ORD-00247"/>
    <x v="65"/>
    <s v="CUST-0218"/>
    <s v="PROD-054"/>
    <x v="22"/>
    <n v="4"/>
    <n v="1010"/>
    <x v="169"/>
    <n v="2848.2"/>
    <x v="1"/>
    <s v="Mumbai"/>
    <x v="1"/>
    <m/>
    <x v="1"/>
    <n v="39"/>
    <x v="1"/>
    <s v="Dec-24"/>
    <n v="516"/>
    <n v="0.4891089108910891"/>
  </r>
  <r>
    <s v="ORD-00248"/>
    <x v="182"/>
    <s v="CUST-0090"/>
    <s v="PROD-002"/>
    <x v="28"/>
    <n v="7"/>
    <n v="2600"/>
    <x v="136"/>
    <n v="16998.8"/>
    <x v="0"/>
    <s v="Bengaluru"/>
    <x v="4"/>
    <m/>
    <x v="2"/>
    <n v="26"/>
    <x v="4"/>
    <s v="Oct-24"/>
    <n v="1052"/>
    <n v="0.5953846153846154"/>
  </r>
  <r>
    <s v="ORD-00249"/>
    <x v="183"/>
    <s v="CUST-0194"/>
    <s v="PROD-017"/>
    <x v="18"/>
    <n v="4"/>
    <n v="2510"/>
    <x v="62"/>
    <n v="9939.6"/>
    <x v="0"/>
    <s v="Delhi"/>
    <x v="0"/>
    <m/>
    <x v="0"/>
    <n v="55"/>
    <x v="0"/>
    <m/>
    <m/>
    <m/>
  </r>
  <r>
    <s v="ORD-00250"/>
    <x v="184"/>
    <s v="CUST-0231"/>
    <s v="PROD-026"/>
    <x v="24"/>
    <n v="9"/>
    <n v="4070"/>
    <x v="51"/>
    <n v="34175.79"/>
    <x v="2"/>
    <s v="Chennai"/>
    <x v="2"/>
    <m/>
    <x v="1"/>
    <n v="61"/>
    <x v="0"/>
    <m/>
    <m/>
    <m/>
  </r>
  <r>
    <s v="ORD-00251"/>
    <x v="109"/>
    <s v="CUST-0055"/>
    <s v="PROD-020"/>
    <x v="9"/>
    <n v="6"/>
    <n v="820"/>
    <x v="170"/>
    <n v="4231.2"/>
    <x v="0"/>
    <s v="Bengaluru"/>
    <x v="0"/>
    <m/>
    <x v="1"/>
    <n v="34"/>
    <x v="3"/>
    <s v="Dec-24"/>
    <n v="391"/>
    <n v="0.52317073170731709"/>
  </r>
  <r>
    <s v="ORD-00252"/>
    <x v="185"/>
    <s v="CUST-0262"/>
    <s v="PROD-030"/>
    <x v="1"/>
    <n v="2"/>
    <n v="970"/>
    <x v="165"/>
    <n v="1478.28"/>
    <x v="0"/>
    <s v="Mumbai"/>
    <x v="2"/>
    <m/>
    <x v="1"/>
    <n v="52"/>
    <x v="0"/>
    <m/>
    <m/>
    <m/>
  </r>
  <r>
    <s v="ORD-00253"/>
    <x v="186"/>
    <s v="CUST-0155"/>
    <s v="PROD-026"/>
    <x v="27"/>
    <n v="4"/>
    <n v="4070"/>
    <x v="171"/>
    <n v="13186.8"/>
    <x v="1"/>
    <s v="Pune"/>
    <x v="2"/>
    <m/>
    <x v="2"/>
    <n v="40"/>
    <x v="1"/>
    <s v="Jul-24"/>
    <n v="2027"/>
    <n v="0.50196560196560192"/>
  </r>
  <r>
    <s v="ORD-00254"/>
    <x v="144"/>
    <s v="CUST-0169"/>
    <s v="PROD-047"/>
    <x v="21"/>
    <n v="3"/>
    <n v="3450"/>
    <x v="172"/>
    <n v="9894.6"/>
    <x v="2"/>
    <s v="Bengaluru"/>
    <x v="5"/>
    <m/>
    <x v="0"/>
    <n v="42"/>
    <x v="0"/>
    <m/>
    <m/>
    <m/>
  </r>
  <r>
    <s v="ORD-00255"/>
    <x v="187"/>
    <s v="CUST-0208"/>
    <s v="PROD-027"/>
    <x v="9"/>
    <n v="5"/>
    <n v="3780"/>
    <x v="92"/>
    <n v="16348.5"/>
    <x v="0"/>
    <s v="Mumbai"/>
    <x v="2"/>
    <m/>
    <x v="1"/>
    <n v="49"/>
    <x v="0"/>
    <m/>
    <m/>
    <m/>
  </r>
  <r>
    <s v="ORD-00256"/>
    <x v="127"/>
    <s v="CUST-0249"/>
    <s v="PROD-057"/>
    <x v="10"/>
    <n v="1"/>
    <n v="960"/>
    <x v="173"/>
    <n v="679.68"/>
    <x v="0"/>
    <s v="Mumbai"/>
    <x v="1"/>
    <m/>
    <x v="1"/>
    <n v="44"/>
    <x v="0"/>
    <m/>
    <m/>
    <m/>
  </r>
  <r>
    <s v="ORD-00257"/>
    <x v="188"/>
    <s v="CUST-0151"/>
    <s v="PROD-003"/>
    <x v="24"/>
    <n v="10"/>
    <n v="3570"/>
    <x v="32"/>
    <n v="31880.1"/>
    <x v="0"/>
    <s v="Mumbai"/>
    <x v="4"/>
    <m/>
    <x v="1"/>
    <n v="53"/>
    <x v="0"/>
    <m/>
    <m/>
    <m/>
  </r>
  <r>
    <s v="ORD-00258"/>
    <x v="187"/>
    <s v="CUST-0115"/>
    <s v="PROD-003"/>
    <x v="6"/>
    <n v="7"/>
    <n v="3570"/>
    <x v="64"/>
    <n v="21941.22"/>
    <x v="0"/>
    <s v="Mumbai"/>
    <x v="4"/>
    <m/>
    <x v="0"/>
    <n v="65"/>
    <x v="0"/>
    <m/>
    <m/>
    <m/>
  </r>
  <r>
    <s v="ORD-00259"/>
    <x v="189"/>
    <s v="CUST-0041"/>
    <s v="PROD-040"/>
    <x v="2"/>
    <n v="6"/>
    <n v="1080"/>
    <x v="113"/>
    <n v="5196.96"/>
    <x v="0"/>
    <s v="Bengaluru"/>
    <x v="3"/>
    <m/>
    <x v="0"/>
    <n v="26"/>
    <x v="2"/>
    <s v="Aug-24"/>
    <n v="519"/>
    <n v="0.51944444444444449"/>
  </r>
  <r>
    <s v="ORD-00260"/>
    <x v="51"/>
    <s v="CUST-0101"/>
    <s v="PROD-011"/>
    <x v="9"/>
    <n v="8"/>
    <n v="3450"/>
    <x v="171"/>
    <n v="22356"/>
    <x v="0"/>
    <s v="Hyderabad"/>
    <x v="0"/>
    <m/>
    <x v="0"/>
    <n v="40"/>
    <x v="4"/>
    <s v="Oct-24"/>
    <n v="1748"/>
    <n v="0.49333333333333335"/>
  </r>
  <r>
    <s v="ORD-00261"/>
    <x v="2"/>
    <s v="CUST-0198"/>
    <s v="PROD-008"/>
    <x v="12"/>
    <n v="4"/>
    <n v="2660"/>
    <x v="121"/>
    <n v="8639.68"/>
    <x v="1"/>
    <s v="Chennai"/>
    <x v="4"/>
    <m/>
    <x v="2"/>
    <n v="22"/>
    <x v="4"/>
    <s v="Dec-24"/>
    <n v="1259"/>
    <n v="0.52669172932330832"/>
  </r>
  <r>
    <s v="ORD-00262"/>
    <x v="190"/>
    <s v="CUST-0200"/>
    <s v="PROD-058"/>
    <x v="18"/>
    <n v="4"/>
    <n v="2400"/>
    <x v="174"/>
    <n v="9062.4"/>
    <x v="0"/>
    <s v="Hyderabad"/>
    <x v="1"/>
    <m/>
    <x v="2"/>
    <n v="46"/>
    <x v="0"/>
    <m/>
    <m/>
    <m/>
  </r>
  <r>
    <s v="ORD-00263"/>
    <x v="191"/>
    <s v="CUST-0110"/>
    <s v="PROD-002"/>
    <x v="11"/>
    <n v="10"/>
    <n v="2600"/>
    <x v="175"/>
    <n v="19578"/>
    <x v="0"/>
    <s v="Pune"/>
    <x v="4"/>
    <m/>
    <x v="2"/>
    <n v="31"/>
    <x v="4"/>
    <s v="Aug-24"/>
    <n v="1052"/>
    <n v="0.5953846153846154"/>
  </r>
  <r>
    <s v="ORD-00264"/>
    <x v="191"/>
    <s v="CUST-0134"/>
    <s v="PROD-025"/>
    <x v="10"/>
    <n v="3"/>
    <n v="4060"/>
    <x v="133"/>
    <n v="11339.58"/>
    <x v="0"/>
    <s v="Delhi"/>
    <x v="2"/>
    <m/>
    <x v="1"/>
    <n v="40"/>
    <x v="1"/>
    <s v="Aug-24"/>
    <n v="2911"/>
    <n v="0.28300492610837441"/>
  </r>
  <r>
    <s v="ORD-00265"/>
    <x v="57"/>
    <s v="CUST-0141"/>
    <s v="PROD-038"/>
    <x v="12"/>
    <n v="6"/>
    <n v="5490"/>
    <x v="68"/>
    <n v="30173.040000000001"/>
    <x v="0"/>
    <s v="Hyderabad"/>
    <x v="3"/>
    <m/>
    <x v="2"/>
    <n v="22"/>
    <x v="1"/>
    <s v="Aug-24"/>
    <n v="2549"/>
    <n v="0.53570127504553733"/>
  </r>
  <r>
    <s v="ORD-00266"/>
    <x v="192"/>
    <s v="CUST-0163"/>
    <s v="PROD-032"/>
    <x v="26"/>
    <n v="6"/>
    <n v="370"/>
    <x v="176"/>
    <n v="1884.78"/>
    <x v="0"/>
    <s v="Pune"/>
    <x v="3"/>
    <m/>
    <x v="1"/>
    <n v="49"/>
    <x v="0"/>
    <m/>
    <m/>
    <m/>
  </r>
  <r>
    <s v="ORD-00267"/>
    <x v="171"/>
    <s v="CUST-0181"/>
    <s v="PROD-016"/>
    <x v="12"/>
    <n v="5"/>
    <n v="620"/>
    <x v="155"/>
    <n v="2693.9"/>
    <x v="2"/>
    <s v="Delhi"/>
    <x v="0"/>
    <m/>
    <x v="0"/>
    <n v="38"/>
    <x v="3"/>
    <s v="Apr-24"/>
    <n v="396"/>
    <n v="0.36129032258064514"/>
  </r>
  <r>
    <s v="ORD-00268"/>
    <x v="10"/>
    <s v="CUST-0133"/>
    <s v="PROD-036"/>
    <x v="20"/>
    <n v="9"/>
    <n v="3250"/>
    <x v="25"/>
    <n v="24423.75"/>
    <x v="0"/>
    <s v="Chennai"/>
    <x v="3"/>
    <m/>
    <x v="1"/>
    <n v="26"/>
    <x v="3"/>
    <s v="Apr-24"/>
    <n v="1556"/>
    <n v="0.52123076923076928"/>
  </r>
  <r>
    <s v="ORD-00269"/>
    <x v="193"/>
    <s v="CUST-0095"/>
    <s v="PROD-050"/>
    <x v="23"/>
    <n v="1"/>
    <n v="6080"/>
    <x v="177"/>
    <n v="6073.92"/>
    <x v="0"/>
    <s v="Mumbai"/>
    <x v="5"/>
    <m/>
    <x v="0"/>
    <n v="54"/>
    <x v="0"/>
    <m/>
    <m/>
    <m/>
  </r>
  <r>
    <s v="ORD-00270"/>
    <x v="194"/>
    <s v="CUST-0171"/>
    <s v="PROD-013"/>
    <x v="2"/>
    <n v="8"/>
    <n v="3640"/>
    <x v="92"/>
    <n v="25188.799999999999"/>
    <x v="0"/>
    <s v="Chennai"/>
    <x v="0"/>
    <m/>
    <x v="2"/>
    <n v="30"/>
    <x v="4"/>
    <s v="Jan-24"/>
    <n v="2611"/>
    <n v="0.28269230769230769"/>
  </r>
  <r>
    <s v="ORD-00271"/>
    <x v="22"/>
    <s v="CUST-0238"/>
    <s v="PROD-012"/>
    <x v="1"/>
    <n v="9"/>
    <n v="3160"/>
    <x v="91"/>
    <n v="19993.32"/>
    <x v="0"/>
    <s v="Delhi"/>
    <x v="0"/>
    <m/>
    <x v="1"/>
    <n v="49"/>
    <x v="0"/>
    <m/>
    <m/>
    <m/>
  </r>
  <r>
    <s v="ORD-00272"/>
    <x v="49"/>
    <s v="CUST-0185"/>
    <s v="PROD-004"/>
    <x v="0"/>
    <n v="2"/>
    <n v="3870"/>
    <x v="128"/>
    <n v="6339.06"/>
    <x v="2"/>
    <s v="Hyderabad"/>
    <x v="4"/>
    <m/>
    <x v="0"/>
    <n v="43"/>
    <x v="0"/>
    <m/>
    <m/>
    <m/>
  </r>
  <r>
    <s v="ORD-00273"/>
    <x v="195"/>
    <s v="CUST-0167"/>
    <s v="PROD-037"/>
    <x v="14"/>
    <n v="3"/>
    <n v="660"/>
    <x v="159"/>
    <n v="1797.84"/>
    <x v="0"/>
    <s v="Delhi"/>
    <x v="3"/>
    <m/>
    <x v="1"/>
    <n v="43"/>
    <x v="0"/>
    <m/>
    <m/>
    <m/>
  </r>
  <r>
    <s v="ORD-00274"/>
    <x v="196"/>
    <s v="CUST-0224"/>
    <s v="PROD-025"/>
    <x v="22"/>
    <n v="4"/>
    <n v="4060"/>
    <x v="178"/>
    <n v="11692.8"/>
    <x v="0"/>
    <s v="Chennai"/>
    <x v="2"/>
    <m/>
    <x v="2"/>
    <n v="24"/>
    <x v="2"/>
    <s v="May-24"/>
    <n v="2911"/>
    <n v="0.28300492610837441"/>
  </r>
  <r>
    <s v="ORD-00275"/>
    <x v="107"/>
    <s v="CUST-0181"/>
    <s v="PROD-034"/>
    <x v="29"/>
    <n v="2"/>
    <n v="5080"/>
    <x v="179"/>
    <n v="9377.68"/>
    <x v="3"/>
    <s v="Delhi"/>
    <x v="3"/>
    <m/>
    <x v="0"/>
    <n v="38"/>
    <x v="4"/>
    <s v="May-24"/>
    <n v="2459"/>
    <n v="0.51594488188976373"/>
  </r>
  <r>
    <s v="ORD-00276"/>
    <x v="197"/>
    <s v="CUST-0020"/>
    <s v="PROD-003"/>
    <x v="1"/>
    <n v="3"/>
    <n v="3570"/>
    <x v="180"/>
    <n v="9692.5499999999993"/>
    <x v="0"/>
    <s v="Hyderabad"/>
    <x v="4"/>
    <m/>
    <x v="1"/>
    <n v="46"/>
    <x v="0"/>
    <m/>
    <m/>
    <m/>
  </r>
  <r>
    <s v="ORD-00277"/>
    <x v="151"/>
    <s v="CUST-0183"/>
    <s v="PROD-016"/>
    <x v="16"/>
    <n v="2"/>
    <n v="620"/>
    <x v="169"/>
    <n v="874.2"/>
    <x v="0"/>
    <s v="Mumbai"/>
    <x v="0"/>
    <m/>
    <x v="0"/>
    <n v="27"/>
    <x v="1"/>
    <s v="Jan-24"/>
    <n v="396"/>
    <n v="0.36129032258064514"/>
  </r>
  <r>
    <s v="ORD-00278"/>
    <x v="198"/>
    <s v="CUST-0028"/>
    <s v="PROD-011"/>
    <x v="22"/>
    <n v="3"/>
    <n v="3450"/>
    <x v="181"/>
    <n v="10039.5"/>
    <x v="0"/>
    <s v="Bengaluru"/>
    <x v="0"/>
    <m/>
    <x v="1"/>
    <n v="59"/>
    <x v="0"/>
    <m/>
    <m/>
    <m/>
  </r>
  <r>
    <s v="ORD-00279"/>
    <x v="199"/>
    <s v="CUST-0121"/>
    <s v="PROD-048"/>
    <x v="3"/>
    <n v="7"/>
    <n v="5100"/>
    <x v="12"/>
    <n v="34164.9"/>
    <x v="0"/>
    <s v="Delhi"/>
    <x v="5"/>
    <m/>
    <x v="0"/>
    <n v="55"/>
    <x v="0"/>
    <m/>
    <m/>
    <m/>
  </r>
  <r>
    <s v="ORD-00280"/>
    <x v="110"/>
    <s v="CUST-0192"/>
    <s v="PROD-004"/>
    <x v="11"/>
    <n v="9"/>
    <n v="3870"/>
    <x v="60"/>
    <n v="33158.160000000003"/>
    <x v="0"/>
    <s v="Bengaluru"/>
    <x v="4"/>
    <m/>
    <x v="1"/>
    <n v="55"/>
    <x v="0"/>
    <m/>
    <m/>
    <m/>
  </r>
  <r>
    <s v="ORD-00281"/>
    <x v="142"/>
    <s v="CUST-0155"/>
    <s v="PROD-009"/>
    <x v="20"/>
    <n v="5"/>
    <n v="1220"/>
    <x v="182"/>
    <n v="5856"/>
    <x v="2"/>
    <s v="Pune"/>
    <x v="4"/>
    <m/>
    <x v="2"/>
    <n v="40"/>
    <x v="1"/>
    <s v="Sep-24"/>
    <n v="517"/>
    <n v="0.57622950819672136"/>
  </r>
  <r>
    <s v="ORD-00282"/>
    <x v="200"/>
    <s v="CUST-0159"/>
    <s v="PROD-038"/>
    <x v="12"/>
    <n v="5"/>
    <n v="5490"/>
    <x v="113"/>
    <n v="22014.9"/>
    <x v="0"/>
    <s v="Hyderabad"/>
    <x v="3"/>
    <m/>
    <x v="1"/>
    <n v="32"/>
    <x v="2"/>
    <s v="Dec-24"/>
    <n v="2549"/>
    <n v="0.53570127504553733"/>
  </r>
  <r>
    <s v="ORD-00283"/>
    <x v="201"/>
    <s v="CUST-0025"/>
    <s v="PROD-044"/>
    <x v="19"/>
    <n v="1"/>
    <n v="1650"/>
    <x v="22"/>
    <n v="1217.7"/>
    <x v="0"/>
    <s v="Bengaluru"/>
    <x v="5"/>
    <m/>
    <x v="1"/>
    <n v="23"/>
    <x v="3"/>
    <s v="Feb-24"/>
    <n v="1222"/>
    <n v="0.2593939393939394"/>
  </r>
  <r>
    <s v="ORD-00284"/>
    <x v="151"/>
    <s v="CUST-0297"/>
    <s v="PROD-008"/>
    <x v="11"/>
    <n v="1"/>
    <n v="2660"/>
    <x v="72"/>
    <n v="2101.4"/>
    <x v="0"/>
    <s v="Hyderabad"/>
    <x v="4"/>
    <m/>
    <x v="1"/>
    <n v="50"/>
    <x v="0"/>
    <m/>
    <m/>
    <m/>
  </r>
  <r>
    <s v="ORD-00285"/>
    <x v="67"/>
    <s v="CUST-0108"/>
    <s v="PROD-029"/>
    <x v="11"/>
    <n v="6"/>
    <n v="2210"/>
    <x v="85"/>
    <n v="11960.52"/>
    <x v="1"/>
    <s v="Bengaluru"/>
    <x v="2"/>
    <m/>
    <x v="2"/>
    <n v="59"/>
    <x v="0"/>
    <m/>
    <m/>
    <m/>
  </r>
  <r>
    <s v="ORD-00286"/>
    <x v="202"/>
    <s v="CUST-0121"/>
    <s v="PROD-002"/>
    <x v="19"/>
    <n v="9"/>
    <n v="2600"/>
    <x v="3"/>
    <n v="19726.2"/>
    <x v="0"/>
    <s v="Delhi"/>
    <x v="4"/>
    <m/>
    <x v="0"/>
    <n v="55"/>
    <x v="0"/>
    <m/>
    <m/>
    <m/>
  </r>
  <r>
    <s v="ORD-00287"/>
    <x v="203"/>
    <s v="CUST-0160"/>
    <s v="PROD-045"/>
    <x v="5"/>
    <n v="3"/>
    <n v="3020"/>
    <x v="109"/>
    <n v="7012.44"/>
    <x v="0"/>
    <s v="Hyderabad"/>
    <x v="5"/>
    <m/>
    <x v="1"/>
    <n v="27"/>
    <x v="1"/>
    <s v="Jan-24"/>
    <n v="1626"/>
    <n v="0.46158940397350995"/>
  </r>
  <r>
    <s v="ORD-00288"/>
    <x v="61"/>
    <s v="CUST-0230"/>
    <s v="PROD-032"/>
    <x v="1"/>
    <n v="6"/>
    <n v="370"/>
    <x v="79"/>
    <n v="1944.72"/>
    <x v="0"/>
    <s v="Pune"/>
    <x v="3"/>
    <m/>
    <x v="2"/>
    <n v="33"/>
    <x v="2"/>
    <s v="Jan-24"/>
    <n v="288"/>
    <n v="0.22162162162162163"/>
  </r>
  <r>
    <s v="ORD-00289"/>
    <x v="42"/>
    <s v="CUST-0151"/>
    <s v="PROD-001"/>
    <x v="3"/>
    <n v="8"/>
    <n v="5330"/>
    <x v="183"/>
    <n v="35732.32"/>
    <x v="0"/>
    <s v="Mumbai"/>
    <x v="4"/>
    <m/>
    <x v="1"/>
    <n v="53"/>
    <x v="0"/>
    <m/>
    <m/>
    <m/>
  </r>
  <r>
    <s v="ORD-00290"/>
    <x v="66"/>
    <s v="CUST-0222"/>
    <s v="PROD-018"/>
    <x v="14"/>
    <n v="4"/>
    <n v="3560"/>
    <x v="184"/>
    <n v="12744.8"/>
    <x v="0"/>
    <s v="Chennai"/>
    <x v="0"/>
    <m/>
    <x v="1"/>
    <n v="37"/>
    <x v="1"/>
    <s v="Jan-24"/>
    <n v="2629"/>
    <n v="0.26151685393258428"/>
  </r>
  <r>
    <s v="ORD-00291"/>
    <x v="44"/>
    <s v="CUST-0055"/>
    <s v="PROD-054"/>
    <x v="14"/>
    <n v="10"/>
    <n v="1010"/>
    <x v="1"/>
    <n v="9009.2000000000007"/>
    <x v="0"/>
    <s v="Bengaluru"/>
    <x v="1"/>
    <m/>
    <x v="1"/>
    <n v="34"/>
    <x v="2"/>
    <s v="Jul-24"/>
    <n v="516"/>
    <n v="0.4891089108910891"/>
  </r>
  <r>
    <s v="ORD-00292"/>
    <x v="204"/>
    <s v="CUST-0011"/>
    <s v="PROD-056"/>
    <x v="3"/>
    <n v="8"/>
    <n v="6940"/>
    <x v="185"/>
    <n v="53743.360000000001"/>
    <x v="2"/>
    <s v="Chennai"/>
    <x v="1"/>
    <m/>
    <x v="2"/>
    <n v="41"/>
    <x v="0"/>
    <m/>
    <m/>
    <m/>
  </r>
  <r>
    <s v="ORD-00335"/>
    <x v="7"/>
    <s v="CUST-0020"/>
    <s v="PROD-012"/>
    <x v="15"/>
    <n v="7"/>
    <n v="3160"/>
    <x v="186"/>
    <n v="21323.68"/>
    <x v="0"/>
    <s v="Hyderabad"/>
    <x v="0"/>
    <m/>
    <x v="1"/>
    <n v="46"/>
    <x v="0"/>
    <m/>
    <m/>
    <m/>
  </r>
  <r>
    <s v="ORD-00294"/>
    <x v="93"/>
    <s v="CUST-0163"/>
    <s v="PROD-028"/>
    <x v="4"/>
    <n v="2"/>
    <n v="3660"/>
    <x v="187"/>
    <n v="5124"/>
    <x v="1"/>
    <s v="Pune"/>
    <x v="2"/>
    <m/>
    <x v="1"/>
    <n v="49"/>
    <x v="0"/>
    <m/>
    <m/>
    <m/>
  </r>
  <r>
    <s v="ORD-00295"/>
    <x v="24"/>
    <s v="CUST-0081"/>
    <s v="PROD-024"/>
    <x v="1"/>
    <n v="1"/>
    <n v="2270"/>
    <x v="60"/>
    <n v="2161.04"/>
    <x v="2"/>
    <s v="Mumbai"/>
    <x v="2"/>
    <m/>
    <x v="1"/>
    <n v="25"/>
    <x v="1"/>
    <s v="Dec-24"/>
    <n v="1203"/>
    <n v="0.47004405286343615"/>
  </r>
  <r>
    <s v="ORD-00296"/>
    <x v="171"/>
    <s v="CUST-0053"/>
    <s v="PROD-059"/>
    <x v="5"/>
    <n v="8"/>
    <n v="3780"/>
    <x v="188"/>
    <n v="26308.799999999999"/>
    <x v="0"/>
    <s v="Delhi"/>
    <x v="1"/>
    <m/>
    <x v="1"/>
    <n v="53"/>
    <x v="0"/>
    <m/>
    <m/>
    <m/>
  </r>
  <r>
    <s v="ORD-01770"/>
    <x v="205"/>
    <s v="CUST-0115"/>
    <s v="PROD-013"/>
    <x v="27"/>
    <n v="1"/>
    <n v="3640"/>
    <x v="146"/>
    <n v="3083.08"/>
    <x v="1"/>
    <s v="Mumbai"/>
    <x v="0"/>
    <m/>
    <x v="0"/>
    <n v="65"/>
    <x v="0"/>
    <m/>
    <m/>
    <m/>
  </r>
  <r>
    <s v="ORD-00298"/>
    <x v="206"/>
    <s v="CUST-0166"/>
    <s v="PROD-009"/>
    <x v="18"/>
    <n v="8"/>
    <n v="1220"/>
    <x v="154"/>
    <n v="7007.68"/>
    <x v="0"/>
    <s v="Hyderabad"/>
    <x v="4"/>
    <m/>
    <x v="1"/>
    <n v="31"/>
    <x v="4"/>
    <s v="Sep-24"/>
    <n v="517"/>
    <n v="0.57622950819672136"/>
  </r>
  <r>
    <s v="ORD-00299"/>
    <x v="207"/>
    <s v="CUST-0263"/>
    <s v="PROD-017"/>
    <x v="14"/>
    <n v="3"/>
    <n v="2510"/>
    <x v="166"/>
    <n v="6219.78"/>
    <x v="0"/>
    <s v="Mumbai"/>
    <x v="0"/>
    <m/>
    <x v="1"/>
    <n v="40"/>
    <x v="4"/>
    <s v="Jul-24"/>
    <n v="1075"/>
    <n v="0.57171314741035861"/>
  </r>
  <r>
    <s v="ORD-00300"/>
    <x v="208"/>
    <s v="CUST-0010"/>
    <s v="PROD-040"/>
    <x v="10"/>
    <n v="1"/>
    <n v="1080"/>
    <x v="83"/>
    <n v="929.88"/>
    <x v="0"/>
    <s v="Mumbai"/>
    <x v="3"/>
    <m/>
    <x v="0"/>
    <n v="61"/>
    <x v="0"/>
    <m/>
    <m/>
    <m/>
  </r>
  <r>
    <s v="ORD-00301"/>
    <x v="183"/>
    <s v="CUST-0036"/>
    <s v="PROD-033"/>
    <x v="29"/>
    <n v="7"/>
    <n v="2030"/>
    <x v="173"/>
    <n v="10060.68"/>
    <x v="0"/>
    <s v="Mumbai"/>
    <x v="3"/>
    <m/>
    <x v="1"/>
    <n v="35"/>
    <x v="1"/>
    <s v="Dec-24"/>
    <n v="1143"/>
    <n v="0.43694581280788175"/>
  </r>
  <r>
    <s v="ORD-00302"/>
    <x v="209"/>
    <s v="CUST-0259"/>
    <s v="PROD-059"/>
    <x v="16"/>
    <n v="6"/>
    <n v="3780"/>
    <x v="116"/>
    <n v="17939.88"/>
    <x v="3"/>
    <s v="Mumbai"/>
    <x v="1"/>
    <m/>
    <x v="1"/>
    <n v="34"/>
    <x v="4"/>
    <s v="Apr-24"/>
    <n v="1860"/>
    <n v="0.50793650793650791"/>
  </r>
  <r>
    <s v="ORD-00303"/>
    <x v="168"/>
    <s v="CUST-0247"/>
    <s v="PROD-012"/>
    <x v="29"/>
    <n v="1"/>
    <n v="3160"/>
    <x v="32"/>
    <n v="2821.88"/>
    <x v="0"/>
    <s v="Pune"/>
    <x v="0"/>
    <m/>
    <x v="0"/>
    <n v="35"/>
    <x v="3"/>
    <s v="May-24"/>
    <n v="1886"/>
    <n v="0.4031645569620253"/>
  </r>
  <r>
    <s v="ORD-00881"/>
    <x v="148"/>
    <s v="CUST-0191"/>
    <s v="PROD-046"/>
    <x v="9"/>
    <n v="5"/>
    <n v="4880"/>
    <x v="189"/>
    <n v="21618.400000000001"/>
    <x v="0"/>
    <s v="Hyderabad"/>
    <x v="5"/>
    <m/>
    <x v="0"/>
    <n v="43"/>
    <x v="0"/>
    <m/>
    <m/>
    <m/>
  </r>
  <r>
    <s v="ORD-00305"/>
    <x v="142"/>
    <s v="CUST-0167"/>
    <s v="PROD-031"/>
    <x v="18"/>
    <n v="9"/>
    <n v="3730"/>
    <x v="190"/>
    <n v="30213"/>
    <x v="0"/>
    <s v="Delhi"/>
    <x v="3"/>
    <m/>
    <x v="1"/>
    <n v="43"/>
    <x v="0"/>
    <m/>
    <m/>
    <m/>
  </r>
  <r>
    <s v="ORD-00306"/>
    <x v="119"/>
    <s v="CUST-0196"/>
    <s v="PROD-034"/>
    <x v="10"/>
    <n v="5"/>
    <n v="5080"/>
    <x v="146"/>
    <n v="21513.8"/>
    <x v="0"/>
    <s v="Chennai"/>
    <x v="3"/>
    <m/>
    <x v="1"/>
    <n v="26"/>
    <x v="4"/>
    <s v="Dec-24"/>
    <n v="2459"/>
    <n v="0.51594488188976373"/>
  </r>
  <r>
    <s v="ORD-00307"/>
    <x v="210"/>
    <s v="CUST-0182"/>
    <s v="PROD-042"/>
    <x v="22"/>
    <n v="9"/>
    <n v="2290"/>
    <x v="2"/>
    <n v="19929.87"/>
    <x v="1"/>
    <s v="Mumbai"/>
    <x v="5"/>
    <m/>
    <x v="1"/>
    <n v="54"/>
    <x v="0"/>
    <m/>
    <m/>
    <m/>
  </r>
  <r>
    <s v="ORD-00308"/>
    <x v="211"/>
    <s v="CUST-0246"/>
    <s v="PROD-008"/>
    <x v="9"/>
    <n v="5"/>
    <n v="2660"/>
    <x v="191"/>
    <n v="12196.1"/>
    <x v="0"/>
    <s v="Delhi"/>
    <x v="4"/>
    <m/>
    <x v="0"/>
    <n v="29"/>
    <x v="4"/>
    <s v="Apr-24"/>
    <n v="1259"/>
    <n v="0.52669172932330832"/>
  </r>
  <r>
    <s v="ORD-00309"/>
    <x v="201"/>
    <s v="CUST-0132"/>
    <s v="PROD-027"/>
    <x v="5"/>
    <n v="6"/>
    <n v="3780"/>
    <x v="141"/>
    <n v="16261.56"/>
    <x v="0"/>
    <s v="Delhi"/>
    <x v="2"/>
    <m/>
    <x v="1"/>
    <n v="41"/>
    <x v="0"/>
    <m/>
    <m/>
    <m/>
  </r>
  <r>
    <s v="ORD-00310"/>
    <x v="212"/>
    <s v="CUST-0153"/>
    <s v="PROD-021"/>
    <x v="8"/>
    <n v="5"/>
    <n v="2760"/>
    <x v="101"/>
    <n v="13123.8"/>
    <x v="0"/>
    <s v="Mumbai"/>
    <x v="2"/>
    <m/>
    <x v="1"/>
    <n v="35"/>
    <x v="2"/>
    <s v="Aug-24"/>
    <n v="1435"/>
    <n v="0.48007246376811596"/>
  </r>
  <r>
    <s v="ORD-00311"/>
    <x v="213"/>
    <s v="CUST-0139"/>
    <s v="PROD-041"/>
    <x v="3"/>
    <n v="8"/>
    <n v="1540"/>
    <x v="192"/>
    <n v="8697.92"/>
    <x v="2"/>
    <s v="Hyderabad"/>
    <x v="5"/>
    <m/>
    <x v="0"/>
    <n v="65"/>
    <x v="0"/>
    <m/>
    <m/>
    <m/>
  </r>
  <r>
    <s v="ORD-00312"/>
    <x v="163"/>
    <s v="CUST-0256"/>
    <s v="PROD-046"/>
    <x v="24"/>
    <n v="1"/>
    <n v="4880"/>
    <x v="128"/>
    <n v="3996.72"/>
    <x v="0"/>
    <s v="Hyderabad"/>
    <x v="5"/>
    <m/>
    <x v="1"/>
    <n v="28"/>
    <x v="1"/>
    <s v="Mar-24"/>
    <n v="2768"/>
    <n v="0.43278688524590164"/>
  </r>
  <r>
    <s v="ORD-00313"/>
    <x v="95"/>
    <s v="CUST-0027"/>
    <s v="PROD-024"/>
    <x v="15"/>
    <n v="8"/>
    <n v="2270"/>
    <x v="113"/>
    <n v="14564.32"/>
    <x v="1"/>
    <s v="Hyderabad"/>
    <x v="2"/>
    <m/>
    <x v="2"/>
    <n v="52"/>
    <x v="0"/>
    <m/>
    <m/>
    <m/>
  </r>
  <r>
    <s v="ORD-00314"/>
    <x v="118"/>
    <s v="CUST-0151"/>
    <s v="PROD-019"/>
    <x v="9"/>
    <n v="10"/>
    <n v="2480"/>
    <x v="42"/>
    <n v="18748.8"/>
    <x v="1"/>
    <s v="Mumbai"/>
    <x v="0"/>
    <m/>
    <x v="1"/>
    <n v="53"/>
    <x v="0"/>
    <m/>
    <m/>
    <m/>
  </r>
  <r>
    <s v="ORD-00315"/>
    <x v="214"/>
    <s v="CUST-0204"/>
    <s v="PROD-045"/>
    <x v="2"/>
    <n v="8"/>
    <n v="3020"/>
    <x v="107"/>
    <n v="20487.68"/>
    <x v="1"/>
    <s v="Hyderabad"/>
    <x v="5"/>
    <m/>
    <x v="1"/>
    <n v="60"/>
    <x v="0"/>
    <m/>
    <m/>
    <m/>
  </r>
  <r>
    <s v="ORD-00316"/>
    <x v="25"/>
    <s v="CUST-0084"/>
    <s v="PROD-041"/>
    <x v="7"/>
    <n v="10"/>
    <n v="1540"/>
    <x v="43"/>
    <n v="15307.6"/>
    <x v="0"/>
    <s v="Chennai"/>
    <x v="5"/>
    <m/>
    <x v="1"/>
    <n v="28"/>
    <x v="4"/>
    <s v="Jul-24"/>
    <n v="647"/>
    <n v="0.57987012987012987"/>
  </r>
  <r>
    <s v="ORD-00317"/>
    <x v="215"/>
    <s v="CUST-0048"/>
    <s v="PROD-012"/>
    <x v="19"/>
    <n v="7"/>
    <n v="3160"/>
    <x v="193"/>
    <n v="20151.32"/>
    <x v="0"/>
    <s v="Delhi"/>
    <x v="0"/>
    <m/>
    <x v="1"/>
    <n v="59"/>
    <x v="0"/>
    <m/>
    <m/>
    <m/>
  </r>
  <r>
    <s v="ORD-00318"/>
    <x v="95"/>
    <s v="CUST-0013"/>
    <s v="PROD-054"/>
    <x v="22"/>
    <n v="6"/>
    <n v="1010"/>
    <x v="114"/>
    <n v="5278.26"/>
    <x v="0"/>
    <s v="Delhi"/>
    <x v="1"/>
    <m/>
    <x v="1"/>
    <n v="41"/>
    <x v="0"/>
    <m/>
    <m/>
    <m/>
  </r>
  <r>
    <s v="ORD-00319"/>
    <x v="216"/>
    <s v="CUST-0245"/>
    <s v="PROD-039"/>
    <x v="16"/>
    <n v="4"/>
    <n v="4610"/>
    <x v="93"/>
    <n v="15083.92"/>
    <x v="0"/>
    <s v="Hyderabad"/>
    <x v="3"/>
    <m/>
    <x v="1"/>
    <n v="65"/>
    <x v="0"/>
    <m/>
    <m/>
    <m/>
  </r>
  <r>
    <s v="ORD-00320"/>
    <x v="30"/>
    <s v="CUST-0031"/>
    <s v="PROD-025"/>
    <x v="20"/>
    <n v="6"/>
    <n v="4060"/>
    <x v="194"/>
    <n v="18440.52"/>
    <x v="0"/>
    <s v="Hyderabad"/>
    <x v="2"/>
    <m/>
    <x v="1"/>
    <n v="53"/>
    <x v="0"/>
    <m/>
    <m/>
    <m/>
  </r>
  <r>
    <s v="ORD-00321"/>
    <x v="89"/>
    <s v="CUST-0212"/>
    <s v="PROD-016"/>
    <x v="19"/>
    <n v="5"/>
    <n v="620"/>
    <x v="32"/>
    <n v="2768.3"/>
    <x v="3"/>
    <s v="Chennai"/>
    <x v="0"/>
    <m/>
    <x v="0"/>
    <n v="46"/>
    <x v="0"/>
    <m/>
    <m/>
    <m/>
  </r>
  <r>
    <s v="ORD-00322"/>
    <x v="191"/>
    <s v="CUST-0104"/>
    <s v="PROD-018"/>
    <x v="11"/>
    <n v="3"/>
    <n v="3560"/>
    <x v="195"/>
    <n v="10242.120000000001"/>
    <x v="0"/>
    <s v="Hyderabad"/>
    <x v="0"/>
    <m/>
    <x v="2"/>
    <n v="43"/>
    <x v="0"/>
    <m/>
    <m/>
    <m/>
  </r>
  <r>
    <s v="ORD-00323"/>
    <x v="66"/>
    <s v="CUST-0157"/>
    <s v="PROD-058"/>
    <x v="27"/>
    <n v="2"/>
    <n v="2400"/>
    <x v="188"/>
    <n v="4176"/>
    <x v="0"/>
    <s v="Pune"/>
    <x v="1"/>
    <m/>
    <x v="2"/>
    <n v="52"/>
    <x v="0"/>
    <m/>
    <m/>
    <m/>
  </r>
  <r>
    <s v="ORD-00324"/>
    <x v="192"/>
    <s v="CUST-0004"/>
    <s v="PROD-056"/>
    <x v="3"/>
    <n v="9"/>
    <n v="6940"/>
    <x v="22"/>
    <n v="46095.48"/>
    <x v="0"/>
    <s v="Delhi"/>
    <x v="1"/>
    <m/>
    <x v="1"/>
    <n v="53"/>
    <x v="0"/>
    <m/>
    <m/>
    <m/>
  </r>
  <r>
    <s v="ORD-00325"/>
    <x v="217"/>
    <s v="CUST-0003"/>
    <s v="PROD-023"/>
    <x v="5"/>
    <n v="9"/>
    <n v="2380"/>
    <x v="82"/>
    <n v="16557.66"/>
    <x v="0"/>
    <s v="Mumbai"/>
    <x v="2"/>
    <m/>
    <x v="1"/>
    <n v="33"/>
    <x v="1"/>
    <s v="Apr-24"/>
    <n v="1182"/>
    <n v="0.50336134453781511"/>
  </r>
  <r>
    <s v="ORD-00326"/>
    <x v="176"/>
    <s v="CUST-0175"/>
    <s v="PROD-014"/>
    <x v="8"/>
    <n v="6"/>
    <n v="3620"/>
    <x v="159"/>
    <n v="19721.759999999998"/>
    <x v="0"/>
    <s v="Delhi"/>
    <x v="0"/>
    <m/>
    <x v="2"/>
    <n v="55"/>
    <x v="0"/>
    <m/>
    <m/>
    <m/>
  </r>
  <r>
    <s v="ORD-00327"/>
    <x v="124"/>
    <s v="CUST-0104"/>
    <s v="PROD-050"/>
    <x v="10"/>
    <n v="1"/>
    <n v="6080"/>
    <x v="192"/>
    <n v="4292.4799999999996"/>
    <x v="2"/>
    <s v="Hyderabad"/>
    <x v="5"/>
    <m/>
    <x v="2"/>
    <n v="43"/>
    <x v="0"/>
    <m/>
    <m/>
    <m/>
  </r>
  <r>
    <s v="ORD-00328"/>
    <x v="30"/>
    <s v="CUST-0196"/>
    <s v="PROD-020"/>
    <x v="26"/>
    <n v="6"/>
    <n v="820"/>
    <x v="196"/>
    <n v="3488.28"/>
    <x v="0"/>
    <s v="Chennai"/>
    <x v="0"/>
    <m/>
    <x v="1"/>
    <n v="26"/>
    <x v="1"/>
    <s v="May-24"/>
    <n v="391"/>
    <n v="0.52317073170731709"/>
  </r>
  <r>
    <s v="ORD-00329"/>
    <x v="34"/>
    <s v="CUST-0299"/>
    <s v="PROD-045"/>
    <x v="6"/>
    <n v="9"/>
    <n v="3020"/>
    <x v="96"/>
    <n v="25032.78"/>
    <x v="0"/>
    <s v="Mumbai"/>
    <x v="5"/>
    <m/>
    <x v="2"/>
    <n v="51"/>
    <x v="0"/>
    <m/>
    <m/>
    <m/>
  </r>
  <r>
    <s v="ORD-00330"/>
    <x v="218"/>
    <s v="CUST-0066"/>
    <s v="PROD-004"/>
    <x v="20"/>
    <n v="8"/>
    <n v="3870"/>
    <x v="152"/>
    <n v="27275.759999999998"/>
    <x v="0"/>
    <s v="Delhi"/>
    <x v="4"/>
    <m/>
    <x v="1"/>
    <n v="24"/>
    <x v="2"/>
    <s v="Dec-24"/>
    <n v="1559"/>
    <n v="0.59715762273901807"/>
  </r>
  <r>
    <s v="ORD-00331"/>
    <x v="72"/>
    <s v="CUST-0080"/>
    <s v="PROD-047"/>
    <x v="14"/>
    <n v="6"/>
    <n v="3450"/>
    <x v="83"/>
    <n v="17822.7"/>
    <x v="0"/>
    <s v="Pune"/>
    <x v="5"/>
    <m/>
    <x v="0"/>
    <n v="30"/>
    <x v="2"/>
    <s v="Dec-24"/>
    <n v="2420"/>
    <n v="0.29855072463768118"/>
  </r>
  <r>
    <s v="ORD-00332"/>
    <x v="219"/>
    <s v="CUST-0138"/>
    <s v="PROD-048"/>
    <x v="4"/>
    <n v="9"/>
    <n v="5100"/>
    <x v="197"/>
    <n v="44936.1"/>
    <x v="0"/>
    <s v="Chennai"/>
    <x v="5"/>
    <m/>
    <x v="1"/>
    <n v="24"/>
    <x v="2"/>
    <s v="Aug-24"/>
    <n v="2237"/>
    <n v="0.56137254901960787"/>
  </r>
  <r>
    <s v="ORD-00333"/>
    <x v="79"/>
    <s v="CUST-0253"/>
    <s v="PROD-026"/>
    <x v="4"/>
    <n v="2"/>
    <n v="4070"/>
    <x v="132"/>
    <n v="5811.96"/>
    <x v="0"/>
    <s v="Delhi"/>
    <x v="2"/>
    <m/>
    <x v="0"/>
    <n v="53"/>
    <x v="0"/>
    <m/>
    <m/>
    <m/>
  </r>
  <r>
    <s v="ORD-00334"/>
    <x v="220"/>
    <s v="CUST-0247"/>
    <s v="PROD-001"/>
    <x v="0"/>
    <n v="9"/>
    <n v="5330"/>
    <x v="198"/>
    <n v="44995.86"/>
    <x v="0"/>
    <s v="Pune"/>
    <x v="4"/>
    <m/>
    <x v="0"/>
    <n v="35"/>
    <x v="1"/>
    <s v="Aug-24"/>
    <n v="2405"/>
    <n v="0.54878048780487809"/>
  </r>
  <r>
    <s v="ORD-00335"/>
    <x v="158"/>
    <s v="CUST-0269"/>
    <s v="PROD-024"/>
    <x v="16"/>
    <n v="6"/>
    <n v="2270"/>
    <x v="129"/>
    <n v="10392.06"/>
    <x v="0"/>
    <s v="Pune"/>
    <x v="2"/>
    <m/>
    <x v="1"/>
    <n v="48"/>
    <x v="0"/>
    <m/>
    <m/>
    <m/>
  </r>
  <r>
    <s v="ORD-00336"/>
    <x v="221"/>
    <s v="CUST-0008"/>
    <s v="PROD-017"/>
    <x v="6"/>
    <n v="5"/>
    <n v="2510"/>
    <x v="199"/>
    <n v="9412.5"/>
    <x v="0"/>
    <s v="Pune"/>
    <x v="0"/>
    <m/>
    <x v="0"/>
    <n v="39"/>
    <x v="3"/>
    <s v="Jan-24"/>
    <n v="1075"/>
    <n v="0.57171314741035861"/>
  </r>
  <r>
    <s v="ORD-00337"/>
    <x v="164"/>
    <s v="CUST-0134"/>
    <s v="PROD-023"/>
    <x v="7"/>
    <n v="9"/>
    <n v="2380"/>
    <x v="135"/>
    <n v="17821.439999999999"/>
    <x v="0"/>
    <s v="Delhi"/>
    <x v="2"/>
    <m/>
    <x v="1"/>
    <n v="40"/>
    <x v="2"/>
    <s v="Nov-24"/>
    <n v="1182"/>
    <n v="0.50336134453781511"/>
  </r>
  <r>
    <s v="ORD-00338"/>
    <x v="103"/>
    <s v="CUST-0016"/>
    <s v="PROD-011"/>
    <x v="4"/>
    <n v="1"/>
    <n v="3450"/>
    <x v="156"/>
    <n v="3398.25"/>
    <x v="3"/>
    <s v="Delhi"/>
    <x v="0"/>
    <m/>
    <x v="0"/>
    <n v="26"/>
    <x v="3"/>
    <s v="Feb-24"/>
    <n v="1748"/>
    <n v="0.49333333333333335"/>
  </r>
  <r>
    <s v="ORD-00339"/>
    <x v="146"/>
    <s v="CUST-0281"/>
    <s v="PROD-003"/>
    <x v="25"/>
    <n v="5"/>
    <n v="3570"/>
    <x v="38"/>
    <n v="15565.2"/>
    <x v="0"/>
    <s v="Bengaluru"/>
    <x v="4"/>
    <m/>
    <x v="2"/>
    <n v="57"/>
    <x v="0"/>
    <m/>
    <m/>
    <m/>
  </r>
  <r>
    <s v="ORD-00340"/>
    <x v="222"/>
    <s v="CUST-0267"/>
    <s v="PROD-001"/>
    <x v="20"/>
    <n v="3"/>
    <n v="5330"/>
    <x v="183"/>
    <n v="13399.62"/>
    <x v="0"/>
    <s v="Hyderabad"/>
    <x v="4"/>
    <m/>
    <x v="1"/>
    <n v="27"/>
    <x v="1"/>
    <s v="Jan-24"/>
    <n v="2405"/>
    <n v="0.54878048780487809"/>
  </r>
  <r>
    <s v="ORD-00341"/>
    <x v="123"/>
    <s v="CUST-0279"/>
    <s v="PROD-028"/>
    <x v="28"/>
    <n v="3"/>
    <n v="3660"/>
    <x v="57"/>
    <n v="8202.06"/>
    <x v="0"/>
    <s v="Mumbai"/>
    <x v="2"/>
    <m/>
    <x v="1"/>
    <n v="56"/>
    <x v="0"/>
    <m/>
    <m/>
    <m/>
  </r>
  <r>
    <s v="ORD-00342"/>
    <x v="77"/>
    <s v="CUST-0036"/>
    <s v="PROD-054"/>
    <x v="15"/>
    <n v="2"/>
    <n v="1010"/>
    <x v="173"/>
    <n v="1430.16"/>
    <x v="0"/>
    <s v="Mumbai"/>
    <x v="1"/>
    <m/>
    <x v="1"/>
    <n v="35"/>
    <x v="2"/>
    <s v="Feb-24"/>
    <n v="516"/>
    <n v="0.4891089108910891"/>
  </r>
  <r>
    <s v="ORD-00343"/>
    <x v="47"/>
    <s v="CUST-0295"/>
    <s v="PROD-040"/>
    <x v="15"/>
    <n v="1"/>
    <n v="1080"/>
    <x v="200"/>
    <n v="1060.56"/>
    <x v="0"/>
    <s v="Delhi"/>
    <x v="3"/>
    <m/>
    <x v="0"/>
    <n v="48"/>
    <x v="0"/>
    <m/>
    <m/>
    <m/>
  </r>
  <r>
    <s v="ORD-00344"/>
    <x v="85"/>
    <s v="CUST-0106"/>
    <s v="PROD-051"/>
    <x v="9"/>
    <n v="8"/>
    <n v="3450"/>
    <x v="201"/>
    <n v="21969.599999999999"/>
    <x v="0"/>
    <s v="Pune"/>
    <x v="1"/>
    <m/>
    <x v="1"/>
    <n v="22"/>
    <x v="4"/>
    <s v="Aug-24"/>
    <n v="2467"/>
    <n v="0.28492753623188405"/>
  </r>
  <r>
    <s v="ORD-00593"/>
    <x v="223"/>
    <s v="CUST-0070"/>
    <s v="PROD-056"/>
    <x v="15"/>
    <n v="8"/>
    <n v="6940"/>
    <x v="202"/>
    <n v="44749.120000000003"/>
    <x v="0"/>
    <s v="Mumbai"/>
    <x v="1"/>
    <m/>
    <x v="1"/>
    <n v="42"/>
    <x v="0"/>
    <m/>
    <m/>
    <m/>
  </r>
  <r>
    <s v="ORD-00346"/>
    <x v="224"/>
    <s v="CUST-0062"/>
    <s v="PROD-041"/>
    <x v="11"/>
    <n v="2"/>
    <n v="1540"/>
    <x v="203"/>
    <n v="2793.56"/>
    <x v="0"/>
    <s v="Pune"/>
    <x v="5"/>
    <m/>
    <x v="1"/>
    <n v="54"/>
    <x v="0"/>
    <m/>
    <m/>
    <m/>
  </r>
  <r>
    <s v="ORD-00347"/>
    <x v="225"/>
    <s v="CUST-0241"/>
    <s v="PROD-010"/>
    <x v="15"/>
    <n v="4"/>
    <n v="2640"/>
    <x v="204"/>
    <n v="8110.08"/>
    <x v="3"/>
    <s v="Pune"/>
    <x v="4"/>
    <m/>
    <x v="2"/>
    <n v="47"/>
    <x v="0"/>
    <m/>
    <m/>
    <m/>
  </r>
  <r>
    <s v="ORD-00348"/>
    <x v="17"/>
    <s v="CUST-0001"/>
    <s v="PROD-052"/>
    <x v="6"/>
    <n v="6"/>
    <n v="5410"/>
    <x v="192"/>
    <n v="22916.76"/>
    <x v="0"/>
    <s v="Pune"/>
    <x v="1"/>
    <m/>
    <x v="1"/>
    <n v="36"/>
    <x v="4"/>
    <s v="Jun-24"/>
    <n v="2265"/>
    <n v="0.58133086876155271"/>
  </r>
  <r>
    <s v="ORD-00349"/>
    <x v="61"/>
    <s v="CUST-0181"/>
    <s v="PROD-003"/>
    <x v="28"/>
    <n v="1"/>
    <n v="3570"/>
    <x v="12"/>
    <n v="3416.49"/>
    <x v="0"/>
    <s v="Delhi"/>
    <x v="4"/>
    <m/>
    <x v="0"/>
    <n v="38"/>
    <x v="2"/>
    <s v="Nov-24"/>
    <n v="1665"/>
    <n v="0.53361344537815125"/>
  </r>
  <r>
    <s v="ORD-00350"/>
    <x v="226"/>
    <s v="CUST-0044"/>
    <s v="PROD-032"/>
    <x v="8"/>
    <n v="2"/>
    <n v="370"/>
    <x v="205"/>
    <n v="686.72"/>
    <x v="0"/>
    <s v="Hyderabad"/>
    <x v="3"/>
    <m/>
    <x v="0"/>
    <n v="29"/>
    <x v="2"/>
    <s v="Jun-24"/>
    <n v="288"/>
    <n v="0.22162162162162163"/>
  </r>
  <r>
    <s v="ORD-00351"/>
    <x v="203"/>
    <s v="CUST-0218"/>
    <s v="PROD-017"/>
    <x v="21"/>
    <n v="1"/>
    <n v="2510"/>
    <x v="7"/>
    <n v="2449.7600000000002"/>
    <x v="0"/>
    <s v="Mumbai"/>
    <x v="0"/>
    <m/>
    <x v="1"/>
    <n v="39"/>
    <x v="2"/>
    <s v="Aug-24"/>
    <n v="1075"/>
    <n v="0.57171314741035861"/>
  </r>
  <r>
    <s v="ORD-00352"/>
    <x v="178"/>
    <s v="CUST-0061"/>
    <s v="PROD-013"/>
    <x v="24"/>
    <n v="8"/>
    <n v="3640"/>
    <x v="20"/>
    <n v="20762.560000000001"/>
    <x v="1"/>
    <s v="Hyderabad"/>
    <x v="0"/>
    <m/>
    <x v="1"/>
    <n v="64"/>
    <x v="0"/>
    <m/>
    <m/>
    <m/>
  </r>
  <r>
    <s v="ORD-00353"/>
    <x v="226"/>
    <s v="CUST-0143"/>
    <s v="PROD-044"/>
    <x v="20"/>
    <n v="5"/>
    <n v="1650"/>
    <x v="106"/>
    <n v="7144.5"/>
    <x v="1"/>
    <s v="Chennai"/>
    <x v="5"/>
    <m/>
    <x v="0"/>
    <n v="52"/>
    <x v="0"/>
    <m/>
    <m/>
    <m/>
  </r>
  <r>
    <s v="ORD-00354"/>
    <x v="107"/>
    <s v="CUST-0164"/>
    <s v="PROD-049"/>
    <x v="6"/>
    <n v="9"/>
    <n v="960"/>
    <x v="132"/>
    <n v="6168.96"/>
    <x v="1"/>
    <s v="Chennai"/>
    <x v="5"/>
    <m/>
    <x v="1"/>
    <n v="60"/>
    <x v="0"/>
    <m/>
    <m/>
    <m/>
  </r>
  <r>
    <s v="ORD-00355"/>
    <x v="97"/>
    <s v="CUST-0152"/>
    <s v="PROD-027"/>
    <x v="13"/>
    <n v="4"/>
    <n v="3780"/>
    <x v="57"/>
    <n v="11294.64"/>
    <x v="0"/>
    <s v="Bengaluru"/>
    <x v="2"/>
    <m/>
    <x v="0"/>
    <n v="64"/>
    <x v="0"/>
    <m/>
    <m/>
    <m/>
  </r>
  <r>
    <s v="ORD-00356"/>
    <x v="227"/>
    <s v="CUST-0143"/>
    <s v="PROD-044"/>
    <x v="2"/>
    <n v="4"/>
    <n v="1650"/>
    <x v="130"/>
    <n v="5695.8"/>
    <x v="2"/>
    <s v="Chennai"/>
    <x v="5"/>
    <m/>
    <x v="0"/>
    <n v="52"/>
    <x v="0"/>
    <m/>
    <m/>
    <m/>
  </r>
  <r>
    <s v="ORD-00357"/>
    <x v="228"/>
    <s v="CUST-0232"/>
    <s v="PROD-014"/>
    <x v="27"/>
    <n v="6"/>
    <n v="3620"/>
    <x v="206"/>
    <n v="17093.64"/>
    <x v="1"/>
    <s v="Hyderabad"/>
    <x v="0"/>
    <m/>
    <x v="1"/>
    <n v="38"/>
    <x v="4"/>
    <s v="Sep-24"/>
    <n v="2509"/>
    <n v="0.3069060773480663"/>
  </r>
  <r>
    <s v="ORD-00358"/>
    <x v="42"/>
    <s v="CUST-0067"/>
    <s v="PROD-022"/>
    <x v="14"/>
    <n v="10"/>
    <n v="2270"/>
    <x v="207"/>
    <n v="18682.099999999999"/>
    <x v="0"/>
    <s v="Delhi"/>
    <x v="2"/>
    <m/>
    <x v="0"/>
    <n v="59"/>
    <x v="0"/>
    <m/>
    <m/>
    <m/>
  </r>
  <r>
    <s v="ORD-00359"/>
    <x v="130"/>
    <s v="CUST-0292"/>
    <s v="PROD-041"/>
    <x v="22"/>
    <n v="9"/>
    <n v="1540"/>
    <x v="32"/>
    <n v="12376.98"/>
    <x v="0"/>
    <s v="Bengaluru"/>
    <x v="5"/>
    <m/>
    <x v="1"/>
    <n v="32"/>
    <x v="2"/>
    <s v="Jan-24"/>
    <n v="647"/>
    <n v="0.57987012987012987"/>
  </r>
  <r>
    <s v="ORD-00360"/>
    <x v="84"/>
    <s v="CUST-0118"/>
    <s v="PROD-055"/>
    <x v="13"/>
    <n v="9"/>
    <n v="2860"/>
    <x v="114"/>
    <n v="22419.54"/>
    <x v="0"/>
    <s v="Hyderabad"/>
    <x v="1"/>
    <m/>
    <x v="1"/>
    <n v="26"/>
    <x v="4"/>
    <s v="Jun-24"/>
    <n v="2028"/>
    <n v="0.29090909090909089"/>
  </r>
  <r>
    <s v="ORD-00361"/>
    <x v="229"/>
    <s v="CUST-0212"/>
    <s v="PROD-029"/>
    <x v="29"/>
    <n v="5"/>
    <n v="2210"/>
    <x v="34"/>
    <n v="10486.45"/>
    <x v="0"/>
    <s v="Chennai"/>
    <x v="2"/>
    <m/>
    <x v="0"/>
    <n v="46"/>
    <x v="0"/>
    <m/>
    <m/>
    <m/>
  </r>
  <r>
    <s v="ORD-00362"/>
    <x v="157"/>
    <s v="CUST-0287"/>
    <s v="PROD-009"/>
    <x v="20"/>
    <n v="1"/>
    <n v="1220"/>
    <x v="111"/>
    <n v="1023.58"/>
    <x v="0"/>
    <s v="Chennai"/>
    <x v="4"/>
    <m/>
    <x v="0"/>
    <n v="53"/>
    <x v="0"/>
    <m/>
    <m/>
    <m/>
  </r>
  <r>
    <s v="ORD-00363"/>
    <x v="230"/>
    <s v="CUST-0030"/>
    <s v="PROD-003"/>
    <x v="3"/>
    <n v="2"/>
    <n v="3570"/>
    <x v="71"/>
    <n v="7061.46"/>
    <x v="0"/>
    <s v="Bengaluru"/>
    <x v="4"/>
    <m/>
    <x v="2"/>
    <n v="43"/>
    <x v="0"/>
    <m/>
    <m/>
    <m/>
  </r>
  <r>
    <s v="ORD-00364"/>
    <x v="231"/>
    <s v="CUST-0270"/>
    <s v="PROD-011"/>
    <x v="29"/>
    <n v="10"/>
    <n v="3450"/>
    <x v="208"/>
    <n v="30153"/>
    <x v="0"/>
    <s v="Bengaluru"/>
    <x v="0"/>
    <m/>
    <x v="1"/>
    <n v="29"/>
    <x v="1"/>
    <s v="Sep-24"/>
    <n v="1748"/>
    <n v="0.49333333333333335"/>
  </r>
  <r>
    <s v="ORD-00365"/>
    <x v="232"/>
    <s v="CUST-0001"/>
    <s v="PROD-029"/>
    <x v="13"/>
    <n v="4"/>
    <n v="2210"/>
    <x v="75"/>
    <n v="8362.64"/>
    <x v="0"/>
    <s v="Pune"/>
    <x v="2"/>
    <m/>
    <x v="1"/>
    <n v="36"/>
    <x v="4"/>
    <s v="Jan-24"/>
    <n v="1010"/>
    <n v="0.54298642533936647"/>
  </r>
  <r>
    <s v="ORD-00366"/>
    <x v="233"/>
    <s v="CUST-0215"/>
    <s v="PROD-035"/>
    <x v="2"/>
    <n v="6"/>
    <n v="1090"/>
    <x v="209"/>
    <n v="6350.34"/>
    <x v="2"/>
    <s v="Hyderabad"/>
    <x v="3"/>
    <m/>
    <x v="1"/>
    <n v="52"/>
    <x v="0"/>
    <m/>
    <m/>
    <m/>
  </r>
  <r>
    <s v="ORD-00367"/>
    <x v="234"/>
    <s v="CUST-0225"/>
    <s v="PROD-041"/>
    <x v="21"/>
    <n v="8"/>
    <n v="1540"/>
    <x v="131"/>
    <n v="10114.719999999999"/>
    <x v="1"/>
    <s v="Chennai"/>
    <x v="5"/>
    <m/>
    <x v="0"/>
    <n v="26"/>
    <x v="4"/>
    <s v="Jul-24"/>
    <n v="647"/>
    <n v="0.57987012987012987"/>
  </r>
  <r>
    <s v="ORD-00368"/>
    <x v="2"/>
    <s v="CUST-0163"/>
    <s v="PROD-002"/>
    <x v="8"/>
    <n v="9"/>
    <n v="2600"/>
    <x v="195"/>
    <n v="22440.6"/>
    <x v="0"/>
    <s v="Pune"/>
    <x v="4"/>
    <m/>
    <x v="1"/>
    <n v="49"/>
    <x v="0"/>
    <m/>
    <m/>
    <m/>
  </r>
  <r>
    <s v="ORD-00369"/>
    <x v="235"/>
    <s v="CUST-0196"/>
    <s v="PROD-060"/>
    <x v="0"/>
    <n v="2"/>
    <n v="190"/>
    <x v="60"/>
    <n v="361.76"/>
    <x v="0"/>
    <s v="Chennai"/>
    <x v="1"/>
    <m/>
    <x v="1"/>
    <n v="26"/>
    <x v="2"/>
    <s v="Mar-24"/>
    <n v="147"/>
    <n v="0.22631578947368422"/>
  </r>
  <r>
    <s v="ORD-00370"/>
    <x v="236"/>
    <s v="CUST-0002"/>
    <s v="PROD-019"/>
    <x v="2"/>
    <n v="9"/>
    <n v="2480"/>
    <x v="141"/>
    <n v="16003.44"/>
    <x v="0"/>
    <s v="Pune"/>
    <x v="0"/>
    <m/>
    <x v="2"/>
    <n v="42"/>
    <x v="0"/>
    <m/>
    <m/>
    <m/>
  </r>
  <r>
    <s v="ORD-00371"/>
    <x v="33"/>
    <s v="CUST-0057"/>
    <s v="PROD-042"/>
    <x v="3"/>
    <n v="7"/>
    <n v="2290"/>
    <x v="199"/>
    <n v="12022.5"/>
    <x v="2"/>
    <s v="Pune"/>
    <x v="5"/>
    <m/>
    <x v="1"/>
    <n v="35"/>
    <x v="4"/>
    <s v="May-24"/>
    <n v="1219"/>
    <n v="0.46768558951965067"/>
  </r>
  <r>
    <s v="ORD-00372"/>
    <x v="237"/>
    <s v="CUST-0112"/>
    <s v="PROD-041"/>
    <x v="15"/>
    <n v="9"/>
    <n v="1540"/>
    <x v="74"/>
    <n v="10630.62"/>
    <x v="0"/>
    <s v="Hyderabad"/>
    <x v="5"/>
    <m/>
    <x v="1"/>
    <n v="64"/>
    <x v="0"/>
    <m/>
    <m/>
    <m/>
  </r>
  <r>
    <s v="ORD-00373"/>
    <x v="168"/>
    <s v="CUST-0131"/>
    <s v="PROD-034"/>
    <x v="5"/>
    <n v="2"/>
    <n v="5080"/>
    <x v="148"/>
    <n v="9906"/>
    <x v="2"/>
    <s v="Delhi"/>
    <x v="3"/>
    <m/>
    <x v="0"/>
    <n v="28"/>
    <x v="4"/>
    <s v="Oct-24"/>
    <n v="2459"/>
    <n v="0.51594488188976373"/>
  </r>
  <r>
    <s v="ORD-00374"/>
    <x v="238"/>
    <s v="CUST-0124"/>
    <s v="PROD-017"/>
    <x v="29"/>
    <n v="4"/>
    <n v="2510"/>
    <x v="26"/>
    <n v="7670.56"/>
    <x v="0"/>
    <s v="Pune"/>
    <x v="0"/>
    <m/>
    <x v="1"/>
    <n v="57"/>
    <x v="0"/>
    <m/>
    <m/>
    <m/>
  </r>
  <r>
    <s v="ORD-00375"/>
    <x v="10"/>
    <s v="CUST-0131"/>
    <s v="PROD-042"/>
    <x v="23"/>
    <n v="5"/>
    <n v="2290"/>
    <x v="210"/>
    <n v="9503.5"/>
    <x v="0"/>
    <s v="Delhi"/>
    <x v="5"/>
    <m/>
    <x v="0"/>
    <n v="28"/>
    <x v="4"/>
    <s v="Feb-24"/>
    <n v="1219"/>
    <n v="0.46768558951965067"/>
  </r>
  <r>
    <s v="ORD-00376"/>
    <x v="1"/>
    <s v="CUST-0084"/>
    <s v="PROD-053"/>
    <x v="3"/>
    <n v="8"/>
    <n v="470"/>
    <x v="203"/>
    <n v="3410.32"/>
    <x v="0"/>
    <s v="Chennai"/>
    <x v="1"/>
    <m/>
    <x v="1"/>
    <n v="28"/>
    <x v="4"/>
    <s v="Feb-24"/>
    <n v="302"/>
    <n v="0.35744680851063831"/>
  </r>
  <r>
    <s v="ORD-00377"/>
    <x v="148"/>
    <s v="CUST-0082"/>
    <s v="PROD-048"/>
    <x v="18"/>
    <n v="8"/>
    <n v="5100"/>
    <x v="211"/>
    <n v="38923.199999999997"/>
    <x v="0"/>
    <s v="Hyderabad"/>
    <x v="5"/>
    <m/>
    <x v="0"/>
    <n v="36"/>
    <x v="1"/>
    <s v="Feb-24"/>
    <n v="2237"/>
    <n v="0.56137254901960787"/>
  </r>
  <r>
    <s v="ORD-00378"/>
    <x v="197"/>
    <s v="CUST-0242"/>
    <s v="PROD-001"/>
    <x v="9"/>
    <n v="7"/>
    <n v="5330"/>
    <x v="148"/>
    <n v="36377.25"/>
    <x v="0"/>
    <s v="Chennai"/>
    <x v="4"/>
    <m/>
    <x v="0"/>
    <n v="59"/>
    <x v="0"/>
    <m/>
    <m/>
    <m/>
  </r>
  <r>
    <s v="ORD-00379"/>
    <x v="234"/>
    <s v="CUST-0074"/>
    <s v="PROD-033"/>
    <x v="8"/>
    <n v="10"/>
    <n v="2030"/>
    <x v="144"/>
    <n v="18574.5"/>
    <x v="0"/>
    <s v="Bengaluru"/>
    <x v="3"/>
    <m/>
    <x v="1"/>
    <n v="27"/>
    <x v="4"/>
    <s v="Jan-24"/>
    <n v="1143"/>
    <n v="0.43694581280788175"/>
  </r>
  <r>
    <s v="ORD-00380"/>
    <x v="9"/>
    <s v="CUST-0221"/>
    <s v="PROD-034"/>
    <x v="11"/>
    <n v="8"/>
    <n v="5080"/>
    <x v="212"/>
    <n v="36738.559999999998"/>
    <x v="2"/>
    <s v="Delhi"/>
    <x v="3"/>
    <m/>
    <x v="0"/>
    <n v="29"/>
    <x v="2"/>
    <s v="Mar-24"/>
    <n v="2459"/>
    <n v="0.51594488188976373"/>
  </r>
  <r>
    <s v="ORD-00381"/>
    <x v="239"/>
    <s v="CUST-0101"/>
    <s v="PROD-023"/>
    <x v="2"/>
    <n v="1"/>
    <n v="2380"/>
    <x v="37"/>
    <n v="2103.92"/>
    <x v="1"/>
    <s v="Hyderabad"/>
    <x v="2"/>
    <m/>
    <x v="0"/>
    <n v="40"/>
    <x v="1"/>
    <s v="Sep-24"/>
    <n v="1182"/>
    <n v="0.50336134453781511"/>
  </r>
  <r>
    <s v="ORD-00382"/>
    <x v="222"/>
    <s v="CUST-0203"/>
    <s v="PROD-041"/>
    <x v="28"/>
    <n v="8"/>
    <n v="1540"/>
    <x v="213"/>
    <n v="8895.0400000000009"/>
    <x v="0"/>
    <s v="Chennai"/>
    <x v="5"/>
    <m/>
    <x v="0"/>
    <n v="55"/>
    <x v="0"/>
    <m/>
    <m/>
    <m/>
  </r>
  <r>
    <s v="ORD-00383"/>
    <x v="157"/>
    <s v="CUST-0209"/>
    <s v="PROD-024"/>
    <x v="6"/>
    <n v="1"/>
    <n v="2270"/>
    <x v="76"/>
    <n v="2122.4499999999998"/>
    <x v="1"/>
    <s v="Pune"/>
    <x v="2"/>
    <m/>
    <x v="1"/>
    <n v="31"/>
    <x v="2"/>
    <s v="Oct-24"/>
    <n v="1203"/>
    <n v="0.47004405286343615"/>
  </r>
  <r>
    <s v="ORD-00384"/>
    <x v="240"/>
    <s v="CUST-0094"/>
    <s v="PROD-019"/>
    <x v="8"/>
    <n v="6"/>
    <n v="2480"/>
    <x v="163"/>
    <n v="11026.08"/>
    <x v="0"/>
    <s v="Pune"/>
    <x v="0"/>
    <m/>
    <x v="0"/>
    <n v="60"/>
    <x v="0"/>
    <m/>
    <m/>
    <m/>
  </r>
  <r>
    <s v="ORD-00385"/>
    <x v="170"/>
    <s v="CUST-0248"/>
    <s v="PROD-018"/>
    <x v="7"/>
    <n v="3"/>
    <n v="3560"/>
    <x v="160"/>
    <n v="10637.28"/>
    <x v="3"/>
    <s v="Chennai"/>
    <x v="0"/>
    <m/>
    <x v="0"/>
    <n v="57"/>
    <x v="0"/>
    <m/>
    <m/>
    <m/>
  </r>
  <r>
    <s v="ORD-00386"/>
    <x v="124"/>
    <s v="CUST-0297"/>
    <s v="PROD-008"/>
    <x v="3"/>
    <n v="4"/>
    <n v="2660"/>
    <x v="214"/>
    <n v="8543.92"/>
    <x v="2"/>
    <s v="Hyderabad"/>
    <x v="4"/>
    <m/>
    <x v="1"/>
    <n v="50"/>
    <x v="0"/>
    <m/>
    <m/>
    <m/>
  </r>
  <r>
    <s v="ORD-00387"/>
    <x v="194"/>
    <s v="CUST-0107"/>
    <s v="PROD-009"/>
    <x v="22"/>
    <n v="10"/>
    <n v="1220"/>
    <x v="147"/>
    <n v="10967.8"/>
    <x v="2"/>
    <s v="Pune"/>
    <x v="4"/>
    <m/>
    <x v="1"/>
    <n v="50"/>
    <x v="0"/>
    <m/>
    <m/>
    <m/>
  </r>
  <r>
    <s v="ORD-00388"/>
    <x v="241"/>
    <s v="CUST-0247"/>
    <s v="PROD-002"/>
    <x v="2"/>
    <n v="8"/>
    <n v="2600"/>
    <x v="215"/>
    <n v="15246.4"/>
    <x v="0"/>
    <s v="Pune"/>
    <x v="4"/>
    <m/>
    <x v="0"/>
    <n v="35"/>
    <x v="4"/>
    <s v="Apr-24"/>
    <n v="1052"/>
    <n v="0.5953846153846154"/>
  </r>
  <r>
    <s v="ORD-00389"/>
    <x v="242"/>
    <s v="CUST-0047"/>
    <s v="PROD-011"/>
    <x v="16"/>
    <n v="10"/>
    <n v="3450"/>
    <x v="201"/>
    <n v="27462"/>
    <x v="0"/>
    <s v="Pune"/>
    <x v="0"/>
    <m/>
    <x v="1"/>
    <n v="49"/>
    <x v="0"/>
    <m/>
    <m/>
    <m/>
  </r>
  <r>
    <s v="ORD-00390"/>
    <x v="242"/>
    <s v="CUST-0118"/>
    <s v="PROD-056"/>
    <x v="7"/>
    <n v="1"/>
    <n v="6940"/>
    <x v="216"/>
    <n v="6266.82"/>
    <x v="0"/>
    <s v="Hyderabad"/>
    <x v="1"/>
    <m/>
    <x v="1"/>
    <n v="26"/>
    <x v="3"/>
    <s v="May-24"/>
    <n v="2827"/>
    <n v="0.5926512968299712"/>
  </r>
  <r>
    <s v="ORD-00391"/>
    <x v="243"/>
    <s v="CUST-0019"/>
    <s v="PROD-043"/>
    <x v="3"/>
    <n v="10"/>
    <n v="3350"/>
    <x v="185"/>
    <n v="32428"/>
    <x v="0"/>
    <s v="Chennai"/>
    <x v="5"/>
    <m/>
    <x v="1"/>
    <n v="22"/>
    <x v="3"/>
    <s v="May-24"/>
    <n v="1728"/>
    <n v="0.48417910447761192"/>
  </r>
  <r>
    <s v="ORD-00392"/>
    <x v="244"/>
    <s v="CUST-0290"/>
    <s v="PROD-041"/>
    <x v="17"/>
    <n v="7"/>
    <n v="1540"/>
    <x v="217"/>
    <n v="10726.1"/>
    <x v="0"/>
    <s v="Delhi"/>
    <x v="5"/>
    <m/>
    <x v="1"/>
    <n v="63"/>
    <x v="0"/>
    <m/>
    <m/>
    <m/>
  </r>
  <r>
    <s v="ORD-00393"/>
    <x v="219"/>
    <s v="CUST-9557"/>
    <s v="PROD-014"/>
    <x v="17"/>
    <n v="10"/>
    <n v="3620"/>
    <x v="218"/>
    <n v="28236"/>
    <x v="0"/>
    <s v="Pune"/>
    <x v="0"/>
    <m/>
    <x v="3"/>
    <e v="#N/A"/>
    <x v="0"/>
    <m/>
    <m/>
    <m/>
  </r>
  <r>
    <s v="ORD-00394"/>
    <x v="98"/>
    <s v="CUST-0291"/>
    <s v="PROD-053"/>
    <x v="17"/>
    <n v="2"/>
    <n v="470"/>
    <x v="219"/>
    <n v="690.9"/>
    <x v="1"/>
    <s v="Pune"/>
    <x v="1"/>
    <m/>
    <x v="0"/>
    <n v="29"/>
    <x v="2"/>
    <s v="Dec-24"/>
    <n v="302"/>
    <n v="0.35744680851063831"/>
  </r>
  <r>
    <s v="ORD-00395"/>
    <x v="46"/>
    <s v="CUST-0045"/>
    <s v="PROD-028"/>
    <x v="9"/>
    <n v="6"/>
    <n v="3660"/>
    <x v="156"/>
    <n v="21630.6"/>
    <x v="0"/>
    <s v="Chennai"/>
    <x v="2"/>
    <m/>
    <x v="0"/>
    <n v="39"/>
    <x v="2"/>
    <s v="Dec-24"/>
    <n v="2214"/>
    <n v="0.39508196721311473"/>
  </r>
  <r>
    <s v="ORD-00396"/>
    <x v="39"/>
    <s v="CUST-0281"/>
    <s v="PROD-056"/>
    <x v="21"/>
    <n v="10"/>
    <n v="6940"/>
    <x v="69"/>
    <n v="68081.399999999994"/>
    <x v="0"/>
    <s v="Bengaluru"/>
    <x v="1"/>
    <m/>
    <x v="2"/>
    <n v="57"/>
    <x v="0"/>
    <m/>
    <m/>
    <m/>
  </r>
  <r>
    <s v="ORD-00397"/>
    <x v="245"/>
    <s v="CUST-0073"/>
    <s v="PROD-042"/>
    <x v="1"/>
    <n v="8"/>
    <n v="2290"/>
    <x v="100"/>
    <n v="13208.72"/>
    <x v="0"/>
    <s v="Pune"/>
    <x v="5"/>
    <m/>
    <x v="2"/>
    <n v="40"/>
    <x v="3"/>
    <s v="May-24"/>
    <n v="1219"/>
    <n v="0.46768558951965067"/>
  </r>
  <r>
    <s v="ORD-00398"/>
    <x v="52"/>
    <s v="CUST-0043"/>
    <s v="PROD-012"/>
    <x v="6"/>
    <n v="9"/>
    <n v="3160"/>
    <x v="15"/>
    <n v="25539.119999999999"/>
    <x v="0"/>
    <s v="Hyderabad"/>
    <x v="0"/>
    <m/>
    <x v="1"/>
    <n v="61"/>
    <x v="0"/>
    <m/>
    <m/>
    <m/>
  </r>
  <r>
    <s v="ORD-00399"/>
    <x v="246"/>
    <s v="CUST-0154"/>
    <s v="PROD-034"/>
    <x v="8"/>
    <n v="6"/>
    <n v="5080"/>
    <x v="55"/>
    <n v="22738.080000000002"/>
    <x v="0"/>
    <s v="Pune"/>
    <x v="3"/>
    <m/>
    <x v="1"/>
    <n v="36"/>
    <x v="2"/>
    <s v="Oct-24"/>
    <n v="2459"/>
    <n v="0.51594488188976373"/>
  </r>
  <r>
    <s v="ORD-00400"/>
    <x v="247"/>
    <s v="CUST-0061"/>
    <s v="PROD-021"/>
    <x v="27"/>
    <n v="6"/>
    <n v="2760"/>
    <x v="206"/>
    <n v="13032.72"/>
    <x v="0"/>
    <s v="Hyderabad"/>
    <x v="2"/>
    <m/>
    <x v="1"/>
    <n v="64"/>
    <x v="0"/>
    <m/>
    <m/>
    <m/>
  </r>
  <r>
    <s v="ORD-00401"/>
    <x v="32"/>
    <s v="CUST-9654"/>
    <s v="PROD-009"/>
    <x v="27"/>
    <n v="5"/>
    <n v="1220"/>
    <x v="220"/>
    <n v="5636.4"/>
    <x v="0"/>
    <s v="Mumbai"/>
    <x v="4"/>
    <m/>
    <x v="3"/>
    <e v="#N/A"/>
    <x v="0"/>
    <m/>
    <m/>
    <m/>
  </r>
  <r>
    <s v="ORD-00402"/>
    <x v="81"/>
    <s v="CUST-0189"/>
    <s v="PROD-046"/>
    <x v="8"/>
    <n v="5"/>
    <n v="4880"/>
    <x v="144"/>
    <n v="22326"/>
    <x v="0"/>
    <s v="Chennai"/>
    <x v="5"/>
    <m/>
    <x v="1"/>
    <n v="41"/>
    <x v="0"/>
    <m/>
    <m/>
    <m/>
  </r>
  <r>
    <s v="ORD-00403"/>
    <x v="102"/>
    <s v="CUST-0152"/>
    <s v="PROD-026"/>
    <x v="24"/>
    <n v="7"/>
    <n v="4070"/>
    <x v="178"/>
    <n v="20512.8"/>
    <x v="0"/>
    <s v="Bengaluru"/>
    <x v="2"/>
    <m/>
    <x v="0"/>
    <n v="64"/>
    <x v="0"/>
    <m/>
    <m/>
    <m/>
  </r>
  <r>
    <s v="ORD-00404"/>
    <x v="47"/>
    <s v="CUST-0284"/>
    <s v="PROD-006"/>
    <x v="8"/>
    <n v="2"/>
    <n v="3970"/>
    <x v="170"/>
    <n v="6828.4"/>
    <x v="0"/>
    <s v="Hyderabad"/>
    <x v="4"/>
    <m/>
    <x v="0"/>
    <n v="65"/>
    <x v="0"/>
    <m/>
    <m/>
    <m/>
  </r>
  <r>
    <s v="ORD-00405"/>
    <x v="134"/>
    <s v="CUST-0175"/>
    <s v="PROD-008"/>
    <x v="26"/>
    <n v="9"/>
    <n v="2660"/>
    <x v="147"/>
    <n v="21522.06"/>
    <x v="0"/>
    <s v="Delhi"/>
    <x v="4"/>
    <m/>
    <x v="2"/>
    <n v="55"/>
    <x v="0"/>
    <m/>
    <m/>
    <m/>
  </r>
  <r>
    <s v="ORD-00406"/>
    <x v="192"/>
    <s v="CUST-0093"/>
    <s v="PROD-055"/>
    <x v="24"/>
    <n v="9"/>
    <n v="2860"/>
    <x v="147"/>
    <n v="23140.26"/>
    <x v="3"/>
    <s v="Pune"/>
    <x v="1"/>
    <m/>
    <x v="1"/>
    <n v="36"/>
    <x v="3"/>
    <s v="Feb-24"/>
    <n v="2028"/>
    <n v="0.29090909090909089"/>
  </r>
  <r>
    <s v="ORD-00407"/>
    <x v="157"/>
    <s v="CUST-0033"/>
    <s v="PROD-009"/>
    <x v="0"/>
    <n v="7"/>
    <n v="1220"/>
    <x v="151"/>
    <n v="6533.1"/>
    <x v="3"/>
    <s v="Delhi"/>
    <x v="4"/>
    <m/>
    <x v="1"/>
    <n v="35"/>
    <x v="3"/>
    <s v="Apr-24"/>
    <n v="517"/>
    <n v="0.57622950819672136"/>
  </r>
  <r>
    <s v="ORD-00408"/>
    <x v="241"/>
    <s v="CUST-0294"/>
    <s v="PROD-022"/>
    <x v="17"/>
    <n v="1"/>
    <n v="2270"/>
    <x v="6"/>
    <n v="2138.34"/>
    <x v="2"/>
    <s v="Delhi"/>
    <x v="2"/>
    <m/>
    <x v="2"/>
    <n v="31"/>
    <x v="1"/>
    <s v="Oct-24"/>
    <n v="1412"/>
    <n v="0.37797356828193834"/>
  </r>
  <r>
    <s v="ORD-00409"/>
    <x v="248"/>
    <s v="CUST-0115"/>
    <s v="PROD-037"/>
    <x v="25"/>
    <n v="2"/>
    <n v="660"/>
    <x v="98"/>
    <n v="1289.6400000000001"/>
    <x v="0"/>
    <s v="Mumbai"/>
    <x v="3"/>
    <m/>
    <x v="0"/>
    <n v="65"/>
    <x v="0"/>
    <m/>
    <m/>
    <m/>
  </r>
  <r>
    <s v="ORD-00410"/>
    <x v="236"/>
    <s v="CUST-0219"/>
    <s v="PROD-012"/>
    <x v="2"/>
    <n v="1"/>
    <n v="3160"/>
    <x v="174"/>
    <n v="2983.04"/>
    <x v="0"/>
    <s v="Chennai"/>
    <x v="0"/>
    <m/>
    <x v="2"/>
    <n v="38"/>
    <x v="1"/>
    <s v="Oct-24"/>
    <n v="1886"/>
    <n v="0.4031645569620253"/>
  </r>
  <r>
    <s v="ORD-00411"/>
    <x v="199"/>
    <s v="CUST-0180"/>
    <s v="PROD-002"/>
    <x v="22"/>
    <n v="1"/>
    <n v="2600"/>
    <x v="62"/>
    <n v="2574"/>
    <x v="0"/>
    <s v="Chennai"/>
    <x v="4"/>
    <m/>
    <x v="1"/>
    <n v="36"/>
    <x v="4"/>
    <s v="May-24"/>
    <n v="1052"/>
    <n v="0.5953846153846154"/>
  </r>
  <r>
    <s v="ORD-00412"/>
    <x v="50"/>
    <s v="CUST-0148"/>
    <s v="PROD-039"/>
    <x v="2"/>
    <n v="4"/>
    <n v="4610"/>
    <x v="58"/>
    <n v="14991.72"/>
    <x v="0"/>
    <s v="Chennai"/>
    <x v="3"/>
    <m/>
    <x v="1"/>
    <n v="32"/>
    <x v="4"/>
    <s v="Apr-24"/>
    <n v="1850"/>
    <n v="0.59869848156182215"/>
  </r>
  <r>
    <s v="ORD-00413"/>
    <x v="249"/>
    <s v="CUST-0026"/>
    <s v="PROD-013"/>
    <x v="26"/>
    <n v="3"/>
    <n v="3640"/>
    <x v="216"/>
    <n v="9860.76"/>
    <x v="2"/>
    <s v="Pune"/>
    <x v="0"/>
    <m/>
    <x v="1"/>
    <n v="62"/>
    <x v="0"/>
    <m/>
    <m/>
    <m/>
  </r>
  <r>
    <s v="ORD-00414"/>
    <x v="120"/>
    <s v="CUST-0246"/>
    <s v="PROD-015"/>
    <x v="10"/>
    <n v="6"/>
    <n v="2720"/>
    <x v="188"/>
    <n v="14198.4"/>
    <x v="1"/>
    <s v="Delhi"/>
    <x v="0"/>
    <m/>
    <x v="0"/>
    <n v="29"/>
    <x v="3"/>
    <s v="Apr-24"/>
    <n v="1962"/>
    <n v="0.2786764705882353"/>
  </r>
  <r>
    <s v="ORD-00415"/>
    <x v="128"/>
    <s v="CUST-0125"/>
    <s v="PROD-059"/>
    <x v="4"/>
    <n v="5"/>
    <n v="3780"/>
    <x v="107"/>
    <n v="16027.2"/>
    <x v="0"/>
    <s v="Delhi"/>
    <x v="1"/>
    <m/>
    <x v="1"/>
    <n v="45"/>
    <x v="0"/>
    <m/>
    <m/>
    <m/>
  </r>
  <r>
    <s v="ORD-00416"/>
    <x v="192"/>
    <s v="CUST-0190"/>
    <s v="PROD-035"/>
    <x v="14"/>
    <n v="9"/>
    <n v="1090"/>
    <x v="221"/>
    <n v="7014.15"/>
    <x v="0"/>
    <s v="Hyderabad"/>
    <x v="3"/>
    <m/>
    <x v="1"/>
    <n v="52"/>
    <x v="0"/>
    <m/>
    <m/>
    <m/>
  </r>
  <r>
    <s v="ORD-00417"/>
    <x v="248"/>
    <s v="CUST-0085"/>
    <s v="PROD-035"/>
    <x v="8"/>
    <n v="6"/>
    <n v="1090"/>
    <x v="20"/>
    <n v="4663.0200000000004"/>
    <x v="0"/>
    <s v="Chennai"/>
    <x v="3"/>
    <m/>
    <x v="1"/>
    <n v="26"/>
    <x v="2"/>
    <s v="Apr-24"/>
    <n v="464"/>
    <n v="0.57431192660550456"/>
  </r>
  <r>
    <s v="ORD-00418"/>
    <x v="250"/>
    <s v="CUST-0249"/>
    <s v="PROD-017"/>
    <x v="14"/>
    <n v="5"/>
    <n v="2510"/>
    <x v="199"/>
    <n v="9412.5"/>
    <x v="0"/>
    <s v="Mumbai"/>
    <x v="0"/>
    <m/>
    <x v="1"/>
    <n v="44"/>
    <x v="0"/>
    <m/>
    <m/>
    <m/>
  </r>
  <r>
    <s v="ORD-00419"/>
    <x v="251"/>
    <s v="CUST-0012"/>
    <s v="PROD-006"/>
    <x v="9"/>
    <n v="5"/>
    <n v="3970"/>
    <x v="4"/>
    <n v="14689"/>
    <x v="0"/>
    <s v="Pune"/>
    <x v="4"/>
    <m/>
    <x v="1"/>
    <n v="43"/>
    <x v="0"/>
    <m/>
    <m/>
    <m/>
  </r>
  <r>
    <s v="ORD-00420"/>
    <x v="144"/>
    <s v="CUST-0251"/>
    <s v="PROD-026"/>
    <x v="19"/>
    <n v="9"/>
    <n v="4070"/>
    <x v="3"/>
    <n v="30879.09"/>
    <x v="0"/>
    <s v="Mumbai"/>
    <x v="2"/>
    <m/>
    <x v="1"/>
    <n v="44"/>
    <x v="0"/>
    <m/>
    <m/>
    <m/>
  </r>
  <r>
    <s v="ORD-00421"/>
    <x v="196"/>
    <s v="CUST-0088"/>
    <s v="PROD-038"/>
    <x v="10"/>
    <n v="6"/>
    <n v="5490"/>
    <x v="144"/>
    <n v="30140.1"/>
    <x v="3"/>
    <s v="Chennai"/>
    <x v="3"/>
    <m/>
    <x v="1"/>
    <n v="24"/>
    <x v="1"/>
    <s v="Feb-24"/>
    <n v="2549"/>
    <n v="0.53570127504553733"/>
  </r>
  <r>
    <s v="ORD-00422"/>
    <x v="70"/>
    <s v="CUST-0037"/>
    <s v="PROD-054"/>
    <x v="24"/>
    <n v="9"/>
    <n v="1010"/>
    <x v="186"/>
    <n v="8762.76"/>
    <x v="0"/>
    <s v="Bengaluru"/>
    <x v="1"/>
    <m/>
    <x v="1"/>
    <n v="52"/>
    <x v="0"/>
    <m/>
    <m/>
    <m/>
  </r>
  <r>
    <s v="ORD-00423"/>
    <x v="252"/>
    <s v="CUST-0039"/>
    <s v="PROD-028"/>
    <x v="4"/>
    <n v="6"/>
    <n v="3660"/>
    <x v="1"/>
    <n v="19588.32"/>
    <x v="0"/>
    <s v="Bengaluru"/>
    <x v="2"/>
    <m/>
    <x v="1"/>
    <n v="37"/>
    <x v="3"/>
    <s v="Nov-24"/>
    <n v="2214"/>
    <n v="0.39508196721311473"/>
  </r>
  <r>
    <s v="ORD-00424"/>
    <x v="111"/>
    <s v="CUST-0106"/>
    <s v="PROD-047"/>
    <x v="29"/>
    <n v="6"/>
    <n v="3450"/>
    <x v="32"/>
    <n v="18485.099999999999"/>
    <x v="0"/>
    <s v="Pune"/>
    <x v="5"/>
    <m/>
    <x v="1"/>
    <n v="22"/>
    <x v="1"/>
    <s v="Dec-24"/>
    <n v="2420"/>
    <n v="0.29855072463768118"/>
  </r>
  <r>
    <s v="ORD-00425"/>
    <x v="229"/>
    <s v="CUST-0222"/>
    <s v="PROD-026"/>
    <x v="23"/>
    <n v="10"/>
    <n v="4070"/>
    <x v="140"/>
    <n v="31176.2"/>
    <x v="3"/>
    <s v="Chennai"/>
    <x v="2"/>
    <m/>
    <x v="1"/>
    <n v="37"/>
    <x v="4"/>
    <s v="Aug-24"/>
    <n v="2027"/>
    <n v="0.50196560196560192"/>
  </r>
  <r>
    <s v="ORD-00426"/>
    <x v="253"/>
    <s v="CUST-0130"/>
    <s v="PROD-003"/>
    <x v="5"/>
    <n v="9"/>
    <n v="3570"/>
    <x v="107"/>
    <n v="27246.240000000002"/>
    <x v="0"/>
    <s v="Bengaluru"/>
    <x v="4"/>
    <m/>
    <x v="2"/>
    <n v="41"/>
    <x v="0"/>
    <m/>
    <m/>
    <m/>
  </r>
  <r>
    <s v="ORD-00427"/>
    <x v="254"/>
    <s v="CUST-0281"/>
    <s v="PROD-056"/>
    <x v="1"/>
    <n v="10"/>
    <n v="6940"/>
    <x v="110"/>
    <n v="54270.8"/>
    <x v="1"/>
    <s v="Bengaluru"/>
    <x v="1"/>
    <m/>
    <x v="2"/>
    <n v="57"/>
    <x v="0"/>
    <m/>
    <m/>
    <m/>
  </r>
  <r>
    <s v="ORD-00428"/>
    <x v="135"/>
    <s v="CUST-0094"/>
    <s v="PROD-044"/>
    <x v="2"/>
    <n v="9"/>
    <n v="1650"/>
    <x v="194"/>
    <n v="11241.45"/>
    <x v="0"/>
    <s v="Pune"/>
    <x v="5"/>
    <m/>
    <x v="0"/>
    <n v="60"/>
    <x v="0"/>
    <m/>
    <m/>
    <m/>
  </r>
  <r>
    <s v="ORD-00429"/>
    <x v="207"/>
    <s v="CUST-0271"/>
    <s v="PROD-007"/>
    <x v="2"/>
    <n v="10"/>
    <n v="1430"/>
    <x v="67"/>
    <n v="10696.4"/>
    <x v="0"/>
    <s v="Bengaluru"/>
    <x v="4"/>
    <m/>
    <x v="2"/>
    <n v="41"/>
    <x v="0"/>
    <m/>
    <m/>
    <m/>
  </r>
  <r>
    <s v="ORD-00430"/>
    <x v="178"/>
    <s v="CUST-0110"/>
    <s v="PROD-025"/>
    <x v="9"/>
    <n v="4"/>
    <n v="4060"/>
    <x v="81"/>
    <n v="15980.16"/>
    <x v="0"/>
    <s v="Pune"/>
    <x v="2"/>
    <m/>
    <x v="2"/>
    <n v="31"/>
    <x v="4"/>
    <s v="Nov-24"/>
    <n v="2911"/>
    <n v="0.28300492610837441"/>
  </r>
  <r>
    <s v="ORD-00431"/>
    <x v="103"/>
    <s v="CUST-0262"/>
    <s v="PROD-032"/>
    <x v="1"/>
    <n v="9"/>
    <n v="370"/>
    <x v="210"/>
    <n v="2763.9"/>
    <x v="0"/>
    <s v="Mumbai"/>
    <x v="3"/>
    <m/>
    <x v="1"/>
    <n v="52"/>
    <x v="0"/>
    <m/>
    <m/>
    <m/>
  </r>
  <r>
    <s v="ORD-00432"/>
    <x v="94"/>
    <s v="CUST-0157"/>
    <s v="PROD-041"/>
    <x v="9"/>
    <n v="1"/>
    <n v="1540"/>
    <x v="59"/>
    <n v="1170.4000000000001"/>
    <x v="2"/>
    <s v="Pune"/>
    <x v="5"/>
    <m/>
    <x v="2"/>
    <n v="52"/>
    <x v="0"/>
    <m/>
    <m/>
    <m/>
  </r>
  <r>
    <s v="ORD-00433"/>
    <x v="143"/>
    <s v="CUST-0135"/>
    <s v="PROD-002"/>
    <x v="5"/>
    <n v="9"/>
    <n v="2600"/>
    <x v="179"/>
    <n v="21598.2"/>
    <x v="0"/>
    <s v="Pune"/>
    <x v="4"/>
    <m/>
    <x v="0"/>
    <n v="24"/>
    <x v="4"/>
    <s v="Jan-24"/>
    <n v="1052"/>
    <n v="0.5953846153846154"/>
  </r>
  <r>
    <s v="ORD-00434"/>
    <x v="255"/>
    <s v="CUST-0136"/>
    <s v="PROD-017"/>
    <x v="15"/>
    <n v="8"/>
    <n v="2510"/>
    <x v="158"/>
    <n v="19337.04"/>
    <x v="0"/>
    <s v="Chennai"/>
    <x v="0"/>
    <m/>
    <x v="0"/>
    <n v="26"/>
    <x v="2"/>
    <s v="Mar-24"/>
    <n v="1075"/>
    <n v="0.57171314741035861"/>
  </r>
  <r>
    <s v="ORD-00435"/>
    <x v="256"/>
    <s v="CUST-0110"/>
    <s v="PROD-001"/>
    <x v="11"/>
    <n v="6"/>
    <n v="5330"/>
    <x v="68"/>
    <n v="29293.68"/>
    <x v="0"/>
    <s v="Pune"/>
    <x v="4"/>
    <m/>
    <x v="2"/>
    <n v="31"/>
    <x v="4"/>
    <s v="Jul-24"/>
    <n v="2405"/>
    <n v="0.54878048780487809"/>
  </r>
  <r>
    <s v="ORD-00436"/>
    <x v="190"/>
    <s v="CUST-0192"/>
    <s v="PROD-034"/>
    <x v="2"/>
    <n v="5"/>
    <n v="5080"/>
    <x v="222"/>
    <n v="22783.8"/>
    <x v="0"/>
    <s v="Bengaluru"/>
    <x v="3"/>
    <m/>
    <x v="1"/>
    <n v="55"/>
    <x v="0"/>
    <m/>
    <m/>
    <m/>
  </r>
  <r>
    <s v="ORD-00437"/>
    <x v="257"/>
    <s v="CUST-0169"/>
    <s v="PROD-026"/>
    <x v="5"/>
    <n v="3"/>
    <n v="4070"/>
    <x v="129"/>
    <n v="9316.23"/>
    <x v="0"/>
    <s v="Bengaluru"/>
    <x v="2"/>
    <m/>
    <x v="0"/>
    <n v="42"/>
    <x v="0"/>
    <m/>
    <m/>
    <m/>
  </r>
  <r>
    <s v="ORD-00438"/>
    <x v="187"/>
    <s v="CUST-0086"/>
    <s v="PROD-016"/>
    <x v="22"/>
    <n v="4"/>
    <n v="620"/>
    <x v="121"/>
    <n v="2013.76"/>
    <x v="0"/>
    <s v="Hyderabad"/>
    <x v="0"/>
    <m/>
    <x v="2"/>
    <n v="56"/>
    <x v="0"/>
    <m/>
    <m/>
    <m/>
  </r>
  <r>
    <s v="ORD-00439"/>
    <x v="108"/>
    <s v="CUST-0217"/>
    <s v="PROD-010"/>
    <x v="21"/>
    <n v="10"/>
    <n v="2640"/>
    <x v="39"/>
    <n v="23047.200000000001"/>
    <x v="0"/>
    <s v="Pune"/>
    <x v="4"/>
    <m/>
    <x v="0"/>
    <n v="59"/>
    <x v="0"/>
    <m/>
    <m/>
    <m/>
  </r>
  <r>
    <s v="ORD-00440"/>
    <x v="179"/>
    <s v="CUST-0119"/>
    <s v="PROD-026"/>
    <x v="14"/>
    <n v="2"/>
    <n v="4070"/>
    <x v="5"/>
    <n v="5779.4"/>
    <x v="0"/>
    <s v="Bengaluru"/>
    <x v="2"/>
    <m/>
    <x v="0"/>
    <n v="43"/>
    <x v="0"/>
    <m/>
    <m/>
    <m/>
  </r>
  <r>
    <s v="ORD-00441"/>
    <x v="230"/>
    <s v="CUST-0011"/>
    <s v="PROD-054"/>
    <x v="0"/>
    <n v="8"/>
    <n v="1010"/>
    <x v="55"/>
    <n v="6027.68"/>
    <x v="0"/>
    <s v="Chennai"/>
    <x v="1"/>
    <m/>
    <x v="2"/>
    <n v="41"/>
    <x v="0"/>
    <m/>
    <m/>
    <m/>
  </r>
  <r>
    <s v="ORD-00442"/>
    <x v="98"/>
    <s v="CUST-0059"/>
    <s v="PROD-036"/>
    <x v="1"/>
    <n v="8"/>
    <n v="3250"/>
    <x v="75"/>
    <n v="24596"/>
    <x v="0"/>
    <s v="Pune"/>
    <x v="3"/>
    <m/>
    <x v="2"/>
    <n v="29"/>
    <x v="1"/>
    <s v="Sep-24"/>
    <n v="1556"/>
    <n v="0.52123076923076928"/>
  </r>
  <r>
    <s v="ORD-00443"/>
    <x v="151"/>
    <s v="CUST-0210"/>
    <s v="PROD-007"/>
    <x v="18"/>
    <n v="7"/>
    <n v="1430"/>
    <x v="223"/>
    <n v="8078.07"/>
    <x v="0"/>
    <s v="Pune"/>
    <x v="4"/>
    <m/>
    <x v="2"/>
    <n v="48"/>
    <x v="0"/>
    <m/>
    <m/>
    <m/>
  </r>
  <r>
    <s v="ORD-00444"/>
    <x v="100"/>
    <s v="CUST-0145"/>
    <s v="PROD-045"/>
    <x v="26"/>
    <n v="9"/>
    <n v="3020"/>
    <x v="224"/>
    <n v="23103"/>
    <x v="0"/>
    <s v="Bengaluru"/>
    <x v="5"/>
    <m/>
    <x v="0"/>
    <n v="44"/>
    <x v="0"/>
    <m/>
    <m/>
    <m/>
  </r>
  <r>
    <s v="ORD-00445"/>
    <x v="258"/>
    <s v="CUST-9626"/>
    <s v="PROD-008"/>
    <x v="25"/>
    <n v="2"/>
    <n v="2660"/>
    <x v="225"/>
    <n v="4181.5200000000004"/>
    <x v="0"/>
    <s v="Chennai"/>
    <x v="4"/>
    <m/>
    <x v="3"/>
    <e v="#N/A"/>
    <x v="0"/>
    <m/>
    <m/>
    <m/>
  </r>
  <r>
    <s v="ORD-00446"/>
    <x v="156"/>
    <s v="CUST-0250"/>
    <s v="PROD-003"/>
    <x v="7"/>
    <n v="10"/>
    <n v="3570"/>
    <x v="126"/>
    <n v="28452.9"/>
    <x v="0"/>
    <s v="Delhi"/>
    <x v="4"/>
    <m/>
    <x v="1"/>
    <n v="31"/>
    <x v="1"/>
    <s v="Feb-24"/>
    <n v="1665"/>
    <n v="0.53361344537815125"/>
  </r>
  <r>
    <s v="ORD-00447"/>
    <x v="259"/>
    <s v="CUST-0241"/>
    <s v="PROD-043"/>
    <x v="9"/>
    <n v="4"/>
    <n v="3350"/>
    <x v="226"/>
    <n v="9634.6"/>
    <x v="0"/>
    <s v="Pune"/>
    <x v="5"/>
    <m/>
    <x v="2"/>
    <n v="47"/>
    <x v="0"/>
    <m/>
    <m/>
    <m/>
  </r>
  <r>
    <s v="ORD-00448"/>
    <x v="260"/>
    <s v="CUST-0071"/>
    <s v="PROD-019"/>
    <x v="13"/>
    <n v="1"/>
    <n v="2480"/>
    <x v="92"/>
    <n v="2145.1999999999998"/>
    <x v="0"/>
    <s v="Delhi"/>
    <x v="0"/>
    <m/>
    <x v="2"/>
    <n v="46"/>
    <x v="0"/>
    <m/>
    <m/>
    <m/>
  </r>
  <r>
    <s v="ORD-00449"/>
    <x v="51"/>
    <s v="CUST-0017"/>
    <s v="PROD-052"/>
    <x v="15"/>
    <n v="10"/>
    <n v="5410"/>
    <x v="94"/>
    <n v="39979.9"/>
    <x v="0"/>
    <s v="Delhi"/>
    <x v="1"/>
    <m/>
    <x v="0"/>
    <n v="38"/>
    <x v="3"/>
    <s v="Feb-24"/>
    <n v="2265"/>
    <n v="0.58133086876155271"/>
  </r>
  <r>
    <s v="ORD-00450"/>
    <x v="261"/>
    <s v="CUST-0007"/>
    <s v="PROD-037"/>
    <x v="12"/>
    <n v="2"/>
    <n v="660"/>
    <x v="227"/>
    <n v="1254"/>
    <x v="0"/>
    <s v="Bengaluru"/>
    <x v="3"/>
    <m/>
    <x v="1"/>
    <n v="47"/>
    <x v="0"/>
    <m/>
    <m/>
    <m/>
  </r>
  <r>
    <s v="ORD-00451"/>
    <x v="262"/>
    <s v="CUST-0054"/>
    <s v="PROD-054"/>
    <x v="0"/>
    <n v="10"/>
    <n v="1010"/>
    <x v="190"/>
    <n v="9090"/>
    <x v="0"/>
    <s v="Mumbai"/>
    <x v="1"/>
    <m/>
    <x v="2"/>
    <n v="62"/>
    <x v="0"/>
    <m/>
    <m/>
    <m/>
  </r>
  <r>
    <s v="ORD-00452"/>
    <x v="263"/>
    <s v="CUST-0038"/>
    <s v="PROD-042"/>
    <x v="19"/>
    <n v="3"/>
    <n v="2290"/>
    <x v="193"/>
    <n v="6258.57"/>
    <x v="0"/>
    <s v="Mumbai"/>
    <x v="5"/>
    <m/>
    <x v="1"/>
    <n v="57"/>
    <x v="0"/>
    <m/>
    <m/>
    <m/>
  </r>
  <r>
    <s v="ORD-00453"/>
    <x v="264"/>
    <s v="CUST-0066"/>
    <s v="PROD-047"/>
    <x v="19"/>
    <n v="9"/>
    <n v="3450"/>
    <x v="194"/>
    <n v="23504.85"/>
    <x v="0"/>
    <s v="Delhi"/>
    <x v="5"/>
    <m/>
    <x v="1"/>
    <n v="24"/>
    <x v="1"/>
    <s v="Jul-24"/>
    <n v="2420"/>
    <n v="0.29855072463768118"/>
  </r>
  <r>
    <s v="ORD-00454"/>
    <x v="44"/>
    <s v="CUST-0161"/>
    <s v="PROD-013"/>
    <x v="11"/>
    <n v="10"/>
    <n v="3640"/>
    <x v="225"/>
    <n v="28610.400000000001"/>
    <x v="2"/>
    <s v="Chennai"/>
    <x v="0"/>
    <m/>
    <x v="1"/>
    <n v="38"/>
    <x v="1"/>
    <s v="Mar-24"/>
    <n v="2611"/>
    <n v="0.28269230769230769"/>
  </r>
  <r>
    <s v="ORD-00455"/>
    <x v="260"/>
    <s v="CUST-0072"/>
    <s v="PROD-023"/>
    <x v="15"/>
    <n v="5"/>
    <n v="2380"/>
    <x v="64"/>
    <n v="10448.200000000001"/>
    <x v="0"/>
    <s v="Mumbai"/>
    <x v="2"/>
    <m/>
    <x v="2"/>
    <n v="62"/>
    <x v="0"/>
    <m/>
    <m/>
    <m/>
  </r>
  <r>
    <s v="ORD-00456"/>
    <x v="265"/>
    <s v="CUST-0232"/>
    <s v="PROD-052"/>
    <x v="21"/>
    <n v="10"/>
    <n v="5410"/>
    <x v="29"/>
    <n v="37978.199999999997"/>
    <x v="0"/>
    <s v="Hyderabad"/>
    <x v="1"/>
    <m/>
    <x v="1"/>
    <n v="38"/>
    <x v="4"/>
    <s v="Feb-24"/>
    <n v="2265"/>
    <n v="0.58133086876155271"/>
  </r>
  <r>
    <s v="ORD-00457"/>
    <x v="67"/>
    <s v="CUST-0054"/>
    <s v="PROD-044"/>
    <x v="13"/>
    <n v="3"/>
    <n v="1650"/>
    <x v="23"/>
    <n v="4484.7"/>
    <x v="2"/>
    <s v="Mumbai"/>
    <x v="5"/>
    <m/>
    <x v="2"/>
    <n v="62"/>
    <x v="0"/>
    <m/>
    <m/>
    <m/>
  </r>
  <r>
    <s v="ORD-00458"/>
    <x v="266"/>
    <s v="CUST-0214"/>
    <s v="PROD-002"/>
    <x v="24"/>
    <n v="7"/>
    <n v="2600"/>
    <x v="66"/>
    <n v="14578.2"/>
    <x v="1"/>
    <s v="Mumbai"/>
    <x v="4"/>
    <m/>
    <x v="1"/>
    <n v="22"/>
    <x v="3"/>
    <s v="Mar-24"/>
    <n v="1052"/>
    <n v="0.5953846153846154"/>
  </r>
  <r>
    <s v="ORD-00135"/>
    <x v="267"/>
    <s v="CUST-0236"/>
    <s v="PROD-039"/>
    <x v="25"/>
    <n v="4"/>
    <n v="4610"/>
    <x v="105"/>
    <n v="16005.92"/>
    <x v="0"/>
    <s v="Hyderabad"/>
    <x v="3"/>
    <m/>
    <x v="0"/>
    <n v="28"/>
    <x v="3"/>
    <s v="Apr-24"/>
    <n v="1850"/>
    <n v="0.59869848156182215"/>
  </r>
  <r>
    <s v="ORD-00460"/>
    <x v="268"/>
    <s v="CUST-0031"/>
    <s v="PROD-039"/>
    <x v="13"/>
    <n v="9"/>
    <n v="4610"/>
    <x v="28"/>
    <n v="30785.58"/>
    <x v="0"/>
    <s v="Hyderabad"/>
    <x v="3"/>
    <m/>
    <x v="1"/>
    <n v="53"/>
    <x v="0"/>
    <m/>
    <m/>
    <m/>
  </r>
  <r>
    <s v="ORD-00461"/>
    <x v="269"/>
    <s v="CUST-0123"/>
    <s v="PROD-005"/>
    <x v="2"/>
    <n v="5"/>
    <n v="300"/>
    <x v="228"/>
    <n v="1323"/>
    <x v="0"/>
    <s v="Chennai"/>
    <x v="4"/>
    <m/>
    <x v="2"/>
    <n v="44"/>
    <x v="0"/>
    <m/>
    <m/>
    <m/>
  </r>
  <r>
    <s v="ORD-00462"/>
    <x v="270"/>
    <s v="CUST-0019"/>
    <s v="PROD-011"/>
    <x v="16"/>
    <n v="3"/>
    <n v="3450"/>
    <x v="8"/>
    <n v="8880.2999999999993"/>
    <x v="0"/>
    <s v="Chennai"/>
    <x v="0"/>
    <m/>
    <x v="1"/>
    <n v="22"/>
    <x v="4"/>
    <s v="Sep-24"/>
    <n v="1748"/>
    <n v="0.49333333333333335"/>
  </r>
  <r>
    <s v="ORD-00463"/>
    <x v="271"/>
    <s v="CUST-0171"/>
    <s v="PROD-015"/>
    <x v="8"/>
    <n v="2"/>
    <n v="2720"/>
    <x v="229"/>
    <n v="4645.76"/>
    <x v="2"/>
    <s v="Chennai"/>
    <x v="0"/>
    <m/>
    <x v="2"/>
    <n v="30"/>
    <x v="3"/>
    <s v="Jul-24"/>
    <n v="1962"/>
    <n v="0.2786764705882353"/>
  </r>
  <r>
    <s v="ORD-00464"/>
    <x v="17"/>
    <s v="CUST-0166"/>
    <s v="PROD-008"/>
    <x v="21"/>
    <n v="7"/>
    <n v="2660"/>
    <x v="230"/>
    <n v="13518.12"/>
    <x v="2"/>
    <s v="Hyderabad"/>
    <x v="4"/>
    <m/>
    <x v="1"/>
    <n v="31"/>
    <x v="2"/>
    <s v="Aug-24"/>
    <n v="1259"/>
    <n v="0.52669172932330832"/>
  </r>
  <r>
    <s v="ORD-00465"/>
    <x v="272"/>
    <s v="CUST-0151"/>
    <s v="PROD-051"/>
    <x v="1"/>
    <n v="8"/>
    <n v="3450"/>
    <x v="201"/>
    <n v="21969.599999999999"/>
    <x v="0"/>
    <s v="Mumbai"/>
    <x v="1"/>
    <m/>
    <x v="1"/>
    <n v="53"/>
    <x v="0"/>
    <m/>
    <m/>
    <m/>
  </r>
  <r>
    <s v="ORD-00466"/>
    <x v="273"/>
    <s v="CUST-0027"/>
    <s v="PROD-052"/>
    <x v="29"/>
    <n v="2"/>
    <n v="5410"/>
    <x v="205"/>
    <n v="10040.959999999999"/>
    <x v="0"/>
    <s v="Hyderabad"/>
    <x v="1"/>
    <m/>
    <x v="2"/>
    <n v="52"/>
    <x v="0"/>
    <m/>
    <m/>
    <m/>
  </r>
  <r>
    <s v="ORD-00467"/>
    <x v="162"/>
    <s v="CUST-0171"/>
    <s v="PROD-004"/>
    <x v="22"/>
    <n v="3"/>
    <n v="3870"/>
    <x v="108"/>
    <n v="11122.38"/>
    <x v="0"/>
    <s v="Chennai"/>
    <x v="4"/>
    <m/>
    <x v="2"/>
    <n v="30"/>
    <x v="4"/>
    <s v="May-24"/>
    <n v="1559"/>
    <n v="0.59715762273901807"/>
  </r>
  <r>
    <s v="ORD-00468"/>
    <x v="60"/>
    <s v="CUST-0094"/>
    <s v="PROD-024"/>
    <x v="1"/>
    <n v="10"/>
    <n v="2270"/>
    <x v="40"/>
    <n v="18772.900000000001"/>
    <x v="0"/>
    <s v="Pune"/>
    <x v="2"/>
    <m/>
    <x v="0"/>
    <n v="60"/>
    <x v="0"/>
    <m/>
    <m/>
    <m/>
  </r>
  <r>
    <s v="ORD-00469"/>
    <x v="18"/>
    <s v="CUST-0223"/>
    <s v="PROD-001"/>
    <x v="5"/>
    <n v="1"/>
    <n v="5330"/>
    <x v="231"/>
    <n v="4040.14"/>
    <x v="0"/>
    <s v="Bengaluru"/>
    <x v="4"/>
    <m/>
    <x v="1"/>
    <n v="46"/>
    <x v="0"/>
    <m/>
    <m/>
    <m/>
  </r>
  <r>
    <s v="ORD-00470"/>
    <x v="85"/>
    <s v="CUST-0281"/>
    <s v="PROD-043"/>
    <x v="15"/>
    <n v="2"/>
    <n v="3350"/>
    <x v="140"/>
    <n v="5132.2"/>
    <x v="0"/>
    <s v="Bengaluru"/>
    <x v="5"/>
    <m/>
    <x v="2"/>
    <n v="57"/>
    <x v="0"/>
    <m/>
    <m/>
    <m/>
  </r>
  <r>
    <s v="ORD-00471"/>
    <x v="274"/>
    <s v="CUST-0148"/>
    <s v="PROD-045"/>
    <x v="3"/>
    <n v="7"/>
    <n v="3020"/>
    <x v="129"/>
    <n v="16129.82"/>
    <x v="0"/>
    <s v="Chennai"/>
    <x v="5"/>
    <m/>
    <x v="1"/>
    <n v="32"/>
    <x v="4"/>
    <s v="May-24"/>
    <n v="1626"/>
    <n v="0.46158940397350995"/>
  </r>
  <r>
    <s v="ORD-00472"/>
    <x v="275"/>
    <s v="CUST-0010"/>
    <s v="PROD-012"/>
    <x v="16"/>
    <n v="7"/>
    <n v="3160"/>
    <x v="232"/>
    <n v="17076.64"/>
    <x v="0"/>
    <s v="Mumbai"/>
    <x v="0"/>
    <m/>
    <x v="0"/>
    <n v="61"/>
    <x v="0"/>
    <m/>
    <m/>
    <m/>
  </r>
  <r>
    <s v="ORD-00473"/>
    <x v="110"/>
    <s v="CUST-0254"/>
    <s v="PROD-053"/>
    <x v="16"/>
    <n v="2"/>
    <n v="470"/>
    <x v="49"/>
    <n v="669.28"/>
    <x v="2"/>
    <s v="Bengaluru"/>
    <x v="1"/>
    <m/>
    <x v="1"/>
    <n v="35"/>
    <x v="3"/>
    <s v="Aug-24"/>
    <n v="302"/>
    <n v="0.35744680851063831"/>
  </r>
  <r>
    <s v="ORD-00474"/>
    <x v="253"/>
    <s v="CUST-0126"/>
    <s v="PROD-036"/>
    <x v="13"/>
    <n v="2"/>
    <n v="3250"/>
    <x v="175"/>
    <n v="4894.5"/>
    <x v="0"/>
    <s v="Mumbai"/>
    <x v="3"/>
    <m/>
    <x v="1"/>
    <n v="37"/>
    <x v="3"/>
    <s v="Sep-24"/>
    <n v="1556"/>
    <n v="0.52123076923076928"/>
  </r>
  <r>
    <s v="ORD-00475"/>
    <x v="252"/>
    <s v="CUST-0018"/>
    <s v="PROD-054"/>
    <x v="12"/>
    <n v="2"/>
    <n v="1010"/>
    <x v="233"/>
    <n v="1914.96"/>
    <x v="2"/>
    <s v="Pune"/>
    <x v="1"/>
    <m/>
    <x v="0"/>
    <n v="54"/>
    <x v="0"/>
    <m/>
    <m/>
    <m/>
  </r>
  <r>
    <s v="ORD-00476"/>
    <x v="276"/>
    <s v="CUST-0089"/>
    <s v="PROD-005"/>
    <x v="19"/>
    <n v="9"/>
    <n v="300"/>
    <x v="96"/>
    <n v="2486.6999999999998"/>
    <x v="0"/>
    <s v="Mumbai"/>
    <x v="4"/>
    <m/>
    <x v="0"/>
    <n v="43"/>
    <x v="0"/>
    <m/>
    <m/>
    <m/>
  </r>
  <r>
    <s v="ORD-00477"/>
    <x v="277"/>
    <s v="CUST-0157"/>
    <s v="PROD-048"/>
    <x v="3"/>
    <n v="10"/>
    <n v="5100"/>
    <x v="234"/>
    <n v="37587"/>
    <x v="1"/>
    <s v="Pune"/>
    <x v="5"/>
    <m/>
    <x v="2"/>
    <n v="52"/>
    <x v="0"/>
    <m/>
    <m/>
    <m/>
  </r>
  <r>
    <s v="ORD-00478"/>
    <x v="278"/>
    <s v="CUST-0201"/>
    <s v="PROD-043"/>
    <x v="8"/>
    <n v="1"/>
    <n v="3350"/>
    <x v="144"/>
    <n v="3065.25"/>
    <x v="2"/>
    <s v="Hyderabad"/>
    <x v="5"/>
    <m/>
    <x v="1"/>
    <n v="31"/>
    <x v="1"/>
    <s v="Jun-24"/>
    <n v="1728"/>
    <n v="0.48417910447761192"/>
  </r>
  <r>
    <s v="ORD-01195"/>
    <x v="211"/>
    <s v="CUST-0091"/>
    <s v="PROD-036"/>
    <x v="24"/>
    <n v="2"/>
    <n v="3250"/>
    <x v="235"/>
    <n v="4829.5"/>
    <x v="3"/>
    <s v="Delhi"/>
    <x v="3"/>
    <m/>
    <x v="1"/>
    <n v="55"/>
    <x v="0"/>
    <m/>
    <m/>
    <m/>
  </r>
  <r>
    <s v="ORD-00480"/>
    <x v="279"/>
    <s v="CUST-0052"/>
    <s v="PROD-028"/>
    <x v="4"/>
    <n v="10"/>
    <n v="3660"/>
    <x v="236"/>
    <n v="32208"/>
    <x v="0"/>
    <s v="Pune"/>
    <x v="2"/>
    <m/>
    <x v="1"/>
    <n v="38"/>
    <x v="3"/>
    <s v="Sep-24"/>
    <n v="2214"/>
    <n v="0.39508196721311473"/>
  </r>
  <r>
    <s v="ORD-00481"/>
    <x v="126"/>
    <s v="CUST-0069"/>
    <s v="PROD-058"/>
    <x v="18"/>
    <n v="1"/>
    <n v="2400"/>
    <x v="161"/>
    <n v="1812"/>
    <x v="0"/>
    <s v="Chennai"/>
    <x v="1"/>
    <m/>
    <x v="1"/>
    <n v="51"/>
    <x v="0"/>
    <m/>
    <m/>
    <m/>
  </r>
  <r>
    <s v="ORD-00482"/>
    <x v="263"/>
    <s v="CUST-0294"/>
    <s v="PROD-035"/>
    <x v="9"/>
    <n v="1"/>
    <n v="1090"/>
    <x v="84"/>
    <n v="889.44"/>
    <x v="0"/>
    <s v="Delhi"/>
    <x v="3"/>
    <m/>
    <x v="2"/>
    <n v="31"/>
    <x v="4"/>
    <s v="Aug-24"/>
    <n v="464"/>
    <n v="0.57431192660550456"/>
  </r>
  <r>
    <s v="ORD-00483"/>
    <x v="280"/>
    <s v="CUST-0019"/>
    <s v="PROD-059"/>
    <x v="15"/>
    <n v="6"/>
    <n v="3780"/>
    <x v="237"/>
    <n v="19073.88"/>
    <x v="0"/>
    <s v="Chennai"/>
    <x v="1"/>
    <m/>
    <x v="1"/>
    <n v="22"/>
    <x v="4"/>
    <s v="Jul-24"/>
    <n v="1860"/>
    <n v="0.50793650793650791"/>
  </r>
  <r>
    <s v="ORD-00484"/>
    <x v="259"/>
    <s v="CUST-0087"/>
    <s v="PROD-043"/>
    <x v="7"/>
    <n v="3"/>
    <n v="3350"/>
    <x v="121"/>
    <n v="8160.6"/>
    <x v="3"/>
    <s v="Pune"/>
    <x v="5"/>
    <m/>
    <x v="0"/>
    <n v="49"/>
    <x v="0"/>
    <m/>
    <m/>
    <m/>
  </r>
  <r>
    <s v="ORD-00485"/>
    <x v="46"/>
    <s v="CUST-0281"/>
    <s v="PROD-040"/>
    <x v="14"/>
    <n v="3"/>
    <n v="1080"/>
    <x v="238"/>
    <n v="3129.84"/>
    <x v="0"/>
    <s v="Bengaluru"/>
    <x v="3"/>
    <m/>
    <x v="2"/>
    <n v="57"/>
    <x v="0"/>
    <m/>
    <m/>
    <m/>
  </r>
  <r>
    <s v="ORD-00486"/>
    <x v="281"/>
    <s v="CUST-0248"/>
    <s v="PROD-026"/>
    <x v="24"/>
    <n v="6"/>
    <n v="4070"/>
    <x v="239"/>
    <n v="17655.66"/>
    <x v="1"/>
    <s v="Chennai"/>
    <x v="2"/>
    <m/>
    <x v="0"/>
    <n v="57"/>
    <x v="0"/>
    <m/>
    <m/>
    <m/>
  </r>
  <r>
    <s v="ORD-00487"/>
    <x v="282"/>
    <s v="CUST-0019"/>
    <s v="PROD-041"/>
    <x v="17"/>
    <n v="5"/>
    <n v="1540"/>
    <x v="240"/>
    <n v="5782.7"/>
    <x v="0"/>
    <s v="Chennai"/>
    <x v="5"/>
    <m/>
    <x v="1"/>
    <n v="22"/>
    <x v="3"/>
    <s v="Aug-24"/>
    <n v="647"/>
    <n v="0.57987012987012987"/>
  </r>
  <r>
    <s v="ORD-00488"/>
    <x v="255"/>
    <s v="CUST-0092"/>
    <s v="PROD-021"/>
    <x v="8"/>
    <n v="6"/>
    <n v="2760"/>
    <x v="162"/>
    <n v="11608.56"/>
    <x v="0"/>
    <s v="Bengaluru"/>
    <x v="2"/>
    <m/>
    <x v="0"/>
    <n v="28"/>
    <x v="2"/>
    <s v="Aug-24"/>
    <n v="1435"/>
    <n v="0.48007246376811596"/>
  </r>
  <r>
    <s v="ORD-00489"/>
    <x v="167"/>
    <s v="CUST-0195"/>
    <s v="PROD-006"/>
    <x v="24"/>
    <n v="8"/>
    <n v="3970"/>
    <x v="129"/>
    <n v="24232.880000000001"/>
    <x v="0"/>
    <s v="Bengaluru"/>
    <x v="4"/>
    <m/>
    <x v="1"/>
    <n v="28"/>
    <x v="2"/>
    <s v="Jul-24"/>
    <n v="2865"/>
    <n v="0.27833753148614609"/>
  </r>
  <r>
    <s v="ORD-00490"/>
    <x v="254"/>
    <s v="CUST-0126"/>
    <s v="PROD-011"/>
    <x v="13"/>
    <n v="1"/>
    <n v="3450"/>
    <x v="241"/>
    <n v="3194.7"/>
    <x v="0"/>
    <s v="Mumbai"/>
    <x v="0"/>
    <m/>
    <x v="1"/>
    <n v="37"/>
    <x v="3"/>
    <s v="Dec-24"/>
    <n v="1748"/>
    <n v="0.49333333333333335"/>
  </r>
  <r>
    <s v="ORD-00491"/>
    <x v="231"/>
    <s v="CUST-0274"/>
    <s v="PROD-018"/>
    <x v="1"/>
    <n v="3"/>
    <n v="3560"/>
    <x v="107"/>
    <n v="9056.64"/>
    <x v="0"/>
    <s v="Bengaluru"/>
    <x v="0"/>
    <m/>
    <x v="2"/>
    <n v="36"/>
    <x v="3"/>
    <s v="Sep-24"/>
    <n v="2629"/>
    <n v="0.26151685393258428"/>
  </r>
  <r>
    <s v="ORD-00492"/>
    <x v="49"/>
    <s v="CUST-0059"/>
    <s v="PROD-003"/>
    <x v="14"/>
    <n v="4"/>
    <n v="3570"/>
    <x v="125"/>
    <n v="11581.08"/>
    <x v="0"/>
    <s v="Pune"/>
    <x v="4"/>
    <m/>
    <x v="2"/>
    <n v="29"/>
    <x v="1"/>
    <s v="Jan-24"/>
    <n v="1665"/>
    <n v="0.53361344537815125"/>
  </r>
  <r>
    <s v="ORD-00493"/>
    <x v="22"/>
    <s v="CUST-0264"/>
    <s v="PROD-057"/>
    <x v="5"/>
    <n v="9"/>
    <n v="960"/>
    <x v="170"/>
    <n v="7430.4"/>
    <x v="3"/>
    <s v="Pune"/>
    <x v="1"/>
    <m/>
    <x v="1"/>
    <n v="59"/>
    <x v="0"/>
    <m/>
    <m/>
    <m/>
  </r>
  <r>
    <s v="ORD-00494"/>
    <x v="5"/>
    <s v="CUST-0157"/>
    <s v="PROD-047"/>
    <x v="29"/>
    <n v="9"/>
    <n v="3450"/>
    <x v="242"/>
    <n v="29187"/>
    <x v="2"/>
    <s v="Pune"/>
    <x v="5"/>
    <m/>
    <x v="2"/>
    <n v="52"/>
    <x v="0"/>
    <m/>
    <m/>
    <m/>
  </r>
  <r>
    <s v="ORD-00495"/>
    <x v="136"/>
    <s v="CUST-0028"/>
    <s v="PROD-043"/>
    <x v="27"/>
    <n v="7"/>
    <n v="3350"/>
    <x v="170"/>
    <n v="20167"/>
    <x v="2"/>
    <s v="Bengaluru"/>
    <x v="5"/>
    <m/>
    <x v="1"/>
    <n v="59"/>
    <x v="0"/>
    <m/>
    <m/>
    <m/>
  </r>
  <r>
    <s v="ORD-00496"/>
    <x v="129"/>
    <s v="CUST-0033"/>
    <s v="PROD-049"/>
    <x v="10"/>
    <n v="6"/>
    <n v="960"/>
    <x v="147"/>
    <n v="5178.24"/>
    <x v="0"/>
    <s v="Delhi"/>
    <x v="5"/>
    <m/>
    <x v="1"/>
    <n v="35"/>
    <x v="4"/>
    <s v="Jun-24"/>
    <n v="675"/>
    <n v="0.296875"/>
  </r>
  <r>
    <s v="ORD-00497"/>
    <x v="186"/>
    <s v="CUST-0280"/>
    <s v="PROD-005"/>
    <x v="29"/>
    <n v="7"/>
    <n v="300"/>
    <x v="243"/>
    <n v="1640.1"/>
    <x v="0"/>
    <s v="Delhi"/>
    <x v="4"/>
    <m/>
    <x v="0"/>
    <n v="27"/>
    <x v="1"/>
    <s v="Jan-24"/>
    <n v="128"/>
    <n v="0.57333333333333336"/>
  </r>
  <r>
    <s v="ORD-00498"/>
    <x v="44"/>
    <s v="CUST-0232"/>
    <s v="PROD-023"/>
    <x v="7"/>
    <n v="2"/>
    <n v="2380"/>
    <x v="115"/>
    <n v="4436.32"/>
    <x v="0"/>
    <s v="Hyderabad"/>
    <x v="2"/>
    <m/>
    <x v="1"/>
    <n v="38"/>
    <x v="4"/>
    <s v="Feb-24"/>
    <n v="1182"/>
    <n v="0.50336134453781511"/>
  </r>
  <r>
    <s v="ORD-00499"/>
    <x v="129"/>
    <s v="CUST-0270"/>
    <s v="PROD-057"/>
    <x v="6"/>
    <n v="5"/>
    <n v="960"/>
    <x v="224"/>
    <n v="4080"/>
    <x v="2"/>
    <s v="Bengaluru"/>
    <x v="1"/>
    <m/>
    <x v="1"/>
    <n v="29"/>
    <x v="3"/>
    <s v="Apr-24"/>
    <n v="705"/>
    <n v="0.265625"/>
  </r>
  <r>
    <s v="ORD-00500"/>
    <x v="251"/>
    <s v="CUST-0203"/>
    <s v="PROD-059"/>
    <x v="27"/>
    <n v="10"/>
    <n v="3780"/>
    <x v="244"/>
    <n v="28690.2"/>
    <x v="3"/>
    <s v="Chennai"/>
    <x v="1"/>
    <m/>
    <x v="0"/>
    <n v="55"/>
    <x v="0"/>
    <m/>
    <m/>
    <m/>
  </r>
  <r>
    <s v="ORD-00501"/>
    <x v="36"/>
    <s v="CUST-0069"/>
    <s v="PROD-041"/>
    <x v="16"/>
    <n v="4"/>
    <n v="1540"/>
    <x v="8"/>
    <n v="5285.28"/>
    <x v="2"/>
    <s v="Chennai"/>
    <x v="5"/>
    <m/>
    <x v="1"/>
    <n v="51"/>
    <x v="0"/>
    <m/>
    <m/>
    <m/>
  </r>
  <r>
    <s v="ORD-00502"/>
    <x v="113"/>
    <s v="CUST-0037"/>
    <s v="PROD-017"/>
    <x v="1"/>
    <n v="10"/>
    <n v="2510"/>
    <x v="95"/>
    <n v="19879.2"/>
    <x v="0"/>
    <s v="Bengaluru"/>
    <x v="0"/>
    <m/>
    <x v="1"/>
    <n v="52"/>
    <x v="0"/>
    <m/>
    <m/>
    <m/>
  </r>
  <r>
    <s v="ORD-00503"/>
    <x v="163"/>
    <s v="CUST-0149"/>
    <s v="PROD-025"/>
    <x v="2"/>
    <n v="9"/>
    <n v="4060"/>
    <x v="245"/>
    <n v="26637.66"/>
    <x v="0"/>
    <s v="Hyderabad"/>
    <x v="2"/>
    <m/>
    <x v="1"/>
    <n v="44"/>
    <x v="0"/>
    <m/>
    <m/>
    <m/>
  </r>
  <r>
    <s v="ORD-00504"/>
    <x v="198"/>
    <s v="CUST-0131"/>
    <s v="PROD-058"/>
    <x v="5"/>
    <n v="4"/>
    <n v="2400"/>
    <x v="61"/>
    <n v="7766.4"/>
    <x v="0"/>
    <s v="Delhi"/>
    <x v="1"/>
    <m/>
    <x v="0"/>
    <n v="28"/>
    <x v="4"/>
    <s v="Mar-24"/>
    <n v="974"/>
    <n v="0.59416666666666662"/>
  </r>
  <r>
    <s v="ORD-00505"/>
    <x v="283"/>
    <s v="CUST-0071"/>
    <s v="PROD-046"/>
    <x v="24"/>
    <n v="8"/>
    <n v="4880"/>
    <x v="159"/>
    <n v="35448.32"/>
    <x v="2"/>
    <s v="Delhi"/>
    <x v="5"/>
    <m/>
    <x v="2"/>
    <n v="46"/>
    <x v="0"/>
    <m/>
    <m/>
    <m/>
  </r>
  <r>
    <s v="ORD-00506"/>
    <x v="261"/>
    <s v="CUST-0249"/>
    <s v="PROD-048"/>
    <x v="7"/>
    <n v="9"/>
    <n v="5100"/>
    <x v="86"/>
    <n v="40805.1"/>
    <x v="2"/>
    <s v="Mumbai"/>
    <x v="5"/>
    <m/>
    <x v="1"/>
    <n v="44"/>
    <x v="0"/>
    <m/>
    <m/>
    <m/>
  </r>
  <r>
    <s v="ORD-00507"/>
    <x v="161"/>
    <s v="CUST-0181"/>
    <s v="PROD-005"/>
    <x v="8"/>
    <n v="4"/>
    <n v="300"/>
    <x v="27"/>
    <n v="999.6"/>
    <x v="0"/>
    <s v="Delhi"/>
    <x v="4"/>
    <m/>
    <x v="0"/>
    <n v="38"/>
    <x v="3"/>
    <s v="Oct-24"/>
    <n v="128"/>
    <n v="0.57333333333333336"/>
  </r>
  <r>
    <s v="ORD-00508"/>
    <x v="68"/>
    <s v="CUST-0085"/>
    <s v="PROD-019"/>
    <x v="2"/>
    <n v="6"/>
    <n v="2480"/>
    <x v="2"/>
    <n v="14388.96"/>
    <x v="0"/>
    <s v="Chennai"/>
    <x v="0"/>
    <m/>
    <x v="1"/>
    <n v="26"/>
    <x v="2"/>
    <s v="Dec-24"/>
    <n v="1173"/>
    <n v="0.52701612903225803"/>
  </r>
  <r>
    <s v="ORD-00509"/>
    <x v="28"/>
    <s v="CUST-0180"/>
    <s v="PROD-044"/>
    <x v="12"/>
    <n v="10"/>
    <n v="1650"/>
    <x v="246"/>
    <n v="12721.5"/>
    <x v="3"/>
    <s v="Chennai"/>
    <x v="5"/>
    <m/>
    <x v="1"/>
    <n v="36"/>
    <x v="4"/>
    <s v="May-24"/>
    <n v="1222"/>
    <n v="0.2593939393939394"/>
  </r>
  <r>
    <s v="ORD-00510"/>
    <x v="158"/>
    <s v="CUST-0103"/>
    <s v="PROD-029"/>
    <x v="27"/>
    <n v="3"/>
    <n v="2210"/>
    <x v="86"/>
    <n v="5894.07"/>
    <x v="0"/>
    <s v="Hyderabad"/>
    <x v="2"/>
    <m/>
    <x v="2"/>
    <n v="54"/>
    <x v="0"/>
    <m/>
    <m/>
    <m/>
  </r>
  <r>
    <s v="ORD-00511"/>
    <x v="5"/>
    <s v="CUST-0174"/>
    <s v="PROD-019"/>
    <x v="1"/>
    <n v="10"/>
    <n v="2480"/>
    <x v="188"/>
    <n v="21576"/>
    <x v="1"/>
    <s v="Pune"/>
    <x v="0"/>
    <m/>
    <x v="1"/>
    <n v="54"/>
    <x v="0"/>
    <m/>
    <m/>
    <m/>
  </r>
  <r>
    <s v="ORD-00512"/>
    <x v="98"/>
    <s v="CUST-0071"/>
    <s v="PROD-001"/>
    <x v="12"/>
    <n v="10"/>
    <n v="5330"/>
    <x v="134"/>
    <n v="52926.9"/>
    <x v="0"/>
    <s v="Delhi"/>
    <x v="4"/>
    <m/>
    <x v="2"/>
    <n v="46"/>
    <x v="0"/>
    <m/>
    <m/>
    <m/>
  </r>
  <r>
    <s v="ORD-00513"/>
    <x v="109"/>
    <s v="CUST-0266"/>
    <s v="PROD-026"/>
    <x v="27"/>
    <n v="9"/>
    <n v="4070"/>
    <x v="142"/>
    <n v="30915.72"/>
    <x v="0"/>
    <s v="Pune"/>
    <x v="2"/>
    <m/>
    <x v="1"/>
    <n v="65"/>
    <x v="0"/>
    <m/>
    <m/>
    <m/>
  </r>
  <r>
    <s v="ORD-00514"/>
    <x v="284"/>
    <s v="CUST-0148"/>
    <s v="PROD-015"/>
    <x v="19"/>
    <n v="5"/>
    <n v="2720"/>
    <x v="222"/>
    <n v="12199.2"/>
    <x v="2"/>
    <s v="Chennai"/>
    <x v="0"/>
    <m/>
    <x v="1"/>
    <n v="32"/>
    <x v="4"/>
    <s v="Nov-24"/>
    <n v="1962"/>
    <n v="0.2786764705882353"/>
  </r>
  <r>
    <s v="ORD-00515"/>
    <x v="285"/>
    <s v="CUST-0030"/>
    <s v="PROD-055"/>
    <x v="20"/>
    <n v="6"/>
    <n v="2860"/>
    <x v="65"/>
    <n v="12200.76"/>
    <x v="0"/>
    <s v="Bengaluru"/>
    <x v="1"/>
    <m/>
    <x v="2"/>
    <n v="43"/>
    <x v="0"/>
    <m/>
    <m/>
    <m/>
  </r>
  <r>
    <s v="ORD-00516"/>
    <x v="165"/>
    <s v="CUST-0128"/>
    <s v="PROD-014"/>
    <x v="27"/>
    <n v="5"/>
    <n v="3620"/>
    <x v="93"/>
    <n v="14805.8"/>
    <x v="0"/>
    <s v="Hyderabad"/>
    <x v="0"/>
    <m/>
    <x v="1"/>
    <n v="35"/>
    <x v="2"/>
    <s v="Jul-24"/>
    <n v="2509"/>
    <n v="0.3069060773480663"/>
  </r>
  <r>
    <s v="ORD-00517"/>
    <x v="39"/>
    <s v="CUST-0056"/>
    <s v="PROD-044"/>
    <x v="26"/>
    <n v="3"/>
    <n v="1650"/>
    <x v="32"/>
    <n v="4420.3500000000004"/>
    <x v="0"/>
    <s v="Bengaluru"/>
    <x v="5"/>
    <m/>
    <x v="0"/>
    <n v="46"/>
    <x v="0"/>
    <m/>
    <m/>
    <m/>
  </r>
  <r>
    <s v="ORD-00518"/>
    <x v="185"/>
    <s v="CUST-0178"/>
    <s v="PROD-060"/>
    <x v="20"/>
    <n v="8"/>
    <n v="190"/>
    <x v="70"/>
    <n v="1246.4000000000001"/>
    <x v="1"/>
    <s v="Hyderabad"/>
    <x v="1"/>
    <m/>
    <x v="1"/>
    <n v="25"/>
    <x v="3"/>
    <s v="May-24"/>
    <n v="147"/>
    <n v="0.22631578947368422"/>
  </r>
  <r>
    <s v="ORD-00519"/>
    <x v="68"/>
    <s v="CUST-0237"/>
    <s v="PROD-042"/>
    <x v="20"/>
    <n v="7"/>
    <n v="2290"/>
    <x v="119"/>
    <n v="14026.25"/>
    <x v="0"/>
    <s v="Mumbai"/>
    <x v="5"/>
    <m/>
    <x v="1"/>
    <n v="49"/>
    <x v="0"/>
    <m/>
    <m/>
    <m/>
  </r>
  <r>
    <s v="ORD-00520"/>
    <x v="198"/>
    <s v="CUST-0143"/>
    <s v="PROD-001"/>
    <x v="21"/>
    <n v="2"/>
    <n v="5330"/>
    <x v="219"/>
    <n v="7835.1"/>
    <x v="0"/>
    <s v="Chennai"/>
    <x v="4"/>
    <m/>
    <x v="0"/>
    <n v="52"/>
    <x v="0"/>
    <m/>
    <m/>
    <m/>
  </r>
  <r>
    <s v="ORD-00521"/>
    <x v="233"/>
    <s v="CUST-0233"/>
    <s v="PROD-001"/>
    <x v="15"/>
    <n v="4"/>
    <n v="5330"/>
    <x v="247"/>
    <n v="15862.08"/>
    <x v="0"/>
    <s v="Mumbai"/>
    <x v="4"/>
    <m/>
    <x v="0"/>
    <n v="65"/>
    <x v="0"/>
    <m/>
    <m/>
    <m/>
  </r>
  <r>
    <s v="ORD-00522"/>
    <x v="286"/>
    <s v="CUST-0161"/>
    <s v="PROD-034"/>
    <x v="3"/>
    <n v="4"/>
    <n v="5080"/>
    <x v="132"/>
    <n v="14508.48"/>
    <x v="0"/>
    <s v="Chennai"/>
    <x v="3"/>
    <m/>
    <x v="1"/>
    <n v="38"/>
    <x v="4"/>
    <s v="Jul-24"/>
    <n v="2459"/>
    <n v="0.51594488188976373"/>
  </r>
  <r>
    <s v="ORD-00523"/>
    <x v="40"/>
    <s v="CUST-0087"/>
    <s v="PROD-032"/>
    <x v="25"/>
    <n v="4"/>
    <n v="370"/>
    <x v="208"/>
    <n v="1293.52"/>
    <x v="1"/>
    <s v="Pune"/>
    <x v="3"/>
    <m/>
    <x v="0"/>
    <n v="49"/>
    <x v="0"/>
    <m/>
    <m/>
    <m/>
  </r>
  <r>
    <s v="ORD-00524"/>
    <x v="230"/>
    <s v="CUST-0235"/>
    <s v="PROD-053"/>
    <x v="22"/>
    <n v="9"/>
    <n v="470"/>
    <x v="186"/>
    <n v="4077.72"/>
    <x v="0"/>
    <s v="Chennai"/>
    <x v="1"/>
    <m/>
    <x v="1"/>
    <n v="31"/>
    <x v="1"/>
    <s v="Apr-24"/>
    <n v="302"/>
    <n v="0.35744680851063831"/>
  </r>
  <r>
    <s v="ORD-00525"/>
    <x v="287"/>
    <s v="CUST-0183"/>
    <s v="PROD-052"/>
    <x v="28"/>
    <n v="4"/>
    <n v="5410"/>
    <x v="139"/>
    <n v="19194.68"/>
    <x v="3"/>
    <s v="Mumbai"/>
    <x v="1"/>
    <m/>
    <x v="0"/>
    <n v="27"/>
    <x v="4"/>
    <s v="Sep-24"/>
    <n v="2265"/>
    <n v="0.58133086876155271"/>
  </r>
  <r>
    <s v="ORD-00526"/>
    <x v="288"/>
    <s v="CUST-0199"/>
    <s v="PROD-014"/>
    <x v="0"/>
    <n v="10"/>
    <n v="3620"/>
    <x v="148"/>
    <n v="35295"/>
    <x v="0"/>
    <s v="Hyderabad"/>
    <x v="0"/>
    <m/>
    <x v="0"/>
    <n v="31"/>
    <x v="2"/>
    <s v="Dec-24"/>
    <n v="2509"/>
    <n v="0.3069060773480663"/>
  </r>
  <r>
    <s v="ORD-00527"/>
    <x v="82"/>
    <s v="CUST-0034"/>
    <s v="PROD-021"/>
    <x v="14"/>
    <n v="1"/>
    <n v="2760"/>
    <x v="73"/>
    <n v="2147.2800000000002"/>
    <x v="0"/>
    <s v="Delhi"/>
    <x v="2"/>
    <m/>
    <x v="1"/>
    <n v="47"/>
    <x v="0"/>
    <m/>
    <m/>
    <m/>
  </r>
  <r>
    <s v="ORD-00528"/>
    <x v="0"/>
    <s v="CUST-0206"/>
    <s v="PROD-047"/>
    <x v="19"/>
    <n v="7"/>
    <n v="3450"/>
    <x v="248"/>
    <n v="22073.1"/>
    <x v="0"/>
    <s v="Mumbai"/>
    <x v="5"/>
    <m/>
    <x v="1"/>
    <n v="40"/>
    <x v="2"/>
    <s v="Mar-24"/>
    <n v="2420"/>
    <n v="0.29855072463768118"/>
  </r>
  <r>
    <s v="ORD-00529"/>
    <x v="196"/>
    <s v="CUST-0246"/>
    <s v="PROD-028"/>
    <x v="8"/>
    <n v="6"/>
    <n v="3660"/>
    <x v="249"/>
    <n v="19632.240000000002"/>
    <x v="0"/>
    <s v="Delhi"/>
    <x v="2"/>
    <m/>
    <x v="0"/>
    <n v="29"/>
    <x v="1"/>
    <s v="Sep-24"/>
    <n v="2214"/>
    <n v="0.39508196721311473"/>
  </r>
  <r>
    <s v="ORD-00530"/>
    <x v="147"/>
    <s v="CUST-0075"/>
    <s v="PROD-003"/>
    <x v="8"/>
    <n v="10"/>
    <n v="3570"/>
    <x v="9"/>
    <n v="35271.599999999999"/>
    <x v="0"/>
    <s v="Mumbai"/>
    <x v="4"/>
    <m/>
    <x v="2"/>
    <n v="55"/>
    <x v="0"/>
    <m/>
    <m/>
    <m/>
  </r>
  <r>
    <s v="ORD-00531"/>
    <x v="176"/>
    <s v="CUST-0298"/>
    <s v="PROD-035"/>
    <x v="18"/>
    <n v="8"/>
    <n v="1090"/>
    <x v="105"/>
    <n v="7568.96"/>
    <x v="3"/>
    <s v="Delhi"/>
    <x v="3"/>
    <m/>
    <x v="1"/>
    <n v="44"/>
    <x v="0"/>
    <m/>
    <m/>
    <m/>
  </r>
  <r>
    <s v="ORD-00532"/>
    <x v="153"/>
    <s v="CUST-0165"/>
    <s v="PROD-014"/>
    <x v="26"/>
    <n v="8"/>
    <n v="3620"/>
    <x v="5"/>
    <n v="20561.599999999999"/>
    <x v="0"/>
    <s v="Pune"/>
    <x v="0"/>
    <m/>
    <x v="1"/>
    <n v="29"/>
    <x v="4"/>
    <s v="Sep-24"/>
    <n v="2509"/>
    <n v="0.3069060773480663"/>
  </r>
  <r>
    <s v="ORD-00533"/>
    <x v="289"/>
    <s v="CUST-0033"/>
    <s v="PROD-046"/>
    <x v="9"/>
    <n v="7"/>
    <n v="4880"/>
    <x v="247"/>
    <n v="25415.040000000001"/>
    <x v="3"/>
    <s v="Delhi"/>
    <x v="5"/>
    <m/>
    <x v="1"/>
    <n v="35"/>
    <x v="3"/>
    <s v="Jan-24"/>
    <n v="2768"/>
    <n v="0.43278688524590164"/>
  </r>
  <r>
    <s v="ORD-00534"/>
    <x v="224"/>
    <s v="CUST-0205"/>
    <s v="PROD-053"/>
    <x v="8"/>
    <n v="2"/>
    <n v="470"/>
    <x v="216"/>
    <n v="848.82"/>
    <x v="0"/>
    <s v="Pune"/>
    <x v="1"/>
    <m/>
    <x v="2"/>
    <n v="29"/>
    <x v="4"/>
    <s v="Sep-24"/>
    <n v="302"/>
    <n v="0.35744680851063831"/>
  </r>
  <r>
    <s v="ORD-00535"/>
    <x v="149"/>
    <s v="CUST-0037"/>
    <s v="PROD-042"/>
    <x v="24"/>
    <n v="6"/>
    <n v="2290"/>
    <x v="193"/>
    <n v="12517.14"/>
    <x v="0"/>
    <s v="Bengaluru"/>
    <x v="5"/>
    <m/>
    <x v="1"/>
    <n v="52"/>
    <x v="0"/>
    <m/>
    <m/>
    <m/>
  </r>
  <r>
    <s v="ORD-00536"/>
    <x v="290"/>
    <s v="CUST-0228"/>
    <s v="PROD-023"/>
    <x v="9"/>
    <n v="3"/>
    <n v="2380"/>
    <x v="36"/>
    <n v="6947.22"/>
    <x v="1"/>
    <s v="Pune"/>
    <x v="2"/>
    <m/>
    <x v="2"/>
    <n v="37"/>
    <x v="3"/>
    <s v="Sep-24"/>
    <n v="1182"/>
    <n v="0.50336134453781511"/>
  </r>
  <r>
    <s v="ORD-00537"/>
    <x v="270"/>
    <s v="CUST-0279"/>
    <s v="PROD-023"/>
    <x v="4"/>
    <n v="9"/>
    <n v="2380"/>
    <x v="138"/>
    <n v="17114.580000000002"/>
    <x v="0"/>
    <s v="Mumbai"/>
    <x v="2"/>
    <m/>
    <x v="1"/>
    <n v="56"/>
    <x v="0"/>
    <m/>
    <m/>
    <m/>
  </r>
  <r>
    <s v="ORD-00538"/>
    <x v="291"/>
    <s v="CUST-0271"/>
    <s v="PROD-052"/>
    <x v="2"/>
    <n v="8"/>
    <n v="5410"/>
    <x v="168"/>
    <n v="38432.639999999999"/>
    <x v="0"/>
    <s v="Bengaluru"/>
    <x v="1"/>
    <m/>
    <x v="2"/>
    <n v="41"/>
    <x v="0"/>
    <m/>
    <m/>
    <m/>
  </r>
  <r>
    <s v="ORD-00539"/>
    <x v="150"/>
    <s v="CUST-0127"/>
    <s v="PROD-007"/>
    <x v="4"/>
    <n v="1"/>
    <n v="1430"/>
    <x v="153"/>
    <n v="1149.72"/>
    <x v="0"/>
    <s v="Bengaluru"/>
    <x v="4"/>
    <m/>
    <x v="0"/>
    <n v="36"/>
    <x v="4"/>
    <s v="Jan-24"/>
    <n v="861"/>
    <n v="0.39790209790209791"/>
  </r>
  <r>
    <s v="ORD-00540"/>
    <x v="292"/>
    <s v="CUST-0007"/>
    <s v="PROD-058"/>
    <x v="28"/>
    <n v="9"/>
    <n v="2400"/>
    <x v="227"/>
    <n v="20520"/>
    <x v="0"/>
    <s v="Bengaluru"/>
    <x v="1"/>
    <m/>
    <x v="1"/>
    <n v="47"/>
    <x v="0"/>
    <m/>
    <m/>
    <m/>
  </r>
  <r>
    <s v="ORD-00541"/>
    <x v="293"/>
    <s v="CUST-0005"/>
    <s v="PROD-027"/>
    <x v="19"/>
    <n v="1"/>
    <n v="3780"/>
    <x v="250"/>
    <n v="3602.34"/>
    <x v="0"/>
    <s v="Chennai"/>
    <x v="2"/>
    <m/>
    <x v="2"/>
    <n v="52"/>
    <x v="0"/>
    <m/>
    <m/>
    <m/>
  </r>
  <r>
    <s v="ORD-00542"/>
    <x v="95"/>
    <s v="CUST-0072"/>
    <s v="PROD-016"/>
    <x v="7"/>
    <n v="2"/>
    <n v="620"/>
    <x v="251"/>
    <n v="1140.8"/>
    <x v="0"/>
    <s v="Mumbai"/>
    <x v="0"/>
    <m/>
    <x v="2"/>
    <n v="62"/>
    <x v="0"/>
    <m/>
    <m/>
    <m/>
  </r>
  <r>
    <s v="ORD-00543"/>
    <x v="229"/>
    <s v="CUST-0167"/>
    <s v="PROD-060"/>
    <x v="0"/>
    <n v="3"/>
    <n v="190"/>
    <x v="131"/>
    <n v="467.97"/>
    <x v="1"/>
    <s v="Delhi"/>
    <x v="1"/>
    <m/>
    <x v="1"/>
    <n v="43"/>
    <x v="0"/>
    <m/>
    <m/>
    <m/>
  </r>
  <r>
    <s v="ORD-00544"/>
    <x v="10"/>
    <s v="CUST-0244"/>
    <s v="PROD-014"/>
    <x v="7"/>
    <n v="2"/>
    <n v="3620"/>
    <x v="252"/>
    <n v="6117.8"/>
    <x v="0"/>
    <s v="Bengaluru"/>
    <x v="0"/>
    <m/>
    <x v="1"/>
    <n v="61"/>
    <x v="0"/>
    <m/>
    <m/>
    <m/>
  </r>
  <r>
    <s v="ORD-00545"/>
    <x v="294"/>
    <s v="CUST-0086"/>
    <s v="PROD-055"/>
    <x v="26"/>
    <n v="5"/>
    <n v="2860"/>
    <x v="253"/>
    <n v="10467.6"/>
    <x v="0"/>
    <s v="Hyderabad"/>
    <x v="1"/>
    <m/>
    <x v="2"/>
    <n v="56"/>
    <x v="0"/>
    <m/>
    <m/>
    <m/>
  </r>
  <r>
    <s v="ORD-00546"/>
    <x v="198"/>
    <s v="CUST-0091"/>
    <s v="PROD-058"/>
    <x v="12"/>
    <n v="6"/>
    <n v="2400"/>
    <x v="80"/>
    <n v="11635.2"/>
    <x v="2"/>
    <s v="Delhi"/>
    <x v="1"/>
    <m/>
    <x v="1"/>
    <n v="55"/>
    <x v="0"/>
    <m/>
    <m/>
    <m/>
  </r>
  <r>
    <s v="ORD-00547"/>
    <x v="14"/>
    <s v="CUST-0169"/>
    <s v="PROD-034"/>
    <x v="18"/>
    <n v="7"/>
    <n v="5080"/>
    <x v="254"/>
    <n v="29657.040000000001"/>
    <x v="1"/>
    <s v="Bengaluru"/>
    <x v="3"/>
    <m/>
    <x v="0"/>
    <n v="42"/>
    <x v="0"/>
    <m/>
    <m/>
    <m/>
  </r>
  <r>
    <s v="ORD-00548"/>
    <x v="295"/>
    <s v="CUST-0273"/>
    <s v="PROD-034"/>
    <x v="15"/>
    <n v="10"/>
    <n v="5080"/>
    <x v="21"/>
    <n v="38303.199999999997"/>
    <x v="0"/>
    <s v="Hyderabad"/>
    <x v="3"/>
    <m/>
    <x v="2"/>
    <n v="32"/>
    <x v="4"/>
    <s v="Sep-24"/>
    <n v="2459"/>
    <n v="0.51594488188976373"/>
  </r>
  <r>
    <s v="ORD-00549"/>
    <x v="147"/>
    <s v="CUST-0233"/>
    <s v="PROD-057"/>
    <x v="4"/>
    <n v="7"/>
    <n v="960"/>
    <x v="254"/>
    <n v="5604.48"/>
    <x v="0"/>
    <s v="Mumbai"/>
    <x v="1"/>
    <m/>
    <x v="0"/>
    <n v="65"/>
    <x v="0"/>
    <m/>
    <m/>
    <m/>
  </r>
  <r>
    <s v="ORD-00550"/>
    <x v="296"/>
    <s v="CUST-0175"/>
    <s v="PROD-028"/>
    <x v="8"/>
    <n v="3"/>
    <n v="3660"/>
    <x v="185"/>
    <n v="10628.64"/>
    <x v="1"/>
    <s v="Delhi"/>
    <x v="2"/>
    <m/>
    <x v="2"/>
    <n v="55"/>
    <x v="0"/>
    <m/>
    <m/>
    <m/>
  </r>
  <r>
    <s v="ORD-00551"/>
    <x v="160"/>
    <s v="CUST-0241"/>
    <s v="PROD-010"/>
    <x v="18"/>
    <n v="6"/>
    <n v="2640"/>
    <x v="234"/>
    <n v="11674.08"/>
    <x v="0"/>
    <s v="Pune"/>
    <x v="4"/>
    <m/>
    <x v="2"/>
    <n v="47"/>
    <x v="0"/>
    <m/>
    <m/>
    <m/>
  </r>
  <r>
    <s v="ORD-00552"/>
    <x v="254"/>
    <s v="CUST-0024"/>
    <s v="PROD-009"/>
    <x v="18"/>
    <n v="6"/>
    <n v="1220"/>
    <x v="255"/>
    <n v="5687.64"/>
    <x v="2"/>
    <s v="Chennai"/>
    <x v="4"/>
    <m/>
    <x v="0"/>
    <n v="64"/>
    <x v="0"/>
    <m/>
    <m/>
    <m/>
  </r>
  <r>
    <s v="ORD-00553"/>
    <x v="138"/>
    <s v="CUST-0252"/>
    <s v="PROD-005"/>
    <x v="22"/>
    <n v="1"/>
    <n v="300"/>
    <x v="134"/>
    <n v="297.89999999999998"/>
    <x v="0"/>
    <s v="Bengaluru"/>
    <x v="4"/>
    <m/>
    <x v="1"/>
    <n v="27"/>
    <x v="4"/>
    <s v="Sep-24"/>
    <n v="128"/>
    <n v="0.57333333333333336"/>
  </r>
  <r>
    <s v="ORD-00554"/>
    <x v="43"/>
    <s v="CUST-0245"/>
    <s v="PROD-054"/>
    <x v="16"/>
    <n v="2"/>
    <n v="1010"/>
    <x v="178"/>
    <n v="1454.4"/>
    <x v="0"/>
    <s v="Hyderabad"/>
    <x v="1"/>
    <m/>
    <x v="1"/>
    <n v="65"/>
    <x v="0"/>
    <m/>
    <m/>
    <m/>
  </r>
  <r>
    <s v="ORD-00555"/>
    <x v="192"/>
    <s v="CUST-0046"/>
    <s v="PROD-002"/>
    <x v="23"/>
    <n v="5"/>
    <n v="2600"/>
    <x v="256"/>
    <n v="12896"/>
    <x v="2"/>
    <s v="Delhi"/>
    <x v="4"/>
    <m/>
    <x v="0"/>
    <n v="45"/>
    <x v="0"/>
    <m/>
    <m/>
    <m/>
  </r>
  <r>
    <s v="ORD-00556"/>
    <x v="186"/>
    <s v="CUST-0050"/>
    <s v="PROD-056"/>
    <x v="17"/>
    <n v="3"/>
    <n v="6940"/>
    <x v="32"/>
    <n v="18592.259999999998"/>
    <x v="2"/>
    <s v="Mumbai"/>
    <x v="1"/>
    <m/>
    <x v="1"/>
    <n v="37"/>
    <x v="4"/>
    <s v="Apr-24"/>
    <n v="2827"/>
    <n v="0.5926512968299712"/>
  </r>
  <r>
    <s v="ORD-00557"/>
    <x v="297"/>
    <s v="CUST-0227"/>
    <s v="PROD-032"/>
    <x v="23"/>
    <n v="1"/>
    <n v="370"/>
    <x v="222"/>
    <n v="331.89"/>
    <x v="3"/>
    <s v="Bengaluru"/>
    <x v="3"/>
    <m/>
    <x v="0"/>
    <n v="44"/>
    <x v="0"/>
    <m/>
    <m/>
    <m/>
  </r>
  <r>
    <s v="ORD-00558"/>
    <x v="298"/>
    <s v="CUST-0218"/>
    <s v="PROD-027"/>
    <x v="20"/>
    <n v="2"/>
    <n v="3780"/>
    <x v="192"/>
    <n v="5337.36"/>
    <x v="0"/>
    <s v="Mumbai"/>
    <x v="2"/>
    <m/>
    <x v="1"/>
    <n v="39"/>
    <x v="4"/>
    <s v="Oct-24"/>
    <n v="2436"/>
    <n v="0.35555555555555557"/>
  </r>
  <r>
    <s v="ORD-00559"/>
    <x v="39"/>
    <s v="CUST-0087"/>
    <s v="PROD-030"/>
    <x v="24"/>
    <n v="5"/>
    <n v="970"/>
    <x v="229"/>
    <n v="4141.8999999999996"/>
    <x v="0"/>
    <s v="Pune"/>
    <x v="2"/>
    <m/>
    <x v="0"/>
    <n v="49"/>
    <x v="0"/>
    <m/>
    <m/>
    <m/>
  </r>
  <r>
    <s v="ORD-00560"/>
    <x v="117"/>
    <s v="CUST-0209"/>
    <s v="PROD-022"/>
    <x v="25"/>
    <n v="3"/>
    <n v="2270"/>
    <x v="76"/>
    <n v="6367.35"/>
    <x v="0"/>
    <s v="Pune"/>
    <x v="2"/>
    <m/>
    <x v="1"/>
    <n v="31"/>
    <x v="3"/>
    <s v="May-24"/>
    <n v="1412"/>
    <n v="0.37797356828193834"/>
  </r>
  <r>
    <s v="ORD-00561"/>
    <x v="299"/>
    <s v="CUST-0212"/>
    <s v="PROD-041"/>
    <x v="20"/>
    <n v="10"/>
    <n v="1540"/>
    <x v="25"/>
    <n v="12859"/>
    <x v="0"/>
    <s v="Chennai"/>
    <x v="5"/>
    <m/>
    <x v="0"/>
    <n v="46"/>
    <x v="0"/>
    <m/>
    <m/>
    <m/>
  </r>
  <r>
    <s v="ORD-00562"/>
    <x v="51"/>
    <s v="CUST-0180"/>
    <s v="PROD-021"/>
    <x v="21"/>
    <n v="4"/>
    <n v="2760"/>
    <x v="113"/>
    <n v="8854.08"/>
    <x v="0"/>
    <s v="Chennai"/>
    <x v="2"/>
    <m/>
    <x v="1"/>
    <n v="36"/>
    <x v="2"/>
    <s v="Jun-24"/>
    <n v="1435"/>
    <n v="0.48007246376811596"/>
  </r>
  <r>
    <s v="ORD-00563"/>
    <x v="10"/>
    <s v="CUST-0025"/>
    <s v="PROD-024"/>
    <x v="14"/>
    <n v="3"/>
    <n v="2270"/>
    <x v="169"/>
    <n v="4801.05"/>
    <x v="3"/>
    <s v="Bengaluru"/>
    <x v="2"/>
    <m/>
    <x v="1"/>
    <n v="23"/>
    <x v="3"/>
    <s v="Dec-24"/>
    <n v="1203"/>
    <n v="0.47004405286343615"/>
  </r>
  <r>
    <s v="ORD-00564"/>
    <x v="196"/>
    <s v="CUST-0271"/>
    <s v="PROD-045"/>
    <x v="15"/>
    <n v="8"/>
    <n v="3020"/>
    <x v="9"/>
    <n v="23870.080000000002"/>
    <x v="0"/>
    <s v="Bengaluru"/>
    <x v="5"/>
    <m/>
    <x v="2"/>
    <n v="41"/>
    <x v="0"/>
    <m/>
    <m/>
    <m/>
  </r>
  <r>
    <s v="ORD-00565"/>
    <x v="156"/>
    <s v="CUST-0026"/>
    <s v="PROD-023"/>
    <x v="26"/>
    <n v="6"/>
    <n v="2380"/>
    <x v="201"/>
    <n v="11366.88"/>
    <x v="0"/>
    <s v="Pune"/>
    <x v="2"/>
    <m/>
    <x v="1"/>
    <n v="62"/>
    <x v="0"/>
    <m/>
    <m/>
    <m/>
  </r>
  <r>
    <s v="ORD-00566"/>
    <x v="19"/>
    <s v="CUST-0058"/>
    <s v="PROD-056"/>
    <x v="8"/>
    <n v="1"/>
    <n v="6940"/>
    <x v="224"/>
    <n v="5899"/>
    <x v="2"/>
    <s v="Bengaluru"/>
    <x v="1"/>
    <m/>
    <x v="0"/>
    <n v="49"/>
    <x v="0"/>
    <m/>
    <m/>
    <m/>
  </r>
  <r>
    <s v="ORD-00567"/>
    <x v="16"/>
    <s v="CUST-0033"/>
    <s v="PROD-008"/>
    <x v="9"/>
    <n v="1"/>
    <n v="2660"/>
    <x v="37"/>
    <n v="2351.44"/>
    <x v="0"/>
    <s v="Delhi"/>
    <x v="4"/>
    <m/>
    <x v="1"/>
    <n v="35"/>
    <x v="2"/>
    <s v="Jun-24"/>
    <n v="1259"/>
    <n v="0.52669172932330832"/>
  </r>
  <r>
    <s v="ORD-00568"/>
    <x v="289"/>
    <s v="CUST-0057"/>
    <s v="PROD-030"/>
    <x v="22"/>
    <n v="4"/>
    <n v="970"/>
    <x v="37"/>
    <n v="3429.92"/>
    <x v="0"/>
    <s v="Pune"/>
    <x v="2"/>
    <m/>
    <x v="1"/>
    <n v="35"/>
    <x v="4"/>
    <s v="Dec-24"/>
    <n v="434"/>
    <n v="0.5525773195876289"/>
  </r>
  <r>
    <s v="ORD-00569"/>
    <x v="215"/>
    <s v="CUST-0231"/>
    <s v="PROD-022"/>
    <x v="25"/>
    <n v="7"/>
    <n v="2270"/>
    <x v="100"/>
    <n v="11456.69"/>
    <x v="0"/>
    <s v="Chennai"/>
    <x v="2"/>
    <m/>
    <x v="1"/>
    <n v="61"/>
    <x v="0"/>
    <m/>
    <m/>
    <m/>
  </r>
  <r>
    <s v="ORD-00570"/>
    <x v="300"/>
    <s v="CUST-0031"/>
    <s v="PROD-054"/>
    <x v="29"/>
    <n v="8"/>
    <n v="1010"/>
    <x v="130"/>
    <n v="6973.04"/>
    <x v="2"/>
    <s v="Hyderabad"/>
    <x v="1"/>
    <m/>
    <x v="1"/>
    <n v="53"/>
    <x v="0"/>
    <m/>
    <m/>
    <m/>
  </r>
  <r>
    <s v="ORD-00571"/>
    <x v="259"/>
    <s v="CUST-0228"/>
    <s v="PROD-023"/>
    <x v="19"/>
    <n v="8"/>
    <n v="2380"/>
    <x v="146"/>
    <n v="16126.88"/>
    <x v="2"/>
    <s v="Pune"/>
    <x v="2"/>
    <m/>
    <x v="2"/>
    <n v="37"/>
    <x v="4"/>
    <s v="Jan-24"/>
    <n v="1182"/>
    <n v="0.50336134453781511"/>
  </r>
  <r>
    <s v="ORD-00572"/>
    <x v="142"/>
    <s v="CUST-0127"/>
    <s v="PROD-053"/>
    <x v="26"/>
    <n v="10"/>
    <n v="470"/>
    <x v="197"/>
    <n v="4601.3"/>
    <x v="0"/>
    <s v="Bengaluru"/>
    <x v="1"/>
    <m/>
    <x v="0"/>
    <n v="36"/>
    <x v="1"/>
    <s v="Feb-24"/>
    <n v="302"/>
    <n v="0.35744680851063831"/>
  </r>
  <r>
    <s v="ORD-00573"/>
    <x v="178"/>
    <s v="CUST-0117"/>
    <s v="PROD-048"/>
    <x v="5"/>
    <n v="5"/>
    <n v="5100"/>
    <x v="216"/>
    <n v="23026.5"/>
    <x v="0"/>
    <s v="Delhi"/>
    <x v="5"/>
    <m/>
    <x v="0"/>
    <n v="34"/>
    <x v="3"/>
    <s v="Dec-24"/>
    <n v="2237"/>
    <n v="0.56137254901960787"/>
  </r>
  <r>
    <s v="ORD-00574"/>
    <x v="73"/>
    <s v="CUST-0159"/>
    <s v="PROD-049"/>
    <x v="17"/>
    <n v="9"/>
    <n v="960"/>
    <x v="207"/>
    <n v="7110.72"/>
    <x v="0"/>
    <s v="Hyderabad"/>
    <x v="5"/>
    <m/>
    <x v="1"/>
    <n v="32"/>
    <x v="2"/>
    <s v="Jul-24"/>
    <n v="675"/>
    <n v="0.296875"/>
  </r>
  <r>
    <s v="ORD-00575"/>
    <x v="35"/>
    <s v="CUST-0064"/>
    <s v="PROD-026"/>
    <x v="0"/>
    <n v="2"/>
    <n v="4070"/>
    <x v="197"/>
    <n v="7969.06"/>
    <x v="0"/>
    <s v="Hyderabad"/>
    <x v="2"/>
    <m/>
    <x v="0"/>
    <n v="40"/>
    <x v="2"/>
    <s v="Apr-24"/>
    <n v="2027"/>
    <n v="0.50196560196560192"/>
  </r>
  <r>
    <s v="ORD-00576"/>
    <x v="243"/>
    <s v="CUST-0272"/>
    <s v="PROD-031"/>
    <x v="13"/>
    <n v="5"/>
    <n v="3730"/>
    <x v="25"/>
    <n v="15572.75"/>
    <x v="0"/>
    <s v="Mumbai"/>
    <x v="3"/>
    <m/>
    <x v="0"/>
    <n v="47"/>
    <x v="0"/>
    <m/>
    <m/>
    <m/>
  </r>
  <r>
    <s v="ORD-00577"/>
    <x v="55"/>
    <s v="CUST-0071"/>
    <s v="PROD-055"/>
    <x v="24"/>
    <n v="1"/>
    <n v="2860"/>
    <x v="257"/>
    <n v="2562.56"/>
    <x v="2"/>
    <s v="Delhi"/>
    <x v="1"/>
    <m/>
    <x v="2"/>
    <n v="46"/>
    <x v="0"/>
    <m/>
    <m/>
    <m/>
  </r>
  <r>
    <s v="ORD-00578"/>
    <x v="11"/>
    <s v="CUST-0045"/>
    <s v="PROD-046"/>
    <x v="26"/>
    <n v="4"/>
    <n v="4880"/>
    <x v="118"/>
    <n v="14152"/>
    <x v="1"/>
    <s v="Chennai"/>
    <x v="5"/>
    <m/>
    <x v="0"/>
    <n v="39"/>
    <x v="3"/>
    <s v="Oct-24"/>
    <n v="2768"/>
    <n v="0.43278688524590164"/>
  </r>
  <r>
    <s v="ORD-00579"/>
    <x v="19"/>
    <s v="CUST-0148"/>
    <s v="PROD-022"/>
    <x v="24"/>
    <n v="3"/>
    <n v="2270"/>
    <x v="51"/>
    <n v="6353.73"/>
    <x v="0"/>
    <s v="Chennai"/>
    <x v="2"/>
    <m/>
    <x v="1"/>
    <n v="32"/>
    <x v="3"/>
    <s v="Aug-24"/>
    <n v="1412"/>
    <n v="0.37797356828193834"/>
  </r>
  <r>
    <s v="ORD-00580"/>
    <x v="55"/>
    <s v="CUST-0097"/>
    <s v="PROD-025"/>
    <x v="0"/>
    <n v="10"/>
    <n v="4060"/>
    <x v="186"/>
    <n v="39138.400000000001"/>
    <x v="1"/>
    <s v="Mumbai"/>
    <x v="2"/>
    <m/>
    <x v="1"/>
    <n v="65"/>
    <x v="0"/>
    <m/>
    <m/>
    <m/>
  </r>
  <r>
    <s v="ORD-00581"/>
    <x v="301"/>
    <s v="CUST-0151"/>
    <s v="PROD-010"/>
    <x v="10"/>
    <n v="8"/>
    <n v="2640"/>
    <x v="49"/>
    <n v="15037.44"/>
    <x v="0"/>
    <s v="Mumbai"/>
    <x v="4"/>
    <m/>
    <x v="1"/>
    <n v="53"/>
    <x v="0"/>
    <m/>
    <m/>
    <m/>
  </r>
  <r>
    <s v="ORD-00582"/>
    <x v="302"/>
    <s v="CUST-0048"/>
    <s v="PROD-031"/>
    <x v="27"/>
    <n v="6"/>
    <n v="3730"/>
    <x v="243"/>
    <n v="17478.78"/>
    <x v="0"/>
    <s v="Delhi"/>
    <x v="3"/>
    <m/>
    <x v="1"/>
    <n v="59"/>
    <x v="0"/>
    <m/>
    <m/>
    <m/>
  </r>
  <r>
    <s v="ORD-00583"/>
    <x v="68"/>
    <s v="CUST-0048"/>
    <s v="PROD-001"/>
    <x v="3"/>
    <n v="9"/>
    <n v="5330"/>
    <x v="192"/>
    <n v="33866.82"/>
    <x v="2"/>
    <s v="Delhi"/>
    <x v="4"/>
    <m/>
    <x v="1"/>
    <n v="59"/>
    <x v="0"/>
    <m/>
    <m/>
    <m/>
  </r>
  <r>
    <s v="ORD-00584"/>
    <x v="94"/>
    <s v="CUST-0156"/>
    <s v="PROD-011"/>
    <x v="28"/>
    <n v="1"/>
    <n v="3450"/>
    <x v="74"/>
    <n v="2646.15"/>
    <x v="0"/>
    <s v="Mumbai"/>
    <x v="0"/>
    <m/>
    <x v="1"/>
    <n v="33"/>
    <x v="1"/>
    <s v="May-24"/>
    <n v="1748"/>
    <n v="0.49333333333333335"/>
  </r>
  <r>
    <s v="ORD-00585"/>
    <x v="227"/>
    <s v="CUST-0022"/>
    <s v="PROD-050"/>
    <x v="21"/>
    <n v="3"/>
    <n v="6080"/>
    <x v="258"/>
    <n v="15595.2"/>
    <x v="0"/>
    <s v="Bengaluru"/>
    <x v="5"/>
    <m/>
    <x v="2"/>
    <n v="55"/>
    <x v="0"/>
    <m/>
    <m/>
    <m/>
  </r>
  <r>
    <s v="ORD-00586"/>
    <x v="303"/>
    <s v="CUST-0193"/>
    <s v="PROD-031"/>
    <x v="25"/>
    <n v="4"/>
    <n v="3730"/>
    <x v="238"/>
    <n v="14412.72"/>
    <x v="2"/>
    <s v="Bengaluru"/>
    <x v="3"/>
    <m/>
    <x v="1"/>
    <n v="42"/>
    <x v="0"/>
    <m/>
    <m/>
    <m/>
  </r>
  <r>
    <s v="ORD-00587"/>
    <x v="304"/>
    <s v="CUST-0189"/>
    <s v="PROD-008"/>
    <x v="24"/>
    <n v="10"/>
    <n v="2660"/>
    <x v="197"/>
    <n v="26041.4"/>
    <x v="0"/>
    <s v="Chennai"/>
    <x v="4"/>
    <m/>
    <x v="1"/>
    <n v="41"/>
    <x v="0"/>
    <m/>
    <m/>
    <m/>
  </r>
  <r>
    <s v="ORD-00588"/>
    <x v="41"/>
    <s v="CUST-0101"/>
    <s v="PROD-029"/>
    <x v="13"/>
    <n v="7"/>
    <n v="2210"/>
    <x v="150"/>
    <n v="12824.63"/>
    <x v="0"/>
    <s v="Hyderabad"/>
    <x v="2"/>
    <m/>
    <x v="0"/>
    <n v="40"/>
    <x v="3"/>
    <s v="Jul-24"/>
    <n v="1010"/>
    <n v="0.54298642533936647"/>
  </r>
  <r>
    <s v="ORD-00589"/>
    <x v="84"/>
    <s v="CUST-0006"/>
    <s v="PROD-059"/>
    <x v="22"/>
    <n v="6"/>
    <n v="3780"/>
    <x v="39"/>
    <n v="19799.64"/>
    <x v="0"/>
    <s v="Pune"/>
    <x v="1"/>
    <m/>
    <x v="0"/>
    <n v="44"/>
    <x v="0"/>
    <m/>
    <m/>
    <m/>
  </r>
  <r>
    <s v="ORD-00590"/>
    <x v="249"/>
    <s v="CUST-0235"/>
    <s v="PROD-038"/>
    <x v="20"/>
    <n v="4"/>
    <n v="5490"/>
    <x v="53"/>
    <n v="16052.76"/>
    <x v="0"/>
    <s v="Chennai"/>
    <x v="3"/>
    <m/>
    <x v="1"/>
    <n v="31"/>
    <x v="4"/>
    <s v="Nov-24"/>
    <n v="2549"/>
    <n v="0.53570127504553733"/>
  </r>
  <r>
    <s v="ORD-00591"/>
    <x v="116"/>
    <s v="CUST-0045"/>
    <s v="PROD-008"/>
    <x v="22"/>
    <n v="9"/>
    <n v="2660"/>
    <x v="243"/>
    <n v="18697.14"/>
    <x v="0"/>
    <s v="Chennai"/>
    <x v="4"/>
    <m/>
    <x v="0"/>
    <n v="39"/>
    <x v="2"/>
    <s v="Apr-24"/>
    <n v="1259"/>
    <n v="0.52669172932330832"/>
  </r>
  <r>
    <s v="ORD-00592"/>
    <x v="160"/>
    <s v="CUST-0028"/>
    <s v="PROD-056"/>
    <x v="8"/>
    <n v="9"/>
    <n v="6940"/>
    <x v="251"/>
    <n v="57463.199999999997"/>
    <x v="0"/>
    <s v="Bengaluru"/>
    <x v="1"/>
    <m/>
    <x v="1"/>
    <n v="59"/>
    <x v="0"/>
    <m/>
    <m/>
    <m/>
  </r>
  <r>
    <s v="ORD-00593"/>
    <x v="73"/>
    <s v="CUST-0241"/>
    <s v="PROD-004"/>
    <x v="3"/>
    <n v="1"/>
    <n v="3870"/>
    <x v="109"/>
    <n v="2995.38"/>
    <x v="0"/>
    <s v="Pune"/>
    <x v="4"/>
    <m/>
    <x v="2"/>
    <n v="47"/>
    <x v="0"/>
    <m/>
    <m/>
    <m/>
  </r>
  <r>
    <s v="ORD-00594"/>
    <x v="240"/>
    <s v="CUST-0278"/>
    <s v="PROD-035"/>
    <x v="4"/>
    <n v="3"/>
    <n v="1090"/>
    <x v="226"/>
    <n v="2351.13"/>
    <x v="0"/>
    <s v="Hyderabad"/>
    <x v="3"/>
    <m/>
    <x v="1"/>
    <n v="41"/>
    <x v="0"/>
    <m/>
    <m/>
    <m/>
  </r>
  <r>
    <s v="ORD-00595"/>
    <x v="111"/>
    <s v="CUST-0009"/>
    <s v="PROD-002"/>
    <x v="19"/>
    <n v="2"/>
    <n v="2600"/>
    <x v="174"/>
    <n v="4908.8"/>
    <x v="0"/>
    <s v="Mumbai"/>
    <x v="4"/>
    <m/>
    <x v="1"/>
    <n v="61"/>
    <x v="0"/>
    <m/>
    <m/>
    <m/>
  </r>
  <r>
    <s v="ORD-00596"/>
    <x v="54"/>
    <s v="CUST-0217"/>
    <s v="PROD-057"/>
    <x v="16"/>
    <n v="4"/>
    <n v="960"/>
    <x v="11"/>
    <n v="3006.72"/>
    <x v="0"/>
    <s v="Pune"/>
    <x v="1"/>
    <m/>
    <x v="0"/>
    <n v="59"/>
    <x v="0"/>
    <m/>
    <m/>
    <m/>
  </r>
  <r>
    <s v="ORD-00597"/>
    <x v="80"/>
    <s v="CUST-0289"/>
    <s v="PROD-032"/>
    <x v="17"/>
    <n v="6"/>
    <n v="370"/>
    <x v="259"/>
    <n v="1720.5"/>
    <x v="0"/>
    <s v="Mumbai"/>
    <x v="3"/>
    <m/>
    <x v="1"/>
    <n v="54"/>
    <x v="0"/>
    <m/>
    <m/>
    <m/>
  </r>
  <r>
    <s v="ORD-00598"/>
    <x v="51"/>
    <s v="CUST-0176"/>
    <s v="PROD-034"/>
    <x v="3"/>
    <n v="5"/>
    <n v="5080"/>
    <x v="165"/>
    <n v="19354.8"/>
    <x v="0"/>
    <s v="Bengaluru"/>
    <x v="3"/>
    <m/>
    <x v="0"/>
    <n v="34"/>
    <x v="2"/>
    <s v="Aug-24"/>
    <n v="2459"/>
    <n v="0.51594488188976373"/>
  </r>
  <r>
    <s v="ORD-00599"/>
    <x v="67"/>
    <s v="CUST-0026"/>
    <s v="PROD-041"/>
    <x v="11"/>
    <n v="5"/>
    <n v="1540"/>
    <x v="24"/>
    <n v="7230.3"/>
    <x v="0"/>
    <s v="Pune"/>
    <x v="5"/>
    <m/>
    <x v="1"/>
    <n v="62"/>
    <x v="0"/>
    <m/>
    <m/>
    <m/>
  </r>
  <r>
    <s v="ORD-00600"/>
    <x v="305"/>
    <s v="CUST-0213"/>
    <s v="PROD-024"/>
    <x v="15"/>
    <n v="7"/>
    <n v="2270"/>
    <x v="160"/>
    <n v="15826.44"/>
    <x v="0"/>
    <s v="Mumbai"/>
    <x v="2"/>
    <m/>
    <x v="1"/>
    <n v="37"/>
    <x v="1"/>
    <s v="Mar-24"/>
    <n v="1203"/>
    <n v="0.47004405286343615"/>
  </r>
  <r>
    <s v="ORD-00601"/>
    <x v="236"/>
    <s v="CUST-0190"/>
    <s v="PROD-057"/>
    <x v="15"/>
    <n v="2"/>
    <n v="960"/>
    <x v="158"/>
    <n v="1848.96"/>
    <x v="0"/>
    <s v="Hyderabad"/>
    <x v="1"/>
    <m/>
    <x v="1"/>
    <n v="52"/>
    <x v="0"/>
    <m/>
    <m/>
    <m/>
  </r>
  <r>
    <s v="ORD-00602"/>
    <x v="306"/>
    <s v="CUST-0150"/>
    <s v="PROD-007"/>
    <x v="28"/>
    <n v="6"/>
    <n v="1430"/>
    <x v="78"/>
    <n v="8408.4"/>
    <x v="1"/>
    <s v="Pune"/>
    <x v="4"/>
    <m/>
    <x v="0"/>
    <n v="53"/>
    <x v="0"/>
    <m/>
    <m/>
    <m/>
  </r>
  <r>
    <s v="ORD-00603"/>
    <x v="276"/>
    <s v="CUST-0129"/>
    <s v="PROD-047"/>
    <x v="3"/>
    <n v="10"/>
    <n v="3450"/>
    <x v="61"/>
    <n v="27910.5"/>
    <x v="0"/>
    <s v="Hyderabad"/>
    <x v="5"/>
    <m/>
    <x v="1"/>
    <n v="29"/>
    <x v="2"/>
    <s v="Apr-24"/>
    <n v="2420"/>
    <n v="0.29855072463768118"/>
  </r>
  <r>
    <s v="ORD-00604"/>
    <x v="249"/>
    <s v="CUST-0080"/>
    <s v="PROD-009"/>
    <x v="17"/>
    <n v="8"/>
    <n v="1220"/>
    <x v="97"/>
    <n v="8110.56"/>
    <x v="0"/>
    <s v="Pune"/>
    <x v="4"/>
    <m/>
    <x v="0"/>
    <n v="30"/>
    <x v="1"/>
    <s v="Oct-24"/>
    <n v="517"/>
    <n v="0.57622950819672136"/>
  </r>
  <r>
    <s v="ORD-00605"/>
    <x v="96"/>
    <s v="CUST-0034"/>
    <s v="PROD-021"/>
    <x v="16"/>
    <n v="9"/>
    <n v="2760"/>
    <x v="97"/>
    <n v="20642.04"/>
    <x v="0"/>
    <s v="Delhi"/>
    <x v="2"/>
    <m/>
    <x v="1"/>
    <n v="47"/>
    <x v="0"/>
    <m/>
    <m/>
    <m/>
  </r>
  <r>
    <s v="ORD-00606"/>
    <x v="106"/>
    <s v="CUST-0179"/>
    <s v="PROD-043"/>
    <x v="21"/>
    <n v="6"/>
    <n v="3350"/>
    <x v="228"/>
    <n v="17728.2"/>
    <x v="1"/>
    <s v="Mumbai"/>
    <x v="5"/>
    <m/>
    <x v="0"/>
    <n v="54"/>
    <x v="0"/>
    <m/>
    <m/>
    <m/>
  </r>
  <r>
    <s v="ORD-00607"/>
    <x v="23"/>
    <s v="CUST-0176"/>
    <s v="PROD-048"/>
    <x v="22"/>
    <n v="6"/>
    <n v="5100"/>
    <x v="105"/>
    <n v="26560.799999999999"/>
    <x v="0"/>
    <s v="Bengaluru"/>
    <x v="5"/>
    <m/>
    <x v="0"/>
    <n v="34"/>
    <x v="3"/>
    <s v="Oct-24"/>
    <n v="2237"/>
    <n v="0.56137254901960787"/>
  </r>
  <r>
    <s v="ORD-00608"/>
    <x v="267"/>
    <s v="CUST-0144"/>
    <s v="PROD-010"/>
    <x v="28"/>
    <n v="6"/>
    <n v="2640"/>
    <x v="22"/>
    <n v="11689.92"/>
    <x v="0"/>
    <s v="Chennai"/>
    <x v="4"/>
    <m/>
    <x v="1"/>
    <n v="49"/>
    <x v="0"/>
    <m/>
    <m/>
    <m/>
  </r>
  <r>
    <s v="ORD-00609"/>
    <x v="111"/>
    <s v="CUST-0218"/>
    <s v="PROD-028"/>
    <x v="29"/>
    <n v="1"/>
    <n v="3660"/>
    <x v="214"/>
    <n v="2938.98"/>
    <x v="0"/>
    <s v="Mumbai"/>
    <x v="2"/>
    <m/>
    <x v="1"/>
    <n v="39"/>
    <x v="2"/>
    <s v="Jul-24"/>
    <n v="2214"/>
    <n v="0.39508196721311473"/>
  </r>
  <r>
    <s v="ORD-00610"/>
    <x v="290"/>
    <s v="CUST-0249"/>
    <s v="PROD-032"/>
    <x v="28"/>
    <n v="5"/>
    <n v="370"/>
    <x v="11"/>
    <n v="1448.55"/>
    <x v="0"/>
    <s v="Mumbai"/>
    <x v="3"/>
    <m/>
    <x v="1"/>
    <n v="44"/>
    <x v="0"/>
    <m/>
    <m/>
    <m/>
  </r>
  <r>
    <s v="ORD-00611"/>
    <x v="260"/>
    <s v="CUST-0092"/>
    <s v="PROD-016"/>
    <x v="5"/>
    <n v="5"/>
    <n v="620"/>
    <x v="15"/>
    <n v="2783.8"/>
    <x v="0"/>
    <s v="Bengaluru"/>
    <x v="0"/>
    <m/>
    <x v="0"/>
    <n v="28"/>
    <x v="2"/>
    <s v="Jun-24"/>
    <n v="396"/>
    <n v="0.36129032258064514"/>
  </r>
  <r>
    <s v="ORD-00612"/>
    <x v="40"/>
    <s v="CUST-0245"/>
    <s v="PROD-053"/>
    <x v="26"/>
    <n v="8"/>
    <n v="470"/>
    <x v="7"/>
    <n v="3669.76"/>
    <x v="0"/>
    <s v="Hyderabad"/>
    <x v="1"/>
    <m/>
    <x v="1"/>
    <n v="65"/>
    <x v="0"/>
    <m/>
    <m/>
    <m/>
  </r>
  <r>
    <s v="ORD-00613"/>
    <x v="294"/>
    <s v="CUST-0134"/>
    <s v="PROD-042"/>
    <x v="1"/>
    <n v="3"/>
    <n v="2290"/>
    <x v="95"/>
    <n v="5441.04"/>
    <x v="0"/>
    <s v="Delhi"/>
    <x v="5"/>
    <m/>
    <x v="1"/>
    <n v="40"/>
    <x v="3"/>
    <s v="Apr-24"/>
    <n v="1219"/>
    <n v="0.46768558951965067"/>
  </r>
  <r>
    <s v="ORD-00614"/>
    <x v="92"/>
    <s v="CUST-0063"/>
    <s v="PROD-057"/>
    <x v="6"/>
    <n v="4"/>
    <n v="960"/>
    <x v="49"/>
    <n v="2734.08"/>
    <x v="1"/>
    <s v="Mumbai"/>
    <x v="1"/>
    <m/>
    <x v="0"/>
    <n v="53"/>
    <x v="0"/>
    <m/>
    <m/>
    <m/>
  </r>
  <r>
    <s v="ORD-00615"/>
    <x v="307"/>
    <s v="CUST-0172"/>
    <s v="PROD-028"/>
    <x v="9"/>
    <n v="5"/>
    <n v="3660"/>
    <x v="152"/>
    <n v="16122.3"/>
    <x v="1"/>
    <s v="Pune"/>
    <x v="2"/>
    <m/>
    <x v="1"/>
    <n v="65"/>
    <x v="0"/>
    <m/>
    <m/>
    <m/>
  </r>
  <r>
    <s v="ORD-00616"/>
    <x v="173"/>
    <s v="CUST-0139"/>
    <s v="PROD-003"/>
    <x v="7"/>
    <n v="5"/>
    <n v="3570"/>
    <x v="79"/>
    <n v="15636.6"/>
    <x v="0"/>
    <s v="Hyderabad"/>
    <x v="4"/>
    <m/>
    <x v="0"/>
    <n v="65"/>
    <x v="0"/>
    <m/>
    <m/>
    <m/>
  </r>
  <r>
    <s v="ORD-00617"/>
    <x v="246"/>
    <s v="CUST-0275"/>
    <s v="PROD-033"/>
    <x v="21"/>
    <n v="9"/>
    <n v="2030"/>
    <x v="140"/>
    <n v="13994.82"/>
    <x v="0"/>
    <s v="Mumbai"/>
    <x v="3"/>
    <m/>
    <x v="1"/>
    <n v="36"/>
    <x v="3"/>
    <s v="Jul-24"/>
    <n v="1143"/>
    <n v="0.43694581280788175"/>
  </r>
  <r>
    <s v="ORD-00618"/>
    <x v="60"/>
    <s v="CUST-0006"/>
    <s v="PROD-015"/>
    <x v="6"/>
    <n v="7"/>
    <n v="2720"/>
    <x v="168"/>
    <n v="16907.52"/>
    <x v="3"/>
    <s v="Pune"/>
    <x v="0"/>
    <m/>
    <x v="0"/>
    <n v="44"/>
    <x v="0"/>
    <m/>
    <m/>
    <m/>
  </r>
  <r>
    <s v="ORD-00619"/>
    <x v="180"/>
    <s v="CUST-0279"/>
    <s v="PROD-003"/>
    <x v="4"/>
    <n v="2"/>
    <n v="3570"/>
    <x v="24"/>
    <n v="6704.46"/>
    <x v="2"/>
    <s v="Mumbai"/>
    <x v="4"/>
    <m/>
    <x v="1"/>
    <n v="56"/>
    <x v="0"/>
    <m/>
    <m/>
    <m/>
  </r>
  <r>
    <s v="ORD-00620"/>
    <x v="308"/>
    <s v="CUST-0093"/>
    <s v="PROD-058"/>
    <x v="19"/>
    <n v="5"/>
    <n v="2400"/>
    <x v="111"/>
    <n v="10068"/>
    <x v="0"/>
    <s v="Pune"/>
    <x v="1"/>
    <m/>
    <x v="1"/>
    <n v="36"/>
    <x v="1"/>
    <s v="Dec-24"/>
    <n v="974"/>
    <n v="0.59416666666666662"/>
  </r>
  <r>
    <s v="ORD-00621"/>
    <x v="95"/>
    <s v="CUST-0063"/>
    <s v="PROD-024"/>
    <x v="25"/>
    <n v="4"/>
    <n v="2270"/>
    <x v="118"/>
    <n v="6583"/>
    <x v="1"/>
    <s v="Mumbai"/>
    <x v="2"/>
    <m/>
    <x v="0"/>
    <n v="53"/>
    <x v="0"/>
    <m/>
    <m/>
    <m/>
  </r>
  <r>
    <s v="ORD-00622"/>
    <x v="89"/>
    <s v="CUST-0071"/>
    <s v="PROD-030"/>
    <x v="27"/>
    <n v="1"/>
    <n v="970"/>
    <x v="39"/>
    <n v="846.81"/>
    <x v="0"/>
    <s v="Delhi"/>
    <x v="2"/>
    <m/>
    <x v="2"/>
    <n v="46"/>
    <x v="0"/>
    <m/>
    <m/>
    <m/>
  </r>
  <r>
    <s v="ORD-00623"/>
    <x v="246"/>
    <s v="CUST-0119"/>
    <s v="PROD-056"/>
    <x v="26"/>
    <n v="5"/>
    <n v="6940"/>
    <x v="183"/>
    <n v="29078.6"/>
    <x v="0"/>
    <s v="Bengaluru"/>
    <x v="1"/>
    <m/>
    <x v="0"/>
    <n v="43"/>
    <x v="0"/>
    <m/>
    <m/>
    <m/>
  </r>
  <r>
    <s v="ORD-00624"/>
    <x v="261"/>
    <s v="CUST-0035"/>
    <s v="PROD-056"/>
    <x v="18"/>
    <n v="4"/>
    <n v="6940"/>
    <x v="176"/>
    <n v="23568.240000000002"/>
    <x v="0"/>
    <s v="Hyderabad"/>
    <x v="1"/>
    <m/>
    <x v="1"/>
    <n v="53"/>
    <x v="0"/>
    <m/>
    <m/>
    <m/>
  </r>
  <r>
    <s v="ORD-00625"/>
    <x v="78"/>
    <s v="CUST-0042"/>
    <s v="PROD-054"/>
    <x v="3"/>
    <n v="1"/>
    <n v="1010"/>
    <x v="260"/>
    <n v="992.83"/>
    <x v="0"/>
    <s v="Pune"/>
    <x v="1"/>
    <m/>
    <x v="1"/>
    <n v="25"/>
    <x v="4"/>
    <s v="Oct-24"/>
    <n v="516"/>
    <n v="0.4891089108910891"/>
  </r>
  <r>
    <s v="ORD-00626"/>
    <x v="303"/>
    <s v="CUST-0033"/>
    <s v="PROD-004"/>
    <x v="0"/>
    <n v="6"/>
    <n v="3870"/>
    <x v="64"/>
    <n v="20387.16"/>
    <x v="0"/>
    <s v="Delhi"/>
    <x v="4"/>
    <m/>
    <x v="1"/>
    <n v="35"/>
    <x v="1"/>
    <s v="Oct-24"/>
    <n v="1559"/>
    <n v="0.59715762273901807"/>
  </r>
  <r>
    <s v="ORD-00627"/>
    <x v="309"/>
    <s v="CUST-0077"/>
    <s v="PROD-048"/>
    <x v="23"/>
    <n v="9"/>
    <n v="5100"/>
    <x v="33"/>
    <n v="33782.400000000001"/>
    <x v="0"/>
    <s v="Hyderabad"/>
    <x v="5"/>
    <m/>
    <x v="0"/>
    <n v="48"/>
    <x v="0"/>
    <m/>
    <m/>
    <m/>
  </r>
  <r>
    <s v="ORD-00628"/>
    <x v="310"/>
    <s v="CUST-0266"/>
    <s v="PROD-012"/>
    <x v="4"/>
    <n v="2"/>
    <n v="3160"/>
    <x v="106"/>
    <n v="5473.12"/>
    <x v="3"/>
    <s v="Pune"/>
    <x v="0"/>
    <m/>
    <x v="1"/>
    <n v="65"/>
    <x v="0"/>
    <m/>
    <m/>
    <m/>
  </r>
  <r>
    <s v="ORD-00629"/>
    <x v="211"/>
    <s v="CUST-0272"/>
    <s v="PROD-029"/>
    <x v="23"/>
    <n v="8"/>
    <n v="2210"/>
    <x v="4"/>
    <n v="13083.2"/>
    <x v="0"/>
    <s v="Mumbai"/>
    <x v="2"/>
    <m/>
    <x v="0"/>
    <n v="47"/>
    <x v="0"/>
    <m/>
    <m/>
    <m/>
  </r>
  <r>
    <s v="ORD-00630"/>
    <x v="237"/>
    <s v="CUST-0253"/>
    <s v="PROD-018"/>
    <x v="17"/>
    <n v="5"/>
    <n v="3560"/>
    <x v="224"/>
    <n v="15130"/>
    <x v="0"/>
    <s v="Delhi"/>
    <x v="0"/>
    <m/>
    <x v="0"/>
    <n v="53"/>
    <x v="0"/>
    <m/>
    <m/>
    <m/>
  </r>
  <r>
    <s v="ORD-00631"/>
    <x v="142"/>
    <s v="CUST-0252"/>
    <s v="PROD-016"/>
    <x v="9"/>
    <n v="10"/>
    <n v="620"/>
    <x v="63"/>
    <n v="5220.3999999999996"/>
    <x v="3"/>
    <s v="Bengaluru"/>
    <x v="0"/>
    <m/>
    <x v="1"/>
    <n v="27"/>
    <x v="2"/>
    <s v="Oct-24"/>
    <n v="396"/>
    <n v="0.36129032258064514"/>
  </r>
  <r>
    <s v="ORD-00632"/>
    <x v="276"/>
    <s v="CUST-0097"/>
    <s v="PROD-021"/>
    <x v="25"/>
    <n v="3"/>
    <n v="2760"/>
    <x v="69"/>
    <n v="8122.68"/>
    <x v="2"/>
    <s v="Mumbai"/>
    <x v="2"/>
    <m/>
    <x v="1"/>
    <n v="65"/>
    <x v="0"/>
    <m/>
    <m/>
    <m/>
  </r>
  <r>
    <s v="ORD-00633"/>
    <x v="287"/>
    <s v="CUST-0283"/>
    <s v="PROD-054"/>
    <x v="1"/>
    <n v="10"/>
    <n v="1010"/>
    <x v="65"/>
    <n v="7181.1"/>
    <x v="0"/>
    <s v="Delhi"/>
    <x v="1"/>
    <m/>
    <x v="0"/>
    <n v="50"/>
    <x v="0"/>
    <m/>
    <m/>
    <m/>
  </r>
  <r>
    <s v="ORD-00634"/>
    <x v="279"/>
    <s v="CUST-0064"/>
    <s v="PROD-013"/>
    <x v="25"/>
    <n v="1"/>
    <n v="3640"/>
    <x v="216"/>
    <n v="3286.92"/>
    <x v="0"/>
    <s v="Hyderabad"/>
    <x v="0"/>
    <m/>
    <x v="0"/>
    <n v="40"/>
    <x v="1"/>
    <s v="Dec-24"/>
    <n v="2611"/>
    <n v="0.28269230769230769"/>
  </r>
  <r>
    <s v="ORD-00635"/>
    <x v="135"/>
    <s v="CUST-0143"/>
    <s v="PROD-020"/>
    <x v="9"/>
    <n v="1"/>
    <n v="820"/>
    <x v="224"/>
    <n v="697"/>
    <x v="0"/>
    <s v="Chennai"/>
    <x v="0"/>
    <m/>
    <x v="0"/>
    <n v="52"/>
    <x v="0"/>
    <m/>
    <m/>
    <m/>
  </r>
  <r>
    <s v="ORD-00636"/>
    <x v="305"/>
    <s v="CUST-0265"/>
    <s v="PROD-013"/>
    <x v="23"/>
    <n v="4"/>
    <n v="3640"/>
    <x v="210"/>
    <n v="12084.8"/>
    <x v="0"/>
    <s v="Chennai"/>
    <x v="0"/>
    <m/>
    <x v="1"/>
    <n v="49"/>
    <x v="0"/>
    <m/>
    <m/>
    <m/>
  </r>
  <r>
    <s v="ORD-00637"/>
    <x v="54"/>
    <s v="CUST-0158"/>
    <s v="PROD-023"/>
    <x v="25"/>
    <n v="7"/>
    <n v="2380"/>
    <x v="47"/>
    <n v="12411.7"/>
    <x v="0"/>
    <s v="Pune"/>
    <x v="2"/>
    <m/>
    <x v="2"/>
    <n v="42"/>
    <x v="0"/>
    <m/>
    <m/>
    <m/>
  </r>
  <r>
    <s v="ORD-00638"/>
    <x v="311"/>
    <s v="CUST-0154"/>
    <s v="PROD-037"/>
    <x v="4"/>
    <n v="1"/>
    <n v="660"/>
    <x v="148"/>
    <n v="643.5"/>
    <x v="0"/>
    <s v="Pune"/>
    <x v="3"/>
    <m/>
    <x v="1"/>
    <n v="36"/>
    <x v="1"/>
    <s v="May-24"/>
    <n v="329"/>
    <n v="0.50151515151515147"/>
  </r>
  <r>
    <s v="ORD-00639"/>
    <x v="177"/>
    <s v="CUST-0057"/>
    <s v="PROD-004"/>
    <x v="16"/>
    <n v="7"/>
    <n v="3870"/>
    <x v="126"/>
    <n v="21590.73"/>
    <x v="1"/>
    <s v="Pune"/>
    <x v="4"/>
    <m/>
    <x v="1"/>
    <n v="35"/>
    <x v="1"/>
    <s v="Nov-24"/>
    <n v="1559"/>
    <n v="0.59715762273901807"/>
  </r>
  <r>
    <s v="ORD-00640"/>
    <x v="176"/>
    <s v="CUST-0088"/>
    <s v="PROD-032"/>
    <x v="29"/>
    <n v="10"/>
    <n v="370"/>
    <x v="89"/>
    <n v="3651.9"/>
    <x v="3"/>
    <s v="Chennai"/>
    <x v="3"/>
    <m/>
    <x v="1"/>
    <n v="24"/>
    <x v="3"/>
    <s v="Mar-24"/>
    <n v="288"/>
    <n v="0.22162162162162163"/>
  </r>
  <r>
    <s v="ORD-00641"/>
    <x v="13"/>
    <s v="CUST-0064"/>
    <s v="PROD-014"/>
    <x v="26"/>
    <n v="1"/>
    <n v="3620"/>
    <x v="261"/>
    <n v="3569.32"/>
    <x v="0"/>
    <s v="Hyderabad"/>
    <x v="0"/>
    <m/>
    <x v="0"/>
    <n v="40"/>
    <x v="4"/>
    <s v="Sep-24"/>
    <n v="2509"/>
    <n v="0.3069060773480663"/>
  </r>
  <r>
    <s v="ORD-00642"/>
    <x v="308"/>
    <s v="CUST-0192"/>
    <s v="PROD-008"/>
    <x v="1"/>
    <n v="10"/>
    <n v="2660"/>
    <x v="90"/>
    <n v="21226.799999999999"/>
    <x v="0"/>
    <s v="Bengaluru"/>
    <x v="4"/>
    <m/>
    <x v="1"/>
    <n v="55"/>
    <x v="0"/>
    <m/>
    <m/>
    <m/>
  </r>
  <r>
    <s v="ORD-00643"/>
    <x v="105"/>
    <s v="CUST-0175"/>
    <s v="PROD-051"/>
    <x v="15"/>
    <n v="10"/>
    <n v="3450"/>
    <x v="102"/>
    <n v="25840.5"/>
    <x v="0"/>
    <s v="Delhi"/>
    <x v="1"/>
    <m/>
    <x v="2"/>
    <n v="55"/>
    <x v="0"/>
    <m/>
    <m/>
    <m/>
  </r>
  <r>
    <s v="ORD-00644"/>
    <x v="98"/>
    <s v="CUST-0083"/>
    <s v="PROD-025"/>
    <x v="22"/>
    <n v="3"/>
    <n v="4060"/>
    <x v="148"/>
    <n v="11875.5"/>
    <x v="3"/>
    <s v="Bengaluru"/>
    <x v="2"/>
    <m/>
    <x v="2"/>
    <n v="31"/>
    <x v="4"/>
    <s v="Nov-24"/>
    <n v="2911"/>
    <n v="0.28300492610837441"/>
  </r>
  <r>
    <s v="ORD-00645"/>
    <x v="137"/>
    <s v="CUST-0142"/>
    <s v="PROD-057"/>
    <x v="13"/>
    <n v="3"/>
    <n v="960"/>
    <x v="136"/>
    <n v="2689.92"/>
    <x v="2"/>
    <s v="Chennai"/>
    <x v="1"/>
    <m/>
    <x v="2"/>
    <n v="55"/>
    <x v="0"/>
    <m/>
    <m/>
    <m/>
  </r>
  <r>
    <s v="ORD-00646"/>
    <x v="196"/>
    <s v="CUST-0185"/>
    <s v="PROD-008"/>
    <x v="4"/>
    <n v="4"/>
    <n v="2660"/>
    <x v="97"/>
    <n v="8841.84"/>
    <x v="0"/>
    <s v="Hyderabad"/>
    <x v="4"/>
    <m/>
    <x v="0"/>
    <n v="43"/>
    <x v="0"/>
    <m/>
    <m/>
    <m/>
  </r>
  <r>
    <s v="ORD-00647"/>
    <x v="264"/>
    <s v="CUST-0284"/>
    <s v="PROD-024"/>
    <x v="26"/>
    <n v="6"/>
    <n v="2270"/>
    <x v="27"/>
    <n v="11345.46"/>
    <x v="0"/>
    <s v="Hyderabad"/>
    <x v="2"/>
    <m/>
    <x v="0"/>
    <n v="65"/>
    <x v="0"/>
    <m/>
    <m/>
    <m/>
  </r>
  <r>
    <s v="ORD-00648"/>
    <x v="0"/>
    <s v="CUST-0092"/>
    <s v="PROD-027"/>
    <x v="5"/>
    <n v="5"/>
    <n v="3780"/>
    <x v="145"/>
    <n v="14836.5"/>
    <x v="0"/>
    <s v="Bengaluru"/>
    <x v="2"/>
    <m/>
    <x v="0"/>
    <n v="28"/>
    <x v="3"/>
    <s v="Mar-24"/>
    <n v="2436"/>
    <n v="0.35555555555555557"/>
  </r>
  <r>
    <s v="ORD-00649"/>
    <x v="265"/>
    <s v="CUST-0091"/>
    <s v="PROD-037"/>
    <x v="7"/>
    <n v="10"/>
    <n v="660"/>
    <x v="121"/>
    <n v="5359.2"/>
    <x v="0"/>
    <s v="Delhi"/>
    <x v="3"/>
    <m/>
    <x v="1"/>
    <n v="55"/>
    <x v="0"/>
    <m/>
    <m/>
    <m/>
  </r>
  <r>
    <s v="ORD-00650"/>
    <x v="3"/>
    <s v="CUST-0155"/>
    <s v="PROD-031"/>
    <x v="6"/>
    <n v="10"/>
    <n v="3730"/>
    <x v="176"/>
    <n v="31667.7"/>
    <x v="0"/>
    <s v="Pune"/>
    <x v="3"/>
    <m/>
    <x v="2"/>
    <n v="40"/>
    <x v="3"/>
    <s v="Aug-24"/>
    <n v="2135"/>
    <n v="0.42761394101876676"/>
  </r>
  <r>
    <s v="ORD-00651"/>
    <x v="115"/>
    <s v="CUST-0280"/>
    <s v="PROD-025"/>
    <x v="13"/>
    <n v="6"/>
    <n v="4060"/>
    <x v="138"/>
    <n v="19463.64"/>
    <x v="1"/>
    <s v="Delhi"/>
    <x v="2"/>
    <m/>
    <x v="0"/>
    <n v="27"/>
    <x v="2"/>
    <s v="May-24"/>
    <n v="2911"/>
    <n v="0.28300492610837441"/>
  </r>
  <r>
    <s v="ORD-00652"/>
    <x v="283"/>
    <s v="CUST-0127"/>
    <s v="PROD-024"/>
    <x v="11"/>
    <n v="2"/>
    <n v="2270"/>
    <x v="207"/>
    <n v="3736.42"/>
    <x v="0"/>
    <s v="Bengaluru"/>
    <x v="2"/>
    <m/>
    <x v="0"/>
    <n v="36"/>
    <x v="3"/>
    <s v="Sep-24"/>
    <n v="1203"/>
    <n v="0.47004405286343615"/>
  </r>
  <r>
    <s v="ORD-00653"/>
    <x v="294"/>
    <s v="CUST-0077"/>
    <s v="PROD-003"/>
    <x v="8"/>
    <n v="9"/>
    <n v="3570"/>
    <x v="162"/>
    <n v="22523.13"/>
    <x v="0"/>
    <s v="Hyderabad"/>
    <x v="4"/>
    <m/>
    <x v="0"/>
    <n v="48"/>
    <x v="0"/>
    <m/>
    <m/>
    <m/>
  </r>
  <r>
    <s v="ORD-00654"/>
    <x v="126"/>
    <s v="CUST-0190"/>
    <s v="PROD-029"/>
    <x v="10"/>
    <n v="7"/>
    <n v="2210"/>
    <x v="199"/>
    <n v="11602.5"/>
    <x v="0"/>
    <s v="Hyderabad"/>
    <x v="2"/>
    <m/>
    <x v="1"/>
    <n v="52"/>
    <x v="0"/>
    <m/>
    <m/>
    <m/>
  </r>
  <r>
    <s v="ORD-00655"/>
    <x v="257"/>
    <s v="CUST-0089"/>
    <s v="PROD-057"/>
    <x v="17"/>
    <n v="2"/>
    <n v="960"/>
    <x v="262"/>
    <n v="1762.56"/>
    <x v="2"/>
    <s v="Mumbai"/>
    <x v="1"/>
    <m/>
    <x v="0"/>
    <n v="43"/>
    <x v="0"/>
    <m/>
    <m/>
    <m/>
  </r>
  <r>
    <s v="ORD-00656"/>
    <x v="24"/>
    <s v="CUST-0141"/>
    <s v="PROD-059"/>
    <x v="17"/>
    <n v="9"/>
    <n v="3780"/>
    <x v="54"/>
    <n v="24358.32"/>
    <x v="1"/>
    <s v="Hyderabad"/>
    <x v="1"/>
    <m/>
    <x v="2"/>
    <n v="22"/>
    <x v="2"/>
    <s v="Mar-24"/>
    <n v="1860"/>
    <n v="0.50793650793650791"/>
  </r>
  <r>
    <s v="ORD-00657"/>
    <x v="248"/>
    <s v="CUST-0123"/>
    <s v="PROD-048"/>
    <x v="2"/>
    <n v="2"/>
    <n v="5100"/>
    <x v="248"/>
    <n v="9322.7999999999993"/>
    <x v="0"/>
    <s v="Chennai"/>
    <x v="5"/>
    <m/>
    <x v="2"/>
    <n v="44"/>
    <x v="0"/>
    <m/>
    <m/>
    <m/>
  </r>
  <r>
    <s v="ORD-00658"/>
    <x v="85"/>
    <s v="CUST-0041"/>
    <s v="PROD-019"/>
    <x v="13"/>
    <n v="4"/>
    <n v="2480"/>
    <x v="254"/>
    <n v="8273.2800000000007"/>
    <x v="0"/>
    <s v="Bengaluru"/>
    <x v="0"/>
    <m/>
    <x v="0"/>
    <n v="26"/>
    <x v="4"/>
    <s v="Oct-24"/>
    <n v="1173"/>
    <n v="0.52701612903225803"/>
  </r>
  <r>
    <s v="ORD-00659"/>
    <x v="68"/>
    <s v="CUST-0257"/>
    <s v="PROD-040"/>
    <x v="26"/>
    <n v="10"/>
    <n v="1080"/>
    <x v="258"/>
    <n v="9234"/>
    <x v="0"/>
    <s v="Mumbai"/>
    <x v="3"/>
    <m/>
    <x v="2"/>
    <n v="46"/>
    <x v="0"/>
    <m/>
    <m/>
    <m/>
  </r>
  <r>
    <s v="ORD-00660"/>
    <x v="312"/>
    <s v="CUST-0134"/>
    <s v="PROD-002"/>
    <x v="20"/>
    <n v="7"/>
    <n v="2600"/>
    <x v="72"/>
    <n v="14378"/>
    <x v="0"/>
    <s v="Delhi"/>
    <x v="4"/>
    <m/>
    <x v="1"/>
    <n v="40"/>
    <x v="3"/>
    <s v="May-24"/>
    <n v="1052"/>
    <n v="0.5953846153846154"/>
  </r>
  <r>
    <s v="ORD-00661"/>
    <x v="81"/>
    <s v="CUST-0180"/>
    <s v="PROD-002"/>
    <x v="15"/>
    <n v="7"/>
    <n v="2600"/>
    <x v="51"/>
    <n v="16980.599999999999"/>
    <x v="1"/>
    <s v="Chennai"/>
    <x v="4"/>
    <m/>
    <x v="1"/>
    <n v="36"/>
    <x v="2"/>
    <s v="Mar-24"/>
    <n v="1052"/>
    <n v="0.5953846153846154"/>
  </r>
  <r>
    <s v="ORD-00662"/>
    <x v="210"/>
    <s v="CUST-0283"/>
    <s v="PROD-020"/>
    <x v="12"/>
    <n v="8"/>
    <n v="820"/>
    <x v="263"/>
    <n v="5392.32"/>
    <x v="1"/>
    <s v="Delhi"/>
    <x v="0"/>
    <m/>
    <x v="0"/>
    <n v="50"/>
    <x v="0"/>
    <m/>
    <m/>
    <m/>
  </r>
  <r>
    <s v="ORD-00663"/>
    <x v="147"/>
    <s v="CUST-0047"/>
    <s v="PROD-057"/>
    <x v="18"/>
    <n v="3"/>
    <n v="960"/>
    <x v="263"/>
    <n v="2367.36"/>
    <x v="0"/>
    <s v="Pune"/>
    <x v="1"/>
    <m/>
    <x v="1"/>
    <n v="49"/>
    <x v="0"/>
    <m/>
    <m/>
    <m/>
  </r>
  <r>
    <s v="ORD-00664"/>
    <x v="114"/>
    <s v="CUST-0175"/>
    <s v="PROD-041"/>
    <x v="12"/>
    <n v="2"/>
    <n v="1540"/>
    <x v="200"/>
    <n v="3024.56"/>
    <x v="2"/>
    <s v="Delhi"/>
    <x v="5"/>
    <m/>
    <x v="2"/>
    <n v="55"/>
    <x v="0"/>
    <m/>
    <m/>
    <m/>
  </r>
  <r>
    <s v="ORD-00665"/>
    <x v="81"/>
    <s v="CUST-0227"/>
    <s v="PROD-056"/>
    <x v="14"/>
    <n v="5"/>
    <n v="6940"/>
    <x v="209"/>
    <n v="33693.699999999997"/>
    <x v="0"/>
    <s v="Bengaluru"/>
    <x v="1"/>
    <m/>
    <x v="0"/>
    <n v="44"/>
    <x v="0"/>
    <m/>
    <m/>
    <m/>
  </r>
  <r>
    <s v="ORD-00666"/>
    <x v="101"/>
    <s v="CUST-0287"/>
    <s v="PROD-041"/>
    <x v="22"/>
    <n v="5"/>
    <n v="1540"/>
    <x v="49"/>
    <n v="5482.4"/>
    <x v="0"/>
    <s v="Chennai"/>
    <x v="5"/>
    <m/>
    <x v="0"/>
    <n v="53"/>
    <x v="0"/>
    <m/>
    <m/>
    <m/>
  </r>
  <r>
    <s v="ORD-00667"/>
    <x v="179"/>
    <s v="CUST-0004"/>
    <s v="PROD-031"/>
    <x v="27"/>
    <n v="8"/>
    <n v="3730"/>
    <x v="35"/>
    <n v="23543.759999999998"/>
    <x v="0"/>
    <s v="Delhi"/>
    <x v="3"/>
    <m/>
    <x v="1"/>
    <n v="53"/>
    <x v="0"/>
    <m/>
    <m/>
    <m/>
  </r>
  <r>
    <s v="ORD-00668"/>
    <x v="208"/>
    <s v="CUST-0234"/>
    <s v="PROD-021"/>
    <x v="12"/>
    <n v="7"/>
    <n v="2760"/>
    <x v="9"/>
    <n v="19088.16"/>
    <x v="2"/>
    <s v="Bengaluru"/>
    <x v="2"/>
    <m/>
    <x v="1"/>
    <n v="34"/>
    <x v="4"/>
    <s v="Feb-24"/>
    <n v="1435"/>
    <n v="0.48007246376811596"/>
  </r>
  <r>
    <s v="ORD-00669"/>
    <x v="313"/>
    <s v="CUST-0255"/>
    <s v="PROD-006"/>
    <x v="16"/>
    <n v="3"/>
    <n v="3970"/>
    <x v="31"/>
    <n v="9730.4699999999993"/>
    <x v="0"/>
    <s v="Chennai"/>
    <x v="4"/>
    <m/>
    <x v="2"/>
    <n v="51"/>
    <x v="0"/>
    <m/>
    <m/>
    <m/>
  </r>
  <r>
    <s v="ORD-00670"/>
    <x v="274"/>
    <s v="CUST-0092"/>
    <s v="PROD-027"/>
    <x v="12"/>
    <n v="4"/>
    <n v="3780"/>
    <x v="21"/>
    <n v="11400.48"/>
    <x v="0"/>
    <s v="Bengaluru"/>
    <x v="2"/>
    <m/>
    <x v="0"/>
    <n v="28"/>
    <x v="3"/>
    <s v="May-24"/>
    <n v="2436"/>
    <n v="0.35555555555555557"/>
  </r>
  <r>
    <s v="ORD-00671"/>
    <x v="146"/>
    <s v="CUST-0037"/>
    <s v="PROD-015"/>
    <x v="4"/>
    <n v="10"/>
    <n v="2720"/>
    <x v="38"/>
    <n v="23718.400000000001"/>
    <x v="0"/>
    <s v="Bengaluru"/>
    <x v="0"/>
    <m/>
    <x v="1"/>
    <n v="52"/>
    <x v="0"/>
    <m/>
    <m/>
    <m/>
  </r>
  <r>
    <s v="ORD-00672"/>
    <x v="2"/>
    <s v="CUST-0208"/>
    <s v="PROD-006"/>
    <x v="21"/>
    <n v="5"/>
    <n v="3970"/>
    <x v="30"/>
    <n v="18678.849999999999"/>
    <x v="0"/>
    <s v="Mumbai"/>
    <x v="4"/>
    <m/>
    <x v="1"/>
    <n v="49"/>
    <x v="0"/>
    <m/>
    <m/>
    <m/>
  </r>
  <r>
    <s v="ORD-00673"/>
    <x v="131"/>
    <s v="CUST-0008"/>
    <s v="PROD-020"/>
    <x v="23"/>
    <n v="3"/>
    <n v="820"/>
    <x v="202"/>
    <n v="1982.76"/>
    <x v="0"/>
    <s v="Pune"/>
    <x v="0"/>
    <m/>
    <x v="0"/>
    <n v="39"/>
    <x v="3"/>
    <s v="Mar-24"/>
    <n v="391"/>
    <n v="0.52317073170731709"/>
  </r>
  <r>
    <s v="ORD-00674"/>
    <x v="314"/>
    <s v="CUST-0050"/>
    <s v="PROD-016"/>
    <x v="9"/>
    <n v="7"/>
    <n v="620"/>
    <x v="48"/>
    <n v="3910.34"/>
    <x v="0"/>
    <s v="Mumbai"/>
    <x v="0"/>
    <m/>
    <x v="1"/>
    <n v="37"/>
    <x v="4"/>
    <s v="Nov-24"/>
    <n v="396"/>
    <n v="0.36129032258064514"/>
  </r>
  <r>
    <s v="ORD-00675"/>
    <x v="125"/>
    <s v="CUST-0166"/>
    <s v="PROD-042"/>
    <x v="28"/>
    <n v="8"/>
    <n v="2290"/>
    <x v="31"/>
    <n v="14967.44"/>
    <x v="0"/>
    <s v="Hyderabad"/>
    <x v="5"/>
    <m/>
    <x v="1"/>
    <n v="31"/>
    <x v="4"/>
    <s v="Jun-24"/>
    <n v="1219"/>
    <n v="0.46768558951965067"/>
  </r>
  <r>
    <s v="ORD-00676"/>
    <x v="234"/>
    <s v="CUST-0271"/>
    <s v="PROD-030"/>
    <x v="5"/>
    <n v="3"/>
    <n v="970"/>
    <x v="84"/>
    <n v="2374.56"/>
    <x v="0"/>
    <s v="Bengaluru"/>
    <x v="2"/>
    <m/>
    <x v="2"/>
    <n v="41"/>
    <x v="0"/>
    <m/>
    <m/>
    <m/>
  </r>
  <r>
    <s v="ORD-00677"/>
    <x v="140"/>
    <s v="CUST-0034"/>
    <s v="PROD-032"/>
    <x v="2"/>
    <n v="2"/>
    <n v="370"/>
    <x v="193"/>
    <n v="674.14"/>
    <x v="0"/>
    <s v="Delhi"/>
    <x v="3"/>
    <m/>
    <x v="1"/>
    <n v="47"/>
    <x v="0"/>
    <m/>
    <m/>
    <m/>
  </r>
  <r>
    <s v="ORD-00678"/>
    <x v="215"/>
    <s v="CUST-0016"/>
    <s v="PROD-007"/>
    <x v="0"/>
    <n v="1"/>
    <n v="1430"/>
    <x v="30"/>
    <n v="1345.63"/>
    <x v="2"/>
    <s v="Delhi"/>
    <x v="4"/>
    <m/>
    <x v="0"/>
    <n v="26"/>
    <x v="4"/>
    <s v="May-24"/>
    <n v="861"/>
    <n v="0.39790209790209791"/>
  </r>
  <r>
    <s v="ORD-00679"/>
    <x v="315"/>
    <s v="CUST-0039"/>
    <s v="PROD-058"/>
    <x v="14"/>
    <n v="2"/>
    <n v="2400"/>
    <x v="196"/>
    <n v="3403.2"/>
    <x v="0"/>
    <s v="Bengaluru"/>
    <x v="1"/>
    <m/>
    <x v="1"/>
    <n v="37"/>
    <x v="1"/>
    <s v="Dec-24"/>
    <n v="974"/>
    <n v="0.59416666666666662"/>
  </r>
  <r>
    <s v="ORD-00680"/>
    <x v="186"/>
    <s v="CUST-0253"/>
    <s v="PROD-007"/>
    <x v="23"/>
    <n v="9"/>
    <n v="1430"/>
    <x v="242"/>
    <n v="12097.8"/>
    <x v="0"/>
    <s v="Delhi"/>
    <x v="4"/>
    <m/>
    <x v="0"/>
    <n v="53"/>
    <x v="0"/>
    <m/>
    <m/>
    <m/>
  </r>
  <r>
    <s v="ORD-00681"/>
    <x v="256"/>
    <s v="CUST-0295"/>
    <s v="PROD-015"/>
    <x v="0"/>
    <n v="8"/>
    <n v="2720"/>
    <x v="235"/>
    <n v="16167.68"/>
    <x v="0"/>
    <s v="Delhi"/>
    <x v="0"/>
    <m/>
    <x v="0"/>
    <n v="48"/>
    <x v="0"/>
    <m/>
    <m/>
    <m/>
  </r>
  <r>
    <s v="ORD-00682"/>
    <x v="160"/>
    <s v="CUST-0138"/>
    <s v="PROD-056"/>
    <x v="28"/>
    <n v="6"/>
    <n v="6940"/>
    <x v="235"/>
    <n v="30938.52"/>
    <x v="0"/>
    <s v="Chennai"/>
    <x v="1"/>
    <m/>
    <x v="1"/>
    <n v="24"/>
    <x v="1"/>
    <s v="Aug-24"/>
    <n v="2827"/>
    <n v="0.5926512968299712"/>
  </r>
  <r>
    <s v="ORD-00683"/>
    <x v="22"/>
    <s v="CUST-0002"/>
    <s v="PROD-014"/>
    <x v="0"/>
    <n v="3"/>
    <n v="3620"/>
    <x v="91"/>
    <n v="7634.58"/>
    <x v="0"/>
    <s v="Pune"/>
    <x v="0"/>
    <m/>
    <x v="2"/>
    <n v="42"/>
    <x v="0"/>
    <m/>
    <m/>
    <m/>
  </r>
  <r>
    <s v="ORD-00684"/>
    <x v="70"/>
    <s v="CUST-0287"/>
    <s v="PROD-010"/>
    <x v="5"/>
    <n v="8"/>
    <n v="2640"/>
    <x v="42"/>
    <n v="15966.72"/>
    <x v="0"/>
    <s v="Chennai"/>
    <x v="4"/>
    <m/>
    <x v="0"/>
    <n v="53"/>
    <x v="0"/>
    <m/>
    <m/>
    <m/>
  </r>
  <r>
    <s v="ORD-00685"/>
    <x v="134"/>
    <s v="CUST-0279"/>
    <s v="PROD-038"/>
    <x v="3"/>
    <n v="3"/>
    <n v="5490"/>
    <x v="92"/>
    <n v="14246.55"/>
    <x v="0"/>
    <s v="Mumbai"/>
    <x v="3"/>
    <m/>
    <x v="1"/>
    <n v="56"/>
    <x v="0"/>
    <m/>
    <m/>
    <m/>
  </r>
  <r>
    <s v="ORD-00686"/>
    <x v="3"/>
    <s v="CUST-0008"/>
    <s v="PROD-034"/>
    <x v="21"/>
    <n v="3"/>
    <n v="5080"/>
    <x v="203"/>
    <n v="13822.68"/>
    <x v="0"/>
    <s v="Pune"/>
    <x v="3"/>
    <m/>
    <x v="0"/>
    <n v="39"/>
    <x v="1"/>
    <s v="Feb-24"/>
    <n v="2459"/>
    <n v="0.51594488188976373"/>
  </r>
  <r>
    <s v="ORD-00687"/>
    <x v="50"/>
    <s v="CUST-0092"/>
    <s v="PROD-042"/>
    <x v="14"/>
    <n v="4"/>
    <n v="2290"/>
    <x v="42"/>
    <n v="6924.96"/>
    <x v="0"/>
    <s v="Bengaluru"/>
    <x v="5"/>
    <m/>
    <x v="0"/>
    <n v="28"/>
    <x v="3"/>
    <s v="May-24"/>
    <n v="1219"/>
    <n v="0.46768558951965067"/>
  </r>
  <r>
    <s v="ORD-00688"/>
    <x v="113"/>
    <s v="CUST-0106"/>
    <s v="PROD-033"/>
    <x v="23"/>
    <n v="10"/>
    <n v="2030"/>
    <x v="264"/>
    <n v="17539.2"/>
    <x v="1"/>
    <s v="Pune"/>
    <x v="3"/>
    <m/>
    <x v="1"/>
    <n v="22"/>
    <x v="2"/>
    <s v="Aug-24"/>
    <n v="1143"/>
    <n v="0.43694581280788175"/>
  </r>
  <r>
    <s v="ORD-00689"/>
    <x v="84"/>
    <s v="CUST-0010"/>
    <s v="PROD-007"/>
    <x v="27"/>
    <n v="10"/>
    <n v="1430"/>
    <x v="111"/>
    <n v="11997.7"/>
    <x v="2"/>
    <s v="Mumbai"/>
    <x v="4"/>
    <m/>
    <x v="0"/>
    <n v="61"/>
    <x v="0"/>
    <m/>
    <m/>
    <m/>
  </r>
  <r>
    <s v="ORD-00690"/>
    <x v="298"/>
    <s v="CUST-0179"/>
    <s v="PROD-027"/>
    <x v="18"/>
    <n v="1"/>
    <n v="3780"/>
    <x v="82"/>
    <n v="2921.94"/>
    <x v="0"/>
    <s v="Mumbai"/>
    <x v="2"/>
    <m/>
    <x v="0"/>
    <n v="54"/>
    <x v="0"/>
    <m/>
    <m/>
    <m/>
  </r>
  <r>
    <s v="ORD-00691"/>
    <x v="68"/>
    <s v="CUST-0216"/>
    <s v="PROD-012"/>
    <x v="13"/>
    <n v="10"/>
    <n v="3160"/>
    <x v="106"/>
    <n v="27365.599999999999"/>
    <x v="0"/>
    <s v="Mumbai"/>
    <x v="0"/>
    <m/>
    <x v="1"/>
    <n v="50"/>
    <x v="0"/>
    <m/>
    <m/>
    <m/>
  </r>
  <r>
    <s v="ORD-00692"/>
    <x v="124"/>
    <s v="CUST-0172"/>
    <s v="PROD-007"/>
    <x v="11"/>
    <n v="2"/>
    <n v="1430"/>
    <x v="241"/>
    <n v="2648.36"/>
    <x v="0"/>
    <s v="Pune"/>
    <x v="4"/>
    <m/>
    <x v="1"/>
    <n v="65"/>
    <x v="0"/>
    <m/>
    <m/>
    <m/>
  </r>
  <r>
    <s v="ORD-00693"/>
    <x v="93"/>
    <s v="CUST-0152"/>
    <s v="PROD-012"/>
    <x v="3"/>
    <n v="5"/>
    <n v="3160"/>
    <x v="186"/>
    <n v="15231.2"/>
    <x v="1"/>
    <s v="Bengaluru"/>
    <x v="0"/>
    <m/>
    <x v="0"/>
    <n v="64"/>
    <x v="0"/>
    <m/>
    <m/>
    <m/>
  </r>
  <r>
    <s v="ORD-00694"/>
    <x v="126"/>
    <s v="CUST-0154"/>
    <s v="PROD-042"/>
    <x v="10"/>
    <n v="2"/>
    <n v="2290"/>
    <x v="154"/>
    <n v="3288.44"/>
    <x v="0"/>
    <s v="Pune"/>
    <x v="5"/>
    <m/>
    <x v="1"/>
    <n v="36"/>
    <x v="1"/>
    <s v="Dec-24"/>
    <n v="1219"/>
    <n v="0.46768558951965067"/>
  </r>
  <r>
    <s v="ORD-00695"/>
    <x v="250"/>
    <s v="CUST-0001"/>
    <s v="PROD-011"/>
    <x v="15"/>
    <n v="5"/>
    <n v="3450"/>
    <x v="128"/>
    <n v="14127.75"/>
    <x v="2"/>
    <s v="Pune"/>
    <x v="0"/>
    <m/>
    <x v="1"/>
    <n v="36"/>
    <x v="1"/>
    <s v="Aug-24"/>
    <n v="1748"/>
    <n v="0.49333333333333335"/>
  </r>
  <r>
    <s v="ORD-00696"/>
    <x v="96"/>
    <s v="CUST-0069"/>
    <s v="PROD-018"/>
    <x v="19"/>
    <n v="1"/>
    <n v="3560"/>
    <x v="58"/>
    <n v="2894.28"/>
    <x v="0"/>
    <s v="Chennai"/>
    <x v="0"/>
    <m/>
    <x v="1"/>
    <n v="51"/>
    <x v="0"/>
    <m/>
    <m/>
    <m/>
  </r>
  <r>
    <s v="ORD-00697"/>
    <x v="87"/>
    <s v="CUST-0200"/>
    <s v="PROD-058"/>
    <x v="18"/>
    <n v="9"/>
    <n v="2400"/>
    <x v="17"/>
    <n v="17604"/>
    <x v="0"/>
    <s v="Hyderabad"/>
    <x v="1"/>
    <m/>
    <x v="2"/>
    <n v="46"/>
    <x v="0"/>
    <m/>
    <m/>
    <m/>
  </r>
  <r>
    <s v="ORD-00698"/>
    <x v="209"/>
    <s v="CUST-0164"/>
    <s v="PROD-004"/>
    <x v="12"/>
    <n v="9"/>
    <n v="3870"/>
    <x v="133"/>
    <n v="32426.73"/>
    <x v="3"/>
    <s v="Chennai"/>
    <x v="4"/>
    <m/>
    <x v="1"/>
    <n v="60"/>
    <x v="0"/>
    <m/>
    <m/>
    <m/>
  </r>
  <r>
    <s v="ORD-00699"/>
    <x v="247"/>
    <s v="CUST-0004"/>
    <s v="PROD-028"/>
    <x v="24"/>
    <n v="5"/>
    <n v="3660"/>
    <x v="52"/>
    <n v="16158.9"/>
    <x v="0"/>
    <s v="Delhi"/>
    <x v="2"/>
    <m/>
    <x v="1"/>
    <n v="53"/>
    <x v="0"/>
    <m/>
    <m/>
    <m/>
  </r>
  <r>
    <s v="ORD-00700"/>
    <x v="63"/>
    <s v="CUST-0224"/>
    <s v="PROD-040"/>
    <x v="14"/>
    <n v="4"/>
    <n v="1080"/>
    <x v="167"/>
    <n v="3564"/>
    <x v="0"/>
    <s v="Chennai"/>
    <x v="3"/>
    <m/>
    <x v="2"/>
    <n v="24"/>
    <x v="3"/>
    <s v="Nov-24"/>
    <n v="519"/>
    <n v="0.51944444444444449"/>
  </r>
  <r>
    <s v="ORD-01185"/>
    <x v="92"/>
    <s v="CUST-0037"/>
    <s v="PROD-059"/>
    <x v="3"/>
    <n v="6"/>
    <n v="3780"/>
    <x v="213"/>
    <n v="16374.96"/>
    <x v="0"/>
    <s v="Bengaluru"/>
    <x v="1"/>
    <m/>
    <x v="1"/>
    <n v="52"/>
    <x v="0"/>
    <m/>
    <m/>
    <m/>
  </r>
  <r>
    <s v="ORD-00702"/>
    <x v="126"/>
    <s v="CUST-0179"/>
    <s v="PROD-019"/>
    <x v="24"/>
    <n v="8"/>
    <n v="2480"/>
    <x v="3"/>
    <n v="16725.12"/>
    <x v="1"/>
    <s v="Mumbai"/>
    <x v="0"/>
    <m/>
    <x v="0"/>
    <n v="54"/>
    <x v="0"/>
    <m/>
    <m/>
    <m/>
  </r>
  <r>
    <s v="ORD-00703"/>
    <x v="132"/>
    <s v="CUST-0018"/>
    <s v="PROD-054"/>
    <x v="2"/>
    <n v="10"/>
    <n v="1010"/>
    <x v="177"/>
    <n v="10089.9"/>
    <x v="1"/>
    <s v="Pune"/>
    <x v="1"/>
    <m/>
    <x v="0"/>
    <n v="54"/>
    <x v="0"/>
    <m/>
    <m/>
    <m/>
  </r>
  <r>
    <s v="ORD-00704"/>
    <x v="5"/>
    <s v="CUST-0184"/>
    <s v="PROD-053"/>
    <x v="15"/>
    <n v="3"/>
    <n v="470"/>
    <x v="71"/>
    <n v="1394.49"/>
    <x v="0"/>
    <s v="Pune"/>
    <x v="1"/>
    <m/>
    <x v="1"/>
    <n v="63"/>
    <x v="0"/>
    <m/>
    <m/>
    <m/>
  </r>
  <r>
    <s v="ORD-00705"/>
    <x v="267"/>
    <s v="CUST-0066"/>
    <s v="PROD-024"/>
    <x v="7"/>
    <n v="4"/>
    <n v="2270"/>
    <x v="150"/>
    <n v="7527.32"/>
    <x v="0"/>
    <s v="Delhi"/>
    <x v="2"/>
    <m/>
    <x v="1"/>
    <n v="24"/>
    <x v="4"/>
    <s v="Apr-24"/>
    <n v="1203"/>
    <n v="0.47004405286343615"/>
  </r>
  <r>
    <s v="ORD-00706"/>
    <x v="276"/>
    <s v="CUST-0053"/>
    <s v="PROD-021"/>
    <x v="9"/>
    <n v="7"/>
    <n v="2760"/>
    <x v="150"/>
    <n v="16016.28"/>
    <x v="0"/>
    <s v="Delhi"/>
    <x v="2"/>
    <m/>
    <x v="1"/>
    <n v="53"/>
    <x v="0"/>
    <m/>
    <m/>
    <m/>
  </r>
  <r>
    <s v="ORD-00707"/>
    <x v="21"/>
    <s v="CUST-0278"/>
    <s v="PROD-051"/>
    <x v="4"/>
    <n v="6"/>
    <n v="3450"/>
    <x v="136"/>
    <n v="19333.8"/>
    <x v="3"/>
    <s v="Hyderabad"/>
    <x v="1"/>
    <m/>
    <x v="1"/>
    <n v="41"/>
    <x v="0"/>
    <m/>
    <m/>
    <m/>
  </r>
  <r>
    <s v="ORD-00708"/>
    <x v="316"/>
    <s v="CUST-0285"/>
    <s v="PROD-028"/>
    <x v="0"/>
    <n v="8"/>
    <n v="3660"/>
    <x v="205"/>
    <n v="27171.84"/>
    <x v="0"/>
    <s v="Hyderabad"/>
    <x v="2"/>
    <m/>
    <x v="1"/>
    <n v="22"/>
    <x v="1"/>
    <s v="Aug-24"/>
    <n v="2214"/>
    <n v="0.39508196721311473"/>
  </r>
  <r>
    <s v="ORD-00709"/>
    <x v="317"/>
    <s v="CUST-0060"/>
    <s v="PROD-009"/>
    <x v="14"/>
    <n v="4"/>
    <n v="1220"/>
    <x v="194"/>
    <n v="3694.16"/>
    <x v="2"/>
    <s v="Pune"/>
    <x v="4"/>
    <m/>
    <x v="1"/>
    <n v="39"/>
    <x v="1"/>
    <s v="Dec-24"/>
    <n v="517"/>
    <n v="0.57622950819672136"/>
  </r>
  <r>
    <s v="ORD-00710"/>
    <x v="294"/>
    <s v="CUST-0236"/>
    <s v="PROD-052"/>
    <x v="0"/>
    <n v="2"/>
    <n v="5410"/>
    <x v="122"/>
    <n v="10722.62"/>
    <x v="1"/>
    <s v="Hyderabad"/>
    <x v="1"/>
    <m/>
    <x v="0"/>
    <n v="28"/>
    <x v="2"/>
    <s v="Sep-24"/>
    <n v="2265"/>
    <n v="0.58133086876155271"/>
  </r>
  <r>
    <s v="ORD-00711"/>
    <x v="94"/>
    <s v="CUST-0106"/>
    <s v="PROD-033"/>
    <x v="18"/>
    <n v="5"/>
    <n v="2030"/>
    <x v="67"/>
    <n v="7592.2"/>
    <x v="0"/>
    <s v="Pune"/>
    <x v="3"/>
    <m/>
    <x v="1"/>
    <n v="22"/>
    <x v="1"/>
    <s v="Nov-24"/>
    <n v="1143"/>
    <n v="0.43694581280788175"/>
  </r>
  <r>
    <s v="ORD-00712"/>
    <x v="26"/>
    <s v="CUST-0085"/>
    <s v="PROD-009"/>
    <x v="27"/>
    <n v="5"/>
    <n v="1220"/>
    <x v="16"/>
    <n v="5941.4"/>
    <x v="0"/>
    <s v="Chennai"/>
    <x v="4"/>
    <m/>
    <x v="1"/>
    <n v="26"/>
    <x v="4"/>
    <s v="Jan-24"/>
    <n v="517"/>
    <n v="0.57622950819672136"/>
  </r>
  <r>
    <s v="ORD-00713"/>
    <x v="77"/>
    <s v="CUST-0075"/>
    <s v="PROD-008"/>
    <x v="3"/>
    <n v="4"/>
    <n v="2660"/>
    <x v="61"/>
    <n v="8607.76"/>
    <x v="3"/>
    <s v="Mumbai"/>
    <x v="4"/>
    <m/>
    <x v="2"/>
    <n v="55"/>
    <x v="0"/>
    <m/>
    <m/>
    <m/>
  </r>
  <r>
    <s v="ORD-00714"/>
    <x v="116"/>
    <s v="CUST-0169"/>
    <s v="PROD-026"/>
    <x v="29"/>
    <n v="3"/>
    <n v="4070"/>
    <x v="67"/>
    <n v="9133.08"/>
    <x v="0"/>
    <s v="Bengaluru"/>
    <x v="2"/>
    <m/>
    <x v="0"/>
    <n v="42"/>
    <x v="0"/>
    <m/>
    <m/>
    <m/>
  </r>
  <r>
    <s v="ORD-00715"/>
    <x v="76"/>
    <s v="CUST-0166"/>
    <s v="PROD-049"/>
    <x v="2"/>
    <n v="10"/>
    <n v="960"/>
    <x v="45"/>
    <n v="9571.2000000000007"/>
    <x v="0"/>
    <s v="Hyderabad"/>
    <x v="5"/>
    <m/>
    <x v="1"/>
    <n v="31"/>
    <x v="4"/>
    <s v="Feb-24"/>
    <n v="675"/>
    <n v="0.296875"/>
  </r>
  <r>
    <s v="ORD-00716"/>
    <x v="313"/>
    <s v="CUST-0065"/>
    <s v="PROD-031"/>
    <x v="20"/>
    <n v="2"/>
    <n v="3730"/>
    <x v="162"/>
    <n v="5229.46"/>
    <x v="0"/>
    <s v="Chennai"/>
    <x v="3"/>
    <m/>
    <x v="2"/>
    <n v="49"/>
    <x v="0"/>
    <m/>
    <m/>
    <m/>
  </r>
  <r>
    <s v="ORD-00717"/>
    <x v="95"/>
    <s v="CUST-0102"/>
    <s v="PROD-057"/>
    <x v="10"/>
    <n v="9"/>
    <n v="960"/>
    <x v="69"/>
    <n v="8475.84"/>
    <x v="0"/>
    <s v="Chennai"/>
    <x v="1"/>
    <m/>
    <x v="0"/>
    <n v="62"/>
    <x v="0"/>
    <m/>
    <m/>
    <m/>
  </r>
  <r>
    <s v="ORD-00718"/>
    <x v="253"/>
    <s v="CUST-0052"/>
    <s v="PROD-011"/>
    <x v="10"/>
    <n v="2"/>
    <n v="3450"/>
    <x v="246"/>
    <n v="5319.9"/>
    <x v="1"/>
    <s v="Pune"/>
    <x v="0"/>
    <m/>
    <x v="1"/>
    <n v="38"/>
    <x v="1"/>
    <s v="Oct-24"/>
    <n v="1748"/>
    <n v="0.49333333333333335"/>
  </r>
  <r>
    <s v="ORD-00719"/>
    <x v="48"/>
    <s v="CUST-0130"/>
    <s v="PROD-052"/>
    <x v="9"/>
    <n v="3"/>
    <n v="5410"/>
    <x v="252"/>
    <n v="13714.35"/>
    <x v="0"/>
    <s v="Bengaluru"/>
    <x v="1"/>
    <m/>
    <x v="2"/>
    <n v="41"/>
    <x v="0"/>
    <m/>
    <m/>
    <m/>
  </r>
  <r>
    <s v="ORD-00720"/>
    <x v="120"/>
    <s v="CUST-0284"/>
    <s v="PROD-043"/>
    <x v="7"/>
    <n v="8"/>
    <n v="3350"/>
    <x v="84"/>
    <n v="21868.799999999999"/>
    <x v="0"/>
    <s v="Hyderabad"/>
    <x v="5"/>
    <m/>
    <x v="0"/>
    <n v="65"/>
    <x v="0"/>
    <m/>
    <m/>
    <m/>
  </r>
  <r>
    <s v="ORD-00721"/>
    <x v="4"/>
    <s v="CUST-0053"/>
    <s v="PROD-015"/>
    <x v="4"/>
    <n v="5"/>
    <n v="2720"/>
    <x v="40"/>
    <n v="11247.2"/>
    <x v="2"/>
    <s v="Delhi"/>
    <x v="0"/>
    <m/>
    <x v="1"/>
    <n v="53"/>
    <x v="0"/>
    <m/>
    <m/>
    <m/>
  </r>
  <r>
    <s v="ORD-00722"/>
    <x v="210"/>
    <s v="CUST-0293"/>
    <s v="PROD-028"/>
    <x v="21"/>
    <n v="8"/>
    <n v="3660"/>
    <x v="49"/>
    <n v="20847.36"/>
    <x v="0"/>
    <s v="Bengaluru"/>
    <x v="2"/>
    <m/>
    <x v="1"/>
    <n v="27"/>
    <x v="1"/>
    <s v="Nov-24"/>
    <n v="2214"/>
    <n v="0.39508196721311473"/>
  </r>
  <r>
    <s v="ORD-00723"/>
    <x v="21"/>
    <s v="CUST-0242"/>
    <s v="PROD-005"/>
    <x v="22"/>
    <n v="6"/>
    <n v="300"/>
    <x v="46"/>
    <n v="1369.8"/>
    <x v="2"/>
    <s v="Chennai"/>
    <x v="4"/>
    <m/>
    <x v="0"/>
    <n v="59"/>
    <x v="0"/>
    <m/>
    <m/>
    <m/>
  </r>
  <r>
    <s v="ORD-00724"/>
    <x v="289"/>
    <s v="CUST-0226"/>
    <s v="PROD-042"/>
    <x v="17"/>
    <n v="3"/>
    <n v="2290"/>
    <x v="7"/>
    <n v="6705.12"/>
    <x v="0"/>
    <s v="Chennai"/>
    <x v="5"/>
    <m/>
    <x v="2"/>
    <n v="52"/>
    <x v="0"/>
    <m/>
    <m/>
    <m/>
  </r>
  <r>
    <s v="ORD-00725"/>
    <x v="210"/>
    <s v="CUST-0005"/>
    <s v="PROD-046"/>
    <x v="2"/>
    <n v="6"/>
    <n v="4880"/>
    <x v="86"/>
    <n v="26029.919999999998"/>
    <x v="1"/>
    <s v="Chennai"/>
    <x v="5"/>
    <m/>
    <x v="2"/>
    <n v="52"/>
    <x v="0"/>
    <m/>
    <m/>
    <m/>
  </r>
  <r>
    <s v="ORD-00726"/>
    <x v="254"/>
    <s v="CUST-0211"/>
    <s v="PROD-005"/>
    <x v="0"/>
    <n v="5"/>
    <n v="300"/>
    <x v="202"/>
    <n v="1209"/>
    <x v="0"/>
    <s v="Bengaluru"/>
    <x v="4"/>
    <m/>
    <x v="1"/>
    <n v="36"/>
    <x v="4"/>
    <s v="Apr-24"/>
    <n v="128"/>
    <n v="0.57333333333333336"/>
  </r>
  <r>
    <s v="ORD-00727"/>
    <x v="208"/>
    <s v="CUST-0229"/>
    <s v="PROD-008"/>
    <x v="14"/>
    <n v="3"/>
    <n v="2660"/>
    <x v="221"/>
    <n v="5705.7"/>
    <x v="1"/>
    <s v="Hyderabad"/>
    <x v="4"/>
    <m/>
    <x v="0"/>
    <n v="25"/>
    <x v="1"/>
    <s v="Sep-24"/>
    <n v="1259"/>
    <n v="0.52669172932330832"/>
  </r>
  <r>
    <s v="ORD-00728"/>
    <x v="224"/>
    <s v="CUST-0037"/>
    <s v="PROD-035"/>
    <x v="6"/>
    <n v="7"/>
    <n v="1090"/>
    <x v="222"/>
    <n v="6844.11"/>
    <x v="0"/>
    <s v="Bengaluru"/>
    <x v="3"/>
    <m/>
    <x v="1"/>
    <n v="52"/>
    <x v="0"/>
    <m/>
    <m/>
    <m/>
  </r>
  <r>
    <s v="ORD-00729"/>
    <x v="154"/>
    <s v="CUST-0059"/>
    <s v="PROD-007"/>
    <x v="27"/>
    <n v="9"/>
    <n v="1430"/>
    <x v="265"/>
    <n v="11312.73"/>
    <x v="2"/>
    <s v="Pune"/>
    <x v="4"/>
    <m/>
    <x v="2"/>
    <n v="29"/>
    <x v="2"/>
    <s v="May-24"/>
    <n v="861"/>
    <n v="0.39790209790209791"/>
  </r>
  <r>
    <s v="ORD-00730"/>
    <x v="112"/>
    <s v="CUST-0222"/>
    <s v="PROD-010"/>
    <x v="1"/>
    <n v="5"/>
    <n v="2640"/>
    <x v="253"/>
    <n v="9662.4"/>
    <x v="0"/>
    <s v="Chennai"/>
    <x v="4"/>
    <m/>
    <x v="1"/>
    <n v="37"/>
    <x v="4"/>
    <s v="Feb-24"/>
    <n v="1149"/>
    <n v="0.56477272727272732"/>
  </r>
  <r>
    <s v="ORD-00731"/>
    <x v="71"/>
    <s v="CUST-0157"/>
    <s v="PROD-015"/>
    <x v="19"/>
    <n v="8"/>
    <n v="2720"/>
    <x v="167"/>
    <n v="17952"/>
    <x v="0"/>
    <s v="Pune"/>
    <x v="0"/>
    <m/>
    <x v="2"/>
    <n v="52"/>
    <x v="0"/>
    <m/>
    <m/>
    <m/>
  </r>
  <r>
    <s v="ORD-00732"/>
    <x v="226"/>
    <s v="CUST-0027"/>
    <s v="PROD-013"/>
    <x v="29"/>
    <n v="9"/>
    <n v="3640"/>
    <x v="186"/>
    <n v="31580.639999999999"/>
    <x v="0"/>
    <s v="Hyderabad"/>
    <x v="0"/>
    <m/>
    <x v="2"/>
    <n v="52"/>
    <x v="0"/>
    <m/>
    <m/>
    <m/>
  </r>
  <r>
    <s v="ORD-00733"/>
    <x v="211"/>
    <s v="CUST-9846"/>
    <s v="PROD-050"/>
    <x v="13"/>
    <n v="7"/>
    <n v="6080"/>
    <x v="26"/>
    <n v="32515.84"/>
    <x v="0"/>
    <s v="Mumbai"/>
    <x v="5"/>
    <m/>
    <x v="3"/>
    <e v="#N/A"/>
    <x v="0"/>
    <m/>
    <m/>
    <m/>
  </r>
  <r>
    <s v="ORD-00734"/>
    <x v="241"/>
    <s v="CUST-0011"/>
    <s v="PROD-001"/>
    <x v="15"/>
    <n v="7"/>
    <n v="5330"/>
    <x v="214"/>
    <n v="29959.93"/>
    <x v="2"/>
    <s v="Chennai"/>
    <x v="4"/>
    <m/>
    <x v="2"/>
    <n v="41"/>
    <x v="0"/>
    <m/>
    <m/>
    <m/>
  </r>
  <r>
    <s v="ORD-00735"/>
    <x v="106"/>
    <s v="CUST-0043"/>
    <s v="PROD-039"/>
    <x v="6"/>
    <n v="5"/>
    <n v="4610"/>
    <x v="186"/>
    <n v="22220.2"/>
    <x v="0"/>
    <s v="Hyderabad"/>
    <x v="3"/>
    <m/>
    <x v="1"/>
    <n v="61"/>
    <x v="0"/>
    <m/>
    <m/>
    <m/>
  </r>
  <r>
    <s v="ORD-00736"/>
    <x v="272"/>
    <s v="CUST-0154"/>
    <s v="PROD-001"/>
    <x v="14"/>
    <n v="9"/>
    <n v="5330"/>
    <x v="246"/>
    <n v="36984.870000000003"/>
    <x v="0"/>
    <s v="Pune"/>
    <x v="4"/>
    <m/>
    <x v="1"/>
    <n v="36"/>
    <x v="2"/>
    <s v="Oct-24"/>
    <n v="2405"/>
    <n v="0.54878048780487809"/>
  </r>
  <r>
    <s v="ORD-00737"/>
    <x v="242"/>
    <s v="CUST-0163"/>
    <s v="PROD-050"/>
    <x v="26"/>
    <n v="5"/>
    <n v="6080"/>
    <x v="242"/>
    <n v="28576"/>
    <x v="3"/>
    <s v="Pune"/>
    <x v="5"/>
    <m/>
    <x v="1"/>
    <n v="49"/>
    <x v="0"/>
    <m/>
    <m/>
    <m/>
  </r>
  <r>
    <s v="ORD-00738"/>
    <x v="193"/>
    <s v="CUST-0299"/>
    <s v="PROD-013"/>
    <x v="21"/>
    <n v="7"/>
    <n v="3640"/>
    <x v="120"/>
    <n v="24078.6"/>
    <x v="0"/>
    <s v="Mumbai"/>
    <x v="0"/>
    <m/>
    <x v="2"/>
    <n v="51"/>
    <x v="0"/>
    <m/>
    <m/>
    <m/>
  </r>
  <r>
    <s v="ORD-00739"/>
    <x v="260"/>
    <s v="CUST-0240"/>
    <s v="PROD-008"/>
    <x v="22"/>
    <n v="1"/>
    <n v="2660"/>
    <x v="24"/>
    <n v="2497.7399999999998"/>
    <x v="2"/>
    <s v="Chennai"/>
    <x v="4"/>
    <m/>
    <x v="2"/>
    <n v="35"/>
    <x v="3"/>
    <s v="Jan-24"/>
    <n v="1259"/>
    <n v="0.52669172932330832"/>
  </r>
  <r>
    <s v="ORD-00740"/>
    <x v="212"/>
    <s v="CUST-0291"/>
    <s v="PROD-043"/>
    <x v="15"/>
    <n v="8"/>
    <n v="3350"/>
    <x v="88"/>
    <n v="21574"/>
    <x v="0"/>
    <s v="Pune"/>
    <x v="5"/>
    <m/>
    <x v="0"/>
    <n v="29"/>
    <x v="4"/>
    <s v="Feb-24"/>
    <n v="1728"/>
    <n v="0.48417910447761192"/>
  </r>
  <r>
    <s v="ORD-00741"/>
    <x v="83"/>
    <s v="CUST-0243"/>
    <s v="PROD-039"/>
    <x v="7"/>
    <n v="4"/>
    <n v="4610"/>
    <x v="59"/>
    <n v="14014.4"/>
    <x v="0"/>
    <s v="Pune"/>
    <x v="3"/>
    <m/>
    <x v="0"/>
    <n v="44"/>
    <x v="0"/>
    <m/>
    <m/>
    <m/>
  </r>
  <r>
    <s v="ORD-00742"/>
    <x v="174"/>
    <s v="CUST-0073"/>
    <s v="PROD-055"/>
    <x v="2"/>
    <n v="7"/>
    <n v="2860"/>
    <x v="204"/>
    <n v="15375.36"/>
    <x v="0"/>
    <s v="Pune"/>
    <x v="1"/>
    <m/>
    <x v="2"/>
    <n v="40"/>
    <x v="3"/>
    <s v="Dec-24"/>
    <n v="2028"/>
    <n v="0.29090909090909089"/>
  </r>
  <r>
    <s v="ORD-00743"/>
    <x v="128"/>
    <s v="CUST-0154"/>
    <s v="PROD-043"/>
    <x v="22"/>
    <n v="7"/>
    <n v="3350"/>
    <x v="249"/>
    <n v="20964.3"/>
    <x v="1"/>
    <s v="Pune"/>
    <x v="5"/>
    <m/>
    <x v="1"/>
    <n v="36"/>
    <x v="4"/>
    <s v="Jan-24"/>
    <n v="1728"/>
    <n v="0.48417910447761192"/>
  </r>
  <r>
    <s v="ORD-00744"/>
    <x v="55"/>
    <s v="CUST-0084"/>
    <s v="PROD-029"/>
    <x v="8"/>
    <n v="5"/>
    <n v="2210"/>
    <x v="265"/>
    <n v="9712.9500000000007"/>
    <x v="0"/>
    <s v="Chennai"/>
    <x v="2"/>
    <m/>
    <x v="1"/>
    <n v="28"/>
    <x v="4"/>
    <s v="Dec-24"/>
    <n v="1010"/>
    <n v="0.54298642533936647"/>
  </r>
  <r>
    <s v="ORD-00745"/>
    <x v="90"/>
    <s v="CUST-0228"/>
    <s v="PROD-047"/>
    <x v="22"/>
    <n v="1"/>
    <n v="3450"/>
    <x v="61"/>
    <n v="2791.05"/>
    <x v="1"/>
    <s v="Pune"/>
    <x v="5"/>
    <m/>
    <x v="2"/>
    <n v="37"/>
    <x v="2"/>
    <s v="Oct-24"/>
    <n v="2420"/>
    <n v="0.29855072463768118"/>
  </r>
  <r>
    <s v="ORD-00746"/>
    <x v="78"/>
    <s v="CUST-0232"/>
    <s v="PROD-048"/>
    <x v="8"/>
    <n v="5"/>
    <n v="5100"/>
    <x v="266"/>
    <n v="24786"/>
    <x v="0"/>
    <s v="Hyderabad"/>
    <x v="5"/>
    <m/>
    <x v="1"/>
    <n v="38"/>
    <x v="4"/>
    <s v="Feb-24"/>
    <n v="2237"/>
    <n v="0.56137254901960787"/>
  </r>
  <r>
    <s v="ORD-00747"/>
    <x v="318"/>
    <s v="CUST-0129"/>
    <s v="PROD-048"/>
    <x v="11"/>
    <n v="9"/>
    <n v="5100"/>
    <x v="42"/>
    <n v="34700.400000000001"/>
    <x v="0"/>
    <s v="Hyderabad"/>
    <x v="5"/>
    <m/>
    <x v="1"/>
    <n v="29"/>
    <x v="2"/>
    <s v="Oct-24"/>
    <n v="2237"/>
    <n v="0.56137254901960787"/>
  </r>
  <r>
    <s v="ORD-00748"/>
    <x v="296"/>
    <s v="CUST-0189"/>
    <s v="PROD-037"/>
    <x v="3"/>
    <n v="9"/>
    <n v="660"/>
    <x v="113"/>
    <n v="4763.88"/>
    <x v="0"/>
    <s v="Chennai"/>
    <x v="3"/>
    <m/>
    <x v="1"/>
    <n v="41"/>
    <x v="0"/>
    <m/>
    <m/>
    <m/>
  </r>
  <r>
    <s v="ORD-00749"/>
    <x v="0"/>
    <s v="CUST-0122"/>
    <s v="PROD-026"/>
    <x v="3"/>
    <n v="3"/>
    <n v="4070"/>
    <x v="245"/>
    <n v="8901.09"/>
    <x v="0"/>
    <s v="Mumbai"/>
    <x v="2"/>
    <m/>
    <x v="1"/>
    <n v="44"/>
    <x v="0"/>
    <m/>
    <m/>
    <m/>
  </r>
  <r>
    <s v="ORD-00750"/>
    <x v="172"/>
    <s v="CUST-0170"/>
    <s v="PROD-017"/>
    <x v="0"/>
    <n v="2"/>
    <n v="2510"/>
    <x v="196"/>
    <n v="3559.18"/>
    <x v="0"/>
    <s v="Mumbai"/>
    <x v="0"/>
    <m/>
    <x v="0"/>
    <n v="22"/>
    <x v="1"/>
    <s v="Sep-24"/>
    <n v="1075"/>
    <n v="0.57171314741035861"/>
  </r>
  <r>
    <s v="ORD-00751"/>
    <x v="121"/>
    <s v="CUST-0291"/>
    <s v="PROD-036"/>
    <x v="14"/>
    <n v="4"/>
    <n v="3250"/>
    <x v="35"/>
    <n v="10257"/>
    <x v="0"/>
    <s v="Pune"/>
    <x v="3"/>
    <m/>
    <x v="0"/>
    <n v="29"/>
    <x v="1"/>
    <s v="Jul-24"/>
    <n v="1556"/>
    <n v="0.52123076923076928"/>
  </r>
  <r>
    <s v="ORD-00752"/>
    <x v="77"/>
    <s v="CUST-0090"/>
    <s v="PROD-032"/>
    <x v="1"/>
    <n v="3"/>
    <n v="370"/>
    <x v="179"/>
    <n v="1024.53"/>
    <x v="0"/>
    <s v="Bengaluru"/>
    <x v="3"/>
    <m/>
    <x v="2"/>
    <n v="26"/>
    <x v="2"/>
    <s v="Jun-24"/>
    <n v="288"/>
    <n v="0.22162162162162163"/>
  </r>
  <r>
    <s v="ORD-00753"/>
    <x v="319"/>
    <s v="CUST-0205"/>
    <s v="PROD-020"/>
    <x v="3"/>
    <n v="10"/>
    <n v="820"/>
    <x v="124"/>
    <n v="7913"/>
    <x v="0"/>
    <s v="Pune"/>
    <x v="0"/>
    <m/>
    <x v="2"/>
    <n v="29"/>
    <x v="1"/>
    <s v="Nov-24"/>
    <n v="391"/>
    <n v="0.52317073170731709"/>
  </r>
  <r>
    <s v="ORD-00754"/>
    <x v="101"/>
    <s v="CUST-0192"/>
    <s v="PROD-026"/>
    <x v="20"/>
    <n v="4"/>
    <n v="4070"/>
    <x v="165"/>
    <n v="12405.36"/>
    <x v="0"/>
    <s v="Bengaluru"/>
    <x v="2"/>
    <m/>
    <x v="1"/>
    <n v="55"/>
    <x v="0"/>
    <m/>
    <m/>
    <m/>
  </r>
  <r>
    <s v="ORD-00755"/>
    <x v="320"/>
    <s v="CUST-0270"/>
    <s v="PROD-023"/>
    <x v="23"/>
    <n v="1"/>
    <n v="2380"/>
    <x v="153"/>
    <n v="1913.52"/>
    <x v="2"/>
    <s v="Bengaluru"/>
    <x v="2"/>
    <m/>
    <x v="1"/>
    <n v="29"/>
    <x v="2"/>
    <s v="Aug-24"/>
    <n v="1182"/>
    <n v="0.50336134453781511"/>
  </r>
  <r>
    <s v="ORD-00756"/>
    <x v="223"/>
    <s v="CUST-0266"/>
    <s v="PROD-038"/>
    <x v="14"/>
    <n v="3"/>
    <n v="5490"/>
    <x v="148"/>
    <n v="16058.25"/>
    <x v="0"/>
    <s v="Pune"/>
    <x v="3"/>
    <m/>
    <x v="1"/>
    <n v="65"/>
    <x v="0"/>
    <m/>
    <m/>
    <m/>
  </r>
  <r>
    <s v="ORD-00757"/>
    <x v="155"/>
    <s v="CUST-0208"/>
    <s v="PROD-013"/>
    <x v="28"/>
    <n v="3"/>
    <n v="3640"/>
    <x v="74"/>
    <n v="8375.64"/>
    <x v="0"/>
    <s v="Mumbai"/>
    <x v="0"/>
    <m/>
    <x v="1"/>
    <n v="49"/>
    <x v="0"/>
    <m/>
    <m/>
    <m/>
  </r>
  <r>
    <s v="ORD-00758"/>
    <x v="321"/>
    <s v="CUST-0224"/>
    <s v="PROD-039"/>
    <x v="26"/>
    <n v="2"/>
    <n v="4610"/>
    <x v="227"/>
    <n v="8759"/>
    <x v="1"/>
    <s v="Chennai"/>
    <x v="3"/>
    <m/>
    <x v="2"/>
    <n v="24"/>
    <x v="2"/>
    <s v="Jul-24"/>
    <n v="1850"/>
    <n v="0.59869848156182215"/>
  </r>
  <r>
    <s v="ORD-00759"/>
    <x v="264"/>
    <s v="CUST-0264"/>
    <s v="PROD-058"/>
    <x v="19"/>
    <n v="8"/>
    <n v="2400"/>
    <x v="190"/>
    <n v="17280"/>
    <x v="1"/>
    <s v="Pune"/>
    <x v="1"/>
    <m/>
    <x v="1"/>
    <n v="59"/>
    <x v="0"/>
    <m/>
    <m/>
    <m/>
  </r>
  <r>
    <s v="ORD-00760"/>
    <x v="100"/>
    <s v="CUST-0113"/>
    <s v="PROD-043"/>
    <x v="25"/>
    <n v="7"/>
    <n v="3350"/>
    <x v="129"/>
    <n v="17892.349999999999"/>
    <x v="0"/>
    <s v="Delhi"/>
    <x v="5"/>
    <m/>
    <x v="1"/>
    <n v="30"/>
    <x v="1"/>
    <s v="Mar-24"/>
    <n v="1728"/>
    <n v="0.48417910447761192"/>
  </r>
  <r>
    <s v="ORD-00761"/>
    <x v="4"/>
    <s v="CUST-0160"/>
    <s v="PROD-013"/>
    <x v="27"/>
    <n v="4"/>
    <n v="3640"/>
    <x v="203"/>
    <n v="13205.92"/>
    <x v="2"/>
    <s v="Hyderabad"/>
    <x v="0"/>
    <m/>
    <x v="1"/>
    <n v="27"/>
    <x v="1"/>
    <s v="Nov-24"/>
    <n v="2611"/>
    <n v="0.28269230769230769"/>
  </r>
  <r>
    <s v="ORD-00762"/>
    <x v="133"/>
    <s v="CUST-0109"/>
    <s v="PROD-013"/>
    <x v="8"/>
    <n v="9"/>
    <n v="3640"/>
    <x v="155"/>
    <n v="28468.44"/>
    <x v="1"/>
    <s v="Pune"/>
    <x v="0"/>
    <m/>
    <x v="1"/>
    <n v="42"/>
    <x v="0"/>
    <m/>
    <m/>
    <m/>
  </r>
  <r>
    <s v="ORD-00763"/>
    <x v="287"/>
    <s v="CUST-0107"/>
    <s v="PROD-033"/>
    <x v="2"/>
    <n v="2"/>
    <n v="2030"/>
    <x v="64"/>
    <n v="3564.68"/>
    <x v="0"/>
    <s v="Pune"/>
    <x v="3"/>
    <m/>
    <x v="1"/>
    <n v="50"/>
    <x v="0"/>
    <m/>
    <m/>
    <m/>
  </r>
  <r>
    <s v="ORD-00764"/>
    <x v="314"/>
    <s v="CUST-0120"/>
    <s v="PROD-012"/>
    <x v="25"/>
    <n v="4"/>
    <n v="3160"/>
    <x v="267"/>
    <n v="11692"/>
    <x v="0"/>
    <s v="Mumbai"/>
    <x v="0"/>
    <m/>
    <x v="1"/>
    <n v="29"/>
    <x v="4"/>
    <s v="Dec-24"/>
    <n v="1886"/>
    <n v="0.4031645569620253"/>
  </r>
  <r>
    <s v="ORD-00765"/>
    <x v="322"/>
    <s v="CUST-0225"/>
    <s v="PROD-026"/>
    <x v="20"/>
    <n v="10"/>
    <n v="4070"/>
    <x v="191"/>
    <n v="37321.9"/>
    <x v="0"/>
    <s v="Chennai"/>
    <x v="2"/>
    <m/>
    <x v="0"/>
    <n v="26"/>
    <x v="1"/>
    <s v="Jun-24"/>
    <n v="2027"/>
    <n v="0.50196560196560192"/>
  </r>
  <r>
    <s v="ORD-00766"/>
    <x v="30"/>
    <s v="CUST-0134"/>
    <s v="PROD-025"/>
    <x v="6"/>
    <n v="8"/>
    <n v="4060"/>
    <x v="144"/>
    <n v="29719.200000000001"/>
    <x v="0"/>
    <s v="Delhi"/>
    <x v="2"/>
    <m/>
    <x v="1"/>
    <n v="40"/>
    <x v="2"/>
    <s v="Feb-24"/>
    <n v="2911"/>
    <n v="0.28300492610837441"/>
  </r>
  <r>
    <s v="ORD-00767"/>
    <x v="323"/>
    <s v="CUST-0279"/>
    <s v="PROD-057"/>
    <x v="26"/>
    <n v="8"/>
    <n v="960"/>
    <x v="41"/>
    <n v="7011.84"/>
    <x v="0"/>
    <s v="Mumbai"/>
    <x v="1"/>
    <m/>
    <x v="1"/>
    <n v="56"/>
    <x v="0"/>
    <m/>
    <m/>
    <m/>
  </r>
  <r>
    <s v="ORD-00768"/>
    <x v="141"/>
    <s v="CUST-0247"/>
    <s v="PROD-022"/>
    <x v="28"/>
    <n v="2"/>
    <n v="2270"/>
    <x v="15"/>
    <n v="4076.92"/>
    <x v="0"/>
    <s v="Pune"/>
    <x v="2"/>
    <m/>
    <x v="0"/>
    <n v="35"/>
    <x v="3"/>
    <s v="Feb-24"/>
    <n v="1412"/>
    <n v="0.37797356828193834"/>
  </r>
  <r>
    <s v="ORD-00769"/>
    <x v="197"/>
    <s v="CUST-0129"/>
    <s v="PROD-027"/>
    <x v="0"/>
    <n v="1"/>
    <n v="3780"/>
    <x v="146"/>
    <n v="3201.66"/>
    <x v="2"/>
    <s v="Hyderabad"/>
    <x v="2"/>
    <m/>
    <x v="1"/>
    <n v="29"/>
    <x v="2"/>
    <s v="Jan-24"/>
    <n v="2436"/>
    <n v="0.35555555555555557"/>
  </r>
  <r>
    <s v="ORD-00770"/>
    <x v="135"/>
    <s v="CUST-0038"/>
    <s v="PROD-042"/>
    <x v="8"/>
    <n v="10"/>
    <n v="2290"/>
    <x v="7"/>
    <n v="22350.400000000001"/>
    <x v="1"/>
    <s v="Mumbai"/>
    <x v="5"/>
    <m/>
    <x v="1"/>
    <n v="57"/>
    <x v="0"/>
    <m/>
    <m/>
    <m/>
  </r>
  <r>
    <s v="ORD-00771"/>
    <x v="104"/>
    <s v="CUST-0109"/>
    <s v="PROD-043"/>
    <x v="21"/>
    <n v="5"/>
    <n v="3350"/>
    <x v="17"/>
    <n v="13651.25"/>
    <x v="2"/>
    <s v="Pune"/>
    <x v="5"/>
    <m/>
    <x v="1"/>
    <n v="42"/>
    <x v="0"/>
    <m/>
    <m/>
    <m/>
  </r>
  <r>
    <s v="ORD-00772"/>
    <x v="324"/>
    <s v="CUST-0051"/>
    <s v="PROD-017"/>
    <x v="13"/>
    <n v="7"/>
    <n v="2510"/>
    <x v="108"/>
    <n v="16832.060000000001"/>
    <x v="2"/>
    <s v="Pune"/>
    <x v="0"/>
    <m/>
    <x v="0"/>
    <n v="54"/>
    <x v="0"/>
    <m/>
    <m/>
    <m/>
  </r>
  <r>
    <s v="ORD-00773"/>
    <x v="325"/>
    <s v="CUST-0265"/>
    <s v="PROD-002"/>
    <x v="26"/>
    <n v="1"/>
    <n v="2600"/>
    <x v="19"/>
    <n v="2542.8000000000002"/>
    <x v="0"/>
    <s v="Chennai"/>
    <x v="4"/>
    <m/>
    <x v="1"/>
    <n v="49"/>
    <x v="0"/>
    <m/>
    <m/>
    <m/>
  </r>
  <r>
    <s v="ORD-00774"/>
    <x v="299"/>
    <s v="CUST-0192"/>
    <s v="PROD-053"/>
    <x v="11"/>
    <n v="8"/>
    <n v="470"/>
    <x v="67"/>
    <n v="2812.48"/>
    <x v="0"/>
    <s v="Bengaluru"/>
    <x v="1"/>
    <m/>
    <x v="1"/>
    <n v="55"/>
    <x v="0"/>
    <m/>
    <m/>
    <m/>
  </r>
  <r>
    <s v="ORD-00775"/>
    <x v="307"/>
    <s v="CUST-0241"/>
    <s v="PROD-040"/>
    <x v="27"/>
    <n v="6"/>
    <n v="1080"/>
    <x v="199"/>
    <n v="4860"/>
    <x v="0"/>
    <s v="Pune"/>
    <x v="3"/>
    <m/>
    <x v="2"/>
    <n v="47"/>
    <x v="0"/>
    <m/>
    <m/>
    <m/>
  </r>
  <r>
    <s v="ORD-00776"/>
    <x v="218"/>
    <s v="CUST-0243"/>
    <s v="PROD-054"/>
    <x v="7"/>
    <n v="2"/>
    <n v="1010"/>
    <x v="111"/>
    <n v="1694.78"/>
    <x v="0"/>
    <s v="Pune"/>
    <x v="1"/>
    <m/>
    <x v="0"/>
    <n v="44"/>
    <x v="0"/>
    <m/>
    <m/>
    <m/>
  </r>
  <r>
    <s v="ORD-00777"/>
    <x v="196"/>
    <s v="CUST-0016"/>
    <s v="PROD-004"/>
    <x v="25"/>
    <n v="6"/>
    <n v="3870"/>
    <x v="268"/>
    <n v="18018.72"/>
    <x v="2"/>
    <s v="Delhi"/>
    <x v="4"/>
    <m/>
    <x v="0"/>
    <n v="26"/>
    <x v="3"/>
    <s v="Dec-24"/>
    <n v="1559"/>
    <n v="0.59715762273901807"/>
  </r>
  <r>
    <s v="ORD-00778"/>
    <x v="219"/>
    <s v="CUST-0249"/>
    <s v="PROD-033"/>
    <x v="28"/>
    <n v="3"/>
    <n v="2030"/>
    <x v="17"/>
    <n v="4963.3500000000004"/>
    <x v="0"/>
    <s v="Mumbai"/>
    <x v="3"/>
    <m/>
    <x v="1"/>
    <n v="44"/>
    <x v="0"/>
    <m/>
    <m/>
    <m/>
  </r>
  <r>
    <s v="ORD-00779"/>
    <x v="326"/>
    <s v="CUST-0021"/>
    <s v="PROD-040"/>
    <x v="28"/>
    <n v="7"/>
    <n v="1080"/>
    <x v="115"/>
    <n v="7045.92"/>
    <x v="1"/>
    <s v="Pune"/>
    <x v="3"/>
    <m/>
    <x v="1"/>
    <n v="44"/>
    <x v="0"/>
    <m/>
    <m/>
    <m/>
  </r>
  <r>
    <s v="ORD-00780"/>
    <x v="303"/>
    <s v="CUST-0255"/>
    <s v="PROD-035"/>
    <x v="18"/>
    <n v="1"/>
    <n v="1090"/>
    <x v="149"/>
    <n v="865.46"/>
    <x v="0"/>
    <s v="Chennai"/>
    <x v="3"/>
    <m/>
    <x v="2"/>
    <n v="51"/>
    <x v="0"/>
    <m/>
    <m/>
    <m/>
  </r>
  <r>
    <s v="ORD-00781"/>
    <x v="72"/>
    <s v="CUST-0084"/>
    <s v="PROD-032"/>
    <x v="23"/>
    <n v="8"/>
    <n v="370"/>
    <x v="260"/>
    <n v="2909.68"/>
    <x v="0"/>
    <s v="Chennai"/>
    <x v="3"/>
    <m/>
    <x v="1"/>
    <n v="28"/>
    <x v="4"/>
    <s v="Nov-24"/>
    <n v="288"/>
    <n v="0.22162162162162163"/>
  </r>
  <r>
    <s v="ORD-00782"/>
    <x v="327"/>
    <s v="CUST-0289"/>
    <s v="PROD-018"/>
    <x v="26"/>
    <n v="7"/>
    <n v="3560"/>
    <x v="20"/>
    <n v="17767.96"/>
    <x v="0"/>
    <s v="Mumbai"/>
    <x v="0"/>
    <m/>
    <x v="1"/>
    <n v="54"/>
    <x v="0"/>
    <m/>
    <m/>
    <m/>
  </r>
  <r>
    <s v="ORD-00783"/>
    <x v="328"/>
    <s v="CUST-0026"/>
    <s v="PROD-050"/>
    <x v="29"/>
    <n v="9"/>
    <n v="6080"/>
    <x v="143"/>
    <n v="45800.639999999999"/>
    <x v="2"/>
    <s v="Pune"/>
    <x v="5"/>
    <m/>
    <x v="1"/>
    <n v="62"/>
    <x v="0"/>
    <m/>
    <m/>
    <m/>
  </r>
  <r>
    <s v="ORD-00784"/>
    <x v="265"/>
    <s v="CUST-0273"/>
    <s v="PROD-051"/>
    <x v="15"/>
    <n v="2"/>
    <n v="3450"/>
    <x v="127"/>
    <n v="5685.6"/>
    <x v="1"/>
    <s v="Hyderabad"/>
    <x v="1"/>
    <m/>
    <x v="2"/>
    <n v="32"/>
    <x v="4"/>
    <s v="Jun-24"/>
    <n v="2467"/>
    <n v="0.28492753623188405"/>
  </r>
  <r>
    <s v="ORD-00785"/>
    <x v="24"/>
    <s v="CUST-0069"/>
    <s v="PROD-034"/>
    <x v="18"/>
    <n v="1"/>
    <n v="5080"/>
    <x v="30"/>
    <n v="4780.28"/>
    <x v="0"/>
    <s v="Chennai"/>
    <x v="3"/>
    <m/>
    <x v="1"/>
    <n v="51"/>
    <x v="0"/>
    <m/>
    <m/>
    <m/>
  </r>
  <r>
    <s v="ORD-00786"/>
    <x v="234"/>
    <s v="CUST-0236"/>
    <s v="PROD-011"/>
    <x v="12"/>
    <n v="7"/>
    <n v="3450"/>
    <x v="166"/>
    <n v="19947.900000000001"/>
    <x v="0"/>
    <s v="Hyderabad"/>
    <x v="0"/>
    <m/>
    <x v="0"/>
    <n v="28"/>
    <x v="4"/>
    <s v="Apr-24"/>
    <n v="1748"/>
    <n v="0.49333333333333335"/>
  </r>
  <r>
    <s v="ORD-00787"/>
    <x v="210"/>
    <s v="CUST-0060"/>
    <s v="PROD-024"/>
    <x v="18"/>
    <n v="8"/>
    <n v="2270"/>
    <x v="175"/>
    <n v="13674.48"/>
    <x v="0"/>
    <s v="Pune"/>
    <x v="2"/>
    <m/>
    <x v="1"/>
    <n v="39"/>
    <x v="3"/>
    <s v="Mar-24"/>
    <n v="1203"/>
    <n v="0.47004405286343615"/>
  </r>
  <r>
    <s v="ORD-00788"/>
    <x v="37"/>
    <s v="CUST-0243"/>
    <s v="PROD-012"/>
    <x v="12"/>
    <n v="3"/>
    <n v="3160"/>
    <x v="156"/>
    <n v="9337.7999999999993"/>
    <x v="1"/>
    <s v="Pune"/>
    <x v="0"/>
    <m/>
    <x v="0"/>
    <n v="44"/>
    <x v="0"/>
    <m/>
    <m/>
    <m/>
  </r>
  <r>
    <s v="ORD-00789"/>
    <x v="44"/>
    <s v="CUST-0188"/>
    <s v="PROD-043"/>
    <x v="20"/>
    <n v="6"/>
    <n v="3350"/>
    <x v="122"/>
    <n v="19919.099999999999"/>
    <x v="1"/>
    <s v="Bengaluru"/>
    <x v="5"/>
    <m/>
    <x v="1"/>
    <n v="54"/>
    <x v="0"/>
    <m/>
    <m/>
    <m/>
  </r>
  <r>
    <s v="ORD-00790"/>
    <x v="47"/>
    <s v="CUST-0174"/>
    <s v="PROD-044"/>
    <x v="20"/>
    <n v="7"/>
    <n v="1650"/>
    <x v="174"/>
    <n v="10903.2"/>
    <x v="3"/>
    <s v="Pune"/>
    <x v="5"/>
    <m/>
    <x v="1"/>
    <n v="54"/>
    <x v="0"/>
    <m/>
    <m/>
    <m/>
  </r>
  <r>
    <s v="ORD-00791"/>
    <x v="73"/>
    <s v="CUST-0016"/>
    <s v="PROD-038"/>
    <x v="11"/>
    <n v="1"/>
    <n v="5490"/>
    <x v="6"/>
    <n v="5171.58"/>
    <x v="0"/>
    <s v="Delhi"/>
    <x v="3"/>
    <m/>
    <x v="0"/>
    <n v="26"/>
    <x v="2"/>
    <s v="Aug-24"/>
    <n v="2549"/>
    <n v="0.53570127504553733"/>
  </r>
  <r>
    <s v="ORD-00792"/>
    <x v="171"/>
    <s v="CUST-0184"/>
    <s v="PROD-040"/>
    <x v="6"/>
    <n v="3"/>
    <n v="1080"/>
    <x v="116"/>
    <n v="2562.84"/>
    <x v="0"/>
    <s v="Pune"/>
    <x v="3"/>
    <m/>
    <x v="1"/>
    <n v="63"/>
    <x v="0"/>
    <m/>
    <m/>
    <m/>
  </r>
  <r>
    <s v="ORD-00793"/>
    <x v="224"/>
    <s v="CUST-9568"/>
    <s v="PROD-027"/>
    <x v="26"/>
    <n v="10"/>
    <n v="3780"/>
    <x v="120"/>
    <n v="35721"/>
    <x v="0"/>
    <s v="Hyderabad"/>
    <x v="2"/>
    <m/>
    <x v="3"/>
    <e v="#N/A"/>
    <x v="0"/>
    <m/>
    <m/>
    <m/>
  </r>
  <r>
    <s v="ORD-00794"/>
    <x v="307"/>
    <s v="CUST-0118"/>
    <s v="PROD-033"/>
    <x v="14"/>
    <n v="2"/>
    <n v="2030"/>
    <x v="78"/>
    <n v="3978.8"/>
    <x v="1"/>
    <s v="Hyderabad"/>
    <x v="3"/>
    <m/>
    <x v="1"/>
    <n v="26"/>
    <x v="3"/>
    <s v="May-24"/>
    <n v="1143"/>
    <n v="0.43694581280788175"/>
  </r>
  <r>
    <s v="ORD-00795"/>
    <x v="329"/>
    <s v="CUST-0271"/>
    <s v="PROD-041"/>
    <x v="7"/>
    <n v="8"/>
    <n v="1540"/>
    <x v="269"/>
    <n v="11211.2"/>
    <x v="2"/>
    <s v="Bengaluru"/>
    <x v="5"/>
    <m/>
    <x v="2"/>
    <n v="41"/>
    <x v="0"/>
    <m/>
    <m/>
    <m/>
  </r>
  <r>
    <s v="ORD-00796"/>
    <x v="131"/>
    <s v="CUST-0147"/>
    <s v="PROD-036"/>
    <x v="15"/>
    <n v="9"/>
    <n v="3250"/>
    <x v="270"/>
    <n v="23253.75"/>
    <x v="0"/>
    <s v="Pune"/>
    <x v="3"/>
    <m/>
    <x v="1"/>
    <n v="56"/>
    <x v="0"/>
    <m/>
    <m/>
    <m/>
  </r>
  <r>
    <s v="ORD-00797"/>
    <x v="112"/>
    <s v="CUST-0253"/>
    <s v="PROD-047"/>
    <x v="1"/>
    <n v="3"/>
    <n v="3450"/>
    <x v="131"/>
    <n v="8497.35"/>
    <x v="0"/>
    <s v="Delhi"/>
    <x v="5"/>
    <m/>
    <x v="0"/>
    <n v="53"/>
    <x v="0"/>
    <m/>
    <m/>
    <m/>
  </r>
  <r>
    <s v="ORD-00798"/>
    <x v="172"/>
    <s v="CUST-0224"/>
    <s v="PROD-038"/>
    <x v="4"/>
    <n v="5"/>
    <n v="5490"/>
    <x v="96"/>
    <n v="25281.45"/>
    <x v="0"/>
    <s v="Chennai"/>
    <x v="3"/>
    <m/>
    <x v="2"/>
    <n v="24"/>
    <x v="1"/>
    <s v="Feb-24"/>
    <n v="2549"/>
    <n v="0.53570127504553733"/>
  </r>
  <r>
    <s v="ORD-00799"/>
    <x v="141"/>
    <s v="CUST-0134"/>
    <s v="PROD-032"/>
    <x v="20"/>
    <n v="3"/>
    <n v="370"/>
    <x v="106"/>
    <n v="961.26"/>
    <x v="0"/>
    <s v="Delhi"/>
    <x v="3"/>
    <m/>
    <x v="1"/>
    <n v="40"/>
    <x v="1"/>
    <s v="Jul-24"/>
    <n v="288"/>
    <n v="0.22162162162162163"/>
  </r>
  <r>
    <s v="ORD-00800"/>
    <x v="3"/>
    <s v="CUST-0287"/>
    <s v="PROD-001"/>
    <x v="18"/>
    <n v="7"/>
    <n v="5330"/>
    <x v="91"/>
    <n v="26228.93"/>
    <x v="1"/>
    <s v="Chennai"/>
    <x v="4"/>
    <m/>
    <x v="0"/>
    <n v="53"/>
    <x v="0"/>
    <m/>
    <m/>
    <m/>
  </r>
  <r>
    <s v="ORD-00801"/>
    <x v="213"/>
    <s v="CUST-0144"/>
    <s v="PROD-051"/>
    <x v="29"/>
    <n v="8"/>
    <n v="3450"/>
    <x v="129"/>
    <n v="21058.799999999999"/>
    <x v="0"/>
    <s v="Chennai"/>
    <x v="1"/>
    <m/>
    <x v="1"/>
    <n v="49"/>
    <x v="0"/>
    <m/>
    <m/>
    <m/>
  </r>
  <r>
    <s v="ORD-00802"/>
    <x v="309"/>
    <s v="CUST-0255"/>
    <s v="PROD-011"/>
    <x v="28"/>
    <n v="8"/>
    <n v="3450"/>
    <x v="75"/>
    <n v="26109.599999999999"/>
    <x v="0"/>
    <s v="Chennai"/>
    <x v="0"/>
    <m/>
    <x v="2"/>
    <n v="51"/>
    <x v="0"/>
    <m/>
    <m/>
    <m/>
  </r>
  <r>
    <s v="ORD-00803"/>
    <x v="325"/>
    <s v="CUST-0054"/>
    <s v="PROD-050"/>
    <x v="20"/>
    <n v="1"/>
    <n v="6080"/>
    <x v="255"/>
    <n v="4724.16"/>
    <x v="0"/>
    <s v="Mumbai"/>
    <x v="5"/>
    <m/>
    <x v="2"/>
    <n v="62"/>
    <x v="0"/>
    <m/>
    <m/>
    <m/>
  </r>
  <r>
    <s v="ORD-00804"/>
    <x v="100"/>
    <s v="CUST-0283"/>
    <s v="PROD-017"/>
    <x v="23"/>
    <n v="9"/>
    <n v="2510"/>
    <x v="230"/>
    <n v="16400.34"/>
    <x v="0"/>
    <s v="Delhi"/>
    <x v="0"/>
    <m/>
    <x v="0"/>
    <n v="50"/>
    <x v="0"/>
    <m/>
    <m/>
    <m/>
  </r>
  <r>
    <s v="ORD-00805"/>
    <x v="40"/>
    <s v="CUST-0182"/>
    <s v="PROD-054"/>
    <x v="27"/>
    <n v="10"/>
    <n v="1010"/>
    <x v="54"/>
    <n v="7231.6"/>
    <x v="0"/>
    <s v="Mumbai"/>
    <x v="1"/>
    <m/>
    <x v="1"/>
    <n v="54"/>
    <x v="0"/>
    <m/>
    <m/>
    <m/>
  </r>
  <r>
    <s v="ORD-00806"/>
    <x v="24"/>
    <s v="CUST-0289"/>
    <s v="PROD-018"/>
    <x v="12"/>
    <n v="1"/>
    <n v="3560"/>
    <x v="4"/>
    <n v="2634.4"/>
    <x v="0"/>
    <s v="Mumbai"/>
    <x v="0"/>
    <m/>
    <x v="1"/>
    <n v="54"/>
    <x v="0"/>
    <m/>
    <m/>
    <m/>
  </r>
  <r>
    <s v="ORD-00807"/>
    <x v="245"/>
    <s v="CUST-0104"/>
    <s v="PROD-045"/>
    <x v="3"/>
    <n v="8"/>
    <n v="3020"/>
    <x v="133"/>
    <n v="22492.959999999999"/>
    <x v="0"/>
    <s v="Hyderabad"/>
    <x v="5"/>
    <m/>
    <x v="2"/>
    <n v="43"/>
    <x v="0"/>
    <m/>
    <m/>
    <m/>
  </r>
  <r>
    <s v="ORD-00808"/>
    <x v="114"/>
    <s v="CUST-0085"/>
    <s v="PROD-026"/>
    <x v="21"/>
    <n v="1"/>
    <n v="4070"/>
    <x v="262"/>
    <n v="3736.26"/>
    <x v="0"/>
    <s v="Chennai"/>
    <x v="2"/>
    <m/>
    <x v="1"/>
    <n v="26"/>
    <x v="1"/>
    <s v="Apr-24"/>
    <n v="2027"/>
    <n v="0.50196560196560192"/>
  </r>
  <r>
    <s v="ORD-00809"/>
    <x v="324"/>
    <s v="CUST-0120"/>
    <s v="PROD-032"/>
    <x v="16"/>
    <n v="9"/>
    <n v="370"/>
    <x v="113"/>
    <n v="2670.66"/>
    <x v="0"/>
    <s v="Mumbai"/>
    <x v="3"/>
    <m/>
    <x v="1"/>
    <n v="29"/>
    <x v="3"/>
    <s v="Jan-24"/>
    <n v="288"/>
    <n v="0.22162162162162163"/>
  </r>
  <r>
    <s v="ORD-00810"/>
    <x v="227"/>
    <s v="CUST-0236"/>
    <s v="PROD-030"/>
    <x v="16"/>
    <n v="6"/>
    <n v="970"/>
    <x v="183"/>
    <n v="4877.16"/>
    <x v="0"/>
    <s v="Hyderabad"/>
    <x v="2"/>
    <m/>
    <x v="0"/>
    <n v="28"/>
    <x v="3"/>
    <s v="Feb-24"/>
    <n v="434"/>
    <n v="0.5525773195876289"/>
  </r>
  <r>
    <s v="ORD-00811"/>
    <x v="142"/>
    <s v="CUST-0094"/>
    <s v="PROD-015"/>
    <x v="7"/>
    <n v="10"/>
    <n v="2720"/>
    <x v="181"/>
    <n v="26384"/>
    <x v="1"/>
    <s v="Pune"/>
    <x v="0"/>
    <m/>
    <x v="0"/>
    <n v="60"/>
    <x v="0"/>
    <m/>
    <m/>
    <m/>
  </r>
  <r>
    <s v="ORD-00812"/>
    <x v="174"/>
    <s v="CUST-0030"/>
    <s v="PROD-058"/>
    <x v="2"/>
    <n v="7"/>
    <n v="2400"/>
    <x v="192"/>
    <n v="11860.8"/>
    <x v="0"/>
    <s v="Bengaluru"/>
    <x v="1"/>
    <m/>
    <x v="2"/>
    <n v="43"/>
    <x v="0"/>
    <m/>
    <m/>
    <m/>
  </r>
  <r>
    <s v="ORD-00813"/>
    <x v="148"/>
    <s v="CUST-0172"/>
    <s v="PROD-018"/>
    <x v="27"/>
    <n v="8"/>
    <n v="3560"/>
    <x v="11"/>
    <n v="22299.84"/>
    <x v="0"/>
    <s v="Pune"/>
    <x v="0"/>
    <m/>
    <x v="1"/>
    <n v="65"/>
    <x v="0"/>
    <m/>
    <m/>
    <m/>
  </r>
  <r>
    <s v="ORD-00814"/>
    <x v="217"/>
    <s v="CUST-0221"/>
    <s v="PROD-026"/>
    <x v="15"/>
    <n v="7"/>
    <n v="4070"/>
    <x v="184"/>
    <n v="25498.55"/>
    <x v="0"/>
    <s v="Delhi"/>
    <x v="2"/>
    <m/>
    <x v="0"/>
    <n v="29"/>
    <x v="4"/>
    <s v="Sep-24"/>
    <n v="2027"/>
    <n v="0.50196560196560192"/>
  </r>
  <r>
    <s v="ORD-01052"/>
    <x v="193"/>
    <s v="CUST-0151"/>
    <s v="PROD-052"/>
    <x v="4"/>
    <n v="3"/>
    <n v="5410"/>
    <x v="271"/>
    <n v="16197.54"/>
    <x v="0"/>
    <s v="Mumbai"/>
    <x v="1"/>
    <m/>
    <x v="1"/>
    <n v="53"/>
    <x v="0"/>
    <m/>
    <m/>
    <m/>
  </r>
  <r>
    <s v="ORD-00816"/>
    <x v="330"/>
    <s v="CUST-0068"/>
    <s v="PROD-021"/>
    <x v="8"/>
    <n v="4"/>
    <n v="2760"/>
    <x v="118"/>
    <n v="8004"/>
    <x v="2"/>
    <s v="Delhi"/>
    <x v="2"/>
    <m/>
    <x v="0"/>
    <n v="48"/>
    <x v="0"/>
    <m/>
    <m/>
    <m/>
  </r>
  <r>
    <s v="ORD-01136"/>
    <x v="267"/>
    <s v="CUST-0165"/>
    <s v="PROD-034"/>
    <x v="22"/>
    <n v="3"/>
    <n v="5080"/>
    <x v="272"/>
    <n v="11094.72"/>
    <x v="0"/>
    <s v="Pune"/>
    <x v="3"/>
    <m/>
    <x v="1"/>
    <n v="29"/>
    <x v="2"/>
    <s v="Dec-24"/>
    <n v="2459"/>
    <n v="0.51594488188976373"/>
  </r>
  <r>
    <s v="ORD-00818"/>
    <x v="139"/>
    <s v="CUST-0060"/>
    <s v="PROD-035"/>
    <x v="21"/>
    <n v="5"/>
    <n v="1090"/>
    <x v="2"/>
    <n v="5270.15"/>
    <x v="0"/>
    <s v="Pune"/>
    <x v="3"/>
    <m/>
    <x v="1"/>
    <n v="39"/>
    <x v="4"/>
    <s v="Jul-24"/>
    <n v="464"/>
    <n v="0.57431192660550456"/>
  </r>
  <r>
    <s v="ORD-00819"/>
    <x v="60"/>
    <s v="CUST-0130"/>
    <s v="PROD-023"/>
    <x v="20"/>
    <n v="10"/>
    <n v="2380"/>
    <x v="273"/>
    <n v="22134"/>
    <x v="0"/>
    <s v="Bengaluru"/>
    <x v="2"/>
    <m/>
    <x v="2"/>
    <n v="41"/>
    <x v="0"/>
    <m/>
    <m/>
    <m/>
  </r>
  <r>
    <s v="ORD-00820"/>
    <x v="156"/>
    <s v="CUST-0023"/>
    <s v="PROD-012"/>
    <x v="17"/>
    <n v="5"/>
    <n v="3160"/>
    <x v="247"/>
    <n v="11755.2"/>
    <x v="0"/>
    <s v="Chennai"/>
    <x v="0"/>
    <m/>
    <x v="0"/>
    <n v="43"/>
    <x v="0"/>
    <m/>
    <m/>
    <m/>
  </r>
  <r>
    <s v="ORD-00821"/>
    <x v="331"/>
    <s v="CUST-0089"/>
    <s v="PROD-058"/>
    <x v="20"/>
    <n v="9"/>
    <n v="2400"/>
    <x v="68"/>
    <n v="19785.599999999999"/>
    <x v="0"/>
    <s v="Mumbai"/>
    <x v="1"/>
    <m/>
    <x v="0"/>
    <n v="43"/>
    <x v="0"/>
    <m/>
    <m/>
    <m/>
  </r>
  <r>
    <s v="ORD-00822"/>
    <x v="121"/>
    <s v="CUST-0300"/>
    <s v="PROD-002"/>
    <x v="16"/>
    <n v="4"/>
    <n v="2600"/>
    <x v="108"/>
    <n v="9963.2000000000007"/>
    <x v="0"/>
    <s v="Mumbai"/>
    <x v="4"/>
    <m/>
    <x v="1"/>
    <n v="38"/>
    <x v="2"/>
    <s v="Mar-24"/>
    <n v="1052"/>
    <n v="0.5953846153846154"/>
  </r>
  <r>
    <s v="ORD-00823"/>
    <x v="132"/>
    <s v="CUST-9578"/>
    <s v="PROD-024"/>
    <x v="12"/>
    <n v="5"/>
    <n v="2270"/>
    <x v="177"/>
    <n v="11338.65"/>
    <x v="0"/>
    <s v="Mumbai"/>
    <x v="2"/>
    <m/>
    <x v="3"/>
    <e v="#N/A"/>
    <x v="0"/>
    <m/>
    <m/>
    <m/>
  </r>
  <r>
    <s v="ORD-00824"/>
    <x v="57"/>
    <s v="CUST-0130"/>
    <s v="PROD-038"/>
    <x v="16"/>
    <n v="7"/>
    <n v="5490"/>
    <x v="274"/>
    <n v="32703.93"/>
    <x v="0"/>
    <s v="Bengaluru"/>
    <x v="3"/>
    <m/>
    <x v="2"/>
    <n v="41"/>
    <x v="0"/>
    <m/>
    <m/>
    <m/>
  </r>
  <r>
    <s v="ORD-00825"/>
    <x v="209"/>
    <s v="CUST-0247"/>
    <s v="PROD-004"/>
    <x v="18"/>
    <n v="5"/>
    <n v="3870"/>
    <x v="275"/>
    <n v="16776.45"/>
    <x v="2"/>
    <s v="Pune"/>
    <x v="4"/>
    <m/>
    <x v="0"/>
    <n v="35"/>
    <x v="3"/>
    <s v="Jun-24"/>
    <n v="1559"/>
    <n v="0.59715762273901807"/>
  </r>
  <r>
    <s v="ORD-00826"/>
    <x v="332"/>
    <s v="CUST-0256"/>
    <s v="PROD-049"/>
    <x v="6"/>
    <n v="2"/>
    <n v="960"/>
    <x v="167"/>
    <n v="1584"/>
    <x v="0"/>
    <s v="Hyderabad"/>
    <x v="5"/>
    <m/>
    <x v="1"/>
    <n v="28"/>
    <x v="4"/>
    <s v="May-24"/>
    <n v="675"/>
    <n v="0.296875"/>
  </r>
  <r>
    <s v="ORD-00827"/>
    <x v="171"/>
    <s v="CUST-0213"/>
    <s v="PROD-046"/>
    <x v="19"/>
    <n v="4"/>
    <n v="4880"/>
    <x v="64"/>
    <n v="17138.560000000001"/>
    <x v="2"/>
    <s v="Mumbai"/>
    <x v="5"/>
    <m/>
    <x v="1"/>
    <n v="37"/>
    <x v="2"/>
    <s v="Mar-24"/>
    <n v="2768"/>
    <n v="0.43278688524590164"/>
  </r>
  <r>
    <s v="ORD-00828"/>
    <x v="140"/>
    <s v="CUST-0183"/>
    <s v="PROD-058"/>
    <x v="4"/>
    <n v="5"/>
    <n v="2400"/>
    <x v="224"/>
    <n v="10200"/>
    <x v="0"/>
    <s v="Mumbai"/>
    <x v="1"/>
    <m/>
    <x v="0"/>
    <n v="27"/>
    <x v="1"/>
    <s v="Apr-24"/>
    <n v="974"/>
    <n v="0.59416666666666662"/>
  </r>
  <r>
    <s v="ORD-00829"/>
    <x v="190"/>
    <s v="CUST-0051"/>
    <s v="PROD-016"/>
    <x v="15"/>
    <n v="9"/>
    <n v="620"/>
    <x v="201"/>
    <n v="4441.68"/>
    <x v="1"/>
    <s v="Pune"/>
    <x v="0"/>
    <m/>
    <x v="0"/>
    <n v="54"/>
    <x v="0"/>
    <m/>
    <m/>
    <m/>
  </r>
  <r>
    <s v="ORD-00830"/>
    <x v="191"/>
    <s v="CUST-0001"/>
    <s v="PROD-039"/>
    <x v="22"/>
    <n v="1"/>
    <n v="4610"/>
    <x v="200"/>
    <n v="4527.0200000000004"/>
    <x v="1"/>
    <s v="Pune"/>
    <x v="3"/>
    <m/>
    <x v="1"/>
    <n v="36"/>
    <x v="4"/>
    <s v="Aug-24"/>
    <n v="1850"/>
    <n v="0.59869848156182215"/>
  </r>
  <r>
    <s v="ORD-00831"/>
    <x v="66"/>
    <s v="CUST-0105"/>
    <s v="PROD-039"/>
    <x v="2"/>
    <n v="7"/>
    <n v="4610"/>
    <x v="276"/>
    <n v="23557.1"/>
    <x v="0"/>
    <s v="Chennai"/>
    <x v="3"/>
    <m/>
    <x v="0"/>
    <n v="51"/>
    <x v="0"/>
    <m/>
    <m/>
    <m/>
  </r>
  <r>
    <s v="ORD-00832"/>
    <x v="170"/>
    <s v="CUST-0199"/>
    <s v="PROD-030"/>
    <x v="20"/>
    <n v="6"/>
    <n v="970"/>
    <x v="250"/>
    <n v="5546.46"/>
    <x v="2"/>
    <s v="Hyderabad"/>
    <x v="2"/>
    <m/>
    <x v="0"/>
    <n v="31"/>
    <x v="4"/>
    <s v="Jul-24"/>
    <n v="434"/>
    <n v="0.5525773195876289"/>
  </r>
  <r>
    <s v="ORD-00833"/>
    <x v="331"/>
    <s v="CUST-0240"/>
    <s v="PROD-007"/>
    <x v="17"/>
    <n v="8"/>
    <n v="1430"/>
    <x v="41"/>
    <n v="10444.719999999999"/>
    <x v="0"/>
    <s v="Chennai"/>
    <x v="4"/>
    <m/>
    <x v="2"/>
    <n v="35"/>
    <x v="2"/>
    <s v="Nov-24"/>
    <n v="861"/>
    <n v="0.39790209790209791"/>
  </r>
  <r>
    <s v="ORD-00834"/>
    <x v="333"/>
    <s v="CUST-0283"/>
    <s v="PROD-027"/>
    <x v="23"/>
    <n v="5"/>
    <n v="3780"/>
    <x v="209"/>
    <n v="18351.900000000001"/>
    <x v="0"/>
    <s v="Delhi"/>
    <x v="2"/>
    <m/>
    <x v="0"/>
    <n v="50"/>
    <x v="0"/>
    <m/>
    <m/>
    <m/>
  </r>
  <r>
    <s v="ORD-00835"/>
    <x v="147"/>
    <s v="CUST-0284"/>
    <s v="PROD-041"/>
    <x v="12"/>
    <n v="2"/>
    <n v="1540"/>
    <x v="39"/>
    <n v="2688.84"/>
    <x v="0"/>
    <s v="Hyderabad"/>
    <x v="5"/>
    <m/>
    <x v="0"/>
    <n v="65"/>
    <x v="0"/>
    <m/>
    <m/>
    <m/>
  </r>
  <r>
    <s v="ORD-00836"/>
    <x v="155"/>
    <s v="CUST-0060"/>
    <s v="PROD-040"/>
    <x v="16"/>
    <n v="9"/>
    <n v="1080"/>
    <x v="168"/>
    <n v="8631.36"/>
    <x v="2"/>
    <s v="Pune"/>
    <x v="3"/>
    <m/>
    <x v="1"/>
    <n v="39"/>
    <x v="3"/>
    <s v="Aug-24"/>
    <n v="519"/>
    <n v="0.51944444444444449"/>
  </r>
  <r>
    <s v="ORD-00837"/>
    <x v="213"/>
    <s v="CUST-0266"/>
    <s v="PROD-058"/>
    <x v="0"/>
    <n v="3"/>
    <n v="2400"/>
    <x v="132"/>
    <n v="5140.8"/>
    <x v="0"/>
    <s v="Pune"/>
    <x v="1"/>
    <m/>
    <x v="1"/>
    <n v="65"/>
    <x v="0"/>
    <m/>
    <m/>
    <m/>
  </r>
  <r>
    <s v="ORD-00838"/>
    <x v="120"/>
    <s v="CUST-0056"/>
    <s v="PROD-040"/>
    <x v="26"/>
    <n v="5"/>
    <n v="1080"/>
    <x v="31"/>
    <n v="4411.8"/>
    <x v="0"/>
    <s v="Bengaluru"/>
    <x v="3"/>
    <m/>
    <x v="0"/>
    <n v="46"/>
    <x v="0"/>
    <m/>
    <m/>
    <m/>
  </r>
  <r>
    <s v="ORD-00839"/>
    <x v="294"/>
    <s v="CUST-0187"/>
    <s v="PROD-024"/>
    <x v="28"/>
    <n v="7"/>
    <n v="2270"/>
    <x v="260"/>
    <n v="15619.87"/>
    <x v="2"/>
    <s v="Chennai"/>
    <x v="2"/>
    <m/>
    <x v="0"/>
    <n v="51"/>
    <x v="0"/>
    <m/>
    <m/>
    <m/>
  </r>
  <r>
    <s v="ORD-00840"/>
    <x v="334"/>
    <s v="CUST-0183"/>
    <s v="PROD-028"/>
    <x v="17"/>
    <n v="8"/>
    <n v="3660"/>
    <x v="61"/>
    <n v="23687.52"/>
    <x v="2"/>
    <s v="Mumbai"/>
    <x v="2"/>
    <m/>
    <x v="0"/>
    <n v="27"/>
    <x v="2"/>
    <s v="Nov-24"/>
    <n v="2214"/>
    <n v="0.39508196721311473"/>
  </r>
  <r>
    <s v="ORD-00841"/>
    <x v="302"/>
    <s v="CUST-0068"/>
    <s v="PROD-036"/>
    <x v="11"/>
    <n v="5"/>
    <n v="3250"/>
    <x v="114"/>
    <n v="14153.75"/>
    <x v="0"/>
    <s v="Delhi"/>
    <x v="3"/>
    <m/>
    <x v="0"/>
    <n v="48"/>
    <x v="0"/>
    <m/>
    <m/>
    <m/>
  </r>
  <r>
    <s v="ORD-00842"/>
    <x v="60"/>
    <s v="CUST-0135"/>
    <s v="PROD-044"/>
    <x v="27"/>
    <n v="4"/>
    <n v="1650"/>
    <x v="195"/>
    <n v="6329.4"/>
    <x v="0"/>
    <s v="Pune"/>
    <x v="5"/>
    <m/>
    <x v="0"/>
    <n v="24"/>
    <x v="1"/>
    <s v="Jul-24"/>
    <n v="1222"/>
    <n v="0.2593939393939394"/>
  </r>
  <r>
    <s v="ORD-00843"/>
    <x v="207"/>
    <s v="CUST-0191"/>
    <s v="PROD-034"/>
    <x v="11"/>
    <n v="6"/>
    <n v="5080"/>
    <x v="181"/>
    <n v="29565.599999999999"/>
    <x v="0"/>
    <s v="Hyderabad"/>
    <x v="3"/>
    <m/>
    <x v="0"/>
    <n v="43"/>
    <x v="0"/>
    <m/>
    <m/>
    <m/>
  </r>
  <r>
    <s v="ORD-00844"/>
    <x v="105"/>
    <s v="CUST-0244"/>
    <s v="PROD-051"/>
    <x v="28"/>
    <n v="8"/>
    <n v="3450"/>
    <x v="116"/>
    <n v="21831.599999999999"/>
    <x v="0"/>
    <s v="Bengaluru"/>
    <x v="1"/>
    <m/>
    <x v="1"/>
    <n v="61"/>
    <x v="0"/>
    <m/>
    <m/>
    <m/>
  </r>
  <r>
    <s v="ORD-00845"/>
    <x v="335"/>
    <s v="CUST-0189"/>
    <s v="PROD-043"/>
    <x v="26"/>
    <n v="6"/>
    <n v="3350"/>
    <x v="277"/>
    <n v="15115.2"/>
    <x v="0"/>
    <s v="Chennai"/>
    <x v="5"/>
    <m/>
    <x v="1"/>
    <n v="41"/>
    <x v="0"/>
    <m/>
    <m/>
    <m/>
  </r>
  <r>
    <s v="ORD-00846"/>
    <x v="310"/>
    <s v="CUST-0166"/>
    <s v="PROD-029"/>
    <x v="28"/>
    <n v="10"/>
    <n v="2210"/>
    <x v="108"/>
    <n v="21171.8"/>
    <x v="0"/>
    <s v="Hyderabad"/>
    <x v="2"/>
    <m/>
    <x v="1"/>
    <n v="31"/>
    <x v="3"/>
    <s v="May-24"/>
    <n v="1010"/>
    <n v="0.54298642533936647"/>
  </r>
  <r>
    <s v="ORD-00847"/>
    <x v="328"/>
    <s v="CUST-0167"/>
    <s v="PROD-046"/>
    <x v="3"/>
    <n v="10"/>
    <n v="4880"/>
    <x v="134"/>
    <n v="48458.400000000001"/>
    <x v="0"/>
    <s v="Delhi"/>
    <x v="5"/>
    <m/>
    <x v="1"/>
    <n v="43"/>
    <x v="0"/>
    <m/>
    <m/>
    <m/>
  </r>
  <r>
    <s v="ORD-00848"/>
    <x v="264"/>
    <s v="CUST-0265"/>
    <s v="PROD-055"/>
    <x v="10"/>
    <n v="7"/>
    <n v="2860"/>
    <x v="226"/>
    <n v="14394.38"/>
    <x v="1"/>
    <s v="Chennai"/>
    <x v="1"/>
    <m/>
    <x v="1"/>
    <n v="49"/>
    <x v="0"/>
    <m/>
    <m/>
    <m/>
  </r>
  <r>
    <s v="ORD-00849"/>
    <x v="248"/>
    <s v="CUST-0172"/>
    <s v="PROD-030"/>
    <x v="1"/>
    <n v="3"/>
    <n v="970"/>
    <x v="141"/>
    <n v="2086.4699999999998"/>
    <x v="0"/>
    <s v="Pune"/>
    <x v="2"/>
    <m/>
    <x v="1"/>
    <n v="65"/>
    <x v="0"/>
    <m/>
    <m/>
    <m/>
  </r>
  <r>
    <s v="ORD-00850"/>
    <x v="315"/>
    <s v="CUST-0205"/>
    <s v="PROD-022"/>
    <x v="4"/>
    <n v="1"/>
    <n v="2270"/>
    <x v="176"/>
    <n v="1927.23"/>
    <x v="0"/>
    <s v="Pune"/>
    <x v="2"/>
    <m/>
    <x v="2"/>
    <n v="29"/>
    <x v="1"/>
    <s v="Oct-24"/>
    <n v="1412"/>
    <n v="0.37797356828193834"/>
  </r>
  <r>
    <s v="ORD-00851"/>
    <x v="258"/>
    <s v="CUST-0102"/>
    <s v="PROD-018"/>
    <x v="15"/>
    <n v="5"/>
    <n v="3560"/>
    <x v="44"/>
    <n v="15753"/>
    <x v="0"/>
    <s v="Chennai"/>
    <x v="0"/>
    <m/>
    <x v="0"/>
    <n v="62"/>
    <x v="0"/>
    <m/>
    <m/>
    <m/>
  </r>
  <r>
    <s v="ORD-00852"/>
    <x v="140"/>
    <s v="CUST-0142"/>
    <s v="PROD-052"/>
    <x v="9"/>
    <n v="2"/>
    <n v="5410"/>
    <x v="112"/>
    <n v="9218.64"/>
    <x v="1"/>
    <s v="Chennai"/>
    <x v="1"/>
    <m/>
    <x v="2"/>
    <n v="55"/>
    <x v="0"/>
    <m/>
    <m/>
    <m/>
  </r>
  <r>
    <s v="ORD-00853"/>
    <x v="165"/>
    <s v="CUST-0195"/>
    <s v="PROD-019"/>
    <x v="3"/>
    <n v="2"/>
    <n v="2480"/>
    <x v="272"/>
    <n v="3610.88"/>
    <x v="0"/>
    <s v="Bengaluru"/>
    <x v="0"/>
    <m/>
    <x v="1"/>
    <n v="28"/>
    <x v="4"/>
    <s v="May-24"/>
    <n v="1173"/>
    <n v="0.52701612903225803"/>
  </r>
  <r>
    <s v="ORD-00854"/>
    <x v="154"/>
    <s v="CUST-0125"/>
    <s v="PROD-020"/>
    <x v="2"/>
    <n v="6"/>
    <n v="820"/>
    <x v="136"/>
    <n v="4595.28"/>
    <x v="0"/>
    <s v="Delhi"/>
    <x v="0"/>
    <m/>
    <x v="1"/>
    <n v="45"/>
    <x v="0"/>
    <m/>
    <m/>
    <m/>
  </r>
  <r>
    <s v="ORD-00855"/>
    <x v="224"/>
    <s v="CUST-0234"/>
    <s v="PROD-001"/>
    <x v="15"/>
    <n v="10"/>
    <n v="5330"/>
    <x v="111"/>
    <n v="44718.7"/>
    <x v="0"/>
    <s v="Bengaluru"/>
    <x v="4"/>
    <m/>
    <x v="1"/>
    <n v="34"/>
    <x v="4"/>
    <s v="Feb-24"/>
    <n v="2405"/>
    <n v="0.54878048780487809"/>
  </r>
  <r>
    <s v="ORD-00856"/>
    <x v="334"/>
    <s v="CUST-0061"/>
    <s v="PROD-047"/>
    <x v="10"/>
    <n v="2"/>
    <n v="3450"/>
    <x v="139"/>
    <n v="6120.3"/>
    <x v="1"/>
    <s v="Hyderabad"/>
    <x v="5"/>
    <m/>
    <x v="1"/>
    <n v="64"/>
    <x v="0"/>
    <m/>
    <m/>
    <m/>
  </r>
  <r>
    <s v="ORD-00857"/>
    <x v="97"/>
    <s v="CUST-0189"/>
    <s v="PROD-049"/>
    <x v="12"/>
    <n v="7"/>
    <n v="960"/>
    <x v="150"/>
    <n v="5570.88"/>
    <x v="0"/>
    <s v="Chennai"/>
    <x v="5"/>
    <m/>
    <x v="1"/>
    <n v="41"/>
    <x v="0"/>
    <m/>
    <m/>
    <m/>
  </r>
  <r>
    <s v="ORD-00858"/>
    <x v="235"/>
    <s v="CUST-0191"/>
    <s v="PROD-011"/>
    <x v="11"/>
    <n v="5"/>
    <n v="3450"/>
    <x v="246"/>
    <n v="13299.75"/>
    <x v="0"/>
    <s v="Hyderabad"/>
    <x v="0"/>
    <m/>
    <x v="0"/>
    <n v="43"/>
    <x v="0"/>
    <m/>
    <m/>
    <m/>
  </r>
  <r>
    <s v="ORD-00859"/>
    <x v="287"/>
    <s v="CUST-0217"/>
    <s v="PROD-009"/>
    <x v="4"/>
    <n v="5"/>
    <n v="1220"/>
    <x v="45"/>
    <n v="6081.7"/>
    <x v="0"/>
    <s v="Pune"/>
    <x v="4"/>
    <m/>
    <x v="0"/>
    <n v="59"/>
    <x v="0"/>
    <m/>
    <m/>
    <m/>
  </r>
  <r>
    <s v="ORD-00860"/>
    <x v="231"/>
    <s v="CUST-0060"/>
    <s v="PROD-001"/>
    <x v="0"/>
    <n v="5"/>
    <n v="5330"/>
    <x v="5"/>
    <n v="18921.5"/>
    <x v="0"/>
    <s v="Pune"/>
    <x v="4"/>
    <m/>
    <x v="1"/>
    <n v="39"/>
    <x v="1"/>
    <s v="Dec-24"/>
    <n v="2405"/>
    <n v="0.54878048780487809"/>
  </r>
  <r>
    <s v="ORD-00861"/>
    <x v="29"/>
    <s v="CUST-0270"/>
    <s v="PROD-003"/>
    <x v="8"/>
    <n v="3"/>
    <n v="3570"/>
    <x v="278"/>
    <n v="8568"/>
    <x v="2"/>
    <s v="Bengaluru"/>
    <x v="4"/>
    <m/>
    <x v="1"/>
    <n v="29"/>
    <x v="1"/>
    <s v="Jan-24"/>
    <n v="1665"/>
    <n v="0.53361344537815125"/>
  </r>
  <r>
    <s v="ORD-00862"/>
    <x v="8"/>
    <s v="CUST-0279"/>
    <s v="PROD-029"/>
    <x v="17"/>
    <n v="9"/>
    <n v="2210"/>
    <x v="79"/>
    <n v="17423.64"/>
    <x v="0"/>
    <s v="Mumbai"/>
    <x v="2"/>
    <m/>
    <x v="1"/>
    <n v="56"/>
    <x v="0"/>
    <m/>
    <m/>
    <m/>
  </r>
  <r>
    <s v="ORD-00863"/>
    <x v="272"/>
    <s v="CUST-0008"/>
    <s v="PROD-059"/>
    <x v="20"/>
    <n v="5"/>
    <n v="3780"/>
    <x v="164"/>
    <n v="18162.900000000001"/>
    <x v="0"/>
    <s v="Pune"/>
    <x v="1"/>
    <m/>
    <x v="0"/>
    <n v="39"/>
    <x v="2"/>
    <s v="Apr-24"/>
    <n v="1860"/>
    <n v="0.50793650793650791"/>
  </r>
  <r>
    <s v="ORD-00864"/>
    <x v="17"/>
    <s v="CUST-0259"/>
    <s v="PROD-010"/>
    <x v="4"/>
    <n v="10"/>
    <n v="2640"/>
    <x v="263"/>
    <n v="21700.799999999999"/>
    <x v="3"/>
    <s v="Mumbai"/>
    <x v="4"/>
    <m/>
    <x v="1"/>
    <n v="34"/>
    <x v="2"/>
    <s v="Jan-24"/>
    <n v="1149"/>
    <n v="0.56477272727272732"/>
  </r>
  <r>
    <s v="ORD-00865"/>
    <x v="279"/>
    <s v="CUST-0169"/>
    <s v="PROD-005"/>
    <x v="6"/>
    <n v="5"/>
    <n v="300"/>
    <x v="114"/>
    <n v="1306.5"/>
    <x v="0"/>
    <s v="Bengaluru"/>
    <x v="4"/>
    <m/>
    <x v="0"/>
    <n v="42"/>
    <x v="0"/>
    <m/>
    <m/>
    <m/>
  </r>
  <r>
    <s v="ORD-00866"/>
    <x v="276"/>
    <s v="CUST-0191"/>
    <s v="PROD-058"/>
    <x v="22"/>
    <n v="2"/>
    <n v="2400"/>
    <x v="150"/>
    <n v="3979.2"/>
    <x v="1"/>
    <s v="Hyderabad"/>
    <x v="1"/>
    <m/>
    <x v="0"/>
    <n v="43"/>
    <x v="0"/>
    <m/>
    <m/>
    <m/>
  </r>
  <r>
    <s v="ORD-00867"/>
    <x v="336"/>
    <s v="CUST-0129"/>
    <s v="PROD-040"/>
    <x v="17"/>
    <n v="5"/>
    <n v="1080"/>
    <x v="3"/>
    <n v="4552.2"/>
    <x v="1"/>
    <s v="Hyderabad"/>
    <x v="3"/>
    <m/>
    <x v="1"/>
    <n v="29"/>
    <x v="4"/>
    <s v="Oct-24"/>
    <n v="519"/>
    <n v="0.51944444444444449"/>
  </r>
  <r>
    <s v="ORD-00868"/>
    <x v="72"/>
    <s v="CUST-0066"/>
    <s v="PROD-036"/>
    <x v="11"/>
    <n v="1"/>
    <n v="3250"/>
    <x v="279"/>
    <n v="2772.25"/>
    <x v="0"/>
    <s v="Delhi"/>
    <x v="3"/>
    <m/>
    <x v="1"/>
    <n v="24"/>
    <x v="2"/>
    <s v="Oct-24"/>
    <n v="1556"/>
    <n v="0.52123076923076928"/>
  </r>
  <r>
    <s v="ORD-00869"/>
    <x v="169"/>
    <s v="CUST-0114"/>
    <s v="PROD-032"/>
    <x v="13"/>
    <n v="7"/>
    <n v="370"/>
    <x v="242"/>
    <n v="2434.6"/>
    <x v="2"/>
    <s v="Bengaluru"/>
    <x v="3"/>
    <m/>
    <x v="2"/>
    <n v="42"/>
    <x v="0"/>
    <m/>
    <m/>
    <m/>
  </r>
  <r>
    <s v="ORD-00870"/>
    <x v="186"/>
    <s v="CUST-9833"/>
    <s v="PROD-038"/>
    <x v="20"/>
    <n v="7"/>
    <n v="5490"/>
    <x v="15"/>
    <n v="34510.14"/>
    <x v="0"/>
    <s v="Pune"/>
    <x v="3"/>
    <m/>
    <x v="3"/>
    <e v="#N/A"/>
    <x v="0"/>
    <m/>
    <m/>
    <m/>
  </r>
  <r>
    <s v="ORD-00871"/>
    <x v="337"/>
    <s v="CUST-0076"/>
    <s v="PROD-006"/>
    <x v="8"/>
    <n v="3"/>
    <n v="3970"/>
    <x v="7"/>
    <n v="11624.16"/>
    <x v="0"/>
    <s v="Mumbai"/>
    <x v="4"/>
    <m/>
    <x v="1"/>
    <n v="38"/>
    <x v="2"/>
    <s v="Feb-24"/>
    <n v="2865"/>
    <n v="0.27833753148614609"/>
  </r>
  <r>
    <s v="ORD-00872"/>
    <x v="336"/>
    <s v="CUST-0215"/>
    <s v="PROD-009"/>
    <x v="0"/>
    <n v="4"/>
    <n v="1220"/>
    <x v="57"/>
    <n v="3645.36"/>
    <x v="0"/>
    <s v="Hyderabad"/>
    <x v="4"/>
    <m/>
    <x v="1"/>
    <n v="52"/>
    <x v="0"/>
    <m/>
    <m/>
    <m/>
  </r>
  <r>
    <s v="ORD-00873"/>
    <x v="132"/>
    <s v="CUST-0061"/>
    <s v="PROD-012"/>
    <x v="17"/>
    <n v="3"/>
    <n v="3160"/>
    <x v="113"/>
    <n v="7602.96"/>
    <x v="0"/>
    <s v="Hyderabad"/>
    <x v="0"/>
    <m/>
    <x v="1"/>
    <n v="64"/>
    <x v="0"/>
    <m/>
    <m/>
    <m/>
  </r>
  <r>
    <s v="ORD-00874"/>
    <x v="195"/>
    <s v="CUST-0249"/>
    <s v="PROD-005"/>
    <x v="4"/>
    <n v="1"/>
    <n v="300"/>
    <x v="161"/>
    <n v="226.5"/>
    <x v="0"/>
    <s v="Mumbai"/>
    <x v="4"/>
    <m/>
    <x v="1"/>
    <n v="44"/>
    <x v="0"/>
    <m/>
    <m/>
    <m/>
  </r>
  <r>
    <s v="ORD-00875"/>
    <x v="16"/>
    <s v="CUST-0105"/>
    <s v="PROD-047"/>
    <x v="20"/>
    <n v="5"/>
    <n v="3450"/>
    <x v="106"/>
    <n v="14938.5"/>
    <x v="1"/>
    <s v="Chennai"/>
    <x v="5"/>
    <m/>
    <x v="0"/>
    <n v="51"/>
    <x v="0"/>
    <m/>
    <m/>
    <m/>
  </r>
  <r>
    <s v="ORD-00876"/>
    <x v="245"/>
    <s v="CUST-0161"/>
    <s v="PROD-014"/>
    <x v="28"/>
    <n v="7"/>
    <n v="3620"/>
    <x v="80"/>
    <n v="20474.72"/>
    <x v="0"/>
    <s v="Chennai"/>
    <x v="0"/>
    <m/>
    <x v="1"/>
    <n v="38"/>
    <x v="2"/>
    <s v="Dec-24"/>
    <n v="2509"/>
    <n v="0.3069060773480663"/>
  </r>
  <r>
    <s v="ORD-00877"/>
    <x v="265"/>
    <s v="CUST-0275"/>
    <s v="PROD-024"/>
    <x v="9"/>
    <n v="10"/>
    <n v="2270"/>
    <x v="270"/>
    <n v="18046.5"/>
    <x v="0"/>
    <s v="Mumbai"/>
    <x v="2"/>
    <m/>
    <x v="1"/>
    <n v="36"/>
    <x v="2"/>
    <s v="Apr-24"/>
    <n v="1203"/>
    <n v="0.47004405286343615"/>
  </r>
  <r>
    <s v="ORD-00878"/>
    <x v="194"/>
    <s v="CUST-0049"/>
    <s v="PROD-015"/>
    <x v="6"/>
    <n v="5"/>
    <n v="2720"/>
    <x v="99"/>
    <n v="9615.2000000000007"/>
    <x v="0"/>
    <s v="Mumbai"/>
    <x v="0"/>
    <m/>
    <x v="2"/>
    <n v="42"/>
    <x v="0"/>
    <m/>
    <m/>
    <m/>
  </r>
  <r>
    <s v="ORD-00879"/>
    <x v="59"/>
    <s v="CUST-0235"/>
    <s v="PROD-027"/>
    <x v="24"/>
    <n v="9"/>
    <n v="3780"/>
    <x v="98"/>
    <n v="33237.54"/>
    <x v="0"/>
    <s v="Chennai"/>
    <x v="2"/>
    <m/>
    <x v="1"/>
    <n v="31"/>
    <x v="2"/>
    <s v="Apr-24"/>
    <n v="2436"/>
    <n v="0.35555555555555557"/>
  </r>
  <r>
    <s v="ORD-00880"/>
    <x v="184"/>
    <s v="CUST-0220"/>
    <s v="PROD-025"/>
    <x v="2"/>
    <n v="9"/>
    <n v="4060"/>
    <x v="44"/>
    <n v="32337.9"/>
    <x v="0"/>
    <s v="Chennai"/>
    <x v="2"/>
    <m/>
    <x v="1"/>
    <n v="34"/>
    <x v="3"/>
    <s v="Jul-24"/>
    <n v="2911"/>
    <n v="0.28300492610837441"/>
  </r>
  <r>
    <s v="ORD-00881"/>
    <x v="25"/>
    <s v="CUST-0298"/>
    <s v="PROD-021"/>
    <x v="27"/>
    <n v="10"/>
    <n v="2760"/>
    <x v="164"/>
    <n v="26523.599999999999"/>
    <x v="3"/>
    <s v="Delhi"/>
    <x v="2"/>
    <m/>
    <x v="1"/>
    <n v="44"/>
    <x v="0"/>
    <m/>
    <m/>
    <m/>
  </r>
  <r>
    <s v="ORD-00882"/>
    <x v="106"/>
    <s v="CUST-0222"/>
    <s v="PROD-040"/>
    <x v="13"/>
    <n v="10"/>
    <n v="1080"/>
    <x v="225"/>
    <n v="8488.7999999999993"/>
    <x v="0"/>
    <s v="Chennai"/>
    <x v="3"/>
    <m/>
    <x v="1"/>
    <n v="37"/>
    <x v="4"/>
    <s v="Aug-24"/>
    <n v="519"/>
    <n v="0.51944444444444449"/>
  </r>
  <r>
    <s v="ORD-00883"/>
    <x v="255"/>
    <s v="CUST-0049"/>
    <s v="PROD-034"/>
    <x v="12"/>
    <n v="6"/>
    <n v="5080"/>
    <x v="29"/>
    <n v="21396.959999999999"/>
    <x v="1"/>
    <s v="Mumbai"/>
    <x v="3"/>
    <m/>
    <x v="2"/>
    <n v="42"/>
    <x v="0"/>
    <m/>
    <m/>
    <m/>
  </r>
  <r>
    <s v="ORD-00884"/>
    <x v="174"/>
    <s v="CUST-0147"/>
    <s v="PROD-046"/>
    <x v="14"/>
    <n v="1"/>
    <n v="4880"/>
    <x v="154"/>
    <n v="3503.84"/>
    <x v="0"/>
    <s v="Pune"/>
    <x v="5"/>
    <m/>
    <x v="1"/>
    <n v="56"/>
    <x v="0"/>
    <m/>
    <m/>
    <m/>
  </r>
  <r>
    <s v="ORD-00885"/>
    <x v="254"/>
    <s v="CUST-0177"/>
    <s v="PROD-022"/>
    <x v="28"/>
    <n v="1"/>
    <n v="2270"/>
    <x v="213"/>
    <n v="1638.94"/>
    <x v="0"/>
    <s v="Mumbai"/>
    <x v="2"/>
    <m/>
    <x v="0"/>
    <n v="36"/>
    <x v="2"/>
    <s v="Jan-24"/>
    <n v="1412"/>
    <n v="0.37797356828193834"/>
  </r>
  <r>
    <s v="ORD-00886"/>
    <x v="198"/>
    <s v="CUST-0121"/>
    <s v="PROD-006"/>
    <x v="7"/>
    <n v="9"/>
    <n v="3970"/>
    <x v="273"/>
    <n v="33228.9"/>
    <x v="0"/>
    <s v="Delhi"/>
    <x v="4"/>
    <m/>
    <x v="0"/>
    <n v="55"/>
    <x v="0"/>
    <m/>
    <m/>
    <m/>
  </r>
  <r>
    <s v="ORD-00887"/>
    <x v="199"/>
    <s v="CUST-0262"/>
    <s v="PROD-048"/>
    <x v="11"/>
    <n v="9"/>
    <n v="5100"/>
    <x v="216"/>
    <n v="41447.699999999997"/>
    <x v="0"/>
    <s v="Mumbai"/>
    <x v="5"/>
    <m/>
    <x v="1"/>
    <n v="52"/>
    <x v="0"/>
    <m/>
    <m/>
    <m/>
  </r>
  <r>
    <s v="ORD-00888"/>
    <x v="71"/>
    <s v="CUST-0246"/>
    <s v="PROD-060"/>
    <x v="1"/>
    <n v="8"/>
    <n v="190"/>
    <x v="15"/>
    <n v="1364.96"/>
    <x v="0"/>
    <s v="Delhi"/>
    <x v="1"/>
    <m/>
    <x v="0"/>
    <n v="29"/>
    <x v="1"/>
    <s v="Apr-24"/>
    <n v="147"/>
    <n v="0.22631578947368422"/>
  </r>
  <r>
    <s v="ORD-00889"/>
    <x v="51"/>
    <s v="CUST-0070"/>
    <s v="PROD-050"/>
    <x v="17"/>
    <n v="1"/>
    <n v="6080"/>
    <x v="174"/>
    <n v="5739.52"/>
    <x v="0"/>
    <s v="Mumbai"/>
    <x v="5"/>
    <m/>
    <x v="1"/>
    <n v="42"/>
    <x v="0"/>
    <m/>
    <m/>
    <m/>
  </r>
  <r>
    <s v="ORD-00890"/>
    <x v="285"/>
    <s v="CUST-0218"/>
    <s v="PROD-057"/>
    <x v="16"/>
    <n v="6"/>
    <n v="960"/>
    <x v="69"/>
    <n v="5650.56"/>
    <x v="0"/>
    <s v="Mumbai"/>
    <x v="1"/>
    <m/>
    <x v="1"/>
    <n v="39"/>
    <x v="2"/>
    <s v="Dec-24"/>
    <n v="705"/>
    <n v="0.265625"/>
  </r>
  <r>
    <s v="ORD-00891"/>
    <x v="309"/>
    <s v="CUST-0068"/>
    <s v="PROD-041"/>
    <x v="10"/>
    <n v="7"/>
    <n v="1540"/>
    <x v="10"/>
    <n v="10014.620000000001"/>
    <x v="0"/>
    <s v="Delhi"/>
    <x v="5"/>
    <m/>
    <x v="0"/>
    <n v="48"/>
    <x v="0"/>
    <m/>
    <m/>
    <m/>
  </r>
  <r>
    <s v="ORD-00892"/>
    <x v="60"/>
    <s v="CUST-0261"/>
    <s v="PROD-005"/>
    <x v="23"/>
    <n v="10"/>
    <n v="300"/>
    <x v="38"/>
    <n v="2616"/>
    <x v="2"/>
    <s v="Delhi"/>
    <x v="4"/>
    <m/>
    <x v="1"/>
    <n v="54"/>
    <x v="0"/>
    <m/>
    <m/>
    <m/>
  </r>
  <r>
    <s v="ORD-00893"/>
    <x v="145"/>
    <s v="CUST-0077"/>
    <s v="PROD-046"/>
    <x v="23"/>
    <n v="4"/>
    <n v="4880"/>
    <x v="219"/>
    <n v="14347.2"/>
    <x v="0"/>
    <s v="Hyderabad"/>
    <x v="5"/>
    <m/>
    <x v="0"/>
    <n v="48"/>
    <x v="0"/>
    <m/>
    <m/>
    <m/>
  </r>
  <r>
    <s v="ORD-00894"/>
    <x v="55"/>
    <s v="CUST-0188"/>
    <s v="PROD-032"/>
    <x v="11"/>
    <n v="2"/>
    <n v="370"/>
    <x v="219"/>
    <n v="543.9"/>
    <x v="0"/>
    <s v="Bengaluru"/>
    <x v="3"/>
    <m/>
    <x v="1"/>
    <n v="54"/>
    <x v="0"/>
    <m/>
    <m/>
    <m/>
  </r>
  <r>
    <s v="ORD-00895"/>
    <x v="106"/>
    <s v="CUST-0145"/>
    <s v="PROD-039"/>
    <x v="25"/>
    <n v="3"/>
    <n v="4610"/>
    <x v="91"/>
    <n v="9722.49"/>
    <x v="0"/>
    <s v="Bengaluru"/>
    <x v="3"/>
    <m/>
    <x v="0"/>
    <n v="44"/>
    <x v="0"/>
    <m/>
    <m/>
    <m/>
  </r>
  <r>
    <s v="ORD-00896"/>
    <x v="149"/>
    <s v="CUST-0036"/>
    <s v="PROD-002"/>
    <x v="22"/>
    <n v="5"/>
    <n v="2600"/>
    <x v="225"/>
    <n v="10218"/>
    <x v="0"/>
    <s v="Mumbai"/>
    <x v="4"/>
    <m/>
    <x v="1"/>
    <n v="35"/>
    <x v="1"/>
    <s v="Oct-24"/>
    <n v="1052"/>
    <n v="0.5953846153846154"/>
  </r>
  <r>
    <s v="ORD-00600"/>
    <x v="295"/>
    <s v="CUST-0269"/>
    <s v="PROD-009"/>
    <x v="5"/>
    <n v="10"/>
    <n v="1220"/>
    <x v="194"/>
    <n v="9235.4"/>
    <x v="0"/>
    <s v="Pune"/>
    <x v="4"/>
    <m/>
    <x v="1"/>
    <n v="48"/>
    <x v="0"/>
    <m/>
    <m/>
    <m/>
  </r>
  <r>
    <s v="ORD-00898"/>
    <x v="34"/>
    <s v="CUST-9607"/>
    <s v="PROD-007"/>
    <x v="15"/>
    <n v="10"/>
    <n v="1430"/>
    <x v="34"/>
    <n v="13570.7"/>
    <x v="2"/>
    <s v="Chennai"/>
    <x v="4"/>
    <m/>
    <x v="3"/>
    <e v="#N/A"/>
    <x v="0"/>
    <m/>
    <m/>
    <m/>
  </r>
  <r>
    <s v="ORD-00899"/>
    <x v="35"/>
    <s v="CUST-0189"/>
    <s v="PROD-046"/>
    <x v="14"/>
    <n v="10"/>
    <n v="4880"/>
    <x v="47"/>
    <n v="36356"/>
    <x v="2"/>
    <s v="Chennai"/>
    <x v="5"/>
    <m/>
    <x v="1"/>
    <n v="41"/>
    <x v="0"/>
    <m/>
    <m/>
    <m/>
  </r>
  <r>
    <s v="ORD-00900"/>
    <x v="79"/>
    <s v="CUST-0199"/>
    <s v="PROD-050"/>
    <x v="8"/>
    <n v="6"/>
    <n v="6080"/>
    <x v="104"/>
    <n v="28600.32"/>
    <x v="0"/>
    <s v="Hyderabad"/>
    <x v="5"/>
    <m/>
    <x v="0"/>
    <n v="31"/>
    <x v="2"/>
    <s v="Jul-24"/>
    <n v="2617"/>
    <n v="0.56957236842105263"/>
  </r>
  <r>
    <s v="ORD-00901"/>
    <x v="158"/>
    <s v="CUST-0277"/>
    <s v="PROD-045"/>
    <x v="22"/>
    <n v="3"/>
    <n v="3020"/>
    <x v="14"/>
    <n v="7184.58"/>
    <x v="0"/>
    <s v="Chennai"/>
    <x v="5"/>
    <m/>
    <x v="2"/>
    <n v="34"/>
    <x v="2"/>
    <s v="Aug-24"/>
    <n v="1626"/>
    <n v="0.46158940397350995"/>
  </r>
  <r>
    <s v="ORD-00902"/>
    <x v="338"/>
    <s v="CUST-0108"/>
    <s v="PROD-015"/>
    <x v="22"/>
    <n v="9"/>
    <n v="2720"/>
    <x v="225"/>
    <n v="19241.28"/>
    <x v="0"/>
    <s v="Bengaluru"/>
    <x v="0"/>
    <m/>
    <x v="2"/>
    <n v="59"/>
    <x v="0"/>
    <m/>
    <m/>
    <m/>
  </r>
  <r>
    <s v="ORD-00903"/>
    <x v="53"/>
    <s v="CUST-0203"/>
    <s v="PROD-003"/>
    <x v="5"/>
    <n v="10"/>
    <n v="3570"/>
    <x v="172"/>
    <n v="34129.199999999997"/>
    <x v="0"/>
    <s v="Chennai"/>
    <x v="4"/>
    <m/>
    <x v="0"/>
    <n v="55"/>
    <x v="0"/>
    <m/>
    <m/>
    <m/>
  </r>
  <r>
    <s v="ORD-00904"/>
    <x v="119"/>
    <s v="CUST-0272"/>
    <s v="PROD-040"/>
    <x v="2"/>
    <n v="8"/>
    <n v="1080"/>
    <x v="165"/>
    <n v="6583.68"/>
    <x v="0"/>
    <s v="Mumbai"/>
    <x v="3"/>
    <m/>
    <x v="0"/>
    <n v="47"/>
    <x v="0"/>
    <m/>
    <m/>
    <m/>
  </r>
  <r>
    <s v="ORD-00905"/>
    <x v="27"/>
    <s v="CUST-0039"/>
    <s v="PROD-035"/>
    <x v="23"/>
    <n v="8"/>
    <n v="1090"/>
    <x v="167"/>
    <n v="7194"/>
    <x v="0"/>
    <s v="Bengaluru"/>
    <x v="3"/>
    <m/>
    <x v="1"/>
    <n v="37"/>
    <x v="4"/>
    <s v="Jan-24"/>
    <n v="464"/>
    <n v="0.57431192660550456"/>
  </r>
  <r>
    <s v="ORD-00906"/>
    <x v="70"/>
    <s v="CUST-0105"/>
    <s v="PROD-018"/>
    <x v="28"/>
    <n v="7"/>
    <n v="3560"/>
    <x v="86"/>
    <n v="22153.88"/>
    <x v="0"/>
    <s v="Chennai"/>
    <x v="0"/>
    <m/>
    <x v="0"/>
    <n v="51"/>
    <x v="0"/>
    <m/>
    <m/>
    <m/>
  </r>
  <r>
    <s v="ORD-00907"/>
    <x v="59"/>
    <s v="CUST-0095"/>
    <s v="PROD-060"/>
    <x v="24"/>
    <n v="6"/>
    <n v="190"/>
    <x v="150"/>
    <n v="945.06"/>
    <x v="2"/>
    <s v="Mumbai"/>
    <x v="1"/>
    <m/>
    <x v="0"/>
    <n v="54"/>
    <x v="0"/>
    <m/>
    <m/>
    <m/>
  </r>
  <r>
    <s v="ORD-00908"/>
    <x v="320"/>
    <s v="CUST-0138"/>
    <s v="PROD-025"/>
    <x v="5"/>
    <n v="7"/>
    <n v="4060"/>
    <x v="43"/>
    <n v="28249.48"/>
    <x v="0"/>
    <s v="Chennai"/>
    <x v="2"/>
    <m/>
    <x v="1"/>
    <n v="24"/>
    <x v="3"/>
    <s v="Jul-24"/>
    <n v="2911"/>
    <n v="0.28300492610837441"/>
  </r>
  <r>
    <s v="ORD-00909"/>
    <x v="63"/>
    <s v="CUST-0155"/>
    <s v="PROD-039"/>
    <x v="13"/>
    <n v="4"/>
    <n v="4610"/>
    <x v="69"/>
    <n v="18089.64"/>
    <x v="1"/>
    <s v="Pune"/>
    <x v="3"/>
    <m/>
    <x v="2"/>
    <n v="40"/>
    <x v="2"/>
    <s v="Mar-24"/>
    <n v="1850"/>
    <n v="0.59869848156182215"/>
  </r>
  <r>
    <s v="ORD-00910"/>
    <x v="93"/>
    <s v="CUST-0198"/>
    <s v="PROD-026"/>
    <x v="16"/>
    <n v="4"/>
    <n v="4070"/>
    <x v="253"/>
    <n v="11916.96"/>
    <x v="0"/>
    <s v="Chennai"/>
    <x v="2"/>
    <m/>
    <x v="2"/>
    <n v="22"/>
    <x v="3"/>
    <s v="Feb-24"/>
    <n v="2027"/>
    <n v="0.50196560196560192"/>
  </r>
  <r>
    <s v="ORD-00911"/>
    <x v="142"/>
    <s v="CUST-0267"/>
    <s v="PROD-014"/>
    <x v="10"/>
    <n v="4"/>
    <n v="3620"/>
    <x v="52"/>
    <n v="12785.84"/>
    <x v="0"/>
    <s v="Hyderabad"/>
    <x v="0"/>
    <m/>
    <x v="1"/>
    <n v="27"/>
    <x v="3"/>
    <s v="Dec-24"/>
    <n v="2509"/>
    <n v="0.3069060773480663"/>
  </r>
  <r>
    <s v="ORD-00912"/>
    <x v="195"/>
    <s v="CUST-0248"/>
    <s v="PROD-006"/>
    <x v="14"/>
    <n v="3"/>
    <n v="3970"/>
    <x v="175"/>
    <n v="8968.23"/>
    <x v="0"/>
    <s v="Chennai"/>
    <x v="4"/>
    <m/>
    <x v="0"/>
    <n v="57"/>
    <x v="0"/>
    <m/>
    <m/>
    <m/>
  </r>
  <r>
    <s v="ORD-00913"/>
    <x v="36"/>
    <s v="CUST-0114"/>
    <s v="PROD-030"/>
    <x v="8"/>
    <n v="4"/>
    <n v="970"/>
    <x v="160"/>
    <n v="3864.48"/>
    <x v="0"/>
    <s v="Bengaluru"/>
    <x v="2"/>
    <m/>
    <x v="2"/>
    <n v="42"/>
    <x v="0"/>
    <m/>
    <m/>
    <m/>
  </r>
  <r>
    <s v="ORD-00914"/>
    <x v="229"/>
    <s v="CUST-0129"/>
    <s v="PROD-057"/>
    <x v="12"/>
    <n v="2"/>
    <n v="960"/>
    <x v="261"/>
    <n v="1893.12"/>
    <x v="0"/>
    <s v="Hyderabad"/>
    <x v="1"/>
    <m/>
    <x v="1"/>
    <n v="29"/>
    <x v="2"/>
    <s v="Mar-24"/>
    <n v="705"/>
    <n v="0.265625"/>
  </r>
  <r>
    <s v="ORD-00915"/>
    <x v="67"/>
    <s v="CUST-0182"/>
    <s v="PROD-005"/>
    <x v="29"/>
    <n v="7"/>
    <n v="300"/>
    <x v="201"/>
    <n v="1671.6"/>
    <x v="0"/>
    <s v="Mumbai"/>
    <x v="4"/>
    <m/>
    <x v="1"/>
    <n v="54"/>
    <x v="0"/>
    <m/>
    <m/>
    <m/>
  </r>
  <r>
    <s v="ORD-00916"/>
    <x v="245"/>
    <s v="CUST-0020"/>
    <s v="PROD-002"/>
    <x v="2"/>
    <n v="8"/>
    <n v="2600"/>
    <x v="19"/>
    <n v="20342.400000000001"/>
    <x v="2"/>
    <s v="Hyderabad"/>
    <x v="4"/>
    <m/>
    <x v="1"/>
    <n v="46"/>
    <x v="0"/>
    <m/>
    <m/>
    <m/>
  </r>
  <r>
    <s v="ORD-00917"/>
    <x v="297"/>
    <s v="CUST-0163"/>
    <s v="PROD-032"/>
    <x v="4"/>
    <n v="2"/>
    <n v="370"/>
    <x v="207"/>
    <n v="609.02"/>
    <x v="0"/>
    <s v="Pune"/>
    <x v="3"/>
    <m/>
    <x v="1"/>
    <n v="49"/>
    <x v="0"/>
    <m/>
    <m/>
    <m/>
  </r>
  <r>
    <s v="ORD-00918"/>
    <x v="6"/>
    <s v="CUST-0142"/>
    <s v="PROD-047"/>
    <x v="17"/>
    <n v="4"/>
    <n v="3450"/>
    <x v="85"/>
    <n v="12447.6"/>
    <x v="2"/>
    <s v="Chennai"/>
    <x v="5"/>
    <m/>
    <x v="2"/>
    <n v="55"/>
    <x v="0"/>
    <m/>
    <m/>
    <m/>
  </r>
  <r>
    <s v="ORD-00919"/>
    <x v="97"/>
    <s v="CUST-0221"/>
    <s v="PROD-019"/>
    <x v="16"/>
    <n v="1"/>
    <n v="2480"/>
    <x v="6"/>
    <n v="2336.16"/>
    <x v="0"/>
    <s v="Delhi"/>
    <x v="0"/>
    <m/>
    <x v="0"/>
    <n v="29"/>
    <x v="2"/>
    <s v="Jun-24"/>
    <n v="1173"/>
    <n v="0.52701612903225803"/>
  </r>
  <r>
    <s v="ORD-00920"/>
    <x v="90"/>
    <s v="CUST-0079"/>
    <s v="PROD-028"/>
    <x v="7"/>
    <n v="5"/>
    <n v="3660"/>
    <x v="250"/>
    <n v="17439.900000000001"/>
    <x v="1"/>
    <s v="Mumbai"/>
    <x v="2"/>
    <m/>
    <x v="2"/>
    <n v="60"/>
    <x v="0"/>
    <m/>
    <m/>
    <m/>
  </r>
  <r>
    <s v="ORD-00921"/>
    <x v="162"/>
    <s v="CUST-0133"/>
    <s v="PROD-044"/>
    <x v="12"/>
    <n v="7"/>
    <n v="1650"/>
    <x v="248"/>
    <n v="10556.7"/>
    <x v="0"/>
    <s v="Chennai"/>
    <x v="5"/>
    <m/>
    <x v="1"/>
    <n v="26"/>
    <x v="3"/>
    <s v="Feb-24"/>
    <n v="1222"/>
    <n v="0.2593939393939394"/>
  </r>
  <r>
    <s v="ORD-00922"/>
    <x v="339"/>
    <s v="CUST-0086"/>
    <s v="PROD-060"/>
    <x v="5"/>
    <n v="6"/>
    <n v="190"/>
    <x v="229"/>
    <n v="973.56"/>
    <x v="0"/>
    <s v="Hyderabad"/>
    <x v="1"/>
    <m/>
    <x v="2"/>
    <n v="56"/>
    <x v="0"/>
    <m/>
    <m/>
    <m/>
  </r>
  <r>
    <s v="ORD-00923"/>
    <x v="14"/>
    <s v="CUST-0155"/>
    <s v="PROD-022"/>
    <x v="19"/>
    <n v="5"/>
    <n v="2270"/>
    <x v="30"/>
    <n v="10680.35"/>
    <x v="0"/>
    <s v="Pune"/>
    <x v="2"/>
    <m/>
    <x v="2"/>
    <n v="40"/>
    <x v="2"/>
    <s v="Jun-24"/>
    <n v="1412"/>
    <n v="0.37797356828193834"/>
  </r>
  <r>
    <s v="ORD-00924"/>
    <x v="327"/>
    <s v="CUST-0244"/>
    <s v="PROD-024"/>
    <x v="23"/>
    <n v="1"/>
    <n v="2270"/>
    <x v="274"/>
    <n v="1931.77"/>
    <x v="0"/>
    <s v="Bengaluru"/>
    <x v="2"/>
    <m/>
    <x v="1"/>
    <n v="61"/>
    <x v="0"/>
    <m/>
    <m/>
    <m/>
  </r>
  <r>
    <s v="ORD-00925"/>
    <x v="133"/>
    <s v="CUST-0262"/>
    <s v="PROD-011"/>
    <x v="26"/>
    <n v="4"/>
    <n v="3450"/>
    <x v="52"/>
    <n v="12185.4"/>
    <x v="2"/>
    <s v="Mumbai"/>
    <x v="0"/>
    <m/>
    <x v="1"/>
    <n v="52"/>
    <x v="0"/>
    <m/>
    <m/>
    <m/>
  </r>
  <r>
    <s v="ORD-00926"/>
    <x v="46"/>
    <s v="CUST-0251"/>
    <s v="PROD-045"/>
    <x v="8"/>
    <n v="7"/>
    <n v="3020"/>
    <x v="121"/>
    <n v="17165.68"/>
    <x v="0"/>
    <s v="Mumbai"/>
    <x v="5"/>
    <m/>
    <x v="1"/>
    <n v="44"/>
    <x v="0"/>
    <m/>
    <m/>
    <m/>
  </r>
  <r>
    <s v="ORD-00927"/>
    <x v="284"/>
    <s v="CUST-0007"/>
    <s v="PROD-033"/>
    <x v="29"/>
    <n v="4"/>
    <n v="2030"/>
    <x v="235"/>
    <n v="6033.16"/>
    <x v="0"/>
    <s v="Bengaluru"/>
    <x v="3"/>
    <m/>
    <x v="1"/>
    <n v="47"/>
    <x v="0"/>
    <m/>
    <m/>
    <m/>
  </r>
  <r>
    <s v="ORD-00928"/>
    <x v="331"/>
    <s v="CUST-0161"/>
    <s v="PROD-011"/>
    <x v="2"/>
    <n v="4"/>
    <n v="3450"/>
    <x v="164"/>
    <n v="13261.8"/>
    <x v="0"/>
    <s v="Chennai"/>
    <x v="0"/>
    <m/>
    <x v="1"/>
    <n v="38"/>
    <x v="4"/>
    <s v="Nov-24"/>
    <n v="1748"/>
    <n v="0.49333333333333335"/>
  </r>
  <r>
    <s v="ORD-00929"/>
    <x v="324"/>
    <s v="CUST-0251"/>
    <s v="PROD-049"/>
    <x v="8"/>
    <n v="5"/>
    <n v="960"/>
    <x v="251"/>
    <n v="4416"/>
    <x v="0"/>
    <s v="Mumbai"/>
    <x v="5"/>
    <m/>
    <x v="1"/>
    <n v="44"/>
    <x v="0"/>
    <m/>
    <m/>
    <m/>
  </r>
  <r>
    <s v="ORD-00930"/>
    <x v="269"/>
    <s v="CUST-0098"/>
    <s v="PROD-006"/>
    <x v="19"/>
    <n v="7"/>
    <n v="3970"/>
    <x v="52"/>
    <n v="24538.57"/>
    <x v="0"/>
    <s v="Delhi"/>
    <x v="4"/>
    <m/>
    <x v="1"/>
    <n v="52"/>
    <x v="0"/>
    <m/>
    <m/>
    <m/>
  </r>
  <r>
    <s v="ORD-00931"/>
    <x v="211"/>
    <s v="CUST-0200"/>
    <s v="PROD-052"/>
    <x v="17"/>
    <n v="3"/>
    <n v="5410"/>
    <x v="190"/>
    <n v="14607"/>
    <x v="0"/>
    <s v="Hyderabad"/>
    <x v="1"/>
    <m/>
    <x v="2"/>
    <n v="46"/>
    <x v="0"/>
    <m/>
    <m/>
    <m/>
  </r>
  <r>
    <s v="ORD-00932"/>
    <x v="49"/>
    <s v="CUST-0228"/>
    <s v="PROD-003"/>
    <x v="0"/>
    <n v="8"/>
    <n v="3570"/>
    <x v="144"/>
    <n v="26132.400000000001"/>
    <x v="0"/>
    <s v="Pune"/>
    <x v="4"/>
    <m/>
    <x v="2"/>
    <n v="37"/>
    <x v="2"/>
    <s v="Sep-24"/>
    <n v="1665"/>
    <n v="0.53361344537815125"/>
  </r>
  <r>
    <s v="ORD-00933"/>
    <x v="25"/>
    <s v="CUST-0095"/>
    <s v="PROD-002"/>
    <x v="2"/>
    <n v="7"/>
    <n v="2600"/>
    <x v="245"/>
    <n v="13267.8"/>
    <x v="0"/>
    <s v="Mumbai"/>
    <x v="4"/>
    <m/>
    <x v="0"/>
    <n v="54"/>
    <x v="0"/>
    <m/>
    <m/>
    <m/>
  </r>
  <r>
    <s v="ORD-00934"/>
    <x v="33"/>
    <s v="CUST-0175"/>
    <s v="PROD-053"/>
    <x v="17"/>
    <n v="6"/>
    <n v="470"/>
    <x v="7"/>
    <n v="2752.32"/>
    <x v="1"/>
    <s v="Delhi"/>
    <x v="1"/>
    <m/>
    <x v="2"/>
    <n v="55"/>
    <x v="0"/>
    <m/>
    <m/>
    <m/>
  </r>
  <r>
    <s v="ORD-00935"/>
    <x v="2"/>
    <s v="CUST-0270"/>
    <s v="PROD-053"/>
    <x v="5"/>
    <n v="3"/>
    <n v="470"/>
    <x v="280"/>
    <n v="1321.17"/>
    <x v="0"/>
    <s v="Bengaluru"/>
    <x v="1"/>
    <m/>
    <x v="1"/>
    <n v="29"/>
    <x v="2"/>
    <s v="May-24"/>
    <n v="302"/>
    <n v="0.35744680851063831"/>
  </r>
  <r>
    <s v="ORD-00936"/>
    <x v="326"/>
    <s v="CUST-0105"/>
    <s v="PROD-059"/>
    <x v="10"/>
    <n v="3"/>
    <n v="3780"/>
    <x v="202"/>
    <n v="9140.0400000000009"/>
    <x v="1"/>
    <s v="Chennai"/>
    <x v="1"/>
    <m/>
    <x v="0"/>
    <n v="51"/>
    <x v="0"/>
    <m/>
    <m/>
    <m/>
  </r>
  <r>
    <s v="ORD-00937"/>
    <x v="40"/>
    <s v="CUST-0147"/>
    <s v="PROD-056"/>
    <x v="7"/>
    <n v="5"/>
    <n v="6940"/>
    <x v="208"/>
    <n v="30327.8"/>
    <x v="0"/>
    <s v="Pune"/>
    <x v="1"/>
    <m/>
    <x v="1"/>
    <n v="56"/>
    <x v="0"/>
    <m/>
    <m/>
    <m/>
  </r>
  <r>
    <s v="ORD-00938"/>
    <x v="194"/>
    <s v="CUST-0106"/>
    <s v="PROD-004"/>
    <x v="14"/>
    <n v="2"/>
    <n v="3870"/>
    <x v="184"/>
    <n v="6927.3"/>
    <x v="0"/>
    <s v="Pune"/>
    <x v="4"/>
    <m/>
    <x v="1"/>
    <n v="22"/>
    <x v="3"/>
    <s v="Apr-24"/>
    <n v="1559"/>
    <n v="0.59715762273901807"/>
  </r>
  <r>
    <s v="ORD-00939"/>
    <x v="340"/>
    <s v="CUST-0130"/>
    <s v="PROD-052"/>
    <x v="2"/>
    <n v="8"/>
    <n v="5410"/>
    <x v="54"/>
    <n v="30988.48"/>
    <x v="1"/>
    <s v="Bengaluru"/>
    <x v="1"/>
    <m/>
    <x v="2"/>
    <n v="41"/>
    <x v="0"/>
    <m/>
    <m/>
    <m/>
  </r>
  <r>
    <s v="ORD-00940"/>
    <x v="221"/>
    <s v="CUST-0241"/>
    <s v="PROD-006"/>
    <x v="14"/>
    <n v="7"/>
    <n v="3970"/>
    <x v="281"/>
    <n v="24371.83"/>
    <x v="0"/>
    <s v="Pune"/>
    <x v="4"/>
    <m/>
    <x v="2"/>
    <n v="47"/>
    <x v="0"/>
    <m/>
    <m/>
    <m/>
  </r>
  <r>
    <s v="ORD-00941"/>
    <x v="294"/>
    <s v="CUST-0151"/>
    <s v="PROD-056"/>
    <x v="19"/>
    <n v="5"/>
    <n v="6940"/>
    <x v="156"/>
    <n v="34179.5"/>
    <x v="0"/>
    <s v="Mumbai"/>
    <x v="1"/>
    <m/>
    <x v="1"/>
    <n v="53"/>
    <x v="0"/>
    <m/>
    <m/>
    <m/>
  </r>
  <r>
    <s v="ORD-00942"/>
    <x v="110"/>
    <s v="CUST-0022"/>
    <s v="PROD-012"/>
    <x v="3"/>
    <n v="7"/>
    <n v="3160"/>
    <x v="7"/>
    <n v="21589.119999999999"/>
    <x v="3"/>
    <s v="Bengaluru"/>
    <x v="0"/>
    <m/>
    <x v="2"/>
    <n v="55"/>
    <x v="0"/>
    <m/>
    <m/>
    <m/>
  </r>
  <r>
    <s v="ORD-00943"/>
    <x v="255"/>
    <s v="CUST-0030"/>
    <s v="PROD-020"/>
    <x v="6"/>
    <n v="2"/>
    <n v="820"/>
    <x v="282"/>
    <n v="1507.16"/>
    <x v="0"/>
    <s v="Bengaluru"/>
    <x v="0"/>
    <m/>
    <x v="2"/>
    <n v="43"/>
    <x v="0"/>
    <m/>
    <m/>
    <m/>
  </r>
  <r>
    <s v="ORD-00944"/>
    <x v="237"/>
    <s v="CUST-0176"/>
    <s v="PROD-041"/>
    <x v="14"/>
    <n v="2"/>
    <n v="1540"/>
    <x v="207"/>
    <n v="2534.84"/>
    <x v="0"/>
    <s v="Bengaluru"/>
    <x v="5"/>
    <m/>
    <x v="0"/>
    <n v="34"/>
    <x v="2"/>
    <s v="Jul-24"/>
    <n v="647"/>
    <n v="0.57987012987012987"/>
  </r>
  <r>
    <s v="ORD-00945"/>
    <x v="310"/>
    <s v="CUST-0270"/>
    <s v="PROD-004"/>
    <x v="19"/>
    <n v="10"/>
    <n v="3870"/>
    <x v="64"/>
    <n v="33978.6"/>
    <x v="3"/>
    <s v="Bengaluru"/>
    <x v="4"/>
    <m/>
    <x v="1"/>
    <n v="29"/>
    <x v="2"/>
    <s v="Oct-24"/>
    <n v="1559"/>
    <n v="0.59715762273901807"/>
  </r>
  <r>
    <s v="ORD-00946"/>
    <x v="56"/>
    <s v="CUST-0216"/>
    <s v="PROD-008"/>
    <x v="25"/>
    <n v="7"/>
    <n v="2660"/>
    <x v="250"/>
    <n v="17744.86"/>
    <x v="0"/>
    <s v="Mumbai"/>
    <x v="4"/>
    <m/>
    <x v="1"/>
    <n v="50"/>
    <x v="0"/>
    <m/>
    <m/>
    <m/>
  </r>
  <r>
    <s v="ORD-00947"/>
    <x v="313"/>
    <s v="CUST-0187"/>
    <s v="PROD-003"/>
    <x v="18"/>
    <n v="4"/>
    <n v="3570"/>
    <x v="223"/>
    <n v="11523.96"/>
    <x v="0"/>
    <s v="Chennai"/>
    <x v="4"/>
    <m/>
    <x v="0"/>
    <n v="51"/>
    <x v="0"/>
    <m/>
    <m/>
    <m/>
  </r>
  <r>
    <s v="ORD-00948"/>
    <x v="274"/>
    <s v="CUST-0143"/>
    <s v="PROD-033"/>
    <x v="25"/>
    <n v="2"/>
    <n v="2030"/>
    <x v="16"/>
    <n v="3954.44"/>
    <x v="0"/>
    <s v="Chennai"/>
    <x v="3"/>
    <m/>
    <x v="0"/>
    <n v="52"/>
    <x v="0"/>
    <m/>
    <m/>
    <m/>
  </r>
  <r>
    <s v="ORD-00949"/>
    <x v="273"/>
    <s v="CUST-0104"/>
    <s v="PROD-012"/>
    <x v="22"/>
    <n v="6"/>
    <n v="3160"/>
    <x v="28"/>
    <n v="14068.32"/>
    <x v="0"/>
    <s v="Hyderabad"/>
    <x v="0"/>
    <m/>
    <x v="2"/>
    <n v="43"/>
    <x v="0"/>
    <m/>
    <m/>
    <m/>
  </r>
  <r>
    <s v="ORD-00950"/>
    <x v="157"/>
    <s v="CUST-0121"/>
    <s v="PROD-034"/>
    <x v="2"/>
    <n v="4"/>
    <n v="5080"/>
    <x v="78"/>
    <n v="19913.599999999999"/>
    <x v="0"/>
    <s v=" Delhi "/>
    <x v="3"/>
    <m/>
    <x v="0"/>
    <n v="55"/>
    <x v="0"/>
    <m/>
    <m/>
    <m/>
  </r>
  <r>
    <s v="ORD-00951"/>
    <x v="322"/>
    <s v="CUST-0228"/>
    <s v="PROD-047"/>
    <x v="9"/>
    <n v="6"/>
    <n v="3450"/>
    <x v="200"/>
    <n v="20327.400000000001"/>
    <x v="2"/>
    <s v="Pune"/>
    <x v="5"/>
    <m/>
    <x v="2"/>
    <n v="37"/>
    <x v="4"/>
    <s v="Oct-24"/>
    <n v="2420"/>
    <n v="0.29855072463768118"/>
  </r>
  <r>
    <s v="ORD-00952"/>
    <x v="189"/>
    <s v="CUST-0218"/>
    <s v="PROD-051"/>
    <x v="29"/>
    <n v="3"/>
    <n v="3450"/>
    <x v="250"/>
    <n v="9863.5499999999993"/>
    <x v="1"/>
    <s v="Mumbai"/>
    <x v="1"/>
    <m/>
    <x v="1"/>
    <n v="39"/>
    <x v="4"/>
    <s v="Feb-24"/>
    <n v="2467"/>
    <n v="0.28492753623188405"/>
  </r>
  <r>
    <s v="ORD-00953"/>
    <x v="27"/>
    <s v="CUST-0118"/>
    <s v="PROD-001"/>
    <x v="28"/>
    <n v="7"/>
    <n v="5330"/>
    <x v="283"/>
    <n v="31191.16"/>
    <x v="0"/>
    <s v="Hyderabad"/>
    <x v="4"/>
    <m/>
    <x v="1"/>
    <n v="26"/>
    <x v="4"/>
    <s v="Oct-24"/>
    <n v="2405"/>
    <n v="0.54878048780487809"/>
  </r>
  <r>
    <s v="ORD-00954"/>
    <x v="190"/>
    <s v="CUST-0262"/>
    <s v="PROD-029"/>
    <x v="11"/>
    <n v="6"/>
    <n v="2210"/>
    <x v="155"/>
    <n v="11522.94"/>
    <x v="0"/>
    <s v="Mumbai"/>
    <x v="2"/>
    <m/>
    <x v="1"/>
    <n v="52"/>
    <x v="0"/>
    <m/>
    <m/>
    <m/>
  </r>
  <r>
    <s v="ORD-00955"/>
    <x v="133"/>
    <s v="CUST-0137"/>
    <s v="PROD-040"/>
    <x v="17"/>
    <n v="8"/>
    <n v="1080"/>
    <x v="41"/>
    <n v="7888.32"/>
    <x v="0"/>
    <s v="Mumbai"/>
    <x v="3"/>
    <m/>
    <x v="1"/>
    <n v="41"/>
    <x v="0"/>
    <m/>
    <m/>
    <m/>
  </r>
  <r>
    <s v="ORD-00956"/>
    <x v="185"/>
    <s v="CUST-0145"/>
    <s v="PROD-014"/>
    <x v="15"/>
    <n v="5"/>
    <n v="3620"/>
    <x v="111"/>
    <n v="15185.9"/>
    <x v="0"/>
    <s v="Bengaluru"/>
    <x v="0"/>
    <m/>
    <x v="0"/>
    <n v="44"/>
    <x v="0"/>
    <m/>
    <m/>
    <m/>
  </r>
  <r>
    <s v="ORD-00957"/>
    <x v="64"/>
    <s v="CUST-0275"/>
    <s v="PROD-018"/>
    <x v="23"/>
    <n v="7"/>
    <n v="3560"/>
    <x v="144"/>
    <n v="22801.8"/>
    <x v="0"/>
    <s v="Mumbai"/>
    <x v="0"/>
    <m/>
    <x v="1"/>
    <n v="36"/>
    <x v="4"/>
    <s v="Jul-24"/>
    <n v="2629"/>
    <n v="0.26151685393258428"/>
  </r>
  <r>
    <s v="ORD-00958"/>
    <x v="263"/>
    <s v="CUST-0189"/>
    <s v="PROD-033"/>
    <x v="5"/>
    <n v="8"/>
    <n v="2030"/>
    <x v="128"/>
    <n v="13300.56"/>
    <x v="0"/>
    <s v="Chennai"/>
    <x v="3"/>
    <m/>
    <x v="1"/>
    <n v="41"/>
    <x v="0"/>
    <m/>
    <m/>
    <m/>
  </r>
  <r>
    <s v="ORD-00959"/>
    <x v="154"/>
    <s v="CUST-0105"/>
    <s v="PROD-044"/>
    <x v="23"/>
    <n v="10"/>
    <n v="1650"/>
    <x v="10"/>
    <n v="15328.5"/>
    <x v="0"/>
    <s v="Chennai"/>
    <x v="5"/>
    <m/>
    <x v="0"/>
    <n v="51"/>
    <x v="0"/>
    <m/>
    <m/>
    <m/>
  </r>
  <r>
    <s v="ORD-00960"/>
    <x v="25"/>
    <s v="CUST-0284"/>
    <s v="PROD-021"/>
    <x v="21"/>
    <n v="4"/>
    <n v="2760"/>
    <x v="127"/>
    <n v="9096.9599999999991"/>
    <x v="2"/>
    <s v="Hyderabad"/>
    <x v="2"/>
    <m/>
    <x v="0"/>
    <n v="65"/>
    <x v="0"/>
    <m/>
    <m/>
    <m/>
  </r>
  <r>
    <s v="ORD-00961"/>
    <x v="151"/>
    <s v="CUST-0296"/>
    <s v="PROD-006"/>
    <x v="18"/>
    <n v="4"/>
    <n v="3970"/>
    <x v="12"/>
    <n v="15197.16"/>
    <x v="0"/>
    <s v="Delhi"/>
    <x v="4"/>
    <m/>
    <x v="2"/>
    <n v="47"/>
    <x v="0"/>
    <m/>
    <m/>
    <m/>
  </r>
  <r>
    <s v="ORD-00962"/>
    <x v="89"/>
    <s v="CUST-0087"/>
    <s v="PROD-050"/>
    <x v="9"/>
    <n v="2"/>
    <n v="6080"/>
    <x v="165"/>
    <n v="9265.92"/>
    <x v="0"/>
    <s v="Pune"/>
    <x v="5"/>
    <m/>
    <x v="0"/>
    <n v="49"/>
    <x v="0"/>
    <m/>
    <m/>
    <m/>
  </r>
  <r>
    <s v="ORD-00963"/>
    <x v="341"/>
    <s v="CUST-0012"/>
    <s v="PROD-024"/>
    <x v="10"/>
    <n v="4"/>
    <n v="2270"/>
    <x v="65"/>
    <n v="6455.88"/>
    <x v="0"/>
    <s v="Pune"/>
    <x v="2"/>
    <m/>
    <x v="1"/>
    <n v="43"/>
    <x v="0"/>
    <m/>
    <m/>
    <m/>
  </r>
  <r>
    <s v="ORD-00964"/>
    <x v="236"/>
    <s v="CUST-0241"/>
    <s v="PROD-006"/>
    <x v="10"/>
    <n v="10"/>
    <n v="3970"/>
    <x v="22"/>
    <n v="29298.6"/>
    <x v="0"/>
    <s v="Pune"/>
    <x v="4"/>
    <m/>
    <x v="2"/>
    <n v="47"/>
    <x v="0"/>
    <m/>
    <m/>
    <m/>
  </r>
  <r>
    <s v="ORD-00965"/>
    <x v="239"/>
    <s v="CUST-0133"/>
    <s v="PROD-048"/>
    <x v="22"/>
    <n v="4"/>
    <n v="5100"/>
    <x v="197"/>
    <n v="19971.599999999999"/>
    <x v="0"/>
    <s v="Chennai"/>
    <x v="5"/>
    <m/>
    <x v="1"/>
    <n v="26"/>
    <x v="1"/>
    <s v="May-24"/>
    <n v="2237"/>
    <n v="0.56137254901960787"/>
  </r>
  <r>
    <s v="ORD-00966"/>
    <x v="49"/>
    <s v="CUST-0230"/>
    <s v="PROD-045"/>
    <x v="6"/>
    <n v="5"/>
    <n v="3020"/>
    <x v="40"/>
    <n v="12487.7"/>
    <x v="0"/>
    <s v="Pune"/>
    <x v="5"/>
    <m/>
    <x v="2"/>
    <n v="33"/>
    <x v="4"/>
    <s v="Mar-24"/>
    <n v="1626"/>
    <n v="0.46158940397350995"/>
  </r>
  <r>
    <s v="ORD-00967"/>
    <x v="126"/>
    <s v="CUST-0126"/>
    <s v="PROD-057"/>
    <x v="29"/>
    <n v="8"/>
    <n v="960"/>
    <x v="89"/>
    <n v="7580.16"/>
    <x v="2"/>
    <s v="Mumbai"/>
    <x v="1"/>
    <m/>
    <x v="1"/>
    <n v="37"/>
    <x v="2"/>
    <s v="May-24"/>
    <n v="705"/>
    <n v="0.265625"/>
  </r>
  <r>
    <s v="ORD-00968"/>
    <x v="109"/>
    <s v="CUST-0233"/>
    <s v="PROD-019"/>
    <x v="4"/>
    <n v="9"/>
    <n v="2480"/>
    <x v="142"/>
    <n v="18838.080000000002"/>
    <x v="0"/>
    <s v="Mumbai"/>
    <x v="0"/>
    <m/>
    <x v="0"/>
    <n v="65"/>
    <x v="0"/>
    <m/>
    <m/>
    <m/>
  </r>
  <r>
    <s v="ORD-00969"/>
    <x v="286"/>
    <s v="CUST-9555"/>
    <s v="PROD-030"/>
    <x v="27"/>
    <n v="1"/>
    <n v="970"/>
    <x v="240"/>
    <n v="728.47"/>
    <x v="0"/>
    <s v="Bengaluru"/>
    <x v="2"/>
    <m/>
    <x v="3"/>
    <e v="#N/A"/>
    <x v="0"/>
    <m/>
    <m/>
    <m/>
  </r>
  <r>
    <s v="ORD-00970"/>
    <x v="38"/>
    <s v="CUST-0150"/>
    <s v="PROD-023"/>
    <x v="24"/>
    <n v="4"/>
    <n v="2380"/>
    <x v="180"/>
    <n v="8615.6"/>
    <x v="2"/>
    <s v="Pune"/>
    <x v="2"/>
    <m/>
    <x v="0"/>
    <n v="53"/>
    <x v="0"/>
    <m/>
    <m/>
    <m/>
  </r>
  <r>
    <s v="ORD-00971"/>
    <x v="318"/>
    <s v="CUST-0204"/>
    <s v="PROD-052"/>
    <x v="1"/>
    <n v="4"/>
    <n v="5410"/>
    <x v="58"/>
    <n v="17593.32"/>
    <x v="0"/>
    <s v="Hyderabad"/>
    <x v="1"/>
    <m/>
    <x v="1"/>
    <n v="60"/>
    <x v="0"/>
    <m/>
    <m/>
    <m/>
  </r>
  <r>
    <s v="ORD-00972"/>
    <x v="52"/>
    <s v="CUST-0040"/>
    <s v="PROD-034"/>
    <x v="24"/>
    <n v="7"/>
    <n v="5080"/>
    <x v="76"/>
    <n v="33248.6"/>
    <x v="0"/>
    <s v="Chennai"/>
    <x v="3"/>
    <m/>
    <x v="1"/>
    <n v="28"/>
    <x v="1"/>
    <s v="May-24"/>
    <n v="2459"/>
    <n v="0.51594488188976373"/>
  </r>
  <r>
    <s v="ORD-00973"/>
    <x v="220"/>
    <s v="CUST-0060"/>
    <s v="PROD-007"/>
    <x v="5"/>
    <n v="5"/>
    <n v="1430"/>
    <x v="113"/>
    <n v="5734.3"/>
    <x v="0"/>
    <s v="Pune"/>
    <x v="4"/>
    <m/>
    <x v="1"/>
    <n v="39"/>
    <x v="3"/>
    <s v="Oct-24"/>
    <n v="861"/>
    <n v="0.39790209790209791"/>
  </r>
  <r>
    <s v="ORD-00974"/>
    <x v="4"/>
    <s v="CUST-0017"/>
    <s v="PROD-037"/>
    <x v="23"/>
    <n v="7"/>
    <n v="660"/>
    <x v="40"/>
    <n v="3820.74"/>
    <x v="0"/>
    <s v="Delhi"/>
    <x v="3"/>
    <m/>
    <x v="0"/>
    <n v="38"/>
    <x v="2"/>
    <s v="Feb-24"/>
    <n v="329"/>
    <n v="0.50151515151515147"/>
  </r>
  <r>
    <s v="ORD-00975"/>
    <x v="265"/>
    <s v="CUST-0093"/>
    <s v="PROD-041"/>
    <x v="10"/>
    <n v="10"/>
    <n v="1540"/>
    <x v="167"/>
    <n v="12705"/>
    <x v="0"/>
    <s v="Pune"/>
    <x v="5"/>
    <m/>
    <x v="1"/>
    <n v="36"/>
    <x v="4"/>
    <s v="Nov-24"/>
    <n v="647"/>
    <n v="0.57987012987012987"/>
  </r>
  <r>
    <s v="ORD-01662"/>
    <x v="243"/>
    <s v="CUST-0068"/>
    <s v="PROD-029"/>
    <x v="11"/>
    <n v="10"/>
    <n v="2210"/>
    <x v="244"/>
    <n v="16773.900000000001"/>
    <x v="1"/>
    <s v="Delhi"/>
    <x v="2"/>
    <m/>
    <x v="0"/>
    <n v="48"/>
    <x v="0"/>
    <m/>
    <m/>
    <m/>
  </r>
  <r>
    <s v="ORD-00977"/>
    <x v="281"/>
    <s v="CUST-0251"/>
    <s v="PROD-057"/>
    <x v="24"/>
    <n v="4"/>
    <n v="960"/>
    <x v="106"/>
    <n v="3325.44"/>
    <x v="0"/>
    <s v="Mumbai"/>
    <x v="1"/>
    <m/>
    <x v="1"/>
    <n v="44"/>
    <x v="0"/>
    <m/>
    <m/>
    <m/>
  </r>
  <r>
    <s v="ORD-00978"/>
    <x v="108"/>
    <s v="CUST-0076"/>
    <s v="PROD-047"/>
    <x v="24"/>
    <n v="8"/>
    <n v="3450"/>
    <x v="158"/>
    <n v="26578.799999999999"/>
    <x v="0"/>
    <s v="Mumbai"/>
    <x v="5"/>
    <m/>
    <x v="1"/>
    <n v="38"/>
    <x v="3"/>
    <s v="Aug-24"/>
    <n v="2420"/>
    <n v="0.29855072463768118"/>
  </r>
  <r>
    <s v="ORD-00979"/>
    <x v="214"/>
    <s v="CUST-9927"/>
    <s v="PROD-033"/>
    <x v="1"/>
    <n v="6"/>
    <n v="2030"/>
    <x v="180"/>
    <n v="11022.9"/>
    <x v="0"/>
    <s v="Mumbai"/>
    <x v="3"/>
    <m/>
    <x v="3"/>
    <e v="#N/A"/>
    <x v="0"/>
    <m/>
    <m/>
    <m/>
  </r>
  <r>
    <s v="ORD-00980"/>
    <x v="342"/>
    <s v="CUST-0135"/>
    <s v="PROD-011"/>
    <x v="18"/>
    <n v="7"/>
    <n v="3450"/>
    <x v="154"/>
    <n v="17339.7"/>
    <x v="0"/>
    <s v="Pune"/>
    <x v="0"/>
    <m/>
    <x v="0"/>
    <n v="24"/>
    <x v="1"/>
    <s v="Jul-24"/>
    <n v="1748"/>
    <n v="0.49333333333333335"/>
  </r>
  <r>
    <s v="ORD-00981"/>
    <x v="101"/>
    <s v="CUST-0163"/>
    <s v="PROD-027"/>
    <x v="23"/>
    <n v="7"/>
    <n v="3780"/>
    <x v="176"/>
    <n v="22464.54"/>
    <x v="0"/>
    <s v="Pune"/>
    <x v="2"/>
    <m/>
    <x v="1"/>
    <n v="49"/>
    <x v="0"/>
    <m/>
    <m/>
    <m/>
  </r>
  <r>
    <s v="ORD-00947"/>
    <x v="53"/>
    <s v="CUST-0107"/>
    <s v="PROD-021"/>
    <x v="25"/>
    <n v="4"/>
    <n v="2760"/>
    <x v="112"/>
    <n v="9406.08"/>
    <x v="0"/>
    <s v="Pune"/>
    <x v="2"/>
    <m/>
    <x v="1"/>
    <n v="50"/>
    <x v="0"/>
    <m/>
    <m/>
    <m/>
  </r>
  <r>
    <s v="ORD-00983"/>
    <x v="322"/>
    <s v="CUST-0209"/>
    <s v="PROD-041"/>
    <x v="20"/>
    <n v="4"/>
    <n v="1540"/>
    <x v="83"/>
    <n v="5303.76"/>
    <x v="0"/>
    <s v="Pune"/>
    <x v="5"/>
    <m/>
    <x v="1"/>
    <n v="31"/>
    <x v="1"/>
    <s v="May-24"/>
    <n v="647"/>
    <n v="0.57987012987012987"/>
  </r>
  <r>
    <s v="ORD-00984"/>
    <x v="334"/>
    <s v="CUST-0074"/>
    <s v="PROD-031"/>
    <x v="0"/>
    <n v="2"/>
    <n v="3730"/>
    <x v="3"/>
    <n v="6288.78"/>
    <x v="2"/>
    <s v="Bengaluru"/>
    <x v="3"/>
    <m/>
    <x v="1"/>
    <n v="27"/>
    <x v="2"/>
    <s v="Feb-24"/>
    <n v="2135"/>
    <n v="0.42761394101876676"/>
  </r>
  <r>
    <s v="ORD-00985"/>
    <x v="251"/>
    <s v="CUST-0037"/>
    <s v="PROD-031"/>
    <x v="28"/>
    <n v="4"/>
    <n v="3730"/>
    <x v="197"/>
    <n v="14606.68"/>
    <x v="0"/>
    <s v="Bengaluru"/>
    <x v="3"/>
    <m/>
    <x v="1"/>
    <n v="52"/>
    <x v="0"/>
    <m/>
    <m/>
    <m/>
  </r>
  <r>
    <s v="ORD-00986"/>
    <x v="136"/>
    <s v="CUST-0026"/>
    <s v="PROD-012"/>
    <x v="22"/>
    <n v="1"/>
    <n v="3160"/>
    <x v="29"/>
    <n v="2218.3200000000002"/>
    <x v="0"/>
    <s v="Pune"/>
    <x v="0"/>
    <m/>
    <x v="1"/>
    <n v="62"/>
    <x v="0"/>
    <m/>
    <m/>
    <m/>
  </r>
  <r>
    <s v="ORD-00987"/>
    <x v="227"/>
    <s v="CUST-0151"/>
    <s v="PROD-042"/>
    <x v="24"/>
    <n v="9"/>
    <n v="2290"/>
    <x v="191"/>
    <n v="18899.37"/>
    <x v="1"/>
    <s v="Mumbai"/>
    <x v="5"/>
    <m/>
    <x v="1"/>
    <n v="53"/>
    <x v="0"/>
    <m/>
    <m/>
    <m/>
  </r>
  <r>
    <s v="ORD-00988"/>
    <x v="215"/>
    <s v="CUST-0210"/>
    <s v="PROD-004"/>
    <x v="22"/>
    <n v="2"/>
    <n v="3870"/>
    <x v="233"/>
    <n v="7337.52"/>
    <x v="0"/>
    <s v="Pune"/>
    <x v="4"/>
    <m/>
    <x v="2"/>
    <n v="48"/>
    <x v="0"/>
    <m/>
    <m/>
    <m/>
  </r>
  <r>
    <s v="ORD-00989"/>
    <x v="57"/>
    <s v="CUST-0192"/>
    <s v="PROD-003"/>
    <x v="0"/>
    <n v="5"/>
    <n v="3570"/>
    <x v="66"/>
    <n v="14297.85"/>
    <x v="0"/>
    <s v="Bengaluru"/>
    <x v="4"/>
    <m/>
    <x v="1"/>
    <n v="55"/>
    <x v="0"/>
    <m/>
    <m/>
    <m/>
  </r>
  <r>
    <s v="ORD-00990"/>
    <x v="305"/>
    <s v="CUST-0161"/>
    <s v="PROD-054"/>
    <x v="19"/>
    <n v="5"/>
    <n v="1010"/>
    <x v="19"/>
    <n v="4938.8999999999996"/>
    <x v="0"/>
    <s v="Chennai"/>
    <x v="1"/>
    <m/>
    <x v="1"/>
    <n v="38"/>
    <x v="1"/>
    <s v="Jun-24"/>
    <n v="516"/>
    <n v="0.4891089108910891"/>
  </r>
  <r>
    <s v="ORD-00991"/>
    <x v="119"/>
    <s v="CUST-0255"/>
    <s v="PROD-042"/>
    <x v="10"/>
    <n v="10"/>
    <n v="2290"/>
    <x v="135"/>
    <n v="19052.8"/>
    <x v="2"/>
    <s v="Chennai"/>
    <x v="5"/>
    <m/>
    <x v="2"/>
    <n v="51"/>
    <x v="0"/>
    <m/>
    <m/>
    <m/>
  </r>
  <r>
    <s v="ORD-00992"/>
    <x v="293"/>
    <s v="CUST-0027"/>
    <s v="PROD-039"/>
    <x v="7"/>
    <n v="3"/>
    <n v="4610"/>
    <x v="105"/>
    <n v="12004.44"/>
    <x v="1"/>
    <s v="Hyderabad"/>
    <x v="3"/>
    <m/>
    <x v="2"/>
    <n v="52"/>
    <x v="0"/>
    <m/>
    <m/>
    <m/>
  </r>
  <r>
    <s v="ORD-00993"/>
    <x v="320"/>
    <s v="CUST-0228"/>
    <s v="PROD-017"/>
    <x v="11"/>
    <n v="1"/>
    <n v="2510"/>
    <x v="97"/>
    <n v="2085.81"/>
    <x v="0"/>
    <s v="Pune"/>
    <x v="0"/>
    <m/>
    <x v="2"/>
    <n v="37"/>
    <x v="3"/>
    <s v="Jul-24"/>
    <n v="1075"/>
    <n v="0.57171314741035861"/>
  </r>
  <r>
    <s v="ORD-00994"/>
    <x v="27"/>
    <s v="CUST-0183"/>
    <s v="PROD-045"/>
    <x v="18"/>
    <n v="1"/>
    <n v="3020"/>
    <x v="215"/>
    <n v="2213.66"/>
    <x v="0"/>
    <s v="Mumbai"/>
    <x v="5"/>
    <m/>
    <x v="0"/>
    <n v="27"/>
    <x v="1"/>
    <s v="Mar-24"/>
    <n v="1626"/>
    <n v="0.46158940397350995"/>
  </r>
  <r>
    <s v="ORD-00995"/>
    <x v="343"/>
    <s v="CUST-0026"/>
    <s v="PROD-060"/>
    <x v="27"/>
    <n v="6"/>
    <n v="190"/>
    <x v="10"/>
    <n v="1059.06"/>
    <x v="0"/>
    <s v="Pune"/>
    <x v="1"/>
    <m/>
    <x v="1"/>
    <n v="62"/>
    <x v="0"/>
    <m/>
    <m/>
    <m/>
  </r>
  <r>
    <s v="ORD-00996"/>
    <x v="201"/>
    <s v="CUST-0211"/>
    <s v="PROD-033"/>
    <x v="25"/>
    <n v="6"/>
    <n v="2030"/>
    <x v="92"/>
    <n v="10535.7"/>
    <x v="2"/>
    <s v="Bengaluru"/>
    <x v="3"/>
    <m/>
    <x v="1"/>
    <n v="36"/>
    <x v="4"/>
    <s v="Jan-24"/>
    <n v="1143"/>
    <n v="0.43694581280788175"/>
  </r>
  <r>
    <s v="ORD-00997"/>
    <x v="74"/>
    <s v="CUST-0190"/>
    <s v="PROD-036"/>
    <x v="27"/>
    <n v="10"/>
    <n v="3250"/>
    <x v="41"/>
    <n v="29672.5"/>
    <x v="0"/>
    <s v="Hyderabad"/>
    <x v="3"/>
    <m/>
    <x v="1"/>
    <n v="52"/>
    <x v="0"/>
    <m/>
    <m/>
    <m/>
  </r>
  <r>
    <s v="ORD-00998"/>
    <x v="193"/>
    <s v="CUST-0172"/>
    <s v="PROD-033"/>
    <x v="20"/>
    <n v="9"/>
    <n v="2030"/>
    <x v="99"/>
    <n v="12916.89"/>
    <x v="0"/>
    <s v="Pune"/>
    <x v="3"/>
    <m/>
    <x v="1"/>
    <n v="65"/>
    <x v="0"/>
    <m/>
    <m/>
    <m/>
  </r>
  <r>
    <s v="ORD-00999"/>
    <x v="82"/>
    <s v="CUST-0272"/>
    <s v="PROD-023"/>
    <x v="5"/>
    <n v="1"/>
    <n v="2380"/>
    <x v="114"/>
    <n v="2072.98"/>
    <x v="0"/>
    <s v="Mumbai"/>
    <x v="2"/>
    <m/>
    <x v="0"/>
    <n v="47"/>
    <x v="0"/>
    <m/>
    <m/>
    <m/>
  </r>
  <r>
    <s v="ORD-01000"/>
    <x v="126"/>
    <s v="CUST-0232"/>
    <s v="PROD-011"/>
    <x v="6"/>
    <n v="10"/>
    <n v="3450"/>
    <x v="17"/>
    <n v="28117.5"/>
    <x v="0"/>
    <s v="Hyderabad"/>
    <x v="0"/>
    <m/>
    <x v="1"/>
    <n v="38"/>
    <x v="2"/>
    <s v="Mar-24"/>
    <n v="1748"/>
    <n v="0.49333333333333335"/>
  </r>
  <r>
    <s v="ORD-01001"/>
    <x v="66"/>
    <s v="CUST-0282"/>
    <s v="PROD-012"/>
    <x v="25"/>
    <n v="10"/>
    <n v="3160"/>
    <x v="234"/>
    <n v="23289.200000000001"/>
    <x v="0"/>
    <s v="Hyderabad"/>
    <x v="0"/>
    <m/>
    <x v="2"/>
    <n v="29"/>
    <x v="2"/>
    <s v="Aug-24"/>
    <n v="1886"/>
    <n v="0.4031645569620253"/>
  </r>
  <r>
    <s v="ORD-01002"/>
    <x v="101"/>
    <s v="CUST-0164"/>
    <s v="PROD-038"/>
    <x v="17"/>
    <n v="10"/>
    <n v="5490"/>
    <x v="82"/>
    <n v="42437.7"/>
    <x v="0"/>
    <s v="Chennai"/>
    <x v="3"/>
    <m/>
    <x v="1"/>
    <n v="60"/>
    <x v="0"/>
    <m/>
    <m/>
    <m/>
  </r>
  <r>
    <s v="ORD-01003"/>
    <x v="232"/>
    <s v="CUST-0212"/>
    <s v="PROD-055"/>
    <x v="3"/>
    <n v="8"/>
    <n v="2860"/>
    <x v="284"/>
    <n v="19608.16"/>
    <x v="0"/>
    <s v="Chennai"/>
    <x v="1"/>
    <m/>
    <x v="0"/>
    <n v="46"/>
    <x v="0"/>
    <m/>
    <m/>
    <m/>
  </r>
  <r>
    <s v="ORD-01004"/>
    <x v="104"/>
    <s v="CUST-0234"/>
    <s v="PROD-049"/>
    <x v="23"/>
    <n v="1"/>
    <n v="960"/>
    <x v="152"/>
    <n v="845.76"/>
    <x v="0"/>
    <s v="Bengaluru"/>
    <x v="5"/>
    <m/>
    <x v="1"/>
    <n v="34"/>
    <x v="1"/>
    <s v="Sep-24"/>
    <n v="675"/>
    <n v="0.296875"/>
  </r>
  <r>
    <s v="ORD-01005"/>
    <x v="195"/>
    <s v="CUST-0292"/>
    <s v="PROD-040"/>
    <x v="0"/>
    <n v="3"/>
    <n v="1080"/>
    <x v="4"/>
    <n v="2397.6"/>
    <x v="0"/>
    <s v="Bengaluru"/>
    <x v="3"/>
    <m/>
    <x v="1"/>
    <n v="32"/>
    <x v="4"/>
    <s v="May-24"/>
    <n v="519"/>
    <n v="0.51944444444444449"/>
  </r>
  <r>
    <s v="ORD-01006"/>
    <x v="65"/>
    <s v="CUST-0018"/>
    <s v="PROD-055"/>
    <x v="19"/>
    <n v="10"/>
    <n v="2860"/>
    <x v="155"/>
    <n v="24853.4"/>
    <x v="3"/>
    <s v="Pune"/>
    <x v="1"/>
    <m/>
    <x v="0"/>
    <n v="54"/>
    <x v="0"/>
    <m/>
    <m/>
    <m/>
  </r>
  <r>
    <s v="ORD-01007"/>
    <x v="316"/>
    <s v="CUST-0220"/>
    <s v="PROD-013"/>
    <x v="19"/>
    <n v="3"/>
    <n v="3640"/>
    <x v="93"/>
    <n v="8932.56"/>
    <x v="0"/>
    <s v="Chennai"/>
    <x v="0"/>
    <m/>
    <x v="1"/>
    <n v="34"/>
    <x v="1"/>
    <s v="Oct-24"/>
    <n v="2611"/>
    <n v="0.28269230769230769"/>
  </r>
  <r>
    <s v="ORD-01008"/>
    <x v="171"/>
    <s v="CUST-0064"/>
    <s v="PROD-015"/>
    <x v="26"/>
    <n v="3"/>
    <n v="2720"/>
    <x v="186"/>
    <n v="7866.24"/>
    <x v="0"/>
    <s v="Hyderabad"/>
    <x v="0"/>
    <m/>
    <x v="0"/>
    <n v="40"/>
    <x v="1"/>
    <s v="Dec-24"/>
    <n v="1962"/>
    <n v="0.2786764705882353"/>
  </r>
  <r>
    <s v="ORD-01009"/>
    <x v="316"/>
    <s v="CUST-0077"/>
    <s v="PROD-024"/>
    <x v="4"/>
    <n v="4"/>
    <n v="2270"/>
    <x v="84"/>
    <n v="7409.28"/>
    <x v="0"/>
    <s v="Hyderabad"/>
    <x v="2"/>
    <m/>
    <x v="0"/>
    <n v="48"/>
    <x v="0"/>
    <m/>
    <m/>
    <m/>
  </r>
  <r>
    <s v="ORD-01010"/>
    <x v="64"/>
    <s v="CUST-0229"/>
    <s v="PROD-009"/>
    <x v="20"/>
    <n v="5"/>
    <n v="1220"/>
    <x v="83"/>
    <n v="5252.1"/>
    <x v="0"/>
    <s v="Hyderabad"/>
    <x v="4"/>
    <m/>
    <x v="0"/>
    <n v="25"/>
    <x v="1"/>
    <s v="Dec-24"/>
    <n v="517"/>
    <n v="0.57622950819672136"/>
  </r>
  <r>
    <s v="ORD-01011"/>
    <x v="21"/>
    <s v="CUST-0129"/>
    <s v="PROD-010"/>
    <x v="15"/>
    <n v="8"/>
    <n v="2640"/>
    <x v="40"/>
    <n v="17466.240000000002"/>
    <x v="0"/>
    <s v="Hyderabad"/>
    <x v="4"/>
    <m/>
    <x v="1"/>
    <n v="29"/>
    <x v="2"/>
    <s v="Jul-24"/>
    <n v="1149"/>
    <n v="0.56477272727272732"/>
  </r>
  <r>
    <s v="ORD-01012"/>
    <x v="66"/>
    <s v="CUST-0145"/>
    <s v="PROD-030"/>
    <x v="15"/>
    <n v="1"/>
    <n v="970"/>
    <x v="178"/>
    <n v="698.4"/>
    <x v="2"/>
    <s v="Bengaluru"/>
    <x v="2"/>
    <m/>
    <x v="0"/>
    <n v="44"/>
    <x v="0"/>
    <m/>
    <m/>
    <m/>
  </r>
  <r>
    <s v="ORD-01013"/>
    <x v="243"/>
    <s v="CUST-0258"/>
    <s v="PROD-031"/>
    <x v="5"/>
    <n v="8"/>
    <n v="3730"/>
    <x v="197"/>
    <n v="29213.360000000001"/>
    <x v="3"/>
    <s v="Pune"/>
    <x v="3"/>
    <m/>
    <x v="1"/>
    <n v="44"/>
    <x v="0"/>
    <m/>
    <m/>
    <m/>
  </r>
  <r>
    <s v="ORD-01014"/>
    <x v="311"/>
    <s v="CUST-0209"/>
    <s v="PROD-030"/>
    <x v="6"/>
    <n v="7"/>
    <n v="970"/>
    <x v="47"/>
    <n v="5058.55"/>
    <x v="0"/>
    <s v="Pune"/>
    <x v="2"/>
    <m/>
    <x v="1"/>
    <n v="31"/>
    <x v="2"/>
    <s v="Mar-24"/>
    <n v="434"/>
    <n v="0.5525773195876289"/>
  </r>
  <r>
    <s v="ORD-01015"/>
    <x v="125"/>
    <s v="CUST-0131"/>
    <s v="PROD-003"/>
    <x v="24"/>
    <n v="6"/>
    <n v="3570"/>
    <x v="48"/>
    <n v="19299.419999999998"/>
    <x v="0"/>
    <s v="Delhi"/>
    <x v="4"/>
    <m/>
    <x v="0"/>
    <n v="28"/>
    <x v="2"/>
    <s v="Nov-24"/>
    <n v="1665"/>
    <n v="0.53361344537815125"/>
  </r>
  <r>
    <s v="ORD-01016"/>
    <x v="111"/>
    <s v="CUST-0276"/>
    <s v="PROD-030"/>
    <x v="29"/>
    <n v="6"/>
    <n v="970"/>
    <x v="153"/>
    <n v="4679.28"/>
    <x v="0"/>
    <s v="Chennai"/>
    <x v="2"/>
    <m/>
    <x v="1"/>
    <n v="26"/>
    <x v="3"/>
    <s v="Jan-24"/>
    <n v="434"/>
    <n v="0.5525773195876289"/>
  </r>
  <r>
    <s v="ORD-01017"/>
    <x v="211"/>
    <s v="CUST-0283"/>
    <s v="PROD-059"/>
    <x v="23"/>
    <n v="8"/>
    <n v="3780"/>
    <x v="219"/>
    <n v="22226.400000000001"/>
    <x v="0"/>
    <s v="Delhi"/>
    <x v="1"/>
    <m/>
    <x v="0"/>
    <n v="50"/>
    <x v="0"/>
    <m/>
    <m/>
    <m/>
  </r>
  <r>
    <s v="ORD-01018"/>
    <x v="72"/>
    <s v="CUST-0195"/>
    <s v="PROD-058"/>
    <x v="23"/>
    <n v="6"/>
    <n v="2400"/>
    <x v="261"/>
    <n v="14198.4"/>
    <x v="0"/>
    <s v="Bengaluru"/>
    <x v="1"/>
    <m/>
    <x v="1"/>
    <n v="28"/>
    <x v="4"/>
    <s v="Sep-24"/>
    <n v="974"/>
    <n v="0.59416666666666662"/>
  </r>
  <r>
    <s v="ORD-01019"/>
    <x v="97"/>
    <s v="CUST-0181"/>
    <s v="PROD-036"/>
    <x v="13"/>
    <n v="10"/>
    <n v="3250"/>
    <x v="223"/>
    <n v="26227.5"/>
    <x v="0"/>
    <s v="Delhi"/>
    <x v="3"/>
    <m/>
    <x v="0"/>
    <n v="38"/>
    <x v="4"/>
    <s v="Aug-24"/>
    <n v="1556"/>
    <n v="0.52123076923076928"/>
  </r>
  <r>
    <s v="ORD-01020"/>
    <x v="260"/>
    <s v="CUST-0149"/>
    <s v="PROD-021"/>
    <x v="2"/>
    <n v="7"/>
    <n v="2760"/>
    <x v="26"/>
    <n v="14760.48"/>
    <x v="1"/>
    <s v="Hyderabad"/>
    <x v="2"/>
    <m/>
    <x v="1"/>
    <n v="44"/>
    <x v="0"/>
    <m/>
    <m/>
    <m/>
  </r>
  <r>
    <s v="ORD-01021"/>
    <x v="113"/>
    <s v="CUST-0152"/>
    <s v="PROD-003"/>
    <x v="19"/>
    <n v="3"/>
    <n v="3570"/>
    <x v="234"/>
    <n v="7893.27"/>
    <x v="0"/>
    <s v="Bengaluru"/>
    <x v="4"/>
    <m/>
    <x v="0"/>
    <n v="64"/>
    <x v="0"/>
    <m/>
    <m/>
    <m/>
  </r>
  <r>
    <s v="ORD-01022"/>
    <x v="40"/>
    <s v="CUST-0085"/>
    <s v="PROD-027"/>
    <x v="15"/>
    <n v="4"/>
    <n v="3780"/>
    <x v="147"/>
    <n v="13592.88"/>
    <x v="0"/>
    <s v="Chennai"/>
    <x v="2"/>
    <m/>
    <x v="1"/>
    <n v="26"/>
    <x v="1"/>
    <s v="Jun-24"/>
    <n v="2436"/>
    <n v="0.35555555555555557"/>
  </r>
  <r>
    <s v="ORD-01023"/>
    <x v="77"/>
    <s v="CUST-0231"/>
    <s v="PROD-007"/>
    <x v="7"/>
    <n v="10"/>
    <n v="1430"/>
    <x v="158"/>
    <n v="13770.9"/>
    <x v="0"/>
    <s v="Chennai"/>
    <x v="4"/>
    <m/>
    <x v="1"/>
    <n v="61"/>
    <x v="0"/>
    <m/>
    <m/>
    <m/>
  </r>
  <r>
    <s v="ORD-01024"/>
    <x v="91"/>
    <s v="CUST-0044"/>
    <s v="PROD-022"/>
    <x v="23"/>
    <n v="6"/>
    <n v="2270"/>
    <x v="96"/>
    <n v="12544.02"/>
    <x v="3"/>
    <s v="Hyderabad"/>
    <x v="2"/>
    <m/>
    <x v="0"/>
    <n v="29"/>
    <x v="3"/>
    <s v="Nov-24"/>
    <n v="1412"/>
    <n v="0.37797356828193834"/>
  </r>
  <r>
    <s v="ORD-01025"/>
    <x v="5"/>
    <s v="CUST-0027"/>
    <s v="PROD-054"/>
    <x v="22"/>
    <n v="1"/>
    <n v="1010"/>
    <x v="133"/>
    <n v="940.31"/>
    <x v="1"/>
    <s v="Hyderabad"/>
    <x v="1"/>
    <m/>
    <x v="2"/>
    <n v="52"/>
    <x v="0"/>
    <m/>
    <m/>
    <m/>
  </r>
  <r>
    <s v="ORD-01026"/>
    <x v="91"/>
    <s v="CUST-0101"/>
    <s v="PROD-055"/>
    <x v="2"/>
    <n v="2"/>
    <n v="2860"/>
    <x v="138"/>
    <n v="4570.28"/>
    <x v="0"/>
    <s v="Hyderabad"/>
    <x v="1"/>
    <m/>
    <x v="0"/>
    <n v="40"/>
    <x v="4"/>
    <s v="Apr-24"/>
    <n v="2028"/>
    <n v="0.29090909090909089"/>
  </r>
  <r>
    <s v="ORD-01027"/>
    <x v="76"/>
    <s v="CUST-0123"/>
    <s v="PROD-002"/>
    <x v="7"/>
    <n v="9"/>
    <n v="2600"/>
    <x v="237"/>
    <n v="19679.400000000001"/>
    <x v="2"/>
    <s v="Chennai"/>
    <x v="4"/>
    <m/>
    <x v="2"/>
    <n v="44"/>
    <x v="0"/>
    <m/>
    <m/>
    <m/>
  </r>
  <r>
    <s v="ORD-01028"/>
    <x v="132"/>
    <s v="CUST-0124"/>
    <s v="PROD-053"/>
    <x v="6"/>
    <n v="10"/>
    <n v="470"/>
    <x v="285"/>
    <n v="3614.3"/>
    <x v="1"/>
    <s v="Pune"/>
    <x v="1"/>
    <m/>
    <x v="1"/>
    <n v="57"/>
    <x v="0"/>
    <m/>
    <m/>
    <m/>
  </r>
  <r>
    <s v="ORD-01029"/>
    <x v="185"/>
    <s v="CUST-0159"/>
    <s v="PROD-037"/>
    <x v="22"/>
    <n v="10"/>
    <n v="660"/>
    <x v="23"/>
    <n v="5979.6"/>
    <x v="0"/>
    <s v="Hyderabad"/>
    <x v="3"/>
    <m/>
    <x v="1"/>
    <n v="32"/>
    <x v="2"/>
    <s v="Apr-24"/>
    <n v="329"/>
    <n v="0.50151515151515147"/>
  </r>
  <r>
    <s v="ORD-01030"/>
    <x v="246"/>
    <s v="CUST-0087"/>
    <s v="PROD-009"/>
    <x v="12"/>
    <n v="5"/>
    <n v="1220"/>
    <x v="74"/>
    <n v="4678.7"/>
    <x v="0"/>
    <s v="Pune"/>
    <x v="4"/>
    <m/>
    <x v="0"/>
    <n v="49"/>
    <x v="0"/>
    <m/>
    <m/>
    <m/>
  </r>
  <r>
    <s v="ORD-01031"/>
    <x v="137"/>
    <s v="CUST-0295"/>
    <s v="PROD-036"/>
    <x v="23"/>
    <n v="9"/>
    <n v="3250"/>
    <x v="153"/>
    <n v="23517"/>
    <x v="1"/>
    <s v="Delhi"/>
    <x v="3"/>
    <m/>
    <x v="0"/>
    <n v="48"/>
    <x v="0"/>
    <m/>
    <m/>
    <m/>
  </r>
  <r>
    <s v="ORD-01032"/>
    <x v="176"/>
    <s v="CUST-0211"/>
    <s v="PROD-016"/>
    <x v="26"/>
    <n v="7"/>
    <n v="620"/>
    <x v="5"/>
    <n v="3081.4"/>
    <x v="0"/>
    <s v="Bengaluru"/>
    <x v="0"/>
    <m/>
    <x v="1"/>
    <n v="36"/>
    <x v="4"/>
    <s v="Jan-24"/>
    <n v="396"/>
    <n v="0.36129032258064514"/>
  </r>
  <r>
    <s v="ORD-01033"/>
    <x v="99"/>
    <s v="CUST-0265"/>
    <s v="PROD-026"/>
    <x v="3"/>
    <n v="9"/>
    <n v="4070"/>
    <x v="183"/>
    <n v="30695.94"/>
    <x v="0"/>
    <s v="Chennai"/>
    <x v="2"/>
    <m/>
    <x v="1"/>
    <n v="49"/>
    <x v="0"/>
    <m/>
    <m/>
    <m/>
  </r>
  <r>
    <s v="ORD-01034"/>
    <x v="116"/>
    <s v="CUST-0252"/>
    <s v="PROD-012"/>
    <x v="0"/>
    <n v="8"/>
    <n v="3160"/>
    <x v="165"/>
    <n v="19263.36"/>
    <x v="0"/>
    <s v="Bengaluru"/>
    <x v="0"/>
    <m/>
    <x v="1"/>
    <n v="27"/>
    <x v="1"/>
    <s v="Jun-24"/>
    <n v="1886"/>
    <n v="0.4031645569620253"/>
  </r>
  <r>
    <s v="ORD-01035"/>
    <x v="124"/>
    <s v="CUST-0180"/>
    <s v="PROD-029"/>
    <x v="24"/>
    <n v="3"/>
    <n v="2210"/>
    <x v="91"/>
    <n v="4660.8900000000003"/>
    <x v="0"/>
    <s v="Chennai"/>
    <x v="2"/>
    <m/>
    <x v="1"/>
    <n v="36"/>
    <x v="1"/>
    <s v="Feb-24"/>
    <n v="1010"/>
    <n v="0.54298642533936647"/>
  </r>
  <r>
    <s v="ORD-01036"/>
    <x v="268"/>
    <s v="CUST-0231"/>
    <s v="PROD-053"/>
    <x v="5"/>
    <n v="9"/>
    <n v="470"/>
    <x v="245"/>
    <n v="3083.67"/>
    <x v="0"/>
    <s v="Chennai"/>
    <x v="1"/>
    <m/>
    <x v="1"/>
    <n v="61"/>
    <x v="0"/>
    <m/>
    <m/>
    <m/>
  </r>
  <r>
    <s v="ORD-01037"/>
    <x v="81"/>
    <s v="CUST-0161"/>
    <s v="PROD-032"/>
    <x v="16"/>
    <n v="6"/>
    <n v="370"/>
    <x v="75"/>
    <n v="2100.12"/>
    <x v="0"/>
    <s v="Chennai"/>
    <x v="3"/>
    <m/>
    <x v="1"/>
    <n v="38"/>
    <x v="2"/>
    <s v="Mar-24"/>
    <n v="288"/>
    <n v="0.22162162162162163"/>
  </r>
  <r>
    <s v="ORD-01038"/>
    <x v="263"/>
    <s v="CUST-0249"/>
    <s v="PROD-059"/>
    <x v="26"/>
    <n v="10"/>
    <n v="3780"/>
    <x v="145"/>
    <n v="29673"/>
    <x v="1"/>
    <s v="Mumbai"/>
    <x v="1"/>
    <m/>
    <x v="1"/>
    <n v="44"/>
    <x v="0"/>
    <m/>
    <m/>
    <m/>
  </r>
  <r>
    <s v="ORD-01039"/>
    <x v="344"/>
    <s v="CUST-0048"/>
    <s v="PROD-056"/>
    <x v="18"/>
    <n v="4"/>
    <n v="6940"/>
    <x v="164"/>
    <n v="26677.360000000001"/>
    <x v="2"/>
    <s v="Delhi"/>
    <x v="1"/>
    <m/>
    <x v="1"/>
    <n v="59"/>
    <x v="0"/>
    <m/>
    <m/>
    <m/>
  </r>
  <r>
    <s v="ORD-01040"/>
    <x v="233"/>
    <s v="CUST-0068"/>
    <s v="PROD-031"/>
    <x v="24"/>
    <n v="3"/>
    <n v="3730"/>
    <x v="14"/>
    <n v="8873.67"/>
    <x v="0"/>
    <s v="Delhi"/>
    <x v="3"/>
    <m/>
    <x v="0"/>
    <n v="48"/>
    <x v="0"/>
    <m/>
    <m/>
    <m/>
  </r>
  <r>
    <s v="ORD-01041"/>
    <x v="212"/>
    <s v="CUST-0213"/>
    <s v="PROD-034"/>
    <x v="5"/>
    <n v="8"/>
    <n v="5080"/>
    <x v="198"/>
    <n v="38120.32"/>
    <x v="0"/>
    <s v="Mumbai"/>
    <x v="3"/>
    <m/>
    <x v="1"/>
    <n v="37"/>
    <x v="3"/>
    <s v="Jul-24"/>
    <n v="2459"/>
    <n v="0.51594488188976373"/>
  </r>
  <r>
    <s v="ORD-01042"/>
    <x v="6"/>
    <s v="CUST-0159"/>
    <s v="PROD-052"/>
    <x v="19"/>
    <n v="5"/>
    <n v="5410"/>
    <x v="233"/>
    <n v="25643.4"/>
    <x v="0"/>
    <s v="Hyderabad"/>
    <x v="1"/>
    <m/>
    <x v="1"/>
    <n v="32"/>
    <x v="2"/>
    <s v="Jan-24"/>
    <n v="2265"/>
    <n v="0.58133086876155271"/>
  </r>
  <r>
    <s v="ORD-01043"/>
    <x v="280"/>
    <s v="CUST-0298"/>
    <s v="PROD-015"/>
    <x v="17"/>
    <n v="6"/>
    <n v="2720"/>
    <x v="29"/>
    <n v="11456.64"/>
    <x v="1"/>
    <s v="Delhi"/>
    <x v="0"/>
    <m/>
    <x v="1"/>
    <n v="44"/>
    <x v="0"/>
    <m/>
    <m/>
    <m/>
  </r>
  <r>
    <s v="ORD-01044"/>
    <x v="290"/>
    <s v="CUST-0145"/>
    <s v="PROD-009"/>
    <x v="9"/>
    <n v="1"/>
    <n v="1220"/>
    <x v="109"/>
    <n v="944.28"/>
    <x v="0"/>
    <s v="Bengaluru"/>
    <x v="4"/>
    <m/>
    <x v="0"/>
    <n v="44"/>
    <x v="0"/>
    <m/>
    <m/>
    <m/>
  </r>
  <r>
    <s v="ORD-01045"/>
    <x v="93"/>
    <s v="CUST-0015"/>
    <s v="PROD-046"/>
    <x v="4"/>
    <n v="10"/>
    <n v="4880"/>
    <x v="18"/>
    <n v="45237.599999999999"/>
    <x v="0"/>
    <s v="Chennai"/>
    <x v="5"/>
    <m/>
    <x v="1"/>
    <n v="31"/>
    <x v="4"/>
    <s v="Jun-24"/>
    <n v="2768"/>
    <n v="0.43278688524590164"/>
  </r>
  <r>
    <s v="ORD-01046"/>
    <x v="216"/>
    <s v="CUST-0054"/>
    <s v="PROD-022"/>
    <x v="13"/>
    <n v="10"/>
    <n v="2270"/>
    <x v="81"/>
    <n v="22336.799999999999"/>
    <x v="0"/>
    <s v="Mumbai"/>
    <x v="2"/>
    <m/>
    <x v="2"/>
    <n v="62"/>
    <x v="0"/>
    <m/>
    <m/>
    <m/>
  </r>
  <r>
    <s v="ORD-01047"/>
    <x v="55"/>
    <s v="CUST-0150"/>
    <s v="PROD-030"/>
    <x v="11"/>
    <n v="8"/>
    <n v="970"/>
    <x v="155"/>
    <n v="6743.44"/>
    <x v="0"/>
    <s v="Pune"/>
    <x v="2"/>
    <m/>
    <x v="0"/>
    <n v="53"/>
    <x v="0"/>
    <m/>
    <m/>
    <m/>
  </r>
  <r>
    <s v="ORD-01048"/>
    <x v="34"/>
    <s v="CUST-0096"/>
    <s v="PROD-023"/>
    <x v="27"/>
    <n v="7"/>
    <n v="2380"/>
    <x v="249"/>
    <n v="14894.04"/>
    <x v="2"/>
    <s v="Delhi"/>
    <x v="2"/>
    <m/>
    <x v="2"/>
    <n v="27"/>
    <x v="1"/>
    <s v="Oct-24"/>
    <n v="1182"/>
    <n v="0.50336134453781511"/>
  </r>
  <r>
    <s v="ORD-01049"/>
    <x v="56"/>
    <s v="CUST-0288"/>
    <s v="PROD-014"/>
    <x v="29"/>
    <n v="6"/>
    <n v="3620"/>
    <x v="206"/>
    <n v="17093.64"/>
    <x v="2"/>
    <s v="Hyderabad"/>
    <x v="0"/>
    <m/>
    <x v="2"/>
    <n v="25"/>
    <x v="4"/>
    <s v="Dec-24"/>
    <n v="2509"/>
    <n v="0.3069060773480663"/>
  </r>
  <r>
    <s v="ORD-01050"/>
    <x v="122"/>
    <s v="CUST-0048"/>
    <s v="PROD-026"/>
    <x v="28"/>
    <n v="3"/>
    <n v="4070"/>
    <x v="262"/>
    <n v="11208.78"/>
    <x v="2"/>
    <s v="Delhi"/>
    <x v="2"/>
    <m/>
    <x v="1"/>
    <n v="59"/>
    <x v="0"/>
    <m/>
    <m/>
    <m/>
  </r>
  <r>
    <s v="ORD-01051"/>
    <x v="344"/>
    <s v="CUST-0104"/>
    <s v="PROD-048"/>
    <x v="17"/>
    <n v="8"/>
    <n v="5100"/>
    <x v="53"/>
    <n v="29824.799999999999"/>
    <x v="0"/>
    <s v="Hyderabad"/>
    <x v="5"/>
    <m/>
    <x v="2"/>
    <n v="43"/>
    <x v="0"/>
    <m/>
    <m/>
    <m/>
  </r>
  <r>
    <s v="ORD-01052"/>
    <x v="197"/>
    <s v="CUST-0054"/>
    <s v="PROD-045"/>
    <x v="21"/>
    <n v="3"/>
    <n v="3020"/>
    <x v="17"/>
    <n v="7383.9"/>
    <x v="2"/>
    <s v="Mumbai"/>
    <x v="5"/>
    <m/>
    <x v="2"/>
    <n v="62"/>
    <x v="0"/>
    <m/>
    <m/>
    <m/>
  </r>
  <r>
    <s v="ORD-01053"/>
    <x v="148"/>
    <s v="CUST-0158"/>
    <s v="PROD-049"/>
    <x v="25"/>
    <n v="8"/>
    <n v="960"/>
    <x v="10"/>
    <n v="7134.72"/>
    <x v="0"/>
    <s v="Pune"/>
    <x v="5"/>
    <m/>
    <x v="2"/>
    <n v="42"/>
    <x v="0"/>
    <m/>
    <m/>
    <m/>
  </r>
  <r>
    <s v="ORD-01054"/>
    <x v="266"/>
    <s v="CUST-0231"/>
    <s v="PROD-034"/>
    <x v="15"/>
    <n v="8"/>
    <n v="5080"/>
    <x v="198"/>
    <n v="38120.32"/>
    <x v="0"/>
    <s v="Chennai"/>
    <x v="3"/>
    <m/>
    <x v="1"/>
    <n v="61"/>
    <x v="0"/>
    <m/>
    <m/>
    <m/>
  </r>
  <r>
    <s v="ORD-01055"/>
    <x v="295"/>
    <s v="CUST-0277"/>
    <s v="PROD-050"/>
    <x v="9"/>
    <n v="6"/>
    <n v="6080"/>
    <x v="28"/>
    <n v="27068.16"/>
    <x v="0"/>
    <s v="Chennai"/>
    <x v="5"/>
    <m/>
    <x v="2"/>
    <n v="34"/>
    <x v="4"/>
    <s v="Apr-24"/>
    <n v="2617"/>
    <n v="0.56957236842105263"/>
  </r>
  <r>
    <s v="ORD-01056"/>
    <x v="227"/>
    <s v="CUST-0232"/>
    <s v="PROD-041"/>
    <x v="9"/>
    <n v="5"/>
    <n v="1540"/>
    <x v="21"/>
    <n v="5805.8"/>
    <x v="0"/>
    <s v="Hyderabad"/>
    <x v="5"/>
    <m/>
    <x v="1"/>
    <n v="38"/>
    <x v="4"/>
    <s v="May-24"/>
    <n v="647"/>
    <n v="0.57987012987012987"/>
  </r>
  <r>
    <s v="ORD-01057"/>
    <x v="280"/>
    <s v="CUST-0074"/>
    <s v="PROD-054"/>
    <x v="6"/>
    <n v="4"/>
    <n v="1010"/>
    <x v="209"/>
    <n v="3922.84"/>
    <x v="1"/>
    <s v="Bengaluru"/>
    <x v="1"/>
    <m/>
    <x v="1"/>
    <n v="27"/>
    <x v="4"/>
    <s v="Sep-24"/>
    <n v="516"/>
    <n v="0.4891089108910891"/>
  </r>
  <r>
    <s v="ORD-01058"/>
    <x v="261"/>
    <s v="CUST-0068"/>
    <s v="PROD-049"/>
    <x v="17"/>
    <n v="5"/>
    <n v="960"/>
    <x v="189"/>
    <n v="4252.8"/>
    <x v="0"/>
    <s v="Delhi"/>
    <x v="5"/>
    <m/>
    <x v="0"/>
    <n v="48"/>
    <x v="0"/>
    <m/>
    <m/>
    <m/>
  </r>
  <r>
    <s v="ORD-01059"/>
    <x v="111"/>
    <s v="CUST-0152"/>
    <s v="PROD-041"/>
    <x v="9"/>
    <n v="1"/>
    <n v="1540"/>
    <x v="174"/>
    <n v="1453.76"/>
    <x v="0"/>
    <s v="Bengaluru"/>
    <x v="5"/>
    <m/>
    <x v="0"/>
    <n v="64"/>
    <x v="0"/>
    <m/>
    <m/>
    <m/>
  </r>
  <r>
    <s v="ORD-01060"/>
    <x v="245"/>
    <s v="CUST-0046"/>
    <s v="PROD-043"/>
    <x v="7"/>
    <n v="9"/>
    <n v="3350"/>
    <x v="197"/>
    <n v="29516.85"/>
    <x v="0"/>
    <s v="Delhi"/>
    <x v="5"/>
    <m/>
    <x v="0"/>
    <n v="45"/>
    <x v="0"/>
    <m/>
    <m/>
    <m/>
  </r>
  <r>
    <s v="ORD-01061"/>
    <x v="260"/>
    <s v="CUST-0201"/>
    <s v="PROD-051"/>
    <x v="13"/>
    <n v="7"/>
    <n v="3450"/>
    <x v="250"/>
    <n v="23014.95"/>
    <x v="0"/>
    <s v="Hyderabad"/>
    <x v="1"/>
    <m/>
    <x v="1"/>
    <n v="31"/>
    <x v="3"/>
    <s v="Apr-24"/>
    <n v="2467"/>
    <n v="0.28492753623188405"/>
  </r>
  <r>
    <s v="ORD-01062"/>
    <x v="345"/>
    <s v="CUST-0191"/>
    <s v="PROD-057"/>
    <x v="7"/>
    <n v="10"/>
    <n v="960"/>
    <x v="131"/>
    <n v="7881.6"/>
    <x v="0"/>
    <s v="Hyderabad"/>
    <x v="1"/>
    <m/>
    <x v="0"/>
    <n v="43"/>
    <x v="0"/>
    <m/>
    <m/>
    <m/>
  </r>
  <r>
    <s v="ORD-01063"/>
    <x v="7"/>
    <s v="CUST-0192"/>
    <s v="PROD-013"/>
    <x v="2"/>
    <n v="1"/>
    <n v="3640"/>
    <x v="286"/>
    <n v="3319.68"/>
    <x v="0"/>
    <s v="Bengaluru"/>
    <x v="0"/>
    <m/>
    <x v="1"/>
    <n v="55"/>
    <x v="0"/>
    <m/>
    <m/>
    <m/>
  </r>
  <r>
    <s v="ORD-01064"/>
    <x v="239"/>
    <s v="CUST-0074"/>
    <s v="PROD-029"/>
    <x v="21"/>
    <n v="1"/>
    <n v="2210"/>
    <x v="32"/>
    <n v="1973.53"/>
    <x v="0"/>
    <s v="Bengaluru"/>
    <x v="2"/>
    <m/>
    <x v="1"/>
    <n v="27"/>
    <x v="4"/>
    <s v="Nov-24"/>
    <n v="1010"/>
    <n v="0.54298642533936647"/>
  </r>
  <r>
    <s v="ORD-01065"/>
    <x v="125"/>
    <s v="CUST-0071"/>
    <s v="PROD-031"/>
    <x v="1"/>
    <n v="2"/>
    <n v="3730"/>
    <x v="83"/>
    <n v="6423.06"/>
    <x v="0"/>
    <s v="Delhi"/>
    <x v="3"/>
    <m/>
    <x v="2"/>
    <n v="46"/>
    <x v="0"/>
    <m/>
    <m/>
    <m/>
  </r>
  <r>
    <s v="ORD-01066"/>
    <x v="176"/>
    <s v="CUST-0210"/>
    <s v="PROD-052"/>
    <x v="9"/>
    <n v="7"/>
    <n v="5410"/>
    <x v="26"/>
    <n v="28932.68"/>
    <x v="0"/>
    <s v="Pune"/>
    <x v="1"/>
    <m/>
    <x v="2"/>
    <n v="48"/>
    <x v="0"/>
    <m/>
    <m/>
    <m/>
  </r>
  <r>
    <s v="ORD-01067"/>
    <x v="221"/>
    <s v="CUST-0054"/>
    <s v="PROD-027"/>
    <x v="26"/>
    <n v="7"/>
    <n v="3780"/>
    <x v="144"/>
    <n v="24210.9"/>
    <x v="2"/>
    <s v="Mumbai"/>
    <x v="2"/>
    <m/>
    <x v="2"/>
    <n v="62"/>
    <x v="0"/>
    <m/>
    <m/>
    <m/>
  </r>
  <r>
    <s v="ORD-01068"/>
    <x v="122"/>
    <s v="CUST-0194"/>
    <s v="PROD-039"/>
    <x v="29"/>
    <n v="9"/>
    <n v="4610"/>
    <x v="287"/>
    <n v="30453.66"/>
    <x v="0"/>
    <s v="Delhi"/>
    <x v="3"/>
    <m/>
    <x v="0"/>
    <n v="55"/>
    <x v="0"/>
    <m/>
    <m/>
    <m/>
  </r>
  <r>
    <s v="ORD-01069"/>
    <x v="41"/>
    <s v="CUST-0231"/>
    <s v="PROD-010"/>
    <x v="5"/>
    <n v="5"/>
    <n v="2640"/>
    <x v="156"/>
    <n v="13002"/>
    <x v="0"/>
    <s v="Chennai"/>
    <x v="4"/>
    <m/>
    <x v="1"/>
    <n v="61"/>
    <x v="0"/>
    <m/>
    <m/>
    <m/>
  </r>
  <r>
    <s v="ORD-01070"/>
    <x v="50"/>
    <s v="CUST-0053"/>
    <s v="PROD-014"/>
    <x v="9"/>
    <n v="3"/>
    <n v="3620"/>
    <x v="288"/>
    <n v="10523.34"/>
    <x v="0"/>
    <s v="Delhi"/>
    <x v="0"/>
    <m/>
    <x v="1"/>
    <n v="53"/>
    <x v="0"/>
    <m/>
    <m/>
    <m/>
  </r>
  <r>
    <s v="ORD-01071"/>
    <x v="21"/>
    <s v="CUST-0290"/>
    <s v="PROD-053"/>
    <x v="26"/>
    <n v="5"/>
    <n v="470"/>
    <x v="249"/>
    <n v="2100.9"/>
    <x v="2"/>
    <s v="Delhi"/>
    <x v="1"/>
    <m/>
    <x v="1"/>
    <n v="63"/>
    <x v="0"/>
    <m/>
    <m/>
    <m/>
  </r>
  <r>
    <s v="ORD-01072"/>
    <x v="113"/>
    <s v="CUST-0261"/>
    <s v="PROD-001"/>
    <x v="18"/>
    <n v="7"/>
    <n v="5330"/>
    <x v="199"/>
    <n v="27982.5"/>
    <x v="2"/>
    <s v="Delhi"/>
    <x v="4"/>
    <m/>
    <x v="1"/>
    <n v="54"/>
    <x v="0"/>
    <m/>
    <m/>
    <m/>
  </r>
  <r>
    <s v="ORD-01073"/>
    <x v="346"/>
    <s v="CUST-0045"/>
    <s v="PROD-050"/>
    <x v="2"/>
    <n v="1"/>
    <n v="6080"/>
    <x v="213"/>
    <n v="4389.76"/>
    <x v="0"/>
    <s v="Chennai"/>
    <x v="5"/>
    <m/>
    <x v="0"/>
    <n v="39"/>
    <x v="4"/>
    <s v="Jun-24"/>
    <n v="2617"/>
    <n v="0.56957236842105263"/>
  </r>
  <r>
    <s v="ORD-01074"/>
    <x v="324"/>
    <s v="CUST-0064"/>
    <s v="PROD-043"/>
    <x v="6"/>
    <n v="6"/>
    <n v="3350"/>
    <x v="236"/>
    <n v="17688"/>
    <x v="0"/>
    <s v="Hyderabad"/>
    <x v="5"/>
    <m/>
    <x v="0"/>
    <n v="40"/>
    <x v="4"/>
    <s v="Jan-24"/>
    <n v="1728"/>
    <n v="0.48417910447761192"/>
  </r>
  <r>
    <s v="ORD-01075"/>
    <x v="95"/>
    <s v="CUST-9754"/>
    <s v="PROD-056"/>
    <x v="28"/>
    <n v="6"/>
    <n v="6940"/>
    <x v="278"/>
    <n v="33312"/>
    <x v="0"/>
    <s v="Chennai"/>
    <x v="1"/>
    <m/>
    <x v="3"/>
    <e v="#N/A"/>
    <x v="0"/>
    <m/>
    <m/>
    <m/>
  </r>
  <r>
    <s v="ORD-01076"/>
    <x v="184"/>
    <s v="CUST-0200"/>
    <s v="PROD-032"/>
    <x v="0"/>
    <n v="1"/>
    <n v="370"/>
    <x v="190"/>
    <n v="333"/>
    <x v="0"/>
    <s v="Hyderabad"/>
    <x v="3"/>
    <m/>
    <x v="2"/>
    <n v="46"/>
    <x v="0"/>
    <m/>
    <m/>
    <m/>
  </r>
  <r>
    <s v="ORD-01077"/>
    <x v="39"/>
    <s v="CUST-0058"/>
    <s v="PROD-038"/>
    <x v="16"/>
    <n v="2"/>
    <n v="5490"/>
    <x v="100"/>
    <n v="7916.58"/>
    <x v="0"/>
    <s v="Bengaluru"/>
    <x v="3"/>
    <m/>
    <x v="0"/>
    <n v="49"/>
    <x v="0"/>
    <m/>
    <m/>
    <m/>
  </r>
  <r>
    <s v="ORD-01078"/>
    <x v="319"/>
    <s v="CUST-0156"/>
    <s v="PROD-028"/>
    <x v="18"/>
    <n v="5"/>
    <n v="3660"/>
    <x v="211"/>
    <n v="17458.2"/>
    <x v="0"/>
    <s v="Mumbai"/>
    <x v="2"/>
    <m/>
    <x v="1"/>
    <n v="33"/>
    <x v="3"/>
    <s v="May-24"/>
    <n v="2214"/>
    <n v="0.39508196721311473"/>
  </r>
  <r>
    <s v="ORD-01079"/>
    <x v="232"/>
    <s v="CUST-0107"/>
    <s v="PROD-005"/>
    <x v="20"/>
    <n v="6"/>
    <n v="300"/>
    <x v="269"/>
    <n v="1638"/>
    <x v="0"/>
    <s v="Pune"/>
    <x v="4"/>
    <m/>
    <x v="1"/>
    <n v="50"/>
    <x v="0"/>
    <m/>
    <m/>
    <m/>
  </r>
  <r>
    <s v="ORD-01080"/>
    <x v="271"/>
    <s v="CUST-0184"/>
    <s v="PROD-005"/>
    <x v="27"/>
    <n v="3"/>
    <n v="300"/>
    <x v="80"/>
    <n v="727.2"/>
    <x v="0"/>
    <s v="Pune"/>
    <x v="4"/>
    <m/>
    <x v="1"/>
    <n v="63"/>
    <x v="0"/>
    <m/>
    <m/>
    <m/>
  </r>
  <r>
    <s v="ORD-01081"/>
    <x v="205"/>
    <s v="CUST-0202"/>
    <s v="PROD-049"/>
    <x v="2"/>
    <n v="6"/>
    <n v="960"/>
    <x v="99"/>
    <n v="4072.32"/>
    <x v="2"/>
    <s v="Chennai"/>
    <x v="5"/>
    <m/>
    <x v="1"/>
    <n v="39"/>
    <x v="4"/>
    <s v="Aug-24"/>
    <n v="675"/>
    <n v="0.296875"/>
  </r>
  <r>
    <s v="ORD-01082"/>
    <x v="266"/>
    <s v="CUST-0137"/>
    <s v="PROD-022"/>
    <x v="5"/>
    <n v="1"/>
    <n v="2270"/>
    <x v="79"/>
    <n v="1988.52"/>
    <x v="0"/>
    <s v="Mumbai"/>
    <x v="2"/>
    <m/>
    <x v="1"/>
    <n v="41"/>
    <x v="0"/>
    <m/>
    <m/>
    <m/>
  </r>
  <r>
    <s v="ORD-01083"/>
    <x v="110"/>
    <s v="CUST-0108"/>
    <s v="PROD-033"/>
    <x v="28"/>
    <n v="10"/>
    <n v="2030"/>
    <x v="182"/>
    <n v="19488"/>
    <x v="0"/>
    <s v="Bengaluru"/>
    <x v="3"/>
    <m/>
    <x v="2"/>
    <n v="59"/>
    <x v="0"/>
    <m/>
    <m/>
    <m/>
  </r>
  <r>
    <s v="ORD-01084"/>
    <x v="303"/>
    <s v="CUST-0126"/>
    <s v="PROD-040"/>
    <x v="13"/>
    <n v="9"/>
    <n v="1080"/>
    <x v="80"/>
    <n v="7853.76"/>
    <x v="1"/>
    <s v="Mumbai"/>
    <x v="3"/>
    <m/>
    <x v="1"/>
    <n v="37"/>
    <x v="2"/>
    <s v="Sep-24"/>
    <n v="519"/>
    <n v="0.51944444444444449"/>
  </r>
  <r>
    <s v="ORD-01085"/>
    <x v="113"/>
    <s v="CUST-0107"/>
    <s v="PROD-055"/>
    <x v="5"/>
    <n v="5"/>
    <n v="2860"/>
    <x v="199"/>
    <n v="10725"/>
    <x v="1"/>
    <s v="Pune"/>
    <x v="1"/>
    <m/>
    <x v="1"/>
    <n v="50"/>
    <x v="0"/>
    <m/>
    <m/>
    <m/>
  </r>
  <r>
    <s v="ORD-01086"/>
    <x v="276"/>
    <s v="CUST-0071"/>
    <s v="PROD-024"/>
    <x v="27"/>
    <n v="6"/>
    <n v="2270"/>
    <x v="203"/>
    <n v="12353.34"/>
    <x v="0"/>
    <s v="Delhi"/>
    <x v="2"/>
    <m/>
    <x v="2"/>
    <n v="46"/>
    <x v="0"/>
    <m/>
    <m/>
    <m/>
  </r>
  <r>
    <s v="ORD-01087"/>
    <x v="60"/>
    <s v="CUST-0238"/>
    <s v="PROD-015"/>
    <x v="6"/>
    <n v="1"/>
    <n v="2720"/>
    <x v="107"/>
    <n v="2306.56"/>
    <x v="0"/>
    <s v="Delhi"/>
    <x v="0"/>
    <m/>
    <x v="1"/>
    <n v="49"/>
    <x v="0"/>
    <m/>
    <m/>
    <m/>
  </r>
  <r>
    <s v="ORD-01088"/>
    <x v="198"/>
    <s v="CUST-0022"/>
    <s v="PROD-004"/>
    <x v="1"/>
    <n v="10"/>
    <n v="3870"/>
    <x v="101"/>
    <n v="36803.699999999997"/>
    <x v="2"/>
    <s v="Bengaluru"/>
    <x v="4"/>
    <m/>
    <x v="2"/>
    <n v="55"/>
    <x v="0"/>
    <m/>
    <m/>
    <m/>
  </r>
  <r>
    <s v="ORD-01089"/>
    <x v="10"/>
    <s v="CUST-0100"/>
    <s v="PROD-011"/>
    <x v="7"/>
    <n v="8"/>
    <n v="3450"/>
    <x v="149"/>
    <n v="21914.400000000001"/>
    <x v="0"/>
    <s v="Hyderabad"/>
    <x v="0"/>
    <m/>
    <x v="2"/>
    <n v="60"/>
    <x v="0"/>
    <m/>
    <m/>
    <m/>
  </r>
  <r>
    <s v="ORD-01090"/>
    <x v="5"/>
    <s v="CUST-0263"/>
    <s v="PROD-053"/>
    <x v="25"/>
    <n v="1"/>
    <n v="470"/>
    <x v="75"/>
    <n v="444.62"/>
    <x v="3"/>
    <s v="Mumbai"/>
    <x v="1"/>
    <m/>
    <x v="1"/>
    <n v="40"/>
    <x v="3"/>
    <s v="Feb-24"/>
    <n v="302"/>
    <n v="0.35744680851063831"/>
  </r>
  <r>
    <s v="ORD-01091"/>
    <x v="171"/>
    <s v="CUST-0032"/>
    <s v="PROD-006"/>
    <x v="18"/>
    <n v="5"/>
    <n v="3970"/>
    <x v="6"/>
    <n v="18698.7"/>
    <x v="0"/>
    <s v="Hyderabad"/>
    <x v="4"/>
    <m/>
    <x v="1"/>
    <n v="28"/>
    <x v="1"/>
    <s v="Apr-24"/>
    <n v="2865"/>
    <n v="0.27833753148614609"/>
  </r>
  <r>
    <s v="ORD-01092"/>
    <x v="277"/>
    <s v="CUST-0227"/>
    <s v="PROD-048"/>
    <x v="27"/>
    <n v="2"/>
    <n v="5100"/>
    <x v="66"/>
    <n v="8170.2"/>
    <x v="0"/>
    <s v="Bengaluru"/>
    <x v="5"/>
    <m/>
    <x v="0"/>
    <n v="44"/>
    <x v="0"/>
    <m/>
    <m/>
    <m/>
  </r>
  <r>
    <s v="ORD-01093"/>
    <x v="165"/>
    <s v="CUST-0124"/>
    <s v="PROD-047"/>
    <x v="19"/>
    <n v="6"/>
    <n v="3450"/>
    <x v="188"/>
    <n v="18009"/>
    <x v="0"/>
    <s v="Pune"/>
    <x v="5"/>
    <m/>
    <x v="1"/>
    <n v="57"/>
    <x v="0"/>
    <m/>
    <m/>
    <m/>
  </r>
  <r>
    <s v="ORD-01094"/>
    <x v="168"/>
    <s v="CUST-0276"/>
    <s v="PROD-031"/>
    <x v="27"/>
    <n v="9"/>
    <n v="3730"/>
    <x v="252"/>
    <n v="28366.65"/>
    <x v="0"/>
    <s v="Chennai"/>
    <x v="3"/>
    <m/>
    <x v="1"/>
    <n v="26"/>
    <x v="1"/>
    <s v="Dec-24"/>
    <n v="2135"/>
    <n v="0.42761394101876676"/>
  </r>
  <r>
    <s v="ORD-01095"/>
    <x v="242"/>
    <s v="CUST-0100"/>
    <s v="PROD-049"/>
    <x v="16"/>
    <n v="5"/>
    <n v="960"/>
    <x v="203"/>
    <n v="4353.6000000000004"/>
    <x v="0"/>
    <s v="Hyderabad"/>
    <x v="5"/>
    <m/>
    <x v="2"/>
    <n v="60"/>
    <x v="0"/>
    <m/>
    <m/>
    <m/>
  </r>
  <r>
    <s v="ORD-01096"/>
    <x v="187"/>
    <s v="CUST-0221"/>
    <s v="PROD-034"/>
    <x v="4"/>
    <n v="3"/>
    <n v="5080"/>
    <x v="166"/>
    <n v="12588.24"/>
    <x v="2"/>
    <s v="Delhi"/>
    <x v="3"/>
    <m/>
    <x v="0"/>
    <n v="29"/>
    <x v="3"/>
    <s v="May-24"/>
    <n v="2459"/>
    <n v="0.51594488188976373"/>
  </r>
  <r>
    <s v="ORD-01097"/>
    <x v="212"/>
    <s v="CUST-0266"/>
    <s v="PROD-004"/>
    <x v="11"/>
    <n v="4"/>
    <n v="3870"/>
    <x v="270"/>
    <n v="12306.6"/>
    <x v="1"/>
    <s v="Pune"/>
    <x v="4"/>
    <m/>
    <x v="1"/>
    <n v="65"/>
    <x v="0"/>
    <m/>
    <m/>
    <m/>
  </r>
  <r>
    <s v="ORD-01098"/>
    <x v="72"/>
    <s v="CUST-0210"/>
    <s v="PROD-059"/>
    <x v="6"/>
    <n v="1"/>
    <n v="3780"/>
    <x v="145"/>
    <n v="2967.3"/>
    <x v="0"/>
    <s v="Pune"/>
    <x v="1"/>
    <m/>
    <x v="2"/>
    <n v="48"/>
    <x v="0"/>
    <m/>
    <m/>
    <m/>
  </r>
  <r>
    <s v="ORD-01099"/>
    <x v="81"/>
    <s v="CUST-0293"/>
    <s v="PROD-004"/>
    <x v="21"/>
    <n v="3"/>
    <n v="3870"/>
    <x v="243"/>
    <n v="9067.41"/>
    <x v="1"/>
    <s v="Bengaluru"/>
    <x v="4"/>
    <m/>
    <x v="1"/>
    <n v="27"/>
    <x v="2"/>
    <s v="Aug-24"/>
    <n v="1559"/>
    <n v="0.59715762273901807"/>
  </r>
  <r>
    <s v="ORD-01100"/>
    <x v="113"/>
    <s v="CUST-0291"/>
    <s v="PROD-033"/>
    <x v="18"/>
    <n v="4"/>
    <n v="2030"/>
    <x v="140"/>
    <n v="6219.92"/>
    <x v="0"/>
    <s v="Pune"/>
    <x v="3"/>
    <m/>
    <x v="0"/>
    <n v="29"/>
    <x v="3"/>
    <s v="Nov-24"/>
    <n v="1143"/>
    <n v="0.43694581280788175"/>
  </r>
  <r>
    <s v="ORD-01101"/>
    <x v="192"/>
    <s v="CUST-0295"/>
    <s v="PROD-029"/>
    <x v="11"/>
    <n v="6"/>
    <n v="2210"/>
    <x v="117"/>
    <n v="12053.34"/>
    <x v="0"/>
    <s v="Delhi"/>
    <x v="2"/>
    <m/>
    <x v="0"/>
    <n v="48"/>
    <x v="0"/>
    <m/>
    <m/>
    <m/>
  </r>
  <r>
    <s v="ORD-01102"/>
    <x v="180"/>
    <s v="CUST-0123"/>
    <s v="PROD-041"/>
    <x v="21"/>
    <n v="5"/>
    <n v="1540"/>
    <x v="128"/>
    <n v="6306.3"/>
    <x v="0"/>
    <s v="Chennai"/>
    <x v="5"/>
    <m/>
    <x v="2"/>
    <n v="44"/>
    <x v="0"/>
    <m/>
    <m/>
    <m/>
  </r>
  <r>
    <s v="ORD-01103"/>
    <x v="274"/>
    <s v="CUST-0167"/>
    <s v="PROD-054"/>
    <x v="23"/>
    <n v="1"/>
    <n v="1010"/>
    <x v="18"/>
    <n v="936.27"/>
    <x v="0"/>
    <s v="Delhi"/>
    <x v="1"/>
    <m/>
    <x v="1"/>
    <n v="43"/>
    <x v="0"/>
    <m/>
    <m/>
    <m/>
  </r>
  <r>
    <s v="ORD-01104"/>
    <x v="107"/>
    <s v="CUST-0247"/>
    <s v="PROD-001"/>
    <x v="15"/>
    <n v="10"/>
    <n v="5330"/>
    <x v="289"/>
    <n v="38749.1"/>
    <x v="0"/>
    <s v="Pune"/>
    <x v="4"/>
    <m/>
    <x v="0"/>
    <n v="35"/>
    <x v="4"/>
    <s v="Apr-24"/>
    <n v="2405"/>
    <n v="0.54878048780487809"/>
  </r>
  <r>
    <s v="ORD-01105"/>
    <x v="289"/>
    <s v="CUST-0224"/>
    <s v="PROD-003"/>
    <x v="24"/>
    <n v="7"/>
    <n v="3570"/>
    <x v="194"/>
    <n v="18917.43"/>
    <x v="0"/>
    <s v="Chennai"/>
    <x v="4"/>
    <m/>
    <x v="2"/>
    <n v="24"/>
    <x v="4"/>
    <s v="Mar-24"/>
    <n v="1665"/>
    <n v="0.53361344537815125"/>
  </r>
  <r>
    <s v="ORD-01106"/>
    <x v="28"/>
    <s v="CUST-0102"/>
    <s v="PROD-043"/>
    <x v="21"/>
    <n v="1"/>
    <n v="3350"/>
    <x v="274"/>
    <n v="2850.85"/>
    <x v="0"/>
    <s v="Chennai"/>
    <x v="5"/>
    <m/>
    <x v="0"/>
    <n v="62"/>
    <x v="0"/>
    <m/>
    <m/>
    <m/>
  </r>
  <r>
    <s v="ORD-01107"/>
    <x v="110"/>
    <s v="CUST-0151"/>
    <s v="PROD-017"/>
    <x v="12"/>
    <n v="2"/>
    <n v="2510"/>
    <x v="249"/>
    <n v="4487.88"/>
    <x v="0"/>
    <s v="Mumbai"/>
    <x v="0"/>
    <m/>
    <x v="1"/>
    <n v="53"/>
    <x v="0"/>
    <m/>
    <m/>
    <m/>
  </r>
  <r>
    <s v="ORD-01108"/>
    <x v="264"/>
    <s v="CUST-0182"/>
    <s v="PROD-030"/>
    <x v="5"/>
    <n v="5"/>
    <n v="970"/>
    <x v="115"/>
    <n v="4520.2"/>
    <x v="1"/>
    <s v="Mumbai"/>
    <x v="2"/>
    <m/>
    <x v="1"/>
    <n v="54"/>
    <x v="0"/>
    <m/>
    <m/>
    <m/>
  </r>
  <r>
    <s v="ORD-01109"/>
    <x v="281"/>
    <s v="CUST-0152"/>
    <s v="PROD-027"/>
    <x v="25"/>
    <n v="5"/>
    <n v="3780"/>
    <x v="254"/>
    <n v="15762.6"/>
    <x v="0"/>
    <s v="Bengaluru"/>
    <x v="2"/>
    <m/>
    <x v="0"/>
    <n v="64"/>
    <x v="0"/>
    <m/>
    <m/>
    <m/>
  </r>
  <r>
    <s v="ORD-01110"/>
    <x v="229"/>
    <s v="CUST-0247"/>
    <s v="PROD-017"/>
    <x v="0"/>
    <n v="3"/>
    <n v="2510"/>
    <x v="240"/>
    <n v="5655.03"/>
    <x v="2"/>
    <s v="Pune"/>
    <x v="0"/>
    <m/>
    <x v="0"/>
    <n v="35"/>
    <x v="1"/>
    <s v="Aug-24"/>
    <n v="1075"/>
    <n v="0.57171314741035861"/>
  </r>
  <r>
    <s v="ORD-01111"/>
    <x v="289"/>
    <s v="CUST-0220"/>
    <s v="PROD-033"/>
    <x v="4"/>
    <n v="3"/>
    <n v="2030"/>
    <x v="290"/>
    <n v="5858.58"/>
    <x v="0"/>
    <s v="Chennai"/>
    <x v="3"/>
    <m/>
    <x v="1"/>
    <n v="34"/>
    <x v="1"/>
    <s v="Mar-24"/>
    <n v="1143"/>
    <n v="0.43694581280788175"/>
  </r>
  <r>
    <s v="ORD-01112"/>
    <x v="35"/>
    <s v="CUST-0206"/>
    <s v="PROD-060"/>
    <x v="2"/>
    <n v="9"/>
    <n v="190"/>
    <x v="75"/>
    <n v="1617.66"/>
    <x v="0"/>
    <s v="Mumbai"/>
    <x v="1"/>
    <m/>
    <x v="1"/>
    <n v="40"/>
    <x v="1"/>
    <s v="Sep-24"/>
    <n v="147"/>
    <n v="0.22631578947368422"/>
  </r>
  <r>
    <s v="ORD-01113"/>
    <x v="200"/>
    <s v="CUST-0219"/>
    <s v="PROD-029"/>
    <x v="16"/>
    <n v="6"/>
    <n v="2210"/>
    <x v="192"/>
    <n v="9361.56"/>
    <x v="0"/>
    <s v="Chennai"/>
    <x v="2"/>
    <m/>
    <x v="2"/>
    <n v="38"/>
    <x v="4"/>
    <s v="Jul-24"/>
    <n v="1010"/>
    <n v="0.54298642533936647"/>
  </r>
  <r>
    <s v="ORD-01114"/>
    <x v="14"/>
    <s v="CUST-0298"/>
    <s v="PROD-013"/>
    <x v="1"/>
    <n v="4"/>
    <n v="3640"/>
    <x v="43"/>
    <n v="14472.64"/>
    <x v="0"/>
    <s v="Delhi"/>
    <x v="0"/>
    <m/>
    <x v="1"/>
    <n v="44"/>
    <x v="0"/>
    <m/>
    <m/>
    <m/>
  </r>
  <r>
    <s v="ORD-01115"/>
    <x v="17"/>
    <s v="CUST-0254"/>
    <s v="PROD-009"/>
    <x v="18"/>
    <n v="9"/>
    <n v="1220"/>
    <x v="244"/>
    <n v="8333.82"/>
    <x v="0"/>
    <s v="Bengaluru"/>
    <x v="4"/>
    <m/>
    <x v="1"/>
    <n v="35"/>
    <x v="1"/>
    <s v="Sep-24"/>
    <n v="517"/>
    <n v="0.57622950819672136"/>
  </r>
  <r>
    <s v="ORD-01116"/>
    <x v="73"/>
    <s v="CUST-0085"/>
    <s v="PROD-056"/>
    <x v="18"/>
    <n v="2"/>
    <n v="6940"/>
    <x v="276"/>
    <n v="10132.4"/>
    <x v="0"/>
    <s v="Chennai"/>
    <x v="1"/>
    <m/>
    <x v="1"/>
    <n v="26"/>
    <x v="4"/>
    <s v="Nov-24"/>
    <n v="2827"/>
    <n v="0.5926512968299712"/>
  </r>
  <r>
    <s v="ORD-01117"/>
    <x v="117"/>
    <s v="CUST-0181"/>
    <s v="PROD-055"/>
    <x v="9"/>
    <n v="6"/>
    <n v="2860"/>
    <x v="136"/>
    <n v="16027.44"/>
    <x v="0"/>
    <s v="Delhi"/>
    <x v="1"/>
    <m/>
    <x v="0"/>
    <n v="38"/>
    <x v="4"/>
    <s v="Apr-24"/>
    <n v="2028"/>
    <n v="0.29090909090909089"/>
  </r>
  <r>
    <s v="ORD-01118"/>
    <x v="182"/>
    <s v="CUST-0143"/>
    <s v="PROD-015"/>
    <x v="26"/>
    <n v="5"/>
    <n v="2720"/>
    <x v="225"/>
    <n v="10689.6"/>
    <x v="0"/>
    <s v="Chennai"/>
    <x v="0"/>
    <m/>
    <x v="0"/>
    <n v="52"/>
    <x v="0"/>
    <m/>
    <m/>
    <m/>
  </r>
  <r>
    <s v="ORD-01119"/>
    <x v="338"/>
    <s v="CUST-0263"/>
    <s v="PROD-020"/>
    <x v="3"/>
    <n v="5"/>
    <n v="820"/>
    <x v="132"/>
    <n v="2927.4"/>
    <x v="0"/>
    <s v="Mumbai"/>
    <x v="0"/>
    <m/>
    <x v="1"/>
    <n v="40"/>
    <x v="3"/>
    <s v="Sep-24"/>
    <n v="391"/>
    <n v="0.52317073170731709"/>
  </r>
  <r>
    <s v="ORD-01120"/>
    <x v="135"/>
    <s v="CUST-0105"/>
    <s v="PROD-042"/>
    <x v="24"/>
    <n v="6"/>
    <n v="2290"/>
    <x v="121"/>
    <n v="11156.88"/>
    <x v="0"/>
    <s v="Chennai"/>
    <x v="5"/>
    <m/>
    <x v="0"/>
    <n v="51"/>
    <x v="0"/>
    <m/>
    <m/>
    <m/>
  </r>
  <r>
    <s v="ORD-01121"/>
    <x v="18"/>
    <s v="CUST-0256"/>
    <s v="PROD-047"/>
    <x v="13"/>
    <n v="6"/>
    <n v="3450"/>
    <x v="54"/>
    <n v="14821.2"/>
    <x v="0"/>
    <s v="Hyderabad"/>
    <x v="5"/>
    <m/>
    <x v="1"/>
    <n v="28"/>
    <x v="3"/>
    <s v="Jul-24"/>
    <n v="2420"/>
    <n v="0.29855072463768118"/>
  </r>
  <r>
    <s v="ORD-01122"/>
    <x v="1"/>
    <s v="CUST-0260"/>
    <s v="PROD-033"/>
    <x v="25"/>
    <n v="10"/>
    <n v="2030"/>
    <x v="251"/>
    <n v="18676"/>
    <x v="0"/>
    <s v="Bengaluru"/>
    <x v="3"/>
    <m/>
    <x v="1"/>
    <n v="42"/>
    <x v="0"/>
    <m/>
    <m/>
    <m/>
  </r>
  <r>
    <s v="ORD-01123"/>
    <x v="239"/>
    <s v="CUST-0233"/>
    <s v="PROD-058"/>
    <x v="24"/>
    <n v="1"/>
    <n v="2400"/>
    <x v="216"/>
    <n v="2167.1999999999998"/>
    <x v="0"/>
    <s v="Mumbai"/>
    <x v="1"/>
    <m/>
    <x v="0"/>
    <n v="65"/>
    <x v="0"/>
    <m/>
    <m/>
    <m/>
  </r>
  <r>
    <s v="ORD-01124"/>
    <x v="264"/>
    <s v="CUST-0183"/>
    <s v="PROD-033"/>
    <x v="2"/>
    <n v="4"/>
    <n v="2030"/>
    <x v="277"/>
    <n v="6106.24"/>
    <x v="1"/>
    <s v="Mumbai"/>
    <x v="3"/>
    <m/>
    <x v="0"/>
    <n v="27"/>
    <x v="3"/>
    <s v="Mar-24"/>
    <n v="1143"/>
    <n v="0.43694581280788175"/>
  </r>
  <r>
    <s v="ORD-01125"/>
    <x v="191"/>
    <s v="CUST-0142"/>
    <s v="PROD-025"/>
    <x v="25"/>
    <n v="5"/>
    <n v="4060"/>
    <x v="117"/>
    <n v="18452.7"/>
    <x v="1"/>
    <s v="Chennai"/>
    <x v="2"/>
    <m/>
    <x v="2"/>
    <n v="55"/>
    <x v="0"/>
    <m/>
    <m/>
    <m/>
  </r>
  <r>
    <s v="ORD-01126"/>
    <x v="334"/>
    <s v="CUST-0150"/>
    <s v="PROD-033"/>
    <x v="22"/>
    <n v="9"/>
    <n v="2030"/>
    <x v="237"/>
    <n v="15365.07"/>
    <x v="1"/>
    <s v="Pune"/>
    <x v="3"/>
    <m/>
    <x v="0"/>
    <n v="53"/>
    <x v="0"/>
    <m/>
    <m/>
    <m/>
  </r>
  <r>
    <s v="ORD-01127"/>
    <x v="201"/>
    <s v="CUST-0001"/>
    <s v="PROD-043"/>
    <x v="2"/>
    <n v="1"/>
    <n v="3350"/>
    <x v="204"/>
    <n v="2572.8000000000002"/>
    <x v="3"/>
    <s v="Pune"/>
    <x v="5"/>
    <m/>
    <x v="1"/>
    <n v="36"/>
    <x v="4"/>
    <s v="May-24"/>
    <n v="1728"/>
    <n v="0.48417910447761192"/>
  </r>
  <r>
    <s v="ORD-01128"/>
    <x v="287"/>
    <s v="CUST-0104"/>
    <s v="PROD-037"/>
    <x v="3"/>
    <n v="4"/>
    <n v="660"/>
    <x v="245"/>
    <n v="1924.56"/>
    <x v="0"/>
    <s v="Hyderabad"/>
    <x v="3"/>
    <m/>
    <x v="2"/>
    <n v="43"/>
    <x v="0"/>
    <m/>
    <m/>
    <m/>
  </r>
  <r>
    <s v="ORD-01129"/>
    <x v="236"/>
    <s v="CUST-0261"/>
    <s v="PROD-045"/>
    <x v="2"/>
    <n v="3"/>
    <n v="3020"/>
    <x v="205"/>
    <n v="8407.68"/>
    <x v="0"/>
    <s v="Delhi"/>
    <x v="5"/>
    <m/>
    <x v="1"/>
    <n v="54"/>
    <x v="0"/>
    <m/>
    <m/>
    <m/>
  </r>
  <r>
    <s v="ORD-01130"/>
    <x v="132"/>
    <s v="CUST-0010"/>
    <s v="PROD-008"/>
    <x v="3"/>
    <n v="3"/>
    <n v="2660"/>
    <x v="271"/>
    <n v="7964.04"/>
    <x v="0"/>
    <s v="Mumbai"/>
    <x v="4"/>
    <m/>
    <x v="0"/>
    <n v="61"/>
    <x v="0"/>
    <m/>
    <m/>
    <m/>
  </r>
  <r>
    <s v="ORD-01131"/>
    <x v="181"/>
    <s v="CUST-0237"/>
    <s v="PROD-054"/>
    <x v="3"/>
    <n v="4"/>
    <n v="1010"/>
    <x v="288"/>
    <n v="3914.76"/>
    <x v="0"/>
    <s v="Mumbai"/>
    <x v="1"/>
    <m/>
    <x v="1"/>
    <n v="49"/>
    <x v="0"/>
    <m/>
    <m/>
    <m/>
  </r>
  <r>
    <s v="ORD-01132"/>
    <x v="82"/>
    <s v="CUST-0128"/>
    <s v="PROD-038"/>
    <x v="21"/>
    <n v="5"/>
    <n v="5490"/>
    <x v="186"/>
    <n v="26461.8"/>
    <x v="0"/>
    <s v="Hyderabad"/>
    <x v="3"/>
    <m/>
    <x v="1"/>
    <n v="35"/>
    <x v="1"/>
    <s v="Dec-24"/>
    <n v="2549"/>
    <n v="0.53570127504553733"/>
  </r>
  <r>
    <s v="ORD-01133"/>
    <x v="94"/>
    <s v="CUST-0182"/>
    <s v="PROD-058"/>
    <x v="7"/>
    <n v="1"/>
    <n v="2400"/>
    <x v="194"/>
    <n v="1816.8"/>
    <x v="0"/>
    <s v="Mumbai"/>
    <x v="1"/>
    <m/>
    <x v="1"/>
    <n v="54"/>
    <x v="0"/>
    <m/>
    <m/>
    <m/>
  </r>
  <r>
    <s v="ORD-01134"/>
    <x v="147"/>
    <s v="CUST-0131"/>
    <s v="PROD-037"/>
    <x v="18"/>
    <n v="8"/>
    <n v="660"/>
    <x v="113"/>
    <n v="4234.5600000000004"/>
    <x v="0"/>
    <s v="Delhi"/>
    <x v="3"/>
    <m/>
    <x v="0"/>
    <n v="28"/>
    <x v="3"/>
    <s v="Jan-24"/>
    <n v="329"/>
    <n v="0.50151515151515147"/>
  </r>
  <r>
    <s v="ORD-01135"/>
    <x v="172"/>
    <s v="CUST-0023"/>
    <s v="PROD-001"/>
    <x v="29"/>
    <n v="9"/>
    <n v="5330"/>
    <x v="25"/>
    <n v="40054.949999999997"/>
    <x v="0"/>
    <s v="Chennai"/>
    <x v="4"/>
    <m/>
    <x v="0"/>
    <n v="43"/>
    <x v="0"/>
    <m/>
    <m/>
    <m/>
  </r>
  <r>
    <s v="ORD-01136"/>
    <x v="340"/>
    <s v="CUST-0171"/>
    <s v="PROD-002"/>
    <x v="0"/>
    <n v="5"/>
    <n v="2600"/>
    <x v="45"/>
    <n v="12961"/>
    <x v="0"/>
    <s v="Chennai"/>
    <x v="4"/>
    <m/>
    <x v="2"/>
    <n v="30"/>
    <x v="4"/>
    <s v="Jul-24"/>
    <n v="1052"/>
    <n v="0.5953846153846154"/>
  </r>
  <r>
    <s v="ORD-01137"/>
    <x v="32"/>
    <s v="CUST-0116"/>
    <s v="PROD-034"/>
    <x v="26"/>
    <n v="4"/>
    <n v="5080"/>
    <x v="103"/>
    <n v="17515.84"/>
    <x v="1"/>
    <s v="Bengaluru"/>
    <x v="3"/>
    <m/>
    <x v="1"/>
    <n v="53"/>
    <x v="0"/>
    <m/>
    <m/>
    <m/>
  </r>
  <r>
    <s v="ORD-01138"/>
    <x v="100"/>
    <s v="CUST-0021"/>
    <s v="PROD-023"/>
    <x v="25"/>
    <n v="7"/>
    <n v="2380"/>
    <x v="252"/>
    <n v="14077.7"/>
    <x v="0"/>
    <s v="Pune"/>
    <x v="2"/>
    <m/>
    <x v="1"/>
    <n v="44"/>
    <x v="0"/>
    <m/>
    <m/>
    <m/>
  </r>
  <r>
    <s v="ORD-01139"/>
    <x v="83"/>
    <s v="CUST-0234"/>
    <s v="PROD-046"/>
    <x v="3"/>
    <n v="3"/>
    <n v="4880"/>
    <x v="24"/>
    <n v="13746.96"/>
    <x v="0"/>
    <s v="Bengaluru"/>
    <x v="5"/>
    <m/>
    <x v="1"/>
    <n v="34"/>
    <x v="1"/>
    <s v="Nov-24"/>
    <n v="2768"/>
    <n v="0.43278688524590164"/>
  </r>
  <r>
    <s v="ORD-01140"/>
    <x v="36"/>
    <s v="CUST-0225"/>
    <s v="PROD-043"/>
    <x v="18"/>
    <n v="2"/>
    <n v="3350"/>
    <x v="291"/>
    <n v="5547.6"/>
    <x v="0"/>
    <s v="Chennai"/>
    <x v="5"/>
    <m/>
    <x v="0"/>
    <n v="26"/>
    <x v="1"/>
    <s v="Dec-24"/>
    <n v="1728"/>
    <n v="0.48417910447761192"/>
  </r>
  <r>
    <s v="ORD-01141"/>
    <x v="238"/>
    <s v="CUST-0268"/>
    <s v="PROD-030"/>
    <x v="6"/>
    <n v="5"/>
    <n v="970"/>
    <x v="26"/>
    <n v="3705.4"/>
    <x v="0"/>
    <s v="Chennai"/>
    <x v="2"/>
    <m/>
    <x v="1"/>
    <n v="35"/>
    <x v="4"/>
    <s v="Mar-24"/>
    <n v="434"/>
    <n v="0.5525773195876289"/>
  </r>
  <r>
    <s v="ORD-01142"/>
    <x v="215"/>
    <s v="CUST-0248"/>
    <s v="PROD-005"/>
    <x v="24"/>
    <n v="5"/>
    <n v="300"/>
    <x v="290"/>
    <n v="1443"/>
    <x v="0"/>
    <s v="Chennai"/>
    <x v="4"/>
    <m/>
    <x v="0"/>
    <n v="57"/>
    <x v="0"/>
    <m/>
    <m/>
    <m/>
  </r>
  <r>
    <s v="ORD-01143"/>
    <x v="243"/>
    <s v="CUST-0026"/>
    <s v="PROD-006"/>
    <x v="1"/>
    <n v="9"/>
    <n v="3970"/>
    <x v="256"/>
    <n v="35444.160000000003"/>
    <x v="0"/>
    <s v="Pune"/>
    <x v="4"/>
    <m/>
    <x v="1"/>
    <n v="62"/>
    <x v="0"/>
    <m/>
    <m/>
    <m/>
  </r>
  <r>
    <s v="ORD-01144"/>
    <x v="242"/>
    <s v="CUST-0257"/>
    <s v="PROD-015"/>
    <x v="22"/>
    <n v="4"/>
    <n v="2720"/>
    <x v="39"/>
    <n v="9498.24"/>
    <x v="0"/>
    <s v="Mumbai"/>
    <x v="0"/>
    <m/>
    <x v="2"/>
    <n v="46"/>
    <x v="0"/>
    <m/>
    <m/>
    <m/>
  </r>
  <r>
    <s v="ORD-01145"/>
    <x v="249"/>
    <s v="CUST-0258"/>
    <s v="PROD-016"/>
    <x v="13"/>
    <n v="3"/>
    <n v="620"/>
    <x v="120"/>
    <n v="1757.7"/>
    <x v="0"/>
    <s v="Pune"/>
    <x v="0"/>
    <m/>
    <x v="1"/>
    <n v="44"/>
    <x v="0"/>
    <m/>
    <m/>
    <m/>
  </r>
  <r>
    <s v="ORD-01146"/>
    <x v="319"/>
    <s v="CUST-0142"/>
    <s v="PROD-041"/>
    <x v="6"/>
    <n v="2"/>
    <n v="1540"/>
    <x v="19"/>
    <n v="3012.24"/>
    <x v="1"/>
    <s v="Chennai"/>
    <x v="5"/>
    <m/>
    <x v="2"/>
    <n v="55"/>
    <x v="0"/>
    <m/>
    <m/>
    <m/>
  </r>
  <r>
    <s v="ORD-01147"/>
    <x v="166"/>
    <s v="CUST-0020"/>
    <s v="PROD-042"/>
    <x v="17"/>
    <n v="1"/>
    <n v="2290"/>
    <x v="42"/>
    <n v="1731.24"/>
    <x v="2"/>
    <s v="Hyderabad"/>
    <x v="5"/>
    <m/>
    <x v="1"/>
    <n v="46"/>
    <x v="0"/>
    <m/>
    <m/>
    <m/>
  </r>
  <r>
    <s v="ORD-01148"/>
    <x v="343"/>
    <s v="CUST-0016"/>
    <s v="PROD-015"/>
    <x v="26"/>
    <n v="8"/>
    <n v="2720"/>
    <x v="260"/>
    <n v="21390.080000000002"/>
    <x v="0"/>
    <s v="Delhi"/>
    <x v="0"/>
    <m/>
    <x v="0"/>
    <n v="26"/>
    <x v="2"/>
    <s v="Aug-24"/>
    <n v="1962"/>
    <n v="0.2786764705882353"/>
  </r>
  <r>
    <s v="ORD-01149"/>
    <x v="69"/>
    <s v="CUST-0288"/>
    <s v="PROD-025"/>
    <x v="12"/>
    <n v="4"/>
    <n v="4060"/>
    <x v="153"/>
    <n v="13056.96"/>
    <x v="2"/>
    <s v="Hyderabad"/>
    <x v="2"/>
    <m/>
    <x v="2"/>
    <n v="25"/>
    <x v="3"/>
    <s v="Jan-24"/>
    <n v="2911"/>
    <n v="0.28300492610837441"/>
  </r>
  <r>
    <s v="ORD-01150"/>
    <x v="43"/>
    <s v="CUST-0133"/>
    <s v="PROD-003"/>
    <x v="29"/>
    <n v="8"/>
    <n v="3570"/>
    <x v="1"/>
    <n v="25475.52"/>
    <x v="0"/>
    <s v="Chennai"/>
    <x v="4"/>
    <m/>
    <x v="1"/>
    <n v="26"/>
    <x v="3"/>
    <s v="Apr-24"/>
    <n v="1665"/>
    <n v="0.53361344537815125"/>
  </r>
  <r>
    <s v="ORD-01151"/>
    <x v="258"/>
    <s v="CUST-0192"/>
    <s v="PROD-051"/>
    <x v="10"/>
    <n v="10"/>
    <n v="3450"/>
    <x v="92"/>
    <n v="29842.5"/>
    <x v="1"/>
    <s v="Bengaluru"/>
    <x v="1"/>
    <m/>
    <x v="1"/>
    <n v="55"/>
    <x v="0"/>
    <m/>
    <m/>
    <m/>
  </r>
  <r>
    <s v="ORD-01152"/>
    <x v="277"/>
    <s v="CUST-0298"/>
    <s v="PROD-010"/>
    <x v="0"/>
    <n v="10"/>
    <n v="2640"/>
    <x v="29"/>
    <n v="18532.8"/>
    <x v="0"/>
    <s v="Delhi"/>
    <x v="4"/>
    <m/>
    <x v="1"/>
    <n v="44"/>
    <x v="0"/>
    <m/>
    <m/>
    <m/>
  </r>
  <r>
    <s v="ORD-01153"/>
    <x v="204"/>
    <s v="CUST-0088"/>
    <s v="PROD-032"/>
    <x v="18"/>
    <n v="3"/>
    <n v="370"/>
    <x v="47"/>
    <n v="826.95"/>
    <x v="0"/>
    <s v="Chennai"/>
    <x v="3"/>
    <m/>
    <x v="1"/>
    <n v="24"/>
    <x v="1"/>
    <s v="Jun-24"/>
    <n v="288"/>
    <n v="0.22162162162162163"/>
  </r>
  <r>
    <s v="ORD-01154"/>
    <x v="180"/>
    <s v="CUST-0274"/>
    <s v="PROD-009"/>
    <x v="14"/>
    <n v="3"/>
    <n v="1220"/>
    <x v="179"/>
    <n v="3378.18"/>
    <x v="1"/>
    <s v="Bengaluru"/>
    <x v="4"/>
    <m/>
    <x v="2"/>
    <n v="36"/>
    <x v="4"/>
    <s v="Nov-24"/>
    <n v="517"/>
    <n v="0.57622950819672136"/>
  </r>
  <r>
    <s v="ORD-01155"/>
    <x v="59"/>
    <s v="CUST-0165"/>
    <s v="PROD-010"/>
    <x v="24"/>
    <n v="1"/>
    <n v="2640"/>
    <x v="26"/>
    <n v="2016.96"/>
    <x v="0"/>
    <s v="Pune"/>
    <x v="4"/>
    <m/>
    <x v="1"/>
    <n v="29"/>
    <x v="2"/>
    <s v="Dec-24"/>
    <n v="1149"/>
    <n v="0.56477272727272732"/>
  </r>
  <r>
    <s v="ORD-01156"/>
    <x v="232"/>
    <s v="CUST-0275"/>
    <s v="PROD-048"/>
    <x v="23"/>
    <n v="9"/>
    <n v="5100"/>
    <x v="180"/>
    <n v="41539.5"/>
    <x v="0"/>
    <s v="Mumbai"/>
    <x v="5"/>
    <m/>
    <x v="1"/>
    <n v="36"/>
    <x v="3"/>
    <s v="Jul-24"/>
    <n v="2237"/>
    <n v="0.56137254901960787"/>
  </r>
  <r>
    <s v="ORD-01157"/>
    <x v="347"/>
    <s v="CUST-0225"/>
    <s v="PROD-050"/>
    <x v="4"/>
    <n v="7"/>
    <n v="6080"/>
    <x v="167"/>
    <n v="35112"/>
    <x v="0"/>
    <s v="Chennai"/>
    <x v="5"/>
    <m/>
    <x v="0"/>
    <n v="26"/>
    <x v="4"/>
    <s v="Sep-24"/>
    <n v="2617"/>
    <n v="0.56957236842105263"/>
  </r>
  <r>
    <s v="ORD-01158"/>
    <x v="341"/>
    <s v="CUST-0059"/>
    <s v="PROD-005"/>
    <x v="17"/>
    <n v="1"/>
    <n v="300"/>
    <x v="53"/>
    <n v="219.3"/>
    <x v="0"/>
    <s v="Pune"/>
    <x v="4"/>
    <m/>
    <x v="2"/>
    <n v="29"/>
    <x v="1"/>
    <s v="May-24"/>
    <n v="128"/>
    <n v="0.57333333333333336"/>
  </r>
  <r>
    <s v="ORD-01159"/>
    <x v="181"/>
    <s v="CUST-0149"/>
    <s v="PROD-045"/>
    <x v="16"/>
    <n v="6"/>
    <n v="3020"/>
    <x v="221"/>
    <n v="12955.8"/>
    <x v="0"/>
    <s v="Hyderabad"/>
    <x v="5"/>
    <m/>
    <x v="1"/>
    <n v="44"/>
    <x v="0"/>
    <m/>
    <m/>
    <m/>
  </r>
  <r>
    <s v="ORD-01160"/>
    <x v="137"/>
    <s v="CUST-0283"/>
    <s v="PROD-005"/>
    <x v="26"/>
    <n v="8"/>
    <n v="300"/>
    <x v="9"/>
    <n v="2371.1999999999998"/>
    <x v="0"/>
    <s v="Delhi"/>
    <x v="4"/>
    <m/>
    <x v="0"/>
    <n v="50"/>
    <x v="0"/>
    <m/>
    <m/>
    <m/>
  </r>
  <r>
    <s v="ORD-01161"/>
    <x v="271"/>
    <s v="CUST-0039"/>
    <s v="PROD-043"/>
    <x v="23"/>
    <n v="9"/>
    <n v="3350"/>
    <x v="43"/>
    <n v="29969.1"/>
    <x v="3"/>
    <s v="Bengaluru"/>
    <x v="5"/>
    <m/>
    <x v="1"/>
    <n v="37"/>
    <x v="3"/>
    <s v="Jan-24"/>
    <n v="1728"/>
    <n v="0.48417910447761192"/>
  </r>
  <r>
    <s v="ORD-01162"/>
    <x v="319"/>
    <s v="CUST-0046"/>
    <s v="PROD-026"/>
    <x v="6"/>
    <n v="4"/>
    <n v="4070"/>
    <x v="147"/>
    <n v="14635.72"/>
    <x v="0"/>
    <s v="Delhi"/>
    <x v="2"/>
    <m/>
    <x v="0"/>
    <n v="45"/>
    <x v="0"/>
    <m/>
    <m/>
    <m/>
  </r>
  <r>
    <s v="ORD-01163"/>
    <x v="105"/>
    <s v="CUST-0105"/>
    <s v="PROD-059"/>
    <x v="6"/>
    <n v="9"/>
    <n v="3780"/>
    <x v="213"/>
    <n v="24562.44"/>
    <x v="2"/>
    <s v="Chennai"/>
    <x v="1"/>
    <m/>
    <x v="0"/>
    <n v="51"/>
    <x v="0"/>
    <m/>
    <m/>
    <m/>
  </r>
  <r>
    <s v="ORD-01164"/>
    <x v="192"/>
    <s v="CUST-0006"/>
    <s v="PROD-040"/>
    <x v="14"/>
    <n v="6"/>
    <n v="1080"/>
    <x v="167"/>
    <n v="5346"/>
    <x v="0"/>
    <s v="Pune"/>
    <x v="3"/>
    <m/>
    <x v="0"/>
    <n v="44"/>
    <x v="0"/>
    <m/>
    <m/>
    <m/>
  </r>
  <r>
    <s v="ORD-01165"/>
    <x v="348"/>
    <s v="CUST-0192"/>
    <s v="PROD-002"/>
    <x v="12"/>
    <n v="3"/>
    <n v="2600"/>
    <x v="69"/>
    <n v="7651.8"/>
    <x v="0"/>
    <s v="Bengaluru"/>
    <x v="4"/>
    <m/>
    <x v="1"/>
    <n v="55"/>
    <x v="0"/>
    <m/>
    <m/>
    <m/>
  </r>
  <r>
    <s v="ORD-01166"/>
    <x v="67"/>
    <s v="CUST-0290"/>
    <s v="PROD-015"/>
    <x v="4"/>
    <n v="5"/>
    <n v="2720"/>
    <x v="200"/>
    <n v="13355.2"/>
    <x v="2"/>
    <s v="Delhi"/>
    <x v="0"/>
    <m/>
    <x v="1"/>
    <n v="63"/>
    <x v="0"/>
    <m/>
    <m/>
    <m/>
  </r>
  <r>
    <s v="ORD-01167"/>
    <x v="270"/>
    <s v="CUST-0287"/>
    <s v="PROD-028"/>
    <x v="27"/>
    <n v="8"/>
    <n v="3660"/>
    <x v="169"/>
    <n v="20642.400000000001"/>
    <x v="0"/>
    <s v="Chennai"/>
    <x v="2"/>
    <m/>
    <x v="0"/>
    <n v="53"/>
    <x v="0"/>
    <m/>
    <m/>
    <m/>
  </r>
  <r>
    <s v="ORD-01168"/>
    <x v="237"/>
    <s v="CUST-0025"/>
    <s v="PROD-044"/>
    <x v="1"/>
    <n v="9"/>
    <n v="1650"/>
    <x v="113"/>
    <n v="11909.7"/>
    <x v="3"/>
    <s v="Bengaluru"/>
    <x v="5"/>
    <m/>
    <x v="1"/>
    <n v="23"/>
    <x v="4"/>
    <s v="Jul-24"/>
    <n v="1222"/>
    <n v="0.2593939393939394"/>
  </r>
  <r>
    <s v="ORD-01169"/>
    <x v="349"/>
    <s v="CUST-0139"/>
    <s v="PROD-055"/>
    <x v="7"/>
    <n v="3"/>
    <n v="2860"/>
    <x v="82"/>
    <n v="6632.34"/>
    <x v="0"/>
    <s v="Hyderabad"/>
    <x v="1"/>
    <m/>
    <x v="0"/>
    <n v="65"/>
    <x v="0"/>
    <m/>
    <m/>
    <m/>
  </r>
  <r>
    <s v="ORD-01170"/>
    <x v="335"/>
    <s v="CUST-0278"/>
    <s v="PROD-051"/>
    <x v="5"/>
    <n v="4"/>
    <n v="3450"/>
    <x v="159"/>
    <n v="12530.4"/>
    <x v="0"/>
    <s v="Hyderabad"/>
    <x v="1"/>
    <m/>
    <x v="1"/>
    <n v="41"/>
    <x v="0"/>
    <m/>
    <m/>
    <m/>
  </r>
  <r>
    <s v="ORD-01171"/>
    <x v="171"/>
    <s v="CUST-0258"/>
    <s v="PROD-033"/>
    <x v="11"/>
    <n v="4"/>
    <n v="2030"/>
    <x v="150"/>
    <n v="6731.48"/>
    <x v="0"/>
    <s v="Pune"/>
    <x v="3"/>
    <m/>
    <x v="1"/>
    <n v="44"/>
    <x v="0"/>
    <m/>
    <m/>
    <m/>
  </r>
  <r>
    <s v="ORD-01172"/>
    <x v="24"/>
    <s v="CUST-0106"/>
    <s v="PROD-022"/>
    <x v="29"/>
    <n v="4"/>
    <n v="2270"/>
    <x v="289"/>
    <n v="6601.16"/>
    <x v="0"/>
    <s v="Pune"/>
    <x v="2"/>
    <m/>
    <x v="1"/>
    <n v="22"/>
    <x v="1"/>
    <s v="Apr-24"/>
    <n v="1412"/>
    <n v="0.37797356828193834"/>
  </r>
  <r>
    <s v="ORD-01173"/>
    <x v="41"/>
    <s v="CUST-0009"/>
    <s v="PROD-034"/>
    <x v="22"/>
    <n v="9"/>
    <n v="5080"/>
    <x v="292"/>
    <n v="40736.519999999997"/>
    <x v="0"/>
    <s v="Mumbai"/>
    <x v="3"/>
    <m/>
    <x v="1"/>
    <n v="61"/>
    <x v="0"/>
    <m/>
    <m/>
    <m/>
  </r>
  <r>
    <s v="ORD-01174"/>
    <x v="341"/>
    <s v="CUST-0209"/>
    <s v="PROD-026"/>
    <x v="20"/>
    <n v="8"/>
    <n v="4070"/>
    <x v="207"/>
    <n v="26796.880000000001"/>
    <x v="0"/>
    <s v="Pune"/>
    <x v="2"/>
    <m/>
    <x v="1"/>
    <n v="31"/>
    <x v="4"/>
    <s v="Mar-24"/>
    <n v="2027"/>
    <n v="0.50196560196560192"/>
  </r>
  <r>
    <s v="ORD-01175"/>
    <x v="332"/>
    <s v="CUST-0111"/>
    <s v="PROD-041"/>
    <x v="1"/>
    <n v="1"/>
    <n v="1540"/>
    <x v="122"/>
    <n v="1526.14"/>
    <x v="0"/>
    <s v="Chennai"/>
    <x v="5"/>
    <m/>
    <x v="0"/>
    <n v="64"/>
    <x v="0"/>
    <m/>
    <m/>
    <m/>
  </r>
  <r>
    <s v="ORD-01176"/>
    <x v="104"/>
    <s v="CUST-0014"/>
    <s v="PROD-048"/>
    <x v="6"/>
    <n v="10"/>
    <n v="5100"/>
    <x v="181"/>
    <n v="49470"/>
    <x v="0"/>
    <s v="Bengaluru"/>
    <x v="5"/>
    <m/>
    <x v="1"/>
    <n v="48"/>
    <x v="0"/>
    <m/>
    <m/>
    <m/>
  </r>
  <r>
    <s v="ORD-01177"/>
    <x v="165"/>
    <s v="CUST-0073"/>
    <s v="PROD-014"/>
    <x v="3"/>
    <n v="6"/>
    <n v="3620"/>
    <x v="90"/>
    <n v="17332.560000000001"/>
    <x v="0"/>
    <s v="Pune"/>
    <x v="0"/>
    <m/>
    <x v="2"/>
    <n v="40"/>
    <x v="2"/>
    <s v="May-24"/>
    <n v="2509"/>
    <n v="0.3069060773480663"/>
  </r>
  <r>
    <s v="ORD-01178"/>
    <x v="258"/>
    <s v="CUST-0147"/>
    <s v="PROD-046"/>
    <x v="11"/>
    <n v="7"/>
    <n v="4880"/>
    <x v="227"/>
    <n v="32452"/>
    <x v="0"/>
    <s v="Pune"/>
    <x v="5"/>
    <m/>
    <x v="1"/>
    <n v="56"/>
    <x v="0"/>
    <m/>
    <m/>
    <m/>
  </r>
  <r>
    <s v="ORD-01179"/>
    <x v="22"/>
    <s v="CUST-0006"/>
    <s v="PROD-010"/>
    <x v="6"/>
    <n v="1"/>
    <n v="2640"/>
    <x v="195"/>
    <n v="2531.7600000000002"/>
    <x v="0"/>
    <s v="Pune"/>
    <x v="4"/>
    <m/>
    <x v="0"/>
    <n v="44"/>
    <x v="0"/>
    <m/>
    <m/>
    <m/>
  </r>
  <r>
    <s v="ORD-01180"/>
    <x v="118"/>
    <s v="CUST-0031"/>
    <s v="PROD-026"/>
    <x v="16"/>
    <n v="9"/>
    <n v="4070"/>
    <x v="172"/>
    <n v="35018.28"/>
    <x v="0"/>
    <s v="Hyderabad"/>
    <x v="2"/>
    <m/>
    <x v="1"/>
    <n v="53"/>
    <x v="0"/>
    <m/>
    <m/>
    <m/>
  </r>
  <r>
    <s v="ORD-01181"/>
    <x v="7"/>
    <s v="CUST-0084"/>
    <s v="PROD-003"/>
    <x v="5"/>
    <n v="9"/>
    <n v="3570"/>
    <x v="277"/>
    <n v="24161.759999999998"/>
    <x v="0"/>
    <s v="Chennai"/>
    <x v="4"/>
    <m/>
    <x v="1"/>
    <n v="28"/>
    <x v="3"/>
    <s v="Aug-24"/>
    <n v="1665"/>
    <n v="0.53361344537815125"/>
  </r>
  <r>
    <s v="ORD-01182"/>
    <x v="19"/>
    <s v="CUST-0203"/>
    <s v="PROD-043"/>
    <x v="1"/>
    <n v="10"/>
    <n v="3350"/>
    <x v="102"/>
    <n v="25091.5"/>
    <x v="2"/>
    <s v="Chennai"/>
    <x v="5"/>
    <m/>
    <x v="0"/>
    <n v="55"/>
    <x v="0"/>
    <m/>
    <m/>
    <m/>
  </r>
  <r>
    <s v="ORD-01183"/>
    <x v="246"/>
    <s v="CUST-0138"/>
    <s v="PROD-059"/>
    <x v="5"/>
    <n v="3"/>
    <n v="3780"/>
    <x v="290"/>
    <n v="10909.08"/>
    <x v="0"/>
    <s v="Chennai"/>
    <x v="1"/>
    <m/>
    <x v="1"/>
    <n v="24"/>
    <x v="1"/>
    <s v="Jun-24"/>
    <n v="1860"/>
    <n v="0.50793650793650791"/>
  </r>
  <r>
    <s v="ORD-01184"/>
    <x v="330"/>
    <s v="CUST-0157"/>
    <s v="PROD-003"/>
    <x v="4"/>
    <n v="4"/>
    <n v="3570"/>
    <x v="122"/>
    <n v="14151.48"/>
    <x v="1"/>
    <s v="Pune"/>
    <x v="4"/>
    <m/>
    <x v="2"/>
    <n v="52"/>
    <x v="0"/>
    <m/>
    <m/>
    <m/>
  </r>
  <r>
    <s v="ORD-01185"/>
    <x v="295"/>
    <s v="CUST-0298"/>
    <s v="PROD-055"/>
    <x v="6"/>
    <n v="5"/>
    <n v="2860"/>
    <x v="138"/>
    <n v="11425.7"/>
    <x v="0"/>
    <s v="Delhi"/>
    <x v="1"/>
    <m/>
    <x v="1"/>
    <n v="44"/>
    <x v="0"/>
    <m/>
    <m/>
    <m/>
  </r>
  <r>
    <s v="ORD-01186"/>
    <x v="79"/>
    <s v="CUST-0132"/>
    <s v="PROD-016"/>
    <x v="11"/>
    <n v="1"/>
    <n v="620"/>
    <x v="71"/>
    <n v="613.17999999999995"/>
    <x v="2"/>
    <s v="Delhi"/>
    <x v="0"/>
    <m/>
    <x v="1"/>
    <n v="41"/>
    <x v="0"/>
    <m/>
    <m/>
    <m/>
  </r>
  <r>
    <s v="ORD-01187"/>
    <x v="39"/>
    <s v="CUST-0006"/>
    <s v="PROD-003"/>
    <x v="27"/>
    <n v="1"/>
    <n v="3570"/>
    <x v="86"/>
    <n v="3173.73"/>
    <x v="2"/>
    <s v="Pune"/>
    <x v="4"/>
    <m/>
    <x v="0"/>
    <n v="44"/>
    <x v="0"/>
    <m/>
    <m/>
    <m/>
  </r>
  <r>
    <s v="ORD-01188"/>
    <x v="317"/>
    <s v="CUST-0011"/>
    <s v="PROD-001"/>
    <x v="27"/>
    <n v="1"/>
    <n v="5330"/>
    <x v="124"/>
    <n v="5143.45"/>
    <x v="0"/>
    <s v="Chennai"/>
    <x v="4"/>
    <m/>
    <x v="2"/>
    <n v="41"/>
    <x v="0"/>
    <m/>
    <m/>
    <m/>
  </r>
  <r>
    <s v="ORD-01189"/>
    <x v="333"/>
    <s v="CUST-0170"/>
    <s v="PROD-052"/>
    <x v="26"/>
    <n v="7"/>
    <n v="5410"/>
    <x v="22"/>
    <n v="27948.06"/>
    <x v="0"/>
    <s v="Mumbai"/>
    <x v="1"/>
    <m/>
    <x v="0"/>
    <n v="22"/>
    <x v="4"/>
    <s v="Sep-24"/>
    <n v="2265"/>
    <n v="0.58133086876155271"/>
  </r>
  <r>
    <s v="ORD-01190"/>
    <x v="163"/>
    <s v="CUST-0109"/>
    <s v="PROD-034"/>
    <x v="29"/>
    <n v="10"/>
    <n v="5080"/>
    <x v="158"/>
    <n v="48920.4"/>
    <x v="1"/>
    <s v="Pune"/>
    <x v="3"/>
    <m/>
    <x v="1"/>
    <n v="42"/>
    <x v="0"/>
    <m/>
    <m/>
    <m/>
  </r>
  <r>
    <s v="ORD-01191"/>
    <x v="43"/>
    <s v="CUST-0066"/>
    <s v="PROD-003"/>
    <x v="1"/>
    <n v="9"/>
    <n v="3570"/>
    <x v="174"/>
    <n v="30330.720000000001"/>
    <x v="0"/>
    <s v="Delhi"/>
    <x v="4"/>
    <m/>
    <x v="1"/>
    <n v="24"/>
    <x v="4"/>
    <s v="Mar-24"/>
    <n v="1665"/>
    <n v="0.53361344537815125"/>
  </r>
  <r>
    <s v="ORD-01192"/>
    <x v="165"/>
    <s v="CUST-0055"/>
    <s v="PROD-030"/>
    <x v="24"/>
    <n v="9"/>
    <n v="970"/>
    <x v="88"/>
    <n v="7027.65"/>
    <x v="0"/>
    <s v="Bengaluru"/>
    <x v="2"/>
    <m/>
    <x v="1"/>
    <n v="34"/>
    <x v="1"/>
    <s v="Mar-24"/>
    <n v="434"/>
    <n v="0.5525773195876289"/>
  </r>
  <r>
    <s v="ORD-01193"/>
    <x v="298"/>
    <s v="CUST-0298"/>
    <s v="PROD-005"/>
    <x v="18"/>
    <n v="10"/>
    <n v="300"/>
    <x v="50"/>
    <n v="2310"/>
    <x v="2"/>
    <s v="Delhi"/>
    <x v="4"/>
    <m/>
    <x v="1"/>
    <n v="44"/>
    <x v="0"/>
    <m/>
    <m/>
    <m/>
  </r>
  <r>
    <s v="ORD-01194"/>
    <x v="319"/>
    <s v="CUST-0024"/>
    <s v="PROD-050"/>
    <x v="11"/>
    <n v="10"/>
    <n v="6080"/>
    <x v="164"/>
    <n v="58428.800000000003"/>
    <x v="0"/>
    <s v="Chennai"/>
    <x v="5"/>
    <m/>
    <x v="0"/>
    <n v="64"/>
    <x v="0"/>
    <m/>
    <m/>
    <m/>
  </r>
  <r>
    <s v="ORD-01195"/>
    <x v="149"/>
    <s v="CUST-0008"/>
    <s v="PROD-048"/>
    <x v="23"/>
    <n v="2"/>
    <n v="5100"/>
    <x v="293"/>
    <n v="9078"/>
    <x v="0"/>
    <s v="Pune"/>
    <x v="5"/>
    <m/>
    <x v="0"/>
    <n v="39"/>
    <x v="1"/>
    <s v="Jul-24"/>
    <n v="2237"/>
    <n v="0.56137254901960787"/>
  </r>
  <r>
    <s v="ORD-01196"/>
    <x v="18"/>
    <s v="CUST-0070"/>
    <s v="PROD-011"/>
    <x v="7"/>
    <n v="9"/>
    <n v="3450"/>
    <x v="129"/>
    <n v="23691.15"/>
    <x v="0"/>
    <s v="Mumbai"/>
    <x v="0"/>
    <m/>
    <x v="1"/>
    <n v="42"/>
    <x v="0"/>
    <m/>
    <m/>
    <m/>
  </r>
  <r>
    <s v="ORD-01197"/>
    <x v="164"/>
    <s v="CUST-0270"/>
    <s v="PROD-019"/>
    <x v="23"/>
    <n v="5"/>
    <n v="2480"/>
    <x v="201"/>
    <n v="9870.4"/>
    <x v="0"/>
    <s v="Bengaluru"/>
    <x v="0"/>
    <m/>
    <x v="1"/>
    <n v="29"/>
    <x v="3"/>
    <s v="Apr-24"/>
    <n v="1173"/>
    <n v="0.52701612903225803"/>
  </r>
  <r>
    <s v="ORD-01198"/>
    <x v="323"/>
    <s v="CUST-0175"/>
    <s v="PROD-060"/>
    <x v="9"/>
    <n v="4"/>
    <n v="190"/>
    <x v="16"/>
    <n v="740.24"/>
    <x v="0"/>
    <s v="Delhi"/>
    <x v="1"/>
    <m/>
    <x v="2"/>
    <n v="55"/>
    <x v="0"/>
    <m/>
    <m/>
    <m/>
  </r>
  <r>
    <s v="ORD-01199"/>
    <x v="212"/>
    <s v="CUST-0227"/>
    <s v="PROD-022"/>
    <x v="16"/>
    <n v="4"/>
    <n v="2270"/>
    <x v="282"/>
    <n v="8344.52"/>
    <x v="1"/>
    <s v="Bengaluru"/>
    <x v="2"/>
    <m/>
    <x v="0"/>
    <n v="44"/>
    <x v="0"/>
    <m/>
    <m/>
    <m/>
  </r>
  <r>
    <s v="ORD-01200"/>
    <x v="169"/>
    <s v="CUST-0041"/>
    <s v="PROD-017"/>
    <x v="8"/>
    <n v="7"/>
    <n v="2510"/>
    <x v="47"/>
    <n v="13089.65"/>
    <x v="0"/>
    <s v="Bengaluru"/>
    <x v="0"/>
    <m/>
    <x v="0"/>
    <n v="26"/>
    <x v="3"/>
    <s v="Jan-24"/>
    <n v="1075"/>
    <n v="0.57171314741035861"/>
  </r>
  <r>
    <s v="ORD-01201"/>
    <x v="318"/>
    <s v="CUST-0147"/>
    <s v="PROD-059"/>
    <x v="10"/>
    <n v="3"/>
    <n v="3780"/>
    <x v="135"/>
    <n v="9434.8799999999992"/>
    <x v="0"/>
    <s v="Pune"/>
    <x v="1"/>
    <m/>
    <x v="1"/>
    <n v="56"/>
    <x v="0"/>
    <m/>
    <m/>
    <m/>
  </r>
  <r>
    <s v="ORD-01202"/>
    <x v="79"/>
    <s v="CUST-0185"/>
    <s v="PROD-003"/>
    <x v="9"/>
    <n v="7"/>
    <n v="3570"/>
    <x v="129"/>
    <n v="19067.37"/>
    <x v="0"/>
    <s v="Hyderabad"/>
    <x v="4"/>
    <m/>
    <x v="0"/>
    <n v="43"/>
    <x v="0"/>
    <m/>
    <m/>
    <m/>
  </r>
  <r>
    <s v="ORD-01203"/>
    <x v="115"/>
    <s v="CUST-0210"/>
    <s v="PROD-037"/>
    <x v="23"/>
    <n v="4"/>
    <n v="660"/>
    <x v="186"/>
    <n v="2544.96"/>
    <x v="0"/>
    <s v="Pune"/>
    <x v="3"/>
    <m/>
    <x v="2"/>
    <n v="48"/>
    <x v="0"/>
    <m/>
    <m/>
    <m/>
  </r>
  <r>
    <s v="ORD-01204"/>
    <x v="350"/>
    <s v="CUST-0289"/>
    <s v="PROD-030"/>
    <x v="9"/>
    <n v="7"/>
    <n v="970"/>
    <x v="129"/>
    <n v="5180.7700000000004"/>
    <x v="0"/>
    <s v="Mumbai"/>
    <x v="2"/>
    <m/>
    <x v="1"/>
    <n v="54"/>
    <x v="0"/>
    <m/>
    <m/>
    <m/>
  </r>
  <r>
    <s v="ORD-01205"/>
    <x v="200"/>
    <s v="CUST-0017"/>
    <s v="PROD-024"/>
    <x v="3"/>
    <n v="8"/>
    <n v="2270"/>
    <x v="115"/>
    <n v="16925.12"/>
    <x v="0"/>
    <s v="Delhi"/>
    <x v="2"/>
    <m/>
    <x v="0"/>
    <n v="38"/>
    <x v="4"/>
    <s v="Jul-24"/>
    <n v="1203"/>
    <n v="0.47004405286343615"/>
  </r>
  <r>
    <s v="ORD-01206"/>
    <x v="65"/>
    <s v="CUST-0115"/>
    <s v="PROD-058"/>
    <x v="27"/>
    <n v="1"/>
    <n v="2400"/>
    <x v="219"/>
    <n v="1764"/>
    <x v="0"/>
    <s v="Mumbai"/>
    <x v="1"/>
    <m/>
    <x v="0"/>
    <n v="65"/>
    <x v="0"/>
    <m/>
    <m/>
    <m/>
  </r>
  <r>
    <s v="ORD-01207"/>
    <x v="283"/>
    <s v="CUST-0183"/>
    <s v="PROD-034"/>
    <x v="9"/>
    <n v="5"/>
    <n v="5080"/>
    <x v="123"/>
    <n v="17881.599999999999"/>
    <x v="0"/>
    <s v="Mumbai"/>
    <x v="3"/>
    <m/>
    <x v="0"/>
    <n v="27"/>
    <x v="4"/>
    <s v="Oct-24"/>
    <n v="2459"/>
    <n v="0.51594488188976373"/>
  </r>
  <r>
    <s v="ORD-01208"/>
    <x v="116"/>
    <s v="CUST-0193"/>
    <s v="PROD-043"/>
    <x v="2"/>
    <n v="9"/>
    <n v="3350"/>
    <x v="198"/>
    <n v="28280.7"/>
    <x v="0"/>
    <s v="Bengaluru"/>
    <x v="5"/>
    <m/>
    <x v="1"/>
    <n v="42"/>
    <x v="0"/>
    <m/>
    <m/>
    <m/>
  </r>
  <r>
    <s v="ORD-01209"/>
    <x v="9"/>
    <s v="CUST-0019"/>
    <s v="PROD-041"/>
    <x v="19"/>
    <n v="4"/>
    <n v="1540"/>
    <x v="73"/>
    <n v="4792.4799999999996"/>
    <x v="0"/>
    <s v="Chennai"/>
    <x v="5"/>
    <m/>
    <x v="1"/>
    <n v="22"/>
    <x v="4"/>
    <s v="Feb-24"/>
    <n v="647"/>
    <n v="0.57987012987012987"/>
  </r>
  <r>
    <s v="ORD-01210"/>
    <x v="313"/>
    <s v="CUST-0097"/>
    <s v="PROD-034"/>
    <x v="25"/>
    <n v="10"/>
    <n v="5080"/>
    <x v="228"/>
    <n v="44805.599999999999"/>
    <x v="0"/>
    <s v="Mumbai"/>
    <x v="3"/>
    <m/>
    <x v="1"/>
    <n v="65"/>
    <x v="0"/>
    <m/>
    <m/>
    <m/>
  </r>
  <r>
    <s v="ORD-01211"/>
    <x v="197"/>
    <s v="CUST-0237"/>
    <s v="PROD-018"/>
    <x v="27"/>
    <n v="9"/>
    <n v="3560"/>
    <x v="237"/>
    <n v="26945.64"/>
    <x v="0"/>
    <s v="Mumbai"/>
    <x v="0"/>
    <m/>
    <x v="1"/>
    <n v="49"/>
    <x v="0"/>
    <m/>
    <m/>
    <m/>
  </r>
  <r>
    <s v="ORD-01212"/>
    <x v="98"/>
    <s v="CUST-0252"/>
    <s v="PROD-040"/>
    <x v="18"/>
    <n v="2"/>
    <n v="1080"/>
    <x v="35"/>
    <n v="1704.24"/>
    <x v="0"/>
    <s v="Bengaluru"/>
    <x v="3"/>
    <m/>
    <x v="1"/>
    <n v="27"/>
    <x v="4"/>
    <s v="Jan-24"/>
    <n v="519"/>
    <n v="0.51944444444444449"/>
  </r>
  <r>
    <s v="ORD-01213"/>
    <x v="202"/>
    <s v="CUST-0216"/>
    <s v="PROD-023"/>
    <x v="26"/>
    <n v="5"/>
    <n v="2380"/>
    <x v="270"/>
    <n v="9460.5"/>
    <x v="0"/>
    <s v="Mumbai"/>
    <x v="2"/>
    <m/>
    <x v="1"/>
    <n v="50"/>
    <x v="0"/>
    <m/>
    <m/>
    <m/>
  </r>
  <r>
    <s v="ORD-01214"/>
    <x v="71"/>
    <s v="CUST-0248"/>
    <s v="PROD-019"/>
    <x v="5"/>
    <n v="9"/>
    <n v="2480"/>
    <x v="9"/>
    <n v="22052.16"/>
    <x v="0"/>
    <s v="Chennai"/>
    <x v="0"/>
    <m/>
    <x v="0"/>
    <n v="57"/>
    <x v="0"/>
    <m/>
    <m/>
    <m/>
  </r>
  <r>
    <s v="ORD-01215"/>
    <x v="333"/>
    <s v="CUST-0044"/>
    <s v="PROD-042"/>
    <x v="27"/>
    <n v="9"/>
    <n v="2290"/>
    <x v="122"/>
    <n v="20424.509999999998"/>
    <x v="0"/>
    <s v="Hyderabad"/>
    <x v="5"/>
    <m/>
    <x v="0"/>
    <n v="29"/>
    <x v="2"/>
    <s v="Jul-24"/>
    <n v="1219"/>
    <n v="0.46768558951965067"/>
  </r>
  <r>
    <s v="ORD-01216"/>
    <x v="143"/>
    <s v="CUST-0251"/>
    <s v="PROD-011"/>
    <x v="23"/>
    <n v="3"/>
    <n v="3450"/>
    <x v="169"/>
    <n v="7296.75"/>
    <x v="0"/>
    <s v="Mumbai"/>
    <x v="0"/>
    <m/>
    <x v="1"/>
    <n v="44"/>
    <x v="0"/>
    <m/>
    <m/>
    <m/>
  </r>
  <r>
    <s v="ORD-01217"/>
    <x v="28"/>
    <s v="CUST-0280"/>
    <s v="PROD-047"/>
    <x v="6"/>
    <n v="9"/>
    <n v="3450"/>
    <x v="202"/>
    <n v="25026.3"/>
    <x v="0"/>
    <s v="Delhi"/>
    <x v="5"/>
    <m/>
    <x v="0"/>
    <n v="27"/>
    <x v="4"/>
    <s v="Mar-24"/>
    <n v="2420"/>
    <n v="0.29855072463768118"/>
  </r>
  <r>
    <s v="ORD-01218"/>
    <x v="340"/>
    <s v="CUST-0108"/>
    <s v="PROD-002"/>
    <x v="14"/>
    <n v="2"/>
    <n v="2600"/>
    <x v="90"/>
    <n v="4149.6000000000004"/>
    <x v="2"/>
    <s v="Bengaluru"/>
    <x v="4"/>
    <m/>
    <x v="2"/>
    <n v="59"/>
    <x v="0"/>
    <m/>
    <m/>
    <m/>
  </r>
  <r>
    <s v="ORD-01219"/>
    <x v="281"/>
    <s v="CUST-0058"/>
    <s v="PROD-021"/>
    <x v="5"/>
    <n v="1"/>
    <n v="2760"/>
    <x v="180"/>
    <n v="2497.8000000000002"/>
    <x v="0"/>
    <s v="Bengaluru"/>
    <x v="2"/>
    <m/>
    <x v="0"/>
    <n v="49"/>
    <x v="0"/>
    <m/>
    <m/>
    <m/>
  </r>
  <r>
    <s v="ORD-01220"/>
    <x v="106"/>
    <s v="CUST-0090"/>
    <s v="PROD-039"/>
    <x v="11"/>
    <n v="4"/>
    <n v="4610"/>
    <x v="112"/>
    <n v="15710.88"/>
    <x v="0"/>
    <s v="Bengaluru"/>
    <x v="3"/>
    <m/>
    <x v="2"/>
    <n v="26"/>
    <x v="2"/>
    <s v="Aug-24"/>
    <n v="1850"/>
    <n v="0.59869848156182215"/>
  </r>
  <r>
    <s v="ORD-01221"/>
    <x v="147"/>
    <s v="CUST-0204"/>
    <s v="PROD-019"/>
    <x v="6"/>
    <n v="3"/>
    <n v="2480"/>
    <x v="158"/>
    <n v="7164.72"/>
    <x v="0"/>
    <s v="Hyderabad"/>
    <x v="0"/>
    <m/>
    <x v="1"/>
    <n v="60"/>
    <x v="0"/>
    <m/>
    <m/>
    <m/>
  </r>
  <r>
    <s v="ORD-01222"/>
    <x v="294"/>
    <s v="CUST-0044"/>
    <s v="PROD-056"/>
    <x v="23"/>
    <n v="5"/>
    <n v="6940"/>
    <x v="45"/>
    <n v="34595.9"/>
    <x v="0"/>
    <s v="Hyderabad"/>
    <x v="1"/>
    <m/>
    <x v="0"/>
    <n v="29"/>
    <x v="2"/>
    <s v="Aug-24"/>
    <n v="2827"/>
    <n v="0.5926512968299712"/>
  </r>
  <r>
    <s v="ORD-01223"/>
    <x v="9"/>
    <s v="CUST-0068"/>
    <s v="PROD-022"/>
    <x v="12"/>
    <n v="8"/>
    <n v="2270"/>
    <x v="142"/>
    <n v="15327.04"/>
    <x v="1"/>
    <s v="Delhi"/>
    <x v="2"/>
    <m/>
    <x v="0"/>
    <n v="48"/>
    <x v="0"/>
    <m/>
    <m/>
    <m/>
  </r>
  <r>
    <s v="ORD-01224"/>
    <x v="313"/>
    <s v="CUST-0127"/>
    <s v="PROD-048"/>
    <x v="14"/>
    <n v="5"/>
    <n v="5100"/>
    <x v="180"/>
    <n v="23077.5"/>
    <x v="0"/>
    <s v="Bengaluru"/>
    <x v="5"/>
    <m/>
    <x v="0"/>
    <n v="36"/>
    <x v="3"/>
    <s v="Sep-24"/>
    <n v="2237"/>
    <n v="0.56137254901960787"/>
  </r>
  <r>
    <s v="ORD-01225"/>
    <x v="345"/>
    <s v="CUST-0191"/>
    <s v="PROD-036"/>
    <x v="23"/>
    <n v="5"/>
    <n v="3250"/>
    <x v="282"/>
    <n v="14933.75"/>
    <x v="0"/>
    <s v="Hyderabad"/>
    <x v="3"/>
    <m/>
    <x v="0"/>
    <n v="43"/>
    <x v="0"/>
    <m/>
    <m/>
    <m/>
  </r>
  <r>
    <s v="ORD-01226"/>
    <x v="303"/>
    <s v="CUST-0028"/>
    <s v="PROD-006"/>
    <x v="11"/>
    <n v="6"/>
    <n v="3970"/>
    <x v="121"/>
    <n v="19341.84"/>
    <x v="1"/>
    <s v="Bengaluru"/>
    <x v="4"/>
    <m/>
    <x v="1"/>
    <n v="59"/>
    <x v="0"/>
    <m/>
    <m/>
    <m/>
  </r>
  <r>
    <s v="ORD-01227"/>
    <x v="14"/>
    <s v="CUST-0027"/>
    <s v="PROD-001"/>
    <x v="5"/>
    <n v="4"/>
    <n v="5330"/>
    <x v="214"/>
    <n v="17119.96"/>
    <x v="0"/>
    <s v="Hyderabad"/>
    <x v="4"/>
    <m/>
    <x v="2"/>
    <n v="52"/>
    <x v="0"/>
    <m/>
    <m/>
    <m/>
  </r>
  <r>
    <s v="ORD-01228"/>
    <x v="84"/>
    <s v="CUST-0193"/>
    <s v="PROD-008"/>
    <x v="10"/>
    <n v="7"/>
    <n v="2660"/>
    <x v="144"/>
    <n v="17037.3"/>
    <x v="0"/>
    <s v="Bengaluru"/>
    <x v="4"/>
    <m/>
    <x v="1"/>
    <n v="42"/>
    <x v="0"/>
    <m/>
    <m/>
    <m/>
  </r>
  <r>
    <s v="ORD-01229"/>
    <x v="124"/>
    <s v="CUST-0202"/>
    <s v="PROD-012"/>
    <x v="20"/>
    <n v="5"/>
    <n v="3160"/>
    <x v="106"/>
    <n v="13682.8"/>
    <x v="1"/>
    <s v="Chennai"/>
    <x v="0"/>
    <m/>
    <x v="1"/>
    <n v="39"/>
    <x v="1"/>
    <s v="Nov-24"/>
    <n v="1886"/>
    <n v="0.4031645569620253"/>
  </r>
  <r>
    <s v="ORD-01230"/>
    <x v="287"/>
    <s v="CUST-0230"/>
    <s v="PROD-054"/>
    <x v="7"/>
    <n v="10"/>
    <n v="1010"/>
    <x v="170"/>
    <n v="8686"/>
    <x v="0"/>
    <s v="Pune"/>
    <x v="1"/>
    <m/>
    <x v="2"/>
    <n v="33"/>
    <x v="2"/>
    <s v="May-24"/>
    <n v="516"/>
    <n v="0.4891089108910891"/>
  </r>
  <r>
    <s v="ORD-01231"/>
    <x v="351"/>
    <s v="CUST-0280"/>
    <s v="PROD-041"/>
    <x v="11"/>
    <n v="3"/>
    <n v="1540"/>
    <x v="130"/>
    <n v="3987.06"/>
    <x v="1"/>
    <s v="Delhi"/>
    <x v="5"/>
    <m/>
    <x v="0"/>
    <n v="27"/>
    <x v="3"/>
    <s v="Dec-24"/>
    <n v="647"/>
    <n v="0.57987012987012987"/>
  </r>
  <r>
    <s v="ORD-01232"/>
    <x v="343"/>
    <s v="CUST-0196"/>
    <s v="PROD-048"/>
    <x v="18"/>
    <n v="10"/>
    <n v="5100"/>
    <x v="103"/>
    <n v="43962"/>
    <x v="0"/>
    <s v="Chennai"/>
    <x v="5"/>
    <m/>
    <x v="1"/>
    <n v="26"/>
    <x v="1"/>
    <s v="Mar-24"/>
    <n v="2237"/>
    <n v="0.56137254901960787"/>
  </r>
  <r>
    <s v="ORD-01233"/>
    <x v="136"/>
    <s v="CUST-0019"/>
    <s v="PROD-007"/>
    <x v="14"/>
    <n v="3"/>
    <n v="1430"/>
    <x v="156"/>
    <n v="4225.6499999999996"/>
    <x v="0"/>
    <s v="Chennai"/>
    <x v="4"/>
    <m/>
    <x v="1"/>
    <n v="22"/>
    <x v="4"/>
    <s v="Jan-24"/>
    <n v="861"/>
    <n v="0.39790209790209791"/>
  </r>
  <r>
    <s v="ORD-01234"/>
    <x v="247"/>
    <s v="CUST-0201"/>
    <s v="PROD-038"/>
    <x v="22"/>
    <n v="8"/>
    <n v="5490"/>
    <x v="204"/>
    <n v="33730.559999999998"/>
    <x v="0"/>
    <s v="Hyderabad"/>
    <x v="3"/>
    <m/>
    <x v="1"/>
    <n v="31"/>
    <x v="2"/>
    <s v="Jun-24"/>
    <n v="2549"/>
    <n v="0.53570127504553733"/>
  </r>
  <r>
    <s v="ORD-01235"/>
    <x v="185"/>
    <s v="CUST-0146"/>
    <s v="PROD-044"/>
    <x v="4"/>
    <n v="6"/>
    <n v="1650"/>
    <x v="135"/>
    <n v="8236.7999999999993"/>
    <x v="0"/>
    <s v="Hyderabad"/>
    <x v="5"/>
    <m/>
    <x v="1"/>
    <n v="22"/>
    <x v="4"/>
    <s v="Nov-24"/>
    <n v="1222"/>
    <n v="0.2593939393939394"/>
  </r>
  <r>
    <s v="ORD-01236"/>
    <x v="151"/>
    <s v="CUST-0199"/>
    <s v="PROD-045"/>
    <x v="26"/>
    <n v="3"/>
    <n v="3020"/>
    <x v="258"/>
    <n v="7746.3"/>
    <x v="0"/>
    <s v="Hyderabad"/>
    <x v="5"/>
    <m/>
    <x v="0"/>
    <n v="31"/>
    <x v="1"/>
    <s v="Jul-24"/>
    <n v="1626"/>
    <n v="0.46158940397350995"/>
  </r>
  <r>
    <s v="ORD-01237"/>
    <x v="334"/>
    <s v="CUST-0099"/>
    <s v="PROD-041"/>
    <x v="11"/>
    <n v="5"/>
    <n v="1540"/>
    <x v="272"/>
    <n v="5605.6"/>
    <x v="0"/>
    <s v="Bengaluru"/>
    <x v="5"/>
    <m/>
    <x v="0"/>
    <n v="54"/>
    <x v="0"/>
    <m/>
    <m/>
    <m/>
  </r>
  <r>
    <s v="ORD-00372"/>
    <x v="246"/>
    <s v="CUST-0094"/>
    <s v="PROD-056"/>
    <x v="12"/>
    <n v="4"/>
    <n v="6940"/>
    <x v="185"/>
    <n v="26871.68"/>
    <x v="0"/>
    <s v="Pune"/>
    <x v="1"/>
    <m/>
    <x v="0"/>
    <n v="60"/>
    <x v="0"/>
    <m/>
    <m/>
    <m/>
  </r>
  <r>
    <s v="ORD-01239"/>
    <x v="25"/>
    <s v="CUST-0275"/>
    <s v="PROD-048"/>
    <x v="21"/>
    <n v="2"/>
    <n v="5100"/>
    <x v="128"/>
    <n v="8353.7999999999993"/>
    <x v="0"/>
    <s v="Mumbai"/>
    <x v="5"/>
    <m/>
    <x v="1"/>
    <n v="36"/>
    <x v="3"/>
    <s v="Jan-24"/>
    <n v="2237"/>
    <n v="0.56137254901960787"/>
  </r>
  <r>
    <s v="ORD-01240"/>
    <x v="189"/>
    <s v="CUST-0230"/>
    <s v="PROD-001"/>
    <x v="29"/>
    <n v="6"/>
    <n v="5330"/>
    <x v="45"/>
    <n v="31884.06"/>
    <x v="1"/>
    <s v="Pune"/>
    <x v="4"/>
    <m/>
    <x v="2"/>
    <n v="33"/>
    <x v="3"/>
    <s v="Aug-24"/>
    <n v="2405"/>
    <n v="0.54878048780487809"/>
  </r>
  <r>
    <s v="ORD-01241"/>
    <x v="121"/>
    <s v="CUST-0227"/>
    <s v="PROD-057"/>
    <x v="20"/>
    <n v="5"/>
    <n v="960"/>
    <x v="254"/>
    <n v="4003.2"/>
    <x v="0"/>
    <s v="Bengaluru"/>
    <x v="1"/>
    <m/>
    <x v="0"/>
    <n v="44"/>
    <x v="0"/>
    <m/>
    <m/>
    <m/>
  </r>
  <r>
    <s v="ORD-01365"/>
    <x v="214"/>
    <s v="CUST-0200"/>
    <s v="PROD-014"/>
    <x v="24"/>
    <n v="7"/>
    <n v="3620"/>
    <x v="75"/>
    <n v="23971.64"/>
    <x v="0"/>
    <s v="Hyderabad"/>
    <x v="0"/>
    <m/>
    <x v="2"/>
    <n v="46"/>
    <x v="0"/>
    <m/>
    <m/>
    <m/>
  </r>
  <r>
    <s v="ORD-01243"/>
    <x v="213"/>
    <s v="CUST-0268"/>
    <s v="PROD-002"/>
    <x v="3"/>
    <n v="6"/>
    <n v="2600"/>
    <x v="163"/>
    <n v="11559.6"/>
    <x v="0"/>
    <s v="Chennai"/>
    <x v="4"/>
    <m/>
    <x v="1"/>
    <n v="35"/>
    <x v="3"/>
    <s v="Jul-24"/>
    <n v="1052"/>
    <n v="0.5953846153846154"/>
  </r>
  <r>
    <s v="ORD-01244"/>
    <x v="129"/>
    <s v="CUST-0163"/>
    <s v="PROD-008"/>
    <x v="22"/>
    <n v="7"/>
    <n v="2660"/>
    <x v="90"/>
    <n v="14858.76"/>
    <x v="0"/>
    <s v="Pune"/>
    <x v="4"/>
    <m/>
    <x v="1"/>
    <n v="49"/>
    <x v="0"/>
    <m/>
    <m/>
    <m/>
  </r>
  <r>
    <s v="ORD-01245"/>
    <x v="22"/>
    <s v="CUST-0233"/>
    <s v="PROD-019"/>
    <x v="24"/>
    <n v="9"/>
    <n v="2480"/>
    <x v="279"/>
    <n v="19038.96"/>
    <x v="0"/>
    <s v="Mumbai"/>
    <x v="0"/>
    <m/>
    <x v="0"/>
    <n v="65"/>
    <x v="0"/>
    <m/>
    <m/>
    <m/>
  </r>
  <r>
    <s v="ORD-01246"/>
    <x v="296"/>
    <s v="CUST-0181"/>
    <s v="PROD-008"/>
    <x v="15"/>
    <n v="4"/>
    <n v="2660"/>
    <x v="193"/>
    <n v="9693.0400000000009"/>
    <x v="0"/>
    <s v="Delhi"/>
    <x v="4"/>
    <m/>
    <x v="0"/>
    <n v="38"/>
    <x v="3"/>
    <s v="Jun-24"/>
    <n v="1259"/>
    <n v="0.52669172932330832"/>
  </r>
  <r>
    <s v="ORD-01247"/>
    <x v="326"/>
    <s v="CUST-0254"/>
    <s v="PROD-001"/>
    <x v="9"/>
    <n v="1"/>
    <n v="5330"/>
    <x v="253"/>
    <n v="3901.56"/>
    <x v="0"/>
    <s v="Bengaluru"/>
    <x v="4"/>
    <m/>
    <x v="1"/>
    <n v="35"/>
    <x v="4"/>
    <s v="Oct-24"/>
    <n v="2405"/>
    <n v="0.54878048780487809"/>
  </r>
  <r>
    <s v="ORD-01248"/>
    <x v="227"/>
    <s v="CUST-0116"/>
    <s v="PROD-051"/>
    <x v="28"/>
    <n v="6"/>
    <n v="3450"/>
    <x v="80"/>
    <n v="16725.599999999999"/>
    <x v="1"/>
    <s v="Bengaluru"/>
    <x v="1"/>
    <m/>
    <x v="1"/>
    <n v="53"/>
    <x v="0"/>
    <m/>
    <m/>
    <m/>
  </r>
  <r>
    <s v="ORD-01249"/>
    <x v="323"/>
    <s v="CUST-0259"/>
    <s v="PROD-060"/>
    <x v="5"/>
    <n v="10"/>
    <n v="190"/>
    <x v="128"/>
    <n v="1556.1"/>
    <x v="0"/>
    <s v="Mumbai"/>
    <x v="1"/>
    <m/>
    <x v="1"/>
    <n v="34"/>
    <x v="2"/>
    <s v="Sep-24"/>
    <n v="147"/>
    <n v="0.22631578947368422"/>
  </r>
  <r>
    <s v="ORD-01250"/>
    <x v="241"/>
    <s v="CUST-0198"/>
    <s v="PROD-006"/>
    <x v="18"/>
    <n v="9"/>
    <n v="3970"/>
    <x v="93"/>
    <n v="29227.14"/>
    <x v="1"/>
    <s v="Chennai"/>
    <x v="4"/>
    <m/>
    <x v="2"/>
    <n v="22"/>
    <x v="2"/>
    <s v="Feb-24"/>
    <n v="2865"/>
    <n v="0.27833753148614609"/>
  </r>
  <r>
    <s v="ORD-01251"/>
    <x v="280"/>
    <s v="CUST-0204"/>
    <s v="PROD-039"/>
    <x v="25"/>
    <n v="4"/>
    <n v="4610"/>
    <x v="176"/>
    <n v="15655.56"/>
    <x v="2"/>
    <s v="Hyderabad"/>
    <x v="3"/>
    <m/>
    <x v="1"/>
    <n v="60"/>
    <x v="0"/>
    <m/>
    <m/>
    <m/>
  </r>
  <r>
    <s v="ORD-01252"/>
    <x v="233"/>
    <s v="CUST-0216"/>
    <s v="PROD-016"/>
    <x v="5"/>
    <n v="2"/>
    <n v="620"/>
    <x v="2"/>
    <n v="1199.08"/>
    <x v="0"/>
    <s v="Mumbai"/>
    <x v="0"/>
    <m/>
    <x v="1"/>
    <n v="50"/>
    <x v="0"/>
    <m/>
    <m/>
    <m/>
  </r>
  <r>
    <s v="ORD-01253"/>
    <x v="214"/>
    <s v="CUST-0030"/>
    <s v="PROD-041"/>
    <x v="5"/>
    <n v="7"/>
    <n v="1540"/>
    <x v="118"/>
    <n v="7815.5"/>
    <x v="0"/>
    <s v="Bengaluru"/>
    <x v="5"/>
    <m/>
    <x v="2"/>
    <n v="43"/>
    <x v="0"/>
    <m/>
    <m/>
    <m/>
  </r>
  <r>
    <s v="ORD-01254"/>
    <x v="178"/>
    <s v="CUST-0019"/>
    <s v="PROD-053"/>
    <x v="21"/>
    <n v="10"/>
    <n v="470"/>
    <x v="164"/>
    <n v="4516.7"/>
    <x v="0"/>
    <s v="Chennai"/>
    <x v="1"/>
    <m/>
    <x v="1"/>
    <n v="22"/>
    <x v="2"/>
    <s v="Jul-24"/>
    <n v="302"/>
    <n v="0.35744680851063831"/>
  </r>
  <r>
    <s v="ORD-01255"/>
    <x v="348"/>
    <s v="CUST-0034"/>
    <s v="PROD-046"/>
    <x v="25"/>
    <n v="5"/>
    <n v="4880"/>
    <x v="230"/>
    <n v="17714.400000000001"/>
    <x v="0"/>
    <s v="Delhi"/>
    <x v="5"/>
    <m/>
    <x v="1"/>
    <n v="47"/>
    <x v="0"/>
    <m/>
    <m/>
    <m/>
  </r>
  <r>
    <s v="ORD-01256"/>
    <x v="289"/>
    <s v="CUST-0063"/>
    <s v="PROD-052"/>
    <x v="20"/>
    <n v="1"/>
    <n v="5410"/>
    <x v="191"/>
    <n v="4960.97"/>
    <x v="0"/>
    <s v="Mumbai"/>
    <x v="1"/>
    <m/>
    <x v="0"/>
    <n v="53"/>
    <x v="0"/>
    <m/>
    <m/>
    <m/>
  </r>
  <r>
    <s v="ORD-01257"/>
    <x v="337"/>
    <s v="CUST-0203"/>
    <s v="PROD-004"/>
    <x v="24"/>
    <n v="8"/>
    <n v="3870"/>
    <x v="203"/>
    <n v="28080.720000000001"/>
    <x v="1"/>
    <s v="Chennai"/>
    <x v="4"/>
    <m/>
    <x v="0"/>
    <n v="55"/>
    <x v="0"/>
    <m/>
    <m/>
    <m/>
  </r>
  <r>
    <s v="ORD-01258"/>
    <x v="136"/>
    <s v="CUST-0016"/>
    <s v="PROD-010"/>
    <x v="21"/>
    <n v="10"/>
    <n v="2640"/>
    <x v="66"/>
    <n v="21146.400000000001"/>
    <x v="0"/>
    <s v="Delhi"/>
    <x v="4"/>
    <m/>
    <x v="0"/>
    <n v="26"/>
    <x v="3"/>
    <s v="Jul-24"/>
    <n v="1149"/>
    <n v="0.56477272727272732"/>
  </r>
  <r>
    <s v="ORD-01259"/>
    <x v="118"/>
    <s v="CUST-0198"/>
    <s v="PROD-034"/>
    <x v="0"/>
    <n v="1"/>
    <n v="5080"/>
    <x v="248"/>
    <n v="4643.12"/>
    <x v="0"/>
    <s v="Chennai"/>
    <x v="3"/>
    <m/>
    <x v="2"/>
    <n v="22"/>
    <x v="3"/>
    <s v="Jun-24"/>
    <n v="2459"/>
    <n v="0.51594488188976373"/>
  </r>
  <r>
    <s v="ORD-01260"/>
    <x v="342"/>
    <s v="CUST-0212"/>
    <s v="PROD-036"/>
    <x v="26"/>
    <n v="9"/>
    <n v="3250"/>
    <x v="93"/>
    <n v="23926.5"/>
    <x v="1"/>
    <s v="Chennai"/>
    <x v="3"/>
    <m/>
    <x v="0"/>
    <n v="46"/>
    <x v="0"/>
    <m/>
    <m/>
    <m/>
  </r>
  <r>
    <s v="ORD-01261"/>
    <x v="84"/>
    <s v="CUST-0265"/>
    <s v="PROD-006"/>
    <x v="25"/>
    <n v="8"/>
    <n v="3970"/>
    <x v="268"/>
    <n v="24645.759999999998"/>
    <x v="0"/>
    <s v="Chennai"/>
    <x v="4"/>
    <m/>
    <x v="1"/>
    <n v="49"/>
    <x v="0"/>
    <m/>
    <m/>
    <m/>
  </r>
  <r>
    <s v="ORD-01262"/>
    <x v="192"/>
    <s v="CUST-0165"/>
    <s v="PROD-037"/>
    <x v="21"/>
    <n v="3"/>
    <n v="660"/>
    <x v="288"/>
    <n v="1918.62"/>
    <x v="0"/>
    <s v="Pune"/>
    <x v="3"/>
    <m/>
    <x v="1"/>
    <n v="29"/>
    <x v="1"/>
    <s v="Nov-24"/>
    <n v="329"/>
    <n v="0.50151515151515147"/>
  </r>
  <r>
    <s v="ORD-01263"/>
    <x v="298"/>
    <s v="CUST-0109"/>
    <s v="PROD-002"/>
    <x v="24"/>
    <n v="7"/>
    <n v="2600"/>
    <x v="0"/>
    <n v="15397.2"/>
    <x v="0"/>
    <s v="Pune"/>
    <x v="4"/>
    <m/>
    <x v="1"/>
    <n v="42"/>
    <x v="0"/>
    <m/>
    <m/>
    <m/>
  </r>
  <r>
    <s v="ORD-01264"/>
    <x v="45"/>
    <s v="CUST-0155"/>
    <s v="PROD-037"/>
    <x v="15"/>
    <n v="9"/>
    <n v="660"/>
    <x v="129"/>
    <n v="4532.22"/>
    <x v="0"/>
    <s v="Pune"/>
    <x v="3"/>
    <m/>
    <x v="2"/>
    <n v="40"/>
    <x v="3"/>
    <s v="Mar-24"/>
    <n v="329"/>
    <n v="0.50151515151515147"/>
  </r>
  <r>
    <s v="ORD-01265"/>
    <x v="183"/>
    <s v="CUST-0194"/>
    <s v="PROD-023"/>
    <x v="13"/>
    <n v="3"/>
    <n v="2380"/>
    <x v="88"/>
    <n v="5747.7"/>
    <x v="2"/>
    <s v="Delhi"/>
    <x v="2"/>
    <m/>
    <x v="0"/>
    <n v="55"/>
    <x v="0"/>
    <m/>
    <m/>
    <m/>
  </r>
  <r>
    <s v="ORD-01266"/>
    <x v="207"/>
    <s v="CUST-0084"/>
    <s v="PROD-044"/>
    <x v="9"/>
    <n v="9"/>
    <n v="1650"/>
    <x v="148"/>
    <n v="14478.75"/>
    <x v="0"/>
    <s v="Chennai"/>
    <x v="5"/>
    <m/>
    <x v="1"/>
    <n v="28"/>
    <x v="3"/>
    <s v="Apr-24"/>
    <n v="1222"/>
    <n v="0.2593939393939394"/>
  </r>
  <r>
    <s v="ORD-01267"/>
    <x v="181"/>
    <s v="CUST-9684"/>
    <s v="PROD-010"/>
    <x v="3"/>
    <n v="8"/>
    <n v="2640"/>
    <x v="42"/>
    <n v="15966.72"/>
    <x v="0"/>
    <s v="Mumbai"/>
    <x v="4"/>
    <m/>
    <x v="3"/>
    <e v="#N/A"/>
    <x v="0"/>
    <m/>
    <m/>
    <m/>
  </r>
  <r>
    <s v="ORD-01268"/>
    <x v="43"/>
    <s v="CUST-0218"/>
    <s v="PROD-023"/>
    <x v="22"/>
    <n v="8"/>
    <n v="2380"/>
    <x v="231"/>
    <n v="14432.32"/>
    <x v="0"/>
    <s v="Mumbai"/>
    <x v="2"/>
    <m/>
    <x v="1"/>
    <n v="39"/>
    <x v="1"/>
    <s v="Dec-24"/>
    <n v="1182"/>
    <n v="0.50336134453781511"/>
  </r>
  <r>
    <s v="ORD-01269"/>
    <x v="41"/>
    <s v="CUST-0194"/>
    <s v="PROD-029"/>
    <x v="0"/>
    <n v="10"/>
    <n v="2210"/>
    <x v="186"/>
    <n v="21304.400000000001"/>
    <x v="0"/>
    <s v="Delhi"/>
    <x v="2"/>
    <m/>
    <x v="0"/>
    <n v="55"/>
    <x v="0"/>
    <m/>
    <m/>
    <m/>
  </r>
  <r>
    <s v="ORD-01270"/>
    <x v="139"/>
    <s v="CUST-0037"/>
    <s v="PROD-050"/>
    <x v="26"/>
    <n v="9"/>
    <n v="6080"/>
    <x v="291"/>
    <n v="45308.160000000003"/>
    <x v="1"/>
    <s v="Bengaluru"/>
    <x v="5"/>
    <m/>
    <x v="1"/>
    <n v="52"/>
    <x v="0"/>
    <m/>
    <m/>
    <m/>
  </r>
  <r>
    <s v="ORD-01271"/>
    <x v="10"/>
    <s v="CUST-0245"/>
    <s v="PROD-054"/>
    <x v="24"/>
    <n v="8"/>
    <n v="1010"/>
    <x v="281"/>
    <n v="7086.16"/>
    <x v="0"/>
    <s v="Hyderabad"/>
    <x v="1"/>
    <m/>
    <x v="1"/>
    <n v="65"/>
    <x v="0"/>
    <m/>
    <m/>
    <m/>
  </r>
  <r>
    <s v="ORD-01272"/>
    <x v="329"/>
    <s v="CUST-0266"/>
    <s v="PROD-028"/>
    <x v="23"/>
    <n v="8"/>
    <n v="3660"/>
    <x v="68"/>
    <n v="26820.48"/>
    <x v="0"/>
    <s v="Pune"/>
    <x v="2"/>
    <m/>
    <x v="1"/>
    <n v="65"/>
    <x v="0"/>
    <m/>
    <m/>
    <m/>
  </r>
  <r>
    <s v="ORD-01273"/>
    <x v="68"/>
    <s v="CUST-0058"/>
    <s v="PROD-039"/>
    <x v="20"/>
    <n v="8"/>
    <n v="4610"/>
    <x v="0"/>
    <n v="31200.48"/>
    <x v="2"/>
    <s v="Bengaluru"/>
    <x v="3"/>
    <m/>
    <x v="0"/>
    <n v="49"/>
    <x v="0"/>
    <m/>
    <m/>
    <m/>
  </r>
  <r>
    <s v="ORD-01274"/>
    <x v="283"/>
    <s v="CUST-0058"/>
    <s v="PROD-048"/>
    <x v="3"/>
    <n v="9"/>
    <n v="5100"/>
    <x v="67"/>
    <n v="34333.199999999997"/>
    <x v="2"/>
    <s v="Bengaluru"/>
    <x v="5"/>
    <m/>
    <x v="0"/>
    <n v="49"/>
    <x v="0"/>
    <m/>
    <m/>
    <m/>
  </r>
  <r>
    <s v="ORD-01275"/>
    <x v="312"/>
    <s v="CUST-0028"/>
    <s v="PROD-045"/>
    <x v="7"/>
    <n v="5"/>
    <n v="3020"/>
    <x v="50"/>
    <n v="11627"/>
    <x v="0"/>
    <s v="Bengaluru"/>
    <x v="5"/>
    <m/>
    <x v="1"/>
    <n v="59"/>
    <x v="0"/>
    <m/>
    <m/>
    <m/>
  </r>
  <r>
    <s v="ORD-01276"/>
    <x v="3"/>
    <s v="CUST-0262"/>
    <s v="PROD-059"/>
    <x v="15"/>
    <n v="8"/>
    <n v="3780"/>
    <x v="150"/>
    <n v="25068.959999999999"/>
    <x v="0"/>
    <s v="Mumbai"/>
    <x v="1"/>
    <m/>
    <x v="1"/>
    <n v="52"/>
    <x v="0"/>
    <m/>
    <m/>
    <m/>
  </r>
  <r>
    <s v="ORD-01277"/>
    <x v="352"/>
    <s v="CUST-0241"/>
    <s v="PROD-029"/>
    <x v="19"/>
    <n v="10"/>
    <n v="2210"/>
    <x v="144"/>
    <n v="20221.5"/>
    <x v="0"/>
    <s v="Pune"/>
    <x v="2"/>
    <m/>
    <x v="2"/>
    <n v="47"/>
    <x v="0"/>
    <m/>
    <m/>
    <m/>
  </r>
  <r>
    <s v="ORD-01278"/>
    <x v="117"/>
    <s v="CUST-0109"/>
    <s v="PROD-029"/>
    <x v="15"/>
    <n v="4"/>
    <n v="2210"/>
    <x v="288"/>
    <n v="8565.9599999999991"/>
    <x v="0"/>
    <s v="Pune"/>
    <x v="2"/>
    <m/>
    <x v="1"/>
    <n v="42"/>
    <x v="0"/>
    <m/>
    <m/>
    <m/>
  </r>
  <r>
    <s v="ORD-01279"/>
    <x v="326"/>
    <s v="CUST-0228"/>
    <s v="PROD-044"/>
    <x v="15"/>
    <n v="1"/>
    <n v="1650"/>
    <x v="190"/>
    <n v="1485"/>
    <x v="0"/>
    <s v="Pune"/>
    <x v="5"/>
    <m/>
    <x v="2"/>
    <n v="37"/>
    <x v="4"/>
    <s v="Nov-24"/>
    <n v="1222"/>
    <n v="0.2593939393939394"/>
  </r>
  <r>
    <s v="ORD-01280"/>
    <x v="100"/>
    <s v="CUST-0239"/>
    <s v="PROD-060"/>
    <x v="1"/>
    <n v="6"/>
    <n v="190"/>
    <x v="124"/>
    <n v="1100.0999999999999"/>
    <x v="2"/>
    <s v="Mumbai"/>
    <x v="1"/>
    <m/>
    <x v="1"/>
    <n v="61"/>
    <x v="0"/>
    <m/>
    <m/>
    <m/>
  </r>
  <r>
    <s v="ORD-01281"/>
    <x v="55"/>
    <s v="CUST-0092"/>
    <s v="PROD-055"/>
    <x v="28"/>
    <n v="8"/>
    <n v="2860"/>
    <x v="279"/>
    <n v="19516.64"/>
    <x v="0"/>
    <s v="Bengaluru"/>
    <x v="1"/>
    <m/>
    <x v="0"/>
    <n v="28"/>
    <x v="1"/>
    <s v="Nov-24"/>
    <n v="2028"/>
    <n v="0.29090909090909089"/>
  </r>
  <r>
    <s v="ORD-01282"/>
    <x v="120"/>
    <s v="CUST-0283"/>
    <s v="PROD-005"/>
    <x v="14"/>
    <n v="9"/>
    <n v="300"/>
    <x v="88"/>
    <n v="2173.5"/>
    <x v="0"/>
    <s v="Delhi"/>
    <x v="4"/>
    <m/>
    <x v="0"/>
    <n v="50"/>
    <x v="0"/>
    <m/>
    <m/>
    <m/>
  </r>
  <r>
    <s v="ORD-01283"/>
    <x v="170"/>
    <s v="CUST-0206"/>
    <s v="PROD-049"/>
    <x v="0"/>
    <n v="10"/>
    <n v="960"/>
    <x v="216"/>
    <n v="8668.7999999999993"/>
    <x v="0"/>
    <s v="Mumbai"/>
    <x v="5"/>
    <m/>
    <x v="1"/>
    <n v="40"/>
    <x v="2"/>
    <s v="Jun-24"/>
    <n v="675"/>
    <n v="0.296875"/>
  </r>
  <r>
    <s v="ORD-01284"/>
    <x v="292"/>
    <s v="CUST-0174"/>
    <s v="PROD-020"/>
    <x v="22"/>
    <n v="5"/>
    <n v="820"/>
    <x v="217"/>
    <n v="4079.5"/>
    <x v="0"/>
    <s v="Pune"/>
    <x v="0"/>
    <m/>
    <x v="1"/>
    <n v="54"/>
    <x v="0"/>
    <m/>
    <m/>
    <m/>
  </r>
  <r>
    <s v="ORD-01285"/>
    <x v="266"/>
    <s v="CUST-0040"/>
    <s v="PROD-032"/>
    <x v="10"/>
    <n v="2"/>
    <n v="370"/>
    <x v="184"/>
    <n v="662.3"/>
    <x v="1"/>
    <s v="Chennai"/>
    <x v="3"/>
    <m/>
    <x v="1"/>
    <n v="28"/>
    <x v="4"/>
    <s v="May-24"/>
    <n v="288"/>
    <n v="0.22162162162162163"/>
  </r>
  <r>
    <s v="ORD-01286"/>
    <x v="99"/>
    <s v="CUST-0153"/>
    <s v="PROD-038"/>
    <x v="12"/>
    <n v="9"/>
    <n v="5490"/>
    <x v="8"/>
    <n v="42393.78"/>
    <x v="2"/>
    <s v="Mumbai"/>
    <x v="3"/>
    <m/>
    <x v="1"/>
    <n v="35"/>
    <x v="1"/>
    <s v="Apr-24"/>
    <n v="2549"/>
    <n v="0.53570127504553733"/>
  </r>
  <r>
    <s v="ORD-01287"/>
    <x v="62"/>
    <s v="CUST-0236"/>
    <s v="PROD-032"/>
    <x v="26"/>
    <n v="3"/>
    <n v="370"/>
    <x v="84"/>
    <n v="905.76"/>
    <x v="0"/>
    <s v="Hyderabad"/>
    <x v="3"/>
    <m/>
    <x v="0"/>
    <n v="28"/>
    <x v="3"/>
    <s v="Jun-24"/>
    <n v="288"/>
    <n v="0.22162162162162163"/>
  </r>
  <r>
    <s v="ORD-01288"/>
    <x v="241"/>
    <s v="CUST-0295"/>
    <s v="PROD-060"/>
    <x v="26"/>
    <n v="6"/>
    <n v="190"/>
    <x v="114"/>
    <n v="992.94"/>
    <x v="0"/>
    <s v="Delhi"/>
    <x v="1"/>
    <m/>
    <x v="0"/>
    <n v="48"/>
    <x v="0"/>
    <m/>
    <m/>
    <m/>
  </r>
  <r>
    <s v="ORD-01289"/>
    <x v="245"/>
    <s v="CUST-0145"/>
    <s v="PROD-029"/>
    <x v="12"/>
    <n v="8"/>
    <n v="2210"/>
    <x v="85"/>
    <n v="15947.36"/>
    <x v="0"/>
    <s v="Bengaluru"/>
    <x v="2"/>
    <m/>
    <x v="0"/>
    <n v="44"/>
    <x v="0"/>
    <m/>
    <m/>
    <m/>
  </r>
  <r>
    <s v="ORD-01290"/>
    <x v="99"/>
    <s v="CUST-0192"/>
    <s v="PROD-044"/>
    <x v="18"/>
    <n v="7"/>
    <n v="1650"/>
    <x v="68"/>
    <n v="10579.8"/>
    <x v="0"/>
    <s v="Bengaluru"/>
    <x v="5"/>
    <m/>
    <x v="1"/>
    <n v="55"/>
    <x v="0"/>
    <m/>
    <m/>
    <m/>
  </r>
  <r>
    <s v="ORD-01291"/>
    <x v="353"/>
    <s v="CUST-0148"/>
    <s v="PROD-037"/>
    <x v="22"/>
    <n v="8"/>
    <n v="660"/>
    <x v="267"/>
    <n v="4884"/>
    <x v="0"/>
    <s v="Chennai"/>
    <x v="3"/>
    <m/>
    <x v="1"/>
    <n v="32"/>
    <x v="4"/>
    <s v="Jun-24"/>
    <n v="329"/>
    <n v="0.50151515151515147"/>
  </r>
  <r>
    <s v="ORD-01292"/>
    <x v="128"/>
    <s v="CUST-0227"/>
    <s v="PROD-039"/>
    <x v="10"/>
    <n v="3"/>
    <n v="4610"/>
    <x v="123"/>
    <n v="9736.32"/>
    <x v="0"/>
    <s v="Bengaluru"/>
    <x v="3"/>
    <m/>
    <x v="0"/>
    <n v="44"/>
    <x v="0"/>
    <m/>
    <m/>
    <m/>
  </r>
  <r>
    <s v="ORD-01293"/>
    <x v="354"/>
    <s v="CUST-0170"/>
    <s v="PROD-029"/>
    <x v="5"/>
    <n v="6"/>
    <n v="2210"/>
    <x v="180"/>
    <n v="12000.3"/>
    <x v="0"/>
    <s v="Mumbai"/>
    <x v="2"/>
    <m/>
    <x v="0"/>
    <n v="22"/>
    <x v="1"/>
    <s v="Dec-24"/>
    <n v="1010"/>
    <n v="0.54298642533936647"/>
  </r>
  <r>
    <s v="ORD-01294"/>
    <x v="80"/>
    <s v="CUST-0102"/>
    <s v="PROD-042"/>
    <x v="21"/>
    <n v="4"/>
    <n v="2290"/>
    <x v="2"/>
    <n v="8857.7199999999993"/>
    <x v="0"/>
    <s v="Chennai"/>
    <x v="5"/>
    <m/>
    <x v="0"/>
    <n v="62"/>
    <x v="0"/>
    <m/>
    <m/>
    <m/>
  </r>
  <r>
    <s v="ORD-01295"/>
    <x v="264"/>
    <s v="CUST-0071"/>
    <s v="PROD-040"/>
    <x v="17"/>
    <n v="5"/>
    <n v="1080"/>
    <x v="94"/>
    <n v="3990.6"/>
    <x v="0"/>
    <s v="Delhi"/>
    <x v="3"/>
    <m/>
    <x v="2"/>
    <n v="46"/>
    <x v="0"/>
    <m/>
    <m/>
    <m/>
  </r>
  <r>
    <s v="ORD-01296"/>
    <x v="42"/>
    <s v="CUST-0080"/>
    <s v="PROD-057"/>
    <x v="9"/>
    <n v="7"/>
    <n v="960"/>
    <x v="207"/>
    <n v="5530.56"/>
    <x v="0"/>
    <s v="Pune"/>
    <x v="1"/>
    <m/>
    <x v="0"/>
    <n v="30"/>
    <x v="2"/>
    <s v="Mar-24"/>
    <n v="705"/>
    <n v="0.265625"/>
  </r>
  <r>
    <s v="ORD-01297"/>
    <x v="338"/>
    <s v="CUST-0272"/>
    <s v="PROD-058"/>
    <x v="4"/>
    <n v="1"/>
    <n v="2400"/>
    <x v="162"/>
    <n v="1682.4"/>
    <x v="0"/>
    <s v="Mumbai"/>
    <x v="1"/>
    <m/>
    <x v="0"/>
    <n v="47"/>
    <x v="0"/>
    <m/>
    <m/>
    <m/>
  </r>
  <r>
    <s v="ORD-01298"/>
    <x v="184"/>
    <s v="CUST-0076"/>
    <s v="PROD-042"/>
    <x v="9"/>
    <n v="9"/>
    <n v="2290"/>
    <x v="49"/>
    <n v="14674.32"/>
    <x v="0"/>
    <s v="Mumbai"/>
    <x v="5"/>
    <m/>
    <x v="1"/>
    <n v="38"/>
    <x v="1"/>
    <s v="Jun-24"/>
    <n v="1219"/>
    <n v="0.46768558951965067"/>
  </r>
  <r>
    <s v="ORD-01299"/>
    <x v="137"/>
    <s v="CUST-0222"/>
    <s v="PROD-040"/>
    <x v="26"/>
    <n v="9"/>
    <n v="1080"/>
    <x v="222"/>
    <n v="8718.84"/>
    <x v="0"/>
    <s v="Chennai"/>
    <x v="3"/>
    <m/>
    <x v="1"/>
    <n v="37"/>
    <x v="4"/>
    <s v="Dec-24"/>
    <n v="519"/>
    <n v="0.51944444444444449"/>
  </r>
  <r>
    <s v="ORD-01300"/>
    <x v="121"/>
    <s v="CUST-0091"/>
    <s v="PROD-035"/>
    <x v="10"/>
    <n v="1"/>
    <n v="1090"/>
    <x v="6"/>
    <n v="1026.78"/>
    <x v="2"/>
    <s v="Delhi"/>
    <x v="3"/>
    <m/>
    <x v="1"/>
    <n v="55"/>
    <x v="0"/>
    <m/>
    <m/>
    <m/>
  </r>
  <r>
    <s v="ORD-01301"/>
    <x v="9"/>
    <s v="CUST-0126"/>
    <s v="PROD-029"/>
    <x v="26"/>
    <n v="3"/>
    <n v="2210"/>
    <x v="93"/>
    <n v="5423.34"/>
    <x v="1"/>
    <s v="Mumbai"/>
    <x v="2"/>
    <m/>
    <x v="1"/>
    <n v="37"/>
    <x v="1"/>
    <s v="Jun-24"/>
    <n v="1010"/>
    <n v="0.54298642533936647"/>
  </r>
  <r>
    <s v="ORD-01302"/>
    <x v="276"/>
    <s v="CUST-0241"/>
    <s v="PROD-014"/>
    <x v="15"/>
    <n v="8"/>
    <n v="3620"/>
    <x v="261"/>
    <n v="28554.560000000001"/>
    <x v="0"/>
    <s v="Pune"/>
    <x v="0"/>
    <m/>
    <x v="2"/>
    <n v="47"/>
    <x v="0"/>
    <m/>
    <m/>
    <m/>
  </r>
  <r>
    <s v="ORD-01303"/>
    <x v="107"/>
    <s v="CUST-0118"/>
    <s v="PROD-033"/>
    <x v="23"/>
    <n v="7"/>
    <n v="2030"/>
    <x v="239"/>
    <n v="10273.83"/>
    <x v="0"/>
    <s v="Hyderabad"/>
    <x v="3"/>
    <m/>
    <x v="1"/>
    <n v="26"/>
    <x v="4"/>
    <s v="Oct-24"/>
    <n v="1143"/>
    <n v="0.43694581280788175"/>
  </r>
  <r>
    <s v="ORD-01304"/>
    <x v="309"/>
    <s v="CUST-0090"/>
    <s v="PROD-004"/>
    <x v="12"/>
    <n v="1"/>
    <n v="3870"/>
    <x v="123"/>
    <n v="2724.48"/>
    <x v="0"/>
    <s v="Bengaluru"/>
    <x v="4"/>
    <m/>
    <x v="2"/>
    <n v="26"/>
    <x v="4"/>
    <s v="Mar-24"/>
    <n v="1559"/>
    <n v="0.59715762273901807"/>
  </r>
  <r>
    <s v="ORD-01305"/>
    <x v="258"/>
    <s v="CUST-0037"/>
    <s v="PROD-003"/>
    <x v="2"/>
    <n v="5"/>
    <n v="3570"/>
    <x v="228"/>
    <n v="15743.7"/>
    <x v="3"/>
    <s v="Bengaluru"/>
    <x v="4"/>
    <m/>
    <x v="1"/>
    <n v="52"/>
    <x v="0"/>
    <m/>
    <m/>
    <m/>
  </r>
  <r>
    <s v="ORD-01306"/>
    <x v="181"/>
    <s v="CUST-0083"/>
    <s v="PROD-001"/>
    <x v="7"/>
    <n v="7"/>
    <n v="5330"/>
    <x v="262"/>
    <n v="34250.58"/>
    <x v="0"/>
    <s v="Bengaluru"/>
    <x v="4"/>
    <m/>
    <x v="2"/>
    <n v="31"/>
    <x v="4"/>
    <s v="Feb-24"/>
    <n v="2405"/>
    <n v="0.54878048780487809"/>
  </r>
  <r>
    <s v="ORD-01307"/>
    <x v="148"/>
    <s v="CUST-0154"/>
    <s v="PROD-009"/>
    <x v="18"/>
    <n v="5"/>
    <n v="1220"/>
    <x v="263"/>
    <n v="5014.2"/>
    <x v="3"/>
    <s v="Pune"/>
    <x v="4"/>
    <m/>
    <x v="1"/>
    <n v="36"/>
    <x v="3"/>
    <s v="Dec-24"/>
    <n v="517"/>
    <n v="0.57622950819672136"/>
  </r>
  <r>
    <s v="ORD-01308"/>
    <x v="78"/>
    <s v="CUST-0265"/>
    <s v="PROD-011"/>
    <x v="7"/>
    <n v="7"/>
    <n v="3450"/>
    <x v="99"/>
    <n v="17074.05"/>
    <x v="0"/>
    <s v="Chennai"/>
    <x v="0"/>
    <m/>
    <x v="1"/>
    <n v="49"/>
    <x v="0"/>
    <m/>
    <m/>
    <m/>
  </r>
  <r>
    <s v="ORD-01309"/>
    <x v="152"/>
    <s v="CUST-0115"/>
    <s v="PROD-018"/>
    <x v="22"/>
    <n v="6"/>
    <n v="3560"/>
    <x v="23"/>
    <n v="19352.16"/>
    <x v="1"/>
    <s v="Mumbai"/>
    <x v="0"/>
    <m/>
    <x v="0"/>
    <n v="65"/>
    <x v="0"/>
    <m/>
    <m/>
    <m/>
  </r>
  <r>
    <s v="ORD-01310"/>
    <x v="217"/>
    <s v="CUST-0274"/>
    <s v="PROD-032"/>
    <x v="1"/>
    <n v="4"/>
    <n v="370"/>
    <x v="101"/>
    <n v="1407.48"/>
    <x v="0"/>
    <s v="Bengaluru"/>
    <x v="3"/>
    <m/>
    <x v="2"/>
    <n v="36"/>
    <x v="4"/>
    <s v="Sep-24"/>
    <n v="288"/>
    <n v="0.22162162162162163"/>
  </r>
  <r>
    <s v="ORD-01311"/>
    <x v="262"/>
    <s v="CUST-0269"/>
    <s v="PROD-009"/>
    <x v="11"/>
    <n v="1"/>
    <n v="1220"/>
    <x v="107"/>
    <n v="1034.56"/>
    <x v="0"/>
    <s v="Pune"/>
    <x v="4"/>
    <m/>
    <x v="1"/>
    <n v="48"/>
    <x v="0"/>
    <m/>
    <m/>
    <m/>
  </r>
  <r>
    <s v="ORD-01312"/>
    <x v="12"/>
    <s v="CUST-0045"/>
    <s v="PROD-013"/>
    <x v="3"/>
    <n v="3"/>
    <n v="3640"/>
    <x v="281"/>
    <n v="9576.84"/>
    <x v="1"/>
    <s v="Chennai"/>
    <x v="0"/>
    <m/>
    <x v="0"/>
    <n v="39"/>
    <x v="1"/>
    <s v="Dec-24"/>
    <n v="2611"/>
    <n v="0.28269230769230769"/>
  </r>
  <r>
    <s v="ORD-01313"/>
    <x v="115"/>
    <s v="CUST-0054"/>
    <s v="PROD-045"/>
    <x v="9"/>
    <n v="8"/>
    <n v="3020"/>
    <x v="154"/>
    <n v="17346.88"/>
    <x v="1"/>
    <s v="Mumbai"/>
    <x v="5"/>
    <m/>
    <x v="2"/>
    <n v="62"/>
    <x v="0"/>
    <m/>
    <m/>
    <m/>
  </r>
  <r>
    <s v="ORD-01314"/>
    <x v="277"/>
    <s v="CUST-0160"/>
    <s v="PROD-048"/>
    <x v="4"/>
    <n v="3"/>
    <n v="5100"/>
    <x v="294"/>
    <n v="14106.6"/>
    <x v="0"/>
    <s v="Hyderabad"/>
    <x v="5"/>
    <m/>
    <x v="1"/>
    <n v="27"/>
    <x v="4"/>
    <s v="Sep-24"/>
    <n v="2237"/>
    <n v="0.56137254901960787"/>
  </r>
  <r>
    <s v="ORD-01315"/>
    <x v="192"/>
    <s v="CUST-0163"/>
    <s v="PROD-005"/>
    <x v="19"/>
    <n v="9"/>
    <n v="300"/>
    <x v="171"/>
    <n v="2187"/>
    <x v="0"/>
    <s v="Pune"/>
    <x v="4"/>
    <m/>
    <x v="1"/>
    <n v="49"/>
    <x v="0"/>
    <m/>
    <m/>
    <m/>
  </r>
  <r>
    <s v="ORD-01316"/>
    <x v="287"/>
    <s v="CUST-0006"/>
    <s v="PROD-042"/>
    <x v="0"/>
    <n v="10"/>
    <n v="2290"/>
    <x v="239"/>
    <n v="16556.7"/>
    <x v="0"/>
    <s v="Pune"/>
    <x v="5"/>
    <m/>
    <x v="0"/>
    <n v="44"/>
    <x v="0"/>
    <m/>
    <m/>
    <m/>
  </r>
  <r>
    <s v="ORD-01317"/>
    <x v="253"/>
    <s v="CUST-0142"/>
    <s v="PROD-013"/>
    <x v="6"/>
    <n v="9"/>
    <n v="3640"/>
    <x v="138"/>
    <n v="26175.24"/>
    <x v="0"/>
    <s v="Chennai"/>
    <x v="0"/>
    <m/>
    <x v="2"/>
    <n v="55"/>
    <x v="0"/>
    <m/>
    <m/>
    <m/>
  </r>
  <r>
    <s v="ORD-01318"/>
    <x v="45"/>
    <s v="CUST-0262"/>
    <s v="PROD-020"/>
    <x v="24"/>
    <n v="4"/>
    <n v="820"/>
    <x v="220"/>
    <n v="3030.72"/>
    <x v="0"/>
    <s v="Mumbai"/>
    <x v="0"/>
    <m/>
    <x v="1"/>
    <n v="52"/>
    <x v="0"/>
    <m/>
    <m/>
    <m/>
  </r>
  <r>
    <s v="ORD-01319"/>
    <x v="68"/>
    <s v="CUST-0049"/>
    <s v="PROD-030"/>
    <x v="2"/>
    <n v="1"/>
    <n v="970"/>
    <x v="260"/>
    <n v="953.51"/>
    <x v="0"/>
    <s v="Mumbai"/>
    <x v="2"/>
    <m/>
    <x v="2"/>
    <n v="42"/>
    <x v="0"/>
    <m/>
    <m/>
    <m/>
  </r>
  <r>
    <s v="ORD-01320"/>
    <x v="125"/>
    <s v="CUST-0204"/>
    <s v="PROD-018"/>
    <x v="7"/>
    <n v="5"/>
    <n v="3560"/>
    <x v="184"/>
    <n v="15931"/>
    <x v="0"/>
    <s v="Hyderabad"/>
    <x v="0"/>
    <m/>
    <x v="1"/>
    <n v="60"/>
    <x v="0"/>
    <m/>
    <m/>
    <m/>
  </r>
  <r>
    <s v="ORD-01321"/>
    <x v="231"/>
    <s v="CUST-0164"/>
    <s v="PROD-035"/>
    <x v="18"/>
    <n v="6"/>
    <n v="1090"/>
    <x v="7"/>
    <n v="6383.04"/>
    <x v="1"/>
    <s v="Chennai"/>
    <x v="3"/>
    <m/>
    <x v="1"/>
    <n v="60"/>
    <x v="0"/>
    <m/>
    <m/>
    <m/>
  </r>
  <r>
    <s v="ORD-01322"/>
    <x v="141"/>
    <s v="CUST-0003"/>
    <s v="PROD-008"/>
    <x v="21"/>
    <n v="6"/>
    <n v="2660"/>
    <x v="295"/>
    <n v="14938.56"/>
    <x v="0"/>
    <s v="Mumbai"/>
    <x v="4"/>
    <m/>
    <x v="1"/>
    <n v="33"/>
    <x v="4"/>
    <s v="Jan-24"/>
    <n v="1259"/>
    <n v="0.52669172932330832"/>
  </r>
  <r>
    <s v="ORD-01323"/>
    <x v="39"/>
    <s v="CUST-0032"/>
    <s v="PROD-006"/>
    <x v="19"/>
    <n v="5"/>
    <n v="3970"/>
    <x v="121"/>
    <n v="16118.2"/>
    <x v="1"/>
    <s v="Hyderabad"/>
    <x v="4"/>
    <m/>
    <x v="1"/>
    <n v="28"/>
    <x v="3"/>
    <s v="Jan-24"/>
    <n v="2865"/>
    <n v="0.27833753148614609"/>
  </r>
  <r>
    <s v="ORD-01324"/>
    <x v="264"/>
    <s v="CUST-0208"/>
    <s v="PROD-056"/>
    <x v="13"/>
    <n v="7"/>
    <n v="6940"/>
    <x v="165"/>
    <n v="37017.96"/>
    <x v="3"/>
    <s v="Mumbai"/>
    <x v="1"/>
    <m/>
    <x v="1"/>
    <n v="49"/>
    <x v="0"/>
    <m/>
    <m/>
    <m/>
  </r>
  <r>
    <s v="ORD-01325"/>
    <x v="227"/>
    <s v="CUST-0183"/>
    <s v="PROD-058"/>
    <x v="10"/>
    <n v="3"/>
    <n v="2400"/>
    <x v="85"/>
    <n v="6494.4"/>
    <x v="0"/>
    <s v="Mumbai"/>
    <x v="1"/>
    <m/>
    <x v="0"/>
    <n v="27"/>
    <x v="3"/>
    <s v="Mar-24"/>
    <n v="974"/>
    <n v="0.59416666666666662"/>
  </r>
  <r>
    <s v="ORD-01326"/>
    <x v="183"/>
    <s v="CUST-0021"/>
    <s v="PROD-051"/>
    <x v="12"/>
    <n v="8"/>
    <n v="3450"/>
    <x v="287"/>
    <n v="20258.400000000001"/>
    <x v="2"/>
    <s v="Pune"/>
    <x v="1"/>
    <m/>
    <x v="1"/>
    <n v="44"/>
    <x v="0"/>
    <m/>
    <m/>
    <m/>
  </r>
  <r>
    <s v="ORD-01327"/>
    <x v="44"/>
    <s v="CUST-0080"/>
    <s v="PROD-009"/>
    <x v="10"/>
    <n v="4"/>
    <n v="1220"/>
    <x v="120"/>
    <n v="4611.6000000000004"/>
    <x v="0"/>
    <s v="Pune"/>
    <x v="4"/>
    <m/>
    <x v="0"/>
    <n v="30"/>
    <x v="3"/>
    <s v="Apr-24"/>
    <n v="517"/>
    <n v="0.57622950819672136"/>
  </r>
  <r>
    <s v="ORD-01328"/>
    <x v="355"/>
    <s v="CUST-0286"/>
    <s v="PROD-016"/>
    <x v="0"/>
    <n v="1"/>
    <n v="620"/>
    <x v="255"/>
    <n v="481.74"/>
    <x v="1"/>
    <s v="Delhi"/>
    <x v="0"/>
    <m/>
    <x v="1"/>
    <n v="62"/>
    <x v="0"/>
    <m/>
    <m/>
    <m/>
  </r>
  <r>
    <s v="ORD-01329"/>
    <x v="333"/>
    <s v="CUST-0152"/>
    <s v="PROD-005"/>
    <x v="12"/>
    <n v="1"/>
    <n v="300"/>
    <x v="119"/>
    <n v="262.5"/>
    <x v="0"/>
    <s v="Bengaluru"/>
    <x v="4"/>
    <m/>
    <x v="0"/>
    <n v="64"/>
    <x v="0"/>
    <m/>
    <m/>
    <m/>
  </r>
  <r>
    <s v="ORD-01330"/>
    <x v="349"/>
    <s v="CUST-0254"/>
    <s v="PROD-054"/>
    <x v="16"/>
    <n v="3"/>
    <n v="1010"/>
    <x v="13"/>
    <n v="2602.77"/>
    <x v="0"/>
    <s v="Bengaluru"/>
    <x v="1"/>
    <m/>
    <x v="1"/>
    <n v="35"/>
    <x v="3"/>
    <s v="Feb-24"/>
    <n v="516"/>
    <n v="0.4891089108910891"/>
  </r>
  <r>
    <s v="ORD-01331"/>
    <x v="77"/>
    <s v="CUST-0290"/>
    <s v="PROD-034"/>
    <x v="28"/>
    <n v="2"/>
    <n v="5080"/>
    <x v="135"/>
    <n v="8453.1200000000008"/>
    <x v="0"/>
    <s v="Delhi"/>
    <x v="3"/>
    <m/>
    <x v="1"/>
    <n v="63"/>
    <x v="0"/>
    <m/>
    <m/>
    <m/>
  </r>
  <r>
    <s v="ORD-01332"/>
    <x v="104"/>
    <s v="CUST-0101"/>
    <s v="PROD-012"/>
    <x v="28"/>
    <n v="2"/>
    <n v="3160"/>
    <x v="225"/>
    <n v="4967.5200000000004"/>
    <x v="0"/>
    <s v="Hyderabad"/>
    <x v="0"/>
    <m/>
    <x v="0"/>
    <n v="40"/>
    <x v="2"/>
    <s v="Nov-24"/>
    <n v="1886"/>
    <n v="0.4031645569620253"/>
  </r>
  <r>
    <s v="ORD-01333"/>
    <x v="275"/>
    <s v="CUST-0058"/>
    <s v="PROD-047"/>
    <x v="29"/>
    <n v="7"/>
    <n v="3450"/>
    <x v="206"/>
    <n v="19006.05"/>
    <x v="0"/>
    <s v="Bengaluru"/>
    <x v="5"/>
    <m/>
    <x v="0"/>
    <n v="49"/>
    <x v="0"/>
    <m/>
    <m/>
    <m/>
  </r>
  <r>
    <s v="ORD-01334"/>
    <x v="94"/>
    <s v="CUST-0296"/>
    <s v="PROD-001"/>
    <x v="3"/>
    <n v="2"/>
    <n v="5330"/>
    <x v="12"/>
    <n v="10201.620000000001"/>
    <x v="0"/>
    <s v="Delhi"/>
    <x v="4"/>
    <m/>
    <x v="2"/>
    <n v="47"/>
    <x v="0"/>
    <m/>
    <m/>
    <m/>
  </r>
  <r>
    <s v="ORD-01335"/>
    <x v="17"/>
    <s v="CUST-0249"/>
    <s v="PROD-056"/>
    <x v="2"/>
    <n v="5"/>
    <n v="6940"/>
    <x v="209"/>
    <n v="33693.699999999997"/>
    <x v="0"/>
    <s v="Mumbai"/>
    <x v="1"/>
    <m/>
    <x v="1"/>
    <n v="44"/>
    <x v="0"/>
    <m/>
    <m/>
    <m/>
  </r>
  <r>
    <s v="ORD-01336"/>
    <x v="166"/>
    <s v="CUST-0055"/>
    <s v="PROD-037"/>
    <x v="8"/>
    <n v="5"/>
    <n v="660"/>
    <x v="63"/>
    <n v="2778.6"/>
    <x v="0"/>
    <s v="Bengaluru"/>
    <x v="3"/>
    <m/>
    <x v="1"/>
    <n v="34"/>
    <x v="4"/>
    <s v="Nov-24"/>
    <n v="329"/>
    <n v="0.50151515151515147"/>
  </r>
  <r>
    <s v="ORD-01337"/>
    <x v="281"/>
    <s v="CUST-0005"/>
    <s v="PROD-048"/>
    <x v="22"/>
    <n v="9"/>
    <n v="5100"/>
    <x v="160"/>
    <n v="45716.4"/>
    <x v="0"/>
    <s v="Chennai"/>
    <x v="5"/>
    <m/>
    <x v="2"/>
    <n v="52"/>
    <x v="0"/>
    <m/>
    <m/>
    <m/>
  </r>
  <r>
    <s v="ORD-01338"/>
    <x v="162"/>
    <s v="CUST-9595"/>
    <s v="PROD-044"/>
    <x v="2"/>
    <n v="5"/>
    <n v="1650"/>
    <x v="256"/>
    <n v="8184"/>
    <x v="1"/>
    <s v="Chennai"/>
    <x v="5"/>
    <m/>
    <x v="3"/>
    <e v="#N/A"/>
    <x v="0"/>
    <m/>
    <m/>
    <m/>
  </r>
  <r>
    <s v="ORD-01339"/>
    <x v="286"/>
    <s v="CUST-0138"/>
    <s v="PROD-013"/>
    <x v="26"/>
    <n v="7"/>
    <n v="3640"/>
    <x v="47"/>
    <n v="18982.599999999999"/>
    <x v="0"/>
    <s v="Chennai"/>
    <x v="0"/>
    <m/>
    <x v="1"/>
    <n v="24"/>
    <x v="4"/>
    <s v="Jan-24"/>
    <n v="2611"/>
    <n v="0.28269230769230769"/>
  </r>
  <r>
    <s v="ORD-01340"/>
    <x v="175"/>
    <s v="CUST-0112"/>
    <s v="PROD-046"/>
    <x v="20"/>
    <n v="6"/>
    <n v="4880"/>
    <x v="208"/>
    <n v="25590.720000000001"/>
    <x v="2"/>
    <s v="Hyderabad"/>
    <x v="5"/>
    <m/>
    <x v="1"/>
    <n v="64"/>
    <x v="0"/>
    <m/>
    <m/>
    <m/>
  </r>
  <r>
    <s v="ORD-01341"/>
    <x v="124"/>
    <s v="CUST-0254"/>
    <s v="PROD-001"/>
    <x v="8"/>
    <n v="4"/>
    <n v="5330"/>
    <x v="183"/>
    <n v="17866.16"/>
    <x v="0"/>
    <s v="Bengaluru"/>
    <x v="4"/>
    <m/>
    <x v="1"/>
    <n v="35"/>
    <x v="2"/>
    <s v="Dec-24"/>
    <n v="2405"/>
    <n v="0.54878048780487809"/>
  </r>
  <r>
    <s v="ORD-01342"/>
    <x v="169"/>
    <s v="CUST-0087"/>
    <s v="PROD-038"/>
    <x v="12"/>
    <n v="3"/>
    <n v="5490"/>
    <x v="215"/>
    <n v="12072.51"/>
    <x v="0"/>
    <s v="Pune"/>
    <x v="3"/>
    <m/>
    <x v="0"/>
    <n v="49"/>
    <x v="0"/>
    <m/>
    <m/>
    <m/>
  </r>
  <r>
    <s v="ORD-01343"/>
    <x v="148"/>
    <s v="CUST-0142"/>
    <s v="PROD-060"/>
    <x v="25"/>
    <n v="7"/>
    <n v="190"/>
    <x v="37"/>
    <n v="1175.72"/>
    <x v="0"/>
    <s v="Chennai"/>
    <x v="1"/>
    <m/>
    <x v="2"/>
    <n v="55"/>
    <x v="0"/>
    <m/>
    <m/>
    <m/>
  </r>
  <r>
    <s v="ORD-01344"/>
    <x v="352"/>
    <s v="CUST-0293"/>
    <s v="PROD-012"/>
    <x v="29"/>
    <n v="5"/>
    <n v="3160"/>
    <x v="244"/>
    <n v="11992.2"/>
    <x v="0"/>
    <s v="Bengaluru"/>
    <x v="0"/>
    <m/>
    <x v="1"/>
    <n v="27"/>
    <x v="1"/>
    <s v="Sep-24"/>
    <n v="1886"/>
    <n v="0.4031645569620253"/>
  </r>
  <r>
    <s v="ORD-01345"/>
    <x v="183"/>
    <s v="CUST-0025"/>
    <s v="PROD-035"/>
    <x v="12"/>
    <n v="1"/>
    <n v="1090"/>
    <x v="212"/>
    <n v="985.36"/>
    <x v="3"/>
    <s v="Bengaluru"/>
    <x v="3"/>
    <m/>
    <x v="1"/>
    <n v="23"/>
    <x v="4"/>
    <s v="May-24"/>
    <n v="464"/>
    <n v="0.57431192660550456"/>
  </r>
  <r>
    <s v="ORD-01346"/>
    <x v="130"/>
    <s v="CUST-0096"/>
    <s v="PROD-032"/>
    <x v="10"/>
    <n v="9"/>
    <n v="370"/>
    <x v="182"/>
    <n v="3196.8"/>
    <x v="0"/>
    <s v="Delhi"/>
    <x v="3"/>
    <m/>
    <x v="2"/>
    <n v="27"/>
    <x v="3"/>
    <s v="Apr-24"/>
    <n v="288"/>
    <n v="0.22162162162162163"/>
  </r>
  <r>
    <s v="ORD-01347"/>
    <x v="212"/>
    <s v="CUST-0069"/>
    <s v="PROD-008"/>
    <x v="25"/>
    <n v="5"/>
    <n v="2660"/>
    <x v="21"/>
    <n v="10028.200000000001"/>
    <x v="2"/>
    <s v="Chennai"/>
    <x v="4"/>
    <m/>
    <x v="1"/>
    <n v="51"/>
    <x v="0"/>
    <m/>
    <m/>
    <m/>
  </r>
  <r>
    <s v="ORD-01348"/>
    <x v="322"/>
    <s v="CUST-0220"/>
    <s v="PROD-018"/>
    <x v="26"/>
    <n v="4"/>
    <n v="3560"/>
    <x v="235"/>
    <n v="10580.32"/>
    <x v="0"/>
    <s v="Chennai"/>
    <x v="0"/>
    <m/>
    <x v="1"/>
    <n v="34"/>
    <x v="1"/>
    <s v="Jan-24"/>
    <n v="2629"/>
    <n v="0.26151685393258428"/>
  </r>
  <r>
    <s v="ORD-01349"/>
    <x v="306"/>
    <s v="CUST-0005"/>
    <s v="PROD-049"/>
    <x v="1"/>
    <n v="8"/>
    <n v="960"/>
    <x v="177"/>
    <n v="7672.32"/>
    <x v="0"/>
    <s v="Chennai"/>
    <x v="5"/>
    <m/>
    <x v="2"/>
    <n v="52"/>
    <x v="0"/>
    <m/>
    <m/>
    <m/>
  </r>
  <r>
    <s v="ORD-01350"/>
    <x v="128"/>
    <s v="CUST-0222"/>
    <s v="PROD-032"/>
    <x v="6"/>
    <n v="10"/>
    <n v="370"/>
    <x v="283"/>
    <n v="3093.2"/>
    <x v="2"/>
    <s v="Chennai"/>
    <x v="3"/>
    <m/>
    <x v="1"/>
    <n v="37"/>
    <x v="1"/>
    <s v="Apr-24"/>
    <n v="288"/>
    <n v="0.22162162162162163"/>
  </r>
  <r>
    <s v="ORD-01351"/>
    <x v="342"/>
    <s v="CUST-0039"/>
    <s v="PROD-015"/>
    <x v="20"/>
    <n v="4"/>
    <n v="2720"/>
    <x v="288"/>
    <n v="10542.72"/>
    <x v="0"/>
    <s v="Bengaluru"/>
    <x v="0"/>
    <m/>
    <x v="1"/>
    <n v="37"/>
    <x v="2"/>
    <s v="Dec-24"/>
    <n v="1962"/>
    <n v="0.2786764705882353"/>
  </r>
  <r>
    <s v="ORD-01352"/>
    <x v="236"/>
    <s v="CUST-0224"/>
    <s v="PROD-034"/>
    <x v="1"/>
    <n v="10"/>
    <n v="5080"/>
    <x v="115"/>
    <n v="47345.599999999999"/>
    <x v="0"/>
    <s v="Chennai"/>
    <x v="3"/>
    <m/>
    <x v="2"/>
    <n v="24"/>
    <x v="2"/>
    <s v="Apr-24"/>
    <n v="2459"/>
    <n v="0.51594488188976373"/>
  </r>
  <r>
    <s v="ORD-01353"/>
    <x v="229"/>
    <s v="CUST-0288"/>
    <s v="PROD-042"/>
    <x v="4"/>
    <n v="6"/>
    <n v="2290"/>
    <x v="109"/>
    <n v="10634.76"/>
    <x v="0"/>
    <s v="Hyderabad"/>
    <x v="5"/>
    <m/>
    <x v="2"/>
    <n v="25"/>
    <x v="1"/>
    <s v="May-24"/>
    <n v="1219"/>
    <n v="0.46768558951965067"/>
  </r>
  <r>
    <s v="ORD-01354"/>
    <x v="349"/>
    <s v="CUST-0002"/>
    <s v="PROD-021"/>
    <x v="3"/>
    <n v="4"/>
    <n v="2760"/>
    <x v="272"/>
    <n v="8037.12"/>
    <x v="3"/>
    <s v="Pune"/>
    <x v="2"/>
    <m/>
    <x v="2"/>
    <n v="42"/>
    <x v="0"/>
    <m/>
    <m/>
    <m/>
  </r>
  <r>
    <s v="ORD-01355"/>
    <x v="12"/>
    <s v="CUST-0172"/>
    <s v="PROD-024"/>
    <x v="28"/>
    <n v="9"/>
    <n v="2270"/>
    <x v="233"/>
    <n v="19367.64"/>
    <x v="0"/>
    <s v="Pune"/>
    <x v="2"/>
    <m/>
    <x v="1"/>
    <n v="65"/>
    <x v="0"/>
    <m/>
    <m/>
    <m/>
  </r>
  <r>
    <s v="ORD-01356"/>
    <x v="66"/>
    <s v="CUST-0287"/>
    <s v="PROD-017"/>
    <x v="4"/>
    <n v="3"/>
    <n v="2510"/>
    <x v="283"/>
    <n v="6295.08"/>
    <x v="0"/>
    <s v="Chennai"/>
    <x v="0"/>
    <m/>
    <x v="0"/>
    <n v="53"/>
    <x v="0"/>
    <m/>
    <m/>
    <m/>
  </r>
  <r>
    <s v="ORD-01357"/>
    <x v="186"/>
    <s v="CUST-0020"/>
    <s v="PROD-023"/>
    <x v="27"/>
    <n v="1"/>
    <n v="2380"/>
    <x v="151"/>
    <n v="1820.7"/>
    <x v="0"/>
    <s v="Hyderabad"/>
    <x v="2"/>
    <m/>
    <x v="1"/>
    <n v="46"/>
    <x v="0"/>
    <m/>
    <m/>
    <m/>
  </r>
  <r>
    <s v="ORD-01358"/>
    <x v="130"/>
    <s v="CUST-0039"/>
    <s v="PROD-059"/>
    <x v="7"/>
    <n v="2"/>
    <n v="3780"/>
    <x v="196"/>
    <n v="5360.04"/>
    <x v="0"/>
    <s v="Bengaluru"/>
    <x v="1"/>
    <m/>
    <x v="1"/>
    <n v="37"/>
    <x v="4"/>
    <s v="Feb-24"/>
    <n v="1860"/>
    <n v="0.50793650793650791"/>
  </r>
  <r>
    <s v="ORD-01359"/>
    <x v="14"/>
    <s v="CUST-0128"/>
    <s v="PROD-011"/>
    <x v="17"/>
    <n v="1"/>
    <n v="3450"/>
    <x v="263"/>
    <n v="2835.9"/>
    <x v="0"/>
    <s v="Hyderabad"/>
    <x v="0"/>
    <m/>
    <x v="1"/>
    <n v="35"/>
    <x v="3"/>
    <s v="Jun-24"/>
    <n v="1748"/>
    <n v="0.49333333333333335"/>
  </r>
  <r>
    <s v="ORD-01360"/>
    <x v="310"/>
    <s v="CUST-0149"/>
    <s v="PROD-046"/>
    <x v="3"/>
    <n v="6"/>
    <n v="4880"/>
    <x v="142"/>
    <n v="24712.32"/>
    <x v="1"/>
    <s v="Hyderabad"/>
    <x v="5"/>
    <m/>
    <x v="1"/>
    <n v="44"/>
    <x v="0"/>
    <m/>
    <m/>
    <m/>
  </r>
  <r>
    <s v="ORD-01361"/>
    <x v="273"/>
    <s v="CUST-0101"/>
    <s v="PROD-049"/>
    <x v="29"/>
    <n v="6"/>
    <n v="960"/>
    <x v="267"/>
    <n v="5328"/>
    <x v="1"/>
    <s v="Hyderabad"/>
    <x v="5"/>
    <m/>
    <x v="0"/>
    <n v="40"/>
    <x v="1"/>
    <s v="Jun-24"/>
    <n v="675"/>
    <n v="0.296875"/>
  </r>
  <r>
    <s v="ORD-01362"/>
    <x v="147"/>
    <s v="CUST-0106"/>
    <s v="PROD-018"/>
    <x v="12"/>
    <n v="1"/>
    <n v="3560"/>
    <x v="114"/>
    <n v="3100.76"/>
    <x v="0"/>
    <s v="Pune"/>
    <x v="0"/>
    <m/>
    <x v="1"/>
    <n v="22"/>
    <x v="4"/>
    <s v="May-24"/>
    <n v="2629"/>
    <n v="0.26151685393258428"/>
  </r>
  <r>
    <s v="ORD-01363"/>
    <x v="12"/>
    <s v="CUST-0085"/>
    <s v="PROD-025"/>
    <x v="1"/>
    <n v="5"/>
    <n v="4060"/>
    <x v="128"/>
    <n v="16625.7"/>
    <x v="1"/>
    <s v="Chennai"/>
    <x v="2"/>
    <m/>
    <x v="1"/>
    <n v="26"/>
    <x v="3"/>
    <s v="Aug-24"/>
    <n v="2911"/>
    <n v="0.28300492610837441"/>
  </r>
  <r>
    <s v="ORD-01364"/>
    <x v="182"/>
    <s v="CUST-0071"/>
    <s v="PROD-015"/>
    <x v="16"/>
    <n v="10"/>
    <n v="2720"/>
    <x v="204"/>
    <n v="20889.599999999999"/>
    <x v="0"/>
    <s v="Delhi"/>
    <x v="0"/>
    <m/>
    <x v="2"/>
    <n v="46"/>
    <x v="0"/>
    <m/>
    <m/>
    <m/>
  </r>
  <r>
    <s v="ORD-01365"/>
    <x v="74"/>
    <s v="CUST-0185"/>
    <s v="PROD-029"/>
    <x v="24"/>
    <n v="1"/>
    <n v="2210"/>
    <x v="6"/>
    <n v="2081.8200000000002"/>
    <x v="1"/>
    <s v="Hyderabad"/>
    <x v="2"/>
    <m/>
    <x v="0"/>
    <n v="43"/>
    <x v="0"/>
    <m/>
    <m/>
    <m/>
  </r>
  <r>
    <s v="ORD-01366"/>
    <x v="74"/>
    <s v="CUST-0182"/>
    <s v="PROD-047"/>
    <x v="22"/>
    <n v="5"/>
    <n v="3450"/>
    <x v="100"/>
    <n v="12437.25"/>
    <x v="1"/>
    <s v="Mumbai"/>
    <x v="5"/>
    <m/>
    <x v="1"/>
    <n v="54"/>
    <x v="0"/>
    <m/>
    <m/>
    <m/>
  </r>
  <r>
    <s v="ORD-01367"/>
    <x v="269"/>
    <s v="CUST-0177"/>
    <s v="PROD-023"/>
    <x v="12"/>
    <n v="9"/>
    <n v="2380"/>
    <x v="107"/>
    <n v="18164.16"/>
    <x v="3"/>
    <s v="Mumbai"/>
    <x v="2"/>
    <m/>
    <x v="0"/>
    <n v="36"/>
    <x v="4"/>
    <s v="Sep-24"/>
    <n v="1182"/>
    <n v="0.50336134453781511"/>
  </r>
  <r>
    <s v="ORD-01368"/>
    <x v="317"/>
    <s v="CUST-0253"/>
    <s v="PROD-023"/>
    <x v="25"/>
    <n v="2"/>
    <n v="2380"/>
    <x v="194"/>
    <n v="3603.32"/>
    <x v="0"/>
    <s v="Delhi"/>
    <x v="2"/>
    <m/>
    <x v="0"/>
    <n v="53"/>
    <x v="0"/>
    <m/>
    <m/>
    <m/>
  </r>
  <r>
    <s v="ORD-01369"/>
    <x v="9"/>
    <s v="CUST-0071"/>
    <s v="PROD-018"/>
    <x v="27"/>
    <n v="9"/>
    <n v="3560"/>
    <x v="136"/>
    <n v="29925.360000000001"/>
    <x v="3"/>
    <s v="Delhi"/>
    <x v="0"/>
    <m/>
    <x v="2"/>
    <n v="46"/>
    <x v="0"/>
    <m/>
    <m/>
    <m/>
  </r>
  <r>
    <s v="ORD-01370"/>
    <x v="259"/>
    <s v="CUST-0240"/>
    <s v="PROD-009"/>
    <x v="26"/>
    <n v="7"/>
    <n v="1220"/>
    <x v="192"/>
    <n v="6029.24"/>
    <x v="0"/>
    <s v="Chennai"/>
    <x v="4"/>
    <m/>
    <x v="2"/>
    <n v="35"/>
    <x v="4"/>
    <s v="Sep-24"/>
    <n v="517"/>
    <n v="0.57622950819672136"/>
  </r>
  <r>
    <s v="ORD-01371"/>
    <x v="9"/>
    <s v="CUST-0050"/>
    <s v="PROD-056"/>
    <x v="21"/>
    <n v="7"/>
    <n v="6940"/>
    <x v="212"/>
    <n v="43916.32"/>
    <x v="0"/>
    <s v="Mumbai"/>
    <x v="1"/>
    <m/>
    <x v="1"/>
    <n v="37"/>
    <x v="3"/>
    <s v="Feb-24"/>
    <n v="2827"/>
    <n v="0.5926512968299712"/>
  </r>
  <r>
    <s v="ORD-01372"/>
    <x v="183"/>
    <s v="CUST-0089"/>
    <s v="PROD-035"/>
    <x v="24"/>
    <n v="2"/>
    <n v="1090"/>
    <x v="210"/>
    <n v="1809.4"/>
    <x v="0"/>
    <s v="Mumbai"/>
    <x v="3"/>
    <m/>
    <x v="0"/>
    <n v="43"/>
    <x v="0"/>
    <m/>
    <m/>
    <m/>
  </r>
  <r>
    <s v="ORD-01373"/>
    <x v="97"/>
    <s v="CUST-0209"/>
    <s v="PROD-023"/>
    <x v="8"/>
    <n v="4"/>
    <n v="2380"/>
    <x v="125"/>
    <n v="7720.72"/>
    <x v="1"/>
    <s v="Pune"/>
    <x v="2"/>
    <m/>
    <x v="1"/>
    <n v="31"/>
    <x v="3"/>
    <s v="Apr-24"/>
    <n v="1182"/>
    <n v="0.50336134453781511"/>
  </r>
  <r>
    <s v="ORD-01374"/>
    <x v="344"/>
    <s v="CUST-0089"/>
    <s v="PROD-024"/>
    <x v="10"/>
    <n v="6"/>
    <n v="2270"/>
    <x v="116"/>
    <n v="10773.42"/>
    <x v="1"/>
    <s v="Mumbai"/>
    <x v="2"/>
    <m/>
    <x v="0"/>
    <n v="43"/>
    <x v="0"/>
    <m/>
    <m/>
    <m/>
  </r>
  <r>
    <s v="ORD-01375"/>
    <x v="248"/>
    <s v="CUST-0093"/>
    <s v="PROD-033"/>
    <x v="7"/>
    <n v="10"/>
    <n v="2030"/>
    <x v="199"/>
    <n v="15225"/>
    <x v="0"/>
    <s v="Pune"/>
    <x v="3"/>
    <m/>
    <x v="1"/>
    <n v="36"/>
    <x v="1"/>
    <s v="Oct-24"/>
    <n v="1143"/>
    <n v="0.43694581280788175"/>
  </r>
  <r>
    <s v="ORD-01376"/>
    <x v="118"/>
    <s v="CUST-0018"/>
    <s v="PROD-035"/>
    <x v="28"/>
    <n v="3"/>
    <n v="1090"/>
    <x v="265"/>
    <n v="2874.33"/>
    <x v="0"/>
    <s v="Pune"/>
    <x v="3"/>
    <m/>
    <x v="0"/>
    <n v="54"/>
    <x v="0"/>
    <m/>
    <m/>
    <m/>
  </r>
  <r>
    <s v="ORD-01377"/>
    <x v="291"/>
    <s v="CUST-0089"/>
    <s v="PROD-017"/>
    <x v="21"/>
    <n v="3"/>
    <n v="2510"/>
    <x v="20"/>
    <n v="5368.89"/>
    <x v="0"/>
    <s v="Mumbai"/>
    <x v="0"/>
    <m/>
    <x v="0"/>
    <n v="43"/>
    <x v="0"/>
    <m/>
    <m/>
    <m/>
  </r>
  <r>
    <s v="ORD-01378"/>
    <x v="249"/>
    <s v="CUST-0116"/>
    <s v="PROD-024"/>
    <x v="17"/>
    <n v="9"/>
    <n v="2270"/>
    <x v="55"/>
    <n v="15240.78"/>
    <x v="1"/>
    <s v="Bengaluru"/>
    <x v="2"/>
    <m/>
    <x v="1"/>
    <n v="53"/>
    <x v="0"/>
    <m/>
    <m/>
    <m/>
  </r>
  <r>
    <s v="ORD-01379"/>
    <x v="169"/>
    <s v="CUST-0071"/>
    <s v="PROD-006"/>
    <x v="20"/>
    <n v="9"/>
    <n v="3970"/>
    <x v="147"/>
    <n v="32121.27"/>
    <x v="2"/>
    <s v="Delhi"/>
    <x v="4"/>
    <m/>
    <x v="2"/>
    <n v="46"/>
    <x v="0"/>
    <m/>
    <m/>
    <m/>
  </r>
  <r>
    <s v="ORD-01380"/>
    <x v="23"/>
    <s v="CUST-0115"/>
    <s v="PROD-029"/>
    <x v="2"/>
    <n v="6"/>
    <n v="2210"/>
    <x v="241"/>
    <n v="12278.76"/>
    <x v="0"/>
    <s v="Mumbai"/>
    <x v="2"/>
    <m/>
    <x v="0"/>
    <n v="65"/>
    <x v="0"/>
    <m/>
    <m/>
    <m/>
  </r>
  <r>
    <s v="ORD-01381"/>
    <x v="107"/>
    <s v="CUST-0258"/>
    <s v="PROD-041"/>
    <x v="21"/>
    <n v="7"/>
    <n v="1540"/>
    <x v="149"/>
    <n v="8559.32"/>
    <x v="0"/>
    <s v="Pune"/>
    <x v="5"/>
    <m/>
    <x v="1"/>
    <n v="44"/>
    <x v="0"/>
    <m/>
    <m/>
    <m/>
  </r>
  <r>
    <s v="ORD-01382"/>
    <x v="323"/>
    <s v="CUST-0290"/>
    <s v="PROD-039"/>
    <x v="28"/>
    <n v="9"/>
    <n v="4610"/>
    <x v="197"/>
    <n v="40618.71"/>
    <x v="0"/>
    <s v="Delhi"/>
    <x v="3"/>
    <m/>
    <x v="1"/>
    <n v="63"/>
    <x v="0"/>
    <m/>
    <m/>
    <m/>
  </r>
  <r>
    <s v="ORD-01383"/>
    <x v="159"/>
    <s v="CUST-0279"/>
    <s v="PROD-006"/>
    <x v="25"/>
    <n v="10"/>
    <n v="3970"/>
    <x v="275"/>
    <n v="34419.9"/>
    <x v="1"/>
    <s v="Mumbai"/>
    <x v="4"/>
    <m/>
    <x v="1"/>
    <n v="56"/>
    <x v="0"/>
    <m/>
    <m/>
    <m/>
  </r>
  <r>
    <s v="ORD-01384"/>
    <x v="166"/>
    <s v="CUST-0132"/>
    <s v="PROD-008"/>
    <x v="4"/>
    <n v="8"/>
    <n v="2660"/>
    <x v="135"/>
    <n v="17704.96"/>
    <x v="0"/>
    <s v="Delhi"/>
    <x v="4"/>
    <m/>
    <x v="1"/>
    <n v="41"/>
    <x v="0"/>
    <m/>
    <m/>
    <m/>
  </r>
  <r>
    <s v="ORD-01385"/>
    <x v="90"/>
    <s v="CUST-0029"/>
    <s v="PROD-047"/>
    <x v="13"/>
    <n v="6"/>
    <n v="3450"/>
    <x v="140"/>
    <n v="15856.2"/>
    <x v="0"/>
    <s v="Chennai"/>
    <x v="5"/>
    <m/>
    <x v="2"/>
    <n v="54"/>
    <x v="0"/>
    <m/>
    <m/>
    <m/>
  </r>
  <r>
    <s v="ORD-01386"/>
    <x v="356"/>
    <s v="CUST-0295"/>
    <s v="PROD-053"/>
    <x v="0"/>
    <n v="10"/>
    <n v="470"/>
    <x v="87"/>
    <n v="3703.6"/>
    <x v="0"/>
    <s v="Delhi"/>
    <x v="1"/>
    <m/>
    <x v="0"/>
    <n v="48"/>
    <x v="0"/>
    <m/>
    <m/>
    <m/>
  </r>
  <r>
    <s v="ORD-00168"/>
    <x v="323"/>
    <s v="CUST-0106"/>
    <s v="PROD-059"/>
    <x v="24"/>
    <n v="7"/>
    <n v="3780"/>
    <x v="147"/>
    <n v="23787.54"/>
    <x v="0"/>
    <s v="Pune"/>
    <x v="1"/>
    <m/>
    <x v="1"/>
    <n v="22"/>
    <x v="1"/>
    <s v="Nov-24"/>
    <n v="1860"/>
    <n v="0.50793650793650791"/>
  </r>
  <r>
    <s v="ORD-01388"/>
    <x v="258"/>
    <s v="CUST-0127"/>
    <s v="PROD-014"/>
    <x v="28"/>
    <n v="3"/>
    <n v="3620"/>
    <x v="108"/>
    <n v="10403.879999999999"/>
    <x v="0"/>
    <s v="Bengaluru"/>
    <x v="0"/>
    <m/>
    <x v="0"/>
    <n v="36"/>
    <x v="3"/>
    <s v="Feb-24"/>
    <n v="2509"/>
    <n v="0.3069060773480663"/>
  </r>
  <r>
    <s v="ORD-01389"/>
    <x v="110"/>
    <s v="CUST-0031"/>
    <s v="PROD-049"/>
    <x v="8"/>
    <n v="7"/>
    <n v="960"/>
    <x v="269"/>
    <n v="6115.2"/>
    <x v="0"/>
    <s v="Hyderabad"/>
    <x v="5"/>
    <m/>
    <x v="1"/>
    <n v="53"/>
    <x v="0"/>
    <m/>
    <m/>
    <m/>
  </r>
  <r>
    <s v="ORD-01390"/>
    <x v="112"/>
    <s v="CUST-0256"/>
    <s v="PROD-043"/>
    <x v="0"/>
    <n v="10"/>
    <n v="3350"/>
    <x v="9"/>
    <n v="33098"/>
    <x v="2"/>
    <s v="Hyderabad"/>
    <x v="5"/>
    <m/>
    <x v="1"/>
    <n v="28"/>
    <x v="2"/>
    <s v="Sep-24"/>
    <n v="1728"/>
    <n v="0.48417910447761192"/>
  </r>
  <r>
    <s v="ORD-01391"/>
    <x v="321"/>
    <s v="CUST-0131"/>
    <s v="PROD-058"/>
    <x v="14"/>
    <n v="3"/>
    <n v="2400"/>
    <x v="0"/>
    <n v="6091.2"/>
    <x v="0"/>
    <s v="Delhi"/>
    <x v="1"/>
    <m/>
    <x v="0"/>
    <n v="28"/>
    <x v="1"/>
    <s v="Feb-24"/>
    <n v="974"/>
    <n v="0.59416666666666662"/>
  </r>
  <r>
    <s v="ORD-01392"/>
    <x v="192"/>
    <s v="CUST-0270"/>
    <s v="PROD-055"/>
    <x v="25"/>
    <n v="2"/>
    <n v="2860"/>
    <x v="184"/>
    <n v="5119.3999999999996"/>
    <x v="0"/>
    <s v="Bengaluru"/>
    <x v="1"/>
    <m/>
    <x v="1"/>
    <n v="29"/>
    <x v="2"/>
    <s v="Apr-24"/>
    <n v="2028"/>
    <n v="0.29090909090909089"/>
  </r>
  <r>
    <s v="ORD-01393"/>
    <x v="247"/>
    <s v="CUST-0212"/>
    <s v="PROD-042"/>
    <x v="4"/>
    <n v="4"/>
    <n v="2290"/>
    <x v="30"/>
    <n v="8619.56"/>
    <x v="0"/>
    <s v="Chennai"/>
    <x v="5"/>
    <m/>
    <x v="0"/>
    <n v="46"/>
    <x v="0"/>
    <m/>
    <m/>
    <m/>
  </r>
  <r>
    <s v="ORD-01394"/>
    <x v="59"/>
    <s v="CUST-0216"/>
    <s v="PROD-001"/>
    <x v="12"/>
    <n v="7"/>
    <n v="5330"/>
    <x v="124"/>
    <n v="36004.15"/>
    <x v="2"/>
    <s v="Mumbai"/>
    <x v="4"/>
    <m/>
    <x v="1"/>
    <n v="50"/>
    <x v="0"/>
    <m/>
    <m/>
    <m/>
  </r>
  <r>
    <s v="ORD-01395"/>
    <x v="65"/>
    <s v="CUST-0189"/>
    <s v="PROD-013"/>
    <x v="26"/>
    <n v="10"/>
    <n v="3640"/>
    <x v="138"/>
    <n v="29083.599999999999"/>
    <x v="0"/>
    <s v="Chennai"/>
    <x v="0"/>
    <m/>
    <x v="1"/>
    <n v="41"/>
    <x v="0"/>
    <m/>
    <m/>
    <m/>
  </r>
  <r>
    <s v="ORD-01396"/>
    <x v="142"/>
    <s v="CUST-0064"/>
    <s v="PROD-034"/>
    <x v="6"/>
    <n v="10"/>
    <n v="5080"/>
    <x v="197"/>
    <n v="49733.2"/>
    <x v="0"/>
    <s v="Hyderabad"/>
    <x v="3"/>
    <m/>
    <x v="0"/>
    <n v="40"/>
    <x v="3"/>
    <s v="Oct-24"/>
    <n v="2459"/>
    <n v="0.51594488188976373"/>
  </r>
  <r>
    <s v="ORD-01397"/>
    <x v="25"/>
    <s v="CUST-0016"/>
    <s v="PROD-035"/>
    <x v="26"/>
    <n v="4"/>
    <n v="1090"/>
    <x v="17"/>
    <n v="3553.4"/>
    <x v="3"/>
    <s v="Delhi"/>
    <x v="3"/>
    <m/>
    <x v="0"/>
    <n v="26"/>
    <x v="2"/>
    <s v="Dec-24"/>
    <n v="464"/>
    <n v="0.57431192660550456"/>
  </r>
  <r>
    <s v="ORD-01398"/>
    <x v="218"/>
    <s v="CUST-0296"/>
    <s v="PROD-047"/>
    <x v="14"/>
    <n v="10"/>
    <n v="3450"/>
    <x v="219"/>
    <n v="25357.5"/>
    <x v="3"/>
    <s v="Delhi"/>
    <x v="5"/>
    <m/>
    <x v="2"/>
    <n v="47"/>
    <x v="0"/>
    <m/>
    <m/>
    <m/>
  </r>
  <r>
    <s v="ORD-01399"/>
    <x v="64"/>
    <s v="CUST-0031"/>
    <s v="PROD-052"/>
    <x v="18"/>
    <n v="9"/>
    <n v="5410"/>
    <x v="44"/>
    <n v="43090.65"/>
    <x v="0"/>
    <s v="Hyderabad"/>
    <x v="1"/>
    <m/>
    <x v="1"/>
    <n v="53"/>
    <x v="0"/>
    <m/>
    <m/>
    <m/>
  </r>
  <r>
    <s v="ORD-01400"/>
    <x v="338"/>
    <s v="CUST-0207"/>
    <s v="PROD-011"/>
    <x v="14"/>
    <n v="9"/>
    <n v="3450"/>
    <x v="45"/>
    <n v="30956.85"/>
    <x v="3"/>
    <s v="Hyderabad"/>
    <x v="0"/>
    <m/>
    <x v="0"/>
    <n v="34"/>
    <x v="4"/>
    <s v="Jul-24"/>
    <n v="1748"/>
    <n v="0.49333333333333335"/>
  </r>
  <r>
    <s v="ORD-01401"/>
    <x v="105"/>
    <s v="CUST-0165"/>
    <s v="PROD-012"/>
    <x v="5"/>
    <n v="10"/>
    <n v="3160"/>
    <x v="264"/>
    <n v="27302.400000000001"/>
    <x v="0"/>
    <s v="Pune"/>
    <x v="0"/>
    <m/>
    <x v="1"/>
    <n v="29"/>
    <x v="2"/>
    <s v="Jun-24"/>
    <n v="1886"/>
    <n v="0.4031645569620253"/>
  </r>
  <r>
    <s v="ORD-01402"/>
    <x v="301"/>
    <s v="CUST-0281"/>
    <s v="PROD-041"/>
    <x v="17"/>
    <n v="3"/>
    <n v="1540"/>
    <x v="87"/>
    <n v="3640.56"/>
    <x v="0"/>
    <s v="Bengaluru"/>
    <x v="5"/>
    <m/>
    <x v="2"/>
    <n v="57"/>
    <x v="0"/>
    <m/>
    <m/>
    <m/>
  </r>
  <r>
    <s v="ORD-01403"/>
    <x v="73"/>
    <s v="CUST-0018"/>
    <s v="PROD-013"/>
    <x v="24"/>
    <n v="5"/>
    <n v="3640"/>
    <x v="167"/>
    <n v="15015"/>
    <x v="0"/>
    <s v="Pune"/>
    <x v="0"/>
    <m/>
    <x v="0"/>
    <n v="54"/>
    <x v="0"/>
    <m/>
    <m/>
    <m/>
  </r>
  <r>
    <s v="ORD-01404"/>
    <x v="272"/>
    <s v="CUST-0204"/>
    <s v="PROD-059"/>
    <x v="25"/>
    <n v="4"/>
    <n v="3780"/>
    <x v="269"/>
    <n v="13759.2"/>
    <x v="1"/>
    <s v="Hyderabad"/>
    <x v="1"/>
    <m/>
    <x v="1"/>
    <n v="60"/>
    <x v="0"/>
    <m/>
    <m/>
    <m/>
  </r>
  <r>
    <s v="ORD-01405"/>
    <x v="357"/>
    <s v="CUST-0028"/>
    <s v="PROD-015"/>
    <x v="5"/>
    <n v="9"/>
    <n v="2720"/>
    <x v="193"/>
    <n v="22301.279999999999"/>
    <x v="0"/>
    <s v="Bengaluru"/>
    <x v="0"/>
    <m/>
    <x v="1"/>
    <n v="59"/>
    <x v="0"/>
    <m/>
    <m/>
    <m/>
  </r>
  <r>
    <s v="ORD-01406"/>
    <x v="83"/>
    <s v="CUST-0144"/>
    <s v="PROD-014"/>
    <x v="10"/>
    <n v="4"/>
    <n v="3620"/>
    <x v="251"/>
    <n v="13321.6"/>
    <x v="1"/>
    <s v="Chennai"/>
    <x v="0"/>
    <m/>
    <x v="1"/>
    <n v="49"/>
    <x v="0"/>
    <m/>
    <m/>
    <m/>
  </r>
  <r>
    <s v="ORD-01407"/>
    <x v="354"/>
    <s v="CUST-0043"/>
    <s v="PROD-011"/>
    <x v="10"/>
    <n v="1"/>
    <n v="3450"/>
    <x v="271"/>
    <n v="3443.1"/>
    <x v="0"/>
    <s v="Hyderabad"/>
    <x v="0"/>
    <m/>
    <x v="1"/>
    <n v="61"/>
    <x v="0"/>
    <m/>
    <m/>
    <m/>
  </r>
  <r>
    <s v="ORD-01408"/>
    <x v="93"/>
    <s v="CUST-0246"/>
    <s v="PROD-013"/>
    <x v="2"/>
    <n v="7"/>
    <n v="3640"/>
    <x v="211"/>
    <n v="24307.919999999998"/>
    <x v="0"/>
    <s v="Delhi"/>
    <x v="0"/>
    <m/>
    <x v="0"/>
    <n v="29"/>
    <x v="1"/>
    <s v="Feb-24"/>
    <n v="2611"/>
    <n v="0.28269230769230769"/>
  </r>
  <r>
    <s v="ORD-01409"/>
    <x v="318"/>
    <s v="CUST-0156"/>
    <s v="PROD-016"/>
    <x v="12"/>
    <n v="9"/>
    <n v="620"/>
    <x v="144"/>
    <n v="5105.7"/>
    <x v="0"/>
    <s v="Mumbai"/>
    <x v="0"/>
    <m/>
    <x v="1"/>
    <n v="33"/>
    <x v="4"/>
    <s v="Dec-24"/>
    <n v="396"/>
    <n v="0.36129032258064514"/>
  </r>
  <r>
    <s v="ORD-01410"/>
    <x v="318"/>
    <s v="CUST-0066"/>
    <s v="PROD-059"/>
    <x v="29"/>
    <n v="10"/>
    <n v="3780"/>
    <x v="6"/>
    <n v="35607.599999999999"/>
    <x v="0"/>
    <s v="Delhi"/>
    <x v="1"/>
    <m/>
    <x v="1"/>
    <n v="24"/>
    <x v="3"/>
    <s v="May-24"/>
    <n v="1860"/>
    <n v="0.50793650793650791"/>
  </r>
  <r>
    <s v="ORD-01411"/>
    <x v="79"/>
    <s v="CUST-0121"/>
    <s v="PROD-003"/>
    <x v="18"/>
    <n v="7"/>
    <n v="3570"/>
    <x v="94"/>
    <n v="18467.61"/>
    <x v="0"/>
    <s v="Delhi"/>
    <x v="4"/>
    <m/>
    <x v="0"/>
    <n v="55"/>
    <x v="0"/>
    <m/>
    <m/>
    <m/>
  </r>
  <r>
    <s v="ORD-01412"/>
    <x v="141"/>
    <s v="CUST-0066"/>
    <s v="PROD-044"/>
    <x v="25"/>
    <n v="2"/>
    <n v="1650"/>
    <x v="290"/>
    <n v="3174.6"/>
    <x v="0"/>
    <s v="Delhi"/>
    <x v="5"/>
    <m/>
    <x v="1"/>
    <n v="24"/>
    <x v="4"/>
    <s v="Aug-24"/>
    <n v="1222"/>
    <n v="0.2593939393939394"/>
  </r>
  <r>
    <s v="ORD-01413"/>
    <x v="63"/>
    <s v="CUST-0099"/>
    <s v="PROD-049"/>
    <x v="27"/>
    <n v="2"/>
    <n v="960"/>
    <x v="115"/>
    <n v="1789.44"/>
    <x v="0"/>
    <s v="Bengaluru"/>
    <x v="5"/>
    <m/>
    <x v="0"/>
    <n v="54"/>
    <x v="0"/>
    <m/>
    <m/>
    <m/>
  </r>
  <r>
    <s v="ORD-01414"/>
    <x v="351"/>
    <s v="CUST-0054"/>
    <s v="PROD-005"/>
    <x v="3"/>
    <n v="2"/>
    <n v="300"/>
    <x v="266"/>
    <n v="583.20000000000005"/>
    <x v="0"/>
    <s v="Mumbai"/>
    <x v="4"/>
    <m/>
    <x v="2"/>
    <n v="62"/>
    <x v="0"/>
    <m/>
    <m/>
    <m/>
  </r>
  <r>
    <s v="ORD-01415"/>
    <x v="230"/>
    <s v="CUST-0124"/>
    <s v="PROD-025"/>
    <x v="28"/>
    <n v="10"/>
    <n v="4060"/>
    <x v="176"/>
    <n v="34469.4"/>
    <x v="0"/>
    <s v="Pune"/>
    <x v="2"/>
    <m/>
    <x v="1"/>
    <n v="57"/>
    <x v="0"/>
    <m/>
    <m/>
    <m/>
  </r>
  <r>
    <s v="ORD-01416"/>
    <x v="153"/>
    <s v="CUST-0211"/>
    <s v="PROD-001"/>
    <x v="24"/>
    <n v="6"/>
    <n v="5330"/>
    <x v="78"/>
    <n v="31340.400000000001"/>
    <x v="0"/>
    <s v="Bengaluru"/>
    <x v="4"/>
    <m/>
    <x v="1"/>
    <n v="36"/>
    <x v="2"/>
    <s v="Sep-24"/>
    <n v="2405"/>
    <n v="0.54878048780487809"/>
  </r>
  <r>
    <s v="ORD-01417"/>
    <x v="160"/>
    <s v="CUST-0298"/>
    <s v="PROD-031"/>
    <x v="13"/>
    <n v="9"/>
    <n v="3730"/>
    <x v="161"/>
    <n v="25345.35"/>
    <x v="3"/>
    <s v="Delhi"/>
    <x v="3"/>
    <m/>
    <x v="1"/>
    <n v="44"/>
    <x v="0"/>
    <m/>
    <m/>
    <m/>
  </r>
  <r>
    <s v="ORD-01418"/>
    <x v="4"/>
    <s v="CUST-0164"/>
    <s v="PROD-050"/>
    <x v="14"/>
    <n v="1"/>
    <n v="6080"/>
    <x v="172"/>
    <n v="5812.48"/>
    <x v="2"/>
    <s v="Chennai"/>
    <x v="5"/>
    <m/>
    <x v="1"/>
    <n v="60"/>
    <x v="0"/>
    <m/>
    <m/>
    <m/>
  </r>
  <r>
    <s v="ORD-01419"/>
    <x v="111"/>
    <s v="CUST-0003"/>
    <s v="PROD-015"/>
    <x v="5"/>
    <n v="5"/>
    <n v="2720"/>
    <x v="159"/>
    <n v="12348.8"/>
    <x v="0"/>
    <s v="Mumbai"/>
    <x v="0"/>
    <m/>
    <x v="1"/>
    <n v="33"/>
    <x v="2"/>
    <s v="Nov-24"/>
    <n v="1962"/>
    <n v="0.2786764705882353"/>
  </r>
  <r>
    <s v="ORD-01420"/>
    <x v="334"/>
    <s v="CUST-0239"/>
    <s v="PROD-011"/>
    <x v="12"/>
    <n v="1"/>
    <n v="3450"/>
    <x v="142"/>
    <n v="2911.8"/>
    <x v="0"/>
    <s v="Mumbai"/>
    <x v="0"/>
    <m/>
    <x v="1"/>
    <n v="61"/>
    <x v="0"/>
    <m/>
    <m/>
    <m/>
  </r>
  <r>
    <s v="ORD-01421"/>
    <x v="285"/>
    <s v="CUST-0116"/>
    <s v="PROD-035"/>
    <x v="24"/>
    <n v="2"/>
    <n v="1090"/>
    <x v="160"/>
    <n v="2171.2800000000002"/>
    <x v="3"/>
    <s v="Bengaluru"/>
    <x v="3"/>
    <m/>
    <x v="1"/>
    <n v="53"/>
    <x v="0"/>
    <m/>
    <m/>
    <m/>
  </r>
  <r>
    <s v="ORD-01422"/>
    <x v="175"/>
    <s v="CUST-0232"/>
    <s v="PROD-003"/>
    <x v="21"/>
    <n v="2"/>
    <n v="3570"/>
    <x v="269"/>
    <n v="6497.4"/>
    <x v="0"/>
    <s v="Hyderabad"/>
    <x v="4"/>
    <m/>
    <x v="1"/>
    <n v="38"/>
    <x v="3"/>
    <s v="Jul-24"/>
    <n v="1665"/>
    <n v="0.53361344537815125"/>
  </r>
  <r>
    <s v="ORD-01423"/>
    <x v="352"/>
    <s v="CUST-0121"/>
    <s v="PROD-019"/>
    <x v="2"/>
    <n v="9"/>
    <n v="2480"/>
    <x v="186"/>
    <n v="21516.48"/>
    <x v="1"/>
    <s v="Delhi"/>
    <x v="0"/>
    <m/>
    <x v="0"/>
    <n v="55"/>
    <x v="0"/>
    <m/>
    <m/>
    <m/>
  </r>
  <r>
    <s v="ORD-01424"/>
    <x v="291"/>
    <s v="CUST-0178"/>
    <s v="PROD-027"/>
    <x v="24"/>
    <n v="9"/>
    <n v="3780"/>
    <x v="77"/>
    <n v="32489.1"/>
    <x v="0"/>
    <s v="Hyderabad"/>
    <x v="2"/>
    <m/>
    <x v="1"/>
    <n v="25"/>
    <x v="4"/>
    <s v="May-24"/>
    <n v="2436"/>
    <n v="0.35555555555555557"/>
  </r>
  <r>
    <s v="ORD-01425"/>
    <x v="252"/>
    <s v="CUST-0131"/>
    <s v="PROD-025"/>
    <x v="9"/>
    <n v="5"/>
    <n v="4060"/>
    <x v="36"/>
    <n v="19751.900000000001"/>
    <x v="0"/>
    <s v="Delhi"/>
    <x v="2"/>
    <m/>
    <x v="0"/>
    <n v="28"/>
    <x v="3"/>
    <s v="Jan-24"/>
    <n v="2911"/>
    <n v="0.28300492610837441"/>
  </r>
  <r>
    <s v="ORD-01426"/>
    <x v="148"/>
    <s v="CUST-0155"/>
    <s v="PROD-005"/>
    <x v="25"/>
    <n v="8"/>
    <n v="300"/>
    <x v="113"/>
    <n v="1924.8"/>
    <x v="2"/>
    <s v="Pune"/>
    <x v="4"/>
    <m/>
    <x v="2"/>
    <n v="40"/>
    <x v="4"/>
    <s v="Dec-24"/>
    <n v="128"/>
    <n v="0.57333333333333336"/>
  </r>
  <r>
    <s v="ORD-01427"/>
    <x v="253"/>
    <s v="CUST-0170"/>
    <s v="PROD-036"/>
    <x v="25"/>
    <n v="10"/>
    <n v="3250"/>
    <x v="206"/>
    <n v="25577.5"/>
    <x v="2"/>
    <s v="Mumbai"/>
    <x v="3"/>
    <m/>
    <x v="0"/>
    <n v="22"/>
    <x v="1"/>
    <s v="Sep-24"/>
    <n v="1556"/>
    <n v="0.52123076923076928"/>
  </r>
  <r>
    <s v="ORD-01428"/>
    <x v="48"/>
    <s v="CUST-0180"/>
    <s v="PROD-055"/>
    <x v="18"/>
    <n v="2"/>
    <n v="2860"/>
    <x v="130"/>
    <n v="4936.3599999999997"/>
    <x v="0"/>
    <s v="Chennai"/>
    <x v="1"/>
    <m/>
    <x v="1"/>
    <n v="36"/>
    <x v="1"/>
    <s v="Jun-24"/>
    <n v="2028"/>
    <n v="0.29090909090909089"/>
  </r>
  <r>
    <s v="ORD-01429"/>
    <x v="271"/>
    <s v="CUST-0066"/>
    <s v="PROD-009"/>
    <x v="21"/>
    <n v="10"/>
    <n v="1220"/>
    <x v="0"/>
    <n v="10321.200000000001"/>
    <x v="0"/>
    <s v="Delhi"/>
    <x v="4"/>
    <m/>
    <x v="1"/>
    <n v="24"/>
    <x v="4"/>
    <s v="Nov-24"/>
    <n v="517"/>
    <n v="0.57622950819672136"/>
  </r>
  <r>
    <s v="ORD-01430"/>
    <x v="96"/>
    <s v="CUST-0267"/>
    <s v="PROD-027"/>
    <x v="9"/>
    <n v="3"/>
    <n v="3780"/>
    <x v="69"/>
    <n v="11124.54"/>
    <x v="0"/>
    <s v="Hyderabad"/>
    <x v="2"/>
    <m/>
    <x v="1"/>
    <n v="27"/>
    <x v="3"/>
    <s v="Aug-24"/>
    <n v="2436"/>
    <n v="0.35555555555555557"/>
  </r>
  <r>
    <s v="ORD-01431"/>
    <x v="133"/>
    <s v="CUST-0034"/>
    <s v="PROD-038"/>
    <x v="26"/>
    <n v="6"/>
    <n v="5490"/>
    <x v="217"/>
    <n v="32775.300000000003"/>
    <x v="1"/>
    <s v="Delhi"/>
    <x v="3"/>
    <m/>
    <x v="1"/>
    <n v="47"/>
    <x v="0"/>
    <m/>
    <m/>
    <m/>
  </r>
  <r>
    <s v="ORD-01432"/>
    <x v="185"/>
    <s v="CUST-0029"/>
    <s v="PROD-022"/>
    <x v="20"/>
    <n v="6"/>
    <n v="2270"/>
    <x v="145"/>
    <n v="10691.7"/>
    <x v="0"/>
    <s v="Chennai"/>
    <x v="2"/>
    <m/>
    <x v="2"/>
    <n v="54"/>
    <x v="0"/>
    <m/>
    <m/>
    <m/>
  </r>
  <r>
    <s v="ORD-01433"/>
    <x v="77"/>
    <s v="CUST-0224"/>
    <s v="PROD-029"/>
    <x v="12"/>
    <n v="7"/>
    <n v="2210"/>
    <x v="222"/>
    <n v="13876.59"/>
    <x v="0"/>
    <s v="Chennai"/>
    <x v="2"/>
    <m/>
    <x v="2"/>
    <n v="24"/>
    <x v="2"/>
    <s v="Jul-24"/>
    <n v="1010"/>
    <n v="0.54298642533936647"/>
  </r>
  <r>
    <s v="ORD-01434"/>
    <x v="150"/>
    <s v="CUST-9889"/>
    <s v="PROD-035"/>
    <x v="18"/>
    <n v="8"/>
    <n v="1090"/>
    <x v="11"/>
    <n v="6827.76"/>
    <x v="0"/>
    <s v="Pune"/>
    <x v="3"/>
    <m/>
    <x v="3"/>
    <e v="#N/A"/>
    <x v="0"/>
    <m/>
    <m/>
    <m/>
  </r>
  <r>
    <s v="ORD-01435"/>
    <x v="311"/>
    <s v="CUST-0130"/>
    <s v="PROD-018"/>
    <x v="25"/>
    <n v="5"/>
    <n v="3560"/>
    <x v="202"/>
    <n v="14346.8"/>
    <x v="1"/>
    <s v="Bengaluru"/>
    <x v="0"/>
    <m/>
    <x v="2"/>
    <n v="41"/>
    <x v="0"/>
    <m/>
    <m/>
    <m/>
  </r>
  <r>
    <s v="ORD-01436"/>
    <x v="358"/>
    <s v="CUST-0060"/>
    <s v="PROD-054"/>
    <x v="8"/>
    <n v="7"/>
    <n v="1010"/>
    <x v="154"/>
    <n v="5076.26"/>
    <x v="0"/>
    <s v="Pune"/>
    <x v="1"/>
    <m/>
    <x v="1"/>
    <n v="39"/>
    <x v="1"/>
    <s v="Nov-24"/>
    <n v="516"/>
    <n v="0.4891089108910891"/>
  </r>
  <r>
    <s v="ORD-01437"/>
    <x v="19"/>
    <s v="CUST-0299"/>
    <s v="PROD-033"/>
    <x v="15"/>
    <n v="2"/>
    <n v="2030"/>
    <x v="289"/>
    <n v="2951.62"/>
    <x v="3"/>
    <s v="Mumbai"/>
    <x v="3"/>
    <m/>
    <x v="2"/>
    <n v="51"/>
    <x v="0"/>
    <m/>
    <m/>
    <m/>
  </r>
  <r>
    <s v="ORD-01438"/>
    <x v="154"/>
    <s v="CUST-0013"/>
    <s v="PROD-001"/>
    <x v="27"/>
    <n v="6"/>
    <n v="5330"/>
    <x v="43"/>
    <n v="31788.12"/>
    <x v="0"/>
    <s v="Delhi"/>
    <x v="4"/>
    <m/>
    <x v="1"/>
    <n v="41"/>
    <x v="0"/>
    <m/>
    <m/>
    <m/>
  </r>
  <r>
    <s v="ORD-01439"/>
    <x v="282"/>
    <s v="CUST-0193"/>
    <s v="PROD-010"/>
    <x v="0"/>
    <n v="2"/>
    <n v="2640"/>
    <x v="4"/>
    <n v="3907.2"/>
    <x v="1"/>
    <s v="Bengaluru"/>
    <x v="4"/>
    <m/>
    <x v="1"/>
    <n v="42"/>
    <x v="0"/>
    <m/>
    <m/>
    <m/>
  </r>
  <r>
    <s v="ORD-01440"/>
    <x v="130"/>
    <s v="CUST-0170"/>
    <s v="PROD-008"/>
    <x v="27"/>
    <n v="8"/>
    <n v="2660"/>
    <x v="209"/>
    <n v="20662.88"/>
    <x v="0"/>
    <s v="Mumbai"/>
    <x v="4"/>
    <m/>
    <x v="0"/>
    <n v="22"/>
    <x v="1"/>
    <s v="Aug-24"/>
    <n v="1259"/>
    <n v="0.52669172932330832"/>
  </r>
  <r>
    <s v="ORD-01441"/>
    <x v="69"/>
    <s v="CUST-0063"/>
    <s v="PROD-036"/>
    <x v="12"/>
    <n v="6"/>
    <n v="3250"/>
    <x v="86"/>
    <n v="17335.5"/>
    <x v="0"/>
    <s v="Mumbai"/>
    <x v="3"/>
    <m/>
    <x v="0"/>
    <n v="53"/>
    <x v="0"/>
    <m/>
    <m/>
    <m/>
  </r>
  <r>
    <s v="ORD-01442"/>
    <x v="246"/>
    <s v="CUST-0168"/>
    <s v="PROD-029"/>
    <x v="10"/>
    <n v="1"/>
    <n v="2210"/>
    <x v="124"/>
    <n v="2132.65"/>
    <x v="0"/>
    <s v="Pune"/>
    <x v="2"/>
    <m/>
    <x v="1"/>
    <n v="25"/>
    <x v="3"/>
    <s v="Apr-24"/>
    <n v="1010"/>
    <n v="0.54298642533936647"/>
  </r>
  <r>
    <s v="ORD-01443"/>
    <x v="39"/>
    <s v="CUST-0124"/>
    <s v="PROD-032"/>
    <x v="7"/>
    <n v="9"/>
    <n v="370"/>
    <x v="79"/>
    <n v="2917.08"/>
    <x v="0"/>
    <s v="Pune"/>
    <x v="3"/>
    <m/>
    <x v="1"/>
    <n v="57"/>
    <x v="0"/>
    <m/>
    <m/>
    <m/>
  </r>
  <r>
    <s v="ORD-01444"/>
    <x v="99"/>
    <s v="CUST-0138"/>
    <s v="PROD-059"/>
    <x v="24"/>
    <n v="3"/>
    <n v="3780"/>
    <x v="144"/>
    <n v="10376.1"/>
    <x v="1"/>
    <s v="Chennai"/>
    <x v="1"/>
    <m/>
    <x v="1"/>
    <n v="24"/>
    <x v="3"/>
    <s v="May-24"/>
    <n v="1860"/>
    <n v="0.50793650793650791"/>
  </r>
  <r>
    <s v="ORD-01445"/>
    <x v="245"/>
    <s v="CUST-0146"/>
    <s v="PROD-054"/>
    <x v="25"/>
    <n v="2"/>
    <n v="1010"/>
    <x v="36"/>
    <n v="1965.46"/>
    <x v="0"/>
    <s v="Hyderabad"/>
    <x v="1"/>
    <m/>
    <x v="1"/>
    <n v="22"/>
    <x v="3"/>
    <s v="Jun-24"/>
    <n v="516"/>
    <n v="0.4891089108910891"/>
  </r>
  <r>
    <s v="ORD-01446"/>
    <x v="167"/>
    <s v="CUST-0244"/>
    <s v="PROD-020"/>
    <x v="27"/>
    <n v="2"/>
    <n v="820"/>
    <x v="105"/>
    <n v="1423.52"/>
    <x v="1"/>
    <s v="Bengaluru"/>
    <x v="0"/>
    <m/>
    <x v="1"/>
    <n v="61"/>
    <x v="0"/>
    <m/>
    <m/>
    <m/>
  </r>
  <r>
    <s v="ORD-01447"/>
    <x v="337"/>
    <s v="CUST-0291"/>
    <s v="PROD-028"/>
    <x v="27"/>
    <n v="1"/>
    <n v="3660"/>
    <x v="170"/>
    <n v="3147.6"/>
    <x v="3"/>
    <s v="Pune"/>
    <x v="2"/>
    <m/>
    <x v="0"/>
    <n v="29"/>
    <x v="4"/>
    <s v="Dec-24"/>
    <n v="2214"/>
    <n v="0.39508196721311473"/>
  </r>
  <r>
    <s v="ORD-01448"/>
    <x v="130"/>
    <s v="CUST-0222"/>
    <s v="PROD-022"/>
    <x v="21"/>
    <n v="6"/>
    <n v="2270"/>
    <x v="296"/>
    <n v="11440.8"/>
    <x v="0"/>
    <s v="Chennai"/>
    <x v="2"/>
    <m/>
    <x v="1"/>
    <n v="37"/>
    <x v="4"/>
    <s v="Jul-24"/>
    <n v="1412"/>
    <n v="0.37797356828193834"/>
  </r>
  <r>
    <s v="ORD-01449"/>
    <x v="311"/>
    <s v="CUST-0137"/>
    <s v="PROD-049"/>
    <x v="7"/>
    <n v="7"/>
    <n v="960"/>
    <x v="49"/>
    <n v="4784.6400000000003"/>
    <x v="3"/>
    <s v="Mumbai"/>
    <x v="5"/>
    <m/>
    <x v="1"/>
    <n v="41"/>
    <x v="0"/>
    <m/>
    <m/>
    <m/>
  </r>
  <r>
    <s v="ORD-01450"/>
    <x v="218"/>
    <s v="CUST-0150"/>
    <s v="PROD-033"/>
    <x v="5"/>
    <n v="9"/>
    <n v="2030"/>
    <x v="238"/>
    <n v="17648.82"/>
    <x v="0"/>
    <s v="Pune"/>
    <x v="3"/>
    <m/>
    <x v="0"/>
    <n v="53"/>
    <x v="0"/>
    <m/>
    <m/>
    <m/>
  </r>
  <r>
    <s v="ORD-01451"/>
    <x v="193"/>
    <s v="CUST-0058"/>
    <s v="PROD-023"/>
    <x v="1"/>
    <n v="6"/>
    <n v="2380"/>
    <x v="105"/>
    <n v="12395.04"/>
    <x v="0"/>
    <s v="Bengaluru"/>
    <x v="2"/>
    <m/>
    <x v="0"/>
    <n v="49"/>
    <x v="0"/>
    <m/>
    <m/>
    <m/>
  </r>
  <r>
    <s v="ORD-01452"/>
    <x v="231"/>
    <s v="CUST-0187"/>
    <s v="PROD-047"/>
    <x v="18"/>
    <n v="10"/>
    <n v="3450"/>
    <x v="41"/>
    <n v="31498.5"/>
    <x v="0"/>
    <s v="Chennai"/>
    <x v="5"/>
    <m/>
    <x v="0"/>
    <n v="51"/>
    <x v="0"/>
    <m/>
    <m/>
    <m/>
  </r>
  <r>
    <s v="ORD-01453"/>
    <x v="173"/>
    <s v="CUST-0116"/>
    <s v="PROD-049"/>
    <x v="13"/>
    <n v="6"/>
    <n v="960"/>
    <x v="149"/>
    <n v="4573.4399999999996"/>
    <x v="1"/>
    <s v="Bengaluru"/>
    <x v="5"/>
    <m/>
    <x v="1"/>
    <n v="53"/>
    <x v="0"/>
    <m/>
    <m/>
    <m/>
  </r>
  <r>
    <s v="ORD-01454"/>
    <x v="123"/>
    <s v="CUST-0290"/>
    <s v="PROD-018"/>
    <x v="22"/>
    <n v="10"/>
    <n v="3560"/>
    <x v="261"/>
    <n v="35101.599999999999"/>
    <x v="1"/>
    <s v="Delhi"/>
    <x v="0"/>
    <m/>
    <x v="1"/>
    <n v="63"/>
    <x v="0"/>
    <m/>
    <m/>
    <m/>
  </r>
  <r>
    <s v="ORD-01455"/>
    <x v="20"/>
    <s v="CUST-0053"/>
    <s v="PROD-015"/>
    <x v="2"/>
    <n v="4"/>
    <n v="2720"/>
    <x v="202"/>
    <n v="8769.2800000000007"/>
    <x v="3"/>
    <s v="Delhi"/>
    <x v="0"/>
    <m/>
    <x v="1"/>
    <n v="53"/>
    <x v="0"/>
    <m/>
    <m/>
    <m/>
  </r>
  <r>
    <s v="ORD-01456"/>
    <x v="86"/>
    <s v="CUST-0044"/>
    <s v="PROD-009"/>
    <x v="20"/>
    <n v="5"/>
    <n v="1220"/>
    <x v="142"/>
    <n v="5148.3999999999996"/>
    <x v="0"/>
    <s v="Hyderabad"/>
    <x v="4"/>
    <m/>
    <x v="0"/>
    <n v="29"/>
    <x v="4"/>
    <s v="Mar-24"/>
    <n v="517"/>
    <n v="0.57622950819672136"/>
  </r>
  <r>
    <s v="ORD-01457"/>
    <x v="234"/>
    <s v="CUST-0267"/>
    <s v="PROD-035"/>
    <x v="17"/>
    <n v="5"/>
    <n v="1090"/>
    <x v="224"/>
    <n v="4632.5"/>
    <x v="0"/>
    <s v="Hyderabad"/>
    <x v="3"/>
    <m/>
    <x v="1"/>
    <n v="27"/>
    <x v="2"/>
    <s v="Jun-24"/>
    <n v="464"/>
    <n v="0.57431192660550456"/>
  </r>
  <r>
    <s v="ORD-01458"/>
    <x v="221"/>
    <s v="CUST-0179"/>
    <s v="PROD-032"/>
    <x v="20"/>
    <n v="9"/>
    <n v="370"/>
    <x v="55"/>
    <n v="2484.1799999999998"/>
    <x v="0"/>
    <s v="Mumbai"/>
    <x v="3"/>
    <m/>
    <x v="0"/>
    <n v="54"/>
    <x v="0"/>
    <m/>
    <m/>
    <m/>
  </r>
  <r>
    <s v="ORD-01459"/>
    <x v="145"/>
    <s v="CUST-0089"/>
    <s v="PROD-055"/>
    <x v="0"/>
    <n v="7"/>
    <n v="2860"/>
    <x v="170"/>
    <n v="17217.2"/>
    <x v="0"/>
    <s v="Mumbai"/>
    <x v="1"/>
    <m/>
    <x v="0"/>
    <n v="43"/>
    <x v="0"/>
    <m/>
    <m/>
    <m/>
  </r>
  <r>
    <s v="ORD-01460"/>
    <x v="156"/>
    <s v="CUST-0090"/>
    <s v="PROD-029"/>
    <x v="17"/>
    <n v="1"/>
    <n v="2210"/>
    <x v="260"/>
    <n v="2172.4299999999998"/>
    <x v="0"/>
    <s v="Bengaluru"/>
    <x v="2"/>
    <m/>
    <x v="2"/>
    <n v="26"/>
    <x v="1"/>
    <s v="Jun-24"/>
    <n v="1010"/>
    <n v="0.54298642533936647"/>
  </r>
  <r>
    <s v="ORD-01461"/>
    <x v="241"/>
    <s v="CUST-0135"/>
    <s v="PROD-030"/>
    <x v="5"/>
    <n v="3"/>
    <n v="970"/>
    <x v="126"/>
    <n v="2319.27"/>
    <x v="1"/>
    <s v="Pune"/>
    <x v="2"/>
    <m/>
    <x v="0"/>
    <n v="24"/>
    <x v="2"/>
    <s v="Jul-24"/>
    <n v="434"/>
    <n v="0.5525773195876289"/>
  </r>
  <r>
    <s v="ORD-01462"/>
    <x v="233"/>
    <s v="CUST-0252"/>
    <s v="PROD-018"/>
    <x v="13"/>
    <n v="5"/>
    <n v="3560"/>
    <x v="150"/>
    <n v="14756.2"/>
    <x v="0"/>
    <s v="Bengaluru"/>
    <x v="0"/>
    <m/>
    <x v="1"/>
    <n v="27"/>
    <x v="2"/>
    <s v="Oct-24"/>
    <n v="2629"/>
    <n v="0.26151685393258428"/>
  </r>
  <r>
    <s v="ORD-01463"/>
    <x v="244"/>
    <s v="CUST-0086"/>
    <s v="PROD-040"/>
    <x v="12"/>
    <n v="10"/>
    <n v="1080"/>
    <x v="38"/>
    <n v="9417.6"/>
    <x v="0"/>
    <s v="Hyderabad"/>
    <x v="3"/>
    <m/>
    <x v="2"/>
    <n v="56"/>
    <x v="0"/>
    <m/>
    <m/>
    <m/>
  </r>
  <r>
    <s v="ORD-01464"/>
    <x v="258"/>
    <s v="CUST-0264"/>
    <s v="PROD-009"/>
    <x v="23"/>
    <n v="3"/>
    <n v="1220"/>
    <x v="69"/>
    <n v="3590.46"/>
    <x v="0"/>
    <s v="Pune"/>
    <x v="4"/>
    <m/>
    <x v="1"/>
    <n v="59"/>
    <x v="0"/>
    <m/>
    <m/>
    <m/>
  </r>
  <r>
    <s v="ORD-01465"/>
    <x v="319"/>
    <s v="CUST-9851"/>
    <s v="PROD-031"/>
    <x v="18"/>
    <n v="1"/>
    <n v="3730"/>
    <x v="279"/>
    <n v="3181.69"/>
    <x v="1"/>
    <s v="Pune"/>
    <x v="3"/>
    <m/>
    <x v="3"/>
    <e v="#N/A"/>
    <x v="0"/>
    <m/>
    <m/>
    <m/>
  </r>
  <r>
    <s v="ORD-01466"/>
    <x v="108"/>
    <s v="CUST-0143"/>
    <s v="PROD-007"/>
    <x v="19"/>
    <n v="3"/>
    <n v="1430"/>
    <x v="105"/>
    <n v="3723.72"/>
    <x v="0"/>
    <s v="Chennai"/>
    <x v="4"/>
    <m/>
    <x v="0"/>
    <n v="52"/>
    <x v="0"/>
    <m/>
    <m/>
    <m/>
  </r>
  <r>
    <s v="ORD-01467"/>
    <x v="3"/>
    <s v="CUST-0086"/>
    <s v="PROD-050"/>
    <x v="26"/>
    <n v="2"/>
    <n v="6080"/>
    <x v="110"/>
    <n v="9509.1200000000008"/>
    <x v="2"/>
    <s v="Hyderabad"/>
    <x v="5"/>
    <m/>
    <x v="2"/>
    <n v="56"/>
    <x v="0"/>
    <m/>
    <m/>
    <m/>
  </r>
  <r>
    <s v="ORD-01468"/>
    <x v="30"/>
    <s v="CUST-0196"/>
    <s v="PROD-048"/>
    <x v="15"/>
    <n v="9"/>
    <n v="5100"/>
    <x v="99"/>
    <n v="32451.3"/>
    <x v="0"/>
    <s v="Chennai"/>
    <x v="5"/>
    <m/>
    <x v="1"/>
    <n v="26"/>
    <x v="3"/>
    <s v="May-24"/>
    <n v="2237"/>
    <n v="0.56137254901960787"/>
  </r>
  <r>
    <s v="ORD-01469"/>
    <x v="75"/>
    <s v="CUST-0089"/>
    <s v="PROD-011"/>
    <x v="2"/>
    <n v="5"/>
    <n v="3450"/>
    <x v="56"/>
    <n v="16335.75"/>
    <x v="0"/>
    <s v="Mumbai"/>
    <x v="0"/>
    <m/>
    <x v="0"/>
    <n v="43"/>
    <x v="0"/>
    <m/>
    <m/>
    <m/>
  </r>
  <r>
    <s v="ORD-01470"/>
    <x v="215"/>
    <s v="CUST-0149"/>
    <s v="PROD-003"/>
    <x v="25"/>
    <n v="6"/>
    <n v="3570"/>
    <x v="40"/>
    <n v="17714.34"/>
    <x v="0"/>
    <s v="Hyderabad"/>
    <x v="4"/>
    <m/>
    <x v="1"/>
    <n v="44"/>
    <x v="0"/>
    <m/>
    <m/>
    <m/>
  </r>
  <r>
    <s v="ORD-01471"/>
    <x v="328"/>
    <s v="CUST-0161"/>
    <s v="PROD-031"/>
    <x v="26"/>
    <n v="6"/>
    <n v="3730"/>
    <x v="62"/>
    <n v="22156.2"/>
    <x v="0"/>
    <s v="Chennai"/>
    <x v="3"/>
    <m/>
    <x v="1"/>
    <n v="38"/>
    <x v="1"/>
    <s v="Dec-24"/>
    <n v="2135"/>
    <n v="0.42761394101876676"/>
  </r>
  <r>
    <s v="ORD-01472"/>
    <x v="182"/>
    <s v="CUST-0022"/>
    <s v="PROD-059"/>
    <x v="7"/>
    <n v="4"/>
    <n v="3780"/>
    <x v="155"/>
    <n v="13139.28"/>
    <x v="0"/>
    <s v="Bengaluru"/>
    <x v="1"/>
    <m/>
    <x v="2"/>
    <n v="55"/>
    <x v="0"/>
    <m/>
    <m/>
    <m/>
  </r>
  <r>
    <s v="ORD-01473"/>
    <x v="187"/>
    <s v="CUST-0169"/>
    <s v="PROD-017"/>
    <x v="23"/>
    <n v="1"/>
    <n v="2510"/>
    <x v="213"/>
    <n v="1812.22"/>
    <x v="2"/>
    <s v="Bengaluru"/>
    <x v="0"/>
    <m/>
    <x v="0"/>
    <n v="42"/>
    <x v="0"/>
    <m/>
    <m/>
    <m/>
  </r>
  <r>
    <s v="ORD-01474"/>
    <x v="251"/>
    <s v="CUST-0290"/>
    <s v="PROD-037"/>
    <x v="0"/>
    <n v="9"/>
    <n v="660"/>
    <x v="99"/>
    <n v="4199.58"/>
    <x v="0"/>
    <s v="Delhi"/>
    <x v="3"/>
    <m/>
    <x v="1"/>
    <n v="63"/>
    <x v="0"/>
    <m/>
    <m/>
    <m/>
  </r>
  <r>
    <s v="ORD-01475"/>
    <x v="11"/>
    <s v="CUST-0156"/>
    <s v="PROD-013"/>
    <x v="14"/>
    <n v="7"/>
    <n v="3640"/>
    <x v="37"/>
    <n v="22524.32"/>
    <x v="0"/>
    <s v="Mumbai"/>
    <x v="0"/>
    <m/>
    <x v="1"/>
    <n v="33"/>
    <x v="1"/>
    <s v="Oct-24"/>
    <n v="2611"/>
    <n v="0.28269230769230769"/>
  </r>
  <r>
    <s v="ORD-01476"/>
    <x v="209"/>
    <s v="CUST-0005"/>
    <s v="PROD-052"/>
    <x v="7"/>
    <n v="8"/>
    <n v="5410"/>
    <x v="247"/>
    <n v="32200.32"/>
    <x v="0"/>
    <s v="Chennai"/>
    <x v="1"/>
    <m/>
    <x v="2"/>
    <n v="52"/>
    <x v="0"/>
    <m/>
    <m/>
    <m/>
  </r>
  <r>
    <s v="ORD-01477"/>
    <x v="305"/>
    <s v="CUST-0206"/>
    <s v="PROD-058"/>
    <x v="4"/>
    <n v="4"/>
    <n v="2400"/>
    <x v="257"/>
    <n v="8601.6"/>
    <x v="0"/>
    <s v="Mumbai"/>
    <x v="1"/>
    <m/>
    <x v="1"/>
    <n v="40"/>
    <x v="3"/>
    <s v="May-24"/>
    <n v="974"/>
    <n v="0.59416666666666662"/>
  </r>
  <r>
    <s v="ORD-01478"/>
    <x v="144"/>
    <s v="CUST-0240"/>
    <s v="PROD-038"/>
    <x v="8"/>
    <n v="2"/>
    <n v="5490"/>
    <x v="75"/>
    <n v="10387.08"/>
    <x v="0"/>
    <s v="Chennai"/>
    <x v="3"/>
    <m/>
    <x v="2"/>
    <n v="35"/>
    <x v="1"/>
    <s v="Feb-24"/>
    <n v="2549"/>
    <n v="0.53570127504553733"/>
  </r>
  <r>
    <s v="ORD-01479"/>
    <x v="340"/>
    <s v="CUST-0109"/>
    <s v="PROD-041"/>
    <x v="29"/>
    <n v="6"/>
    <n v="1540"/>
    <x v="43"/>
    <n v="9184.56"/>
    <x v="0"/>
    <s v="Pune"/>
    <x v="5"/>
    <m/>
    <x v="1"/>
    <n v="42"/>
    <x v="0"/>
    <m/>
    <m/>
    <m/>
  </r>
  <r>
    <s v="ORD-01480"/>
    <x v="30"/>
    <s v="CUST-0201"/>
    <s v="PROD-001"/>
    <x v="19"/>
    <n v="3"/>
    <n v="5330"/>
    <x v="62"/>
    <n v="15830.1"/>
    <x v="1"/>
    <s v="Hyderabad"/>
    <x v="4"/>
    <m/>
    <x v="1"/>
    <n v="31"/>
    <x v="4"/>
    <s v="Aug-24"/>
    <n v="2405"/>
    <n v="0.54878048780487809"/>
  </r>
  <r>
    <s v="ORD-01481"/>
    <x v="190"/>
    <s v="CUST-0100"/>
    <s v="PROD-055"/>
    <x v="27"/>
    <n v="6"/>
    <n v="2860"/>
    <x v="275"/>
    <n v="14877.72"/>
    <x v="0"/>
    <s v="Hyderabad"/>
    <x v="1"/>
    <m/>
    <x v="2"/>
    <n v="60"/>
    <x v="0"/>
    <m/>
    <m/>
    <m/>
  </r>
  <r>
    <s v="ORD-01482"/>
    <x v="359"/>
    <s v="CUST-0262"/>
    <s v="PROD-046"/>
    <x v="3"/>
    <n v="3"/>
    <n v="4880"/>
    <x v="265"/>
    <n v="12868.56"/>
    <x v="0"/>
    <s v="Mumbai"/>
    <x v="5"/>
    <m/>
    <x v="1"/>
    <n v="52"/>
    <x v="0"/>
    <m/>
    <m/>
    <m/>
  </r>
  <r>
    <s v="ORD-01483"/>
    <x v="177"/>
    <s v="CUST-0067"/>
    <s v="PROD-017"/>
    <x v="1"/>
    <n v="5"/>
    <n v="2510"/>
    <x v="209"/>
    <n v="12186.05"/>
    <x v="1"/>
    <s v="Delhi"/>
    <x v="0"/>
    <m/>
    <x v="0"/>
    <n v="59"/>
    <x v="0"/>
    <m/>
    <m/>
    <m/>
  </r>
  <r>
    <s v="ORD-01484"/>
    <x v="283"/>
    <s v="CUST-9844"/>
    <s v="PROD-006"/>
    <x v="16"/>
    <n v="9"/>
    <n v="3970"/>
    <x v="178"/>
    <n v="25725.599999999999"/>
    <x v="0"/>
    <s v="Pune"/>
    <x v="4"/>
    <m/>
    <x v="3"/>
    <e v="#N/A"/>
    <x v="0"/>
    <m/>
    <m/>
    <m/>
  </r>
  <r>
    <s v="ORD-01485"/>
    <x v="106"/>
    <s v="CUST-0122"/>
    <s v="PROD-053"/>
    <x v="28"/>
    <n v="4"/>
    <n v="470"/>
    <x v="61"/>
    <n v="1520.92"/>
    <x v="1"/>
    <s v="Mumbai"/>
    <x v="1"/>
    <m/>
    <x v="1"/>
    <n v="44"/>
    <x v="0"/>
    <m/>
    <m/>
    <m/>
  </r>
  <r>
    <s v="ORD-01486"/>
    <x v="269"/>
    <s v="CUST-0129"/>
    <s v="PROD-001"/>
    <x v="5"/>
    <n v="7"/>
    <n v="5330"/>
    <x v="291"/>
    <n v="30892.68"/>
    <x v="2"/>
    <s v="Hyderabad"/>
    <x v="4"/>
    <m/>
    <x v="1"/>
    <n v="29"/>
    <x v="2"/>
    <s v="Oct-24"/>
    <n v="2405"/>
    <n v="0.54878048780487809"/>
  </r>
  <r>
    <s v="ORD-01487"/>
    <x v="187"/>
    <s v="CUST-0056"/>
    <s v="PROD-035"/>
    <x v="27"/>
    <n v="4"/>
    <n v="1090"/>
    <x v="101"/>
    <n v="4146.3599999999997"/>
    <x v="2"/>
    <s v="Bengaluru"/>
    <x v="3"/>
    <m/>
    <x v="0"/>
    <n v="46"/>
    <x v="0"/>
    <m/>
    <m/>
    <m/>
  </r>
  <r>
    <s v="ORD-01488"/>
    <x v="145"/>
    <s v="CUST-0080"/>
    <s v="PROD-054"/>
    <x v="18"/>
    <n v="2"/>
    <n v="1010"/>
    <x v="170"/>
    <n v="1737.2"/>
    <x v="0"/>
    <s v="Pune"/>
    <x v="1"/>
    <m/>
    <x v="0"/>
    <n v="30"/>
    <x v="4"/>
    <s v="Aug-24"/>
    <n v="516"/>
    <n v="0.4891089108910891"/>
  </r>
  <r>
    <s v="ORD-01489"/>
    <x v="30"/>
    <s v="CUST-0155"/>
    <s v="PROD-004"/>
    <x v="29"/>
    <n v="9"/>
    <n v="3870"/>
    <x v="262"/>
    <n v="31973.94"/>
    <x v="0"/>
    <s v="Pune"/>
    <x v="4"/>
    <m/>
    <x v="2"/>
    <n v="40"/>
    <x v="4"/>
    <s v="Jun-24"/>
    <n v="1559"/>
    <n v="0.59715762273901807"/>
  </r>
  <r>
    <s v="ORD-01490"/>
    <x v="304"/>
    <s v="CUST-0278"/>
    <s v="PROD-008"/>
    <x v="22"/>
    <n v="7"/>
    <n v="2660"/>
    <x v="237"/>
    <n v="15659.42"/>
    <x v="0"/>
    <s v="Hyderabad"/>
    <x v="4"/>
    <m/>
    <x v="1"/>
    <n v="41"/>
    <x v="0"/>
    <m/>
    <m/>
    <m/>
  </r>
  <r>
    <s v="ORD-01491"/>
    <x v="204"/>
    <s v="CUST-0075"/>
    <s v="PROD-007"/>
    <x v="7"/>
    <n v="4"/>
    <n v="1430"/>
    <x v="247"/>
    <n v="4255.68"/>
    <x v="0"/>
    <s v="Mumbai"/>
    <x v="4"/>
    <m/>
    <x v="2"/>
    <n v="55"/>
    <x v="0"/>
    <m/>
    <m/>
    <m/>
  </r>
  <r>
    <s v="ORD-01492"/>
    <x v="163"/>
    <s v="CUST-0274"/>
    <s v="PROD-046"/>
    <x v="12"/>
    <n v="4"/>
    <n v="4880"/>
    <x v="202"/>
    <n v="15733.12"/>
    <x v="2"/>
    <s v="Bengaluru"/>
    <x v="5"/>
    <m/>
    <x v="2"/>
    <n v="36"/>
    <x v="3"/>
    <s v="Nov-24"/>
    <n v="2768"/>
    <n v="0.43278688524590164"/>
  </r>
  <r>
    <s v="ORD-01493"/>
    <x v="286"/>
    <s v="CUST-0197"/>
    <s v="PROD-060"/>
    <x v="19"/>
    <n v="2"/>
    <n v="190"/>
    <x v="269"/>
    <n v="345.8"/>
    <x v="0"/>
    <s v="Bengaluru"/>
    <x v="1"/>
    <m/>
    <x v="1"/>
    <n v="55"/>
    <x v="0"/>
    <m/>
    <m/>
    <m/>
  </r>
  <r>
    <s v="ORD-01494"/>
    <x v="209"/>
    <s v="CUST-0294"/>
    <s v="PROD-045"/>
    <x v="7"/>
    <n v="1"/>
    <n v="3020"/>
    <x v="186"/>
    <n v="2911.28"/>
    <x v="3"/>
    <s v="Delhi"/>
    <x v="5"/>
    <m/>
    <x v="2"/>
    <n v="31"/>
    <x v="1"/>
    <s v="Oct-24"/>
    <n v="1626"/>
    <n v="0.46158940397350995"/>
  </r>
  <r>
    <s v="ORD-01495"/>
    <x v="131"/>
    <s v="CUST-0281"/>
    <s v="PROD-046"/>
    <x v="7"/>
    <n v="2"/>
    <n v="4880"/>
    <x v="78"/>
    <n v="9564.7999999999993"/>
    <x v="2"/>
    <s v="Bengaluru"/>
    <x v="5"/>
    <m/>
    <x v="2"/>
    <n v="57"/>
    <x v="0"/>
    <m/>
    <m/>
    <m/>
  </r>
  <r>
    <s v="ORD-01496"/>
    <x v="158"/>
    <s v="CUST-0130"/>
    <s v="PROD-058"/>
    <x v="28"/>
    <n v="4"/>
    <n v="2400"/>
    <x v="44"/>
    <n v="8496"/>
    <x v="0"/>
    <s v="Bengaluru"/>
    <x v="1"/>
    <m/>
    <x v="2"/>
    <n v="41"/>
    <x v="0"/>
    <m/>
    <m/>
    <m/>
  </r>
  <r>
    <s v="ORD-01497"/>
    <x v="298"/>
    <s v="CUST-0097"/>
    <s v="PROD-050"/>
    <x v="25"/>
    <n v="2"/>
    <n v="6080"/>
    <x v="217"/>
    <n v="12099.2"/>
    <x v="2"/>
    <s v="Mumbai"/>
    <x v="5"/>
    <m/>
    <x v="1"/>
    <n v="65"/>
    <x v="0"/>
    <m/>
    <m/>
    <m/>
  </r>
  <r>
    <s v="ORD-01498"/>
    <x v="360"/>
    <s v="CUST-0148"/>
    <s v="PROD-023"/>
    <x v="12"/>
    <n v="7"/>
    <n v="2380"/>
    <x v="281"/>
    <n v="14610.82"/>
    <x v="0"/>
    <s v="Chennai"/>
    <x v="2"/>
    <m/>
    <x v="1"/>
    <n v="32"/>
    <x v="1"/>
    <s v="Mar-24"/>
    <n v="1182"/>
    <n v="0.50336134453781511"/>
  </r>
  <r>
    <s v="ORD-01499"/>
    <x v="89"/>
    <s v="CUST-0102"/>
    <s v="PROD-041"/>
    <x v="19"/>
    <n v="10"/>
    <n v="1540"/>
    <x v="149"/>
    <n v="12227.6"/>
    <x v="0"/>
    <s v="Chennai"/>
    <x v="5"/>
    <m/>
    <x v="0"/>
    <n v="62"/>
    <x v="0"/>
    <m/>
    <m/>
    <m/>
  </r>
  <r>
    <s v="ORD-01500"/>
    <x v="226"/>
    <s v="CUST-0265"/>
    <s v="PROD-004"/>
    <x v="8"/>
    <n v="7"/>
    <n v="3870"/>
    <x v="24"/>
    <n v="25437.51"/>
    <x v="0"/>
    <s v="Chennai"/>
    <x v="4"/>
    <m/>
    <x v="1"/>
    <n v="49"/>
    <x v="0"/>
    <m/>
    <m/>
    <m/>
  </r>
  <r>
    <s v="ORD-01501"/>
    <x v="266"/>
    <s v="CUST-0073"/>
    <s v="PROD-032"/>
    <x v="13"/>
    <n v="3"/>
    <n v="370"/>
    <x v="130"/>
    <n v="957.93"/>
    <x v="0"/>
    <s v="Pune"/>
    <x v="3"/>
    <m/>
    <x v="2"/>
    <n v="40"/>
    <x v="2"/>
    <s v="Aug-24"/>
    <n v="288"/>
    <n v="0.22162162162162163"/>
  </r>
  <r>
    <s v="ORD-01502"/>
    <x v="60"/>
    <s v="CUST-0070"/>
    <s v="PROD-060"/>
    <x v="28"/>
    <n v="8"/>
    <n v="190"/>
    <x v="271"/>
    <n v="1516.96"/>
    <x v="0"/>
    <s v="Mumbai"/>
    <x v="1"/>
    <m/>
    <x v="1"/>
    <n v="42"/>
    <x v="0"/>
    <m/>
    <m/>
    <m/>
  </r>
  <r>
    <s v="ORD-01503"/>
    <x v="350"/>
    <s v="CUST-0202"/>
    <s v="PROD-007"/>
    <x v="23"/>
    <n v="6"/>
    <n v="1430"/>
    <x v="177"/>
    <n v="8571.42"/>
    <x v="0"/>
    <s v="Chennai"/>
    <x v="4"/>
    <m/>
    <x v="1"/>
    <n v="39"/>
    <x v="2"/>
    <s v="Feb-24"/>
    <n v="861"/>
    <n v="0.39790209790209791"/>
  </r>
  <r>
    <s v="ORD-01504"/>
    <x v="63"/>
    <s v="CUST-0240"/>
    <s v="PROD-053"/>
    <x v="16"/>
    <n v="4"/>
    <n v="470"/>
    <x v="181"/>
    <n v="1823.6"/>
    <x v="0"/>
    <s v="Chennai"/>
    <x v="1"/>
    <m/>
    <x v="2"/>
    <n v="35"/>
    <x v="4"/>
    <s v="Jul-24"/>
    <n v="302"/>
    <n v="0.35744680851063831"/>
  </r>
  <r>
    <s v="ORD-01505"/>
    <x v="225"/>
    <s v="CUST-0163"/>
    <s v="PROD-018"/>
    <x v="10"/>
    <n v="4"/>
    <n v="3560"/>
    <x v="71"/>
    <n v="14083.36"/>
    <x v="0"/>
    <s v="Pune"/>
    <x v="0"/>
    <m/>
    <x v="1"/>
    <n v="49"/>
    <x v="0"/>
    <m/>
    <m/>
    <m/>
  </r>
  <r>
    <s v="ORD-01506"/>
    <x v="126"/>
    <s v="CUST-0238"/>
    <s v="PROD-046"/>
    <x v="27"/>
    <n v="5"/>
    <n v="4880"/>
    <x v="210"/>
    <n v="20252"/>
    <x v="0"/>
    <s v="Delhi"/>
    <x v="5"/>
    <m/>
    <x v="1"/>
    <n v="49"/>
    <x v="0"/>
    <m/>
    <m/>
    <m/>
  </r>
  <r>
    <s v="ORD-01507"/>
    <x v="64"/>
    <s v="CUST-0196"/>
    <s v="PROD-003"/>
    <x v="18"/>
    <n v="9"/>
    <n v="3570"/>
    <x v="236"/>
    <n v="28274.400000000001"/>
    <x v="0"/>
    <s v="Chennai"/>
    <x v="4"/>
    <m/>
    <x v="1"/>
    <n v="26"/>
    <x v="4"/>
    <s v="Aug-24"/>
    <n v="1665"/>
    <n v="0.53361344537815125"/>
  </r>
  <r>
    <s v="ORD-01508"/>
    <x v="43"/>
    <s v="CUST-0220"/>
    <s v="PROD-051"/>
    <x v="5"/>
    <n v="6"/>
    <n v="3450"/>
    <x v="82"/>
    <n v="16001.1"/>
    <x v="2"/>
    <s v="Chennai"/>
    <x v="1"/>
    <m/>
    <x v="1"/>
    <n v="34"/>
    <x v="4"/>
    <s v="Jul-24"/>
    <n v="2467"/>
    <n v="0.28492753623188405"/>
  </r>
  <r>
    <s v="ORD-01509"/>
    <x v="145"/>
    <s v="CUST-0142"/>
    <s v="PROD-040"/>
    <x v="25"/>
    <n v="10"/>
    <n v="1080"/>
    <x v="230"/>
    <n v="7840.8"/>
    <x v="0"/>
    <s v="Chennai"/>
    <x v="3"/>
    <m/>
    <x v="2"/>
    <n v="55"/>
    <x v="0"/>
    <m/>
    <m/>
    <m/>
  </r>
  <r>
    <s v="ORD-01510"/>
    <x v="150"/>
    <s v="CUST-0217"/>
    <s v="PROD-041"/>
    <x v="5"/>
    <n v="6"/>
    <n v="1540"/>
    <x v="150"/>
    <n v="7659.96"/>
    <x v="0"/>
    <s v="Pune"/>
    <x v="5"/>
    <m/>
    <x v="0"/>
    <n v="59"/>
    <x v="0"/>
    <m/>
    <m/>
    <m/>
  </r>
  <r>
    <s v="ORD-01511"/>
    <x v="361"/>
    <s v="CUST-9582"/>
    <s v="PROD-015"/>
    <x v="22"/>
    <n v="6"/>
    <n v="2720"/>
    <x v="226"/>
    <n v="11734.08"/>
    <x v="0"/>
    <s v="Mumbai"/>
    <x v="0"/>
    <m/>
    <x v="3"/>
    <e v="#N/A"/>
    <x v="0"/>
    <m/>
    <m/>
    <m/>
  </r>
  <r>
    <s v="ORD-01512"/>
    <x v="28"/>
    <s v="CUST-0267"/>
    <s v="PROD-034"/>
    <x v="1"/>
    <n v="2"/>
    <n v="5080"/>
    <x v="86"/>
    <n v="9032.24"/>
    <x v="0"/>
    <s v="Hyderabad"/>
    <x v="3"/>
    <m/>
    <x v="1"/>
    <n v="27"/>
    <x v="4"/>
    <s v="Sep-24"/>
    <n v="2459"/>
    <n v="0.51594488188976373"/>
  </r>
  <r>
    <s v="ORD-01513"/>
    <x v="90"/>
    <s v="CUST-9565"/>
    <s v="PROD-016"/>
    <x v="4"/>
    <n v="5"/>
    <n v="620"/>
    <x v="292"/>
    <n v="2762.1"/>
    <x v="1"/>
    <s v="Chennai"/>
    <x v="0"/>
    <m/>
    <x v="3"/>
    <e v="#N/A"/>
    <x v="0"/>
    <m/>
    <m/>
    <m/>
  </r>
  <r>
    <s v="ORD-01514"/>
    <x v="312"/>
    <s v="CUST-0051"/>
    <s v="PROD-019"/>
    <x v="11"/>
    <n v="3"/>
    <n v="2480"/>
    <x v="227"/>
    <n v="7068"/>
    <x v="0"/>
    <s v="Pune"/>
    <x v="0"/>
    <m/>
    <x v="0"/>
    <n v="54"/>
    <x v="0"/>
    <m/>
    <m/>
    <m/>
  </r>
  <r>
    <s v="ORD-01515"/>
    <x v="205"/>
    <s v="CUST-0075"/>
    <s v="PROD-054"/>
    <x v="1"/>
    <n v="9"/>
    <n v="1010"/>
    <x v="243"/>
    <n v="7099.29"/>
    <x v="0"/>
    <s v="Mumbai"/>
    <x v="1"/>
    <m/>
    <x v="2"/>
    <n v="55"/>
    <x v="0"/>
    <m/>
    <m/>
    <m/>
  </r>
  <r>
    <s v="ORD-01516"/>
    <x v="269"/>
    <s v="CUST-0106"/>
    <s v="PROD-040"/>
    <x v="10"/>
    <n v="2"/>
    <n v="1080"/>
    <x v="144"/>
    <n v="1976.4"/>
    <x v="0"/>
    <s v="Pune"/>
    <x v="3"/>
    <m/>
    <x v="1"/>
    <n v="22"/>
    <x v="1"/>
    <s v="Sep-24"/>
    <n v="519"/>
    <n v="0.51944444444444449"/>
  </r>
  <r>
    <s v="ORD-01517"/>
    <x v="354"/>
    <s v="CUST-0053"/>
    <s v="PROD-053"/>
    <x v="5"/>
    <n v="5"/>
    <n v="470"/>
    <x v="251"/>
    <n v="2162"/>
    <x v="0"/>
    <s v="Delhi"/>
    <x v="1"/>
    <m/>
    <x v="1"/>
    <n v="53"/>
    <x v="0"/>
    <m/>
    <m/>
    <m/>
  </r>
  <r>
    <s v="ORD-01518"/>
    <x v="67"/>
    <s v="CUST-0042"/>
    <s v="PROD-006"/>
    <x v="16"/>
    <n v="9"/>
    <n v="3970"/>
    <x v="17"/>
    <n v="29119.95"/>
    <x v="0"/>
    <s v="Pune"/>
    <x v="4"/>
    <m/>
    <x v="1"/>
    <n v="25"/>
    <x v="2"/>
    <s v="Feb-24"/>
    <n v="2865"/>
    <n v="0.27833753148614609"/>
  </r>
  <r>
    <s v="ORD-01519"/>
    <x v="105"/>
    <s v="CUST-0120"/>
    <s v="PROD-044"/>
    <x v="9"/>
    <n v="9"/>
    <n v="1650"/>
    <x v="88"/>
    <n v="11954.25"/>
    <x v="0"/>
    <s v="Mumbai"/>
    <x v="5"/>
    <m/>
    <x v="1"/>
    <n v="29"/>
    <x v="3"/>
    <s v="Mar-24"/>
    <n v="1222"/>
    <n v="0.2593939393939394"/>
  </r>
  <r>
    <s v="ORD-01520"/>
    <x v="234"/>
    <s v="CUST-0166"/>
    <s v="PROD-043"/>
    <x v="3"/>
    <n v="9"/>
    <n v="3350"/>
    <x v="195"/>
    <n v="28913.85"/>
    <x v="0"/>
    <s v="Hyderabad"/>
    <x v="5"/>
    <m/>
    <x v="1"/>
    <n v="31"/>
    <x v="4"/>
    <s v="Nov-24"/>
    <n v="1728"/>
    <n v="0.48417910447761192"/>
  </r>
  <r>
    <s v="ORD-01521"/>
    <x v="305"/>
    <s v="CUST-0175"/>
    <s v="PROD-006"/>
    <x v="12"/>
    <n v="7"/>
    <n v="3970"/>
    <x v="142"/>
    <n v="23454.76"/>
    <x v="0"/>
    <s v="Delhi"/>
    <x v="4"/>
    <m/>
    <x v="2"/>
    <n v="55"/>
    <x v="0"/>
    <m/>
    <m/>
    <m/>
  </r>
  <r>
    <s v="ORD-01522"/>
    <x v="253"/>
    <s v="CUST-0001"/>
    <s v="PROD-027"/>
    <x v="26"/>
    <n v="7"/>
    <n v="3780"/>
    <x v="58"/>
    <n v="21511.98"/>
    <x v="0"/>
    <s v="Pune"/>
    <x v="2"/>
    <m/>
    <x v="1"/>
    <n v="36"/>
    <x v="3"/>
    <s v="Feb-24"/>
    <n v="2436"/>
    <n v="0.35555555555555557"/>
  </r>
  <r>
    <s v="ORD-01523"/>
    <x v="327"/>
    <s v="CUST-0238"/>
    <s v="PROD-020"/>
    <x v="22"/>
    <n v="4"/>
    <n v="820"/>
    <x v="121"/>
    <n v="2663.36"/>
    <x v="2"/>
    <s v="Delhi"/>
    <x v="0"/>
    <m/>
    <x v="1"/>
    <n v="49"/>
    <x v="0"/>
    <m/>
    <m/>
    <m/>
  </r>
  <r>
    <s v="ORD-01524"/>
    <x v="77"/>
    <s v="CUST-0279"/>
    <s v="PROD-044"/>
    <x v="24"/>
    <n v="1"/>
    <n v="1650"/>
    <x v="121"/>
    <n v="1339.8"/>
    <x v="2"/>
    <s v="Mumbai"/>
    <x v="5"/>
    <m/>
    <x v="1"/>
    <n v="56"/>
    <x v="0"/>
    <m/>
    <m/>
    <m/>
  </r>
  <r>
    <s v="ORD-01525"/>
    <x v="245"/>
    <s v="CUST-0042"/>
    <s v="PROD-027"/>
    <x v="13"/>
    <n v="2"/>
    <n v="3780"/>
    <x v="62"/>
    <n v="7484.4"/>
    <x v="3"/>
    <s v="Pune"/>
    <x v="2"/>
    <m/>
    <x v="1"/>
    <n v="25"/>
    <x v="3"/>
    <s v="Nov-24"/>
    <n v="2436"/>
    <n v="0.35555555555555557"/>
  </r>
  <r>
    <s v="ORD-01526"/>
    <x v="53"/>
    <s v="CUST-0137"/>
    <s v="PROD-029"/>
    <x v="28"/>
    <n v="5"/>
    <n v="2210"/>
    <x v="254"/>
    <n v="9215.7000000000007"/>
    <x v="0"/>
    <s v="Mumbai"/>
    <x v="2"/>
    <m/>
    <x v="1"/>
    <n v="41"/>
    <x v="0"/>
    <m/>
    <m/>
    <m/>
  </r>
  <r>
    <s v="ORD-01527"/>
    <x v="173"/>
    <s v="CUST-0160"/>
    <s v="PROD-056"/>
    <x v="9"/>
    <n v="10"/>
    <n v="6940"/>
    <x v="249"/>
    <n v="62043.6"/>
    <x v="0"/>
    <s v="Hyderabad"/>
    <x v="1"/>
    <m/>
    <x v="1"/>
    <n v="27"/>
    <x v="2"/>
    <s v="May-24"/>
    <n v="2827"/>
    <n v="0.5926512968299712"/>
  </r>
  <r>
    <s v="ORD-01528"/>
    <x v="253"/>
    <s v="CUST-0102"/>
    <s v="PROD-042"/>
    <x v="1"/>
    <n v="8"/>
    <n v="2290"/>
    <x v="64"/>
    <n v="16084.96"/>
    <x v="0"/>
    <s v="Chennai"/>
    <x v="5"/>
    <m/>
    <x v="0"/>
    <n v="62"/>
    <x v="0"/>
    <m/>
    <m/>
    <m/>
  </r>
  <r>
    <s v="ORD-01529"/>
    <x v="201"/>
    <s v="CUST-0133"/>
    <s v="PROD-033"/>
    <x v="5"/>
    <n v="5"/>
    <n v="2030"/>
    <x v="165"/>
    <n v="7734.3"/>
    <x v="2"/>
    <s v="Chennai"/>
    <x v="3"/>
    <m/>
    <x v="1"/>
    <n v="26"/>
    <x v="1"/>
    <s v="Jun-24"/>
    <n v="1143"/>
    <n v="0.43694581280788175"/>
  </r>
  <r>
    <s v="ORD-01530"/>
    <x v="14"/>
    <s v="CUST-0080"/>
    <s v="PROD-006"/>
    <x v="20"/>
    <n v="3"/>
    <n v="3970"/>
    <x v="179"/>
    <n v="10992.93"/>
    <x v="0"/>
    <s v="Pune"/>
    <x v="4"/>
    <m/>
    <x v="0"/>
    <n v="30"/>
    <x v="2"/>
    <s v="Aug-24"/>
    <n v="2865"/>
    <n v="0.27833753148614609"/>
  </r>
  <r>
    <s v="ORD-01821"/>
    <x v="214"/>
    <s v="CUST-0299"/>
    <s v="PROD-020"/>
    <x v="29"/>
    <n v="1"/>
    <n v="820"/>
    <x v="75"/>
    <n v="775.72"/>
    <x v="0"/>
    <s v="Mumbai"/>
    <x v="0"/>
    <m/>
    <x v="2"/>
    <n v="51"/>
    <x v="0"/>
    <m/>
    <m/>
    <m/>
  </r>
  <r>
    <s v="ORD-01532"/>
    <x v="22"/>
    <s v="CUST-0078"/>
    <s v="PROD-004"/>
    <x v="5"/>
    <n v="3"/>
    <n v="3870"/>
    <x v="69"/>
    <n v="11389.41"/>
    <x v="0"/>
    <s v="Delhi"/>
    <x v="4"/>
    <m/>
    <x v="1"/>
    <n v="31"/>
    <x v="4"/>
    <s v="Jul-24"/>
    <n v="1559"/>
    <n v="0.59715762273901807"/>
  </r>
  <r>
    <s v="ORD-01533"/>
    <x v="197"/>
    <s v="CUST-0251"/>
    <s v="PROD-030"/>
    <x v="24"/>
    <n v="6"/>
    <n v="970"/>
    <x v="245"/>
    <n v="4242.78"/>
    <x v="0"/>
    <s v="Mumbai"/>
    <x v="2"/>
    <m/>
    <x v="1"/>
    <n v="44"/>
    <x v="0"/>
    <m/>
    <m/>
    <m/>
  </r>
  <r>
    <s v="ORD-01534"/>
    <x v="237"/>
    <s v="CUST-0191"/>
    <s v="PROD-046"/>
    <x v="5"/>
    <n v="1"/>
    <n v="4880"/>
    <x v="253"/>
    <n v="3572.16"/>
    <x v="0"/>
    <s v="Hyderabad"/>
    <x v="5"/>
    <m/>
    <x v="0"/>
    <n v="43"/>
    <x v="0"/>
    <m/>
    <m/>
    <m/>
  </r>
  <r>
    <s v="ORD-01535"/>
    <x v="186"/>
    <s v="CUST-0130"/>
    <s v="PROD-022"/>
    <x v="12"/>
    <n v="1"/>
    <n v="2270"/>
    <x v="73"/>
    <n v="1766.06"/>
    <x v="0"/>
    <s v="Bengaluru"/>
    <x v="2"/>
    <m/>
    <x v="2"/>
    <n v="41"/>
    <x v="0"/>
    <m/>
    <m/>
    <m/>
  </r>
  <r>
    <s v="ORD-01536"/>
    <x v="351"/>
    <s v="CUST-0056"/>
    <s v="PROD-047"/>
    <x v="17"/>
    <n v="10"/>
    <n v="3450"/>
    <x v="243"/>
    <n v="26944.5"/>
    <x v="0"/>
    <s v="Bengaluru"/>
    <x v="5"/>
    <m/>
    <x v="0"/>
    <n v="46"/>
    <x v="0"/>
    <m/>
    <m/>
    <m/>
  </r>
  <r>
    <s v="ORD-01537"/>
    <x v="48"/>
    <s v="CUST-0185"/>
    <s v="PROD-022"/>
    <x v="23"/>
    <n v="3"/>
    <n v="2270"/>
    <x v="61"/>
    <n v="5509.29"/>
    <x v="2"/>
    <s v="Hyderabad"/>
    <x v="2"/>
    <m/>
    <x v="0"/>
    <n v="43"/>
    <x v="0"/>
    <m/>
    <m/>
    <m/>
  </r>
  <r>
    <s v="ORD-01538"/>
    <x v="107"/>
    <s v="CUST-0195"/>
    <s v="PROD-029"/>
    <x v="14"/>
    <n v="10"/>
    <n v="2210"/>
    <x v="255"/>
    <n v="17171.7"/>
    <x v="0"/>
    <s v="Bengaluru"/>
    <x v="2"/>
    <m/>
    <x v="1"/>
    <n v="28"/>
    <x v="4"/>
    <s v="Nov-24"/>
    <n v="1010"/>
    <n v="0.54298642533936647"/>
  </r>
  <r>
    <s v="ORD-01539"/>
    <x v="57"/>
    <s v="CUST-0067"/>
    <s v="PROD-033"/>
    <x v="23"/>
    <n v="9"/>
    <n v="2030"/>
    <x v="277"/>
    <n v="13739.04"/>
    <x v="0"/>
    <s v="Delhi"/>
    <x v="3"/>
    <m/>
    <x v="0"/>
    <n v="59"/>
    <x v="0"/>
    <m/>
    <m/>
    <m/>
  </r>
  <r>
    <s v="ORD-01540"/>
    <x v="82"/>
    <s v="CUST-0149"/>
    <s v="PROD-043"/>
    <x v="12"/>
    <n v="5"/>
    <n v="3350"/>
    <x v="93"/>
    <n v="13701.5"/>
    <x v="0"/>
    <s v="Hyderabad"/>
    <x v="5"/>
    <m/>
    <x v="1"/>
    <n v="44"/>
    <x v="0"/>
    <m/>
    <m/>
    <m/>
  </r>
  <r>
    <s v="ORD-01541"/>
    <x v="243"/>
    <s v="CUST-0268"/>
    <s v="PROD-013"/>
    <x v="4"/>
    <n v="7"/>
    <n v="3640"/>
    <x v="137"/>
    <n v="21810.880000000001"/>
    <x v="0"/>
    <s v="Chennai"/>
    <x v="0"/>
    <m/>
    <x v="1"/>
    <n v="35"/>
    <x v="3"/>
    <s v="Mar-24"/>
    <n v="2611"/>
    <n v="0.28269230769230769"/>
  </r>
  <r>
    <s v="ORD-01542"/>
    <x v="217"/>
    <s v="CUST-0126"/>
    <s v="PROD-051"/>
    <x v="26"/>
    <n v="9"/>
    <n v="3450"/>
    <x v="138"/>
    <n v="24808.95"/>
    <x v="0"/>
    <s v="Mumbai"/>
    <x v="1"/>
    <m/>
    <x v="1"/>
    <n v="37"/>
    <x v="1"/>
    <s v="Mar-24"/>
    <n v="2467"/>
    <n v="0.28492753623188405"/>
  </r>
  <r>
    <s v="ORD-01543"/>
    <x v="68"/>
    <s v="CUST-0017"/>
    <s v="PROD-047"/>
    <x v="11"/>
    <n v="6"/>
    <n v="3450"/>
    <x v="66"/>
    <n v="16580.7"/>
    <x v="1"/>
    <s v="Delhi"/>
    <x v="5"/>
    <m/>
    <x v="0"/>
    <n v="38"/>
    <x v="3"/>
    <s v="Apr-24"/>
    <n v="2420"/>
    <n v="0.29855072463768118"/>
  </r>
  <r>
    <s v="ORD-01544"/>
    <x v="37"/>
    <s v="CUST-0250"/>
    <s v="PROD-042"/>
    <x v="24"/>
    <n v="4"/>
    <n v="2290"/>
    <x v="60"/>
    <n v="8720.32"/>
    <x v="1"/>
    <s v="Delhi"/>
    <x v="5"/>
    <m/>
    <x v="1"/>
    <n v="31"/>
    <x v="1"/>
    <s v="May-24"/>
    <n v="1219"/>
    <n v="0.46768558951965067"/>
  </r>
  <r>
    <s v="ORD-01545"/>
    <x v="319"/>
    <s v="CUST-0245"/>
    <s v="PROD-057"/>
    <x v="9"/>
    <n v="9"/>
    <n v="960"/>
    <x v="7"/>
    <n v="8432.64"/>
    <x v="0"/>
    <s v="Hyderabad"/>
    <x v="1"/>
    <m/>
    <x v="1"/>
    <n v="65"/>
    <x v="0"/>
    <m/>
    <m/>
    <m/>
  </r>
  <r>
    <s v="ORD-01546"/>
    <x v="135"/>
    <s v="CUST-0016"/>
    <s v="PROD-039"/>
    <x v="5"/>
    <n v="9"/>
    <n v="4610"/>
    <x v="206"/>
    <n v="32652.63"/>
    <x v="0"/>
    <s v="Delhi"/>
    <x v="3"/>
    <m/>
    <x v="0"/>
    <n v="26"/>
    <x v="4"/>
    <s v="Jul-24"/>
    <n v="1850"/>
    <n v="0.59869848156182215"/>
  </r>
  <r>
    <s v="ORD-01547"/>
    <x v="282"/>
    <s v="CUST-0063"/>
    <s v="PROD-028"/>
    <x v="11"/>
    <n v="1"/>
    <n v="3660"/>
    <x v="142"/>
    <n v="3089.04"/>
    <x v="0"/>
    <s v="Mumbai"/>
    <x v="2"/>
    <m/>
    <x v="0"/>
    <n v="53"/>
    <x v="0"/>
    <m/>
    <m/>
    <m/>
  </r>
  <r>
    <s v="ORD-01548"/>
    <x v="168"/>
    <s v="CUST-0200"/>
    <s v="PROD-008"/>
    <x v="27"/>
    <n v="5"/>
    <n v="2660"/>
    <x v="201"/>
    <n v="10586.8"/>
    <x v="0"/>
    <s v="Hyderabad"/>
    <x v="4"/>
    <m/>
    <x v="2"/>
    <n v="46"/>
    <x v="0"/>
    <m/>
    <m/>
    <m/>
  </r>
  <r>
    <s v="ORD-01549"/>
    <x v="24"/>
    <s v="CUST-0017"/>
    <s v="PROD-041"/>
    <x v="17"/>
    <n v="8"/>
    <n v="1540"/>
    <x v="217"/>
    <n v="12258.4"/>
    <x v="0"/>
    <s v="Delhi"/>
    <x v="5"/>
    <m/>
    <x v="0"/>
    <n v="38"/>
    <x v="4"/>
    <s v="Dec-24"/>
    <n v="647"/>
    <n v="0.57987012987012987"/>
  </r>
  <r>
    <s v="ORD-01550"/>
    <x v="356"/>
    <s v="CUST-0264"/>
    <s v="PROD-006"/>
    <x v="10"/>
    <n v="4"/>
    <n v="3970"/>
    <x v="259"/>
    <n v="12307"/>
    <x v="0"/>
    <s v="Pune"/>
    <x v="4"/>
    <m/>
    <x v="1"/>
    <n v="59"/>
    <x v="0"/>
    <m/>
    <m/>
    <m/>
  </r>
  <r>
    <s v="ORD-01551"/>
    <x v="213"/>
    <s v="CUST-0102"/>
    <s v="PROD-059"/>
    <x v="0"/>
    <n v="8"/>
    <n v="3780"/>
    <x v="290"/>
    <n v="29090.880000000001"/>
    <x v="0"/>
    <s v="Chennai"/>
    <x v="1"/>
    <m/>
    <x v="0"/>
    <n v="62"/>
    <x v="0"/>
    <m/>
    <m/>
    <m/>
  </r>
  <r>
    <s v="ORD-01552"/>
    <x v="269"/>
    <s v="CUST-0092"/>
    <s v="PROD-022"/>
    <x v="10"/>
    <n v="4"/>
    <n v="2270"/>
    <x v="290"/>
    <n v="8734.9599999999991"/>
    <x v="2"/>
    <s v="Bengaluru"/>
    <x v="2"/>
    <m/>
    <x v="0"/>
    <n v="28"/>
    <x v="1"/>
    <s v="Mar-24"/>
    <n v="1412"/>
    <n v="0.37797356828193834"/>
  </r>
  <r>
    <s v="ORD-01553"/>
    <x v="300"/>
    <s v="CUST-0139"/>
    <s v="PROD-009"/>
    <x v="18"/>
    <n v="10"/>
    <n v="1220"/>
    <x v="88"/>
    <n v="9821"/>
    <x v="0"/>
    <s v="Hyderabad"/>
    <x v="4"/>
    <m/>
    <x v="0"/>
    <n v="65"/>
    <x v="0"/>
    <m/>
    <m/>
    <m/>
  </r>
  <r>
    <s v="ORD-01554"/>
    <x v="188"/>
    <s v="CUST-0129"/>
    <s v="PROD-043"/>
    <x v="15"/>
    <n v="10"/>
    <n v="3350"/>
    <x v="294"/>
    <n v="30887"/>
    <x v="0"/>
    <s v="Hyderabad"/>
    <x v="5"/>
    <m/>
    <x v="1"/>
    <n v="29"/>
    <x v="4"/>
    <s v="Jan-24"/>
    <n v="1728"/>
    <n v="0.48417910447761192"/>
  </r>
  <r>
    <s v="ORD-01555"/>
    <x v="243"/>
    <s v="CUST-9841"/>
    <s v="PROD-043"/>
    <x v="14"/>
    <n v="7"/>
    <n v="3350"/>
    <x v="258"/>
    <n v="20049.75"/>
    <x v="0"/>
    <s v="Bengaluru"/>
    <x v="5"/>
    <m/>
    <x v="3"/>
    <e v="#N/A"/>
    <x v="0"/>
    <m/>
    <m/>
    <m/>
  </r>
  <r>
    <s v="ORD-01556"/>
    <x v="242"/>
    <s v="CUST-0069"/>
    <s v="PROD-038"/>
    <x v="2"/>
    <n v="6"/>
    <n v="5490"/>
    <x v="251"/>
    <n v="30304.799999999999"/>
    <x v="0"/>
    <s v="Chennai"/>
    <x v="3"/>
    <m/>
    <x v="1"/>
    <n v="51"/>
    <x v="0"/>
    <m/>
    <m/>
    <m/>
  </r>
  <r>
    <s v="ORD-01557"/>
    <x v="221"/>
    <s v="CUST-0140"/>
    <s v="PROD-055"/>
    <x v="26"/>
    <n v="3"/>
    <n v="2860"/>
    <x v="66"/>
    <n v="6872.58"/>
    <x v="0"/>
    <s v="Hyderabad"/>
    <x v="1"/>
    <m/>
    <x v="0"/>
    <n v="39"/>
    <x v="4"/>
    <s v="May-24"/>
    <n v="2028"/>
    <n v="0.29090909090909089"/>
  </r>
  <r>
    <s v="ORD-01558"/>
    <x v="146"/>
    <s v="CUST-0138"/>
    <s v="PROD-010"/>
    <x v="6"/>
    <n v="3"/>
    <n v="2640"/>
    <x v="99"/>
    <n v="5599.44"/>
    <x v="0"/>
    <s v="Chennai"/>
    <x v="4"/>
    <m/>
    <x v="1"/>
    <n v="24"/>
    <x v="3"/>
    <s v="Nov-24"/>
    <n v="1149"/>
    <n v="0.56477272727272732"/>
  </r>
  <r>
    <s v="ORD-01559"/>
    <x v="360"/>
    <s v="CUST-0277"/>
    <s v="PROD-011"/>
    <x v="20"/>
    <n v="8"/>
    <n v="3450"/>
    <x v="107"/>
    <n v="23404.799999999999"/>
    <x v="2"/>
    <s v="Chennai"/>
    <x v="0"/>
    <m/>
    <x v="2"/>
    <n v="34"/>
    <x v="2"/>
    <s v="Jan-24"/>
    <n v="1748"/>
    <n v="0.49333333333333335"/>
  </r>
  <r>
    <s v="ORD-01560"/>
    <x v="134"/>
    <s v="CUST-0017"/>
    <s v="PROD-032"/>
    <x v="5"/>
    <n v="6"/>
    <n v="370"/>
    <x v="273"/>
    <n v="2064.6"/>
    <x v="0"/>
    <s v="Delhi"/>
    <x v="3"/>
    <m/>
    <x v="0"/>
    <n v="38"/>
    <x v="2"/>
    <s v="Apr-24"/>
    <n v="288"/>
    <n v="0.22162162162162163"/>
  </r>
  <r>
    <s v="ORD-01561"/>
    <x v="96"/>
    <s v="CUST-0170"/>
    <s v="PROD-025"/>
    <x v="20"/>
    <n v="10"/>
    <n v="4060"/>
    <x v="250"/>
    <n v="38691.800000000003"/>
    <x v="2"/>
    <s v="Mumbai"/>
    <x v="2"/>
    <m/>
    <x v="0"/>
    <n v="22"/>
    <x v="2"/>
    <s v="Feb-24"/>
    <n v="2911"/>
    <n v="0.28300492610837441"/>
  </r>
  <r>
    <s v="ORD-01562"/>
    <x v="87"/>
    <s v="CUST-0022"/>
    <s v="PROD-004"/>
    <x v="6"/>
    <n v="1"/>
    <n v="3870"/>
    <x v="93"/>
    <n v="3165.66"/>
    <x v="1"/>
    <s v="Bengaluru"/>
    <x v="4"/>
    <m/>
    <x v="2"/>
    <n v="55"/>
    <x v="0"/>
    <m/>
    <m/>
    <m/>
  </r>
  <r>
    <s v="ORD-01563"/>
    <x v="217"/>
    <s v="CUST-0158"/>
    <s v="PROD-001"/>
    <x v="3"/>
    <n v="1"/>
    <n v="5330"/>
    <x v="164"/>
    <n v="5122.13"/>
    <x v="3"/>
    <s v="Pune"/>
    <x v="4"/>
    <m/>
    <x v="2"/>
    <n v="42"/>
    <x v="0"/>
    <m/>
    <m/>
    <m/>
  </r>
  <r>
    <s v="ORD-01564"/>
    <x v="42"/>
    <s v="CUST-0160"/>
    <s v="PROD-032"/>
    <x v="16"/>
    <n v="8"/>
    <n v="370"/>
    <x v="89"/>
    <n v="2921.52"/>
    <x v="0"/>
    <s v="Hyderabad"/>
    <x v="3"/>
    <m/>
    <x v="1"/>
    <n v="27"/>
    <x v="1"/>
    <s v="Apr-24"/>
    <n v="288"/>
    <n v="0.22162162162162163"/>
  </r>
  <r>
    <s v="ORD-01565"/>
    <x v="81"/>
    <s v="CUST-0009"/>
    <s v="PROD-005"/>
    <x v="16"/>
    <n v="7"/>
    <n v="300"/>
    <x v="10"/>
    <n v="1950.9"/>
    <x v="0"/>
    <s v="Mumbai"/>
    <x v="4"/>
    <m/>
    <x v="1"/>
    <n v="61"/>
    <x v="0"/>
    <m/>
    <m/>
    <m/>
  </r>
  <r>
    <s v="ORD-01566"/>
    <x v="118"/>
    <s v="CUST-0151"/>
    <s v="PROD-043"/>
    <x v="27"/>
    <n v="8"/>
    <n v="3350"/>
    <x v="168"/>
    <n v="23798.400000000001"/>
    <x v="0"/>
    <s v="Mumbai"/>
    <x v="5"/>
    <m/>
    <x v="1"/>
    <n v="53"/>
    <x v="0"/>
    <m/>
    <m/>
    <m/>
  </r>
  <r>
    <s v="ORD-01567"/>
    <x v="72"/>
    <s v="CUST-0105"/>
    <s v="PROD-056"/>
    <x v="18"/>
    <n v="6"/>
    <n v="6940"/>
    <x v="45"/>
    <n v="41515.08"/>
    <x v="0"/>
    <s v="Chennai"/>
    <x v="1"/>
    <m/>
    <x v="0"/>
    <n v="51"/>
    <x v="0"/>
    <m/>
    <m/>
    <m/>
  </r>
  <r>
    <s v="ORD-01568"/>
    <x v="64"/>
    <s v="CUST-0292"/>
    <s v="PROD-049"/>
    <x v="4"/>
    <n v="10"/>
    <n v="960"/>
    <x v="203"/>
    <n v="8707.2000000000007"/>
    <x v="2"/>
    <s v="Bengaluru"/>
    <x v="5"/>
    <m/>
    <x v="1"/>
    <n v="32"/>
    <x v="4"/>
    <s v="Aug-24"/>
    <n v="675"/>
    <n v="0.296875"/>
  </r>
  <r>
    <s v="ORD-01569"/>
    <x v="327"/>
    <s v="CUST-0076"/>
    <s v="PROD-021"/>
    <x v="13"/>
    <n v="10"/>
    <n v="2760"/>
    <x v="291"/>
    <n v="22852.799999999999"/>
    <x v="0"/>
    <s v="Mumbai"/>
    <x v="2"/>
    <m/>
    <x v="1"/>
    <n v="38"/>
    <x v="1"/>
    <s v="Jul-24"/>
    <n v="1435"/>
    <n v="0.48007246376811596"/>
  </r>
  <r>
    <s v="ORD-01570"/>
    <x v="243"/>
    <s v="CUST-0152"/>
    <s v="PROD-024"/>
    <x v="17"/>
    <n v="4"/>
    <n v="2270"/>
    <x v="253"/>
    <n v="6646.56"/>
    <x v="0"/>
    <s v="Bengaluru"/>
    <x v="2"/>
    <m/>
    <x v="0"/>
    <n v="64"/>
    <x v="0"/>
    <m/>
    <m/>
    <m/>
  </r>
  <r>
    <s v="ORD-01571"/>
    <x v="305"/>
    <s v="CUST-0146"/>
    <s v="PROD-002"/>
    <x v="13"/>
    <n v="2"/>
    <n v="2600"/>
    <x v="276"/>
    <n v="3796"/>
    <x v="0"/>
    <s v="Hyderabad"/>
    <x v="4"/>
    <m/>
    <x v="1"/>
    <n v="22"/>
    <x v="2"/>
    <s v="Mar-24"/>
    <n v="1052"/>
    <n v="0.5953846153846154"/>
  </r>
  <r>
    <s v="ORD-01572"/>
    <x v="300"/>
    <s v="CUST-0127"/>
    <s v="PROD-003"/>
    <x v="6"/>
    <n v="4"/>
    <n v="3570"/>
    <x v="281"/>
    <n v="12523.56"/>
    <x v="0"/>
    <s v="Bengaluru"/>
    <x v="4"/>
    <m/>
    <x v="0"/>
    <n v="36"/>
    <x v="3"/>
    <s v="Feb-24"/>
    <n v="1665"/>
    <n v="0.53361344537815125"/>
  </r>
  <r>
    <s v="ORD-01573"/>
    <x v="309"/>
    <s v="CUST-0173"/>
    <s v="PROD-034"/>
    <x v="29"/>
    <n v="5"/>
    <n v="5080"/>
    <x v="89"/>
    <n v="25069.8"/>
    <x v="0"/>
    <s v="Mumbai"/>
    <x v="3"/>
    <m/>
    <x v="1"/>
    <n v="65"/>
    <x v="0"/>
    <m/>
    <m/>
    <m/>
  </r>
  <r>
    <s v="ORD-01574"/>
    <x v="1"/>
    <s v="CUST-0206"/>
    <s v="PROD-049"/>
    <x v="29"/>
    <n v="5"/>
    <n v="960"/>
    <x v="67"/>
    <n v="3590.4"/>
    <x v="0"/>
    <s v="Mumbai"/>
    <x v="5"/>
    <m/>
    <x v="1"/>
    <n v="40"/>
    <x v="4"/>
    <s v="Jan-24"/>
    <n v="675"/>
    <n v="0.296875"/>
  </r>
  <r>
    <s v="ORD-01575"/>
    <x v="117"/>
    <s v="CUST-0072"/>
    <s v="PROD-053"/>
    <x v="9"/>
    <n v="7"/>
    <n v="470"/>
    <x v="104"/>
    <n v="2579.36"/>
    <x v="0"/>
    <s v="Mumbai"/>
    <x v="1"/>
    <m/>
    <x v="2"/>
    <n v="62"/>
    <x v="0"/>
    <m/>
    <m/>
    <m/>
  </r>
  <r>
    <s v="ORD-01576"/>
    <x v="327"/>
    <s v="CUST-0004"/>
    <s v="PROD-009"/>
    <x v="28"/>
    <n v="4"/>
    <n v="1220"/>
    <x v="208"/>
    <n v="4265.12"/>
    <x v="0"/>
    <s v="Delhi"/>
    <x v="4"/>
    <m/>
    <x v="1"/>
    <n v="53"/>
    <x v="0"/>
    <m/>
    <m/>
    <m/>
  </r>
  <r>
    <s v="ORD-01577"/>
    <x v="174"/>
    <s v="CUST-0249"/>
    <s v="PROD-054"/>
    <x v="4"/>
    <n v="4"/>
    <n v="1010"/>
    <x v="139"/>
    <n v="3583.48"/>
    <x v="0"/>
    <s v="Mumbai"/>
    <x v="1"/>
    <m/>
    <x v="1"/>
    <n v="44"/>
    <x v="0"/>
    <m/>
    <m/>
    <m/>
  </r>
  <r>
    <s v="ORD-01578"/>
    <x v="253"/>
    <s v="CUST-0139"/>
    <s v="PROD-028"/>
    <x v="1"/>
    <n v="4"/>
    <n v="3660"/>
    <x v="205"/>
    <n v="13585.92"/>
    <x v="0"/>
    <s v="Hyderabad"/>
    <x v="2"/>
    <m/>
    <x v="0"/>
    <n v="65"/>
    <x v="0"/>
    <m/>
    <m/>
    <m/>
  </r>
  <r>
    <s v="ORD-01579"/>
    <x v="138"/>
    <s v="CUST-0019"/>
    <s v="PROD-038"/>
    <x v="9"/>
    <n v="4"/>
    <n v="5490"/>
    <x v="251"/>
    <n v="20203.2"/>
    <x v="0"/>
    <s v="Chennai"/>
    <x v="3"/>
    <m/>
    <x v="1"/>
    <n v="22"/>
    <x v="1"/>
    <s v="Jun-24"/>
    <n v="2549"/>
    <n v="0.53570127504553733"/>
  </r>
  <r>
    <s v="ORD-01580"/>
    <x v="218"/>
    <s v="CUST-0210"/>
    <s v="PROD-022"/>
    <x v="11"/>
    <n v="6"/>
    <n v="2270"/>
    <x v="150"/>
    <n v="11290.98"/>
    <x v="0"/>
    <s v="Pune"/>
    <x v="2"/>
    <m/>
    <x v="2"/>
    <n v="48"/>
    <x v="0"/>
    <m/>
    <m/>
    <m/>
  </r>
  <r>
    <s v="ORD-01581"/>
    <x v="276"/>
    <s v="CUST-0168"/>
    <s v="PROD-022"/>
    <x v="15"/>
    <n v="8"/>
    <n v="2270"/>
    <x v="152"/>
    <n v="15998.96"/>
    <x v="1"/>
    <s v="Pune"/>
    <x v="2"/>
    <m/>
    <x v="1"/>
    <n v="25"/>
    <x v="1"/>
    <s v="Dec-24"/>
    <n v="1412"/>
    <n v="0.37797356828193834"/>
  </r>
  <r>
    <s v="ORD-01582"/>
    <x v="95"/>
    <s v="CUST-0094"/>
    <s v="PROD-002"/>
    <x v="26"/>
    <n v="6"/>
    <n v="2600"/>
    <x v="34"/>
    <n v="14804.4"/>
    <x v="0"/>
    <s v="Pune"/>
    <x v="4"/>
    <m/>
    <x v="0"/>
    <n v="60"/>
    <x v="0"/>
    <m/>
    <m/>
    <m/>
  </r>
  <r>
    <s v="ORD-01583"/>
    <x v="210"/>
    <s v="CUST-0259"/>
    <s v="PROD-004"/>
    <x v="28"/>
    <n v="9"/>
    <n v="3870"/>
    <x v="200"/>
    <n v="34203.06"/>
    <x v="2"/>
    <s v="Mumbai"/>
    <x v="4"/>
    <m/>
    <x v="1"/>
    <n v="34"/>
    <x v="3"/>
    <s v="Oct-24"/>
    <n v="1559"/>
    <n v="0.59715762273901807"/>
  </r>
  <r>
    <s v="ORD-01584"/>
    <x v="61"/>
    <s v="CUST-0150"/>
    <s v="PROD-006"/>
    <x v="3"/>
    <n v="3"/>
    <n v="3970"/>
    <x v="262"/>
    <n v="10933.38"/>
    <x v="0"/>
    <s v="Pune"/>
    <x v="4"/>
    <m/>
    <x v="0"/>
    <n v="53"/>
    <x v="0"/>
    <m/>
    <m/>
    <m/>
  </r>
  <r>
    <s v="ORD-01585"/>
    <x v="334"/>
    <s v="CUST-0040"/>
    <s v="PROD-049"/>
    <x v="8"/>
    <n v="9"/>
    <n v="960"/>
    <x v="11"/>
    <n v="6765.12"/>
    <x v="2"/>
    <s v="Chennai"/>
    <x v="5"/>
    <m/>
    <x v="1"/>
    <n v="28"/>
    <x v="1"/>
    <s v="Jun-24"/>
    <n v="675"/>
    <n v="0.296875"/>
  </r>
  <r>
    <s v="ORD-01586"/>
    <x v="215"/>
    <s v="CUST-0290"/>
    <s v="PROD-052"/>
    <x v="5"/>
    <n v="3"/>
    <n v="5410"/>
    <x v="126"/>
    <n v="12935.31"/>
    <x v="0"/>
    <s v="Delhi"/>
    <x v="1"/>
    <m/>
    <x v="1"/>
    <n v="63"/>
    <x v="0"/>
    <m/>
    <m/>
    <m/>
  </r>
  <r>
    <s v="ORD-01587"/>
    <x v="133"/>
    <s v="CUST-0123"/>
    <s v="PROD-011"/>
    <x v="1"/>
    <n v="3"/>
    <n v="3450"/>
    <x v="37"/>
    <n v="9149.4"/>
    <x v="0"/>
    <s v="Chennai"/>
    <x v="0"/>
    <m/>
    <x v="2"/>
    <n v="44"/>
    <x v="0"/>
    <m/>
    <m/>
    <m/>
  </r>
  <r>
    <s v="ORD-01588"/>
    <x v="40"/>
    <s v="CUST-0053"/>
    <s v="PROD-045"/>
    <x v="4"/>
    <n v="2"/>
    <n v="3020"/>
    <x v="95"/>
    <n v="4783.68"/>
    <x v="1"/>
    <s v="Delhi"/>
    <x v="5"/>
    <m/>
    <x v="1"/>
    <n v="53"/>
    <x v="0"/>
    <m/>
    <m/>
    <m/>
  </r>
  <r>
    <s v="ORD-01589"/>
    <x v="232"/>
    <s v="CUST-0179"/>
    <s v="PROD-060"/>
    <x v="25"/>
    <n v="3"/>
    <n v="190"/>
    <x v="32"/>
    <n v="509.01"/>
    <x v="0"/>
    <s v="Mumbai"/>
    <x v="1"/>
    <m/>
    <x v="0"/>
    <n v="54"/>
    <x v="0"/>
    <m/>
    <m/>
    <m/>
  </r>
  <r>
    <s v="ORD-01590"/>
    <x v="137"/>
    <s v="CUST-0006"/>
    <s v="PROD-031"/>
    <x v="27"/>
    <n v="4"/>
    <n v="3730"/>
    <x v="133"/>
    <n v="13890.52"/>
    <x v="0"/>
    <s v="Pune"/>
    <x v="3"/>
    <m/>
    <x v="0"/>
    <n v="44"/>
    <x v="0"/>
    <m/>
    <m/>
    <m/>
  </r>
  <r>
    <s v="ORD-01591"/>
    <x v="240"/>
    <s v="CUST-0272"/>
    <s v="PROD-051"/>
    <x v="5"/>
    <n v="9"/>
    <n v="3450"/>
    <x v="73"/>
    <n v="24156.9"/>
    <x v="2"/>
    <s v="Mumbai"/>
    <x v="1"/>
    <m/>
    <x v="0"/>
    <n v="47"/>
    <x v="0"/>
    <m/>
    <m/>
    <m/>
  </r>
  <r>
    <s v="ORD-01592"/>
    <x v="260"/>
    <s v="CUST-0274"/>
    <s v="PROD-006"/>
    <x v="25"/>
    <n v="3"/>
    <n v="3970"/>
    <x v="115"/>
    <n v="11100.12"/>
    <x v="0"/>
    <s v="Bengaluru"/>
    <x v="4"/>
    <m/>
    <x v="2"/>
    <n v="36"/>
    <x v="2"/>
    <s v="Jul-24"/>
    <n v="2865"/>
    <n v="0.27833753148614609"/>
  </r>
  <r>
    <s v="ORD-01593"/>
    <x v="32"/>
    <s v="CUST-0262"/>
    <s v="PROD-035"/>
    <x v="24"/>
    <n v="3"/>
    <n v="1090"/>
    <x v="129"/>
    <n v="2495.0100000000002"/>
    <x v="0"/>
    <s v="Mumbai"/>
    <x v="3"/>
    <m/>
    <x v="1"/>
    <n v="52"/>
    <x v="0"/>
    <m/>
    <m/>
    <m/>
  </r>
  <r>
    <s v="ORD-01594"/>
    <x v="212"/>
    <s v="CUST-0087"/>
    <s v="PROD-033"/>
    <x v="12"/>
    <n v="3"/>
    <n v="2030"/>
    <x v="121"/>
    <n v="4945.08"/>
    <x v="0"/>
    <s v="Pune"/>
    <x v="3"/>
    <m/>
    <x v="0"/>
    <n v="49"/>
    <x v="0"/>
    <m/>
    <m/>
    <m/>
  </r>
  <r>
    <s v="ORD-01595"/>
    <x v="27"/>
    <s v="CUST-0198"/>
    <s v="PROD-026"/>
    <x v="4"/>
    <n v="2"/>
    <n v="4070"/>
    <x v="284"/>
    <n v="6975.98"/>
    <x v="0"/>
    <s v="Chennai"/>
    <x v="2"/>
    <m/>
    <x v="2"/>
    <n v="22"/>
    <x v="3"/>
    <s v="Jan-24"/>
    <n v="2027"/>
    <n v="0.50196560196560192"/>
  </r>
  <r>
    <s v="ORD-01596"/>
    <x v="306"/>
    <s v="CUST-0065"/>
    <s v="PROD-014"/>
    <x v="8"/>
    <n v="3"/>
    <n v="3620"/>
    <x v="92"/>
    <n v="9393.9"/>
    <x v="0"/>
    <s v="Chennai"/>
    <x v="0"/>
    <m/>
    <x v="2"/>
    <n v="49"/>
    <x v="0"/>
    <m/>
    <m/>
    <m/>
  </r>
  <r>
    <s v="ORD-01597"/>
    <x v="235"/>
    <s v="CUST-0209"/>
    <s v="PROD-054"/>
    <x v="19"/>
    <n v="4"/>
    <n v="1010"/>
    <x v="2"/>
    <n v="3906.68"/>
    <x v="0"/>
    <s v="Pune"/>
    <x v="1"/>
    <m/>
    <x v="1"/>
    <n v="31"/>
    <x v="2"/>
    <s v="Apr-24"/>
    <n v="516"/>
    <n v="0.4891089108910891"/>
  </r>
  <r>
    <s v="ORD-01598"/>
    <x v="304"/>
    <s v="CUST-0181"/>
    <s v="PROD-030"/>
    <x v="1"/>
    <n v="7"/>
    <n v="970"/>
    <x v="177"/>
    <n v="6783.21"/>
    <x v="0"/>
    <s v="Delhi"/>
    <x v="2"/>
    <m/>
    <x v="0"/>
    <n v="38"/>
    <x v="1"/>
    <s v="Nov-24"/>
    <n v="434"/>
    <n v="0.5525773195876289"/>
  </r>
  <r>
    <s v="ORD-01599"/>
    <x v="297"/>
    <s v="CUST-0007"/>
    <s v="PROD-053"/>
    <x v="28"/>
    <n v="5"/>
    <n v="470"/>
    <x v="31"/>
    <n v="1919.95"/>
    <x v="3"/>
    <s v="Bengaluru"/>
    <x v="1"/>
    <m/>
    <x v="1"/>
    <n v="47"/>
    <x v="0"/>
    <m/>
    <m/>
    <m/>
  </r>
  <r>
    <s v="ORD-01600"/>
    <x v="274"/>
    <s v="CUST-0050"/>
    <s v="PROD-011"/>
    <x v="9"/>
    <n v="8"/>
    <n v="3450"/>
    <x v="34"/>
    <n v="26192.400000000001"/>
    <x v="3"/>
    <s v="Mumbai"/>
    <x v="0"/>
    <m/>
    <x v="1"/>
    <n v="37"/>
    <x v="2"/>
    <s v="Oct-24"/>
    <n v="1748"/>
    <n v="0.49333333333333335"/>
  </r>
  <r>
    <s v="ORD-01601"/>
    <x v="57"/>
    <s v="CUST-0155"/>
    <s v="PROD-010"/>
    <x v="24"/>
    <n v="1"/>
    <n v="2640"/>
    <x v="30"/>
    <n v="2484.2399999999998"/>
    <x v="0"/>
    <s v="Pune"/>
    <x v="4"/>
    <m/>
    <x v="2"/>
    <n v="40"/>
    <x v="4"/>
    <s v="Apr-24"/>
    <n v="1149"/>
    <n v="0.56477272727272732"/>
  </r>
  <r>
    <s v="ORD-01602"/>
    <x v="20"/>
    <s v="CUST-0085"/>
    <s v="PROD-003"/>
    <x v="16"/>
    <n v="10"/>
    <n v="3570"/>
    <x v="145"/>
    <n v="28024.5"/>
    <x v="0"/>
    <s v="Chennai"/>
    <x v="4"/>
    <m/>
    <x v="1"/>
    <n v="26"/>
    <x v="3"/>
    <s v="Jun-24"/>
    <n v="1665"/>
    <n v="0.53361344537815125"/>
  </r>
  <r>
    <s v="ORD-01603"/>
    <x v="248"/>
    <s v="CUST-0285"/>
    <s v="PROD-007"/>
    <x v="29"/>
    <n v="10"/>
    <n v="1430"/>
    <x v="189"/>
    <n v="12669.8"/>
    <x v="2"/>
    <s v="Hyderabad"/>
    <x v="4"/>
    <m/>
    <x v="1"/>
    <n v="22"/>
    <x v="3"/>
    <s v="Mar-24"/>
    <n v="861"/>
    <n v="0.39790209790209791"/>
  </r>
  <r>
    <s v="ORD-01604"/>
    <x v="175"/>
    <s v="CUST-0148"/>
    <s v="PROD-057"/>
    <x v="22"/>
    <n v="7"/>
    <n v="960"/>
    <x v="246"/>
    <n v="5181.12"/>
    <x v="0"/>
    <s v="Chennai"/>
    <x v="1"/>
    <m/>
    <x v="1"/>
    <n v="32"/>
    <x v="4"/>
    <s v="Oct-24"/>
    <n v="705"/>
    <n v="0.265625"/>
  </r>
  <r>
    <s v="ORD-01605"/>
    <x v="38"/>
    <s v="CUST-0252"/>
    <s v="PROD-036"/>
    <x v="9"/>
    <n v="8"/>
    <n v="3250"/>
    <x v="69"/>
    <n v="25506"/>
    <x v="0"/>
    <s v="Bengaluru"/>
    <x v="3"/>
    <m/>
    <x v="1"/>
    <n v="27"/>
    <x v="4"/>
    <s v="Dec-24"/>
    <n v="1556"/>
    <n v="0.52123076923076928"/>
  </r>
  <r>
    <s v="ORD-01606"/>
    <x v="320"/>
    <s v="CUST-0141"/>
    <s v="PROD-051"/>
    <x v="26"/>
    <n v="9"/>
    <n v="3450"/>
    <x v="70"/>
    <n v="25461"/>
    <x v="0"/>
    <s v="Hyderabad"/>
    <x v="1"/>
    <m/>
    <x v="2"/>
    <n v="22"/>
    <x v="4"/>
    <s v="Nov-24"/>
    <n v="2467"/>
    <n v="0.28492753623188405"/>
  </r>
  <r>
    <s v="ORD-01607"/>
    <x v="30"/>
    <s v="CUST-0101"/>
    <s v="PROD-024"/>
    <x v="29"/>
    <n v="5"/>
    <n v="2270"/>
    <x v="44"/>
    <n v="10044.75"/>
    <x v="0"/>
    <s v="Hyderabad"/>
    <x v="2"/>
    <m/>
    <x v="0"/>
    <n v="40"/>
    <x v="3"/>
    <s v="Mar-24"/>
    <n v="1203"/>
    <n v="0.47004405286343615"/>
  </r>
  <r>
    <s v="ORD-01608"/>
    <x v="121"/>
    <s v="CUST-0223"/>
    <s v="PROD-045"/>
    <x v="7"/>
    <n v="6"/>
    <n v="3020"/>
    <x v="208"/>
    <n v="15836.88"/>
    <x v="0"/>
    <s v="Bengaluru"/>
    <x v="5"/>
    <m/>
    <x v="1"/>
    <n v="46"/>
    <x v="0"/>
    <m/>
    <m/>
    <m/>
  </r>
  <r>
    <s v="ORD-01609"/>
    <x v="58"/>
    <s v="CUST-0197"/>
    <s v="PROD-010"/>
    <x v="4"/>
    <n v="8"/>
    <n v="2640"/>
    <x v="258"/>
    <n v="18057.599999999999"/>
    <x v="3"/>
    <s v="Bengaluru"/>
    <x v="4"/>
    <m/>
    <x v="1"/>
    <n v="55"/>
    <x v="0"/>
    <m/>
    <m/>
    <m/>
  </r>
  <r>
    <s v="ORD-01610"/>
    <x v="230"/>
    <s v="CUST-0260"/>
    <s v="PROD-024"/>
    <x v="28"/>
    <n v="2"/>
    <n v="2270"/>
    <x v="276"/>
    <n v="3314.2"/>
    <x v="0"/>
    <s v="Bengaluru"/>
    <x v="2"/>
    <m/>
    <x v="1"/>
    <n v="42"/>
    <x v="0"/>
    <m/>
    <m/>
    <m/>
  </r>
  <r>
    <s v="ORD-01611"/>
    <x v="184"/>
    <s v="CUST-0180"/>
    <s v="PROD-021"/>
    <x v="28"/>
    <n v="8"/>
    <n v="2760"/>
    <x v="70"/>
    <n v="18105.599999999999"/>
    <x v="2"/>
    <s v="Chennai"/>
    <x v="2"/>
    <m/>
    <x v="1"/>
    <n v="36"/>
    <x v="2"/>
    <s v="Sep-24"/>
    <n v="1435"/>
    <n v="0.48007246376811596"/>
  </r>
  <r>
    <s v="ORD-01612"/>
    <x v="62"/>
    <s v="CUST-0166"/>
    <s v="PROD-014"/>
    <x v="12"/>
    <n v="8"/>
    <n v="3620"/>
    <x v="10"/>
    <n v="26903.84"/>
    <x v="0"/>
    <s v="Hyderabad"/>
    <x v="0"/>
    <m/>
    <x v="1"/>
    <n v="31"/>
    <x v="2"/>
    <s v="Dec-24"/>
    <n v="2509"/>
    <n v="0.3069060773480663"/>
  </r>
  <r>
    <s v="ORD-01613"/>
    <x v="302"/>
    <s v="CUST-0062"/>
    <s v="PROD-042"/>
    <x v="13"/>
    <n v="8"/>
    <n v="2290"/>
    <x v="283"/>
    <n v="15315.52"/>
    <x v="0"/>
    <s v="Pune"/>
    <x v="5"/>
    <m/>
    <x v="1"/>
    <n v="54"/>
    <x v="0"/>
    <m/>
    <m/>
    <m/>
  </r>
  <r>
    <s v="ORD-01614"/>
    <x v="32"/>
    <s v="CUST-0130"/>
    <s v="PROD-044"/>
    <x v="7"/>
    <n v="3"/>
    <n v="1650"/>
    <x v="200"/>
    <n v="4860.8999999999996"/>
    <x v="2"/>
    <s v="Bengaluru"/>
    <x v="5"/>
    <m/>
    <x v="2"/>
    <n v="41"/>
    <x v="0"/>
    <m/>
    <m/>
    <m/>
  </r>
  <r>
    <s v="ORD-01615"/>
    <x v="362"/>
    <s v="CUST-0162"/>
    <s v="PROD-001"/>
    <x v="26"/>
    <n v="3"/>
    <n v="5330"/>
    <x v="73"/>
    <n v="12440.22"/>
    <x v="0"/>
    <s v="Mumbai"/>
    <x v="4"/>
    <m/>
    <x v="2"/>
    <n v="35"/>
    <x v="3"/>
    <s v="Jun-24"/>
    <n v="2405"/>
    <n v="0.54878048780487809"/>
  </r>
  <r>
    <s v="ORD-01616"/>
    <x v="166"/>
    <s v="CUST-0153"/>
    <s v="PROD-040"/>
    <x v="24"/>
    <n v="7"/>
    <n v="1080"/>
    <x v="131"/>
    <n v="6206.76"/>
    <x v="0"/>
    <s v="Mumbai"/>
    <x v="3"/>
    <m/>
    <x v="1"/>
    <n v="35"/>
    <x v="3"/>
    <s v="Dec-24"/>
    <n v="519"/>
    <n v="0.51944444444444449"/>
  </r>
  <r>
    <s v="ORD-01617"/>
    <x v="151"/>
    <s v="CUST-0071"/>
    <s v="PROD-009"/>
    <x v="24"/>
    <n v="10"/>
    <n v="1220"/>
    <x v="297"/>
    <n v="11504.6"/>
    <x v="0"/>
    <s v="Delhi"/>
    <x v="4"/>
    <m/>
    <x v="2"/>
    <n v="46"/>
    <x v="0"/>
    <m/>
    <m/>
    <m/>
  </r>
  <r>
    <s v="ORD-01618"/>
    <x v="83"/>
    <s v="CUST-0200"/>
    <s v="PROD-037"/>
    <x v="14"/>
    <n v="10"/>
    <n v="660"/>
    <x v="267"/>
    <n v="6105"/>
    <x v="0"/>
    <s v="Hyderabad"/>
    <x v="3"/>
    <m/>
    <x v="2"/>
    <n v="46"/>
    <x v="0"/>
    <m/>
    <m/>
    <m/>
  </r>
  <r>
    <s v="ORD-01619"/>
    <x v="88"/>
    <s v="CUST-0266"/>
    <s v="PROD-040"/>
    <x v="16"/>
    <n v="6"/>
    <n v="1080"/>
    <x v="65"/>
    <n v="4607.28"/>
    <x v="0"/>
    <s v="Pune"/>
    <x v="3"/>
    <m/>
    <x v="1"/>
    <n v="65"/>
    <x v="0"/>
    <m/>
    <m/>
    <m/>
  </r>
  <r>
    <s v="ORD-01620"/>
    <x v="241"/>
    <s v="CUST-0171"/>
    <s v="PROD-022"/>
    <x v="16"/>
    <n v="7"/>
    <n v="2270"/>
    <x v="261"/>
    <n v="15667.54"/>
    <x v="0"/>
    <s v="Chennai"/>
    <x v="2"/>
    <m/>
    <x v="2"/>
    <n v="30"/>
    <x v="3"/>
    <s v="Sep-24"/>
    <n v="1412"/>
    <n v="0.37797356828193834"/>
  </r>
  <r>
    <s v="ORD-01621"/>
    <x v="206"/>
    <s v="CUST-0221"/>
    <s v="PROD-032"/>
    <x v="8"/>
    <n v="3"/>
    <n v="370"/>
    <x v="212"/>
    <n v="1003.44"/>
    <x v="3"/>
    <s v="Delhi"/>
    <x v="3"/>
    <m/>
    <x v="0"/>
    <n v="29"/>
    <x v="3"/>
    <s v="Oct-24"/>
    <n v="288"/>
    <n v="0.22162162162162163"/>
  </r>
  <r>
    <s v="ORD-01622"/>
    <x v="13"/>
    <s v="CUST-0038"/>
    <s v="PROD-030"/>
    <x v="18"/>
    <n v="9"/>
    <n v="970"/>
    <x v="91"/>
    <n v="6137.19"/>
    <x v="0"/>
    <s v="Mumbai"/>
    <x v="2"/>
    <m/>
    <x v="1"/>
    <n v="57"/>
    <x v="0"/>
    <m/>
    <m/>
    <m/>
  </r>
  <r>
    <s v="ORD-00613"/>
    <x v="171"/>
    <s v="CUST-0174"/>
    <s v="PROD-016"/>
    <x v="11"/>
    <n v="1"/>
    <n v="620"/>
    <x v="257"/>
    <n v="555.52"/>
    <x v="2"/>
    <s v="Pune"/>
    <x v="0"/>
    <m/>
    <x v="1"/>
    <n v="54"/>
    <x v="0"/>
    <m/>
    <m/>
    <m/>
  </r>
  <r>
    <s v="ORD-01624"/>
    <x v="80"/>
    <s v="CUST-0054"/>
    <s v="PROD-028"/>
    <x v="20"/>
    <n v="5"/>
    <n v="3660"/>
    <x v="251"/>
    <n v="16836"/>
    <x v="0"/>
    <s v="Mumbai"/>
    <x v="2"/>
    <m/>
    <x v="2"/>
    <n v="62"/>
    <x v="0"/>
    <m/>
    <m/>
    <m/>
  </r>
  <r>
    <s v="ORD-01625"/>
    <x v="108"/>
    <s v="CUST-0071"/>
    <s v="PROD-029"/>
    <x v="6"/>
    <n v="7"/>
    <n v="2210"/>
    <x v="130"/>
    <n v="13350.61"/>
    <x v="3"/>
    <s v="Delhi"/>
    <x v="2"/>
    <m/>
    <x v="2"/>
    <n v="46"/>
    <x v="0"/>
    <m/>
    <m/>
    <m/>
  </r>
  <r>
    <s v="ORD-01626"/>
    <x v="252"/>
    <s v="CUST-0004"/>
    <s v="PROD-059"/>
    <x v="8"/>
    <n v="1"/>
    <n v="3780"/>
    <x v="44"/>
    <n v="3345.3"/>
    <x v="0"/>
    <s v="Delhi"/>
    <x v="1"/>
    <m/>
    <x v="1"/>
    <n v="53"/>
    <x v="0"/>
    <m/>
    <m/>
    <m/>
  </r>
  <r>
    <s v="ORD-01627"/>
    <x v="131"/>
    <s v="CUST-0033"/>
    <s v="PROD-002"/>
    <x v="1"/>
    <n v="10"/>
    <n v="2600"/>
    <x v="192"/>
    <n v="18356"/>
    <x v="0"/>
    <s v="Delhi"/>
    <x v="4"/>
    <m/>
    <x v="1"/>
    <n v="35"/>
    <x v="2"/>
    <s v="Dec-24"/>
    <n v="1052"/>
    <n v="0.5953846153846154"/>
  </r>
  <r>
    <s v="ORD-01628"/>
    <x v="13"/>
    <s v="CUST-0079"/>
    <s v="PROD-027"/>
    <x v="21"/>
    <n v="3"/>
    <n v="3780"/>
    <x v="137"/>
    <n v="9707.0400000000009"/>
    <x v="0"/>
    <s v="Mumbai"/>
    <x v="2"/>
    <m/>
    <x v="2"/>
    <n v="60"/>
    <x v="0"/>
    <m/>
    <m/>
    <m/>
  </r>
  <r>
    <s v="ORD-01629"/>
    <x v="292"/>
    <s v="CUST-0176"/>
    <s v="PROD-010"/>
    <x v="11"/>
    <n v="10"/>
    <n v="2640"/>
    <x v="253"/>
    <n v="19324.8"/>
    <x v="1"/>
    <s v="Bengaluru"/>
    <x v="4"/>
    <m/>
    <x v="0"/>
    <n v="34"/>
    <x v="3"/>
    <s v="Mar-24"/>
    <n v="1149"/>
    <n v="0.56477272727272732"/>
  </r>
  <r>
    <s v="ORD-01630"/>
    <x v="324"/>
    <s v="CUST-0254"/>
    <s v="PROD-035"/>
    <x v="22"/>
    <n v="3"/>
    <n v="1090"/>
    <x v="117"/>
    <n v="2972.43"/>
    <x v="0"/>
    <s v="Bengaluru"/>
    <x v="3"/>
    <m/>
    <x v="1"/>
    <n v="35"/>
    <x v="1"/>
    <s v="May-24"/>
    <n v="464"/>
    <n v="0.57431192660550456"/>
  </r>
  <r>
    <s v="ORD-01631"/>
    <x v="308"/>
    <s v="CUST-0212"/>
    <s v="PROD-011"/>
    <x v="6"/>
    <n v="3"/>
    <n v="3450"/>
    <x v="50"/>
    <n v="7969.5"/>
    <x v="1"/>
    <s v="Chennai"/>
    <x v="0"/>
    <m/>
    <x v="0"/>
    <n v="46"/>
    <x v="0"/>
    <m/>
    <m/>
    <m/>
  </r>
  <r>
    <s v="ORD-01632"/>
    <x v="13"/>
    <s v="CUST-0109"/>
    <s v="PROD-049"/>
    <x v="15"/>
    <n v="1"/>
    <n v="960"/>
    <x v="71"/>
    <n v="949.44"/>
    <x v="0"/>
    <s v="Pune"/>
    <x v="5"/>
    <m/>
    <x v="1"/>
    <n v="42"/>
    <x v="0"/>
    <m/>
    <m/>
    <m/>
  </r>
  <r>
    <s v="ORD-01633"/>
    <x v="251"/>
    <s v="CUST-0087"/>
    <s v="PROD-028"/>
    <x v="14"/>
    <n v="9"/>
    <n v="3660"/>
    <x v="269"/>
    <n v="29975.4"/>
    <x v="0"/>
    <s v="Pune"/>
    <x v="2"/>
    <m/>
    <x v="0"/>
    <n v="49"/>
    <x v="0"/>
    <m/>
    <m/>
    <m/>
  </r>
  <r>
    <s v="ORD-01634"/>
    <x v="103"/>
    <s v="CUST-0167"/>
    <s v="PROD-031"/>
    <x v="4"/>
    <n v="3"/>
    <n v="3730"/>
    <x v="63"/>
    <n v="9421.98"/>
    <x v="0"/>
    <s v="Delhi"/>
    <x v="3"/>
    <m/>
    <x v="1"/>
    <n v="43"/>
    <x v="0"/>
    <m/>
    <m/>
    <m/>
  </r>
  <r>
    <s v="ORD-01635"/>
    <x v="324"/>
    <s v="CUST-0079"/>
    <s v="PROD-026"/>
    <x v="10"/>
    <n v="6"/>
    <n v="4070"/>
    <x v="198"/>
    <n v="22905.96"/>
    <x v="0"/>
    <s v="Mumbai"/>
    <x v="2"/>
    <m/>
    <x v="2"/>
    <n v="60"/>
    <x v="0"/>
    <m/>
    <m/>
    <m/>
  </r>
  <r>
    <s v="ORD-01636"/>
    <x v="90"/>
    <s v="CUST-0115"/>
    <s v="PROD-008"/>
    <x v="24"/>
    <n v="1"/>
    <n v="2660"/>
    <x v="229"/>
    <n v="2271.64"/>
    <x v="0"/>
    <s v="Mumbai"/>
    <x v="4"/>
    <m/>
    <x v="0"/>
    <n v="65"/>
    <x v="0"/>
    <m/>
    <m/>
    <m/>
  </r>
  <r>
    <s v="ORD-01637"/>
    <x v="239"/>
    <s v="CUST-0184"/>
    <s v="PROD-033"/>
    <x v="11"/>
    <n v="3"/>
    <n v="2030"/>
    <x v="275"/>
    <n v="5280.03"/>
    <x v="2"/>
    <s v="Pune"/>
    <x v="3"/>
    <m/>
    <x v="1"/>
    <n v="63"/>
    <x v="0"/>
    <m/>
    <m/>
    <m/>
  </r>
  <r>
    <s v="ORD-01638"/>
    <x v="274"/>
    <s v="CUST-0084"/>
    <s v="PROD-028"/>
    <x v="19"/>
    <n v="4"/>
    <n v="3660"/>
    <x v="19"/>
    <n v="14317.92"/>
    <x v="0"/>
    <s v="Chennai"/>
    <x v="2"/>
    <m/>
    <x v="1"/>
    <n v="28"/>
    <x v="1"/>
    <s v="Mar-24"/>
    <n v="2214"/>
    <n v="0.39508196721311473"/>
  </r>
  <r>
    <s v="ORD-01639"/>
    <x v="234"/>
    <s v="CUST-0186"/>
    <s v="PROD-008"/>
    <x v="3"/>
    <n v="2"/>
    <n v="2660"/>
    <x v="205"/>
    <n v="4936.96"/>
    <x v="2"/>
    <s v="Bengaluru"/>
    <x v="4"/>
    <m/>
    <x v="1"/>
    <n v="42"/>
    <x v="0"/>
    <m/>
    <m/>
    <m/>
  </r>
  <r>
    <s v="ORD-01640"/>
    <x v="207"/>
    <s v="CUST-0077"/>
    <s v="PROD-046"/>
    <x v="22"/>
    <n v="2"/>
    <n v="4880"/>
    <x v="165"/>
    <n v="7437.12"/>
    <x v="0"/>
    <s v="Hyderabad"/>
    <x v="5"/>
    <m/>
    <x v="0"/>
    <n v="48"/>
    <x v="0"/>
    <m/>
    <m/>
    <m/>
  </r>
  <r>
    <s v="ORD-01641"/>
    <x v="91"/>
    <s v="CUST-0093"/>
    <s v="PROD-011"/>
    <x v="23"/>
    <n v="1"/>
    <n v="3450"/>
    <x v="260"/>
    <n v="3391.35"/>
    <x v="0"/>
    <s v="Pune"/>
    <x v="0"/>
    <m/>
    <x v="1"/>
    <n v="36"/>
    <x v="4"/>
    <s v="Nov-24"/>
    <n v="1748"/>
    <n v="0.49333333333333335"/>
  </r>
  <r>
    <s v="ORD-01642"/>
    <x v="269"/>
    <s v="CUST-0018"/>
    <s v="PROD-045"/>
    <x v="12"/>
    <n v="4"/>
    <n v="3020"/>
    <x v="263"/>
    <n v="9929.76"/>
    <x v="0"/>
    <s v="Pune"/>
    <x v="5"/>
    <m/>
    <x v="0"/>
    <n v="54"/>
    <x v="0"/>
    <m/>
    <m/>
    <m/>
  </r>
  <r>
    <s v="ORD-01643"/>
    <x v="15"/>
    <s v="CUST-0034"/>
    <s v="PROD-056"/>
    <x v="13"/>
    <n v="6"/>
    <n v="6940"/>
    <x v="193"/>
    <n v="37934.04"/>
    <x v="0"/>
    <s v="Delhi"/>
    <x v="1"/>
    <m/>
    <x v="1"/>
    <n v="47"/>
    <x v="0"/>
    <m/>
    <m/>
    <m/>
  </r>
  <r>
    <s v="ORD-01644"/>
    <x v="271"/>
    <s v="CUST-0111"/>
    <s v="PROD-021"/>
    <x v="12"/>
    <n v="10"/>
    <n v="2760"/>
    <x v="193"/>
    <n v="25143.599999999999"/>
    <x v="0"/>
    <s v="Chennai"/>
    <x v="2"/>
    <m/>
    <x v="0"/>
    <n v="64"/>
    <x v="0"/>
    <m/>
    <m/>
    <m/>
  </r>
  <r>
    <s v="ORD-01645"/>
    <x v="202"/>
    <s v="CUST-0210"/>
    <s v="PROD-049"/>
    <x v="16"/>
    <n v="8"/>
    <n v="960"/>
    <x v="116"/>
    <n v="6074.88"/>
    <x v="0"/>
    <s v="Pune"/>
    <x v="5"/>
    <m/>
    <x v="2"/>
    <n v="48"/>
    <x v="0"/>
    <m/>
    <m/>
    <m/>
  </r>
  <r>
    <s v="ORD-01646"/>
    <x v="71"/>
    <s v="CUST-0037"/>
    <s v="PROD-049"/>
    <x v="27"/>
    <n v="4"/>
    <n v="960"/>
    <x v="196"/>
    <n v="2722.56"/>
    <x v="0"/>
    <s v="Bengaluru"/>
    <x v="5"/>
    <m/>
    <x v="1"/>
    <n v="52"/>
    <x v="0"/>
    <m/>
    <m/>
    <m/>
  </r>
  <r>
    <s v="ORD-01647"/>
    <x v="306"/>
    <s v="CUST-0192"/>
    <s v="PROD-030"/>
    <x v="13"/>
    <n v="1"/>
    <n v="970"/>
    <x v="68"/>
    <n v="888.52"/>
    <x v="2"/>
    <s v="Bengaluru"/>
    <x v="2"/>
    <m/>
    <x v="1"/>
    <n v="55"/>
    <x v="0"/>
    <m/>
    <m/>
    <m/>
  </r>
  <r>
    <s v="ORD-01648"/>
    <x v="169"/>
    <s v="CUST-0038"/>
    <s v="PROD-050"/>
    <x v="12"/>
    <n v="5"/>
    <n v="6080"/>
    <x v="127"/>
    <n v="25049.599999999999"/>
    <x v="0"/>
    <s v="Mumbai"/>
    <x v="5"/>
    <m/>
    <x v="1"/>
    <n v="57"/>
    <x v="0"/>
    <m/>
    <m/>
    <m/>
  </r>
  <r>
    <s v="ORD-01649"/>
    <x v="283"/>
    <s v="CUST-0034"/>
    <s v="PROD-028"/>
    <x v="22"/>
    <n v="4"/>
    <n v="3660"/>
    <x v="110"/>
    <n v="11448.48"/>
    <x v="1"/>
    <s v="Delhi"/>
    <x v="2"/>
    <m/>
    <x v="1"/>
    <n v="47"/>
    <x v="0"/>
    <m/>
    <m/>
    <m/>
  </r>
  <r>
    <s v="ORD-01650"/>
    <x v="32"/>
    <s v="CUST-0248"/>
    <s v="PROD-031"/>
    <x v="4"/>
    <n v="6"/>
    <n v="3730"/>
    <x v="275"/>
    <n v="19403.46"/>
    <x v="2"/>
    <s v="Chennai"/>
    <x v="3"/>
    <m/>
    <x v="0"/>
    <n v="57"/>
    <x v="0"/>
    <m/>
    <m/>
    <m/>
  </r>
  <r>
    <s v="ORD-01651"/>
    <x v="327"/>
    <s v="CUST-0194"/>
    <s v="PROD-004"/>
    <x v="20"/>
    <n v="8"/>
    <n v="3870"/>
    <x v="87"/>
    <n v="24396.48"/>
    <x v="1"/>
    <s v="Delhi"/>
    <x v="4"/>
    <m/>
    <x v="0"/>
    <n v="55"/>
    <x v="0"/>
    <m/>
    <m/>
    <m/>
  </r>
  <r>
    <s v="ORD-01652"/>
    <x v="69"/>
    <s v="CUST-0114"/>
    <s v="PROD-021"/>
    <x v="29"/>
    <n v="4"/>
    <n v="2760"/>
    <x v="170"/>
    <n v="9494.4"/>
    <x v="0"/>
    <s v="Bengaluru"/>
    <x v="2"/>
    <m/>
    <x v="2"/>
    <n v="42"/>
    <x v="0"/>
    <m/>
    <m/>
    <m/>
  </r>
  <r>
    <s v="ORD-01653"/>
    <x v="100"/>
    <s v="CUST-0118"/>
    <s v="PROD-023"/>
    <x v="16"/>
    <n v="5"/>
    <n v="2380"/>
    <x v="283"/>
    <n v="9948.4"/>
    <x v="0"/>
    <s v="Hyderabad"/>
    <x v="2"/>
    <m/>
    <x v="1"/>
    <n v="26"/>
    <x v="4"/>
    <s v="Apr-24"/>
    <n v="1182"/>
    <n v="0.50336134453781511"/>
  </r>
  <r>
    <s v="ORD-01654"/>
    <x v="246"/>
    <s v="CUST-9719"/>
    <s v="PROD-050"/>
    <x v="15"/>
    <n v="2"/>
    <n v="6080"/>
    <x v="138"/>
    <n v="9715.84"/>
    <x v="2"/>
    <s v="Mumbai"/>
    <x v="5"/>
    <m/>
    <x v="3"/>
    <e v="#N/A"/>
    <x v="0"/>
    <m/>
    <m/>
    <m/>
  </r>
  <r>
    <s v="ORD-01655"/>
    <x v="296"/>
    <s v="CUST-0232"/>
    <s v="PROD-016"/>
    <x v="29"/>
    <n v="2"/>
    <n v="620"/>
    <x v="12"/>
    <n v="1186.68"/>
    <x v="0"/>
    <s v="Hyderabad"/>
    <x v="0"/>
    <m/>
    <x v="1"/>
    <n v="38"/>
    <x v="4"/>
    <s v="Jan-24"/>
    <n v="396"/>
    <n v="0.36129032258064514"/>
  </r>
  <r>
    <s v="ORD-01656"/>
    <x v="16"/>
    <s v="CUST-0240"/>
    <s v="PROD-004"/>
    <x v="27"/>
    <n v="7"/>
    <n v="3870"/>
    <x v="30"/>
    <n v="25491.69"/>
    <x v="0"/>
    <s v="Chennai"/>
    <x v="4"/>
    <m/>
    <x v="2"/>
    <n v="35"/>
    <x v="4"/>
    <s v="Oct-24"/>
    <n v="1559"/>
    <n v="0.59715762273901807"/>
  </r>
  <r>
    <s v="ORD-01657"/>
    <x v="249"/>
    <s v="CUST-0227"/>
    <s v="PROD-003"/>
    <x v="16"/>
    <n v="8"/>
    <n v="3570"/>
    <x v="21"/>
    <n v="21534.240000000002"/>
    <x v="0"/>
    <s v="Bengaluru"/>
    <x v="4"/>
    <m/>
    <x v="0"/>
    <n v="44"/>
    <x v="0"/>
    <m/>
    <m/>
    <m/>
  </r>
  <r>
    <s v="ORD-01658"/>
    <x v="168"/>
    <s v="CUST-0234"/>
    <s v="PROD-026"/>
    <x v="9"/>
    <n v="1"/>
    <n v="4070"/>
    <x v="196"/>
    <n v="2885.63"/>
    <x v="1"/>
    <s v="Bengaluru"/>
    <x v="2"/>
    <m/>
    <x v="1"/>
    <n v="34"/>
    <x v="3"/>
    <s v="Apr-24"/>
    <n v="2027"/>
    <n v="0.50196560196560192"/>
  </r>
  <r>
    <s v="ORD-01659"/>
    <x v="296"/>
    <s v="CUST-0041"/>
    <s v="PROD-020"/>
    <x v="21"/>
    <n v="1"/>
    <n v="820"/>
    <x v="131"/>
    <n v="673.22"/>
    <x v="0"/>
    <s v="Bengaluru"/>
    <x v="0"/>
    <m/>
    <x v="0"/>
    <n v="26"/>
    <x v="4"/>
    <s v="Dec-24"/>
    <n v="391"/>
    <n v="0.52317073170731709"/>
  </r>
  <r>
    <s v="ORD-01660"/>
    <x v="175"/>
    <s v="CUST-0129"/>
    <s v="PROD-045"/>
    <x v="20"/>
    <n v="5"/>
    <n v="3020"/>
    <x v="22"/>
    <n v="11143.8"/>
    <x v="0"/>
    <s v="Hyderabad"/>
    <x v="5"/>
    <m/>
    <x v="1"/>
    <n v="29"/>
    <x v="3"/>
    <s v="Oct-24"/>
    <n v="1626"/>
    <n v="0.46158940397350995"/>
  </r>
  <r>
    <s v="ORD-01661"/>
    <x v="91"/>
    <s v="CUST-0141"/>
    <s v="PROD-018"/>
    <x v="24"/>
    <n v="10"/>
    <n v="3560"/>
    <x v="0"/>
    <n v="30117.599999999999"/>
    <x v="3"/>
    <s v="Hyderabad"/>
    <x v="0"/>
    <m/>
    <x v="2"/>
    <n v="22"/>
    <x v="2"/>
    <s v="Dec-24"/>
    <n v="2629"/>
    <n v="0.26151685393258428"/>
  </r>
  <r>
    <s v="ORD-01662"/>
    <x v="299"/>
    <s v="CUST-0282"/>
    <s v="PROD-043"/>
    <x v="19"/>
    <n v="3"/>
    <n v="3350"/>
    <x v="282"/>
    <n v="9235.9500000000007"/>
    <x v="0"/>
    <s v="Hyderabad"/>
    <x v="5"/>
    <m/>
    <x v="2"/>
    <n v="29"/>
    <x v="3"/>
    <s v="Apr-24"/>
    <n v="1728"/>
    <n v="0.48417910447761192"/>
  </r>
  <r>
    <s v="ORD-01663"/>
    <x v="176"/>
    <s v="CUST-0269"/>
    <s v="PROD-042"/>
    <x v="5"/>
    <n v="10"/>
    <n v="2290"/>
    <x v="273"/>
    <n v="21297"/>
    <x v="0"/>
    <s v="Pune"/>
    <x v="5"/>
    <m/>
    <x v="1"/>
    <n v="48"/>
    <x v="0"/>
    <m/>
    <m/>
    <m/>
  </r>
  <r>
    <s v="ORD-01664"/>
    <x v="64"/>
    <s v="CUST-0239"/>
    <s v="PROD-028"/>
    <x v="11"/>
    <n v="6"/>
    <n v="3660"/>
    <x v="162"/>
    <n v="15393.96"/>
    <x v="0"/>
    <s v="Mumbai"/>
    <x v="2"/>
    <m/>
    <x v="1"/>
    <n v="61"/>
    <x v="0"/>
    <m/>
    <m/>
    <m/>
  </r>
  <r>
    <s v="ORD-01665"/>
    <x v="87"/>
    <s v="CUST-0075"/>
    <s v="PROD-010"/>
    <x v="22"/>
    <n v="8"/>
    <n v="2640"/>
    <x v="108"/>
    <n v="20232.96"/>
    <x v="3"/>
    <s v="Mumbai"/>
    <x v="4"/>
    <m/>
    <x v="2"/>
    <n v="55"/>
    <x v="0"/>
    <m/>
    <m/>
    <m/>
  </r>
  <r>
    <s v="ORD-01666"/>
    <x v="194"/>
    <s v="CUST-0184"/>
    <s v="PROD-032"/>
    <x v="3"/>
    <n v="5"/>
    <n v="370"/>
    <x v="242"/>
    <n v="1739"/>
    <x v="0"/>
    <s v="Pune"/>
    <x v="3"/>
    <m/>
    <x v="1"/>
    <n v="63"/>
    <x v="0"/>
    <m/>
    <m/>
    <m/>
  </r>
  <r>
    <s v="ORD-01667"/>
    <x v="312"/>
    <s v="CUST-0144"/>
    <s v="PROD-024"/>
    <x v="0"/>
    <n v="9"/>
    <n v="2270"/>
    <x v="250"/>
    <n v="19469.79"/>
    <x v="0"/>
    <s v="Chennai"/>
    <x v="2"/>
    <m/>
    <x v="1"/>
    <n v="49"/>
    <x v="0"/>
    <m/>
    <m/>
    <m/>
  </r>
  <r>
    <s v="ORD-01668"/>
    <x v="85"/>
    <s v="CUST-0039"/>
    <s v="PROD-037"/>
    <x v="23"/>
    <n v="5"/>
    <n v="660"/>
    <x v="72"/>
    <n v="2607"/>
    <x v="0"/>
    <s v="Bengaluru"/>
    <x v="3"/>
    <m/>
    <x v="1"/>
    <n v="37"/>
    <x v="1"/>
    <s v="Mar-24"/>
    <n v="329"/>
    <n v="0.50151515151515147"/>
  </r>
  <r>
    <s v="ORD-01669"/>
    <x v="192"/>
    <s v="CUST-9765"/>
    <s v="PROD-057"/>
    <x v="11"/>
    <n v="2"/>
    <n v="960"/>
    <x v="18"/>
    <n v="1779.84"/>
    <x v="0"/>
    <s v="Bengaluru"/>
    <x v="1"/>
    <m/>
    <x v="3"/>
    <e v="#N/A"/>
    <x v="0"/>
    <m/>
    <m/>
    <m/>
  </r>
  <r>
    <s v="ORD-01670"/>
    <x v="89"/>
    <s v="CUST-0159"/>
    <s v="PROD-048"/>
    <x v="18"/>
    <n v="3"/>
    <n v="5100"/>
    <x v="72"/>
    <n v="12087"/>
    <x v="0"/>
    <s v="Hyderabad"/>
    <x v="5"/>
    <m/>
    <x v="1"/>
    <n v="32"/>
    <x v="1"/>
    <s v="Apr-24"/>
    <n v="2237"/>
    <n v="0.56137254901960787"/>
  </r>
  <r>
    <s v="ORD-01671"/>
    <x v="286"/>
    <s v="CUST-0168"/>
    <s v="PROD-012"/>
    <x v="10"/>
    <n v="3"/>
    <n v="3160"/>
    <x v="92"/>
    <n v="8200.2000000000007"/>
    <x v="0"/>
    <s v="Pune"/>
    <x v="0"/>
    <m/>
    <x v="1"/>
    <n v="25"/>
    <x v="4"/>
    <s v="Aug-24"/>
    <n v="1886"/>
    <n v="0.4031645569620253"/>
  </r>
  <r>
    <s v="ORD-01672"/>
    <x v="111"/>
    <s v="CUST-9552"/>
    <s v="PROD-041"/>
    <x v="1"/>
    <n v="9"/>
    <n v="1540"/>
    <x v="93"/>
    <n v="11337.48"/>
    <x v="2"/>
    <s v="Bengaluru"/>
    <x v="5"/>
    <m/>
    <x v="3"/>
    <e v="#N/A"/>
    <x v="0"/>
    <m/>
    <m/>
    <m/>
  </r>
  <r>
    <s v="ORD-01673"/>
    <x v="313"/>
    <s v="CUST-0056"/>
    <s v="PROD-047"/>
    <x v="6"/>
    <n v="4"/>
    <n v="3450"/>
    <x v="33"/>
    <n v="10156.799999999999"/>
    <x v="1"/>
    <s v="Bengaluru"/>
    <x v="5"/>
    <m/>
    <x v="0"/>
    <n v="46"/>
    <x v="0"/>
    <m/>
    <m/>
    <m/>
  </r>
  <r>
    <s v="ORD-01674"/>
    <x v="311"/>
    <s v="CUST-0239"/>
    <s v="PROD-023"/>
    <x v="17"/>
    <n v="4"/>
    <n v="2380"/>
    <x v="133"/>
    <n v="8863.1200000000008"/>
    <x v="0"/>
    <s v="Mumbai"/>
    <x v="2"/>
    <m/>
    <x v="1"/>
    <n v="61"/>
    <x v="0"/>
    <m/>
    <m/>
    <m/>
  </r>
  <r>
    <s v="ORD-01675"/>
    <x v="140"/>
    <s v="CUST-0168"/>
    <s v="PROD-031"/>
    <x v="11"/>
    <n v="2"/>
    <n v="3730"/>
    <x v="246"/>
    <n v="5751.66"/>
    <x v="0"/>
    <s v="Pune"/>
    <x v="3"/>
    <m/>
    <x v="1"/>
    <n v="25"/>
    <x v="2"/>
    <s v="Nov-24"/>
    <n v="2135"/>
    <n v="0.42761394101876676"/>
  </r>
  <r>
    <s v="ORD-01676"/>
    <x v="0"/>
    <s v="CUST-0012"/>
    <s v="PROD-036"/>
    <x v="25"/>
    <n v="7"/>
    <n v="3250"/>
    <x v="242"/>
    <n v="21385"/>
    <x v="0"/>
    <s v="Pune"/>
    <x v="3"/>
    <m/>
    <x v="1"/>
    <n v="43"/>
    <x v="0"/>
    <m/>
    <m/>
    <m/>
  </r>
  <r>
    <s v="ORD-01677"/>
    <x v="281"/>
    <s v="CUST-0057"/>
    <s v="PROD-053"/>
    <x v="16"/>
    <n v="9"/>
    <n v="470"/>
    <x v="37"/>
    <n v="3739.32"/>
    <x v="0"/>
    <s v="Pune"/>
    <x v="1"/>
    <m/>
    <x v="1"/>
    <n v="35"/>
    <x v="1"/>
    <s v="Sep-24"/>
    <n v="302"/>
    <n v="0.35744680851063831"/>
  </r>
  <r>
    <s v="ORD-01678"/>
    <x v="308"/>
    <s v="CUST-0030"/>
    <s v="PROD-042"/>
    <x v="17"/>
    <n v="5"/>
    <n v="2290"/>
    <x v="298"/>
    <n v="8289.7999999999993"/>
    <x v="0"/>
    <s v="Bengaluru"/>
    <x v="5"/>
    <m/>
    <x v="2"/>
    <n v="43"/>
    <x v="0"/>
    <m/>
    <m/>
    <m/>
  </r>
  <r>
    <s v="ORD-01679"/>
    <x v="32"/>
    <s v="CUST-0166"/>
    <s v="PROD-007"/>
    <x v="20"/>
    <n v="6"/>
    <n v="1430"/>
    <x v="84"/>
    <n v="7001.28"/>
    <x v="1"/>
    <s v="Hyderabad"/>
    <x v="4"/>
    <m/>
    <x v="1"/>
    <n v="31"/>
    <x v="2"/>
    <s v="Oct-24"/>
    <n v="861"/>
    <n v="0.39790209790209791"/>
  </r>
  <r>
    <s v="ORD-01680"/>
    <x v="260"/>
    <s v="CUST-0188"/>
    <s v="PROD-055"/>
    <x v="25"/>
    <n v="7"/>
    <n v="2860"/>
    <x v="88"/>
    <n v="16116.1"/>
    <x v="0"/>
    <s v="Bengaluru"/>
    <x v="1"/>
    <m/>
    <x v="1"/>
    <n v="54"/>
    <x v="0"/>
    <m/>
    <m/>
    <m/>
  </r>
  <r>
    <s v="ORD-01681"/>
    <x v="96"/>
    <s v="CUST-0097"/>
    <s v="PROD-047"/>
    <x v="16"/>
    <n v="8"/>
    <n v="3450"/>
    <x v="47"/>
    <n v="20562"/>
    <x v="1"/>
    <s v="Mumbai"/>
    <x v="5"/>
    <m/>
    <x v="1"/>
    <n v="65"/>
    <x v="0"/>
    <m/>
    <m/>
    <m/>
  </r>
  <r>
    <s v="ORD-01682"/>
    <x v="344"/>
    <s v="CUST-0026"/>
    <s v="PROD-052"/>
    <x v="7"/>
    <n v="7"/>
    <n v="5410"/>
    <x v="107"/>
    <n v="32113.759999999998"/>
    <x v="2"/>
    <s v="Pune"/>
    <x v="1"/>
    <m/>
    <x v="1"/>
    <n v="62"/>
    <x v="0"/>
    <m/>
    <m/>
    <m/>
  </r>
  <r>
    <s v="ORD-01683"/>
    <x v="276"/>
    <s v="CUST-0026"/>
    <s v="PROD-040"/>
    <x v="5"/>
    <n v="3"/>
    <n v="1080"/>
    <x v="4"/>
    <n v="2397.6"/>
    <x v="0"/>
    <s v="Pune"/>
    <x v="3"/>
    <m/>
    <x v="1"/>
    <n v="62"/>
    <x v="0"/>
    <m/>
    <m/>
    <m/>
  </r>
  <r>
    <s v="ORD-01684"/>
    <x v="20"/>
    <s v="CUST-0020"/>
    <s v="PROD-055"/>
    <x v="7"/>
    <n v="8"/>
    <n v="2860"/>
    <x v="112"/>
    <n v="19493.759999999998"/>
    <x v="0"/>
    <s v="Hyderabad"/>
    <x v="1"/>
    <m/>
    <x v="1"/>
    <n v="46"/>
    <x v="0"/>
    <m/>
    <m/>
    <m/>
  </r>
  <r>
    <s v="ORD-01685"/>
    <x v="10"/>
    <s v="CUST-9740"/>
    <s v="PROD-045"/>
    <x v="22"/>
    <n v="4"/>
    <n v="3020"/>
    <x v="282"/>
    <n v="11101.52"/>
    <x v="0"/>
    <s v="Hyderabad"/>
    <x v="5"/>
    <m/>
    <x v="3"/>
    <e v="#N/A"/>
    <x v="0"/>
    <m/>
    <m/>
    <m/>
  </r>
  <r>
    <s v="ORD-01686"/>
    <x v="51"/>
    <s v="CUST-0095"/>
    <s v="PROD-057"/>
    <x v="5"/>
    <n v="4"/>
    <n v="960"/>
    <x v="295"/>
    <n v="3594.24"/>
    <x v="2"/>
    <s v="Mumbai"/>
    <x v="1"/>
    <m/>
    <x v="0"/>
    <n v="54"/>
    <x v="0"/>
    <m/>
    <m/>
    <m/>
  </r>
  <r>
    <s v="ORD-01687"/>
    <x v="102"/>
    <s v="CUST-0079"/>
    <s v="PROD-004"/>
    <x v="20"/>
    <n v="4"/>
    <n v="3870"/>
    <x v="237"/>
    <n v="13018.68"/>
    <x v="0"/>
    <s v="Mumbai"/>
    <x v="4"/>
    <m/>
    <x v="2"/>
    <n v="60"/>
    <x v="0"/>
    <m/>
    <m/>
    <m/>
  </r>
  <r>
    <s v="ORD-01688"/>
    <x v="239"/>
    <s v="CUST-0060"/>
    <s v="PROD-012"/>
    <x v="16"/>
    <n v="5"/>
    <n v="3160"/>
    <x v="29"/>
    <n v="11091.6"/>
    <x v="0"/>
    <s v="Pune"/>
    <x v="0"/>
    <m/>
    <x v="1"/>
    <n v="39"/>
    <x v="2"/>
    <s v="Oct-24"/>
    <n v="1886"/>
    <n v="0.4031645569620253"/>
  </r>
  <r>
    <s v="ORD-01689"/>
    <x v="210"/>
    <s v="CUST-0080"/>
    <s v="PROD-047"/>
    <x v="28"/>
    <n v="5"/>
    <n v="3450"/>
    <x v="192"/>
    <n v="12178.5"/>
    <x v="0"/>
    <s v="Pune"/>
    <x v="5"/>
    <m/>
    <x v="0"/>
    <n v="30"/>
    <x v="3"/>
    <s v="Mar-24"/>
    <n v="2420"/>
    <n v="0.29855072463768118"/>
  </r>
  <r>
    <s v="ORD-01690"/>
    <x v="275"/>
    <s v="CUST-0136"/>
    <s v="PROD-049"/>
    <x v="26"/>
    <n v="10"/>
    <n v="960"/>
    <x v="276"/>
    <n v="7008"/>
    <x v="2"/>
    <s v="Chennai"/>
    <x v="5"/>
    <m/>
    <x v="0"/>
    <n v="26"/>
    <x v="2"/>
    <s v="Apr-24"/>
    <n v="675"/>
    <n v="0.296875"/>
  </r>
  <r>
    <s v="ORD-01691"/>
    <x v="335"/>
    <s v="CUST-0074"/>
    <s v="PROD-056"/>
    <x v="26"/>
    <n v="10"/>
    <n v="6940"/>
    <x v="138"/>
    <n v="55450.6"/>
    <x v="0"/>
    <s v="Bengaluru"/>
    <x v="1"/>
    <m/>
    <x v="1"/>
    <n v="27"/>
    <x v="3"/>
    <s v="Aug-24"/>
    <n v="2827"/>
    <n v="0.5926512968299712"/>
  </r>
  <r>
    <s v="ORD-01692"/>
    <x v="295"/>
    <s v="CUST-0090"/>
    <s v="PROD-058"/>
    <x v="18"/>
    <n v="9"/>
    <n v="2400"/>
    <x v="294"/>
    <n v="19915.2"/>
    <x v="0"/>
    <s v="Bengaluru"/>
    <x v="1"/>
    <m/>
    <x v="2"/>
    <n v="26"/>
    <x v="3"/>
    <s v="May-24"/>
    <n v="974"/>
    <n v="0.59416666666666662"/>
  </r>
  <r>
    <s v="ORD-01693"/>
    <x v="245"/>
    <s v="CUST-0300"/>
    <s v="PROD-052"/>
    <x v="21"/>
    <n v="1"/>
    <n v="5410"/>
    <x v="232"/>
    <n v="4176.5200000000004"/>
    <x v="0"/>
    <s v="Mumbai"/>
    <x v="1"/>
    <m/>
    <x v="1"/>
    <n v="38"/>
    <x v="4"/>
    <s v="May-24"/>
    <n v="2265"/>
    <n v="0.58133086876155271"/>
  </r>
  <r>
    <s v="ORD-01694"/>
    <x v="98"/>
    <s v="CUST-0188"/>
    <s v="PROD-009"/>
    <x v="10"/>
    <n v="7"/>
    <n v="1220"/>
    <x v="121"/>
    <n v="6934.48"/>
    <x v="1"/>
    <s v="Bengaluru"/>
    <x v="4"/>
    <m/>
    <x v="1"/>
    <n v="54"/>
    <x v="0"/>
    <m/>
    <m/>
    <m/>
  </r>
  <r>
    <s v="ORD-01695"/>
    <x v="127"/>
    <s v="CUST-0250"/>
    <s v="PROD-035"/>
    <x v="7"/>
    <n v="1"/>
    <n v="1090"/>
    <x v="151"/>
    <n v="833.85"/>
    <x v="0"/>
    <s v="Delhi"/>
    <x v="3"/>
    <m/>
    <x v="1"/>
    <n v="31"/>
    <x v="1"/>
    <s v="Dec-24"/>
    <n v="464"/>
    <n v="0.57431192660550456"/>
  </r>
  <r>
    <s v="ORD-01696"/>
    <x v="101"/>
    <s v="CUST-0195"/>
    <s v="PROD-021"/>
    <x v="12"/>
    <n v="2"/>
    <n v="2760"/>
    <x v="98"/>
    <n v="5393.04"/>
    <x v="0"/>
    <s v="Bengaluru"/>
    <x v="2"/>
    <m/>
    <x v="1"/>
    <n v="28"/>
    <x v="3"/>
    <s v="Oct-24"/>
    <n v="1435"/>
    <n v="0.48007246376811596"/>
  </r>
  <r>
    <s v="ORD-01697"/>
    <x v="17"/>
    <s v="CUST-0185"/>
    <s v="PROD-003"/>
    <x v="17"/>
    <n v="3"/>
    <n v="3570"/>
    <x v="84"/>
    <n v="8739.36"/>
    <x v="3"/>
    <s v="Hyderabad"/>
    <x v="4"/>
    <m/>
    <x v="0"/>
    <n v="43"/>
    <x v="0"/>
    <m/>
    <m/>
    <m/>
  </r>
  <r>
    <s v="ORD-01698"/>
    <x v="349"/>
    <s v="CUST-0256"/>
    <s v="PROD-009"/>
    <x v="10"/>
    <n v="7"/>
    <n v="1220"/>
    <x v="28"/>
    <n v="6336.68"/>
    <x v="3"/>
    <s v="Hyderabad"/>
    <x v="4"/>
    <m/>
    <x v="1"/>
    <n v="28"/>
    <x v="2"/>
    <s v="Nov-24"/>
    <n v="517"/>
    <n v="0.57622950819672136"/>
  </r>
  <r>
    <s v="ORD-01699"/>
    <x v="350"/>
    <s v="CUST-0060"/>
    <s v="PROD-051"/>
    <x v="20"/>
    <n v="6"/>
    <n v="3450"/>
    <x v="155"/>
    <n v="17988.3"/>
    <x v="0"/>
    <s v="Pune"/>
    <x v="1"/>
    <m/>
    <x v="1"/>
    <n v="39"/>
    <x v="1"/>
    <s v="Jul-24"/>
    <n v="2467"/>
    <n v="0.28492753623188405"/>
  </r>
  <r>
    <s v="ORD-01700"/>
    <x v="347"/>
    <s v="CUST-0275"/>
    <s v="PROD-029"/>
    <x v="10"/>
    <n v="10"/>
    <n v="2210"/>
    <x v="254"/>
    <n v="18431.400000000001"/>
    <x v="0"/>
    <s v="Mumbai"/>
    <x v="2"/>
    <m/>
    <x v="1"/>
    <n v="36"/>
    <x v="2"/>
    <s v="Jul-24"/>
    <n v="1010"/>
    <n v="0.54298642533936647"/>
  </r>
  <r>
    <s v="ORD-01701"/>
    <x v="146"/>
    <s v="CUST-0114"/>
    <s v="PROD-019"/>
    <x v="28"/>
    <n v="10"/>
    <n v="2480"/>
    <x v="167"/>
    <n v="20460"/>
    <x v="0"/>
    <s v="Bengaluru"/>
    <x v="0"/>
    <m/>
    <x v="2"/>
    <n v="42"/>
    <x v="0"/>
    <m/>
    <m/>
    <m/>
  </r>
  <r>
    <s v="ORD-01702"/>
    <x v="286"/>
    <s v="CUST-0060"/>
    <s v="PROD-036"/>
    <x v="7"/>
    <n v="9"/>
    <n v="3250"/>
    <x v="163"/>
    <n v="21674.25"/>
    <x v="0"/>
    <s v="Pune"/>
    <x v="3"/>
    <m/>
    <x v="1"/>
    <n v="39"/>
    <x v="2"/>
    <s v="Jan-24"/>
    <n v="1556"/>
    <n v="0.52123076923076928"/>
  </r>
  <r>
    <s v="ORD-01703"/>
    <x v="267"/>
    <s v="CUST-0039"/>
    <s v="PROD-058"/>
    <x v="4"/>
    <n v="3"/>
    <n v="2400"/>
    <x v="167"/>
    <n v="5940"/>
    <x v="0"/>
    <s v="Bengaluru"/>
    <x v="1"/>
    <m/>
    <x v="1"/>
    <n v="37"/>
    <x v="3"/>
    <s v="Oct-24"/>
    <n v="974"/>
    <n v="0.59416666666666662"/>
  </r>
  <r>
    <s v="ORD-01704"/>
    <x v="332"/>
    <s v="CUST-0033"/>
    <s v="PROD-052"/>
    <x v="3"/>
    <n v="8"/>
    <n v="5410"/>
    <x v="191"/>
    <n v="39687.760000000002"/>
    <x v="0"/>
    <s v="Delhi"/>
    <x v="1"/>
    <m/>
    <x v="1"/>
    <n v="35"/>
    <x v="1"/>
    <s v="Jul-24"/>
    <n v="2265"/>
    <n v="0.58133086876155271"/>
  </r>
  <r>
    <s v="ORD-01705"/>
    <x v="81"/>
    <s v="CUST-0037"/>
    <s v="PROD-002"/>
    <x v="26"/>
    <n v="1"/>
    <n v="2600"/>
    <x v="30"/>
    <n v="2446.6"/>
    <x v="0"/>
    <s v="Bengaluru"/>
    <x v="4"/>
    <m/>
    <x v="1"/>
    <n v="52"/>
    <x v="0"/>
    <m/>
    <m/>
    <m/>
  </r>
  <r>
    <s v="ORD-01706"/>
    <x v="348"/>
    <s v="CUST-0081"/>
    <s v="PROD-025"/>
    <x v="11"/>
    <n v="10"/>
    <n v="4060"/>
    <x v="98"/>
    <n v="39666.199999999997"/>
    <x v="0"/>
    <s v="Mumbai"/>
    <x v="2"/>
    <m/>
    <x v="1"/>
    <n v="25"/>
    <x v="3"/>
    <s v="Nov-24"/>
    <n v="2911"/>
    <n v="0.28300492610837441"/>
  </r>
  <r>
    <s v="ORD-01707"/>
    <x v="279"/>
    <s v="CUST-0279"/>
    <s v="PROD-001"/>
    <x v="16"/>
    <n v="9"/>
    <n v="5330"/>
    <x v="151"/>
    <n v="36697.050000000003"/>
    <x v="0"/>
    <s v="Mumbai"/>
    <x v="4"/>
    <m/>
    <x v="1"/>
    <n v="56"/>
    <x v="0"/>
    <m/>
    <m/>
    <m/>
  </r>
  <r>
    <s v="ORD-01708"/>
    <x v="77"/>
    <s v="CUST-0129"/>
    <s v="PROD-043"/>
    <x v="5"/>
    <n v="7"/>
    <n v="3350"/>
    <x v="106"/>
    <n v="20307.7"/>
    <x v="1"/>
    <s v="Hyderabad"/>
    <x v="5"/>
    <m/>
    <x v="1"/>
    <n v="29"/>
    <x v="3"/>
    <s v="Mar-24"/>
    <n v="1728"/>
    <n v="0.48417910447761192"/>
  </r>
  <r>
    <s v="ORD-01709"/>
    <x v="252"/>
    <s v="CUST-0010"/>
    <s v="PROD-017"/>
    <x v="2"/>
    <n v="4"/>
    <n v="2510"/>
    <x v="287"/>
    <n v="7369.36"/>
    <x v="0"/>
    <s v="Mumbai"/>
    <x v="0"/>
    <m/>
    <x v="0"/>
    <n v="61"/>
    <x v="0"/>
    <m/>
    <m/>
    <m/>
  </r>
  <r>
    <s v="ORD-01710"/>
    <x v="145"/>
    <s v="CUST-0006"/>
    <s v="PROD-045"/>
    <x v="13"/>
    <n v="1"/>
    <n v="3020"/>
    <x v="107"/>
    <n v="2560.96"/>
    <x v="2"/>
    <s v="Pune"/>
    <x v="5"/>
    <m/>
    <x v="0"/>
    <n v="44"/>
    <x v="0"/>
    <m/>
    <m/>
    <m/>
  </r>
  <r>
    <s v="ORD-01711"/>
    <x v="149"/>
    <s v="CUST-0206"/>
    <s v="PROD-020"/>
    <x v="20"/>
    <n v="1"/>
    <n v="820"/>
    <x v="280"/>
    <n v="768.34"/>
    <x v="0"/>
    <s v="Mumbai"/>
    <x v="0"/>
    <m/>
    <x v="1"/>
    <n v="40"/>
    <x v="3"/>
    <s v="Jun-24"/>
    <n v="391"/>
    <n v="0.52317073170731709"/>
  </r>
  <r>
    <s v="ORD-01712"/>
    <x v="56"/>
    <s v="CUST-0034"/>
    <s v="PROD-012"/>
    <x v="28"/>
    <n v="4"/>
    <n v="3160"/>
    <x v="186"/>
    <n v="12184.96"/>
    <x v="1"/>
    <s v="Delhi"/>
    <x v="0"/>
    <m/>
    <x v="1"/>
    <n v="47"/>
    <x v="0"/>
    <m/>
    <m/>
    <m/>
  </r>
  <r>
    <s v="ORD-01713"/>
    <x v="43"/>
    <s v="CUST-0121"/>
    <s v="PROD-028"/>
    <x v="27"/>
    <n v="1"/>
    <n v="3660"/>
    <x v="154"/>
    <n v="2627.88"/>
    <x v="1"/>
    <s v="Delhi"/>
    <x v="2"/>
    <m/>
    <x v="0"/>
    <n v="55"/>
    <x v="0"/>
    <m/>
    <m/>
    <m/>
  </r>
  <r>
    <s v="ORD-01714"/>
    <x v="18"/>
    <s v="CUST-0098"/>
    <s v="PROD-020"/>
    <x v="17"/>
    <n v="2"/>
    <n v="820"/>
    <x v="273"/>
    <n v="1525.2"/>
    <x v="0"/>
    <s v="Delhi"/>
    <x v="0"/>
    <m/>
    <x v="1"/>
    <n v="52"/>
    <x v="0"/>
    <m/>
    <m/>
    <m/>
  </r>
  <r>
    <s v="ORD-01715"/>
    <x v="225"/>
    <s v="CUST-0031"/>
    <s v="PROD-023"/>
    <x v="24"/>
    <n v="5"/>
    <n v="2380"/>
    <x v="50"/>
    <n v="9163"/>
    <x v="0"/>
    <s v="Hyderabad"/>
    <x v="2"/>
    <m/>
    <x v="1"/>
    <n v="53"/>
    <x v="0"/>
    <m/>
    <m/>
    <m/>
  </r>
  <r>
    <s v="ORD-01716"/>
    <x v="109"/>
    <s v="CUST-0185"/>
    <s v="PROD-004"/>
    <x v="22"/>
    <n v="1"/>
    <n v="3870"/>
    <x v="289"/>
    <n v="2813.49"/>
    <x v="0"/>
    <s v="Hyderabad"/>
    <x v="4"/>
    <m/>
    <x v="0"/>
    <n v="43"/>
    <x v="0"/>
    <m/>
    <m/>
    <m/>
  </r>
  <r>
    <s v="ORD-01717"/>
    <x v="114"/>
    <s v="CUST-0011"/>
    <s v="PROD-005"/>
    <x v="0"/>
    <n v="10"/>
    <n v="300"/>
    <x v="13"/>
    <n v="2577"/>
    <x v="2"/>
    <s v="Chennai"/>
    <x v="4"/>
    <m/>
    <x v="2"/>
    <n v="41"/>
    <x v="0"/>
    <m/>
    <m/>
    <m/>
  </r>
  <r>
    <s v="ORD-01718"/>
    <x v="262"/>
    <s v="CUST-0223"/>
    <s v="PROD-048"/>
    <x v="28"/>
    <n v="10"/>
    <n v="5100"/>
    <x v="39"/>
    <n v="44523"/>
    <x v="0"/>
    <s v="Bengaluru"/>
    <x v="5"/>
    <m/>
    <x v="1"/>
    <n v="46"/>
    <x v="0"/>
    <m/>
    <m/>
    <m/>
  </r>
  <r>
    <s v="ORD-01719"/>
    <x v="55"/>
    <s v="CUST-0126"/>
    <s v="PROD-021"/>
    <x v="22"/>
    <n v="1"/>
    <n v="2760"/>
    <x v="263"/>
    <n v="2268.7199999999998"/>
    <x v="3"/>
    <s v="Mumbai"/>
    <x v="2"/>
    <m/>
    <x v="1"/>
    <n v="37"/>
    <x v="2"/>
    <s v="Dec-24"/>
    <n v="1435"/>
    <n v="0.48007246376811596"/>
  </r>
  <r>
    <s v="ORD-01720"/>
    <x v="143"/>
    <s v="CUST-0284"/>
    <s v="PROD-001"/>
    <x v="25"/>
    <n v="8"/>
    <n v="5330"/>
    <x v="283"/>
    <n v="35647.040000000001"/>
    <x v="0"/>
    <s v="Hyderabad"/>
    <x v="4"/>
    <m/>
    <x v="0"/>
    <n v="65"/>
    <x v="0"/>
    <m/>
    <m/>
    <m/>
  </r>
  <r>
    <s v="ORD-01721"/>
    <x v="136"/>
    <s v="CUST-0011"/>
    <s v="PROD-054"/>
    <x v="29"/>
    <n v="1"/>
    <n v="1010"/>
    <x v="201"/>
    <n v="803.96"/>
    <x v="2"/>
    <s v="Chennai"/>
    <x v="1"/>
    <m/>
    <x v="2"/>
    <n v="41"/>
    <x v="0"/>
    <m/>
    <m/>
    <m/>
  </r>
  <r>
    <s v="ORD-01722"/>
    <x v="351"/>
    <s v="CUST-0275"/>
    <s v="PROD-008"/>
    <x v="7"/>
    <n v="10"/>
    <n v="2660"/>
    <x v="99"/>
    <n v="18806.2"/>
    <x v="0"/>
    <s v="Mumbai"/>
    <x v="4"/>
    <m/>
    <x v="1"/>
    <n v="36"/>
    <x v="4"/>
    <s v="Jun-24"/>
    <n v="1259"/>
    <n v="0.52669172932330832"/>
  </r>
  <r>
    <s v="ORD-01723"/>
    <x v="47"/>
    <s v="CUST-0259"/>
    <s v="PROD-006"/>
    <x v="23"/>
    <n v="9"/>
    <n v="3970"/>
    <x v="257"/>
    <n v="32014.080000000002"/>
    <x v="1"/>
    <s v="Mumbai"/>
    <x v="4"/>
    <m/>
    <x v="1"/>
    <n v="34"/>
    <x v="3"/>
    <s v="Mar-24"/>
    <n v="2865"/>
    <n v="0.27833753148614609"/>
  </r>
  <r>
    <s v="ORD-01724"/>
    <x v="22"/>
    <s v="CUST-0089"/>
    <s v="PROD-014"/>
    <x v="4"/>
    <n v="3"/>
    <n v="3620"/>
    <x v="218"/>
    <n v="8470.7999999999993"/>
    <x v="0"/>
    <s v="Mumbai"/>
    <x v="0"/>
    <m/>
    <x v="0"/>
    <n v="43"/>
    <x v="0"/>
    <m/>
    <m/>
    <m/>
  </r>
  <r>
    <s v="ORD-01725"/>
    <x v="266"/>
    <s v="CUST-0232"/>
    <s v="PROD-022"/>
    <x v="26"/>
    <n v="6"/>
    <n v="2270"/>
    <x v="86"/>
    <n v="12108.18"/>
    <x v="2"/>
    <s v="Hyderabad"/>
    <x v="2"/>
    <m/>
    <x v="1"/>
    <n v="38"/>
    <x v="1"/>
    <s v="Jun-24"/>
    <n v="1412"/>
    <n v="0.37797356828193834"/>
  </r>
  <r>
    <s v="ORD-01726"/>
    <x v="363"/>
    <s v="CUST-0220"/>
    <s v="PROD-022"/>
    <x v="2"/>
    <n v="4"/>
    <n v="2270"/>
    <x v="272"/>
    <n v="6610.24"/>
    <x v="1"/>
    <s v="Chennai"/>
    <x v="2"/>
    <m/>
    <x v="1"/>
    <n v="34"/>
    <x v="3"/>
    <s v="Apr-24"/>
    <n v="1412"/>
    <n v="0.37797356828193834"/>
  </r>
  <r>
    <s v="ORD-01727"/>
    <x v="31"/>
    <s v="CUST-0137"/>
    <s v="PROD-039"/>
    <x v="27"/>
    <n v="8"/>
    <n v="4610"/>
    <x v="161"/>
    <n v="27844.400000000001"/>
    <x v="0"/>
    <s v="Mumbai"/>
    <x v="3"/>
    <m/>
    <x v="1"/>
    <n v="41"/>
    <x v="0"/>
    <m/>
    <m/>
    <m/>
  </r>
  <r>
    <s v="ORD-01728"/>
    <x v="250"/>
    <s v="CUST-0132"/>
    <s v="PROD-060"/>
    <x v="16"/>
    <n v="6"/>
    <n v="190"/>
    <x v="41"/>
    <n v="1040.82"/>
    <x v="2"/>
    <s v="Delhi"/>
    <x v="1"/>
    <m/>
    <x v="1"/>
    <n v="41"/>
    <x v="0"/>
    <m/>
    <m/>
    <m/>
  </r>
  <r>
    <s v="ORD-01729"/>
    <x v="7"/>
    <s v="CUST-0226"/>
    <s v="PROD-033"/>
    <x v="17"/>
    <n v="5"/>
    <n v="2030"/>
    <x v="122"/>
    <n v="10058.65"/>
    <x v="2"/>
    <s v="Chennai"/>
    <x v="3"/>
    <m/>
    <x v="2"/>
    <n v="52"/>
    <x v="0"/>
    <m/>
    <m/>
    <m/>
  </r>
  <r>
    <s v="ORD-01730"/>
    <x v="105"/>
    <s v="CUST-0080"/>
    <s v="PROD-026"/>
    <x v="16"/>
    <n v="1"/>
    <n v="4070"/>
    <x v="203"/>
    <n v="3691.49"/>
    <x v="3"/>
    <s v="Pune"/>
    <x v="2"/>
    <m/>
    <x v="0"/>
    <n v="30"/>
    <x v="2"/>
    <s v="Nov-24"/>
    <n v="2027"/>
    <n v="0.50196560196560192"/>
  </r>
  <r>
    <s v="ORD-01731"/>
    <x v="151"/>
    <s v="CUST-0068"/>
    <s v="PROD-042"/>
    <x v="19"/>
    <n v="3"/>
    <n v="2290"/>
    <x v="265"/>
    <n v="6038.73"/>
    <x v="0"/>
    <s v="Delhi"/>
    <x v="5"/>
    <m/>
    <x v="0"/>
    <n v="48"/>
    <x v="0"/>
    <m/>
    <m/>
    <m/>
  </r>
  <r>
    <s v="ORD-01732"/>
    <x v="282"/>
    <s v="CUST-0146"/>
    <s v="PROD-031"/>
    <x v="16"/>
    <n v="7"/>
    <n v="3730"/>
    <x v="77"/>
    <n v="24935.05"/>
    <x v="0"/>
    <s v="Hyderabad"/>
    <x v="3"/>
    <m/>
    <x v="1"/>
    <n v="22"/>
    <x v="1"/>
    <s v="Jun-24"/>
    <n v="2135"/>
    <n v="0.42761394101876676"/>
  </r>
  <r>
    <s v="ORD-01733"/>
    <x v="141"/>
    <s v="CUST-0106"/>
    <s v="PROD-016"/>
    <x v="1"/>
    <n v="5"/>
    <n v="620"/>
    <x v="267"/>
    <n v="2867.5"/>
    <x v="0"/>
    <s v="Pune"/>
    <x v="0"/>
    <m/>
    <x v="1"/>
    <n v="22"/>
    <x v="3"/>
    <s v="Aug-24"/>
    <n v="396"/>
    <n v="0.36129032258064514"/>
  </r>
  <r>
    <s v="ORD-01734"/>
    <x v="6"/>
    <s v="CUST-0096"/>
    <s v="PROD-010"/>
    <x v="9"/>
    <n v="8"/>
    <n v="2640"/>
    <x v="283"/>
    <n v="17656.32"/>
    <x v="0"/>
    <s v="Delhi"/>
    <x v="4"/>
    <m/>
    <x v="2"/>
    <n v="27"/>
    <x v="1"/>
    <s v="Jan-24"/>
    <n v="1149"/>
    <n v="0.56477272727272732"/>
  </r>
  <r>
    <s v="ORD-01735"/>
    <x v="148"/>
    <s v="CUST-0248"/>
    <s v="PROD-028"/>
    <x v="10"/>
    <n v="6"/>
    <n v="3660"/>
    <x v="198"/>
    <n v="20598.48"/>
    <x v="0"/>
    <s v="Chennai"/>
    <x v="2"/>
    <m/>
    <x v="0"/>
    <n v="57"/>
    <x v="0"/>
    <m/>
    <m/>
    <m/>
  </r>
  <r>
    <s v="ORD-01736"/>
    <x v="11"/>
    <s v="CUST-0297"/>
    <s v="PROD-020"/>
    <x v="16"/>
    <n v="2"/>
    <n v="820"/>
    <x v="55"/>
    <n v="1223.44"/>
    <x v="0"/>
    <s v="Hyderabad"/>
    <x v="0"/>
    <m/>
    <x v="1"/>
    <n v="50"/>
    <x v="0"/>
    <m/>
    <m/>
    <m/>
  </r>
  <r>
    <s v="ORD-01737"/>
    <x v="102"/>
    <s v="CUST-0120"/>
    <s v="PROD-019"/>
    <x v="13"/>
    <n v="3"/>
    <n v="2480"/>
    <x v="20"/>
    <n v="5304.72"/>
    <x v="1"/>
    <s v="Mumbai"/>
    <x v="0"/>
    <m/>
    <x v="1"/>
    <n v="29"/>
    <x v="3"/>
    <s v="Aug-24"/>
    <n v="1173"/>
    <n v="0.52701612903225803"/>
  </r>
  <r>
    <s v="ORD-01738"/>
    <x v="166"/>
    <s v="CUST-0148"/>
    <s v="PROD-050"/>
    <x v="8"/>
    <n v="10"/>
    <n v="6080"/>
    <x v="125"/>
    <n v="49308.800000000003"/>
    <x v="0"/>
    <s v="Chennai"/>
    <x v="5"/>
    <m/>
    <x v="1"/>
    <n v="32"/>
    <x v="3"/>
    <s v="Oct-24"/>
    <n v="2617"/>
    <n v="0.56957236842105263"/>
  </r>
  <r>
    <s v="ORD-01739"/>
    <x v="260"/>
    <s v="CUST-0008"/>
    <s v="PROD-060"/>
    <x v="24"/>
    <n v="1"/>
    <n v="190"/>
    <x v="297"/>
    <n v="179.17"/>
    <x v="0"/>
    <s v="Pune"/>
    <x v="1"/>
    <m/>
    <x v="0"/>
    <n v="39"/>
    <x v="2"/>
    <s v="Aug-24"/>
    <n v="147"/>
    <n v="0.22631578947368422"/>
  </r>
  <r>
    <s v="ORD-01740"/>
    <x v="113"/>
    <s v="CUST-0013"/>
    <s v="PROD-059"/>
    <x v="17"/>
    <n v="2"/>
    <n v="3780"/>
    <x v="228"/>
    <n v="6667.92"/>
    <x v="0"/>
    <s v="Delhi"/>
    <x v="1"/>
    <m/>
    <x v="1"/>
    <n v="41"/>
    <x v="0"/>
    <m/>
    <m/>
    <m/>
  </r>
  <r>
    <s v="ORD-01741"/>
    <x v="341"/>
    <s v="CUST-0234"/>
    <s v="PROD-036"/>
    <x v="19"/>
    <n v="5"/>
    <n v="3250"/>
    <x v="66"/>
    <n v="13016.25"/>
    <x v="0"/>
    <s v="Bengaluru"/>
    <x v="3"/>
    <m/>
    <x v="1"/>
    <n v="34"/>
    <x v="2"/>
    <s v="Jun-24"/>
    <n v="1556"/>
    <n v="0.52123076923076928"/>
  </r>
  <r>
    <s v="ORD-01742"/>
    <x v="13"/>
    <s v="CUST-0207"/>
    <s v="PROD-033"/>
    <x v="4"/>
    <n v="7"/>
    <n v="2030"/>
    <x v="195"/>
    <n v="13627.39"/>
    <x v="0"/>
    <s v="Hyderabad"/>
    <x v="3"/>
    <m/>
    <x v="0"/>
    <n v="34"/>
    <x v="1"/>
    <s v="Nov-24"/>
    <n v="1143"/>
    <n v="0.43694581280788175"/>
  </r>
  <r>
    <s v="ORD-01743"/>
    <x v="330"/>
    <s v="CUST-0245"/>
    <s v="PROD-046"/>
    <x v="27"/>
    <n v="5"/>
    <n v="4880"/>
    <x v="246"/>
    <n v="18812.400000000001"/>
    <x v="0"/>
    <s v="Hyderabad"/>
    <x v="5"/>
    <m/>
    <x v="1"/>
    <n v="65"/>
    <x v="0"/>
    <m/>
    <m/>
    <m/>
  </r>
  <r>
    <s v="ORD-01744"/>
    <x v="92"/>
    <s v="CUST-0044"/>
    <s v="PROD-043"/>
    <x v="16"/>
    <n v="3"/>
    <n v="3350"/>
    <x v="107"/>
    <n v="8522.4"/>
    <x v="1"/>
    <s v="Hyderabad"/>
    <x v="5"/>
    <m/>
    <x v="0"/>
    <n v="29"/>
    <x v="4"/>
    <s v="Dec-24"/>
    <n v="1728"/>
    <n v="0.48417910447761192"/>
  </r>
  <r>
    <s v="ORD-01745"/>
    <x v="54"/>
    <s v="CUST-0264"/>
    <s v="PROD-055"/>
    <x v="20"/>
    <n v="10"/>
    <n v="2860"/>
    <x v="224"/>
    <n v="24310"/>
    <x v="0"/>
    <s v="Pune"/>
    <x v="1"/>
    <m/>
    <x v="1"/>
    <n v="59"/>
    <x v="0"/>
    <m/>
    <m/>
    <m/>
  </r>
  <r>
    <s v="ORD-01746"/>
    <x v="328"/>
    <s v="CUST-0193"/>
    <s v="PROD-047"/>
    <x v="26"/>
    <n v="5"/>
    <n v="3450"/>
    <x v="98"/>
    <n v="16853.25"/>
    <x v="0"/>
    <s v="Bengaluru"/>
    <x v="5"/>
    <m/>
    <x v="1"/>
    <n v="42"/>
    <x v="0"/>
    <m/>
    <m/>
    <m/>
  </r>
  <r>
    <s v="ORD-01747"/>
    <x v="245"/>
    <s v="CUST-0006"/>
    <s v="PROD-024"/>
    <x v="15"/>
    <n v="3"/>
    <n v="2270"/>
    <x v="266"/>
    <n v="6619.32"/>
    <x v="1"/>
    <s v="Pune"/>
    <x v="2"/>
    <m/>
    <x v="0"/>
    <n v="44"/>
    <x v="0"/>
    <m/>
    <m/>
    <m/>
  </r>
  <r>
    <s v="ORD-01748"/>
    <x v="20"/>
    <s v="CUST-0221"/>
    <s v="PROD-028"/>
    <x v="0"/>
    <n v="8"/>
    <n v="3660"/>
    <x v="135"/>
    <n v="24360.959999999999"/>
    <x v="0"/>
    <s v="Delhi"/>
    <x v="2"/>
    <m/>
    <x v="0"/>
    <n v="29"/>
    <x v="4"/>
    <s v="Apr-24"/>
    <n v="2214"/>
    <n v="0.39508196721311473"/>
  </r>
  <r>
    <s v="ORD-01749"/>
    <x v="277"/>
    <s v="CUST-0151"/>
    <s v="PROD-045"/>
    <x v="4"/>
    <n v="7"/>
    <n v="3020"/>
    <x v="263"/>
    <n v="17377.080000000002"/>
    <x v="0"/>
    <s v="Mumbai"/>
    <x v="5"/>
    <m/>
    <x v="1"/>
    <n v="53"/>
    <x v="0"/>
    <m/>
    <m/>
    <m/>
  </r>
  <r>
    <s v="ORD-01750"/>
    <x v="78"/>
    <s v="CUST-0188"/>
    <s v="PROD-040"/>
    <x v="2"/>
    <n v="7"/>
    <n v="1080"/>
    <x v="114"/>
    <n v="6584.76"/>
    <x v="0"/>
    <s v="Bengaluru"/>
    <x v="3"/>
    <m/>
    <x v="1"/>
    <n v="54"/>
    <x v="0"/>
    <m/>
    <m/>
    <m/>
  </r>
  <r>
    <s v="ORD-01751"/>
    <x v="315"/>
    <s v="CUST-0010"/>
    <s v="PROD-022"/>
    <x v="27"/>
    <n v="2"/>
    <n v="2270"/>
    <x v="248"/>
    <n v="4149.5600000000004"/>
    <x v="2"/>
    <s v="Mumbai"/>
    <x v="2"/>
    <m/>
    <x v="0"/>
    <n v="61"/>
    <x v="0"/>
    <m/>
    <m/>
    <m/>
  </r>
  <r>
    <s v="ORD-01752"/>
    <x v="338"/>
    <s v="CUST-0018"/>
    <s v="PROD-016"/>
    <x v="27"/>
    <n v="10"/>
    <n v="620"/>
    <x v="94"/>
    <n v="4581.8"/>
    <x v="0"/>
    <s v="Pune"/>
    <x v="0"/>
    <m/>
    <x v="0"/>
    <n v="54"/>
    <x v="0"/>
    <m/>
    <m/>
    <m/>
  </r>
  <r>
    <s v="ORD-01753"/>
    <x v="230"/>
    <s v="CUST-0262"/>
    <s v="PROD-025"/>
    <x v="15"/>
    <n v="2"/>
    <n v="4060"/>
    <x v="290"/>
    <n v="7811.44"/>
    <x v="0"/>
    <s v="Mumbai"/>
    <x v="2"/>
    <m/>
    <x v="1"/>
    <n v="52"/>
    <x v="0"/>
    <m/>
    <m/>
    <m/>
  </r>
  <r>
    <s v="ORD-01754"/>
    <x v="56"/>
    <s v="CUST-0282"/>
    <s v="PROD-027"/>
    <x v="27"/>
    <n v="1"/>
    <n v="3780"/>
    <x v="100"/>
    <n v="2725.38"/>
    <x v="0"/>
    <s v="Hyderabad"/>
    <x v="2"/>
    <m/>
    <x v="2"/>
    <n v="29"/>
    <x v="4"/>
    <s v="Sep-24"/>
    <n v="2436"/>
    <n v="0.35555555555555557"/>
  </r>
  <r>
    <s v="ORD-01755"/>
    <x v="7"/>
    <s v="CUST-0194"/>
    <s v="PROD-023"/>
    <x v="24"/>
    <n v="8"/>
    <n v="2380"/>
    <x v="290"/>
    <n v="18316.48"/>
    <x v="0"/>
    <s v="Delhi"/>
    <x v="2"/>
    <m/>
    <x v="0"/>
    <n v="55"/>
    <x v="0"/>
    <m/>
    <m/>
    <m/>
  </r>
  <r>
    <s v="ORD-01756"/>
    <x v="239"/>
    <s v="CUST-0161"/>
    <s v="PROD-026"/>
    <x v="6"/>
    <n v="7"/>
    <n v="4070"/>
    <x v="45"/>
    <n v="28404.53"/>
    <x v="0"/>
    <s v="Chennai"/>
    <x v="2"/>
    <m/>
    <x v="1"/>
    <n v="38"/>
    <x v="3"/>
    <s v="Nov-24"/>
    <n v="2027"/>
    <n v="0.50196560196560192"/>
  </r>
  <r>
    <s v="ORD-01757"/>
    <x v="61"/>
    <s v="CUST-0120"/>
    <s v="PROD-010"/>
    <x v="16"/>
    <n v="6"/>
    <n v="2640"/>
    <x v="238"/>
    <n v="15301.44"/>
    <x v="0"/>
    <s v="Mumbai"/>
    <x v="4"/>
    <m/>
    <x v="1"/>
    <n v="29"/>
    <x v="2"/>
    <s v="Mar-24"/>
    <n v="1149"/>
    <n v="0.56477272727272732"/>
  </r>
  <r>
    <s v="ORD-01758"/>
    <x v="312"/>
    <s v="CUST-0250"/>
    <s v="PROD-059"/>
    <x v="14"/>
    <n v="10"/>
    <n v="3780"/>
    <x v="275"/>
    <n v="32772.6"/>
    <x v="0"/>
    <s v="Delhi"/>
    <x v="1"/>
    <m/>
    <x v="1"/>
    <n v="31"/>
    <x v="3"/>
    <s v="Jun-24"/>
    <n v="1860"/>
    <n v="0.50793650793650791"/>
  </r>
  <r>
    <s v="ORD-01759"/>
    <x v="272"/>
    <s v="CUST-0054"/>
    <s v="PROD-043"/>
    <x v="18"/>
    <n v="9"/>
    <n v="3350"/>
    <x v="38"/>
    <n v="26290.799999999999"/>
    <x v="0"/>
    <s v="Mumbai"/>
    <x v="5"/>
    <m/>
    <x v="2"/>
    <n v="62"/>
    <x v="0"/>
    <m/>
    <m/>
    <m/>
  </r>
  <r>
    <s v="ORD-01760"/>
    <x v="61"/>
    <s v="CUST-0247"/>
    <s v="PROD-012"/>
    <x v="6"/>
    <n v="7"/>
    <n v="3160"/>
    <x v="146"/>
    <n v="18735.64"/>
    <x v="0"/>
    <s v="Pune"/>
    <x v="0"/>
    <m/>
    <x v="0"/>
    <n v="35"/>
    <x v="4"/>
    <s v="Jan-24"/>
    <n v="1886"/>
    <n v="0.4031645569620253"/>
  </r>
  <r>
    <s v="ORD-01761"/>
    <x v="49"/>
    <s v="CUST-0127"/>
    <s v="PROD-055"/>
    <x v="10"/>
    <n v="6"/>
    <n v="2860"/>
    <x v="167"/>
    <n v="14157"/>
    <x v="0"/>
    <s v="Bengaluru"/>
    <x v="1"/>
    <m/>
    <x v="0"/>
    <n v="36"/>
    <x v="2"/>
    <s v="Jun-24"/>
    <n v="2028"/>
    <n v="0.29090909090909089"/>
  </r>
  <r>
    <s v="ORD-01762"/>
    <x v="123"/>
    <s v="CUST-0030"/>
    <s v="PROD-005"/>
    <x v="9"/>
    <n v="9"/>
    <n v="300"/>
    <x v="67"/>
    <n v="2019.6"/>
    <x v="0"/>
    <s v="Bengaluru"/>
    <x v="4"/>
    <m/>
    <x v="2"/>
    <n v="43"/>
    <x v="0"/>
    <m/>
    <m/>
    <m/>
  </r>
  <r>
    <s v="ORD-01763"/>
    <x v="197"/>
    <s v="CUST-0205"/>
    <s v="PROD-060"/>
    <x v="16"/>
    <n v="5"/>
    <n v="190"/>
    <x v="200"/>
    <n v="932.9"/>
    <x v="0"/>
    <s v="Pune"/>
    <x v="1"/>
    <m/>
    <x v="2"/>
    <n v="29"/>
    <x v="4"/>
    <s v="Feb-24"/>
    <n v="147"/>
    <n v="0.22631578947368422"/>
  </r>
  <r>
    <s v="ORD-01764"/>
    <x v="80"/>
    <s v="CUST-0172"/>
    <s v="PROD-054"/>
    <x v="13"/>
    <n v="7"/>
    <n v="1010"/>
    <x v="168"/>
    <n v="6278.16"/>
    <x v="0"/>
    <s v="Pune"/>
    <x v="1"/>
    <m/>
    <x v="1"/>
    <n v="65"/>
    <x v="0"/>
    <m/>
    <m/>
    <m/>
  </r>
  <r>
    <s v="ORD-01765"/>
    <x v="50"/>
    <s v="CUST-0283"/>
    <s v="PROD-051"/>
    <x v="19"/>
    <n v="8"/>
    <n v="3450"/>
    <x v="68"/>
    <n v="25281.599999999999"/>
    <x v="0"/>
    <s v="Delhi"/>
    <x v="1"/>
    <m/>
    <x v="0"/>
    <n v="50"/>
    <x v="0"/>
    <m/>
    <m/>
    <m/>
  </r>
  <r>
    <s v="ORD-01766"/>
    <x v="100"/>
    <s v="CUST-0005"/>
    <s v="PROD-005"/>
    <x v="19"/>
    <n v="3"/>
    <n v="300"/>
    <x v="267"/>
    <n v="832.5"/>
    <x v="3"/>
    <s v="Chennai"/>
    <x v="4"/>
    <m/>
    <x v="2"/>
    <n v="52"/>
    <x v="0"/>
    <m/>
    <m/>
    <m/>
  </r>
  <r>
    <s v="ORD-01767"/>
    <x v="43"/>
    <s v="CUST-0095"/>
    <s v="PROD-031"/>
    <x v="26"/>
    <n v="4"/>
    <n v="3730"/>
    <x v="277"/>
    <n v="11219.84"/>
    <x v="0"/>
    <s v="Mumbai"/>
    <x v="3"/>
    <m/>
    <x v="0"/>
    <n v="54"/>
    <x v="0"/>
    <m/>
    <m/>
    <m/>
  </r>
  <r>
    <s v="ORD-01768"/>
    <x v="32"/>
    <s v="CUST-0142"/>
    <s v="PROD-058"/>
    <x v="16"/>
    <n v="5"/>
    <n v="2400"/>
    <x v="159"/>
    <n v="10896"/>
    <x v="0"/>
    <s v="Chennai"/>
    <x v="1"/>
    <m/>
    <x v="2"/>
    <n v="55"/>
    <x v="0"/>
    <m/>
    <m/>
    <m/>
  </r>
  <r>
    <s v="ORD-01769"/>
    <x v="303"/>
    <s v="CUST-0028"/>
    <s v="PROD-021"/>
    <x v="19"/>
    <n v="3"/>
    <n v="2760"/>
    <x v="7"/>
    <n v="8081.28"/>
    <x v="0"/>
    <s v="Bengaluru"/>
    <x v="2"/>
    <m/>
    <x v="1"/>
    <n v="59"/>
    <x v="0"/>
    <m/>
    <m/>
    <m/>
  </r>
  <r>
    <s v="ORD-01770"/>
    <x v="289"/>
    <s v="CUST-0118"/>
    <s v="PROD-053"/>
    <x v="18"/>
    <n v="8"/>
    <n v="470"/>
    <x v="277"/>
    <n v="2827.52"/>
    <x v="1"/>
    <s v="Hyderabad"/>
    <x v="1"/>
    <m/>
    <x v="1"/>
    <n v="26"/>
    <x v="1"/>
    <s v="Nov-24"/>
    <n v="302"/>
    <n v="0.35744680851063831"/>
  </r>
  <r>
    <s v="ORD-01771"/>
    <x v="142"/>
    <s v="CUST-0231"/>
    <s v="PROD-053"/>
    <x v="28"/>
    <n v="3"/>
    <n v="470"/>
    <x v="157"/>
    <n v="1147.74"/>
    <x v="0"/>
    <s v="Chennai"/>
    <x v="1"/>
    <m/>
    <x v="1"/>
    <n v="61"/>
    <x v="0"/>
    <m/>
    <m/>
    <m/>
  </r>
  <r>
    <s v="ORD-01772"/>
    <x v="228"/>
    <s v="CUST-0264"/>
    <s v="PROD-032"/>
    <x v="8"/>
    <n v="2"/>
    <n v="370"/>
    <x v="59"/>
    <n v="562.4"/>
    <x v="0"/>
    <s v="Pune"/>
    <x v="3"/>
    <m/>
    <x v="1"/>
    <n v="59"/>
    <x v="0"/>
    <m/>
    <m/>
    <m/>
  </r>
  <r>
    <s v="ORD-01773"/>
    <x v="90"/>
    <s v="CUST-0120"/>
    <s v="PROD-029"/>
    <x v="19"/>
    <n v="6"/>
    <n v="2210"/>
    <x v="141"/>
    <n v="9507.42"/>
    <x v="2"/>
    <s v="Mumbai"/>
    <x v="2"/>
    <m/>
    <x v="1"/>
    <n v="29"/>
    <x v="2"/>
    <s v="Oct-24"/>
    <n v="1010"/>
    <n v="0.54298642533936647"/>
  </r>
  <r>
    <s v="ORD-01774"/>
    <x v="0"/>
    <s v="CUST-0185"/>
    <s v="PROD-056"/>
    <x v="25"/>
    <n v="3"/>
    <n v="6940"/>
    <x v="272"/>
    <n v="15156.96"/>
    <x v="3"/>
    <s v="Hyderabad"/>
    <x v="1"/>
    <m/>
    <x v="0"/>
    <n v="43"/>
    <x v="0"/>
    <m/>
    <m/>
    <m/>
  </r>
  <r>
    <s v="ORD-01775"/>
    <x v="318"/>
    <s v="CUST-0174"/>
    <s v="PROD-033"/>
    <x v="26"/>
    <n v="10"/>
    <n v="2030"/>
    <x v="247"/>
    <n v="15103.2"/>
    <x v="0"/>
    <s v="Pune"/>
    <x v="3"/>
    <m/>
    <x v="1"/>
    <n v="54"/>
    <x v="0"/>
    <m/>
    <m/>
    <m/>
  </r>
  <r>
    <s v="ORD-01776"/>
    <x v="80"/>
    <s v="CUST-0174"/>
    <s v="PROD-054"/>
    <x v="21"/>
    <n v="9"/>
    <n v="1010"/>
    <x v="203"/>
    <n v="8244.6299999999992"/>
    <x v="0"/>
    <s v="Pune"/>
    <x v="1"/>
    <m/>
    <x v="1"/>
    <n v="54"/>
    <x v="0"/>
    <m/>
    <m/>
    <m/>
  </r>
  <r>
    <s v="ORD-01777"/>
    <x v="297"/>
    <s v="CUST-0084"/>
    <s v="PROD-017"/>
    <x v="25"/>
    <n v="5"/>
    <n v="2510"/>
    <x v="73"/>
    <n v="9763.9"/>
    <x v="0"/>
    <s v="Chennai"/>
    <x v="0"/>
    <m/>
    <x v="1"/>
    <n v="28"/>
    <x v="3"/>
    <s v="Aug-24"/>
    <n v="1075"/>
    <n v="0.57171314741035861"/>
  </r>
  <r>
    <s v="ORD-01778"/>
    <x v="236"/>
    <s v="CUST-0270"/>
    <s v="PROD-032"/>
    <x v="25"/>
    <n v="10"/>
    <n v="370"/>
    <x v="5"/>
    <n v="2627"/>
    <x v="0"/>
    <s v="Bengaluru"/>
    <x v="3"/>
    <m/>
    <x v="1"/>
    <n v="29"/>
    <x v="1"/>
    <s v="Oct-24"/>
    <n v="288"/>
    <n v="0.22162162162162163"/>
  </r>
  <r>
    <s v="ORD-01779"/>
    <x v="210"/>
    <s v="CUST-0178"/>
    <s v="PROD-019"/>
    <x v="13"/>
    <n v="3"/>
    <n v="2480"/>
    <x v="212"/>
    <n v="6725.76"/>
    <x v="0"/>
    <s v="Hyderabad"/>
    <x v="0"/>
    <m/>
    <x v="1"/>
    <n v="25"/>
    <x v="1"/>
    <s v="May-24"/>
    <n v="1173"/>
    <n v="0.52701612903225803"/>
  </r>
  <r>
    <s v="ORD-01780"/>
    <x v="128"/>
    <s v="CUST-0019"/>
    <s v="PROD-010"/>
    <x v="21"/>
    <n v="3"/>
    <n v="2640"/>
    <x v="15"/>
    <n v="7112.16"/>
    <x v="2"/>
    <s v="Chennai"/>
    <x v="4"/>
    <m/>
    <x v="1"/>
    <n v="22"/>
    <x v="3"/>
    <s v="Apr-24"/>
    <n v="1149"/>
    <n v="0.56477272727272732"/>
  </r>
  <r>
    <s v="ORD-01781"/>
    <x v="172"/>
    <s v="CUST-0276"/>
    <s v="PROD-035"/>
    <x v="16"/>
    <n v="1"/>
    <n v="1090"/>
    <x v="104"/>
    <n v="854.56"/>
    <x v="2"/>
    <s v="Chennai"/>
    <x v="3"/>
    <m/>
    <x v="1"/>
    <n v="26"/>
    <x v="3"/>
    <s v="Dec-24"/>
    <n v="464"/>
    <n v="0.57431192660550456"/>
  </r>
  <r>
    <s v="ORD-01782"/>
    <x v="38"/>
    <s v="CUST-0076"/>
    <s v="PROD-043"/>
    <x v="25"/>
    <n v="10"/>
    <n v="3350"/>
    <x v="265"/>
    <n v="29446.5"/>
    <x v="0"/>
    <s v="Mumbai"/>
    <x v="5"/>
    <m/>
    <x v="1"/>
    <n v="38"/>
    <x v="3"/>
    <s v="Jul-24"/>
    <n v="1728"/>
    <n v="0.48417910447761192"/>
  </r>
  <r>
    <s v="ORD-01783"/>
    <x v="254"/>
    <s v="CUST-0085"/>
    <s v="PROD-050"/>
    <x v="15"/>
    <n v="4"/>
    <n v="6080"/>
    <x v="215"/>
    <n v="17826.560000000001"/>
    <x v="2"/>
    <s v="Chennai"/>
    <x v="5"/>
    <m/>
    <x v="1"/>
    <n v="26"/>
    <x v="1"/>
    <s v="Nov-24"/>
    <n v="2617"/>
    <n v="0.56957236842105263"/>
  </r>
  <r>
    <s v="ORD-01784"/>
    <x v="332"/>
    <s v="CUST-0245"/>
    <s v="PROD-049"/>
    <x v="25"/>
    <n v="3"/>
    <n v="960"/>
    <x v="105"/>
    <n v="2499.84"/>
    <x v="0"/>
    <s v="Hyderabad"/>
    <x v="5"/>
    <m/>
    <x v="1"/>
    <n v="65"/>
    <x v="0"/>
    <m/>
    <m/>
    <m/>
  </r>
  <r>
    <s v="ORD-01785"/>
    <x v="294"/>
    <s v="CUST-0135"/>
    <s v="PROD-028"/>
    <x v="0"/>
    <n v="9"/>
    <n v="3660"/>
    <x v="203"/>
    <n v="29876.58"/>
    <x v="2"/>
    <s v="Pune"/>
    <x v="2"/>
    <m/>
    <x v="0"/>
    <n v="24"/>
    <x v="1"/>
    <s v="Mar-24"/>
    <n v="2214"/>
    <n v="0.39508196721311473"/>
  </r>
  <r>
    <s v="ORD-01786"/>
    <x v="321"/>
    <s v="CUST-0224"/>
    <s v="PROD-047"/>
    <x v="7"/>
    <n v="6"/>
    <n v="3450"/>
    <x v="262"/>
    <n v="19002.599999999999"/>
    <x v="0"/>
    <s v="Chennai"/>
    <x v="5"/>
    <m/>
    <x v="2"/>
    <n v="24"/>
    <x v="1"/>
    <s v="Nov-24"/>
    <n v="2420"/>
    <n v="0.29855072463768118"/>
  </r>
  <r>
    <s v="ORD-01787"/>
    <x v="292"/>
    <s v="CUST-0036"/>
    <s v="PROD-039"/>
    <x v="16"/>
    <n v="7"/>
    <n v="4610"/>
    <x v="257"/>
    <n v="28913.919999999998"/>
    <x v="0"/>
    <s v="Mumbai"/>
    <x v="3"/>
    <m/>
    <x v="1"/>
    <n v="35"/>
    <x v="3"/>
    <s v="Apr-24"/>
    <n v="1850"/>
    <n v="0.59869848156182215"/>
  </r>
  <r>
    <s v="ORD-01788"/>
    <x v="201"/>
    <s v="CUST-0197"/>
    <s v="PROD-057"/>
    <x v="18"/>
    <n v="2"/>
    <n v="960"/>
    <x v="25"/>
    <n v="1603.2"/>
    <x v="0"/>
    <s v="Bengaluru"/>
    <x v="1"/>
    <m/>
    <x v="1"/>
    <n v="55"/>
    <x v="0"/>
    <m/>
    <m/>
    <m/>
  </r>
  <r>
    <s v="ORD-01789"/>
    <x v="223"/>
    <s v="CUST-0111"/>
    <s v="PROD-032"/>
    <x v="12"/>
    <n v="7"/>
    <n v="370"/>
    <x v="261"/>
    <n v="2553.7399999999998"/>
    <x v="3"/>
    <s v="Chennai"/>
    <x v="3"/>
    <m/>
    <x v="0"/>
    <n v="64"/>
    <x v="0"/>
    <m/>
    <m/>
    <m/>
  </r>
  <r>
    <s v="ORD-01790"/>
    <x v="275"/>
    <s v="CUST-0198"/>
    <s v="PROD-024"/>
    <x v="10"/>
    <n v="3"/>
    <n v="2270"/>
    <x v="208"/>
    <n v="5951.94"/>
    <x v="0"/>
    <s v="Chennai"/>
    <x v="2"/>
    <m/>
    <x v="2"/>
    <n v="22"/>
    <x v="3"/>
    <s v="Sep-24"/>
    <n v="1203"/>
    <n v="0.47004405286343615"/>
  </r>
  <r>
    <s v="ORD-00268"/>
    <x v="114"/>
    <s v="CUST-0049"/>
    <s v="PROD-036"/>
    <x v="2"/>
    <n v="1"/>
    <n v="3250"/>
    <x v="263"/>
    <n v="2671.5"/>
    <x v="0"/>
    <s v="Mumbai"/>
    <x v="3"/>
    <m/>
    <x v="2"/>
    <n v="42"/>
    <x v="0"/>
    <m/>
    <m/>
    <m/>
  </r>
  <r>
    <s v="ORD-01792"/>
    <x v="280"/>
    <s v="CUST-0029"/>
    <s v="PROD-016"/>
    <x v="26"/>
    <n v="5"/>
    <n v="620"/>
    <x v="202"/>
    <n v="2498.6"/>
    <x v="1"/>
    <s v="Chennai"/>
    <x v="0"/>
    <m/>
    <x v="2"/>
    <n v="54"/>
    <x v="0"/>
    <m/>
    <m/>
    <m/>
  </r>
  <r>
    <s v="ORD-01793"/>
    <x v="77"/>
    <s v="CUST-0018"/>
    <s v="PROD-008"/>
    <x v="1"/>
    <n v="6"/>
    <n v="2660"/>
    <x v="274"/>
    <n v="13581.96"/>
    <x v="0"/>
    <s v="Pune"/>
    <x v="4"/>
    <m/>
    <x v="0"/>
    <n v="54"/>
    <x v="0"/>
    <m/>
    <m/>
    <m/>
  </r>
  <r>
    <s v="ORD-01794"/>
    <x v="357"/>
    <s v="CUST-0007"/>
    <s v="PROD-014"/>
    <x v="19"/>
    <n v="5"/>
    <n v="3620"/>
    <x v="72"/>
    <n v="14299"/>
    <x v="2"/>
    <s v="Bengaluru"/>
    <x v="0"/>
    <m/>
    <x v="1"/>
    <n v="47"/>
    <x v="0"/>
    <m/>
    <m/>
    <m/>
  </r>
  <r>
    <s v="ORD-01795"/>
    <x v="228"/>
    <s v="CUST-0014"/>
    <s v="PROD-013"/>
    <x v="13"/>
    <n v="1"/>
    <n v="3640"/>
    <x v="63"/>
    <n v="3064.88"/>
    <x v="0"/>
    <s v="Bengaluru"/>
    <x v="0"/>
    <m/>
    <x v="1"/>
    <n v="48"/>
    <x v="0"/>
    <m/>
    <m/>
    <m/>
  </r>
  <r>
    <s v="ORD-01796"/>
    <x v="328"/>
    <s v="CUST-0215"/>
    <s v="PROD-009"/>
    <x v="0"/>
    <n v="1"/>
    <n v="1220"/>
    <x v="43"/>
    <n v="1212.68"/>
    <x v="3"/>
    <s v="Hyderabad"/>
    <x v="4"/>
    <m/>
    <x v="1"/>
    <n v="52"/>
    <x v="0"/>
    <m/>
    <m/>
    <m/>
  </r>
  <r>
    <s v="ORD-01797"/>
    <x v="154"/>
    <s v="CUST-0056"/>
    <s v="PROD-019"/>
    <x v="25"/>
    <n v="10"/>
    <n v="2480"/>
    <x v="43"/>
    <n v="24651.200000000001"/>
    <x v="0"/>
    <s v="Bengaluru"/>
    <x v="0"/>
    <m/>
    <x v="0"/>
    <n v="46"/>
    <x v="0"/>
    <m/>
    <m/>
    <m/>
  </r>
  <r>
    <s v="ORD-01798"/>
    <x v="287"/>
    <s v="CUST-0231"/>
    <s v="PROD-044"/>
    <x v="28"/>
    <n v="9"/>
    <n v="1650"/>
    <x v="253"/>
    <n v="10870.2"/>
    <x v="0"/>
    <s v="Chennai"/>
    <x v="5"/>
    <m/>
    <x v="1"/>
    <n v="61"/>
    <x v="0"/>
    <m/>
    <m/>
    <m/>
  </r>
  <r>
    <s v="ORD-01799"/>
    <x v="9"/>
    <s v="CUST-0138"/>
    <s v="PROD-045"/>
    <x v="4"/>
    <n v="10"/>
    <n v="3020"/>
    <x v="16"/>
    <n v="29414.799999999999"/>
    <x v="0"/>
    <s v="Chennai"/>
    <x v="5"/>
    <m/>
    <x v="1"/>
    <n v="24"/>
    <x v="2"/>
    <s v="Dec-24"/>
    <n v="1626"/>
    <n v="0.46158940397350995"/>
  </r>
  <r>
    <s v="ORD-01800"/>
    <x v="227"/>
    <s v="CUST-0007"/>
    <s v="PROD-011"/>
    <x v="2"/>
    <n v="5"/>
    <n v="3450"/>
    <x v="57"/>
    <n v="12885.75"/>
    <x v="0"/>
    <s v="Bengaluru"/>
    <x v="0"/>
    <m/>
    <x v="1"/>
    <n v="47"/>
    <x v="0"/>
    <m/>
    <m/>
    <m/>
  </r>
  <r>
    <s v="ORD-01801"/>
    <x v="136"/>
    <s v="CUST-0118"/>
    <s v="PROD-009"/>
    <x v="7"/>
    <n v="7"/>
    <n v="1220"/>
    <x v="155"/>
    <n v="7421.26"/>
    <x v="0"/>
    <s v="Hyderabad"/>
    <x v="4"/>
    <m/>
    <x v="1"/>
    <n v="26"/>
    <x v="4"/>
    <s v="Sep-24"/>
    <n v="517"/>
    <n v="0.57622950819672136"/>
  </r>
  <r>
    <s v="ORD-01802"/>
    <x v="344"/>
    <s v="CUST-0064"/>
    <s v="PROD-027"/>
    <x v="1"/>
    <n v="10"/>
    <n v="3780"/>
    <x v="129"/>
    <n v="28841.4"/>
    <x v="0"/>
    <s v="Hyderabad"/>
    <x v="2"/>
    <m/>
    <x v="0"/>
    <n v="40"/>
    <x v="3"/>
    <s v="Jun-24"/>
    <n v="2436"/>
    <n v="0.35555555555555557"/>
  </r>
  <r>
    <s v="ORD-01803"/>
    <x v="171"/>
    <s v="CUST-0298"/>
    <s v="PROD-008"/>
    <x v="25"/>
    <n v="8"/>
    <n v="2660"/>
    <x v="111"/>
    <n v="17853.919999999998"/>
    <x v="0"/>
    <s v="Delhi"/>
    <x v="4"/>
    <m/>
    <x v="1"/>
    <n v="44"/>
    <x v="0"/>
    <m/>
    <m/>
    <m/>
  </r>
  <r>
    <s v="ORD-01804"/>
    <x v="200"/>
    <s v="CUST-0020"/>
    <s v="PROD-035"/>
    <x v="4"/>
    <n v="6"/>
    <n v="1090"/>
    <x v="278"/>
    <n v="5232"/>
    <x v="1"/>
    <s v="Hyderabad"/>
    <x v="3"/>
    <m/>
    <x v="1"/>
    <n v="46"/>
    <x v="0"/>
    <m/>
    <m/>
    <m/>
  </r>
  <r>
    <s v="ORD-01805"/>
    <x v="258"/>
    <s v="CUST-9725"/>
    <s v="PROD-037"/>
    <x v="29"/>
    <n v="2"/>
    <n v="660"/>
    <x v="58"/>
    <n v="1073.1600000000001"/>
    <x v="0"/>
    <s v="Mumbai"/>
    <x v="3"/>
    <m/>
    <x v="3"/>
    <e v="#N/A"/>
    <x v="0"/>
    <m/>
    <m/>
    <m/>
  </r>
  <r>
    <s v="ORD-01806"/>
    <x v="10"/>
    <s v="CUST-0063"/>
    <s v="PROD-035"/>
    <x v="15"/>
    <n v="7"/>
    <n v="1090"/>
    <x v="202"/>
    <n v="6149.78"/>
    <x v="1"/>
    <s v="Mumbai"/>
    <x v="3"/>
    <m/>
    <x v="0"/>
    <n v="53"/>
    <x v="0"/>
    <m/>
    <m/>
    <m/>
  </r>
  <r>
    <s v="ORD-01807"/>
    <x v="335"/>
    <s v="CUST-0193"/>
    <s v="PROD-029"/>
    <x v="15"/>
    <n v="3"/>
    <n v="2210"/>
    <x v="293"/>
    <n v="5900.7"/>
    <x v="0"/>
    <s v="Bengaluru"/>
    <x v="2"/>
    <m/>
    <x v="1"/>
    <n v="42"/>
    <x v="0"/>
    <m/>
    <m/>
    <m/>
  </r>
  <r>
    <s v="ORD-01808"/>
    <x v="103"/>
    <s v="CUST-0142"/>
    <s v="PROD-006"/>
    <x v="20"/>
    <n v="2"/>
    <n v="3970"/>
    <x v="240"/>
    <n v="5962.94"/>
    <x v="0"/>
    <s v="Chennai"/>
    <x v="4"/>
    <m/>
    <x v="2"/>
    <n v="55"/>
    <x v="0"/>
    <m/>
    <m/>
    <m/>
  </r>
  <r>
    <s v="ORD-01809"/>
    <x v="210"/>
    <s v="CUST-0264"/>
    <s v="PROD-039"/>
    <x v="13"/>
    <n v="7"/>
    <n v="4610"/>
    <x v="280"/>
    <n v="30236.99"/>
    <x v="0"/>
    <s v="Pune"/>
    <x v="3"/>
    <m/>
    <x v="1"/>
    <n v="59"/>
    <x v="0"/>
    <m/>
    <m/>
    <m/>
  </r>
  <r>
    <s v="ORD-01810"/>
    <x v="210"/>
    <s v="CUST-0121"/>
    <s v="PROD-049"/>
    <x v="17"/>
    <n v="10"/>
    <n v="960"/>
    <x v="229"/>
    <n v="8198.4"/>
    <x v="0"/>
    <s v="Delhi"/>
    <x v="5"/>
    <m/>
    <x v="0"/>
    <n v="55"/>
    <x v="0"/>
    <m/>
    <m/>
    <m/>
  </r>
  <r>
    <s v="ORD-01811"/>
    <x v="77"/>
    <s v="CUST-0152"/>
    <s v="PROD-045"/>
    <x v="29"/>
    <n v="8"/>
    <n v="3020"/>
    <x v="258"/>
    <n v="20656.8"/>
    <x v="0"/>
    <s v="Bengaluru"/>
    <x v="5"/>
    <m/>
    <x v="0"/>
    <n v="64"/>
    <x v="0"/>
    <m/>
    <m/>
    <m/>
  </r>
  <r>
    <s v="ORD-01812"/>
    <x v="98"/>
    <s v="CUST-0008"/>
    <s v="PROD-019"/>
    <x v="17"/>
    <n v="7"/>
    <n v="2480"/>
    <x v="40"/>
    <n v="14356.72"/>
    <x v="0"/>
    <s v="Pune"/>
    <x v="0"/>
    <m/>
    <x v="0"/>
    <n v="39"/>
    <x v="4"/>
    <s v="Nov-24"/>
    <n v="1173"/>
    <n v="0.52701612903225803"/>
  </r>
  <r>
    <s v="ORD-01813"/>
    <x v="259"/>
    <s v="CUST-0285"/>
    <s v="PROD-004"/>
    <x v="22"/>
    <n v="10"/>
    <n v="3870"/>
    <x v="268"/>
    <n v="30031.200000000001"/>
    <x v="1"/>
    <s v="Hyderabad"/>
    <x v="4"/>
    <m/>
    <x v="1"/>
    <n v="22"/>
    <x v="2"/>
    <s v="Dec-24"/>
    <n v="1559"/>
    <n v="0.59715762273901807"/>
  </r>
  <r>
    <s v="ORD-01814"/>
    <x v="317"/>
    <s v="CUST-0072"/>
    <s v="PROD-037"/>
    <x v="24"/>
    <n v="6"/>
    <n v="660"/>
    <x v="289"/>
    <n v="2878.92"/>
    <x v="0"/>
    <s v="Mumbai"/>
    <x v="3"/>
    <m/>
    <x v="2"/>
    <n v="62"/>
    <x v="0"/>
    <m/>
    <m/>
    <m/>
  </r>
  <r>
    <s v="ORD-01815"/>
    <x v="188"/>
    <s v="CUST-9630"/>
    <s v="PROD-004"/>
    <x v="17"/>
    <n v="3"/>
    <n v="3870"/>
    <x v="220"/>
    <n v="10727.64"/>
    <x v="2"/>
    <s v="Chennai"/>
    <x v="4"/>
    <m/>
    <x v="3"/>
    <e v="#N/A"/>
    <x v="0"/>
    <m/>
    <m/>
    <m/>
  </r>
  <r>
    <s v="ORD-01816"/>
    <x v="176"/>
    <s v="CUST-0243"/>
    <s v="PROD-019"/>
    <x v="3"/>
    <n v="10"/>
    <n v="2480"/>
    <x v="145"/>
    <n v="19468"/>
    <x v="1"/>
    <s v="Pune"/>
    <x v="0"/>
    <m/>
    <x v="0"/>
    <n v="44"/>
    <x v="0"/>
    <m/>
    <m/>
    <m/>
  </r>
  <r>
    <s v="ORD-01817"/>
    <x v="175"/>
    <s v="CUST-0231"/>
    <s v="PROD-010"/>
    <x v="19"/>
    <n v="8"/>
    <n v="2640"/>
    <x v="255"/>
    <n v="16410.240000000002"/>
    <x v="0"/>
    <s v="Chennai"/>
    <x v="4"/>
    <m/>
    <x v="1"/>
    <n v="61"/>
    <x v="0"/>
    <m/>
    <m/>
    <m/>
  </r>
  <r>
    <s v="ORD-01818"/>
    <x v="115"/>
    <s v="CUST-0229"/>
    <s v="PROD-030"/>
    <x v="19"/>
    <n v="8"/>
    <n v="970"/>
    <x v="155"/>
    <n v="6743.44"/>
    <x v="0"/>
    <s v="Hyderabad"/>
    <x v="2"/>
    <m/>
    <x v="0"/>
    <n v="25"/>
    <x v="1"/>
    <s v="Dec-24"/>
    <n v="434"/>
    <n v="0.5525773195876289"/>
  </r>
  <r>
    <s v="ORD-01819"/>
    <x v="104"/>
    <s v="CUST-0218"/>
    <s v="PROD-057"/>
    <x v="19"/>
    <n v="6"/>
    <n v="960"/>
    <x v="185"/>
    <n v="5575.68"/>
    <x v="0"/>
    <s v="Mumbai"/>
    <x v="1"/>
    <m/>
    <x v="1"/>
    <n v="39"/>
    <x v="1"/>
    <s v="Sep-24"/>
    <n v="705"/>
    <n v="0.265625"/>
  </r>
  <r>
    <s v="ORD-01820"/>
    <x v="277"/>
    <s v="CUST-0015"/>
    <s v="PROD-033"/>
    <x v="4"/>
    <n v="9"/>
    <n v="2030"/>
    <x v="208"/>
    <n v="15967.98"/>
    <x v="2"/>
    <s v="Chennai"/>
    <x v="3"/>
    <m/>
    <x v="1"/>
    <n v="31"/>
    <x v="1"/>
    <s v="May-24"/>
    <n v="1143"/>
    <n v="0.43694581280788175"/>
  </r>
  <r>
    <s v="ORD-01821"/>
    <x v="244"/>
    <s v="CUST-0291"/>
    <s v="PROD-042"/>
    <x v="6"/>
    <n v="10"/>
    <n v="2290"/>
    <x v="73"/>
    <n v="17816.2"/>
    <x v="0"/>
    <s v="Pune"/>
    <x v="5"/>
    <m/>
    <x v="0"/>
    <n v="29"/>
    <x v="1"/>
    <s v="Jun-24"/>
    <n v="1219"/>
    <n v="0.46768558951965067"/>
  </r>
  <r>
    <s v="ORD-01822"/>
    <x v="41"/>
    <s v="CUST-0276"/>
    <s v="PROD-020"/>
    <x v="28"/>
    <n v="7"/>
    <n v="820"/>
    <x v="295"/>
    <n v="5372.64"/>
    <x v="3"/>
    <s v="Chennai"/>
    <x v="0"/>
    <m/>
    <x v="1"/>
    <n v="26"/>
    <x v="2"/>
    <s v="Apr-24"/>
    <n v="391"/>
    <n v="0.52317073170731709"/>
  </r>
  <r>
    <s v="ORD-01823"/>
    <x v="105"/>
    <s v="CUST-0139"/>
    <s v="PROD-040"/>
    <x v="14"/>
    <n v="5"/>
    <n v="1080"/>
    <x v="242"/>
    <n v="5076"/>
    <x v="0"/>
    <s v="Hyderabad"/>
    <x v="3"/>
    <m/>
    <x v="0"/>
    <n v="65"/>
    <x v="0"/>
    <m/>
    <m/>
    <m/>
  </r>
  <r>
    <s v="ORD-01824"/>
    <x v="202"/>
    <s v="CUST-0087"/>
    <s v="PROD-060"/>
    <x v="8"/>
    <n v="4"/>
    <n v="190"/>
    <x v="280"/>
    <n v="712.12"/>
    <x v="3"/>
    <s v="Pune"/>
    <x v="1"/>
    <m/>
    <x v="0"/>
    <n v="49"/>
    <x v="0"/>
    <m/>
    <m/>
    <m/>
  </r>
  <r>
    <s v="ORD-01825"/>
    <x v="158"/>
    <s v="CUST-0203"/>
    <s v="PROD-017"/>
    <x v="20"/>
    <n v="6"/>
    <n v="2510"/>
    <x v="44"/>
    <n v="13328.1"/>
    <x v="0"/>
    <s v="Chennai"/>
    <x v="0"/>
    <m/>
    <x v="0"/>
    <n v="55"/>
    <x v="0"/>
    <m/>
    <m/>
    <m/>
  </r>
  <r>
    <s v="ORD-01826"/>
    <x v="193"/>
    <s v="CUST-0180"/>
    <s v="PROD-018"/>
    <x v="15"/>
    <n v="2"/>
    <n v="3560"/>
    <x v="184"/>
    <n v="6372.4"/>
    <x v="0"/>
    <s v="Chennai"/>
    <x v="0"/>
    <m/>
    <x v="1"/>
    <n v="36"/>
    <x v="2"/>
    <s v="Jan-24"/>
    <n v="2629"/>
    <n v="0.26151685393258428"/>
  </r>
  <r>
    <s v="ORD-01827"/>
    <x v="361"/>
    <s v="CUST-0130"/>
    <s v="PROD-020"/>
    <x v="22"/>
    <n v="3"/>
    <n v="820"/>
    <x v="188"/>
    <n v="2140.1999999999998"/>
    <x v="2"/>
    <s v="Bengaluru"/>
    <x v="0"/>
    <m/>
    <x v="2"/>
    <n v="41"/>
    <x v="0"/>
    <m/>
    <m/>
    <m/>
  </r>
  <r>
    <s v="ORD-01828"/>
    <x v="66"/>
    <s v="CUST-0049"/>
    <s v="PROD-013"/>
    <x v="11"/>
    <n v="6"/>
    <n v="3640"/>
    <x v="170"/>
    <n v="18782.400000000001"/>
    <x v="0"/>
    <s v="Mumbai"/>
    <x v="0"/>
    <m/>
    <x v="2"/>
    <n v="42"/>
    <x v="0"/>
    <m/>
    <m/>
    <m/>
  </r>
  <r>
    <s v="ORD-01829"/>
    <x v="43"/>
    <s v="CUST-0182"/>
    <s v="PROD-028"/>
    <x v="7"/>
    <n v="5"/>
    <n v="3660"/>
    <x v="20"/>
    <n v="13047.9"/>
    <x v="0"/>
    <s v="Mumbai"/>
    <x v="2"/>
    <m/>
    <x v="1"/>
    <n v="54"/>
    <x v="0"/>
    <m/>
    <m/>
    <m/>
  </r>
  <r>
    <s v="ORD-01830"/>
    <x v="126"/>
    <s v="CUST-0291"/>
    <s v="PROD-055"/>
    <x v="14"/>
    <n v="2"/>
    <n v="2860"/>
    <x v="35"/>
    <n v="4513.08"/>
    <x v="0"/>
    <s v="Pune"/>
    <x v="1"/>
    <m/>
    <x v="0"/>
    <n v="29"/>
    <x v="3"/>
    <s v="Mar-24"/>
    <n v="2028"/>
    <n v="0.29090909090909089"/>
  </r>
  <r>
    <s v="ORD-01831"/>
    <x v="214"/>
    <s v="CUST-0167"/>
    <s v="PROD-015"/>
    <x v="7"/>
    <n v="1"/>
    <n v="2720"/>
    <x v="299"/>
    <n v="2118.88"/>
    <x v="0"/>
    <s v="Delhi"/>
    <x v="0"/>
    <m/>
    <x v="1"/>
    <n v="43"/>
    <x v="0"/>
    <m/>
    <m/>
    <m/>
  </r>
  <r>
    <s v="ORD-01832"/>
    <x v="142"/>
    <s v="CUST-0223"/>
    <s v="PROD-055"/>
    <x v="10"/>
    <n v="6"/>
    <n v="2860"/>
    <x v="184"/>
    <n v="15358.2"/>
    <x v="2"/>
    <s v="Bengaluru"/>
    <x v="1"/>
    <m/>
    <x v="1"/>
    <n v="46"/>
    <x v="0"/>
    <m/>
    <m/>
    <m/>
  </r>
  <r>
    <s v="ORD-01833"/>
    <x v="359"/>
    <s v="CUST-0050"/>
    <s v="PROD-017"/>
    <x v="16"/>
    <n v="1"/>
    <n v="2510"/>
    <x v="236"/>
    <n v="2208.8000000000002"/>
    <x v="0"/>
    <s v="Mumbai"/>
    <x v="0"/>
    <m/>
    <x v="1"/>
    <n v="37"/>
    <x v="1"/>
    <s v="Dec-24"/>
    <n v="1075"/>
    <n v="0.57171314741035861"/>
  </r>
  <r>
    <s v="ORD-01834"/>
    <x v="106"/>
    <s v="CUST-0242"/>
    <s v="PROD-017"/>
    <x v="16"/>
    <n v="4"/>
    <n v="2510"/>
    <x v="204"/>
    <n v="7710.72"/>
    <x v="0"/>
    <s v="Chennai"/>
    <x v="0"/>
    <m/>
    <x v="0"/>
    <n v="59"/>
    <x v="0"/>
    <m/>
    <m/>
    <m/>
  </r>
  <r>
    <s v="ORD-01835"/>
    <x v="122"/>
    <s v="CUST-0144"/>
    <s v="PROD-049"/>
    <x v="1"/>
    <n v="8"/>
    <n v="960"/>
    <x v="126"/>
    <n v="6120.96"/>
    <x v="1"/>
    <s v="Chennai"/>
    <x v="5"/>
    <m/>
    <x v="1"/>
    <n v="49"/>
    <x v="0"/>
    <m/>
    <m/>
    <m/>
  </r>
  <r>
    <s v="ORD-01836"/>
    <x v="5"/>
    <s v="CUST-0140"/>
    <s v="PROD-038"/>
    <x v="9"/>
    <n v="3"/>
    <n v="5490"/>
    <x v="67"/>
    <n v="12319.56"/>
    <x v="0"/>
    <s v="Hyderabad"/>
    <x v="3"/>
    <m/>
    <x v="0"/>
    <n v="39"/>
    <x v="1"/>
    <s v="Sep-24"/>
    <n v="2549"/>
    <n v="0.53570127504553733"/>
  </r>
  <r>
    <s v="ORD-01837"/>
    <x v="262"/>
    <s v="CUST-0174"/>
    <s v="PROD-017"/>
    <x v="3"/>
    <n v="2"/>
    <n v="2510"/>
    <x v="154"/>
    <n v="3604.36"/>
    <x v="0"/>
    <s v="Pune"/>
    <x v="0"/>
    <m/>
    <x v="1"/>
    <n v="54"/>
    <x v="0"/>
    <m/>
    <m/>
    <m/>
  </r>
  <r>
    <s v="ORD-01838"/>
    <x v="194"/>
    <s v="CUST-0290"/>
    <s v="PROD-020"/>
    <x v="23"/>
    <n v="1"/>
    <n v="820"/>
    <x v="250"/>
    <n v="781.46"/>
    <x v="0"/>
    <s v="Delhi"/>
    <x v="0"/>
    <m/>
    <x v="1"/>
    <n v="63"/>
    <x v="0"/>
    <m/>
    <m/>
    <m/>
  </r>
  <r>
    <s v="ORD-01839"/>
    <x v="99"/>
    <s v="CUST-0170"/>
    <s v="PROD-005"/>
    <x v="26"/>
    <n v="6"/>
    <n v="300"/>
    <x v="275"/>
    <n v="1560.6"/>
    <x v="0"/>
    <s v="Mumbai"/>
    <x v="4"/>
    <m/>
    <x v="0"/>
    <n v="22"/>
    <x v="4"/>
    <s v="Apr-24"/>
    <n v="128"/>
    <n v="0.57333333333333336"/>
  </r>
  <r>
    <s v="ORD-01840"/>
    <x v="155"/>
    <s v="CUST-0180"/>
    <s v="PROD-043"/>
    <x v="29"/>
    <n v="4"/>
    <n v="3350"/>
    <x v="6"/>
    <n v="12622.8"/>
    <x v="1"/>
    <s v="Chennai"/>
    <x v="5"/>
    <m/>
    <x v="1"/>
    <n v="36"/>
    <x v="3"/>
    <s v="Jun-24"/>
    <n v="1728"/>
    <n v="0.48417910447761192"/>
  </r>
  <r>
    <s v="ORD-01841"/>
    <x v="150"/>
    <s v="CUST-0286"/>
    <s v="PROD-036"/>
    <x v="5"/>
    <n v="3"/>
    <n v="3250"/>
    <x v="153"/>
    <n v="7839"/>
    <x v="1"/>
    <s v="Delhi"/>
    <x v="3"/>
    <m/>
    <x v="1"/>
    <n v="62"/>
    <x v="0"/>
    <m/>
    <m/>
    <m/>
  </r>
  <r>
    <s v="ORD-01842"/>
    <x v="112"/>
    <s v="CUST-0056"/>
    <s v="PROD-044"/>
    <x v="28"/>
    <n v="10"/>
    <n v="1650"/>
    <x v="259"/>
    <n v="12787.5"/>
    <x v="2"/>
    <s v="Bengaluru"/>
    <x v="5"/>
    <m/>
    <x v="0"/>
    <n v="46"/>
    <x v="0"/>
    <m/>
    <m/>
    <m/>
  </r>
  <r>
    <s v="ORD-01843"/>
    <x v="47"/>
    <s v="CUST-0292"/>
    <s v="PROD-009"/>
    <x v="17"/>
    <n v="2"/>
    <n v="1220"/>
    <x v="184"/>
    <n v="2183.8000000000002"/>
    <x v="0"/>
    <s v="Bengaluru"/>
    <x v="4"/>
    <m/>
    <x v="1"/>
    <n v="32"/>
    <x v="2"/>
    <s v="Feb-24"/>
    <n v="517"/>
    <n v="0.57622950819672136"/>
  </r>
  <r>
    <s v="ORD-01844"/>
    <x v="126"/>
    <s v="CUST-0020"/>
    <s v="PROD-049"/>
    <x v="17"/>
    <n v="7"/>
    <n v="960"/>
    <x v="75"/>
    <n v="6357.12"/>
    <x v="3"/>
    <s v="Hyderabad"/>
    <x v="5"/>
    <m/>
    <x v="1"/>
    <n v="46"/>
    <x v="0"/>
    <m/>
    <m/>
    <m/>
  </r>
  <r>
    <s v="ORD-01845"/>
    <x v="44"/>
    <s v="CUST-0089"/>
    <s v="PROD-046"/>
    <x v="2"/>
    <n v="3"/>
    <n v="4880"/>
    <x v="150"/>
    <n v="12136.56"/>
    <x v="0"/>
    <s v="Mumbai"/>
    <x v="5"/>
    <m/>
    <x v="0"/>
    <n v="43"/>
    <x v="0"/>
    <m/>
    <m/>
    <m/>
  </r>
  <r>
    <s v="ORD-01846"/>
    <x v="69"/>
    <s v="CUST-0242"/>
    <s v="PROD-024"/>
    <x v="8"/>
    <n v="5"/>
    <n v="2270"/>
    <x v="79"/>
    <n v="9942.6"/>
    <x v="0"/>
    <s v="Chennai"/>
    <x v="2"/>
    <m/>
    <x v="0"/>
    <n v="59"/>
    <x v="0"/>
    <m/>
    <m/>
    <m/>
  </r>
  <r>
    <s v="ORD-01847"/>
    <x v="3"/>
    <s v="CUST-0249"/>
    <s v="PROD-035"/>
    <x v="8"/>
    <n v="1"/>
    <n v="1090"/>
    <x v="40"/>
    <n v="901.43"/>
    <x v="0"/>
    <s v="Mumbai"/>
    <x v="3"/>
    <m/>
    <x v="1"/>
    <n v="44"/>
    <x v="0"/>
    <m/>
    <m/>
    <m/>
  </r>
  <r>
    <s v="ORD-01848"/>
    <x v="275"/>
    <s v="CUST-0032"/>
    <s v="PROD-034"/>
    <x v="20"/>
    <n v="8"/>
    <n v="5080"/>
    <x v="122"/>
    <n v="40274.239999999998"/>
    <x v="0"/>
    <s v="Hyderabad"/>
    <x v="3"/>
    <m/>
    <x v="1"/>
    <n v="28"/>
    <x v="2"/>
    <s v="May-24"/>
    <n v="2459"/>
    <n v="0.51594488188976373"/>
  </r>
  <r>
    <s v="ORD-01849"/>
    <x v="28"/>
    <s v="CUST-0217"/>
    <s v="PROD-039"/>
    <x v="21"/>
    <n v="7"/>
    <n v="4610"/>
    <x v="122"/>
    <n v="31979.57"/>
    <x v="0"/>
    <s v="Pune"/>
    <x v="3"/>
    <m/>
    <x v="0"/>
    <n v="59"/>
    <x v="0"/>
    <m/>
    <m/>
    <m/>
  </r>
  <r>
    <s v="ORD-01850"/>
    <x v="159"/>
    <s v="CUST-0284"/>
    <s v="PROD-045"/>
    <x v="8"/>
    <n v="1"/>
    <n v="3020"/>
    <x v="222"/>
    <n v="2708.94"/>
    <x v="0"/>
    <s v="Hyderabad"/>
    <x v="5"/>
    <m/>
    <x v="0"/>
    <n v="65"/>
    <x v="0"/>
    <m/>
    <m/>
    <m/>
  </r>
  <r>
    <s v="ORD-01851"/>
    <x v="99"/>
    <s v="CUST-0167"/>
    <s v="PROD-022"/>
    <x v="8"/>
    <n v="6"/>
    <n v="2270"/>
    <x v="285"/>
    <n v="10473.780000000001"/>
    <x v="0"/>
    <s v="Delhi"/>
    <x v="2"/>
    <m/>
    <x v="1"/>
    <n v="43"/>
    <x v="0"/>
    <m/>
    <m/>
    <m/>
  </r>
  <r>
    <s v="ORD-01852"/>
    <x v="150"/>
    <s v="CUST-0008"/>
    <s v="PROD-026"/>
    <x v="9"/>
    <n v="6"/>
    <n v="4070"/>
    <x v="65"/>
    <n v="17362.62"/>
    <x v="0"/>
    <s v="Pune"/>
    <x v="2"/>
    <m/>
    <x v="0"/>
    <n v="39"/>
    <x v="2"/>
    <s v="Jun-24"/>
    <n v="2027"/>
    <n v="0.50196560196560192"/>
  </r>
  <r>
    <s v="ORD-01853"/>
    <x v="181"/>
    <s v="CUST-0277"/>
    <s v="PROD-009"/>
    <x v="21"/>
    <n v="5"/>
    <n v="1220"/>
    <x v="58"/>
    <n v="4959.3"/>
    <x v="0"/>
    <s v="Chennai"/>
    <x v="4"/>
    <m/>
    <x v="2"/>
    <n v="34"/>
    <x v="4"/>
    <s v="Nov-24"/>
    <n v="517"/>
    <n v="0.57622950819672136"/>
  </r>
  <r>
    <s v="ORD-01854"/>
    <x v="249"/>
    <s v="CUST-0025"/>
    <s v="PROD-019"/>
    <x v="6"/>
    <n v="8"/>
    <n v="2480"/>
    <x v="185"/>
    <n v="19205.12"/>
    <x v="2"/>
    <s v="Bengaluru"/>
    <x v="0"/>
    <m/>
    <x v="1"/>
    <n v="23"/>
    <x v="3"/>
    <s v="Dec-24"/>
    <n v="1173"/>
    <n v="0.52701612903225803"/>
  </r>
  <r>
    <s v="ORD-01855"/>
    <x v="211"/>
    <s v="CUST-0228"/>
    <s v="PROD-055"/>
    <x v="0"/>
    <n v="7"/>
    <n v="2860"/>
    <x v="68"/>
    <n v="18338.32"/>
    <x v="0"/>
    <s v="Pune"/>
    <x v="1"/>
    <m/>
    <x v="2"/>
    <n v="37"/>
    <x v="2"/>
    <s v="Apr-24"/>
    <n v="2028"/>
    <n v="0.29090909090909089"/>
  </r>
  <r>
    <s v="ORD-01856"/>
    <x v="13"/>
    <s v="CUST-0078"/>
    <s v="PROD-027"/>
    <x v="6"/>
    <n v="1"/>
    <n v="3780"/>
    <x v="143"/>
    <n v="3163.86"/>
    <x v="2"/>
    <s v="Delhi"/>
    <x v="2"/>
    <m/>
    <x v="1"/>
    <n v="31"/>
    <x v="1"/>
    <s v="Sep-24"/>
    <n v="2436"/>
    <n v="0.35555555555555557"/>
  </r>
  <r>
    <s v="ORD-01857"/>
    <x v="172"/>
    <s v="CUST-0205"/>
    <s v="PROD-055"/>
    <x v="5"/>
    <n v="6"/>
    <n v="2860"/>
    <x v="32"/>
    <n v="15323.88"/>
    <x v="0"/>
    <s v="Pune"/>
    <x v="1"/>
    <m/>
    <x v="2"/>
    <n v="29"/>
    <x v="2"/>
    <s v="Mar-24"/>
    <n v="2028"/>
    <n v="0.29090909090909089"/>
  </r>
  <r>
    <s v="ORD-01858"/>
    <x v="325"/>
    <s v="CUST-0044"/>
    <s v="PROD-058"/>
    <x v="28"/>
    <n v="3"/>
    <n v="2400"/>
    <x v="14"/>
    <n v="5709.6"/>
    <x v="0"/>
    <s v="Hyderabad"/>
    <x v="1"/>
    <m/>
    <x v="0"/>
    <n v="29"/>
    <x v="2"/>
    <s v="Jul-24"/>
    <n v="974"/>
    <n v="0.59416666666666662"/>
  </r>
  <r>
    <s v="ORD-01859"/>
    <x v="259"/>
    <s v="CUST-0188"/>
    <s v="PROD-023"/>
    <x v="5"/>
    <n v="8"/>
    <n v="2380"/>
    <x v="255"/>
    <n v="14794.08"/>
    <x v="3"/>
    <s v="Bengaluru"/>
    <x v="2"/>
    <m/>
    <x v="1"/>
    <n v="54"/>
    <x v="0"/>
    <m/>
    <m/>
    <m/>
  </r>
  <r>
    <s v="ORD-01860"/>
    <x v="80"/>
    <s v="CUST-0165"/>
    <s v="PROD-048"/>
    <x v="3"/>
    <n v="7"/>
    <n v="5100"/>
    <x v="246"/>
    <n v="27524.7"/>
    <x v="2"/>
    <s v="Pune"/>
    <x v="5"/>
    <m/>
    <x v="1"/>
    <n v="29"/>
    <x v="2"/>
    <s v="Feb-24"/>
    <n v="2237"/>
    <n v="0.56137254901960787"/>
  </r>
  <r>
    <s v="ORD-01861"/>
    <x v="113"/>
    <s v="CUST-0059"/>
    <s v="PROD-005"/>
    <x v="15"/>
    <n v="7"/>
    <n v="300"/>
    <x v="146"/>
    <n v="1778.7"/>
    <x v="0"/>
    <s v="Pune"/>
    <x v="4"/>
    <m/>
    <x v="2"/>
    <n v="29"/>
    <x v="1"/>
    <s v="Aug-24"/>
    <n v="128"/>
    <n v="0.57333333333333336"/>
  </r>
  <r>
    <s v="ORD-01862"/>
    <x v="49"/>
    <s v="CUST-0280"/>
    <s v="PROD-051"/>
    <x v="9"/>
    <n v="5"/>
    <n v="3450"/>
    <x v="135"/>
    <n v="14352"/>
    <x v="0"/>
    <s v="Delhi"/>
    <x v="1"/>
    <m/>
    <x v="0"/>
    <n v="27"/>
    <x v="4"/>
    <s v="Jun-24"/>
    <n v="2467"/>
    <n v="0.28492753623188405"/>
  </r>
  <r>
    <s v="ORD-01863"/>
    <x v="287"/>
    <s v="CUST-0153"/>
    <s v="PROD-055"/>
    <x v="2"/>
    <n v="4"/>
    <n v="2860"/>
    <x v="284"/>
    <n v="9804.08"/>
    <x v="0"/>
    <s v="Mumbai"/>
    <x v="1"/>
    <m/>
    <x v="1"/>
    <n v="35"/>
    <x v="4"/>
    <s v="May-24"/>
    <n v="2028"/>
    <n v="0.29090909090909089"/>
  </r>
  <r>
    <s v="ORD-01864"/>
    <x v="180"/>
    <s v="CUST-0251"/>
    <s v="PROD-015"/>
    <x v="19"/>
    <n v="6"/>
    <n v="2720"/>
    <x v="102"/>
    <n v="12223.68"/>
    <x v="2"/>
    <s v="Mumbai"/>
    <x v="0"/>
    <m/>
    <x v="1"/>
    <n v="44"/>
    <x v="0"/>
    <m/>
    <m/>
    <m/>
  </r>
  <r>
    <s v="ORD-01865"/>
    <x v="335"/>
    <s v="CUST-0255"/>
    <s v="PROD-031"/>
    <x v="8"/>
    <n v="3"/>
    <n v="3730"/>
    <x v="277"/>
    <n v="8414.8799999999992"/>
    <x v="0"/>
    <s v="Chennai"/>
    <x v="3"/>
    <m/>
    <x v="2"/>
    <n v="51"/>
    <x v="0"/>
    <m/>
    <m/>
    <m/>
  </r>
  <r>
    <s v="ORD-01866"/>
    <x v="83"/>
    <s v="CUST-0076"/>
    <s v="PROD-025"/>
    <x v="25"/>
    <n v="2"/>
    <n v="4060"/>
    <x v="139"/>
    <n v="7202.44"/>
    <x v="0"/>
    <s v="Mumbai"/>
    <x v="2"/>
    <m/>
    <x v="1"/>
    <n v="38"/>
    <x v="2"/>
    <s v="May-24"/>
    <n v="2911"/>
    <n v="0.28300492610837441"/>
  </r>
  <r>
    <s v="ORD-01867"/>
    <x v="146"/>
    <s v="CUST-0195"/>
    <s v="PROD-042"/>
    <x v="26"/>
    <n v="6"/>
    <n v="2290"/>
    <x v="253"/>
    <n v="10057.68"/>
    <x v="3"/>
    <s v="Bengaluru"/>
    <x v="5"/>
    <m/>
    <x v="1"/>
    <n v="28"/>
    <x v="1"/>
    <s v="Dec-24"/>
    <n v="1219"/>
    <n v="0.46768558951965067"/>
  </r>
  <r>
    <s v="ORD-01868"/>
    <x v="196"/>
    <s v="CUST-0164"/>
    <s v="PROD-056"/>
    <x v="22"/>
    <n v="1"/>
    <n v="6940"/>
    <x v="3"/>
    <n v="5850.42"/>
    <x v="0"/>
    <s v="Chennai"/>
    <x v="1"/>
    <m/>
    <x v="1"/>
    <n v="60"/>
    <x v="0"/>
    <m/>
    <m/>
    <m/>
  </r>
  <r>
    <s v="ORD-01869"/>
    <x v="235"/>
    <s v="CUST-0239"/>
    <s v="PROD-031"/>
    <x v="18"/>
    <n v="3"/>
    <n v="3730"/>
    <x v="128"/>
    <n v="9164.61"/>
    <x v="0"/>
    <s v="Mumbai"/>
    <x v="3"/>
    <m/>
    <x v="1"/>
    <n v="61"/>
    <x v="0"/>
    <m/>
    <m/>
    <m/>
  </r>
  <r>
    <s v="ORD-01870"/>
    <x v="72"/>
    <s v="CUST-0133"/>
    <s v="PROD-031"/>
    <x v="25"/>
    <n v="8"/>
    <n v="3730"/>
    <x v="119"/>
    <n v="26110"/>
    <x v="0"/>
    <s v="Chennai"/>
    <x v="3"/>
    <m/>
    <x v="1"/>
    <n v="26"/>
    <x v="4"/>
    <s v="Nov-24"/>
    <n v="2135"/>
    <n v="0.42761394101876676"/>
  </r>
  <r>
    <s v="ORD-01871"/>
    <x v="128"/>
    <s v="CUST-0286"/>
    <s v="PROD-023"/>
    <x v="15"/>
    <n v="9"/>
    <n v="2380"/>
    <x v="282"/>
    <n v="19684.98"/>
    <x v="2"/>
    <s v="Delhi"/>
    <x v="2"/>
    <m/>
    <x v="1"/>
    <n v="62"/>
    <x v="0"/>
    <m/>
    <m/>
    <m/>
  </r>
  <r>
    <s v="ORD-01872"/>
    <x v="206"/>
    <s v="CUST-0122"/>
    <s v="PROD-040"/>
    <x v="25"/>
    <n v="6"/>
    <n v="1080"/>
    <x v="286"/>
    <n v="5909.76"/>
    <x v="0"/>
    <s v="Mumbai"/>
    <x v="3"/>
    <m/>
    <x v="1"/>
    <n v="44"/>
    <x v="0"/>
    <m/>
    <m/>
    <m/>
  </r>
  <r>
    <s v="ORD-01712"/>
    <x v="24"/>
    <s v="CUST-0285"/>
    <s v="PROD-053"/>
    <x v="22"/>
    <n v="5"/>
    <n v="470"/>
    <x v="89"/>
    <n v="2319.4499999999998"/>
    <x v="0"/>
    <s v="Hyderabad"/>
    <x v="1"/>
    <m/>
    <x v="1"/>
    <n v="22"/>
    <x v="1"/>
    <s v="Jul-24"/>
    <n v="302"/>
    <n v="0.35744680851063831"/>
  </r>
  <r>
    <s v="ORD-01874"/>
    <x v="340"/>
    <s v="CUST-0174"/>
    <s v="PROD-032"/>
    <x v="17"/>
    <n v="4"/>
    <n v="370"/>
    <x v="155"/>
    <n v="1286.1199999999999"/>
    <x v="0"/>
    <s v="Pune"/>
    <x v="3"/>
    <m/>
    <x v="1"/>
    <n v="54"/>
    <x v="0"/>
    <m/>
    <m/>
    <m/>
  </r>
  <r>
    <s v="ORD-01875"/>
    <x v="25"/>
    <s v="CUST-0115"/>
    <s v="PROD-012"/>
    <x v="0"/>
    <n v="7"/>
    <n v="3160"/>
    <x v="281"/>
    <n v="19399.240000000002"/>
    <x v="0"/>
    <s v="Mumbai"/>
    <x v="0"/>
    <m/>
    <x v="0"/>
    <n v="65"/>
    <x v="0"/>
    <m/>
    <m/>
    <m/>
  </r>
  <r>
    <s v="ORD-01876"/>
    <x v="218"/>
    <s v="CUST-0028"/>
    <s v="PROD-018"/>
    <x v="6"/>
    <n v="5"/>
    <n v="3560"/>
    <x v="59"/>
    <n v="13528"/>
    <x v="0"/>
    <s v="Bengaluru"/>
    <x v="0"/>
    <m/>
    <x v="1"/>
    <n v="59"/>
    <x v="0"/>
    <m/>
    <m/>
    <m/>
  </r>
  <r>
    <s v="ORD-01877"/>
    <x v="53"/>
    <s v="CUST-0111"/>
    <s v="PROD-033"/>
    <x v="13"/>
    <n v="6"/>
    <n v="2030"/>
    <x v="270"/>
    <n v="9683.1"/>
    <x v="0"/>
    <s v="Chennai"/>
    <x v="3"/>
    <m/>
    <x v="0"/>
    <n v="64"/>
    <x v="0"/>
    <m/>
    <m/>
    <m/>
  </r>
  <r>
    <s v="ORD-01878"/>
    <x v="116"/>
    <s v="CUST-0240"/>
    <s v="PROD-010"/>
    <x v="26"/>
    <n v="5"/>
    <n v="2640"/>
    <x v="206"/>
    <n v="10388.4"/>
    <x v="1"/>
    <s v="Chennai"/>
    <x v="4"/>
    <m/>
    <x v="2"/>
    <n v="35"/>
    <x v="3"/>
    <s v="May-24"/>
    <n v="1149"/>
    <n v="0.56477272727272732"/>
  </r>
  <r>
    <s v="ORD-01879"/>
    <x v="98"/>
    <s v="CUST-0222"/>
    <s v="PROD-022"/>
    <x v="25"/>
    <n v="4"/>
    <n v="2270"/>
    <x v="63"/>
    <n v="7645.36"/>
    <x v="0"/>
    <s v="Chennai"/>
    <x v="2"/>
    <m/>
    <x v="1"/>
    <n v="37"/>
    <x v="3"/>
    <s v="Feb-24"/>
    <n v="1412"/>
    <n v="0.37797356828193834"/>
  </r>
  <r>
    <s v="ORD-01880"/>
    <x v="276"/>
    <s v="CUST-0251"/>
    <s v="PROD-032"/>
    <x v="25"/>
    <n v="1"/>
    <n v="370"/>
    <x v="276"/>
    <n v="270.10000000000002"/>
    <x v="1"/>
    <s v="Mumbai"/>
    <x v="3"/>
    <m/>
    <x v="1"/>
    <n v="44"/>
    <x v="0"/>
    <m/>
    <m/>
    <m/>
  </r>
  <r>
    <s v="ORD-01881"/>
    <x v="250"/>
    <s v="CUST-0203"/>
    <s v="PROD-048"/>
    <x v="21"/>
    <n v="9"/>
    <n v="5100"/>
    <x v="7"/>
    <n v="44798.400000000001"/>
    <x v="0"/>
    <s v="Chennai"/>
    <x v="5"/>
    <m/>
    <x v="0"/>
    <n v="55"/>
    <x v="0"/>
    <m/>
    <m/>
    <m/>
  </r>
  <r>
    <s v="ORD-01882"/>
    <x v="94"/>
    <s v="CUST-0285"/>
    <s v="PROD-032"/>
    <x v="12"/>
    <n v="6"/>
    <n v="370"/>
    <x v="58"/>
    <n v="1804.86"/>
    <x v="2"/>
    <s v="Hyderabad"/>
    <x v="3"/>
    <m/>
    <x v="1"/>
    <n v="22"/>
    <x v="3"/>
    <s v="Mar-24"/>
    <n v="288"/>
    <n v="0.22162162162162163"/>
  </r>
  <r>
    <s v="ORD-01883"/>
    <x v="57"/>
    <s v="CUST-0135"/>
    <s v="PROD-030"/>
    <x v="10"/>
    <n v="6"/>
    <n v="970"/>
    <x v="104"/>
    <n v="4562.88"/>
    <x v="0"/>
    <s v="Pune"/>
    <x v="2"/>
    <m/>
    <x v="0"/>
    <n v="24"/>
    <x v="3"/>
    <s v="Jan-24"/>
    <n v="434"/>
    <n v="0.5525773195876289"/>
  </r>
  <r>
    <s v="ORD-01884"/>
    <x v="81"/>
    <s v="CUST-9967"/>
    <s v="PROD-029"/>
    <x v="20"/>
    <n v="3"/>
    <n v="2210"/>
    <x v="144"/>
    <n v="6066.45"/>
    <x v="0"/>
    <s v="Delhi"/>
    <x v="2"/>
    <m/>
    <x v="3"/>
    <e v="#N/A"/>
    <x v="0"/>
    <m/>
    <m/>
    <m/>
  </r>
  <r>
    <s v="ORD-01885"/>
    <x v="136"/>
    <s v="CUST-0096"/>
    <s v="PROD-044"/>
    <x v="25"/>
    <n v="1"/>
    <n v="1650"/>
    <x v="214"/>
    <n v="1324.95"/>
    <x v="0"/>
    <s v="Delhi"/>
    <x v="5"/>
    <m/>
    <x v="2"/>
    <n v="27"/>
    <x v="2"/>
    <s v="Nov-24"/>
    <n v="1222"/>
    <n v="0.2593939393939394"/>
  </r>
  <r>
    <s v="ORD-01886"/>
    <x v="178"/>
    <s v="CUST-0266"/>
    <s v="PROD-056"/>
    <x v="11"/>
    <n v="5"/>
    <n v="6940"/>
    <x v="179"/>
    <n v="32028.1"/>
    <x v="0"/>
    <s v="Pune"/>
    <x v="1"/>
    <m/>
    <x v="1"/>
    <n v="65"/>
    <x v="0"/>
    <m/>
    <m/>
    <m/>
  </r>
  <r>
    <s v="ORD-01887"/>
    <x v="40"/>
    <s v="CUST-0059"/>
    <s v="PROD-029"/>
    <x v="24"/>
    <n v="2"/>
    <n v="2210"/>
    <x v="174"/>
    <n v="4172.4799999999996"/>
    <x v="2"/>
    <s v="Pune"/>
    <x v="2"/>
    <m/>
    <x v="2"/>
    <n v="29"/>
    <x v="1"/>
    <s v="Jul-24"/>
    <n v="1010"/>
    <n v="0.54298642533936647"/>
  </r>
  <r>
    <s v="ORD-01888"/>
    <x v="82"/>
    <s v="CUST-0094"/>
    <s v="PROD-002"/>
    <x v="2"/>
    <n v="9"/>
    <n v="2600"/>
    <x v="288"/>
    <n v="22674.6"/>
    <x v="0"/>
    <s v="Pune"/>
    <x v="4"/>
    <m/>
    <x v="0"/>
    <n v="60"/>
    <x v="0"/>
    <m/>
    <m/>
    <m/>
  </r>
  <r>
    <s v="ORD-01889"/>
    <x v="315"/>
    <s v="CUST-0254"/>
    <s v="PROD-059"/>
    <x v="11"/>
    <n v="7"/>
    <n v="3780"/>
    <x v="275"/>
    <n v="22940.82"/>
    <x v="0"/>
    <s v="Bengaluru"/>
    <x v="1"/>
    <m/>
    <x v="1"/>
    <n v="35"/>
    <x v="4"/>
    <s v="Mar-24"/>
    <n v="1860"/>
    <n v="0.50793650793650791"/>
  </r>
  <r>
    <s v="ORD-01890"/>
    <x v="356"/>
    <s v="CUST-0022"/>
    <s v="PROD-058"/>
    <x v="22"/>
    <n v="4"/>
    <n v="2400"/>
    <x v="254"/>
    <n v="8006.4"/>
    <x v="1"/>
    <s v="Bengaluru"/>
    <x v="1"/>
    <m/>
    <x v="2"/>
    <n v="55"/>
    <x v="0"/>
    <m/>
    <m/>
    <m/>
  </r>
  <r>
    <s v="ORD-01891"/>
    <x v="348"/>
    <s v="CUST-0168"/>
    <s v="PROD-005"/>
    <x v="1"/>
    <n v="10"/>
    <n v="300"/>
    <x v="46"/>
    <n v="2283"/>
    <x v="0"/>
    <s v="Pune"/>
    <x v="4"/>
    <m/>
    <x v="1"/>
    <n v="25"/>
    <x v="4"/>
    <s v="Nov-24"/>
    <n v="128"/>
    <n v="0.57333333333333336"/>
  </r>
  <r>
    <s v="ORD-01892"/>
    <x v="93"/>
    <s v="CUST-0175"/>
    <s v="PROD-028"/>
    <x v="9"/>
    <n v="1"/>
    <n v="3660"/>
    <x v="156"/>
    <n v="3605.1"/>
    <x v="1"/>
    <s v="Delhi"/>
    <x v="2"/>
    <m/>
    <x v="2"/>
    <n v="55"/>
    <x v="0"/>
    <m/>
    <m/>
    <m/>
  </r>
  <r>
    <s v="ORD-01893"/>
    <x v="166"/>
    <s v="CUST-0193"/>
    <s v="PROD-051"/>
    <x v="23"/>
    <n v="9"/>
    <n v="3450"/>
    <x v="110"/>
    <n v="24281.1"/>
    <x v="0"/>
    <s v="Bengaluru"/>
    <x v="1"/>
    <m/>
    <x v="1"/>
    <n v="42"/>
    <x v="0"/>
    <m/>
    <m/>
    <m/>
  </r>
  <r>
    <s v="ORD-01894"/>
    <x v="306"/>
    <s v="CUST-0284"/>
    <s v="PROD-011"/>
    <x v="0"/>
    <n v="10"/>
    <n v="3450"/>
    <x v="3"/>
    <n v="29083.5"/>
    <x v="2"/>
    <s v="Hyderabad"/>
    <x v="0"/>
    <m/>
    <x v="0"/>
    <n v="65"/>
    <x v="0"/>
    <m/>
    <m/>
    <m/>
  </r>
  <r>
    <s v="ORD-01895"/>
    <x v="249"/>
    <s v="CUST-0071"/>
    <s v="PROD-026"/>
    <x v="4"/>
    <n v="2"/>
    <n v="4070"/>
    <x v="1"/>
    <n v="7260.88"/>
    <x v="0"/>
    <s v="Delhi"/>
    <x v="2"/>
    <m/>
    <x v="2"/>
    <n v="46"/>
    <x v="0"/>
    <m/>
    <m/>
    <m/>
  </r>
  <r>
    <s v="ORD-01896"/>
    <x v="332"/>
    <s v="CUST-0102"/>
    <s v="PROD-059"/>
    <x v="12"/>
    <n v="4"/>
    <n v="3780"/>
    <x v="150"/>
    <n v="12534.48"/>
    <x v="0"/>
    <s v="Chennai"/>
    <x v="1"/>
    <m/>
    <x v="0"/>
    <n v="62"/>
    <x v="0"/>
    <m/>
    <m/>
    <m/>
  </r>
  <r>
    <s v="ORD-01897"/>
    <x v="81"/>
    <s v="CUST-0036"/>
    <s v="PROD-021"/>
    <x v="10"/>
    <n v="1"/>
    <n v="2760"/>
    <x v="148"/>
    <n v="2691"/>
    <x v="2"/>
    <s v="Mumbai"/>
    <x v="2"/>
    <m/>
    <x v="1"/>
    <n v="35"/>
    <x v="3"/>
    <s v="Mar-24"/>
    <n v="1435"/>
    <n v="0.48007246376811596"/>
  </r>
  <r>
    <s v="ORD-01898"/>
    <x v="293"/>
    <s v="CUST-0273"/>
    <s v="PROD-046"/>
    <x v="14"/>
    <n v="2"/>
    <n v="4880"/>
    <x v="293"/>
    <n v="8686.4"/>
    <x v="0"/>
    <s v="Hyderabad"/>
    <x v="5"/>
    <m/>
    <x v="2"/>
    <n v="32"/>
    <x v="1"/>
    <s v="Nov-24"/>
    <n v="2768"/>
    <n v="0.43278688524590164"/>
  </r>
  <r>
    <s v="ORD-01899"/>
    <x v="228"/>
    <s v="CUST-0262"/>
    <s v="PROD-023"/>
    <x v="24"/>
    <n v="10"/>
    <n v="2380"/>
    <x v="141"/>
    <n v="17064.599999999999"/>
    <x v="0"/>
    <s v="Mumbai"/>
    <x v="2"/>
    <m/>
    <x v="1"/>
    <n v="52"/>
    <x v="0"/>
    <m/>
    <m/>
    <m/>
  </r>
  <r>
    <s v="ORD-01900"/>
    <x v="121"/>
    <s v="CUST-0083"/>
    <s v="PROD-042"/>
    <x v="11"/>
    <n v="3"/>
    <n v="2290"/>
    <x v="86"/>
    <n v="6107.43"/>
    <x v="2"/>
    <s v="Bengaluru"/>
    <x v="5"/>
    <m/>
    <x v="2"/>
    <n v="31"/>
    <x v="3"/>
    <s v="Oct-24"/>
    <n v="1219"/>
    <n v="0.46768558951965067"/>
  </r>
  <r>
    <s v="ORD-01901"/>
    <x v="53"/>
    <s v="CUST-0273"/>
    <s v="PROD-021"/>
    <x v="10"/>
    <n v="6"/>
    <n v="2760"/>
    <x v="25"/>
    <n v="13827.6"/>
    <x v="0"/>
    <s v="Hyderabad"/>
    <x v="2"/>
    <m/>
    <x v="2"/>
    <n v="32"/>
    <x v="1"/>
    <s v="Jun-24"/>
    <n v="1435"/>
    <n v="0.48007246376811596"/>
  </r>
  <r>
    <s v="ORD-01902"/>
    <x v="271"/>
    <s v="CUST-0047"/>
    <s v="PROD-025"/>
    <x v="28"/>
    <n v="5"/>
    <n v="4060"/>
    <x v="259"/>
    <n v="15732.5"/>
    <x v="0"/>
    <s v="Pune"/>
    <x v="2"/>
    <m/>
    <x v="1"/>
    <n v="49"/>
    <x v="0"/>
    <m/>
    <m/>
    <m/>
  </r>
  <r>
    <s v="ORD-01903"/>
    <x v="27"/>
    <s v="CUST-0084"/>
    <s v="PROD-010"/>
    <x v="3"/>
    <n v="8"/>
    <n v="2640"/>
    <x v="228"/>
    <n v="18627.84"/>
    <x v="0"/>
    <s v="Chennai"/>
    <x v="4"/>
    <m/>
    <x v="1"/>
    <n v="28"/>
    <x v="2"/>
    <s v="Aug-24"/>
    <n v="1149"/>
    <n v="0.56477272727272732"/>
  </r>
  <r>
    <s v="ORD-01904"/>
    <x v="119"/>
    <s v="CUST-0093"/>
    <s v="PROD-039"/>
    <x v="1"/>
    <n v="2"/>
    <n v="4610"/>
    <x v="257"/>
    <n v="8261.1200000000008"/>
    <x v="1"/>
    <s v="Pune"/>
    <x v="3"/>
    <m/>
    <x v="1"/>
    <n v="36"/>
    <x v="1"/>
    <s v="Mar-24"/>
    <n v="1850"/>
    <n v="0.59869848156182215"/>
  </r>
  <r>
    <s v="ORD-01905"/>
    <x v="266"/>
    <s v="CUST-0282"/>
    <s v="PROD-029"/>
    <x v="8"/>
    <n v="6"/>
    <n v="2210"/>
    <x v="259"/>
    <n v="10276.5"/>
    <x v="2"/>
    <s v="Hyderabad"/>
    <x v="2"/>
    <m/>
    <x v="2"/>
    <n v="29"/>
    <x v="1"/>
    <s v="Jan-24"/>
    <n v="1010"/>
    <n v="0.54298642533936647"/>
  </r>
  <r>
    <s v="ORD-01906"/>
    <x v="103"/>
    <s v="CUST-0246"/>
    <s v="PROD-029"/>
    <x v="23"/>
    <n v="4"/>
    <n v="2210"/>
    <x v="145"/>
    <n v="6939.4"/>
    <x v="1"/>
    <s v="Delhi"/>
    <x v="2"/>
    <m/>
    <x v="0"/>
    <n v="29"/>
    <x v="2"/>
    <s v="Apr-24"/>
    <n v="1010"/>
    <n v="0.54298642533936647"/>
  </r>
  <r>
    <s v="ORD-01907"/>
    <x v="169"/>
    <s v="CUST-0243"/>
    <s v="PROD-035"/>
    <x v="22"/>
    <n v="6"/>
    <n v="1090"/>
    <x v="141"/>
    <n v="4689.18"/>
    <x v="0"/>
    <s v="Pune"/>
    <x v="3"/>
    <m/>
    <x v="0"/>
    <n v="44"/>
    <x v="0"/>
    <m/>
    <m/>
    <m/>
  </r>
  <r>
    <s v="ORD-01908"/>
    <x v="327"/>
    <s v="CUST-0298"/>
    <s v="PROD-032"/>
    <x v="11"/>
    <n v="9"/>
    <n v="370"/>
    <x v="103"/>
    <n v="2870.46"/>
    <x v="0"/>
    <s v="Delhi"/>
    <x v="3"/>
    <m/>
    <x v="1"/>
    <n v="44"/>
    <x v="0"/>
    <m/>
    <m/>
    <m/>
  </r>
  <r>
    <s v="ORD-01909"/>
    <x v="122"/>
    <s v="CUST-0124"/>
    <s v="PROD-003"/>
    <x v="5"/>
    <n v="10"/>
    <n v="3570"/>
    <x v="181"/>
    <n v="34629"/>
    <x v="2"/>
    <s v="Pune"/>
    <x v="4"/>
    <m/>
    <x v="1"/>
    <n v="57"/>
    <x v="0"/>
    <m/>
    <m/>
    <m/>
  </r>
  <r>
    <s v="ORD-01910"/>
    <x v="89"/>
    <s v="CUST-0070"/>
    <s v="PROD-036"/>
    <x v="29"/>
    <n v="10"/>
    <n v="3250"/>
    <x v="126"/>
    <n v="25902.5"/>
    <x v="0"/>
    <s v="Mumbai"/>
    <x v="3"/>
    <m/>
    <x v="1"/>
    <n v="42"/>
    <x v="0"/>
    <m/>
    <m/>
    <m/>
  </r>
  <r>
    <s v="ORD-01911"/>
    <x v="295"/>
    <s v="CUST-0054"/>
    <s v="PROD-036"/>
    <x v="8"/>
    <n v="6"/>
    <n v="3250"/>
    <x v="28"/>
    <n v="14469"/>
    <x v="1"/>
    <s v="Mumbai"/>
    <x v="3"/>
    <m/>
    <x v="2"/>
    <n v="62"/>
    <x v="0"/>
    <m/>
    <m/>
    <m/>
  </r>
  <r>
    <s v="ORD-01912"/>
    <x v="294"/>
    <s v="CUST-0208"/>
    <s v="PROD-057"/>
    <x v="6"/>
    <n v="9"/>
    <n v="960"/>
    <x v="5"/>
    <n v="6134.4"/>
    <x v="0"/>
    <s v="Mumbai"/>
    <x v="1"/>
    <m/>
    <x v="1"/>
    <n v="49"/>
    <x v="0"/>
    <m/>
    <m/>
    <m/>
  </r>
  <r>
    <s v="ORD-01913"/>
    <x v="275"/>
    <s v="CUST-0181"/>
    <s v="PROD-050"/>
    <x v="15"/>
    <n v="9"/>
    <n v="6080"/>
    <x v="72"/>
    <n v="43228.800000000003"/>
    <x v="0"/>
    <s v="Delhi"/>
    <x v="5"/>
    <m/>
    <x v="0"/>
    <n v="38"/>
    <x v="2"/>
    <s v="Nov-24"/>
    <n v="2617"/>
    <n v="0.56957236842105263"/>
  </r>
  <r>
    <s v="ORD-01914"/>
    <x v="250"/>
    <s v="CUST-0259"/>
    <s v="PROD-039"/>
    <x v="16"/>
    <n v="6"/>
    <n v="4610"/>
    <x v="92"/>
    <n v="23925.9"/>
    <x v="0"/>
    <s v="Mumbai"/>
    <x v="3"/>
    <m/>
    <x v="1"/>
    <n v="34"/>
    <x v="4"/>
    <s v="Aug-24"/>
    <n v="1850"/>
    <n v="0.59869848156182215"/>
  </r>
  <r>
    <s v="ORD-01915"/>
    <x v="225"/>
    <s v="CUST-0277"/>
    <s v="PROD-034"/>
    <x v="13"/>
    <n v="7"/>
    <n v="5080"/>
    <x v="55"/>
    <n v="26527.759999999998"/>
    <x v="0"/>
    <s v="Chennai"/>
    <x v="3"/>
    <m/>
    <x v="2"/>
    <n v="34"/>
    <x v="3"/>
    <s v="Mar-24"/>
    <n v="2459"/>
    <n v="0.51594488188976373"/>
  </r>
  <r>
    <s v="ORD-01916"/>
    <x v="269"/>
    <s v="CUST-0173"/>
    <s v="PROD-043"/>
    <x v="21"/>
    <n v="5"/>
    <n v="3350"/>
    <x v="19"/>
    <n v="16381.5"/>
    <x v="0"/>
    <s v="Mumbai"/>
    <x v="5"/>
    <m/>
    <x v="1"/>
    <n v="65"/>
    <x v="0"/>
    <m/>
    <m/>
    <m/>
  </r>
  <r>
    <s v="ORD-01917"/>
    <x v="77"/>
    <s v="CUST-0091"/>
    <s v="PROD-027"/>
    <x v="2"/>
    <n v="1"/>
    <n v="3780"/>
    <x v="130"/>
    <n v="3262.14"/>
    <x v="0"/>
    <s v="Delhi"/>
    <x v="2"/>
    <m/>
    <x v="1"/>
    <n v="55"/>
    <x v="0"/>
    <m/>
    <m/>
    <m/>
  </r>
  <r>
    <s v="ORD-01918"/>
    <x v="279"/>
    <s v="CUST-0142"/>
    <s v="PROD-046"/>
    <x v="16"/>
    <n v="4"/>
    <n v="4880"/>
    <x v="37"/>
    <n v="17255.68"/>
    <x v="0"/>
    <s v="Chennai"/>
    <x v="5"/>
    <m/>
    <x v="2"/>
    <n v="55"/>
    <x v="0"/>
    <m/>
    <m/>
    <m/>
  </r>
  <r>
    <s v="ORD-01919"/>
    <x v="217"/>
    <s v="CUST-0011"/>
    <s v="PROD-048"/>
    <x v="20"/>
    <n v="3"/>
    <n v="5100"/>
    <x v="231"/>
    <n v="11597.4"/>
    <x v="0"/>
    <s v=" Chennai "/>
    <x v="5"/>
    <m/>
    <x v="2"/>
    <n v="41"/>
    <x v="0"/>
    <m/>
    <m/>
    <m/>
  </r>
  <r>
    <s v="ORD-01920"/>
    <x v="287"/>
    <s v="CUST-0074"/>
    <s v="PROD-008"/>
    <x v="12"/>
    <n v="5"/>
    <n v="2660"/>
    <x v="250"/>
    <n v="12674.9"/>
    <x v="0"/>
    <s v="Bengaluru"/>
    <x v="4"/>
    <m/>
    <x v="1"/>
    <n v="27"/>
    <x v="2"/>
    <s v="Apr-24"/>
    <n v="1259"/>
    <n v="0.52669172932330832"/>
  </r>
  <r>
    <s v="ORD-01921"/>
    <x v="328"/>
    <s v="CUST-0131"/>
    <s v="PROD-023"/>
    <x v="21"/>
    <n v="10"/>
    <n v="2380"/>
    <x v="62"/>
    <n v="23562"/>
    <x v="0"/>
    <s v="Delhi"/>
    <x v="2"/>
    <m/>
    <x v="0"/>
    <n v="28"/>
    <x v="3"/>
    <s v="Dec-24"/>
    <n v="1182"/>
    <n v="0.50336134453781511"/>
  </r>
  <r>
    <s v="ORD-01922"/>
    <x v="223"/>
    <s v="CUST-0093"/>
    <s v="PROD-046"/>
    <x v="25"/>
    <n v="9"/>
    <n v="4880"/>
    <x v="205"/>
    <n v="40757.760000000002"/>
    <x v="0"/>
    <s v="Pune"/>
    <x v="5"/>
    <m/>
    <x v="1"/>
    <n v="36"/>
    <x v="3"/>
    <s v="Jun-24"/>
    <n v="2768"/>
    <n v="0.43278688524590164"/>
  </r>
  <r>
    <s v="ORD-01923"/>
    <x v="91"/>
    <s v="CUST-0229"/>
    <s v="PROD-031"/>
    <x v="2"/>
    <n v="1"/>
    <n v="3730"/>
    <x v="146"/>
    <n v="3159.31"/>
    <x v="0"/>
    <s v="Hyderabad"/>
    <x v="3"/>
    <m/>
    <x v="0"/>
    <n v="25"/>
    <x v="1"/>
    <s v="Sep-24"/>
    <n v="2135"/>
    <n v="0.42761394101876676"/>
  </r>
  <r>
    <s v="ORD-01924"/>
    <x v="33"/>
    <s v="CUST-0293"/>
    <s v="PROD-059"/>
    <x v="11"/>
    <n v="10"/>
    <n v="3780"/>
    <x v="36"/>
    <n v="36779.4"/>
    <x v="0"/>
    <s v="Bengaluru"/>
    <x v="1"/>
    <m/>
    <x v="1"/>
    <n v="27"/>
    <x v="4"/>
    <s v="Apr-24"/>
    <n v="1860"/>
    <n v="0.50793650793650791"/>
  </r>
  <r>
    <s v="ORD-01925"/>
    <x v="257"/>
    <s v="CUST-0105"/>
    <s v="PROD-014"/>
    <x v="12"/>
    <n v="2"/>
    <n v="3620"/>
    <x v="50"/>
    <n v="5574.8"/>
    <x v="0"/>
    <s v="Chennai"/>
    <x v="0"/>
    <m/>
    <x v="0"/>
    <n v="51"/>
    <x v="0"/>
    <m/>
    <m/>
    <m/>
  </r>
  <r>
    <s v="ORD-01926"/>
    <x v="355"/>
    <s v="CUST-0003"/>
    <s v="PROD-034"/>
    <x v="13"/>
    <n v="9"/>
    <n v="5080"/>
    <x v="66"/>
    <n v="36621.72"/>
    <x v="0"/>
    <s v="Mumbai"/>
    <x v="3"/>
    <m/>
    <x v="1"/>
    <n v="33"/>
    <x v="3"/>
    <s v="Mar-24"/>
    <n v="2459"/>
    <n v="0.51594488188976373"/>
  </r>
  <r>
    <s v="ORD-01927"/>
    <x v="230"/>
    <s v="CUST-0092"/>
    <s v="PROD-018"/>
    <x v="6"/>
    <n v="2"/>
    <n v="3560"/>
    <x v="120"/>
    <n v="6728.4"/>
    <x v="0"/>
    <s v="Bengaluru"/>
    <x v="0"/>
    <m/>
    <x v="0"/>
    <n v="28"/>
    <x v="3"/>
    <s v="Sep-24"/>
    <n v="2629"/>
    <n v="0.26151685393258428"/>
  </r>
  <r>
    <s v="ORD-01928"/>
    <x v="134"/>
    <s v="CUST-0050"/>
    <s v="PROD-030"/>
    <x v="19"/>
    <n v="6"/>
    <n v="970"/>
    <x v="259"/>
    <n v="4510.5"/>
    <x v="3"/>
    <s v="Mumbai"/>
    <x v="2"/>
    <m/>
    <x v="1"/>
    <n v="37"/>
    <x v="2"/>
    <s v="Sep-24"/>
    <n v="434"/>
    <n v="0.5525773195876289"/>
  </r>
  <r>
    <s v="ORD-01929"/>
    <x v="181"/>
    <s v="CUST-0237"/>
    <s v="PROD-043"/>
    <x v="2"/>
    <n v="9"/>
    <n v="3350"/>
    <x v="34"/>
    <n v="28612.35"/>
    <x v="0"/>
    <s v="Mumbai"/>
    <x v="5"/>
    <m/>
    <x v="1"/>
    <n v="49"/>
    <x v="0"/>
    <m/>
    <m/>
    <m/>
  </r>
  <r>
    <s v="ORD-01930"/>
    <x v="283"/>
    <s v="CUST-9905"/>
    <s v="PROD-032"/>
    <x v="23"/>
    <n v="6"/>
    <n v="370"/>
    <x v="263"/>
    <n v="1824.84"/>
    <x v="0"/>
    <s v="Mumbai"/>
    <x v="3"/>
    <m/>
    <x v="3"/>
    <e v="#N/A"/>
    <x v="0"/>
    <m/>
    <m/>
    <m/>
  </r>
  <r>
    <s v="ORD-01931"/>
    <x v="13"/>
    <s v="CUST-0175"/>
    <s v="PROD-024"/>
    <x v="23"/>
    <n v="3"/>
    <n v="2270"/>
    <x v="68"/>
    <n v="6237.96"/>
    <x v="1"/>
    <s v="Delhi"/>
    <x v="2"/>
    <m/>
    <x v="2"/>
    <n v="55"/>
    <x v="0"/>
    <m/>
    <m/>
    <m/>
  </r>
  <r>
    <s v="ORD-01932"/>
    <x v="364"/>
    <s v="CUST-0271"/>
    <s v="PROD-051"/>
    <x v="13"/>
    <n v="3"/>
    <n v="3450"/>
    <x v="205"/>
    <n v="9604.7999999999993"/>
    <x v="0"/>
    <s v="Bengaluru"/>
    <x v="1"/>
    <m/>
    <x v="2"/>
    <n v="41"/>
    <x v="0"/>
    <m/>
    <m/>
    <m/>
  </r>
  <r>
    <s v="ORD-01933"/>
    <x v="142"/>
    <s v="CUST-0129"/>
    <s v="PROD-054"/>
    <x v="4"/>
    <n v="9"/>
    <n v="1010"/>
    <x v="263"/>
    <n v="7471.98"/>
    <x v="0"/>
    <s v="Hyderabad"/>
    <x v="1"/>
    <m/>
    <x v="1"/>
    <n v="29"/>
    <x v="3"/>
    <s v="Jun-24"/>
    <n v="516"/>
    <n v="0.4891089108910891"/>
  </r>
  <r>
    <s v="ORD-01934"/>
    <x v="41"/>
    <s v="CUST-0156"/>
    <s v="PROD-039"/>
    <x v="11"/>
    <n v="5"/>
    <n v="4610"/>
    <x v="29"/>
    <n v="16181.1"/>
    <x v="2"/>
    <s v="Mumbai"/>
    <x v="3"/>
    <m/>
    <x v="1"/>
    <n v="33"/>
    <x v="1"/>
    <s v="Dec-24"/>
    <n v="1850"/>
    <n v="0.59869848156182215"/>
  </r>
  <r>
    <s v="ORD-01935"/>
    <x v="255"/>
    <s v="CUST-0048"/>
    <s v="PROD-032"/>
    <x v="11"/>
    <n v="6"/>
    <n v="370"/>
    <x v="131"/>
    <n v="1822.62"/>
    <x v="0"/>
    <s v="Delhi"/>
    <x v="3"/>
    <m/>
    <x v="1"/>
    <n v="59"/>
    <x v="0"/>
    <m/>
    <m/>
    <m/>
  </r>
  <r>
    <s v="ORD-01936"/>
    <x v="279"/>
    <s v="CUST-0224"/>
    <s v="PROD-023"/>
    <x v="17"/>
    <n v="6"/>
    <n v="2380"/>
    <x v="264"/>
    <n v="12337.92"/>
    <x v="2"/>
    <s v="Chennai"/>
    <x v="2"/>
    <m/>
    <x v="2"/>
    <n v="24"/>
    <x v="1"/>
    <s v="Jul-24"/>
    <n v="1182"/>
    <n v="0.50336134453781511"/>
  </r>
  <r>
    <s v="ORD-01937"/>
    <x v="229"/>
    <s v="CUST-0101"/>
    <s v="PROD-049"/>
    <x v="12"/>
    <n v="6"/>
    <n v="960"/>
    <x v="224"/>
    <n v="4896"/>
    <x v="1"/>
    <s v="Hyderabad"/>
    <x v="5"/>
    <m/>
    <x v="0"/>
    <n v="40"/>
    <x v="2"/>
    <s v="Mar-24"/>
    <n v="675"/>
    <n v="0.296875"/>
  </r>
  <r>
    <s v="ORD-01938"/>
    <x v="124"/>
    <s v="CUST-0269"/>
    <s v="PROD-057"/>
    <x v="25"/>
    <n v="3"/>
    <n v="960"/>
    <x v="281"/>
    <n v="2525.7600000000002"/>
    <x v="0"/>
    <s v="Pune"/>
    <x v="1"/>
    <m/>
    <x v="1"/>
    <n v="48"/>
    <x v="0"/>
    <m/>
    <m/>
    <m/>
  </r>
  <r>
    <s v="ORD-01939"/>
    <x v="3"/>
    <s v="CUST-0097"/>
    <s v="PROD-016"/>
    <x v="20"/>
    <n v="7"/>
    <n v="620"/>
    <x v="6"/>
    <n v="4088.28"/>
    <x v="0"/>
    <s v="Mumbai"/>
    <x v="0"/>
    <m/>
    <x v="1"/>
    <n v="65"/>
    <x v="0"/>
    <m/>
    <m/>
    <m/>
  </r>
  <r>
    <s v="ORD-01940"/>
    <x v="299"/>
    <s v="CUST-0062"/>
    <s v="PROD-057"/>
    <x v="16"/>
    <n v="1"/>
    <n v="960"/>
    <x v="211"/>
    <n v="915.84"/>
    <x v="0"/>
    <s v="Pune"/>
    <x v="1"/>
    <m/>
    <x v="1"/>
    <n v="54"/>
    <x v="0"/>
    <m/>
    <m/>
    <m/>
  </r>
  <r>
    <s v="ORD-01941"/>
    <x v="226"/>
    <s v="CUST-0124"/>
    <s v="PROD-047"/>
    <x v="8"/>
    <n v="4"/>
    <n v="3450"/>
    <x v="275"/>
    <n v="11964.6"/>
    <x v="0"/>
    <s v="Pune"/>
    <x v="5"/>
    <m/>
    <x v="1"/>
    <n v="57"/>
    <x v="0"/>
    <m/>
    <m/>
    <m/>
  </r>
  <r>
    <s v="ORD-01942"/>
    <x v="17"/>
    <s v="CUST-0185"/>
    <s v="PROD-015"/>
    <x v="7"/>
    <n v="10"/>
    <n v="2720"/>
    <x v="238"/>
    <n v="26275.200000000001"/>
    <x v="0"/>
    <s v="Hyderabad"/>
    <x v="0"/>
    <m/>
    <x v="0"/>
    <n v="43"/>
    <x v="0"/>
    <m/>
    <m/>
    <m/>
  </r>
  <r>
    <s v="ORD-01943"/>
    <x v="358"/>
    <s v="CUST-0115"/>
    <s v="PROD-047"/>
    <x v="7"/>
    <n v="1"/>
    <n v="3450"/>
    <x v="192"/>
    <n v="2435.6999999999998"/>
    <x v="0"/>
    <s v="Mumbai"/>
    <x v="5"/>
    <m/>
    <x v="0"/>
    <n v="65"/>
    <x v="0"/>
    <m/>
    <m/>
    <m/>
  </r>
  <r>
    <s v="ORD-01944"/>
    <x v="201"/>
    <s v="CUST-0097"/>
    <s v="PROD-044"/>
    <x v="6"/>
    <n v="5"/>
    <n v="1650"/>
    <x v="192"/>
    <n v="5824.5"/>
    <x v="0"/>
    <s v="Mumbai"/>
    <x v="5"/>
    <m/>
    <x v="1"/>
    <n v="65"/>
    <x v="0"/>
    <m/>
    <m/>
    <m/>
  </r>
  <r>
    <s v="ORD-01945"/>
    <x v="167"/>
    <s v="CUST-0221"/>
    <s v="PROD-014"/>
    <x v="18"/>
    <n v="2"/>
    <n v="3620"/>
    <x v="142"/>
    <n v="6110.56"/>
    <x v="0"/>
    <s v="Delhi"/>
    <x v="0"/>
    <m/>
    <x v="0"/>
    <n v="29"/>
    <x v="2"/>
    <s v="Aug-24"/>
    <n v="2509"/>
    <n v="0.3069060773480663"/>
  </r>
  <r>
    <s v="ORD-01946"/>
    <x v="95"/>
    <s v="CUST-0098"/>
    <s v="PROD-005"/>
    <x v="27"/>
    <n v="3"/>
    <n v="300"/>
    <x v="277"/>
    <n v="676.8"/>
    <x v="0"/>
    <s v="Delhi"/>
    <x v="4"/>
    <m/>
    <x v="1"/>
    <n v="52"/>
    <x v="0"/>
    <m/>
    <m/>
    <m/>
  </r>
  <r>
    <s v="ORD-01947"/>
    <x v="200"/>
    <s v="CUST-0203"/>
    <s v="PROD-041"/>
    <x v="19"/>
    <n v="3"/>
    <n v="1540"/>
    <x v="169"/>
    <n v="3257.1"/>
    <x v="0"/>
    <s v="Chennai"/>
    <x v="5"/>
    <m/>
    <x v="0"/>
    <n v="55"/>
    <x v="0"/>
    <m/>
    <m/>
    <m/>
  </r>
  <r>
    <s v="ORD-01948"/>
    <x v="317"/>
    <s v="CUST-0074"/>
    <s v="PROD-024"/>
    <x v="7"/>
    <n v="10"/>
    <n v="2270"/>
    <x v="120"/>
    <n v="21451.5"/>
    <x v="2"/>
    <s v="Bengaluru"/>
    <x v="2"/>
    <m/>
    <x v="1"/>
    <n v="27"/>
    <x v="1"/>
    <s v="Feb-24"/>
    <n v="1203"/>
    <n v="0.47004405286343615"/>
  </r>
  <r>
    <s v="ORD-01949"/>
    <x v="154"/>
    <s v="CUST-0217"/>
    <s v="PROD-010"/>
    <x v="4"/>
    <n v="3"/>
    <n v="2640"/>
    <x v="154"/>
    <n v="5686.56"/>
    <x v="3"/>
    <s v="Pune"/>
    <x v="4"/>
    <m/>
    <x v="0"/>
    <n v="59"/>
    <x v="0"/>
    <m/>
    <m/>
    <m/>
  </r>
  <r>
    <s v="ORD-01950"/>
    <x v="11"/>
    <s v="CUST-0021"/>
    <s v="PROD-010"/>
    <x v="15"/>
    <n v="10"/>
    <n v="2640"/>
    <x v="163"/>
    <n v="19562.400000000001"/>
    <x v="0"/>
    <s v="Pune"/>
    <x v="4"/>
    <m/>
    <x v="1"/>
    <n v="44"/>
    <x v="0"/>
    <m/>
    <m/>
    <m/>
  </r>
  <r>
    <s v="ORD-01951"/>
    <x v="152"/>
    <s v="CUST-0004"/>
    <s v="PROD-007"/>
    <x v="14"/>
    <n v="2"/>
    <n v="1430"/>
    <x v="227"/>
    <n v="2717"/>
    <x v="2"/>
    <s v="Delhi"/>
    <x v="4"/>
    <m/>
    <x v="1"/>
    <n v="30"/>
    <x v="4"/>
    <s v="Aug-24"/>
    <n v="861"/>
    <n v="0.39790209790209791"/>
  </r>
  <r>
    <s v="ORD-01952"/>
    <x v="221"/>
    <s v="CUST-0080"/>
    <s v="PROD-003"/>
    <x v="16"/>
    <n v="6"/>
    <n v="3570"/>
    <x v="221"/>
    <n v="15315.3"/>
    <x v="2"/>
    <s v="Pune"/>
    <x v="4"/>
    <m/>
    <x v="0"/>
    <n v="30"/>
    <x v="2"/>
    <s v="Sep-24"/>
    <n v="1665"/>
    <n v="0.53361344537815125"/>
  </r>
  <r>
    <s v="ORD-01953"/>
    <x v="328"/>
    <s v="CUST-0113"/>
    <s v="PROD-003"/>
    <x v="6"/>
    <n v="1"/>
    <n v="3570"/>
    <x v="179"/>
    <n v="3295.11"/>
    <x v="0"/>
    <s v="Delhi"/>
    <x v="4"/>
    <m/>
    <x v="1"/>
    <n v="30"/>
    <x v="3"/>
    <s v="Nov-24"/>
    <n v="1665"/>
    <n v="0.53361344537815125"/>
  </r>
  <r>
    <s v="ORD-01954"/>
    <x v="312"/>
    <s v="CUST-0023"/>
    <s v="PROD-004"/>
    <x v="14"/>
    <n v="9"/>
    <n v="3870"/>
    <x v="152"/>
    <n v="30685.23"/>
    <x v="2"/>
    <s v="Chennai"/>
    <x v="4"/>
    <m/>
    <x v="0"/>
    <n v="43"/>
    <x v="0"/>
    <m/>
    <m/>
    <m/>
  </r>
  <r>
    <s v="ORD-01955"/>
    <x v="50"/>
    <s v="CUST-0136"/>
    <s v="PROD-056"/>
    <x v="2"/>
    <n v="5"/>
    <n v="6940"/>
    <x v="166"/>
    <n v="28662.2"/>
    <x v="0"/>
    <s v="Chennai"/>
    <x v="1"/>
    <m/>
    <x v="0"/>
    <n v="26"/>
    <x v="2"/>
    <s v="Mar-24"/>
    <n v="2827"/>
    <n v="0.5926512968299712"/>
  </r>
  <r>
    <s v="ORD-01956"/>
    <x v="42"/>
    <s v="CUST-0031"/>
    <s v="PROD-032"/>
    <x v="17"/>
    <n v="6"/>
    <n v="370"/>
    <x v="282"/>
    <n v="2040.18"/>
    <x v="2"/>
    <s v="Hyderabad"/>
    <x v="3"/>
    <m/>
    <x v="1"/>
    <n v="53"/>
    <x v="0"/>
    <m/>
    <m/>
    <m/>
  </r>
  <r>
    <s v="ORD-01957"/>
    <x v="0"/>
    <s v="CUST-0175"/>
    <s v="PROD-018"/>
    <x v="28"/>
    <n v="8"/>
    <n v="3560"/>
    <x v="74"/>
    <n v="21844.16"/>
    <x v="0"/>
    <s v="Delhi"/>
    <x v="0"/>
    <m/>
    <x v="2"/>
    <n v="55"/>
    <x v="0"/>
    <m/>
    <m/>
    <m/>
  </r>
  <r>
    <s v="ORD-01958"/>
    <x v="142"/>
    <s v="CUST-0249"/>
    <s v="PROD-009"/>
    <x v="8"/>
    <n v="4"/>
    <n v="1220"/>
    <x v="36"/>
    <n v="4748.24"/>
    <x v="0"/>
    <s v="Mumbai"/>
    <x v="4"/>
    <m/>
    <x v="1"/>
    <n v="44"/>
    <x v="0"/>
    <m/>
    <m/>
    <m/>
  </r>
  <r>
    <s v="ORD-01959"/>
    <x v="311"/>
    <s v="CUST-0138"/>
    <s v="PROD-026"/>
    <x v="16"/>
    <n v="10"/>
    <n v="4070"/>
    <x v="37"/>
    <n v="35978.800000000003"/>
    <x v="0"/>
    <s v="Chennai"/>
    <x v="2"/>
    <m/>
    <x v="1"/>
    <n v="24"/>
    <x v="2"/>
    <s v="Dec-24"/>
    <n v="2027"/>
    <n v="0.50196560196560192"/>
  </r>
  <r>
    <s v="ORD-01960"/>
    <x v="260"/>
    <s v="CUST-0290"/>
    <s v="PROD-028"/>
    <x v="7"/>
    <n v="10"/>
    <n v="3660"/>
    <x v="49"/>
    <n v="26059.200000000001"/>
    <x v="0"/>
    <s v="Delhi"/>
    <x v="2"/>
    <m/>
    <x v="1"/>
    <n v="63"/>
    <x v="0"/>
    <m/>
    <m/>
    <m/>
  </r>
  <r>
    <s v="ORD-01961"/>
    <x v="121"/>
    <s v="CUST-0151"/>
    <s v="PROD-034"/>
    <x v="26"/>
    <n v="5"/>
    <n v="5080"/>
    <x v="265"/>
    <n v="22326.6"/>
    <x v="0"/>
    <s v="Mumbai"/>
    <x v="3"/>
    <m/>
    <x v="1"/>
    <n v="53"/>
    <x v="0"/>
    <m/>
    <m/>
    <m/>
  </r>
  <r>
    <s v="ORD-01962"/>
    <x v="200"/>
    <s v="CUST-0290"/>
    <s v="PROD-039"/>
    <x v="22"/>
    <n v="10"/>
    <n v="4610"/>
    <x v="259"/>
    <n v="35727.5"/>
    <x v="0"/>
    <s v="Delhi"/>
    <x v="3"/>
    <m/>
    <x v="1"/>
    <n v="63"/>
    <x v="0"/>
    <m/>
    <m/>
    <m/>
  </r>
  <r>
    <s v="ORD-01963"/>
    <x v="58"/>
    <s v="CUST-0074"/>
    <s v="PROD-008"/>
    <x v="0"/>
    <n v="3"/>
    <n v="2660"/>
    <x v="224"/>
    <n v="6783"/>
    <x v="0"/>
    <s v="Bengaluru"/>
    <x v="4"/>
    <m/>
    <x v="1"/>
    <n v="27"/>
    <x v="4"/>
    <s v="Feb-24"/>
    <n v="1259"/>
    <n v="0.52669172932330832"/>
  </r>
  <r>
    <s v="ORD-01964"/>
    <x v="360"/>
    <s v="CUST-0295"/>
    <s v="PROD-012"/>
    <x v="3"/>
    <n v="5"/>
    <n v="3160"/>
    <x v="89"/>
    <n v="15594.6"/>
    <x v="0"/>
    <s v="Delhi"/>
    <x v="0"/>
    <m/>
    <x v="0"/>
    <n v="48"/>
    <x v="0"/>
    <m/>
    <m/>
    <m/>
  </r>
  <r>
    <s v="ORD-01965"/>
    <x v="354"/>
    <s v="CUST-0132"/>
    <s v="PROD-032"/>
    <x v="10"/>
    <n v="10"/>
    <n v="370"/>
    <x v="5"/>
    <n v="2627"/>
    <x v="0"/>
    <s v="Delhi"/>
    <x v="3"/>
    <m/>
    <x v="1"/>
    <n v="41"/>
    <x v="0"/>
    <m/>
    <m/>
    <m/>
  </r>
  <r>
    <s v="ORD-01966"/>
    <x v="243"/>
    <s v="CUST-0289"/>
    <s v="PROD-054"/>
    <x v="4"/>
    <n v="10"/>
    <n v="1010"/>
    <x v="13"/>
    <n v="8675.9"/>
    <x v="3"/>
    <s v="Mumbai"/>
    <x v="1"/>
    <m/>
    <x v="1"/>
    <n v="54"/>
    <x v="0"/>
    <m/>
    <m/>
    <m/>
  </r>
  <r>
    <s v="ORD-01967"/>
    <x v="261"/>
    <s v="CUST-0139"/>
    <s v="PROD-018"/>
    <x v="14"/>
    <n v="3"/>
    <n v="3560"/>
    <x v="26"/>
    <n v="8159.52"/>
    <x v="0"/>
    <s v="Hyderabad"/>
    <x v="0"/>
    <m/>
    <x v="0"/>
    <n v="65"/>
    <x v="0"/>
    <m/>
    <m/>
    <m/>
  </r>
  <r>
    <s v="ORD-01968"/>
    <x v="1"/>
    <s v="CUST-0032"/>
    <s v="PROD-009"/>
    <x v="8"/>
    <n v="9"/>
    <n v="1220"/>
    <x v="254"/>
    <n v="9157.32"/>
    <x v="0"/>
    <s v="Hyderabad"/>
    <x v="4"/>
    <m/>
    <x v="1"/>
    <n v="28"/>
    <x v="2"/>
    <s v="Oct-24"/>
    <n v="517"/>
    <n v="0.57622950819672136"/>
  </r>
  <r>
    <s v="ORD-01969"/>
    <x v="30"/>
    <s v="CUST-0109"/>
    <s v="PROD-060"/>
    <x v="4"/>
    <n v="8"/>
    <n v="190"/>
    <x v="255"/>
    <n v="1181.04"/>
    <x v="0"/>
    <s v="Pune"/>
    <x v="1"/>
    <m/>
    <x v="1"/>
    <n v="42"/>
    <x v="0"/>
    <m/>
    <m/>
    <m/>
  </r>
  <r>
    <s v="ORD-01970"/>
    <x v="290"/>
    <s v="CUST-0224"/>
    <s v="PROD-054"/>
    <x v="25"/>
    <n v="2"/>
    <n v="1010"/>
    <x v="290"/>
    <n v="1943.24"/>
    <x v="0"/>
    <s v="Chennai"/>
    <x v="1"/>
    <m/>
    <x v="2"/>
    <n v="24"/>
    <x v="1"/>
    <s v="Feb-24"/>
    <n v="516"/>
    <n v="0.4891089108910891"/>
  </r>
  <r>
    <s v="ORD-01971"/>
    <x v="96"/>
    <s v="CUST-0038"/>
    <s v="PROD-002"/>
    <x v="18"/>
    <n v="4"/>
    <n v="2600"/>
    <x v="196"/>
    <n v="7373.6"/>
    <x v="0"/>
    <s v="Mumbai"/>
    <x v="4"/>
    <m/>
    <x v="1"/>
    <n v="57"/>
    <x v="0"/>
    <m/>
    <m/>
    <m/>
  </r>
  <r>
    <s v="ORD-01972"/>
    <x v="25"/>
    <s v="CUST-0132"/>
    <s v="PROD-011"/>
    <x v="20"/>
    <n v="7"/>
    <n v="3450"/>
    <x v="182"/>
    <n v="23184"/>
    <x v="0"/>
    <s v="Delhi"/>
    <x v="0"/>
    <m/>
    <x v="1"/>
    <n v="41"/>
    <x v="0"/>
    <m/>
    <m/>
    <m/>
  </r>
  <r>
    <s v="ORD-01973"/>
    <x v="288"/>
    <s v="CUST-0226"/>
    <s v="PROD-017"/>
    <x v="7"/>
    <n v="6"/>
    <n v="2510"/>
    <x v="39"/>
    <n v="13147.38"/>
    <x v="0"/>
    <s v="Chennai"/>
    <x v="0"/>
    <m/>
    <x v="2"/>
    <n v="52"/>
    <x v="0"/>
    <m/>
    <m/>
    <m/>
  </r>
  <r>
    <s v="ORD-01974"/>
    <x v="9"/>
    <s v="CUST-0275"/>
    <s v="PROD-060"/>
    <x v="28"/>
    <n v="6"/>
    <n v="190"/>
    <x v="278"/>
    <n v="912"/>
    <x v="2"/>
    <s v="Mumbai"/>
    <x v="1"/>
    <m/>
    <x v="1"/>
    <n v="36"/>
    <x v="3"/>
    <s v="Jan-24"/>
    <n v="147"/>
    <n v="0.22631578947368422"/>
  </r>
  <r>
    <s v="ORD-01975"/>
    <x v="201"/>
    <s v="CUST-0109"/>
    <s v="PROD-044"/>
    <x v="20"/>
    <n v="10"/>
    <n v="1650"/>
    <x v="145"/>
    <n v="12952.5"/>
    <x v="0"/>
    <s v="Pune"/>
    <x v="5"/>
    <m/>
    <x v="1"/>
    <n v="42"/>
    <x v="0"/>
    <m/>
    <m/>
    <m/>
  </r>
  <r>
    <s v="ORD-01976"/>
    <x v="112"/>
    <s v="CUST-0281"/>
    <s v="PROD-055"/>
    <x v="18"/>
    <n v="4"/>
    <n v="2860"/>
    <x v="107"/>
    <n v="9701.1200000000008"/>
    <x v="0"/>
    <s v="Bengaluru"/>
    <x v="1"/>
    <m/>
    <x v="2"/>
    <n v="57"/>
    <x v="0"/>
    <m/>
    <m/>
    <m/>
  </r>
  <r>
    <s v="ORD-01977"/>
    <x v="55"/>
    <s v="CUST-0174"/>
    <s v="PROD-053"/>
    <x v="8"/>
    <n v="3"/>
    <n v="470"/>
    <x v="8"/>
    <n v="1209.78"/>
    <x v="0"/>
    <s v="Pune"/>
    <x v="1"/>
    <m/>
    <x v="1"/>
    <n v="54"/>
    <x v="0"/>
    <m/>
    <m/>
    <m/>
  </r>
  <r>
    <s v="ORD-01978"/>
    <x v="277"/>
    <s v="CUST-0103"/>
    <s v="PROD-055"/>
    <x v="14"/>
    <n v="2"/>
    <n v="2860"/>
    <x v="131"/>
    <n v="4696.12"/>
    <x v="0"/>
    <s v="Hyderabad"/>
    <x v="1"/>
    <m/>
    <x v="2"/>
    <n v="54"/>
    <x v="0"/>
    <m/>
    <m/>
    <m/>
  </r>
  <r>
    <s v="ORD-01979"/>
    <x v="192"/>
    <s v="CUST-0076"/>
    <s v="PROD-019"/>
    <x v="26"/>
    <n v="2"/>
    <n v="2480"/>
    <x v="44"/>
    <n v="4389.6000000000004"/>
    <x v="2"/>
    <s v="Mumbai"/>
    <x v="0"/>
    <m/>
    <x v="1"/>
    <n v="38"/>
    <x v="2"/>
    <s v="Jun-24"/>
    <n v="1173"/>
    <n v="0.52701612903225803"/>
  </r>
  <r>
    <s v="ORD-01980"/>
    <x v="208"/>
    <s v="CUST-0227"/>
    <s v="PROD-033"/>
    <x v="3"/>
    <n v="10"/>
    <n v="2030"/>
    <x v="173"/>
    <n v="14372.4"/>
    <x v="0"/>
    <s v="Bengaluru"/>
    <x v="3"/>
    <m/>
    <x v="0"/>
    <n v="44"/>
    <x v="0"/>
    <m/>
    <m/>
    <m/>
  </r>
  <r>
    <s v="ORD-01981"/>
    <x v="135"/>
    <s v="CUST-0006"/>
    <s v="PROD-047"/>
    <x v="27"/>
    <n v="6"/>
    <n v="3450"/>
    <x v="124"/>
    <n v="19975.5"/>
    <x v="3"/>
    <s v="Pune"/>
    <x v="5"/>
    <m/>
    <x v="0"/>
    <n v="44"/>
    <x v="0"/>
    <m/>
    <m/>
    <m/>
  </r>
  <r>
    <s v="ORD-01982"/>
    <x v="320"/>
    <s v="CUST-0231"/>
    <s v="PROD-007"/>
    <x v="23"/>
    <n v="10"/>
    <n v="1430"/>
    <x v="124"/>
    <n v="13799.5"/>
    <x v="0"/>
    <s v="Chennai"/>
    <x v="4"/>
    <m/>
    <x v="1"/>
    <n v="61"/>
    <x v="0"/>
    <m/>
    <m/>
    <m/>
  </r>
  <r>
    <s v="ORD-01983"/>
    <x v="124"/>
    <s v="CUST-0085"/>
    <s v="PROD-020"/>
    <x v="21"/>
    <n v="1"/>
    <n v="820"/>
    <x v="258"/>
    <n v="701.1"/>
    <x v="2"/>
    <s v="Chennai"/>
    <x v="0"/>
    <m/>
    <x v="1"/>
    <n v="26"/>
    <x v="4"/>
    <s v="Mar-24"/>
    <n v="391"/>
    <n v="0.52317073170731709"/>
  </r>
  <r>
    <s v="ORD-01984"/>
    <x v="144"/>
    <s v="CUST-0022"/>
    <s v="PROD-046"/>
    <x v="12"/>
    <n v="5"/>
    <n v="4880"/>
    <x v="200"/>
    <n v="23960.799999999999"/>
    <x v="0"/>
    <s v="Bengaluru"/>
    <x v="5"/>
    <m/>
    <x v="2"/>
    <n v="55"/>
    <x v="0"/>
    <m/>
    <m/>
    <m/>
  </r>
  <r>
    <s v="ORD-01985"/>
    <x v="217"/>
    <s v="CUST-0275"/>
    <s v="PROD-043"/>
    <x v="29"/>
    <n v="8"/>
    <n v="3350"/>
    <x v="234"/>
    <n v="19751.599999999999"/>
    <x v="2"/>
    <s v="Mumbai"/>
    <x v="5"/>
    <m/>
    <x v="1"/>
    <n v="36"/>
    <x v="3"/>
    <s v="Feb-24"/>
    <n v="1728"/>
    <n v="0.48417910447761192"/>
  </r>
  <r>
    <s v="ORD-01986"/>
    <x v="129"/>
    <s v="CUST-0159"/>
    <s v="PROD-019"/>
    <x v="24"/>
    <n v="9"/>
    <n v="2480"/>
    <x v="194"/>
    <n v="16896.240000000002"/>
    <x v="0"/>
    <s v="Hyderabad"/>
    <x v="0"/>
    <m/>
    <x v="1"/>
    <n v="32"/>
    <x v="4"/>
    <s v="Apr-24"/>
    <n v="1173"/>
    <n v="0.52701612903225803"/>
  </r>
  <r>
    <s v="ORD-01987"/>
    <x v="66"/>
    <s v="CUST-0152"/>
    <s v="PROD-039"/>
    <x v="6"/>
    <n v="9"/>
    <n v="4610"/>
    <x v="190"/>
    <n v="37341"/>
    <x v="0"/>
    <s v="Bengaluru"/>
    <x v="3"/>
    <m/>
    <x v="0"/>
    <n v="64"/>
    <x v="0"/>
    <m/>
    <m/>
    <m/>
  </r>
  <r>
    <s v="ORD-01988"/>
    <x v="132"/>
    <s v="CUST-0289"/>
    <s v="PROD-027"/>
    <x v="10"/>
    <n v="1"/>
    <n v="3780"/>
    <x v="19"/>
    <n v="3696.84"/>
    <x v="0"/>
    <s v="Mumbai"/>
    <x v="2"/>
    <m/>
    <x v="1"/>
    <n v="54"/>
    <x v="0"/>
    <m/>
    <m/>
    <m/>
  </r>
  <r>
    <s v="ORD-01989"/>
    <x v="24"/>
    <s v="CUST-0004"/>
    <s v="PROD-045"/>
    <x v="17"/>
    <n v="3"/>
    <n v="3020"/>
    <x v="225"/>
    <n v="7121.16"/>
    <x v="2"/>
    <s v="Delhi"/>
    <x v="5"/>
    <m/>
    <x v="1"/>
    <n v="53"/>
    <x v="0"/>
    <m/>
    <m/>
    <m/>
  </r>
  <r>
    <s v="ORD-01990"/>
    <x v="218"/>
    <s v="CUST-0159"/>
    <s v="PROD-035"/>
    <x v="3"/>
    <n v="10"/>
    <n v="1090"/>
    <x v="173"/>
    <n v="7717.2"/>
    <x v="2"/>
    <s v="Hyderabad"/>
    <x v="3"/>
    <m/>
    <x v="1"/>
    <n v="32"/>
    <x v="2"/>
    <s v="Apr-24"/>
    <n v="464"/>
    <n v="0.57431192660550456"/>
  </r>
  <r>
    <s v="ORD-01991"/>
    <x v="48"/>
    <s v="CUST-0083"/>
    <s v="PROD-048"/>
    <x v="22"/>
    <n v="5"/>
    <n v="5100"/>
    <x v="54"/>
    <n v="18258"/>
    <x v="0"/>
    <s v="Bengaluru"/>
    <x v="5"/>
    <m/>
    <x v="2"/>
    <n v="31"/>
    <x v="1"/>
    <s v="Dec-24"/>
    <n v="2237"/>
    <n v="0.56137254901960787"/>
  </r>
  <r>
    <s v="ORD-01992"/>
    <x v="279"/>
    <s v="CUST-0242"/>
    <s v="PROD-046"/>
    <x v="4"/>
    <n v="6"/>
    <n v="4880"/>
    <x v="135"/>
    <n v="24360.959999999999"/>
    <x v="0"/>
    <s v="Chennai"/>
    <x v="5"/>
    <m/>
    <x v="0"/>
    <n v="59"/>
    <x v="0"/>
    <m/>
    <m/>
    <m/>
  </r>
  <r>
    <s v="ORD-01993"/>
    <x v="310"/>
    <s v="CUST-0245"/>
    <s v="PROD-001"/>
    <x v="28"/>
    <n v="1"/>
    <n v="5330"/>
    <x v="118"/>
    <n v="3864.25"/>
    <x v="0"/>
    <s v="Hyderabad"/>
    <x v="4"/>
    <m/>
    <x v="1"/>
    <n v="65"/>
    <x v="0"/>
    <m/>
    <m/>
    <m/>
  </r>
  <r>
    <s v="ORD-01994"/>
    <x v="302"/>
    <s v="CUST-0008"/>
    <s v="PROD-033"/>
    <x v="20"/>
    <n v="7"/>
    <n v="2030"/>
    <x v="56"/>
    <n v="13456.87"/>
    <x v="2"/>
    <s v="Pune"/>
    <x v="3"/>
    <m/>
    <x v="0"/>
    <n v="39"/>
    <x v="2"/>
    <s v="Jun-24"/>
    <n v="1143"/>
    <n v="0.43694581280788175"/>
  </r>
  <r>
    <s v="ORD-01995"/>
    <x v="107"/>
    <s v="CUST-0260"/>
    <s v="PROD-043"/>
    <x v="6"/>
    <n v="7"/>
    <n v="3350"/>
    <x v="160"/>
    <n v="23356.2"/>
    <x v="0"/>
    <s v="Bengaluru"/>
    <x v="5"/>
    <m/>
    <x v="1"/>
    <n v="42"/>
    <x v="0"/>
    <m/>
    <m/>
    <m/>
  </r>
  <r>
    <s v="ORD-01996"/>
    <x v="346"/>
    <s v="CUST-0265"/>
    <s v="PROD-031"/>
    <x v="15"/>
    <n v="6"/>
    <n v="3730"/>
    <x v="103"/>
    <n v="19291.560000000001"/>
    <x v="0"/>
    <s v="Chennai"/>
    <x v="3"/>
    <m/>
    <x v="1"/>
    <n v="49"/>
    <x v="0"/>
    <m/>
    <m/>
    <m/>
  </r>
  <r>
    <s v="ORD-01997"/>
    <x v="65"/>
    <s v="CUST-0135"/>
    <s v="PROD-006"/>
    <x v="21"/>
    <n v="6"/>
    <n v="3970"/>
    <x v="6"/>
    <n v="22438.44"/>
    <x v="1"/>
    <s v="Pune"/>
    <x v="4"/>
    <m/>
    <x v="0"/>
    <n v="24"/>
    <x v="4"/>
    <s v="Jan-24"/>
    <n v="2865"/>
    <n v="0.27833753148614609"/>
  </r>
  <r>
    <s v="ORD-01998"/>
    <x v="95"/>
    <s v="CUST-0030"/>
    <s v="PROD-029"/>
    <x v="23"/>
    <n v="4"/>
    <n v="2210"/>
    <x v="93"/>
    <n v="7231.12"/>
    <x v="1"/>
    <s v="Bengaluru"/>
    <x v="2"/>
    <m/>
    <x v="2"/>
    <n v="43"/>
    <x v="0"/>
    <m/>
    <m/>
    <m/>
  </r>
  <r>
    <s v="ORD-01999"/>
    <x v="43"/>
    <s v="CUST-0167"/>
    <s v="PROD-052"/>
    <x v="4"/>
    <n v="6"/>
    <n v="5410"/>
    <x v="252"/>
    <n v="27428.7"/>
    <x v="0"/>
    <s v="Delhi"/>
    <x v="1"/>
    <m/>
    <x v="1"/>
    <n v="43"/>
    <x v="0"/>
    <m/>
    <m/>
    <m/>
  </r>
  <r>
    <s v="ORD-02000"/>
    <x v="354"/>
    <s v="CUST-0238"/>
    <s v="PROD-034"/>
    <x v="12"/>
    <n v="6"/>
    <n v="5080"/>
    <x v="226"/>
    <n v="21915.119999999999"/>
    <x v="0"/>
    <s v="Delhi"/>
    <x v="3"/>
    <m/>
    <x v="1"/>
    <n v="49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7">
  <r>
    <s v="ORD-00001"/>
    <x v="0"/>
    <s v="CUST-0243"/>
    <s v="PROD-014"/>
    <s v="R007"/>
    <n v="8"/>
    <n v="3620"/>
    <n v="15.4"/>
    <n v="24500.16"/>
    <s v="Completed"/>
    <s v="Pune"/>
    <s v="Apparel"/>
    <m/>
    <s v="SMB"/>
    <n v="44"/>
    <m/>
    <m/>
  </r>
  <r>
    <s v="ORD-00002"/>
    <x v="1"/>
    <s v="CUST-0202"/>
    <s v="PROD-020"/>
    <s v="R005"/>
    <n v="2"/>
    <n v="820"/>
    <n v="10.8"/>
    <n v="1462.88"/>
    <s v="Pending"/>
    <s v="Chennai"/>
    <s v="Apparel"/>
    <m/>
    <s v="Retail"/>
    <n v="39"/>
    <s v="North"/>
    <s v="Sep-24"/>
  </r>
  <r>
    <s v="ORD-00003"/>
    <x v="2"/>
    <s v="CUST-0098"/>
    <s v="PROD-053"/>
    <s v="R014"/>
    <n v="8"/>
    <n v="470"/>
    <n v="3.3"/>
    <n v="3635.92"/>
    <s v="Pending"/>
    <s v="Delhi"/>
    <s v="Sports"/>
    <m/>
    <s v="Retail"/>
    <n v="52"/>
    <m/>
    <m/>
  </r>
  <r>
    <s v="ORD-00004"/>
    <x v="3"/>
    <s v="CUST-0071"/>
    <s v="PROD-028"/>
    <s v="R006"/>
    <n v="1"/>
    <n v="3660"/>
    <n v="15.7"/>
    <n v="3085.38"/>
    <s v="Completed"/>
    <s v="Delhi"/>
    <s v="Grocery"/>
    <m/>
    <s v="Corporate"/>
    <n v="46"/>
    <m/>
    <m/>
  </r>
  <r>
    <s v="ORD-00005"/>
    <x v="4"/>
    <s v="CUST-0180"/>
    <s v="PROD-012"/>
    <s v="R008"/>
    <n v="1"/>
    <n v="3160"/>
    <n v="26"/>
    <n v="2338.4"/>
    <s v="Completed"/>
    <s v="Chennai"/>
    <s v="Apparel"/>
    <m/>
    <s v="Retail"/>
    <n v="36"/>
    <s v="North"/>
    <s v="May-24"/>
  </r>
  <r>
    <s v="ORD-00006"/>
    <x v="5"/>
    <s v="CUST-0275"/>
    <s v="PROD-032"/>
    <s v="R025"/>
    <n v="4"/>
    <n v="370"/>
    <n v="29"/>
    <n v="1050.8"/>
    <s v="Completed"/>
    <s v="Mumbai"/>
    <s v="Home"/>
    <m/>
    <s v="Retail"/>
    <n v="36"/>
    <s v="North"/>
    <s v="Nov-24"/>
  </r>
  <r>
    <s v="ORD-00007"/>
    <x v="6"/>
    <s v="CUST-0293"/>
    <s v="PROD-057"/>
    <s v="R024"/>
    <n v="3"/>
    <n v="960"/>
    <n v="5.8"/>
    <n v="2712.96"/>
    <s v="Completed"/>
    <s v="Bengaluru"/>
    <s v="Sports"/>
    <m/>
    <s v="Retail"/>
    <n v="27"/>
    <s v="West"/>
    <s v="Apr-24"/>
  </r>
  <r>
    <s v="ORD-00008"/>
    <x v="7"/>
    <s v="CUST-0281"/>
    <s v="PROD-007"/>
    <s v="R019"/>
    <n v="8"/>
    <n v="1430"/>
    <n v="2.4"/>
    <n v="11165.44"/>
    <s v="Completed"/>
    <s v="Bengaluru"/>
    <s v="Electronics"/>
    <m/>
    <s v="Corporate"/>
    <n v="57"/>
    <m/>
    <m/>
  </r>
  <r>
    <s v="ORD-00009"/>
    <x v="0"/>
    <s v="CUST-0260"/>
    <s v="PROD-038"/>
    <s v="R008"/>
    <n v="3"/>
    <n v="5490"/>
    <n v="14.2"/>
    <n v="14131.26"/>
    <s v="Completed"/>
    <s v="Bengaluru"/>
    <s v="Home"/>
    <m/>
    <s v="Retail"/>
    <n v="42"/>
    <m/>
    <m/>
  </r>
  <r>
    <s v="ORD-00010"/>
    <x v="8"/>
    <s v="CUST-0147"/>
    <s v="PROD-030"/>
    <s v="R028"/>
    <n v="3"/>
    <n v="970"/>
    <n v="1.2"/>
    <n v="2875.08"/>
    <s v="Completed"/>
    <s v="Pune"/>
    <s v="Grocery"/>
    <m/>
    <s v="Retail"/>
    <n v="56"/>
    <m/>
    <m/>
  </r>
  <r>
    <s v="ORD-00011"/>
    <x v="9"/>
    <s v="CUST-0204"/>
    <s v="PROD-024"/>
    <s v="R010"/>
    <n v="7"/>
    <n v="2270"/>
    <n v="7.1"/>
    <n v="14761.81"/>
    <s v="Pending"/>
    <s v="Hyderabad"/>
    <s v="Grocery"/>
    <m/>
    <s v="Retail"/>
    <n v="60"/>
    <m/>
    <m/>
  </r>
  <r>
    <s v="ORD-00012"/>
    <x v="10"/>
    <s v="CUST-0147"/>
    <s v="PROD-010"/>
    <s v="R024"/>
    <n v="9"/>
    <n v="2640"/>
    <n v="21.7"/>
    <n v="18604.080000000002"/>
    <s v="Completed"/>
    <s v="Pune"/>
    <s v="Electronics"/>
    <m/>
    <s v="Retail"/>
    <n v="56"/>
    <m/>
    <m/>
  </r>
  <r>
    <s v="ORD-00013"/>
    <x v="11"/>
    <s v="CUST-0280"/>
    <s v="PROD-002"/>
    <s v="R004"/>
    <n v="3"/>
    <n v="2600"/>
    <n v="4.3"/>
    <n v="7464.6"/>
    <s v="Cancelled"/>
    <s v="Delhi"/>
    <s v="Electronics"/>
    <m/>
    <s v="SMB"/>
    <n v="27"/>
    <s v="West"/>
    <s v="Feb-24"/>
  </r>
  <r>
    <s v="ORD-00014"/>
    <x v="12"/>
    <s v="CUST-0008"/>
    <s v="PROD-036"/>
    <s v="R025"/>
    <n v="3"/>
    <n v="3250"/>
    <n v="14.1"/>
    <n v="8375.25"/>
    <s v="Refunded"/>
    <s v="Pune"/>
    <s v="Home"/>
    <m/>
    <s v="SMB"/>
    <n v="39"/>
    <s v="North"/>
    <s v="Aug-24"/>
  </r>
  <r>
    <s v="ORD-00015"/>
    <x v="13"/>
    <s v="CUST-0052"/>
    <s v="PROD-060"/>
    <s v="R003"/>
    <n v="1"/>
    <n v="190"/>
    <n v="20.7"/>
    <n v="150.66999999999999"/>
    <s v="Completed"/>
    <s v="Pune"/>
    <s v="Sports"/>
    <m/>
    <s v="Retail"/>
    <n v="38"/>
    <s v="West"/>
    <s v="Jun-24"/>
  </r>
  <r>
    <s v="ORD-00016"/>
    <x v="14"/>
    <s v="CUST-0184"/>
    <s v="PROD-058"/>
    <s v="R014"/>
    <n v="7"/>
    <n v="2400"/>
    <n v="10.199999999999999"/>
    <n v="15086.4"/>
    <s v="Pending"/>
    <s v="Pune"/>
    <s v="Sports"/>
    <m/>
    <s v="Retail"/>
    <n v="63"/>
    <m/>
    <m/>
  </r>
  <r>
    <s v="ORD-00017"/>
    <x v="15"/>
    <s v="CUST-0056"/>
    <s v="PROD-028"/>
    <s v="R023"/>
    <n v="4"/>
    <n v="3660"/>
    <n v="2.6"/>
    <n v="14259.36"/>
    <s v="Completed"/>
    <s v="Bengaluru"/>
    <s v="Grocery"/>
    <m/>
    <s v="SMB"/>
    <n v="46"/>
    <m/>
    <m/>
  </r>
  <r>
    <s v="ORD-00018"/>
    <x v="16"/>
    <s v="CUST-0273"/>
    <s v="PROD-047"/>
    <s v="R021"/>
    <n v="8"/>
    <n v="3450"/>
    <n v="18.5"/>
    <n v="22494"/>
    <s v="Completed"/>
    <s v="Hyderabad"/>
    <s v="Beauty"/>
    <m/>
    <s v="Corporate"/>
    <n v="32"/>
    <s v="East"/>
    <s v="Aug-24"/>
  </r>
  <r>
    <s v="ORD-00019"/>
    <x v="17"/>
    <s v="CUST-0182"/>
    <s v="PROD-051"/>
    <s v="R023"/>
    <n v="5"/>
    <n v="3450"/>
    <n v="7.3"/>
    <n v="15990.75"/>
    <s v="Completed"/>
    <s v="Mumbai"/>
    <s v="Sports"/>
    <m/>
    <s v="Retail"/>
    <n v="54"/>
    <m/>
    <m/>
  </r>
  <r>
    <s v="ORD-00020"/>
    <x v="18"/>
    <s v="CUST-0265"/>
    <s v="PROD-040"/>
    <s v="R023"/>
    <n v="8"/>
    <n v="1080"/>
    <n v="2.2000000000000002"/>
    <n v="8449.92"/>
    <s v="Completed"/>
    <s v="Chennai"/>
    <s v="Home"/>
    <m/>
    <s v="Retail"/>
    <n v="49"/>
    <m/>
    <m/>
  </r>
  <r>
    <s v="ORD-00021"/>
    <x v="19"/>
    <s v="CUST-0159"/>
    <s v="PROD-019"/>
    <s v="R006"/>
    <n v="7"/>
    <n v="2480"/>
    <n v="28.7"/>
    <n v="12377.68"/>
    <s v="Completed"/>
    <s v="Hyderabad"/>
    <s v="Apparel"/>
    <m/>
    <s v="Retail"/>
    <n v="32"/>
    <s v="East"/>
    <s v="Apr-24"/>
  </r>
  <r>
    <s v="ORD-00022"/>
    <x v="20"/>
    <s v="CUST-0259"/>
    <s v="PROD-036"/>
    <s v="R030"/>
    <n v="4"/>
    <n v="3250"/>
    <n v="24.6"/>
    <n v="9802"/>
    <s v="Completed"/>
    <s v="Mumbai"/>
    <s v="Home"/>
    <m/>
    <s v="Retail"/>
    <n v="34"/>
    <s v="North"/>
    <s v="Jun-24"/>
  </r>
  <r>
    <s v="ORD-00023"/>
    <x v="21"/>
    <s v="CUST-0107"/>
    <s v="PROD-015"/>
    <s v="R030"/>
    <n v="9"/>
    <n v="2720"/>
    <n v="26.2"/>
    <n v="18066.240000000002"/>
    <s v="Completed"/>
    <s v="Pune"/>
    <s v="Apparel"/>
    <m/>
    <s v="Retail"/>
    <n v="50"/>
    <m/>
    <m/>
  </r>
  <r>
    <s v="ORD-00024"/>
    <x v="22"/>
    <s v="CUST-0101"/>
    <s v="PROD-044"/>
    <s v="R003"/>
    <n v="2"/>
    <n v="1650"/>
    <n v="9.4"/>
    <n v="2989.8"/>
    <s v="Completed"/>
    <s v="Hyderabad"/>
    <s v="Beauty"/>
    <m/>
    <s v="SMB"/>
    <n v="40"/>
    <s v="West"/>
    <s v="Aug-24"/>
  </r>
  <r>
    <s v="ORD-00025"/>
    <x v="18"/>
    <s v="CUST-0142"/>
    <s v="PROD-043"/>
    <s v="R023"/>
    <n v="6"/>
    <n v="3350"/>
    <n v="6.1"/>
    <n v="18873.900000000001"/>
    <s v="Pending"/>
    <s v="Chennai"/>
    <s v="Beauty"/>
    <m/>
    <s v="Corporate"/>
    <n v="55"/>
    <m/>
    <m/>
  </r>
  <r>
    <s v="ORD-00026"/>
    <x v="23"/>
    <s v="CUST-0250"/>
    <s v="PROD-054"/>
    <s v="R019"/>
    <n v="2"/>
    <n v="1010"/>
    <n v="16.5"/>
    <n v="1686.7"/>
    <s v="Cancelled"/>
    <s v="Delhi"/>
    <s v="Sports"/>
    <m/>
    <s v="Retail"/>
    <n v="31"/>
    <s v="East"/>
    <s v="Apr-24"/>
  </r>
  <r>
    <s v="ORD-00027"/>
    <x v="24"/>
    <s v="CUST-0098"/>
    <s v="PROD-046"/>
    <s v="R006"/>
    <n v="5"/>
    <n v="4880"/>
    <n v="23.6"/>
    <n v="18641.599999999999"/>
    <s v="Completed"/>
    <s v="Delhi"/>
    <s v="Beauty"/>
    <m/>
    <s v="Retail"/>
    <n v="52"/>
    <m/>
    <m/>
  </r>
  <r>
    <s v="ORD-00028"/>
    <x v="25"/>
    <s v="CUST-0143"/>
    <s v="PROD-003"/>
    <s v="R015"/>
    <n v="7"/>
    <n v="3570"/>
    <n v="5.8"/>
    <n v="23540.58"/>
    <s v="Cancelled"/>
    <s v="Chennai"/>
    <s v="Electronics"/>
    <m/>
    <s v="SMB"/>
    <n v="52"/>
    <m/>
    <m/>
  </r>
  <r>
    <s v="ORD-00029"/>
    <x v="26"/>
    <s v="CUST-0086"/>
    <s v="PROD-048"/>
    <s v="R020"/>
    <n v="9"/>
    <n v="5100"/>
    <n v="16.7"/>
    <n v="38234.699999999997"/>
    <s v="Completed"/>
    <s v="Hyderabad"/>
    <s v="Beauty"/>
    <m/>
    <s v="Corporate"/>
    <n v="56"/>
    <m/>
    <m/>
  </r>
  <r>
    <s v="ORD-00030"/>
    <x v="27"/>
    <s v="CUST-0006"/>
    <s v="PROD-055"/>
    <s v="R005"/>
    <n v="3"/>
    <n v="2860"/>
    <n v="25.8"/>
    <n v="6366.36"/>
    <s v="Completed"/>
    <s v="Pune"/>
    <s v="Sports"/>
    <m/>
    <s v="SMB"/>
    <n v="44"/>
    <m/>
    <m/>
  </r>
  <r>
    <s v="ORD-00031"/>
    <x v="28"/>
    <s v="CUST-0241"/>
    <s v="PROD-030"/>
    <s v="R006"/>
    <n v="7"/>
    <n v="970"/>
    <n v="29.8"/>
    <n v="4766.58"/>
    <s v="Completed"/>
    <s v="Pune"/>
    <s v="Grocery"/>
    <m/>
    <s v="Corporate"/>
    <n v="47"/>
    <m/>
    <m/>
  </r>
  <r>
    <s v="ORD-00032"/>
    <x v="29"/>
    <s v="CUST-0035"/>
    <s v="PROD-021"/>
    <s v="R026"/>
    <n v="4"/>
    <n v="2760"/>
    <n v="5.9"/>
    <n v="10388.64"/>
    <s v="Completed"/>
    <s v="Hyderabad"/>
    <s v="Grocery"/>
    <m/>
    <s v="Retail"/>
    <n v="53"/>
    <m/>
    <m/>
  </r>
  <r>
    <s v="ORD-00033"/>
    <x v="30"/>
    <s v="CUST-0273"/>
    <s v="PROD-037"/>
    <s v="R009"/>
    <n v="10"/>
    <n v="660"/>
    <n v="18.3"/>
    <n v="5392.2"/>
    <s v="Pending"/>
    <s v="Hyderabad"/>
    <s v="Home"/>
    <m/>
    <s v="Corporate"/>
    <n v="32"/>
    <s v="West"/>
    <s v="Dec-24"/>
  </r>
  <r>
    <s v="ORD-00034"/>
    <x v="31"/>
    <s v="CUST-0064"/>
    <s v="PROD-036"/>
    <s v="R019"/>
    <n v="1"/>
    <n v="3250"/>
    <n v="10.7"/>
    <n v="2902.25"/>
    <s v="Completed"/>
    <s v="Hyderabad"/>
    <s v="Home"/>
    <m/>
    <s v="SMB"/>
    <n v="40"/>
    <s v="South"/>
    <s v="Feb-24"/>
  </r>
  <r>
    <s v="ORD-00035"/>
    <x v="32"/>
    <s v="CUST-0118"/>
    <s v="PROD-048"/>
    <s v="R019"/>
    <n v="8"/>
    <n v="5100"/>
    <n v="26.4"/>
    <n v="30028.799999999999"/>
    <s v="Cancelled"/>
    <s v="Hyderabad"/>
    <s v="Beauty"/>
    <m/>
    <s v="Retail"/>
    <n v="26"/>
    <s v="East"/>
    <s v="Oct-24"/>
  </r>
  <r>
    <s v="ORD-00036"/>
    <x v="33"/>
    <s v="CUST-0013"/>
    <s v="PROD-040"/>
    <s v="R021"/>
    <n v="1"/>
    <n v="1080"/>
    <n v="5.0999999999999996"/>
    <n v="1024.92"/>
    <s v="Completed"/>
    <s v="Delhi"/>
    <s v="Home"/>
    <m/>
    <s v="Retail"/>
    <n v="41"/>
    <m/>
    <m/>
  </r>
  <r>
    <s v="ORD-00037"/>
    <x v="34"/>
    <s v="CUST-0177"/>
    <s v="PROD-038"/>
    <s v="R009"/>
    <n v="2"/>
    <n v="5490"/>
    <n v="21.1"/>
    <n v="8663.2199999999993"/>
    <s v="Cancelled"/>
    <s v="Mumbai"/>
    <s v="Home"/>
    <m/>
    <s v="SMB"/>
    <n v="36"/>
    <s v="East"/>
    <s v="May-24"/>
  </r>
  <r>
    <s v="ORD-00038"/>
    <x v="35"/>
    <s v="CUST-0186"/>
    <s v="PROD-060"/>
    <s v="R001"/>
    <n v="7"/>
    <n v="190"/>
    <n v="28.7"/>
    <n v="948.29"/>
    <s v="Completed"/>
    <s v="Bengaluru"/>
    <s v="Sports"/>
    <m/>
    <s v="Retail"/>
    <n v="42"/>
    <m/>
    <m/>
  </r>
  <r>
    <s v="ORD-00039"/>
    <x v="36"/>
    <s v="CUST-0069"/>
    <s v="PROD-058"/>
    <s v="R015"/>
    <n v="6"/>
    <n v="2400"/>
    <n v="2.7"/>
    <n v="14011.2"/>
    <s v="Completed"/>
    <s v="Chennai"/>
    <s v="Sports"/>
    <m/>
    <s v="Retail"/>
    <n v="51"/>
    <m/>
    <m/>
  </r>
  <r>
    <s v="ORD-00040"/>
    <x v="37"/>
    <s v="CUST-0283"/>
    <s v="PROD-044"/>
    <s v="R023"/>
    <n v="9"/>
    <n v="1650"/>
    <n v="11.6"/>
    <n v="13127.4"/>
    <s v="Completed"/>
    <s v="Delhi"/>
    <s v="Beauty"/>
    <m/>
    <s v="SMB"/>
    <n v="50"/>
    <m/>
    <m/>
  </r>
  <r>
    <s v="ORD-00041"/>
    <x v="38"/>
    <s v="CUST-9507"/>
    <s v="PROD-038"/>
    <s v="R006"/>
    <n v="4"/>
    <n v="5490"/>
    <n v="12.8"/>
    <n v="19149.12"/>
    <s v="Cancelled"/>
    <s v="Chennai"/>
    <s v="Home"/>
    <m/>
    <e v="#N/A"/>
    <e v="#N/A"/>
    <m/>
    <m/>
  </r>
  <r>
    <s v="ORD-00042"/>
    <x v="39"/>
    <s v="CUST-0053"/>
    <s v="PROD-046"/>
    <s v="R014"/>
    <n v="10"/>
    <n v="4880"/>
    <n v="12.7"/>
    <n v="42602.400000000001"/>
    <s v="Completed"/>
    <s v="Delhi"/>
    <s v="Beauty"/>
    <m/>
    <s v="Retail"/>
    <n v="53"/>
    <m/>
    <m/>
  </r>
  <r>
    <s v="ORD-00043"/>
    <x v="40"/>
    <s v="CUST-0222"/>
    <s v="PROD-031"/>
    <s v="R019"/>
    <n v="2"/>
    <n v="3730"/>
    <n v="25.8"/>
    <n v="5535.32"/>
    <s v="Completed"/>
    <s v="Chennai"/>
    <s v="Home"/>
    <m/>
    <s v="Retail"/>
    <n v="37"/>
    <s v="South"/>
    <s v="May-24"/>
  </r>
  <r>
    <s v="ORD-00044"/>
    <x v="8"/>
    <s v="CUST-0095"/>
    <s v="PROD-047"/>
    <s v="R029"/>
    <n v="4"/>
    <n v="3450"/>
    <n v="20.7"/>
    <n v="10943.4"/>
    <s v="Completed"/>
    <s v="Mumbai"/>
    <s v="Beauty"/>
    <m/>
    <s v="SMB"/>
    <n v="54"/>
    <m/>
    <m/>
  </r>
  <r>
    <s v="ORD-00045"/>
    <x v="41"/>
    <s v="CUST-0152"/>
    <s v="PROD-019"/>
    <s v="R019"/>
    <n v="2"/>
    <n v="2480"/>
    <n v="17.3"/>
    <n v="4101.92"/>
    <s v="Completed"/>
    <s v="Bengaluru"/>
    <s v="Apparel"/>
    <m/>
    <s v="SMB"/>
    <n v="64"/>
    <m/>
    <m/>
  </r>
  <r>
    <s v="ORD-00046"/>
    <x v="42"/>
    <s v="CUST-0291"/>
    <s v="PROD-027"/>
    <s v="R015"/>
    <n v="9"/>
    <n v="3780"/>
    <n v="8.6999999999999993"/>
    <n v="31060.26"/>
    <s v="Pending"/>
    <s v="Pune"/>
    <s v="Grocery"/>
    <m/>
    <s v="SMB"/>
    <n v="29"/>
    <s v="East"/>
    <s v="Mar-24"/>
  </r>
  <r>
    <s v="ORD-00047"/>
    <x v="1"/>
    <s v="CUST-0112"/>
    <s v="PROD-013"/>
    <s v="R017"/>
    <n v="4"/>
    <n v="3640"/>
    <n v="20.7"/>
    <n v="11546.08"/>
    <s v="Completed"/>
    <s v="Hyderabad"/>
    <s v="Apparel"/>
    <m/>
    <s v="Retail"/>
    <n v="64"/>
    <m/>
    <m/>
  </r>
  <r>
    <s v="ORD-00048"/>
    <x v="43"/>
    <s v="CUST-9800"/>
    <s v="PROD-050"/>
    <s v="R003"/>
    <n v="8"/>
    <n v="6080"/>
    <n v="24.4"/>
    <n v="36771.839999999997"/>
    <s v="Completed"/>
    <s v="Pune"/>
    <s v="Beauty"/>
    <m/>
    <e v="#N/A"/>
    <e v="#N/A"/>
    <m/>
    <m/>
  </r>
  <r>
    <s v="ORD-00049"/>
    <x v="44"/>
    <s v="CUST-0143"/>
    <s v="PROD-030"/>
    <s v="R007"/>
    <n v="10"/>
    <n v="970"/>
    <n v="0.6"/>
    <n v="9641.7999999999993"/>
    <s v="Cancelled"/>
    <s v="Chennai"/>
    <s v="Grocery"/>
    <m/>
    <s v="SMB"/>
    <n v="52"/>
    <m/>
    <m/>
  </r>
  <r>
    <s v="ORD-00050"/>
    <x v="45"/>
    <s v="CUST-0226"/>
    <s v="PROD-022"/>
    <s v="R028"/>
    <n v="1"/>
    <n v="2270"/>
    <n v="11.5"/>
    <n v="2008.95"/>
    <s v="Pending"/>
    <s v="Chennai"/>
    <s v="Grocery"/>
    <m/>
    <s v="Corporate"/>
    <n v="52"/>
    <m/>
    <m/>
  </r>
  <r>
    <s v="ORD-00051"/>
    <x v="46"/>
    <s v="CUST-0234"/>
    <s v="PROD-004"/>
    <s v="R023"/>
    <n v="7"/>
    <n v="3870"/>
    <n v="0.3"/>
    <n v="27008.73"/>
    <s v="Cancelled"/>
    <s v="Bengaluru"/>
    <s v="Electronics"/>
    <m/>
    <s v="Retail"/>
    <n v="34"/>
    <s v="West"/>
    <s v="Sep-24"/>
  </r>
  <r>
    <s v="ORD-00052"/>
    <x v="47"/>
    <s v="CUST-0176"/>
    <s v="PROD-046"/>
    <s v="R009"/>
    <n v="1"/>
    <n v="4880"/>
    <n v="23.9"/>
    <n v="3713.68"/>
    <s v="Pending"/>
    <s v="Bengaluru"/>
    <s v="Beauty"/>
    <m/>
    <s v="SMB"/>
    <n v="34"/>
    <s v="East"/>
    <s v="Feb-24"/>
  </r>
  <r>
    <s v="ORD-00053"/>
    <x v="48"/>
    <s v="CUST-0180"/>
    <s v="PROD-027"/>
    <s v="R013"/>
    <n v="5"/>
    <n v="3780"/>
    <n v="18.5"/>
    <n v="15403.5"/>
    <s v="Completed"/>
    <s v="Chennai"/>
    <s v="Grocery"/>
    <m/>
    <s v="Retail"/>
    <n v="36"/>
    <s v="South"/>
    <s v="Aug-24"/>
  </r>
  <r>
    <s v="ORD-00054"/>
    <x v="49"/>
    <s v="CUST-0088"/>
    <s v="PROD-036"/>
    <s v="R020"/>
    <n v="10"/>
    <n v="3250"/>
    <n v="25.5"/>
    <n v="24212.5"/>
    <s v="Completed"/>
    <s v="Chennai"/>
    <s v="Home"/>
    <m/>
    <s v="Retail"/>
    <n v="24"/>
    <s v="South"/>
    <s v="Nov-24"/>
  </r>
  <r>
    <s v="ORD-00055"/>
    <x v="50"/>
    <s v="CUST-0267"/>
    <s v="PROD-013"/>
    <s v="R007"/>
    <n v="4"/>
    <n v="3640"/>
    <n v="9.9"/>
    <n v="13118.56"/>
    <s v="Refunded"/>
    <s v="Hyderabad"/>
    <s v="Apparel"/>
    <m/>
    <s v="Retail"/>
    <n v="27"/>
    <s v="East"/>
    <s v="May-24"/>
  </r>
  <r>
    <s v="ORD-00056"/>
    <x v="51"/>
    <s v="CUST-0194"/>
    <s v="PROD-041"/>
    <s v="R023"/>
    <n v="4"/>
    <n v="1540"/>
    <n v="28.8"/>
    <n v="4385.92"/>
    <s v="Completed"/>
    <s v="Delhi"/>
    <s v="Beauty"/>
    <m/>
    <s v="SMB"/>
    <n v="55"/>
    <m/>
    <m/>
  </r>
  <r>
    <s v="ORD-00057"/>
    <x v="48"/>
    <s v="CUST-0261"/>
    <s v="PROD-040"/>
    <s v="R017"/>
    <n v="1"/>
    <n v="1080"/>
    <n v="23"/>
    <n v="831.6"/>
    <s v="Cancelled"/>
    <s v="Delhi"/>
    <s v="Home"/>
    <m/>
    <s v="Retail"/>
    <n v="54"/>
    <m/>
    <m/>
  </r>
  <r>
    <s v="ORD-00058"/>
    <x v="52"/>
    <s v="CUST-0031"/>
    <s v="PROD-026"/>
    <s v="R007"/>
    <n v="1"/>
    <n v="4070"/>
    <n v="6.7"/>
    <n v="3797.31"/>
    <s v="Completed"/>
    <s v="Hyderabad"/>
    <s v="Grocery"/>
    <m/>
    <s v="Retail"/>
    <n v="53"/>
    <m/>
    <m/>
  </r>
  <r>
    <s v="ORD-00059"/>
    <x v="53"/>
    <s v="CUST-0175"/>
    <s v="PROD-009"/>
    <s v="R030"/>
    <n v="2"/>
    <n v="1220"/>
    <n v="11.7"/>
    <n v="2154.52"/>
    <s v="Cancelled"/>
    <s v="Delhi"/>
    <s v="Electronics"/>
    <m/>
    <s v="Corporate"/>
    <n v="55"/>
    <m/>
    <m/>
  </r>
  <r>
    <s v="ORD-00060"/>
    <x v="54"/>
    <s v="CUST-0263"/>
    <s v="PROD-039"/>
    <s v="R029"/>
    <n v="4"/>
    <n v="4610"/>
    <n v="26.9"/>
    <n v="13479.64"/>
    <s v="Pending"/>
    <s v="Mumbai"/>
    <s v="Home"/>
    <m/>
    <s v="Retail"/>
    <n v="40"/>
    <s v="West"/>
    <s v="May-24"/>
  </r>
  <r>
    <s v="ORD-00061"/>
    <x v="55"/>
    <s v="CUST-0203"/>
    <s v="PROD-040"/>
    <s v="R011"/>
    <n v="8"/>
    <n v="1080"/>
    <n v="28.4"/>
    <n v="6186.24"/>
    <s v="Completed"/>
    <s v="Chennai"/>
    <s v="Home"/>
    <m/>
    <s v="SMB"/>
    <n v="55"/>
    <m/>
    <m/>
  </r>
  <r>
    <s v="ORD-00062"/>
    <x v="56"/>
    <s v="CUST-0258"/>
    <s v="PROD-045"/>
    <s v="R006"/>
    <n v="10"/>
    <n v="3020"/>
    <n v="25.4"/>
    <n v="22529.200000000001"/>
    <s v="Completed"/>
    <s v="Pune"/>
    <s v="Beauty"/>
    <m/>
    <s v="Retail"/>
    <n v="44"/>
    <m/>
    <m/>
  </r>
  <r>
    <s v="ORD-00063"/>
    <x v="57"/>
    <s v="CUST-0282"/>
    <s v="PROD-008"/>
    <s v="R017"/>
    <n v="7"/>
    <n v="2660"/>
    <n v="5.3"/>
    <n v="17633.14"/>
    <s v="Completed"/>
    <s v="Hyderabad"/>
    <s v="Electronics"/>
    <m/>
    <s v="Corporate"/>
    <n v="29"/>
    <s v="North"/>
    <s v="Jul-24"/>
  </r>
  <r>
    <s v="ORD-00064"/>
    <x v="37"/>
    <s v="CUST-0168"/>
    <s v="PROD-005"/>
    <s v="R003"/>
    <n v="9"/>
    <n v="300"/>
    <n v="25.3"/>
    <n v="2016.9"/>
    <s v="Completed"/>
    <s v="Pune"/>
    <s v="Electronics"/>
    <m/>
    <s v="Retail"/>
    <n v="25"/>
    <s v="East"/>
    <s v="Jun-24"/>
  </r>
  <r>
    <s v="ORD-00065"/>
    <x v="58"/>
    <s v="CUST-0040"/>
    <s v="PROD-010"/>
    <s v="R022"/>
    <n v="10"/>
    <n v="2640"/>
    <n v="18.7"/>
    <n v="21463.200000000001"/>
    <s v="Cancelled"/>
    <s v="Chennai"/>
    <s v="Electronics"/>
    <m/>
    <s v="Retail"/>
    <n v="28"/>
    <s v="North"/>
    <s v="Nov-24"/>
  </r>
  <r>
    <s v="ORD-00066"/>
    <x v="32"/>
    <s v="CUST-0283"/>
    <s v="PROD-020"/>
    <s v="R020"/>
    <n v="8"/>
    <n v="820"/>
    <n v="24"/>
    <n v="4985.6000000000004"/>
    <s v="Completed"/>
    <s v="Delhi"/>
    <s v="Apparel"/>
    <m/>
    <s v="SMB"/>
    <n v="50"/>
    <m/>
    <m/>
  </r>
  <r>
    <s v="ORD-00067"/>
    <x v="59"/>
    <s v="CUST-0202"/>
    <s v="PROD-021"/>
    <s v="R028"/>
    <n v="1"/>
    <n v="2760"/>
    <n v="4.8"/>
    <n v="2627.52"/>
    <s v="Completed"/>
    <s v="Chennai"/>
    <s v="Grocery"/>
    <m/>
    <s v="Retail"/>
    <n v="39"/>
    <s v="East"/>
    <s v="Jun-24"/>
  </r>
  <r>
    <s v="ORD-00068"/>
    <x v="60"/>
    <s v="CUST-0161"/>
    <s v="PROD-014"/>
    <s v="R017"/>
    <n v="2"/>
    <n v="3620"/>
    <n v="19.100000000000001"/>
    <n v="5857.16"/>
    <s v="Completed"/>
    <s v="Chennai"/>
    <s v="Apparel"/>
    <m/>
    <s v="Retail"/>
    <n v="38"/>
    <s v="West"/>
    <s v="Jul-24"/>
  </r>
  <r>
    <s v="ORD-00069"/>
    <x v="61"/>
    <s v="CUST-0033"/>
    <s v="PROD-016"/>
    <s v="R025"/>
    <n v="1"/>
    <n v="620"/>
    <n v="1"/>
    <n v="613.79999999999995"/>
    <s v="Completed"/>
    <s v="Delhi"/>
    <s v="Apparel"/>
    <m/>
    <s v="Retail"/>
    <n v="35"/>
    <s v="East"/>
    <s v="Feb-24"/>
  </r>
  <r>
    <s v="ORD-00070"/>
    <x v="62"/>
    <s v="CUST-0191"/>
    <s v="PROD-033"/>
    <s v="R030"/>
    <n v="1"/>
    <n v="2030"/>
    <n v="3.3"/>
    <n v="1963.01"/>
    <s v="Completed"/>
    <s v="Hyderabad"/>
    <s v="Home"/>
    <m/>
    <s v="SMB"/>
    <n v="43"/>
    <m/>
    <m/>
  </r>
  <r>
    <s v="ORD-00071"/>
    <x v="19"/>
    <s v="CUST-0180"/>
    <s v="PROD-012"/>
    <s v="R002"/>
    <n v="10"/>
    <n v="3160"/>
    <n v="15.8"/>
    <n v="26607.200000000001"/>
    <s v="Completed"/>
    <s v="Chennai"/>
    <s v="Apparel"/>
    <m/>
    <s v="Retail"/>
    <n v="36"/>
    <s v="West"/>
    <s v="Apr-24"/>
  </r>
  <r>
    <s v="ORD-00072"/>
    <x v="63"/>
    <s v="CUST-0129"/>
    <s v="PROD-030"/>
    <s v="R001"/>
    <n v="5"/>
    <n v="970"/>
    <n v="12.2"/>
    <n v="4258.3"/>
    <s v="Completed"/>
    <s v="Hyderabad"/>
    <s v="Grocery"/>
    <m/>
    <s v="Retail"/>
    <n v="29"/>
    <s v="North"/>
    <s v="Jun-24"/>
  </r>
  <r>
    <s v="ORD-00073"/>
    <x v="64"/>
    <s v="CUST-0189"/>
    <s v="PROD-043"/>
    <s v="R003"/>
    <n v="9"/>
    <n v="3350"/>
    <n v="25.8"/>
    <n v="22371.3"/>
    <s v="Pending"/>
    <s v="Chennai"/>
    <s v="Beauty"/>
    <m/>
    <s v="Retail"/>
    <n v="41"/>
    <m/>
    <m/>
  </r>
  <r>
    <s v="ORD-00074"/>
    <x v="65"/>
    <s v="CUST-0194"/>
    <s v="PROD-032"/>
    <s v="R018"/>
    <n v="1"/>
    <n v="370"/>
    <n v="28.9"/>
    <n v="263.07"/>
    <s v="Completed"/>
    <s v="Delhi"/>
    <s v="Home"/>
    <m/>
    <s v="SMB"/>
    <n v="55"/>
    <m/>
    <m/>
  </r>
  <r>
    <s v="ORD-00075"/>
    <x v="66"/>
    <s v="CUST-0200"/>
    <s v="PROD-030"/>
    <s v="R010"/>
    <n v="3"/>
    <n v="970"/>
    <n v="4.3"/>
    <n v="2784.87"/>
    <s v="Cancelled"/>
    <s v="Hyderabad"/>
    <s v="Grocery"/>
    <m/>
    <s v="Corporate"/>
    <n v="46"/>
    <m/>
    <m/>
  </r>
  <r>
    <s v="ORD-00076"/>
    <x v="67"/>
    <s v="CUST-0008"/>
    <s v="PROD-021"/>
    <s v="R022"/>
    <n v="6"/>
    <n v="2760"/>
    <n v="19.899999999999999"/>
    <n v="13264.56"/>
    <s v="Pending"/>
    <s v="Pune"/>
    <s v="Grocery"/>
    <m/>
    <s v="SMB"/>
    <n v="39"/>
    <s v="South"/>
    <s v="Jul-24"/>
  </r>
  <r>
    <s v="ORD-00077"/>
    <x v="68"/>
    <s v="CUST-0051"/>
    <s v="PROD-021"/>
    <s v="R019"/>
    <n v="7"/>
    <n v="2760"/>
    <n v="25.2"/>
    <n v="14451.36"/>
    <s v="Completed"/>
    <s v="Pune"/>
    <s v="Grocery"/>
    <m/>
    <s v="SMB"/>
    <n v="54"/>
    <m/>
    <m/>
  </r>
  <r>
    <s v="ORD-00078"/>
    <x v="69"/>
    <s v="CUST-0193"/>
    <s v="PROD-009"/>
    <s v="R022"/>
    <n v="4"/>
    <n v="1220"/>
    <n v="8.4"/>
    <n v="4470.08"/>
    <s v="Completed"/>
    <s v="Bengaluru"/>
    <s v="Electronics"/>
    <m/>
    <s v="Retail"/>
    <n v="42"/>
    <m/>
    <m/>
  </r>
  <r>
    <s v="ORD-00079"/>
    <x v="70"/>
    <s v="CUST-0020"/>
    <s v="PROD-002"/>
    <s v="R028"/>
    <n v="2"/>
    <n v="2600"/>
    <n v="1.9"/>
    <n v="5101.2"/>
    <s v="Pending"/>
    <s v="Hyderabad"/>
    <s v="Electronics"/>
    <m/>
    <s v="Retail"/>
    <n v="46"/>
    <m/>
    <m/>
  </r>
  <r>
    <s v="ORD-00080"/>
    <x v="71"/>
    <s v="CUST-0230"/>
    <s v="PROD-026"/>
    <s v="R030"/>
    <n v="9"/>
    <n v="4070"/>
    <n v="28.8"/>
    <n v="26080.560000000001"/>
    <s v="Completed"/>
    <s v="Pune"/>
    <s v="Grocery"/>
    <m/>
    <s v="Corporate"/>
    <n v="33"/>
    <s v="West"/>
    <s v="Nov-24"/>
  </r>
  <r>
    <s v="ORD-00081"/>
    <x v="50"/>
    <s v="CUST-0094"/>
    <s v="PROD-024"/>
    <s v="R005"/>
    <n v="2"/>
    <n v="2270"/>
    <n v="18"/>
    <n v="3722.8"/>
    <s v="Refunded"/>
    <s v="Pune"/>
    <s v="Grocery"/>
    <m/>
    <s v="SMB"/>
    <n v="60"/>
    <m/>
    <m/>
  </r>
  <r>
    <s v="ORD-00082"/>
    <x v="72"/>
    <s v="CUST-0248"/>
    <s v="PROD-012"/>
    <s v="R017"/>
    <n v="2"/>
    <n v="3160"/>
    <n v="18.3"/>
    <n v="5163.4399999999996"/>
    <s v="Completed"/>
    <s v="Chennai"/>
    <s v="Apparel"/>
    <m/>
    <s v="SMB"/>
    <n v="57"/>
    <m/>
    <m/>
  </r>
  <r>
    <s v="ORD-00083"/>
    <x v="73"/>
    <s v="CUST-0082"/>
    <s v="PROD-019"/>
    <s v="R007"/>
    <n v="4"/>
    <n v="2480"/>
    <n v="1.1000000000000001"/>
    <n v="9810.8799999999992"/>
    <s v="Pending"/>
    <s v="Hyderabad"/>
    <s v="Apparel"/>
    <m/>
    <s v="SMB"/>
    <n v="36"/>
    <s v="East"/>
    <s v="Aug-24"/>
  </r>
  <r>
    <s v="ORD-00084"/>
    <x v="74"/>
    <s v="CUST-0078"/>
    <s v="PROD-008"/>
    <s v="R026"/>
    <n v="1"/>
    <n v="2660"/>
    <n v="21"/>
    <n v="2101.4"/>
    <s v="Completed"/>
    <s v="Delhi"/>
    <s v="Electronics"/>
    <m/>
    <s v="Retail"/>
    <n v="31"/>
    <s v="North"/>
    <s v="Apr-24"/>
  </r>
  <r>
    <s v="ORD-00085"/>
    <x v="75"/>
    <s v="CUST-0032"/>
    <s v="PROD-045"/>
    <s v="R012"/>
    <n v="5"/>
    <n v="3020"/>
    <n v="22.2"/>
    <n v="11747.8"/>
    <s v="Completed"/>
    <s v="Hyderabad"/>
    <s v="Beauty"/>
    <m/>
    <s v="Retail"/>
    <n v="28"/>
    <s v="West"/>
    <s v="Sep-24"/>
  </r>
  <r>
    <s v="ORD-00086"/>
    <x v="76"/>
    <s v="CUST-0006"/>
    <s v="PROD-016"/>
    <s v="R030"/>
    <n v="9"/>
    <n v="620"/>
    <n v="23.3"/>
    <n v="4279.8599999999997"/>
    <s v="Completed"/>
    <s v="Pune"/>
    <s v="Apparel"/>
    <m/>
    <s v="SMB"/>
    <n v="44"/>
    <m/>
    <m/>
  </r>
  <r>
    <s v="ORD-00087"/>
    <x v="77"/>
    <s v="CUST-0084"/>
    <s v="PROD-053"/>
    <s v="R026"/>
    <n v="2"/>
    <n v="470"/>
    <n v="5.4"/>
    <n v="889.24"/>
    <s v="Completed"/>
    <s v="Chennai"/>
    <s v="Sports"/>
    <m/>
    <s v="Retail"/>
    <n v="28"/>
    <s v="West"/>
    <s v="Jun-24"/>
  </r>
  <r>
    <s v="ORD-00088"/>
    <x v="78"/>
    <s v="CUST-0107"/>
    <s v="PROD-007"/>
    <s v="R010"/>
    <n v="3"/>
    <n v="1430"/>
    <n v="6.5"/>
    <n v="4011.15"/>
    <s v="Completed"/>
    <s v="Pune"/>
    <s v="Electronics"/>
    <m/>
    <s v="Retail"/>
    <n v="50"/>
    <m/>
    <m/>
  </r>
  <r>
    <s v="ORD-00089"/>
    <x v="79"/>
    <s v="CUST-0108"/>
    <s v="PROD-016"/>
    <s v="R004"/>
    <n v="6"/>
    <n v="620"/>
    <n v="2.6"/>
    <n v="3623.28"/>
    <s v="Completed"/>
    <s v="Bengaluru"/>
    <s v="Apparel"/>
    <m/>
    <s v="Corporate"/>
    <n v="59"/>
    <m/>
    <m/>
  </r>
  <r>
    <s v="ORD-00090"/>
    <x v="80"/>
    <s v="CUST-0139"/>
    <s v="PROD-003"/>
    <s v="R012"/>
    <n v="4"/>
    <n v="3570"/>
    <n v="4.5"/>
    <n v="13637.4"/>
    <s v="Pending"/>
    <s v="Hyderabad"/>
    <s v="Electronics"/>
    <m/>
    <s v="SMB"/>
    <n v="65"/>
    <m/>
    <m/>
  </r>
  <r>
    <s v="ORD-00091"/>
    <x v="81"/>
    <s v="CUST-0200"/>
    <s v="PROD-022"/>
    <s v="R010"/>
    <n v="6"/>
    <n v="2270"/>
    <n v="2"/>
    <n v="13347.6"/>
    <s v="Completed"/>
    <s v="Hyderabad"/>
    <s v="Grocery"/>
    <m/>
    <s v="Corporate"/>
    <n v="46"/>
    <m/>
    <m/>
  </r>
  <r>
    <s v="ORD-00092"/>
    <x v="60"/>
    <s v="CUST-0208"/>
    <s v="PROD-015"/>
    <s v="R014"/>
    <n v="7"/>
    <n v="2720"/>
    <n v="15.4"/>
    <n v="16107.84"/>
    <s v="Completed"/>
    <s v="Mumbai"/>
    <s v="Apparel"/>
    <m/>
    <s v="Retail"/>
    <n v="49"/>
    <m/>
    <m/>
  </r>
  <r>
    <s v="ORD-00093"/>
    <x v="82"/>
    <s v="CUST-0161"/>
    <s v="PROD-029"/>
    <s v="R001"/>
    <n v="9"/>
    <n v="2210"/>
    <n v="12.4"/>
    <n v="17423.64"/>
    <s v="Completed"/>
    <s v="Chennai"/>
    <s v="Grocery"/>
    <m/>
    <s v="Retail"/>
    <n v="38"/>
    <s v="South"/>
    <s v="Feb-24"/>
  </r>
  <r>
    <s v="ORD-00094"/>
    <x v="83"/>
    <s v="CUST-0042"/>
    <s v="PROD-060"/>
    <s v="R026"/>
    <n v="6"/>
    <n v="190"/>
    <n v="19.2"/>
    <n v="921.12"/>
    <s v="Completed"/>
    <s v="Pune"/>
    <s v="Sports"/>
    <m/>
    <s v="Retail"/>
    <n v="25"/>
    <s v="North"/>
    <s v="Mar-24"/>
  </r>
  <r>
    <s v="ORD-00095"/>
    <x v="84"/>
    <s v="CUST-0133"/>
    <s v="PROD-048"/>
    <s v="R027"/>
    <n v="10"/>
    <n v="5100"/>
    <n v="25.4"/>
    <n v="38046"/>
    <s v="Refunded"/>
    <s v="Chennai"/>
    <s v="Beauty"/>
    <m/>
    <s v="Retail"/>
    <n v="26"/>
    <s v="West"/>
    <s v="Dec-24"/>
  </r>
  <r>
    <s v="ORD-00096"/>
    <x v="85"/>
    <s v="CUST-0219"/>
    <s v="PROD-054"/>
    <s v="R016"/>
    <n v="5"/>
    <n v="1010"/>
    <n v="1.6"/>
    <n v="4969.2"/>
    <s v="Completed"/>
    <s v="Chennai"/>
    <s v="Sports"/>
    <m/>
    <s v="Corporate"/>
    <n v="38"/>
    <s v="West"/>
    <s v="Nov-24"/>
  </r>
  <r>
    <s v="ORD-00097"/>
    <x v="60"/>
    <s v="CUST-0031"/>
    <s v="PROD-031"/>
    <s v="R025"/>
    <n v="1"/>
    <n v="3730"/>
    <n v="22.7"/>
    <n v="2883.29"/>
    <s v="Completed"/>
    <s v="Hyderabad"/>
    <s v="Home"/>
    <m/>
    <s v="Retail"/>
    <n v="53"/>
    <m/>
    <m/>
  </r>
  <r>
    <s v="ORD-00098"/>
    <x v="41"/>
    <s v="CUST-0189"/>
    <s v="PROD-002"/>
    <s v="R028"/>
    <n v="10"/>
    <n v="2600"/>
    <n v="20.7"/>
    <n v="20618"/>
    <s v="Completed"/>
    <s v="Chennai"/>
    <s v="Electronics"/>
    <m/>
    <s v="Retail"/>
    <n v="41"/>
    <m/>
    <m/>
  </r>
  <r>
    <s v="ORD-00099"/>
    <x v="86"/>
    <s v="CUST-0170"/>
    <s v="PROD-025"/>
    <s v="R006"/>
    <n v="4"/>
    <n v="4060"/>
    <n v="13.9"/>
    <n v="13982.64"/>
    <s v="Completed"/>
    <s v="Mumbai"/>
    <s v="Grocery"/>
    <m/>
    <s v="SMB"/>
    <n v="22"/>
    <s v="West"/>
    <s v="Mar-24"/>
  </r>
  <r>
    <s v="ORD-00100"/>
    <x v="87"/>
    <s v="CUST-0164"/>
    <s v="PROD-050"/>
    <s v="R027"/>
    <n v="6"/>
    <n v="6080"/>
    <n v="16.5"/>
    <n v="30460.799999999999"/>
    <s v="Completed"/>
    <s v="Chennai"/>
    <s v="Beauty"/>
    <m/>
    <s v="Retail"/>
    <n v="60"/>
    <m/>
    <m/>
  </r>
  <r>
    <s v="ORD-00101"/>
    <x v="88"/>
    <s v="CUST-0006"/>
    <s v="PROD-017"/>
    <s v="R028"/>
    <n v="6"/>
    <n v="2510"/>
    <n v="11.7"/>
    <n v="13297.98"/>
    <s v="Completed"/>
    <s v="Pune"/>
    <s v="Apparel"/>
    <m/>
    <s v="SMB"/>
    <n v="44"/>
    <m/>
    <m/>
  </r>
  <r>
    <s v="ORD-00102"/>
    <x v="89"/>
    <s v="CUST-0181"/>
    <s v="PROD-036"/>
    <s v="R026"/>
    <n v="5"/>
    <n v="3250"/>
    <n v="18.399999999999999"/>
    <n v="13260"/>
    <s v="Completed"/>
    <s v="Delhi"/>
    <s v="Home"/>
    <m/>
    <s v="SMB"/>
    <n v="38"/>
    <s v="West"/>
    <s v="Sep-24"/>
  </r>
  <r>
    <s v="ORD-00103"/>
    <x v="90"/>
    <s v="CUST-0131"/>
    <s v="PROD-052"/>
    <s v="R005"/>
    <n v="4"/>
    <n v="5410"/>
    <n v="9.8000000000000007"/>
    <n v="19519.28"/>
    <s v="Cancelled"/>
    <s v="Delhi"/>
    <s v="Sports"/>
    <m/>
    <s v="SMB"/>
    <n v="28"/>
    <s v="West"/>
    <s v="Aug-24"/>
  </r>
  <r>
    <s v="ORD-00104"/>
    <x v="91"/>
    <s v="CUST-0255"/>
    <s v="PROD-003"/>
    <s v="R018"/>
    <n v="8"/>
    <n v="3570"/>
    <n v="11.1"/>
    <n v="25389.84"/>
    <s v="Completed"/>
    <s v="Chennai"/>
    <s v="Electronics"/>
    <m/>
    <s v="Corporate"/>
    <n v="51"/>
    <m/>
    <m/>
  </r>
  <r>
    <s v="ORD-00105"/>
    <x v="92"/>
    <s v="CUST-0170"/>
    <s v="PROD-001"/>
    <s v="R003"/>
    <n v="10"/>
    <n v="5330"/>
    <n v="21.2"/>
    <n v="42000.4"/>
    <s v="Completed"/>
    <s v="Mumbai"/>
    <s v="Electronics"/>
    <m/>
    <s v="SMB"/>
    <n v="22"/>
    <s v="East"/>
    <s v="Apr-24"/>
  </r>
  <r>
    <s v="ORD-00106"/>
    <x v="93"/>
    <s v="CUST-0081"/>
    <s v="PROD-023"/>
    <s v="R017"/>
    <n v="4"/>
    <n v="2380"/>
    <n v="26.2"/>
    <n v="7025.76"/>
    <s v="Completed"/>
    <s v="Mumbai"/>
    <s v="Grocery"/>
    <m/>
    <s v="Retail"/>
    <n v="25"/>
    <s v="North"/>
    <s v="Jan-24"/>
  </r>
  <r>
    <s v="ORD-00107"/>
    <x v="94"/>
    <s v="CUST-0102"/>
    <s v="PROD-054"/>
    <s v="R027"/>
    <n v="1"/>
    <n v="1010"/>
    <n v="19.5"/>
    <n v="813.05"/>
    <s v="Cancelled"/>
    <s v="Chennai"/>
    <s v="Sports"/>
    <m/>
    <s v="SMB"/>
    <n v="62"/>
    <m/>
    <m/>
  </r>
  <r>
    <s v="ORD-00108"/>
    <x v="85"/>
    <s v="CUST-0070"/>
    <s v="PROD-028"/>
    <s v="R025"/>
    <n v="1"/>
    <n v="3660"/>
    <n v="1.3"/>
    <n v="3612.42"/>
    <s v="Completed"/>
    <s v="Mumbai"/>
    <s v="Grocery"/>
    <m/>
    <s v="Retail"/>
    <n v="42"/>
    <m/>
    <m/>
  </r>
  <r>
    <s v="ORD-00109"/>
    <x v="95"/>
    <s v="CUST-0012"/>
    <s v="PROD-026"/>
    <s v="R013"/>
    <n v="2"/>
    <n v="4070"/>
    <n v="29"/>
    <n v="5779.4"/>
    <s v="Cancelled"/>
    <s v="Pune"/>
    <s v="Grocery"/>
    <m/>
    <s v="Retail"/>
    <n v="43"/>
    <m/>
    <m/>
  </r>
  <r>
    <s v="ORD-00110"/>
    <x v="96"/>
    <s v="CUST-0086"/>
    <s v="PROD-037"/>
    <s v="R029"/>
    <n v="6"/>
    <n v="660"/>
    <n v="20.2"/>
    <n v="3160.08"/>
    <s v="Pending"/>
    <s v="Hyderabad"/>
    <s v="Home"/>
    <m/>
    <s v="Corporate"/>
    <n v="56"/>
    <m/>
    <m/>
  </r>
  <r>
    <s v="ORD-00111"/>
    <x v="97"/>
    <s v="CUST-0145"/>
    <s v="PROD-040"/>
    <s v="R024"/>
    <n v="3"/>
    <n v="1080"/>
    <n v="29.7"/>
    <n v="2277.7199999999998"/>
    <s v="Completed"/>
    <s v="Bengaluru"/>
    <s v="Home"/>
    <m/>
    <s v="SMB"/>
    <n v="44"/>
    <m/>
    <m/>
  </r>
  <r>
    <s v="ORD-00112"/>
    <x v="98"/>
    <s v="CUST-0287"/>
    <s v="PROD-020"/>
    <s v="R006"/>
    <n v="7"/>
    <n v="820"/>
    <n v="13.5"/>
    <n v="4965.1000000000004"/>
    <s v="Cancelled"/>
    <s v="Chennai"/>
    <s v="Apparel"/>
    <m/>
    <s v="SMB"/>
    <n v="53"/>
    <m/>
    <m/>
  </r>
  <r>
    <s v="ORD-00113"/>
    <x v="18"/>
    <s v="CUST-0280"/>
    <s v="PROD-049"/>
    <s v="R027"/>
    <n v="4"/>
    <n v="960"/>
    <n v="26"/>
    <n v="2841.6"/>
    <s v="Completed"/>
    <s v="Delhi"/>
    <s v="Beauty"/>
    <m/>
    <s v="SMB"/>
    <n v="27"/>
    <s v="North"/>
    <s v="Dec-24"/>
  </r>
  <r>
    <s v="ORD-00114"/>
    <x v="99"/>
    <s v="CUST-0096"/>
    <s v="PROD-002"/>
    <s v="R014"/>
    <n v="3"/>
    <n v="2600"/>
    <n v="18.2"/>
    <n v="6380.4"/>
    <s v="Completed"/>
    <s v="Delhi"/>
    <s v="Electronics"/>
    <m/>
    <s v="Corporate"/>
    <n v="27"/>
    <s v="West"/>
    <s v="Apr-24"/>
  </r>
  <r>
    <s v="ORD-00115"/>
    <x v="43"/>
    <s v="CUST-0184"/>
    <s v="PROD-033"/>
    <s v="R029"/>
    <n v="9"/>
    <n v="2030"/>
    <n v="26.1"/>
    <n v="13501.53"/>
    <s v="Completed"/>
    <s v="Pune"/>
    <s v="Home"/>
    <m/>
    <s v="Retail"/>
    <n v="63"/>
    <m/>
    <m/>
  </r>
  <r>
    <s v="ORD-00116"/>
    <x v="100"/>
    <s v="CUST-0025"/>
    <s v="PROD-042"/>
    <s v="R028"/>
    <n v="8"/>
    <n v="2290"/>
    <n v="20.8"/>
    <n v="14509.44"/>
    <s v="Completed"/>
    <s v="Bengaluru"/>
    <s v="Beauty"/>
    <m/>
    <s v="Retail"/>
    <n v="23"/>
    <s v="West"/>
    <s v="Mar-24"/>
  </r>
  <r>
    <s v="ORD-00117"/>
    <x v="101"/>
    <s v="CUST-0149"/>
    <s v="PROD-031"/>
    <s v="R029"/>
    <n v="3"/>
    <n v="3730"/>
    <n v="7.9"/>
    <n v="10305.99"/>
    <s v="Completed"/>
    <s v="Hyderabad"/>
    <s v="Home"/>
    <m/>
    <s v="Retail"/>
    <n v="44"/>
    <m/>
    <m/>
  </r>
  <r>
    <s v="ORD-00118"/>
    <x v="102"/>
    <s v="CUST-0018"/>
    <s v="PROD-005"/>
    <s v="R014"/>
    <n v="1"/>
    <n v="300"/>
    <n v="16.899999999999999"/>
    <n v="249.3"/>
    <s v="Pending"/>
    <s v="Pune"/>
    <s v="Electronics"/>
    <m/>
    <s v="SMB"/>
    <n v="54"/>
    <m/>
    <m/>
  </r>
  <r>
    <s v="ORD-00119"/>
    <x v="103"/>
    <s v="CUST-0216"/>
    <s v="PROD-005"/>
    <s v="R012"/>
    <n v="3"/>
    <n v="300"/>
    <n v="0.6"/>
    <n v="894.6"/>
    <s v="Completed"/>
    <s v="Mumbai"/>
    <s v="Electronics"/>
    <m/>
    <s v="Retail"/>
    <n v="50"/>
    <m/>
    <m/>
  </r>
  <r>
    <s v="ORD-00120"/>
    <x v="90"/>
    <s v="CUST-0092"/>
    <s v="PROD-043"/>
    <s v="R007"/>
    <n v="6"/>
    <n v="3350"/>
    <n v="2.2999999999999998"/>
    <n v="19637.7"/>
    <s v="Cancelled"/>
    <s v="Bengaluru"/>
    <s v="Beauty"/>
    <m/>
    <s v="SMB"/>
    <n v="28"/>
    <s v="South"/>
    <s v="May-24"/>
  </r>
  <r>
    <s v="ORD-00121"/>
    <x v="104"/>
    <s v="CUST-0056"/>
    <s v="PROD-001"/>
    <s v="R003"/>
    <n v="4"/>
    <n v="5330"/>
    <n v="29.3"/>
    <n v="15073.24"/>
    <s v="Completed"/>
    <s v="Bengaluru"/>
    <s v="Electronics"/>
    <m/>
    <s v="SMB"/>
    <n v="46"/>
    <m/>
    <m/>
  </r>
  <r>
    <s v="ORD-00122"/>
    <x v="105"/>
    <s v="CUST-0113"/>
    <s v="PROD-014"/>
    <s v="R002"/>
    <n v="6"/>
    <n v="3620"/>
    <n v="10.8"/>
    <n v="19374.240000000002"/>
    <s v="Completed"/>
    <s v="Delhi"/>
    <s v="Apparel"/>
    <m/>
    <s v="Retail"/>
    <n v="30"/>
    <s v="North"/>
    <s v="May-24"/>
  </r>
  <r>
    <s v="ORD-00123"/>
    <x v="106"/>
    <s v="CUST-0253"/>
    <s v="PROD-014"/>
    <s v="R005"/>
    <n v="6"/>
    <n v="3620"/>
    <n v="21.7"/>
    <n v="17006.759999999998"/>
    <s v="Completed"/>
    <s v="Delhi"/>
    <s v="Apparel"/>
    <m/>
    <s v="SMB"/>
    <n v="53"/>
    <m/>
    <m/>
  </r>
  <r>
    <s v="ORD-00124"/>
    <x v="107"/>
    <s v="CUST-0187"/>
    <s v="PROD-057"/>
    <s v="R008"/>
    <n v="8"/>
    <n v="960"/>
    <n v="27.9"/>
    <n v="5537.28"/>
    <s v="Completed"/>
    <s v="Chennai"/>
    <s v="Sports"/>
    <m/>
    <s v="SMB"/>
    <n v="51"/>
    <m/>
    <m/>
  </r>
  <r>
    <s v="ORD-00125"/>
    <x v="108"/>
    <s v="CUST-0028"/>
    <s v="PROD-044"/>
    <s v="R025"/>
    <n v="5"/>
    <n v="1650"/>
    <n v="4.9000000000000004"/>
    <n v="7845.75"/>
    <s v="Completed"/>
    <s v="Bengaluru"/>
    <s v="Beauty"/>
    <m/>
    <s v="Retail"/>
    <n v="59"/>
    <m/>
    <m/>
  </r>
  <r>
    <s v="ORD-00126"/>
    <x v="95"/>
    <s v="CUST-0224"/>
    <s v="PROD-049"/>
    <s v="R010"/>
    <n v="9"/>
    <n v="960"/>
    <n v="25.1"/>
    <n v="6471.36"/>
    <s v="Refunded"/>
    <s v="Chennai"/>
    <s v="Beauty"/>
    <m/>
    <s v="Corporate"/>
    <n v="24"/>
    <s v="West"/>
    <s v="Dec-24"/>
  </r>
  <r>
    <s v="ORD-00127"/>
    <x v="99"/>
    <s v="CUST-0150"/>
    <s v="PROD-006"/>
    <s v="R003"/>
    <n v="7"/>
    <n v="3970"/>
    <n v="13.8"/>
    <n v="23954.98"/>
    <s v="Pending"/>
    <s v="Pune"/>
    <s v="Electronics"/>
    <m/>
    <s v="SMB"/>
    <n v="53"/>
    <m/>
    <m/>
  </r>
  <r>
    <s v="ORD-00128"/>
    <x v="109"/>
    <s v="CUST-0129"/>
    <s v="PROD-030"/>
    <s v="R005"/>
    <n v="7"/>
    <n v="970"/>
    <n v="21.6"/>
    <n v="5323.36"/>
    <s v="Pending"/>
    <s v="Hyderabad"/>
    <s v="Grocery"/>
    <m/>
    <s v="Retail"/>
    <n v="29"/>
    <s v="North"/>
    <s v="Jun-24"/>
  </r>
  <r>
    <s v="ORD-00129"/>
    <x v="110"/>
    <s v="CUST-0239"/>
    <s v="PROD-033"/>
    <s v="R001"/>
    <n v="10"/>
    <n v="2030"/>
    <n v="1.2"/>
    <n v="20056.400000000001"/>
    <s v="Completed"/>
    <s v="Mumbai"/>
    <s v="Home"/>
    <m/>
    <s v="Retail"/>
    <n v="61"/>
    <m/>
    <m/>
  </r>
  <r>
    <s v="ORD-00130"/>
    <x v="93"/>
    <s v="CUST-0106"/>
    <s v="PROD-024"/>
    <s v="R021"/>
    <n v="9"/>
    <n v="2270"/>
    <n v="13.2"/>
    <n v="17733.240000000002"/>
    <s v="Pending"/>
    <s v="Pune"/>
    <s v="Grocery"/>
    <m/>
    <s v="Retail"/>
    <n v="22"/>
    <s v="North"/>
    <s v="Sep-24"/>
  </r>
  <r>
    <s v="ORD-00131"/>
    <x v="111"/>
    <s v="CUST-0273"/>
    <s v="PROD-046"/>
    <s v="R003"/>
    <n v="8"/>
    <n v="4880"/>
    <n v="13.4"/>
    <n v="33808.639999999999"/>
    <s v="Completed"/>
    <s v="Hyderabad"/>
    <s v="Beauty"/>
    <m/>
    <s v="Corporate"/>
    <n v="32"/>
    <s v="East"/>
    <s v="Dec-24"/>
  </r>
  <r>
    <s v="ORD-00132"/>
    <x v="112"/>
    <s v="CUST-0114"/>
    <s v="PROD-004"/>
    <s v="R011"/>
    <n v="10"/>
    <n v="3870"/>
    <n v="23.9"/>
    <n v="29450.7"/>
    <s v="Completed"/>
    <s v="Bengaluru"/>
    <s v="Electronics"/>
    <m/>
    <s v="Corporate"/>
    <n v="42"/>
    <m/>
    <m/>
  </r>
  <r>
    <s v="ORD-00133"/>
    <x v="113"/>
    <s v="CUST-0146"/>
    <s v="PROD-042"/>
    <s v="R002"/>
    <n v="4"/>
    <n v="2290"/>
    <n v="15.2"/>
    <n v="7767.68"/>
    <s v="Completed"/>
    <s v="Hyderabad"/>
    <s v="Beauty"/>
    <m/>
    <s v="Retail"/>
    <n v="22"/>
    <s v="South"/>
    <s v="Feb-24"/>
  </r>
  <r>
    <s v="ORD-00134"/>
    <x v="68"/>
    <s v="CUST-0298"/>
    <s v="PROD-023"/>
    <s v="R020"/>
    <n v="8"/>
    <n v="2380"/>
    <n v="4.2"/>
    <n v="18240.32"/>
    <s v="Completed"/>
    <s v="Delhi"/>
    <s v="Grocery"/>
    <m/>
    <s v="Retail"/>
    <n v="44"/>
    <m/>
    <m/>
  </r>
  <r>
    <s v="ORD-00135"/>
    <x v="114"/>
    <s v="CUST-0111"/>
    <s v="PROD-029"/>
    <s v="R013"/>
    <n v="8"/>
    <n v="2210"/>
    <n v="11.5"/>
    <n v="15646.8"/>
    <s v="Completed"/>
    <s v="Chennai"/>
    <s v="Grocery"/>
    <m/>
    <s v="SMB"/>
    <n v="64"/>
    <m/>
    <m/>
  </r>
  <r>
    <s v="ORD-01445"/>
    <x v="107"/>
    <s v="CUST-0291"/>
    <s v="PROD-001"/>
    <s v="R022"/>
    <n v="4"/>
    <n v="5330"/>
    <n v="22.6"/>
    <n v="16501.68"/>
    <s v="Pending"/>
    <s v="Pune"/>
    <s v="Electronics"/>
    <m/>
    <s v="SMB"/>
    <n v="29"/>
    <s v="South"/>
    <s v="Jan-24"/>
  </r>
  <r>
    <s v="ORD-00137"/>
    <x v="115"/>
    <s v="CUST-0024"/>
    <s v="PROD-006"/>
    <s v="R022"/>
    <n v="8"/>
    <n v="3970"/>
    <n v="21.8"/>
    <n v="24836.32"/>
    <s v="Completed"/>
    <s v="Chennai"/>
    <s v="Electronics"/>
    <m/>
    <s v="SMB"/>
    <n v="64"/>
    <m/>
    <m/>
  </r>
  <r>
    <s v="ORD-00138"/>
    <x v="14"/>
    <s v="CUST-0210"/>
    <s v="PROD-012"/>
    <s v="R020"/>
    <n v="10"/>
    <n v="3160"/>
    <n v="16.100000000000001"/>
    <n v="26512.400000000001"/>
    <s v="Cancelled"/>
    <s v="Pune"/>
    <s v="Apparel"/>
    <m/>
    <s v="Corporate"/>
    <n v="48"/>
    <m/>
    <m/>
  </r>
  <r>
    <s v="ORD-00139"/>
    <x v="54"/>
    <s v="CUST-0192"/>
    <s v="PROD-060"/>
    <s v="R009"/>
    <n v="5"/>
    <n v="190"/>
    <n v="14.8"/>
    <n v="809.4"/>
    <s v="Completed"/>
    <s v="Bengaluru"/>
    <s v="Sports"/>
    <m/>
    <s v="Retail"/>
    <n v="55"/>
    <m/>
    <m/>
  </r>
  <r>
    <s v="ORD-00140"/>
    <x v="116"/>
    <s v="CUST-0078"/>
    <s v="PROD-021"/>
    <s v="R007"/>
    <n v="6"/>
    <n v="2760"/>
    <n v="19.8"/>
    <n v="13281.12"/>
    <s v="Completed"/>
    <s v="Delhi"/>
    <s v="Grocery"/>
    <m/>
    <s v="Retail"/>
    <n v="31"/>
    <s v="South"/>
    <s v="May-24"/>
  </r>
  <r>
    <s v="ORD-00141"/>
    <x v="117"/>
    <s v="CUST-0070"/>
    <s v="PROD-022"/>
    <s v="R019"/>
    <n v="9"/>
    <n v="2270"/>
    <n v="20.8"/>
    <n v="16180.56"/>
    <s v="Cancelled"/>
    <s v="Mumbai"/>
    <s v="Grocery"/>
    <m/>
    <s v="Retail"/>
    <n v="42"/>
    <m/>
    <m/>
  </r>
  <r>
    <s v="ORD-00142"/>
    <x v="60"/>
    <s v="CUST-0159"/>
    <s v="PROD-052"/>
    <s v="R001"/>
    <n v="8"/>
    <n v="5410"/>
    <n v="12.9"/>
    <n v="37696.879999999997"/>
    <s v="Completed"/>
    <s v="Hyderabad"/>
    <s v="Sports"/>
    <m/>
    <s v="Retail"/>
    <n v="32"/>
    <s v="East"/>
    <s v="Nov-24"/>
  </r>
  <r>
    <s v="ORD-00143"/>
    <x v="118"/>
    <s v="CUST-0294"/>
    <s v="PROD-024"/>
    <s v="R009"/>
    <n v="9"/>
    <n v="2270"/>
    <n v="6.8"/>
    <n v="19040.759999999998"/>
    <s v="Completed"/>
    <s v="Delhi"/>
    <s v="Grocery"/>
    <m/>
    <s v="Corporate"/>
    <n v="31"/>
    <s v="North"/>
    <s v="Feb-24"/>
  </r>
  <r>
    <s v="ORD-00144"/>
    <x v="119"/>
    <s v="CUST-0280"/>
    <s v="PROD-012"/>
    <s v="R001"/>
    <n v="3"/>
    <n v="3160"/>
    <n v="12.8"/>
    <n v="8266.56"/>
    <s v="Completed"/>
    <s v="Delhi"/>
    <s v="Apparel"/>
    <m/>
    <s v="SMB"/>
    <n v="27"/>
    <s v="South"/>
    <s v="Aug-24"/>
  </r>
  <r>
    <s v="ORD-00145"/>
    <x v="120"/>
    <s v="CUST-0291"/>
    <s v="PROD-025"/>
    <s v="R028"/>
    <n v="8"/>
    <n v="4060"/>
    <n v="20.9"/>
    <n v="25691.68"/>
    <s v="Completed"/>
    <s v="Pune"/>
    <s v="Grocery"/>
    <m/>
    <s v="SMB"/>
    <n v="29"/>
    <s v="North"/>
    <s v="Jan-24"/>
  </r>
  <r>
    <s v="ORD-00146"/>
    <x v="121"/>
    <s v="CUST-9657"/>
    <s v="PROD-020"/>
    <s v="R018"/>
    <n v="5"/>
    <n v="820"/>
    <n v="9.1"/>
    <n v="3726.9"/>
    <s v="Refunded"/>
    <s v="Pune"/>
    <s v="Apparel"/>
    <m/>
    <e v="#N/A"/>
    <e v="#N/A"/>
    <m/>
    <m/>
  </r>
  <r>
    <s v="ORD-00147"/>
    <x v="122"/>
    <s v="CUST-0080"/>
    <s v="PROD-032"/>
    <s v="R007"/>
    <n v="5"/>
    <n v="370"/>
    <n v="11.5"/>
    <n v="1637.25"/>
    <s v="Completed"/>
    <s v="Pune"/>
    <s v="Home"/>
    <m/>
    <s v="SMB"/>
    <n v="30"/>
    <s v="East"/>
    <s v="Jun-24"/>
  </r>
  <r>
    <s v="ORD-00148"/>
    <x v="123"/>
    <s v="CUST-0172"/>
    <s v="PROD-034"/>
    <s v="R002"/>
    <n v="9"/>
    <n v="5080"/>
    <n v="27.5"/>
    <n v="33147"/>
    <s v="Completed"/>
    <s v="Pune"/>
    <s v="Home"/>
    <m/>
    <s v="Retail"/>
    <n v="65"/>
    <m/>
    <m/>
  </r>
  <r>
    <s v="ORD-00149"/>
    <x v="124"/>
    <s v="CUST-0051"/>
    <s v="PROD-026"/>
    <s v="R012"/>
    <n v="6"/>
    <n v="4070"/>
    <n v="12.5"/>
    <n v="21367.5"/>
    <s v="Completed"/>
    <s v="Pune"/>
    <s v="Grocery"/>
    <m/>
    <s v="SMB"/>
    <n v="54"/>
    <m/>
    <m/>
  </r>
  <r>
    <s v="ORD-00150"/>
    <x v="63"/>
    <s v="CUST-0080"/>
    <s v="PROD-005"/>
    <s v="R024"/>
    <n v="5"/>
    <n v="300"/>
    <n v="25.8"/>
    <n v="1113"/>
    <s v="Completed"/>
    <s v="Pune"/>
    <s v="Electronics"/>
    <m/>
    <s v="SMB"/>
    <n v="30"/>
    <s v="South"/>
    <s v="May-24"/>
  </r>
  <r>
    <s v="ORD-00151"/>
    <x v="125"/>
    <s v="CUST-0137"/>
    <s v="PROD-048"/>
    <s v="R011"/>
    <n v="7"/>
    <n v="5100"/>
    <n v="28.8"/>
    <n v="25418.400000000001"/>
    <s v="Completed"/>
    <s v="Mumbai"/>
    <s v="Beauty"/>
    <m/>
    <s v="Retail"/>
    <n v="41"/>
    <m/>
    <m/>
  </r>
  <r>
    <s v="ORD-00152"/>
    <x v="126"/>
    <s v="CUST-0222"/>
    <s v="PROD-038"/>
    <s v="R012"/>
    <n v="2"/>
    <n v="5490"/>
    <n v="5.5"/>
    <n v="10376.1"/>
    <s v="Completed"/>
    <s v="Chennai"/>
    <s v="Home"/>
    <m/>
    <s v="Retail"/>
    <n v="37"/>
    <s v="South"/>
    <s v="Jan-24"/>
  </r>
  <r>
    <s v="ORD-00153"/>
    <x v="127"/>
    <s v="CUST-0117"/>
    <s v="PROD-011"/>
    <s v="R015"/>
    <n v="2"/>
    <n v="3450"/>
    <n v="1.2"/>
    <n v="6817.2"/>
    <s v="Completed"/>
    <s v="Delhi"/>
    <s v="Apparel"/>
    <m/>
    <s v="SMB"/>
    <n v="34"/>
    <s v="South"/>
    <s v="Aug-24"/>
  </r>
  <r>
    <s v="ORD-00154"/>
    <x v="21"/>
    <s v="CUST-0104"/>
    <s v="PROD-029"/>
    <s v="R002"/>
    <n v="10"/>
    <n v="2210"/>
    <n v="18.8"/>
    <n v="17945.2"/>
    <s v="Completed"/>
    <s v="Hyderabad"/>
    <s v="Grocery"/>
    <m/>
    <s v="Corporate"/>
    <n v="43"/>
    <m/>
    <m/>
  </r>
  <r>
    <s v="ORD-00155"/>
    <x v="128"/>
    <s v="CUST-0082"/>
    <s v="PROD-036"/>
    <s v="R013"/>
    <n v="2"/>
    <n v="3250"/>
    <n v="26.2"/>
    <n v="4797"/>
    <s v="Completed"/>
    <s v="Hyderabad"/>
    <s v="Home"/>
    <m/>
    <s v="SMB"/>
    <n v="36"/>
    <s v="North"/>
    <s v="Aug-24"/>
  </r>
  <r>
    <s v="ORD-00156"/>
    <x v="129"/>
    <s v="CUST-0165"/>
    <s v="PROD-012"/>
    <s v="R001"/>
    <n v="5"/>
    <n v="3160"/>
    <n v="0.9"/>
    <n v="15657.8"/>
    <s v="Completed"/>
    <s v="Pune"/>
    <s v="Apparel"/>
    <m/>
    <s v="Retail"/>
    <n v="29"/>
    <s v="South"/>
    <s v="Dec-24"/>
  </r>
  <r>
    <s v="ORD-00157"/>
    <x v="130"/>
    <s v="CUST-0150"/>
    <s v="PROD-004"/>
    <s v="R030"/>
    <n v="4"/>
    <n v="3870"/>
    <n v="29.6"/>
    <n v="10897.92"/>
    <s v="Cancelled"/>
    <s v="Pune"/>
    <s v="Electronics"/>
    <m/>
    <s v="SMB"/>
    <n v="53"/>
    <m/>
    <m/>
  </r>
  <r>
    <s v="ORD-00158"/>
    <x v="131"/>
    <s v="CUST-0228"/>
    <s v="PROD-059"/>
    <s v="R022"/>
    <n v="4"/>
    <n v="3780"/>
    <n v="3.5"/>
    <n v="14590.8"/>
    <s v="Cancelled"/>
    <s v="Pune"/>
    <s v="Sports"/>
    <m/>
    <s v="Corporate"/>
    <n v="37"/>
    <s v="West"/>
    <s v="Jun-24"/>
  </r>
  <r>
    <s v="ORD-00159"/>
    <x v="49"/>
    <s v="CUST-0197"/>
    <s v="PROD-045"/>
    <s v="R021"/>
    <n v="4"/>
    <n v="3020"/>
    <n v="18.899999999999999"/>
    <n v="9796.8799999999992"/>
    <s v="Completed"/>
    <s v="Bengaluru"/>
    <s v="Beauty"/>
    <m/>
    <s v="Retail"/>
    <n v="55"/>
    <m/>
    <m/>
  </r>
  <r>
    <s v="ORD-00160"/>
    <x v="132"/>
    <s v="CUST-0009"/>
    <s v="PROD-031"/>
    <s v="R015"/>
    <n v="1"/>
    <n v="3730"/>
    <n v="10.8"/>
    <n v="3327.16"/>
    <s v="Refunded"/>
    <s v="Mumbai"/>
    <s v="Home"/>
    <m/>
    <s v="Retail"/>
    <n v="61"/>
    <m/>
    <m/>
  </r>
  <r>
    <s v="ORD-00161"/>
    <x v="18"/>
    <s v="CUST-0139"/>
    <s v="PROD-046"/>
    <s v="R018"/>
    <n v="8"/>
    <n v="4880"/>
    <n v="20.3"/>
    <n v="31114.880000000001"/>
    <s v="Completed"/>
    <s v="Hyderabad"/>
    <s v="Beauty"/>
    <m/>
    <s v="SMB"/>
    <n v="65"/>
    <m/>
    <m/>
  </r>
  <r>
    <s v="ORD-00162"/>
    <x v="133"/>
    <s v="CUST-0184"/>
    <s v="PROD-030"/>
    <s v="R026"/>
    <n v="9"/>
    <n v="970"/>
    <n v="18.2"/>
    <n v="7141.14"/>
    <s v="Completed"/>
    <s v="Pune"/>
    <s v="Grocery"/>
    <m/>
    <s v="Retail"/>
    <n v="63"/>
    <m/>
    <m/>
  </r>
  <r>
    <s v="ORD-00163"/>
    <x v="33"/>
    <s v="CUST-0119"/>
    <s v="PROD-008"/>
    <s v="R017"/>
    <n v="8"/>
    <n v="2660"/>
    <n v="17.600000000000001"/>
    <n v="17534.72"/>
    <s v="Completed"/>
    <s v="Bengaluru"/>
    <s v="Electronics"/>
    <m/>
    <s v="SMB"/>
    <n v="43"/>
    <m/>
    <m/>
  </r>
  <r>
    <s v="ORD-00164"/>
    <x v="85"/>
    <s v="CUST-0280"/>
    <s v="PROD-020"/>
    <s v="R015"/>
    <n v="2"/>
    <n v="820"/>
    <n v="18.100000000000001"/>
    <n v="1343.16"/>
    <s v="Cancelled"/>
    <s v="Delhi"/>
    <s v="Apparel"/>
    <m/>
    <s v="SMB"/>
    <n v="27"/>
    <s v="East"/>
    <s v="May-24"/>
  </r>
  <r>
    <s v="ORD-00165"/>
    <x v="134"/>
    <s v="CUST-0240"/>
    <s v="PROD-033"/>
    <s v="R009"/>
    <n v="7"/>
    <n v="2030"/>
    <n v="23.7"/>
    <n v="10842.23"/>
    <s v="Pending"/>
    <s v="Chennai"/>
    <s v="Home"/>
    <m/>
    <s v="Corporate"/>
    <n v="35"/>
    <s v="South"/>
    <s v="May-24"/>
  </r>
  <r>
    <s v="ORD-00166"/>
    <x v="80"/>
    <s v="CUST-0067"/>
    <s v="PROD-016"/>
    <s v="R009"/>
    <n v="5"/>
    <n v="620"/>
    <n v="13.8"/>
    <n v="2672.2"/>
    <s v="Completed"/>
    <s v="Delhi"/>
    <s v="Apparel"/>
    <m/>
    <s v="SMB"/>
    <n v="59"/>
    <m/>
    <m/>
  </r>
  <r>
    <s v="ORD-00167"/>
    <x v="135"/>
    <s v="CUST-0117"/>
    <s v="PROD-022"/>
    <s v="R022"/>
    <n v="7"/>
    <n v="2270"/>
    <n v="5.5"/>
    <n v="15016.05"/>
    <s v="Completed"/>
    <s v="Delhi"/>
    <s v="Grocery"/>
    <m/>
    <s v="SMB"/>
    <n v="34"/>
    <s v="South"/>
    <s v="Aug-24"/>
  </r>
  <r>
    <s v="ORD-00168"/>
    <x v="136"/>
    <s v="CUST-0101"/>
    <s v="PROD-053"/>
    <s v="R016"/>
    <n v="1"/>
    <n v="470"/>
    <n v="13.7"/>
    <n v="405.61"/>
    <s v="Pending"/>
    <s v="Hyderabad"/>
    <s v="Sports"/>
    <m/>
    <s v="SMB"/>
    <n v="40"/>
    <s v="East"/>
    <s v="Jul-24"/>
  </r>
  <r>
    <s v="ORD-00169"/>
    <x v="131"/>
    <s v="CUST-0184"/>
    <s v="PROD-001"/>
    <s v="R007"/>
    <n v="6"/>
    <n v="5330"/>
    <n v="17.899999999999999"/>
    <n v="26255.58"/>
    <s v="Completed"/>
    <s v="Pune"/>
    <s v="Electronics"/>
    <m/>
    <s v="Retail"/>
    <n v="63"/>
    <m/>
    <m/>
  </r>
  <r>
    <s v="ORD-00170"/>
    <x v="137"/>
    <s v="CUST-0087"/>
    <s v="PROD-050"/>
    <s v="R002"/>
    <n v="1"/>
    <n v="6080"/>
    <n v="25.5"/>
    <n v="4529.6000000000004"/>
    <s v="Completed"/>
    <s v="Pune"/>
    <s v="Beauty"/>
    <m/>
    <s v="SMB"/>
    <n v="49"/>
    <m/>
    <m/>
  </r>
  <r>
    <s v="ORD-00171"/>
    <x v="138"/>
    <s v="CUST-0261"/>
    <s v="PROD-027"/>
    <s v="R022"/>
    <n v="5"/>
    <n v="3780"/>
    <n v="28.6"/>
    <n v="13494.6"/>
    <s v="Completed"/>
    <s v="Delhi"/>
    <s v="Grocery"/>
    <m/>
    <s v="Retail"/>
    <n v="54"/>
    <m/>
    <m/>
  </r>
  <r>
    <s v="ORD-00172"/>
    <x v="139"/>
    <s v="CUST-0027"/>
    <s v="PROD-016"/>
    <s v="R010"/>
    <n v="5"/>
    <n v="620"/>
    <n v="6.9"/>
    <n v="2886.1"/>
    <s v="Cancelled"/>
    <s v="Hyderabad"/>
    <s v="Apparel"/>
    <m/>
    <s v="Corporate"/>
    <n v="52"/>
    <m/>
    <m/>
  </r>
  <r>
    <s v="ORD-00173"/>
    <x v="140"/>
    <s v="CUST-0210"/>
    <s v="PROD-017"/>
    <s v="R027"/>
    <n v="8"/>
    <n v="2510"/>
    <n v="0.7"/>
    <n v="19939.439999999999"/>
    <s v="Completed"/>
    <s v="Pune"/>
    <s v="Apparel"/>
    <m/>
    <s v="Corporate"/>
    <n v="48"/>
    <m/>
    <m/>
  </r>
  <r>
    <s v="ORD-00174"/>
    <x v="141"/>
    <s v="CUST-0163"/>
    <s v="PROD-015"/>
    <s v="R020"/>
    <n v="1"/>
    <n v="2720"/>
    <n v="13.7"/>
    <n v="2347.36"/>
    <s v="Completed"/>
    <s v="Pune"/>
    <s v="Apparel"/>
    <m/>
    <s v="Retail"/>
    <n v="49"/>
    <m/>
    <m/>
  </r>
  <r>
    <s v="ORD-00175"/>
    <x v="14"/>
    <s v="CUST-0059"/>
    <s v="PROD-053"/>
    <s v="R018"/>
    <n v="9"/>
    <n v="470"/>
    <n v="23.6"/>
    <n v="3231.72"/>
    <s v="Completed"/>
    <s v="Pune"/>
    <s v="Sports"/>
    <m/>
    <s v="Corporate"/>
    <n v="29"/>
    <s v="East"/>
    <s v="Jan-24"/>
  </r>
  <r>
    <s v="ORD-00176"/>
    <x v="142"/>
    <s v="CUST-0020"/>
    <s v="PROD-036"/>
    <s v="R018"/>
    <n v="10"/>
    <n v="3250"/>
    <n v="21"/>
    <n v="25675"/>
    <s v="Cancelled"/>
    <s v="Hyderabad"/>
    <s v="Home"/>
    <m/>
    <s v="Retail"/>
    <n v="46"/>
    <m/>
    <m/>
  </r>
  <r>
    <s v="ORD-00177"/>
    <x v="51"/>
    <s v="CUST-0048"/>
    <s v="PROD-034"/>
    <s v="R028"/>
    <n v="6"/>
    <n v="5080"/>
    <n v="16.8"/>
    <n v="25359.360000000001"/>
    <s v="Pending"/>
    <s v="Delhi"/>
    <s v="Home"/>
    <m/>
    <s v="Retail"/>
    <n v="59"/>
    <m/>
    <m/>
  </r>
  <r>
    <s v="ORD-00178"/>
    <x v="42"/>
    <s v="CUST-0172"/>
    <s v="PROD-003"/>
    <s v="R012"/>
    <n v="2"/>
    <n v="3570"/>
    <n v="6.7"/>
    <n v="6661.62"/>
    <s v="Cancelled"/>
    <s v="Pune"/>
    <s v="Electronics"/>
    <m/>
    <s v="Retail"/>
    <n v="65"/>
    <m/>
    <m/>
  </r>
  <r>
    <s v="ORD-00179"/>
    <x v="143"/>
    <s v="CUST-0124"/>
    <s v="PROD-013"/>
    <s v="R012"/>
    <n v="4"/>
    <n v="3640"/>
    <n v="18.399999999999999"/>
    <n v="11880.96"/>
    <s v="Completed"/>
    <s v="Pune"/>
    <s v="Apparel"/>
    <m/>
    <s v="Retail"/>
    <n v="57"/>
    <m/>
    <m/>
  </r>
  <r>
    <s v="ORD-00180"/>
    <x v="111"/>
    <s v="CUST-0184"/>
    <s v="PROD-026"/>
    <s v="R001"/>
    <n v="8"/>
    <n v="4070"/>
    <n v="6.6"/>
    <n v="30411.040000000001"/>
    <s v="Completed"/>
    <s v="Pune"/>
    <s v="Grocery"/>
    <m/>
    <s v="Retail"/>
    <n v="63"/>
    <m/>
    <m/>
  </r>
  <r>
    <s v="ORD-00181"/>
    <x v="40"/>
    <s v="CUST-0259"/>
    <s v="PROD-011"/>
    <s v="R012"/>
    <n v="6"/>
    <n v="3450"/>
    <n v="14.4"/>
    <n v="17719.2"/>
    <s v="Pending"/>
    <s v="Mumbai"/>
    <s v="Apparel"/>
    <m/>
    <s v="Retail"/>
    <n v="34"/>
    <s v="North"/>
    <s v="Aug-24"/>
  </r>
  <r>
    <s v="ORD-00182"/>
    <x v="68"/>
    <s v="CUST-0204"/>
    <s v="PROD-034"/>
    <s v="R029"/>
    <n v="7"/>
    <n v="5080"/>
    <n v="25.4"/>
    <n v="26527.759999999998"/>
    <s v="Pending"/>
    <s v="Hyderabad"/>
    <s v="Home"/>
    <m/>
    <s v="Retail"/>
    <n v="60"/>
    <m/>
    <m/>
  </r>
  <r>
    <s v="ORD-00183"/>
    <x v="144"/>
    <s v="CUST-0032"/>
    <s v="PROD-021"/>
    <s v="R028"/>
    <n v="10"/>
    <n v="2760"/>
    <n v="20.100000000000001"/>
    <n v="22052.400000000001"/>
    <s v="Completed"/>
    <s v="Hyderabad"/>
    <s v="Grocery"/>
    <m/>
    <s v="Retail"/>
    <n v="28"/>
    <s v="West"/>
    <s v="May-24"/>
  </r>
  <r>
    <s v="ORD-00184"/>
    <x v="145"/>
    <s v="CUST-0239"/>
    <s v="PROD-044"/>
    <s v="R016"/>
    <n v="6"/>
    <n v="1650"/>
    <n v="11.3"/>
    <n v="8781.2999999999993"/>
    <s v="Pending"/>
    <s v="Mumbai"/>
    <s v="Beauty"/>
    <m/>
    <s v="Retail"/>
    <n v="61"/>
    <m/>
    <m/>
  </r>
  <r>
    <s v="ORD-00185"/>
    <x v="146"/>
    <s v="CUST-0191"/>
    <s v="PROD-004"/>
    <s v="R007"/>
    <n v="9"/>
    <n v="3870"/>
    <n v="27.5"/>
    <n v="25251.75"/>
    <s v="Completed"/>
    <s v="Hyderabad"/>
    <s v="Electronics"/>
    <m/>
    <s v="SMB"/>
    <n v="43"/>
    <m/>
    <m/>
  </r>
  <r>
    <s v="ORD-00186"/>
    <x v="147"/>
    <s v="CUST-0284"/>
    <s v="PROD-035"/>
    <s v="R022"/>
    <n v="2"/>
    <n v="1090"/>
    <n v="18.7"/>
    <n v="1772.34"/>
    <s v="Refunded"/>
    <s v="Hyderabad"/>
    <s v="Home"/>
    <m/>
    <s v="SMB"/>
    <n v="65"/>
    <m/>
    <m/>
  </r>
  <r>
    <s v="ORD-00187"/>
    <x v="148"/>
    <s v="CUST-0274"/>
    <s v="PROD-049"/>
    <s v="R025"/>
    <n v="4"/>
    <n v="960"/>
    <n v="23.4"/>
    <n v="2941.44"/>
    <s v="Completed"/>
    <s v="Bengaluru"/>
    <s v="Beauty"/>
    <m/>
    <s v="Corporate"/>
    <n v="36"/>
    <s v="East"/>
    <s v="Aug-24"/>
  </r>
  <r>
    <s v="ORD-00188"/>
    <x v="149"/>
    <s v="CUST-0234"/>
    <s v="PROD-043"/>
    <s v="R021"/>
    <n v="3"/>
    <n v="3350"/>
    <n v="17.899999999999999"/>
    <n v="8251.0499999999993"/>
    <s v="Completed"/>
    <s v="Bengaluru"/>
    <s v="Beauty"/>
    <m/>
    <s v="Retail"/>
    <n v="34"/>
    <s v="West"/>
    <s v="Sep-24"/>
  </r>
  <r>
    <s v="ORD-00189"/>
    <x v="150"/>
    <s v="CUST-0264"/>
    <s v="PROD-022"/>
    <s v="R005"/>
    <n v="4"/>
    <n v="2270"/>
    <n v="29"/>
    <n v="6446.8"/>
    <s v="Completed"/>
    <s v="Pune"/>
    <s v="Grocery"/>
    <m/>
    <s v="Retail"/>
    <n v="59"/>
    <m/>
    <m/>
  </r>
  <r>
    <s v="ORD-00190"/>
    <x v="151"/>
    <s v="CUST-0192"/>
    <s v="PROD-039"/>
    <s v="R023"/>
    <n v="9"/>
    <n v="4610"/>
    <n v="28.3"/>
    <n v="29748.33"/>
    <s v="Pending"/>
    <s v="Bengaluru"/>
    <s v="Home"/>
    <m/>
    <s v="Retail"/>
    <n v="55"/>
    <m/>
    <m/>
  </r>
  <r>
    <s v="ORD-00191"/>
    <x v="152"/>
    <s v="CUST-0041"/>
    <s v="PROD-012"/>
    <s v="R009"/>
    <n v="3"/>
    <n v="3160"/>
    <n v="7.3"/>
    <n v="8787.9599999999991"/>
    <s v="Completed"/>
    <s v="Bengaluru"/>
    <s v="Apparel"/>
    <m/>
    <s v="SMB"/>
    <n v="26"/>
    <s v="East"/>
    <s v="Jun-24"/>
  </r>
  <r>
    <s v="ORD-00192"/>
    <x v="52"/>
    <s v="CUST-0043"/>
    <s v="PROD-022"/>
    <s v="R004"/>
    <n v="8"/>
    <n v="2270"/>
    <n v="15.6"/>
    <n v="15327.04"/>
    <s v="Completed"/>
    <s v="Hyderabad"/>
    <s v="Grocery"/>
    <m/>
    <s v="Retail"/>
    <n v="61"/>
    <m/>
    <m/>
  </r>
  <r>
    <s v="ORD-00193"/>
    <x v="64"/>
    <s v="CUST-0147"/>
    <s v="PROD-045"/>
    <s v="R028"/>
    <n v="8"/>
    <n v="3020"/>
    <n v="16.3"/>
    <n v="20221.919999999998"/>
    <s v="Cancelled"/>
    <s v="Pune"/>
    <s v="Beauty"/>
    <m/>
    <s v="Retail"/>
    <n v="56"/>
    <m/>
    <m/>
  </r>
  <r>
    <s v="ORD-00194"/>
    <x v="7"/>
    <s v="CUST-0056"/>
    <s v="PROD-056"/>
    <s v="R030"/>
    <n v="7"/>
    <n v="6940"/>
    <n v="8.5"/>
    <n v="44450.7"/>
    <s v="Completed"/>
    <s v="Bengaluru"/>
    <s v="Sports"/>
    <m/>
    <s v="SMB"/>
    <n v="46"/>
    <m/>
    <m/>
  </r>
  <r>
    <s v="ORD-00195"/>
    <x v="14"/>
    <s v="CUST-0059"/>
    <s v="PROD-041"/>
    <s v="R012"/>
    <n v="8"/>
    <n v="1540"/>
    <n v="21"/>
    <n v="9732.7999999999993"/>
    <s v="Completed"/>
    <s v="Pune"/>
    <s v="Beauty"/>
    <m/>
    <s v="Corporate"/>
    <n v="29"/>
    <s v="West"/>
    <s v="Nov-24"/>
  </r>
  <r>
    <s v="ORD-00196"/>
    <x v="82"/>
    <s v="CUST-0047"/>
    <s v="PROD-019"/>
    <s v="R029"/>
    <n v="6"/>
    <n v="2480"/>
    <n v="27.9"/>
    <n v="10728.48"/>
    <s v="Completed"/>
    <s v="Pune"/>
    <s v="Apparel"/>
    <m/>
    <s v="Retail"/>
    <n v="49"/>
    <m/>
    <m/>
  </r>
  <r>
    <s v="ORD-00197"/>
    <x v="153"/>
    <s v="CUST-0162"/>
    <s v="PROD-060"/>
    <s v="R022"/>
    <n v="4"/>
    <n v="190"/>
    <n v="21.5"/>
    <n v="596.6"/>
    <s v="Completed"/>
    <s v="Mumbai"/>
    <s v="Sports"/>
    <m/>
    <s v="Corporate"/>
    <n v="35"/>
    <s v="West"/>
    <s v="Mar-24"/>
  </r>
  <r>
    <s v="ORD-00198"/>
    <x v="36"/>
    <s v="CUST-0121"/>
    <s v="PROD-055"/>
    <s v="R014"/>
    <n v="1"/>
    <n v="2860"/>
    <n v="15.3"/>
    <n v="2422.42"/>
    <s v="Completed"/>
    <s v="Delhi"/>
    <s v="Sports"/>
    <m/>
    <s v="SMB"/>
    <n v="55"/>
    <m/>
    <m/>
  </r>
  <r>
    <s v="ORD-00199"/>
    <x v="154"/>
    <s v="CUST-0075"/>
    <s v="PROD-017"/>
    <s v="R015"/>
    <n v="4"/>
    <n v="2510"/>
    <n v="10.1"/>
    <n v="9025.9599999999991"/>
    <s v="Refunded"/>
    <s v="Mumbai"/>
    <s v="Apparel"/>
    <m/>
    <s v="Corporate"/>
    <n v="55"/>
    <m/>
    <m/>
  </r>
  <r>
    <s v="ORD-00200"/>
    <x v="78"/>
    <s v="CUST-0025"/>
    <s v="PROD-003"/>
    <s v="R003"/>
    <n v="2"/>
    <n v="3570"/>
    <n v="11.6"/>
    <n v="6311.76"/>
    <s v="Pending"/>
    <s v="Bengaluru"/>
    <s v="Electronics"/>
    <m/>
    <s v="Retail"/>
    <n v="23"/>
    <s v="South"/>
    <s v="Feb-24"/>
  </r>
  <r>
    <s v="ORD-00201"/>
    <x v="112"/>
    <s v="CUST-0048"/>
    <s v="PROD-031"/>
    <s v="R016"/>
    <n v="7"/>
    <n v="3730"/>
    <n v="2.5"/>
    <n v="25457.25"/>
    <s v="Cancelled"/>
    <s v="Delhi"/>
    <s v="Home"/>
    <m/>
    <s v="Retail"/>
    <n v="59"/>
    <m/>
    <m/>
  </r>
  <r>
    <s v="ORD-00202"/>
    <x v="155"/>
    <s v="CUST-0251"/>
    <s v="PROD-032"/>
    <s v="R030"/>
    <n v="6"/>
    <n v="370"/>
    <n v="9.9"/>
    <n v="2000.22"/>
    <s v="Completed"/>
    <s v="Mumbai"/>
    <s v="Home"/>
    <m/>
    <s v="Retail"/>
    <n v="44"/>
    <m/>
    <m/>
  </r>
  <r>
    <s v="ORD-00203"/>
    <x v="156"/>
    <s v="CUST-0125"/>
    <s v="PROD-008"/>
    <s v="R014"/>
    <n v="4"/>
    <n v="2660"/>
    <n v="29.7"/>
    <n v="7479.92"/>
    <s v="Completed"/>
    <s v="Delhi"/>
    <s v="Electronics"/>
    <m/>
    <s v="Retail"/>
    <n v="45"/>
    <m/>
    <m/>
  </r>
  <r>
    <s v="ORD-00204"/>
    <x v="152"/>
    <s v="CUST-0025"/>
    <s v="PROD-021"/>
    <s v="R015"/>
    <n v="6"/>
    <n v="2760"/>
    <n v="0.9"/>
    <n v="16410.96"/>
    <s v="Completed"/>
    <s v="Bengaluru"/>
    <s v="Grocery"/>
    <m/>
    <s v="Retail"/>
    <n v="23"/>
    <s v="South"/>
    <s v="Jul-24"/>
  </r>
  <r>
    <s v="ORD-00205"/>
    <x v="157"/>
    <s v="CUST-0068"/>
    <s v="PROD-043"/>
    <s v="R009"/>
    <n v="6"/>
    <n v="3350"/>
    <n v="17.899999999999999"/>
    <n v="16502.099999999999"/>
    <s v="Completed"/>
    <s v="Delhi"/>
    <s v="Beauty"/>
    <m/>
    <s v="SMB"/>
    <n v="48"/>
    <m/>
    <m/>
  </r>
  <r>
    <s v="ORD-00206"/>
    <x v="158"/>
    <s v="CUST-0080"/>
    <s v="PROD-005"/>
    <s v="R017"/>
    <n v="8"/>
    <n v="300"/>
    <n v="20.6"/>
    <n v="1905.6"/>
    <s v="Refunded"/>
    <s v="Pune"/>
    <s v="Electronics"/>
    <m/>
    <s v="SMB"/>
    <n v="30"/>
    <s v="South"/>
    <s v="Oct-24"/>
  </r>
  <r>
    <s v="ORD-00207"/>
    <x v="159"/>
    <s v="CUST-0251"/>
    <s v="PROD-015"/>
    <s v="R002"/>
    <n v="5"/>
    <n v="2720"/>
    <n v="17.100000000000001"/>
    <n v="11274.4"/>
    <s v="Pending"/>
    <s v="Mumbai"/>
    <s v="Apparel"/>
    <m/>
    <s v="Retail"/>
    <n v="44"/>
    <m/>
    <m/>
  </r>
  <r>
    <s v="ORD-00208"/>
    <x v="160"/>
    <s v="CUST-0077"/>
    <s v="PROD-004"/>
    <s v="R015"/>
    <n v="1"/>
    <n v="3870"/>
    <n v="23.5"/>
    <n v="2960.55"/>
    <s v="Pending"/>
    <s v="Hyderabad"/>
    <s v="Electronics"/>
    <m/>
    <s v="SMB"/>
    <n v="48"/>
    <m/>
    <m/>
  </r>
  <r>
    <s v="ORD-00209"/>
    <x v="161"/>
    <s v="CUST-0232"/>
    <s v="PROD-031"/>
    <s v="R012"/>
    <n v="3"/>
    <n v="3730"/>
    <n v="0.7"/>
    <n v="11111.67"/>
    <s v="Pending"/>
    <s v="Hyderabad"/>
    <s v="Home"/>
    <m/>
    <s v="Retail"/>
    <n v="38"/>
    <s v="South"/>
    <s v="Oct-24"/>
  </r>
  <r>
    <s v="ORD-00210"/>
    <x v="162"/>
    <s v="CUST-0277"/>
    <s v="PROD-019"/>
    <s v="R012"/>
    <n v="8"/>
    <n v="2480"/>
    <n v="18.2"/>
    <n v="16229.12"/>
    <s v="Cancelled"/>
    <s v="Chennai"/>
    <s v="Apparel"/>
    <m/>
    <s v="Corporate"/>
    <n v="34"/>
    <s v="South"/>
    <s v="Dec-24"/>
  </r>
  <r>
    <s v="ORD-00211"/>
    <x v="163"/>
    <s v="CUST-0149"/>
    <s v="PROD-057"/>
    <s v="R019"/>
    <n v="2"/>
    <n v="960"/>
    <n v="2.2000000000000002"/>
    <n v="1877.76"/>
    <s v="Completed"/>
    <s v="Hyderabad"/>
    <s v="Sports"/>
    <m/>
    <s v="Retail"/>
    <n v="44"/>
    <m/>
    <m/>
  </r>
  <r>
    <s v="ORD-00212"/>
    <x v="164"/>
    <s v="CUST-0178"/>
    <s v="PROD-046"/>
    <s v="R018"/>
    <n v="8"/>
    <n v="4880"/>
    <n v="11.9"/>
    <n v="34394.239999999998"/>
    <s v="Completed"/>
    <s v="Hyderabad"/>
    <s v="Beauty"/>
    <m/>
    <s v="Retail"/>
    <n v="25"/>
    <s v="East"/>
    <s v="Mar-24"/>
  </r>
  <r>
    <s v="ORD-00213"/>
    <x v="165"/>
    <s v="CUST-0246"/>
    <s v="PROD-014"/>
    <s v="R030"/>
    <n v="2"/>
    <n v="3620"/>
    <n v="1.1000000000000001"/>
    <n v="7160.36"/>
    <s v="Pending"/>
    <s v="Delhi"/>
    <s v="Apparel"/>
    <m/>
    <s v="SMB"/>
    <n v="29"/>
    <s v="East"/>
    <s v="Feb-24"/>
  </r>
  <r>
    <s v="ORD-00214"/>
    <x v="52"/>
    <s v="CUST-0033"/>
    <s v="PROD-006"/>
    <s v="R008"/>
    <n v="8"/>
    <n v="3970"/>
    <n v="18.100000000000001"/>
    <n v="26011.439999999999"/>
    <s v="Completed"/>
    <s v="Delhi"/>
    <s v="Electronics"/>
    <m/>
    <s v="Retail"/>
    <n v="35"/>
    <s v="West"/>
    <s v="Dec-24"/>
  </r>
  <r>
    <s v="ORD-00215"/>
    <x v="166"/>
    <s v="CUST-0159"/>
    <s v="PROD-022"/>
    <s v="R026"/>
    <n v="8"/>
    <n v="2270"/>
    <n v="19.600000000000001"/>
    <n v="14600.64"/>
    <s v="Completed"/>
    <s v="Hyderabad"/>
    <s v="Grocery"/>
    <m/>
    <s v="Retail"/>
    <n v="32"/>
    <s v="North"/>
    <s v="Oct-24"/>
  </r>
  <r>
    <s v="ORD-00216"/>
    <x v="167"/>
    <s v="CUST-0175"/>
    <s v="PROD-027"/>
    <s v="R013"/>
    <n v="1"/>
    <n v="3780"/>
    <n v="22.6"/>
    <n v="2925.72"/>
    <s v="Completed"/>
    <s v="Delhi"/>
    <s v="Grocery"/>
    <m/>
    <s v="Corporate"/>
    <n v="55"/>
    <m/>
    <m/>
  </r>
  <r>
    <s v="ORD-00217"/>
    <x v="168"/>
    <s v="CUST-0079"/>
    <s v="PROD-026"/>
    <s v="R022"/>
    <n v="9"/>
    <n v="4070"/>
    <n v="28.2"/>
    <n v="26300.34"/>
    <s v="Completed"/>
    <s v="Mumbai"/>
    <s v="Grocery"/>
    <m/>
    <s v="Corporate"/>
    <n v="60"/>
    <m/>
    <m/>
  </r>
  <r>
    <s v="ORD-00218"/>
    <x v="75"/>
    <s v="CUST-0173"/>
    <s v="PROD-008"/>
    <s v="R006"/>
    <n v="9"/>
    <n v="2660"/>
    <n v="13.1"/>
    <n v="20803.86"/>
    <s v="Pending"/>
    <s v="Mumbai"/>
    <s v="Electronics"/>
    <m/>
    <s v="Retail"/>
    <n v="65"/>
    <m/>
    <m/>
  </r>
  <r>
    <s v="ORD-00219"/>
    <x v="169"/>
    <s v="CUST-0050"/>
    <s v="PROD-003"/>
    <s v="R004"/>
    <n v="4"/>
    <n v="3570"/>
    <n v="1.5"/>
    <n v="14065.8"/>
    <s v="Cancelled"/>
    <s v="Mumbai"/>
    <s v="Electronics"/>
    <m/>
    <s v="Retail"/>
    <n v="37"/>
    <s v="North"/>
    <s v="May-24"/>
  </r>
  <r>
    <s v="ORD-00220"/>
    <x v="101"/>
    <s v="CUST-0097"/>
    <s v="PROD-049"/>
    <s v="R001"/>
    <n v="2"/>
    <n v="960"/>
    <n v="18.600000000000001"/>
    <n v="1562.88"/>
    <s v="Completed"/>
    <s v="Mumbai"/>
    <s v="Beauty"/>
    <m/>
    <s v="Retail"/>
    <n v="65"/>
    <m/>
    <m/>
  </r>
  <r>
    <s v="ORD-00221"/>
    <x v="14"/>
    <s v="CUST-0026"/>
    <s v="PROD-047"/>
    <s v="R018"/>
    <n v="2"/>
    <n v="3450"/>
    <n v="3.7"/>
    <n v="6644.7"/>
    <s v="Completed"/>
    <s v="Pune"/>
    <s v="Beauty"/>
    <m/>
    <s v="Retail"/>
    <n v="62"/>
    <m/>
    <m/>
  </r>
  <r>
    <s v="ORD-00222"/>
    <x v="170"/>
    <s v="CUST-0185"/>
    <s v="PROD-048"/>
    <s v="R007"/>
    <n v="6"/>
    <n v="5100"/>
    <n v="1.2"/>
    <n v="30232.799999999999"/>
    <s v="Completed"/>
    <s v="Hyderabad"/>
    <s v="Beauty"/>
    <m/>
    <s v="SMB"/>
    <n v="43"/>
    <m/>
    <m/>
  </r>
  <r>
    <s v="ORD-00223"/>
    <x v="105"/>
    <s v="CUST-0135"/>
    <s v="PROD-005"/>
    <s v="R005"/>
    <n v="9"/>
    <n v="300"/>
    <n v="25.4"/>
    <n v="2014.2"/>
    <s v="Cancelled"/>
    <s v="Pune"/>
    <s v="Electronics"/>
    <m/>
    <s v="SMB"/>
    <n v="24"/>
    <s v="North"/>
    <s v="Nov-24"/>
  </r>
  <r>
    <s v="ORD-00224"/>
    <x v="171"/>
    <s v="CUST-0010"/>
    <s v="PROD-046"/>
    <s v="R020"/>
    <n v="7"/>
    <n v="4880"/>
    <n v="16.899999999999999"/>
    <n v="28386.959999999999"/>
    <s v="Pending"/>
    <s v="Mumbai"/>
    <s v="Beauty"/>
    <m/>
    <s v="SMB"/>
    <n v="61"/>
    <m/>
    <m/>
  </r>
  <r>
    <s v="ORD-00225"/>
    <x v="172"/>
    <s v="CUST-0271"/>
    <s v="PROD-036"/>
    <s v="R023"/>
    <n v="9"/>
    <n v="3250"/>
    <n v="10.8"/>
    <n v="26091"/>
    <s v="Cancelled"/>
    <s v="Bengaluru"/>
    <s v="Home"/>
    <m/>
    <s v="Corporate"/>
    <n v="41"/>
    <m/>
    <m/>
  </r>
  <r>
    <s v="ORD-00226"/>
    <x v="129"/>
    <s v="CUST-0172"/>
    <s v="PROD-047"/>
    <s v="R006"/>
    <n v="3"/>
    <n v="3450"/>
    <n v="5.4"/>
    <n v="9791.1"/>
    <s v="Pending"/>
    <s v="Pune"/>
    <s v="Beauty"/>
    <m/>
    <s v="Retail"/>
    <n v="65"/>
    <m/>
    <m/>
  </r>
  <r>
    <s v="ORD-00227"/>
    <x v="63"/>
    <s v="CUST-0296"/>
    <s v="PROD-050"/>
    <s v="R021"/>
    <n v="5"/>
    <n v="6080"/>
    <n v="18"/>
    <n v="24928"/>
    <s v="Completed"/>
    <s v="Delhi"/>
    <s v="Beauty"/>
    <m/>
    <s v="Corporate"/>
    <n v="47"/>
    <m/>
    <m/>
  </r>
  <r>
    <s v="ORD-00228"/>
    <x v="173"/>
    <s v="CUST-0080"/>
    <s v="PROD-050"/>
    <s v="R022"/>
    <n v="7"/>
    <n v="6080"/>
    <n v="9.1999999999999993"/>
    <n v="38644.480000000003"/>
    <s v="Completed"/>
    <s v="Pune"/>
    <s v="Beauty"/>
    <m/>
    <s v="SMB"/>
    <n v="30"/>
    <s v="East"/>
    <s v="Feb-24"/>
  </r>
  <r>
    <s v="ORD-00229"/>
    <x v="65"/>
    <s v="CUST-0232"/>
    <s v="PROD-024"/>
    <s v="R014"/>
    <n v="5"/>
    <n v="2270"/>
    <n v="0.4"/>
    <n v="11304.6"/>
    <s v="Cancelled"/>
    <s v="Hyderabad"/>
    <s v="Grocery"/>
    <m/>
    <s v="Retail"/>
    <n v="38"/>
    <s v="East"/>
    <s v="Jul-24"/>
  </r>
  <r>
    <s v="ORD-00230"/>
    <x v="41"/>
    <s v="CUST-0070"/>
    <s v="PROD-046"/>
    <s v="R016"/>
    <n v="10"/>
    <n v="4880"/>
    <n v="24.5"/>
    <n v="36844"/>
    <s v="Refunded"/>
    <s v="Mumbai"/>
    <s v="Beauty"/>
    <m/>
    <s v="Retail"/>
    <n v="42"/>
    <m/>
    <m/>
  </r>
  <r>
    <s v="ORD-00231"/>
    <x v="174"/>
    <s v="CUST-0142"/>
    <s v="PROD-023"/>
    <s v="R002"/>
    <n v="2"/>
    <n v="2380"/>
    <n v="2.2999999999999998"/>
    <n v="4650.5200000000004"/>
    <s v="Completed"/>
    <s v="Chennai"/>
    <s v="Grocery"/>
    <m/>
    <s v="Corporate"/>
    <n v="55"/>
    <m/>
    <m/>
  </r>
  <r>
    <s v="ORD-00232"/>
    <x v="71"/>
    <s v="CUST-0161"/>
    <s v="PROD-054"/>
    <s v="R025"/>
    <n v="1"/>
    <n v="1010"/>
    <n v="29.9"/>
    <n v="708.01"/>
    <s v="Completed"/>
    <s v="Chennai"/>
    <s v="Sports"/>
    <m/>
    <s v="Retail"/>
    <n v="38"/>
    <s v="North"/>
    <s v="Jan-24"/>
  </r>
  <r>
    <s v="ORD-00233"/>
    <x v="175"/>
    <s v="CUST-0020"/>
    <s v="PROD-056"/>
    <s v="R029"/>
    <n v="7"/>
    <n v="6940"/>
    <n v="25.8"/>
    <n v="36046.36"/>
    <s v="Completed"/>
    <s v="Hyderabad"/>
    <s v="Sports"/>
    <m/>
    <s v="Retail"/>
    <n v="46"/>
    <m/>
    <m/>
  </r>
  <r>
    <s v="ORD-00234"/>
    <x v="176"/>
    <s v="CUST-0173"/>
    <s v="PROD-042"/>
    <s v="R024"/>
    <n v="6"/>
    <n v="2290"/>
    <n v="25.9"/>
    <n v="10181.34"/>
    <s v="Pending"/>
    <s v="Mumbai"/>
    <s v="Beauty"/>
    <m/>
    <s v="Retail"/>
    <n v="65"/>
    <m/>
    <m/>
  </r>
  <r>
    <s v="ORD-00235"/>
    <x v="118"/>
    <s v="CUST-0280"/>
    <s v="PROD-032"/>
    <s v="R014"/>
    <n v="2"/>
    <n v="370"/>
    <n v="3.9"/>
    <n v="711.14"/>
    <s v="Completed"/>
    <s v="Delhi"/>
    <s v="Home"/>
    <m/>
    <s v="SMB"/>
    <n v="27"/>
    <s v="West"/>
    <s v="Sep-24"/>
  </r>
  <r>
    <s v="ORD-00236"/>
    <x v="177"/>
    <s v="CUST-0073"/>
    <s v="PROD-022"/>
    <s v="R020"/>
    <n v="1"/>
    <n v="2270"/>
    <n v="25.3"/>
    <n v="1695.69"/>
    <s v="Completed"/>
    <s v="Pune"/>
    <s v="Grocery"/>
    <m/>
    <s v="Corporate"/>
    <n v="40"/>
    <s v="South"/>
    <s v="Aug-24"/>
  </r>
  <r>
    <s v="ORD-00237"/>
    <x v="112"/>
    <s v="CUST-0242"/>
    <s v="PROD-050"/>
    <s v="R002"/>
    <n v="4"/>
    <n v="6080"/>
    <n v="28.8"/>
    <n v="17315.84"/>
    <s v="Pending"/>
    <s v="Chennai"/>
    <s v="Beauty"/>
    <m/>
    <s v="SMB"/>
    <n v="59"/>
    <m/>
    <m/>
  </r>
  <r>
    <s v="ORD-00238"/>
    <x v="44"/>
    <s v="CUST-0234"/>
    <s v="PROD-001"/>
    <s v="R018"/>
    <n v="2"/>
    <n v="5330"/>
    <n v="23.8"/>
    <n v="8122.92"/>
    <s v="Pending"/>
    <s v="Bengaluru"/>
    <s v="Electronics"/>
    <m/>
    <s v="Retail"/>
    <n v="34"/>
    <s v="North"/>
    <s v="Feb-24"/>
  </r>
  <r>
    <s v="ORD-00239"/>
    <x v="112"/>
    <s v="CUST-0085"/>
    <s v="PROD-026"/>
    <s v="R024"/>
    <n v="2"/>
    <n v="4070"/>
    <n v="4.3"/>
    <n v="7789.98"/>
    <s v="Completed"/>
    <s v="Chennai"/>
    <s v="Grocery"/>
    <m/>
    <s v="Retail"/>
    <n v="26"/>
    <s v="East"/>
    <s v="Apr-24"/>
  </r>
  <r>
    <s v="ORD-00240"/>
    <x v="178"/>
    <s v="CUST-0228"/>
    <s v="PROD-005"/>
    <s v="R004"/>
    <n v="6"/>
    <n v="300"/>
    <n v="17.399999999999999"/>
    <n v="1486.8"/>
    <s v="Cancelled"/>
    <s v="Pune"/>
    <s v="Electronics"/>
    <m/>
    <s v="Corporate"/>
    <n v="37"/>
    <s v="West"/>
    <s v="Feb-24"/>
  </r>
  <r>
    <s v="ORD-00241"/>
    <x v="56"/>
    <s v="CUST-0147"/>
    <s v="PROD-046"/>
    <s v="R014"/>
    <n v="1"/>
    <n v="4880"/>
    <n v="17.5"/>
    <n v="4026"/>
    <s v="Completed"/>
    <s v="Pune"/>
    <s v="Beauty"/>
    <m/>
    <s v="Retail"/>
    <n v="56"/>
    <m/>
    <m/>
  </r>
  <r>
    <s v="ORD-00242"/>
    <x v="179"/>
    <s v="CUST-0171"/>
    <s v="PROD-055"/>
    <s v="R027"/>
    <n v="3"/>
    <n v="2860"/>
    <n v="20.100000000000001"/>
    <n v="6855.42"/>
    <s v="Completed"/>
    <s v="Chennai"/>
    <s v="Sports"/>
    <m/>
    <s v="Corporate"/>
    <n v="30"/>
    <s v="South"/>
    <s v="Jul-24"/>
  </r>
  <r>
    <s v="ORD-00243"/>
    <x v="180"/>
    <s v="CUST-0051"/>
    <s v="PROD-041"/>
    <s v="R002"/>
    <n v="3"/>
    <n v="1540"/>
    <n v="20.9"/>
    <n v="3654.42"/>
    <s v="Completed"/>
    <s v="Pune"/>
    <s v="Beauty"/>
    <m/>
    <s v="SMB"/>
    <n v="54"/>
    <m/>
    <m/>
  </r>
  <r>
    <s v="ORD-00244"/>
    <x v="31"/>
    <s v="CUST-0285"/>
    <s v="PROD-010"/>
    <s v="R010"/>
    <n v="10"/>
    <n v="2640"/>
    <n v="11.2"/>
    <n v="23443.200000000001"/>
    <s v="Pending"/>
    <s v="Hyderabad"/>
    <s v="Electronics"/>
    <m/>
    <s v="Retail"/>
    <n v="22"/>
    <s v="North"/>
    <s v="Dec-24"/>
  </r>
  <r>
    <s v="ORD-00245"/>
    <x v="58"/>
    <s v="CUST-0114"/>
    <s v="PROD-012"/>
    <s v="R013"/>
    <n v="1"/>
    <n v="3160"/>
    <n v="11.5"/>
    <n v="2796.6"/>
    <s v="Completed"/>
    <s v="Bengaluru"/>
    <s v="Apparel"/>
    <m/>
    <s v="Corporate"/>
    <n v="42"/>
    <m/>
    <m/>
  </r>
  <r>
    <s v="ORD-00246"/>
    <x v="181"/>
    <s v="CUST-0295"/>
    <s v="PROD-040"/>
    <s v="R007"/>
    <n v="4"/>
    <n v="1080"/>
    <n v="20.7"/>
    <n v="3425.76"/>
    <s v="Pending"/>
    <s v="Delhi"/>
    <s v="Home"/>
    <m/>
    <s v="SMB"/>
    <n v="48"/>
    <m/>
    <m/>
  </r>
  <r>
    <s v="ORD-00247"/>
    <x v="65"/>
    <s v="CUST-0218"/>
    <s v="PROD-054"/>
    <s v="R013"/>
    <n v="4"/>
    <n v="1010"/>
    <n v="29.5"/>
    <n v="2848.2"/>
    <s v="Pending"/>
    <s v="Mumbai"/>
    <s v="Sports"/>
    <m/>
    <s v="Retail"/>
    <n v="39"/>
    <s v="North"/>
    <s v="Dec-24"/>
  </r>
  <r>
    <s v="ORD-00248"/>
    <x v="182"/>
    <s v="CUST-0090"/>
    <s v="PROD-002"/>
    <s v="R027"/>
    <n v="7"/>
    <n v="2600"/>
    <n v="6.6"/>
    <n v="16998.8"/>
    <s v="Completed"/>
    <s v="Bengaluru"/>
    <s v="Electronics"/>
    <m/>
    <s v="Corporate"/>
    <n v="26"/>
    <s v="South"/>
    <s v="Oct-24"/>
  </r>
  <r>
    <s v="ORD-00249"/>
    <x v="183"/>
    <s v="CUST-0194"/>
    <s v="PROD-017"/>
    <s v="R009"/>
    <n v="4"/>
    <n v="2510"/>
    <n v="1"/>
    <n v="9939.6"/>
    <s v="Completed"/>
    <s v="Delhi"/>
    <s v="Apparel"/>
    <m/>
    <s v="SMB"/>
    <n v="55"/>
    <m/>
    <m/>
  </r>
  <r>
    <s v="ORD-00250"/>
    <x v="184"/>
    <s v="CUST-0231"/>
    <s v="PROD-026"/>
    <s v="R022"/>
    <n v="9"/>
    <n v="4070"/>
    <n v="6.7"/>
    <n v="34175.79"/>
    <s v="Cancelled"/>
    <s v="Chennai"/>
    <s v="Grocery"/>
    <m/>
    <s v="Retail"/>
    <n v="61"/>
    <m/>
    <m/>
  </r>
  <r>
    <s v="ORD-00251"/>
    <x v="109"/>
    <s v="CUST-0055"/>
    <s v="PROD-020"/>
    <s v="R010"/>
    <n v="6"/>
    <n v="820"/>
    <n v="14"/>
    <n v="4231.2"/>
    <s v="Completed"/>
    <s v="Bengaluru"/>
    <s v="Apparel"/>
    <m/>
    <s v="Retail"/>
    <n v="34"/>
    <s v="East"/>
    <s v="Dec-24"/>
  </r>
  <r>
    <s v="ORD-00252"/>
    <x v="185"/>
    <s v="CUST-0262"/>
    <s v="PROD-030"/>
    <s v="R005"/>
    <n v="2"/>
    <n v="970"/>
    <n v="23.8"/>
    <n v="1478.28"/>
    <s v="Completed"/>
    <s v="Mumbai"/>
    <s v="Grocery"/>
    <m/>
    <s v="Retail"/>
    <n v="52"/>
    <m/>
    <m/>
  </r>
  <r>
    <s v="ORD-00253"/>
    <x v="186"/>
    <s v="CUST-0155"/>
    <s v="PROD-026"/>
    <s v="R012"/>
    <n v="4"/>
    <n v="4070"/>
    <n v="19"/>
    <n v="13186.8"/>
    <s v="Pending"/>
    <s v="Pune"/>
    <s v="Grocery"/>
    <m/>
    <s v="Corporate"/>
    <n v="40"/>
    <s v="North"/>
    <s v="Jul-24"/>
  </r>
  <r>
    <s v="ORD-00254"/>
    <x v="144"/>
    <s v="CUST-0169"/>
    <s v="PROD-047"/>
    <s v="R017"/>
    <n v="3"/>
    <n v="3450"/>
    <n v="4.4000000000000004"/>
    <n v="9894.6"/>
    <s v="Cancelled"/>
    <s v="Bengaluru"/>
    <s v="Beauty"/>
    <m/>
    <s v="SMB"/>
    <n v="42"/>
    <m/>
    <m/>
  </r>
  <r>
    <s v="ORD-00255"/>
    <x v="187"/>
    <s v="CUST-0208"/>
    <s v="PROD-027"/>
    <s v="R010"/>
    <n v="5"/>
    <n v="3780"/>
    <n v="13.5"/>
    <n v="16348.5"/>
    <s v="Completed"/>
    <s v="Mumbai"/>
    <s v="Grocery"/>
    <m/>
    <s v="Retail"/>
    <n v="49"/>
    <m/>
    <m/>
  </r>
  <r>
    <s v="ORD-00256"/>
    <x v="127"/>
    <s v="CUST-0249"/>
    <s v="PROD-057"/>
    <s v="R004"/>
    <n v="1"/>
    <n v="960"/>
    <n v="29.2"/>
    <n v="679.68"/>
    <s v="Completed"/>
    <s v="Mumbai"/>
    <s v="Sports"/>
    <m/>
    <s v="Retail"/>
    <n v="44"/>
    <m/>
    <m/>
  </r>
  <r>
    <s v="ORD-00257"/>
    <x v="188"/>
    <s v="CUST-0151"/>
    <s v="PROD-003"/>
    <s v="R022"/>
    <n v="10"/>
    <n v="3570"/>
    <n v="10.7"/>
    <n v="31880.1"/>
    <s v="Completed"/>
    <s v="Mumbai"/>
    <s v="Electronics"/>
    <m/>
    <s v="Retail"/>
    <n v="53"/>
    <m/>
    <m/>
  </r>
  <r>
    <s v="ORD-00258"/>
    <x v="187"/>
    <s v="CUST-0115"/>
    <s v="PROD-003"/>
    <s v="R024"/>
    <n v="7"/>
    <n v="3570"/>
    <n v="12.2"/>
    <n v="21941.22"/>
    <s v="Completed"/>
    <s v="Mumbai"/>
    <s v="Electronics"/>
    <m/>
    <s v="SMB"/>
    <n v="65"/>
    <m/>
    <m/>
  </r>
  <r>
    <s v="ORD-00259"/>
    <x v="189"/>
    <s v="CUST-0041"/>
    <s v="PROD-040"/>
    <s v="R014"/>
    <n v="6"/>
    <n v="1080"/>
    <n v="19.8"/>
    <n v="5196.96"/>
    <s v="Completed"/>
    <s v="Bengaluru"/>
    <s v="Home"/>
    <m/>
    <s v="SMB"/>
    <n v="26"/>
    <s v="West"/>
    <s v="Aug-24"/>
  </r>
  <r>
    <s v="ORD-00260"/>
    <x v="51"/>
    <s v="CUST-0101"/>
    <s v="PROD-011"/>
    <s v="R010"/>
    <n v="8"/>
    <n v="3450"/>
    <n v="19"/>
    <n v="22356"/>
    <s v="Completed"/>
    <s v="Hyderabad"/>
    <s v="Apparel"/>
    <m/>
    <s v="SMB"/>
    <n v="40"/>
    <s v="South"/>
    <s v="Oct-24"/>
  </r>
  <r>
    <s v="ORD-00261"/>
    <x v="2"/>
    <s v="CUST-0198"/>
    <s v="PROD-008"/>
    <s v="R023"/>
    <n v="4"/>
    <n v="2660"/>
    <n v="18.8"/>
    <n v="8639.68"/>
    <s v="Pending"/>
    <s v="Chennai"/>
    <s v="Electronics"/>
    <m/>
    <s v="Corporate"/>
    <n v="22"/>
    <s v="South"/>
    <s v="Dec-24"/>
  </r>
  <r>
    <s v="ORD-00262"/>
    <x v="190"/>
    <s v="CUST-0200"/>
    <s v="PROD-058"/>
    <s v="R009"/>
    <n v="4"/>
    <n v="2400"/>
    <n v="5.6"/>
    <n v="9062.4"/>
    <s v="Completed"/>
    <s v="Hyderabad"/>
    <s v="Sports"/>
    <m/>
    <s v="Corporate"/>
    <n v="46"/>
    <m/>
    <m/>
  </r>
  <r>
    <s v="ORD-00263"/>
    <x v="191"/>
    <s v="CUST-0110"/>
    <s v="PROD-002"/>
    <s v="R003"/>
    <n v="10"/>
    <n v="2600"/>
    <n v="24.7"/>
    <n v="19578"/>
    <s v="Completed"/>
    <s v="Pune"/>
    <s v="Electronics"/>
    <m/>
    <s v="Corporate"/>
    <n v="31"/>
    <s v="South"/>
    <s v="Aug-24"/>
  </r>
  <r>
    <s v="ORD-00264"/>
    <x v="191"/>
    <s v="CUST-0134"/>
    <s v="PROD-025"/>
    <s v="R004"/>
    <n v="3"/>
    <n v="4060"/>
    <n v="6.9"/>
    <n v="11339.58"/>
    <s v="Completed"/>
    <s v="Delhi"/>
    <s v="Grocery"/>
    <m/>
    <s v="Retail"/>
    <n v="40"/>
    <s v="North"/>
    <s v="Aug-24"/>
  </r>
  <r>
    <s v="ORD-00265"/>
    <x v="57"/>
    <s v="CUST-0141"/>
    <s v="PROD-038"/>
    <s v="R023"/>
    <n v="6"/>
    <n v="5490"/>
    <n v="8.4"/>
    <n v="30173.040000000001"/>
    <s v="Completed"/>
    <s v="Hyderabad"/>
    <s v="Home"/>
    <m/>
    <s v="Corporate"/>
    <n v="22"/>
    <s v="North"/>
    <s v="Aug-24"/>
  </r>
  <r>
    <s v="ORD-00266"/>
    <x v="192"/>
    <s v="CUST-0163"/>
    <s v="PROD-032"/>
    <s v="R018"/>
    <n v="6"/>
    <n v="370"/>
    <n v="15.1"/>
    <n v="1884.78"/>
    <s v="Completed"/>
    <s v="Pune"/>
    <s v="Home"/>
    <m/>
    <s v="Retail"/>
    <n v="49"/>
    <m/>
    <m/>
  </r>
  <r>
    <s v="ORD-00267"/>
    <x v="171"/>
    <s v="CUST-0181"/>
    <s v="PROD-016"/>
    <s v="R023"/>
    <n v="5"/>
    <n v="620"/>
    <n v="13.1"/>
    <n v="2693.9"/>
    <s v="Cancelled"/>
    <s v="Delhi"/>
    <s v="Apparel"/>
    <m/>
    <s v="SMB"/>
    <n v="38"/>
    <s v="East"/>
    <s v="Apr-24"/>
  </r>
  <r>
    <s v="ORD-00268"/>
    <x v="10"/>
    <s v="CUST-0133"/>
    <s v="PROD-036"/>
    <s v="R029"/>
    <n v="9"/>
    <n v="3250"/>
    <n v="16.5"/>
    <n v="24423.75"/>
    <s v="Completed"/>
    <s v="Chennai"/>
    <s v="Home"/>
    <m/>
    <s v="Retail"/>
    <n v="26"/>
    <s v="East"/>
    <s v="Apr-24"/>
  </r>
  <r>
    <s v="ORD-00269"/>
    <x v="193"/>
    <s v="CUST-0095"/>
    <s v="PROD-050"/>
    <s v="R011"/>
    <n v="1"/>
    <n v="6080"/>
    <n v="0.1"/>
    <n v="6073.92"/>
    <s v="Completed"/>
    <s v="Mumbai"/>
    <s v="Beauty"/>
    <m/>
    <s v="SMB"/>
    <n v="54"/>
    <m/>
    <m/>
  </r>
  <r>
    <s v="ORD-00270"/>
    <x v="194"/>
    <s v="CUST-0171"/>
    <s v="PROD-013"/>
    <s v="R014"/>
    <n v="8"/>
    <n v="3640"/>
    <n v="13.5"/>
    <n v="25188.799999999999"/>
    <s v="Completed"/>
    <s v="Chennai"/>
    <s v="Apparel"/>
    <m/>
    <s v="Corporate"/>
    <n v="30"/>
    <s v="South"/>
    <s v="Jan-24"/>
  </r>
  <r>
    <s v="ORD-00271"/>
    <x v="22"/>
    <s v="CUST-0238"/>
    <s v="PROD-012"/>
    <s v="R005"/>
    <n v="9"/>
    <n v="3160"/>
    <n v="29.7"/>
    <n v="19993.32"/>
    <s v="Completed"/>
    <s v="Delhi"/>
    <s v="Apparel"/>
    <m/>
    <s v="Retail"/>
    <n v="49"/>
    <m/>
    <m/>
  </r>
  <r>
    <s v="ORD-00272"/>
    <x v="49"/>
    <s v="CUST-0185"/>
    <s v="PROD-004"/>
    <s v="R007"/>
    <n v="2"/>
    <n v="3870"/>
    <n v="18.100000000000001"/>
    <n v="6339.06"/>
    <s v="Cancelled"/>
    <s v="Hyderabad"/>
    <s v="Electronics"/>
    <m/>
    <s v="SMB"/>
    <n v="43"/>
    <m/>
    <m/>
  </r>
  <r>
    <s v="ORD-00273"/>
    <x v="195"/>
    <s v="CUST-0167"/>
    <s v="PROD-037"/>
    <s v="R030"/>
    <n v="3"/>
    <n v="660"/>
    <n v="9.1999999999999993"/>
    <n v="1797.84"/>
    <s v="Completed"/>
    <s v="Delhi"/>
    <s v="Home"/>
    <m/>
    <s v="Retail"/>
    <n v="43"/>
    <m/>
    <m/>
  </r>
  <r>
    <s v="ORD-00274"/>
    <x v="196"/>
    <s v="CUST-0224"/>
    <s v="PROD-025"/>
    <s v="R013"/>
    <n v="4"/>
    <n v="4060"/>
    <n v="28"/>
    <n v="11692.8"/>
    <s v="Completed"/>
    <s v="Chennai"/>
    <s v="Grocery"/>
    <m/>
    <s v="Corporate"/>
    <n v="24"/>
    <s v="West"/>
    <s v="May-24"/>
  </r>
  <r>
    <s v="ORD-00275"/>
    <x v="107"/>
    <s v="CUST-0181"/>
    <s v="PROD-034"/>
    <s v="R016"/>
    <n v="2"/>
    <n v="5080"/>
    <n v="7.7"/>
    <n v="9377.68"/>
    <s v="Refunded"/>
    <s v="Delhi"/>
    <s v="Home"/>
    <m/>
    <s v="SMB"/>
    <n v="38"/>
    <s v="South"/>
    <s v="May-24"/>
  </r>
  <r>
    <s v="ORD-00276"/>
    <x v="197"/>
    <s v="CUST-0020"/>
    <s v="PROD-003"/>
    <s v="R005"/>
    <n v="3"/>
    <n v="3570"/>
    <n v="9.5"/>
    <n v="9692.5499999999993"/>
    <s v="Completed"/>
    <s v="Hyderabad"/>
    <s v="Electronics"/>
    <m/>
    <s v="Retail"/>
    <n v="46"/>
    <m/>
    <m/>
  </r>
  <r>
    <s v="ORD-00277"/>
    <x v="151"/>
    <s v="CUST-0183"/>
    <s v="PROD-016"/>
    <s v="R020"/>
    <n v="2"/>
    <n v="620"/>
    <n v="29.5"/>
    <n v="874.2"/>
    <s v="Completed"/>
    <s v="Mumbai"/>
    <s v="Apparel"/>
    <m/>
    <s v="SMB"/>
    <n v="27"/>
    <s v="North"/>
    <s v="Jan-24"/>
  </r>
  <r>
    <s v="ORD-00278"/>
    <x v="198"/>
    <s v="CUST-0028"/>
    <s v="PROD-011"/>
    <s v="R013"/>
    <n v="3"/>
    <n v="3450"/>
    <n v="3"/>
    <n v="10039.5"/>
    <s v="Completed"/>
    <s v="Bengaluru"/>
    <s v="Apparel"/>
    <m/>
    <s v="Retail"/>
    <n v="59"/>
    <m/>
    <m/>
  </r>
  <r>
    <s v="ORD-00279"/>
    <x v="199"/>
    <s v="CUST-0121"/>
    <s v="PROD-048"/>
    <s v="R006"/>
    <n v="7"/>
    <n v="5100"/>
    <n v="4.3"/>
    <n v="34164.9"/>
    <s v="Completed"/>
    <s v="Delhi"/>
    <s v="Beauty"/>
    <m/>
    <s v="SMB"/>
    <n v="55"/>
    <m/>
    <m/>
  </r>
  <r>
    <s v="ORD-00280"/>
    <x v="110"/>
    <s v="CUST-0192"/>
    <s v="PROD-004"/>
    <s v="R003"/>
    <n v="9"/>
    <n v="3870"/>
    <n v="4.8"/>
    <n v="33158.160000000003"/>
    <s v="Completed"/>
    <s v="Bengaluru"/>
    <s v="Electronics"/>
    <m/>
    <s v="Retail"/>
    <n v="55"/>
    <m/>
    <m/>
  </r>
  <r>
    <s v="ORD-00281"/>
    <x v="142"/>
    <s v="CUST-0155"/>
    <s v="PROD-009"/>
    <s v="R029"/>
    <n v="5"/>
    <n v="1220"/>
    <n v="4"/>
    <n v="5856"/>
    <s v="Cancelled"/>
    <s v="Pune"/>
    <s v="Electronics"/>
    <m/>
    <s v="Corporate"/>
    <n v="40"/>
    <s v="North"/>
    <s v="Sep-24"/>
  </r>
  <r>
    <s v="ORD-00282"/>
    <x v="200"/>
    <s v="CUST-0159"/>
    <s v="PROD-038"/>
    <s v="R023"/>
    <n v="5"/>
    <n v="5490"/>
    <n v="19.8"/>
    <n v="22014.9"/>
    <s v="Completed"/>
    <s v="Hyderabad"/>
    <s v="Home"/>
    <m/>
    <s v="Retail"/>
    <n v="32"/>
    <s v="West"/>
    <s v="Dec-24"/>
  </r>
  <r>
    <s v="ORD-00283"/>
    <x v="201"/>
    <s v="CUST-0025"/>
    <s v="PROD-044"/>
    <s v="R001"/>
    <n v="1"/>
    <n v="1650"/>
    <n v="26.2"/>
    <n v="1217.7"/>
    <s v="Completed"/>
    <s v="Bengaluru"/>
    <s v="Beauty"/>
    <m/>
    <s v="Retail"/>
    <n v="23"/>
    <s v="East"/>
    <s v="Feb-24"/>
  </r>
  <r>
    <s v="ORD-00284"/>
    <x v="151"/>
    <s v="CUST-0297"/>
    <s v="PROD-008"/>
    <s v="R003"/>
    <n v="1"/>
    <n v="2660"/>
    <n v="21"/>
    <n v="2101.4"/>
    <s v="Completed"/>
    <s v="Hyderabad"/>
    <s v="Electronics"/>
    <m/>
    <s v="Retail"/>
    <n v="50"/>
    <m/>
    <m/>
  </r>
  <r>
    <s v="ORD-00285"/>
    <x v="67"/>
    <s v="CUST-0108"/>
    <s v="PROD-029"/>
    <s v="R003"/>
    <n v="6"/>
    <n v="2210"/>
    <n v="9.8000000000000007"/>
    <n v="11960.52"/>
    <s v="Pending"/>
    <s v="Bengaluru"/>
    <s v="Grocery"/>
    <m/>
    <s v="Corporate"/>
    <n v="59"/>
    <m/>
    <m/>
  </r>
  <r>
    <s v="ORD-00286"/>
    <x v="202"/>
    <s v="CUST-0121"/>
    <s v="PROD-002"/>
    <s v="R001"/>
    <n v="9"/>
    <n v="2600"/>
    <n v="15.7"/>
    <n v="19726.2"/>
    <s v="Completed"/>
    <s v="Delhi"/>
    <s v="Electronics"/>
    <m/>
    <s v="SMB"/>
    <n v="55"/>
    <m/>
    <m/>
  </r>
  <r>
    <s v="ORD-00287"/>
    <x v="203"/>
    <s v="CUST-0160"/>
    <s v="PROD-045"/>
    <s v="R025"/>
    <n v="3"/>
    <n v="3020"/>
    <n v="22.6"/>
    <n v="7012.44"/>
    <s v="Completed"/>
    <s v="Hyderabad"/>
    <s v="Beauty"/>
    <m/>
    <s v="Retail"/>
    <n v="27"/>
    <s v="North"/>
    <s v="Jan-24"/>
  </r>
  <r>
    <s v="ORD-00288"/>
    <x v="61"/>
    <s v="CUST-0230"/>
    <s v="PROD-032"/>
    <s v="R005"/>
    <n v="6"/>
    <n v="370"/>
    <n v="12.4"/>
    <n v="1944.72"/>
    <s v="Completed"/>
    <s v="Pune"/>
    <s v="Home"/>
    <m/>
    <s v="Corporate"/>
    <n v="33"/>
    <s v="West"/>
    <s v="Jan-24"/>
  </r>
  <r>
    <s v="ORD-00289"/>
    <x v="42"/>
    <s v="CUST-0151"/>
    <s v="PROD-001"/>
    <s v="R006"/>
    <n v="8"/>
    <n v="5330"/>
    <n v="16.2"/>
    <n v="35732.32"/>
    <s v="Completed"/>
    <s v="Mumbai"/>
    <s v="Electronics"/>
    <m/>
    <s v="Retail"/>
    <n v="53"/>
    <m/>
    <m/>
  </r>
  <r>
    <s v="ORD-00290"/>
    <x v="66"/>
    <s v="CUST-0222"/>
    <s v="PROD-018"/>
    <s v="R030"/>
    <n v="4"/>
    <n v="3560"/>
    <n v="10.5"/>
    <n v="12744.8"/>
    <s v="Completed"/>
    <s v="Chennai"/>
    <s v="Apparel"/>
    <m/>
    <s v="Retail"/>
    <n v="37"/>
    <s v="North"/>
    <s v="Jan-24"/>
  </r>
  <r>
    <s v="ORD-00291"/>
    <x v="44"/>
    <s v="CUST-0055"/>
    <s v="PROD-054"/>
    <s v="R030"/>
    <n v="10"/>
    <n v="1010"/>
    <n v="10.8"/>
    <n v="9009.2000000000007"/>
    <s v="Completed"/>
    <s v="Bengaluru"/>
    <s v="Sports"/>
    <m/>
    <s v="Retail"/>
    <n v="34"/>
    <s v="West"/>
    <s v="Jul-24"/>
  </r>
  <r>
    <s v="ORD-00292"/>
    <x v="204"/>
    <s v="CUST-0011"/>
    <s v="PROD-056"/>
    <s v="R006"/>
    <n v="8"/>
    <n v="6940"/>
    <n v="3.2"/>
    <n v="53743.360000000001"/>
    <s v="Cancelled"/>
    <s v="Chennai"/>
    <s v="Sports"/>
    <m/>
    <s v="Corporate"/>
    <n v="41"/>
    <m/>
    <m/>
  </r>
  <r>
    <s v="ORD-00335"/>
    <x v="7"/>
    <s v="CUST-0020"/>
    <s v="PROD-012"/>
    <s v="R015"/>
    <n v="7"/>
    <n v="3160"/>
    <n v="3.6"/>
    <n v="21323.68"/>
    <s v="Completed"/>
    <s v="Hyderabad"/>
    <s v="Apparel"/>
    <m/>
    <s v="Retail"/>
    <n v="46"/>
    <m/>
    <m/>
  </r>
  <r>
    <s v="ORD-00294"/>
    <x v="93"/>
    <s v="CUST-0163"/>
    <s v="PROD-028"/>
    <s v="R008"/>
    <n v="2"/>
    <n v="3660"/>
    <n v="30"/>
    <n v="5124"/>
    <s v="Pending"/>
    <s v="Pune"/>
    <s v="Grocery"/>
    <m/>
    <s v="Retail"/>
    <n v="49"/>
    <m/>
    <m/>
  </r>
  <r>
    <s v="ORD-00295"/>
    <x v="24"/>
    <s v="CUST-0081"/>
    <s v="PROD-024"/>
    <s v="R005"/>
    <n v="1"/>
    <n v="2270"/>
    <n v="4.8"/>
    <n v="2161.04"/>
    <s v="Cancelled"/>
    <s v="Mumbai"/>
    <s v="Grocery"/>
    <m/>
    <s v="Retail"/>
    <n v="25"/>
    <s v="North"/>
    <s v="Dec-24"/>
  </r>
  <r>
    <s v="ORD-00296"/>
    <x v="171"/>
    <s v="CUST-0053"/>
    <s v="PROD-059"/>
    <s v="R025"/>
    <n v="8"/>
    <n v="3780"/>
    <n v="13"/>
    <n v="26308.799999999999"/>
    <s v="Completed"/>
    <s v="Delhi"/>
    <s v="Sports"/>
    <m/>
    <s v="Retail"/>
    <n v="53"/>
    <m/>
    <m/>
  </r>
  <r>
    <s v="ORD-01770"/>
    <x v="205"/>
    <s v="CUST-0115"/>
    <s v="PROD-013"/>
    <s v="R012"/>
    <n v="1"/>
    <n v="3640"/>
    <n v="15.3"/>
    <n v="3083.08"/>
    <s v="Pending"/>
    <s v="Mumbai"/>
    <s v="Apparel"/>
    <m/>
    <s v="SMB"/>
    <n v="65"/>
    <m/>
    <m/>
  </r>
  <r>
    <s v="ORD-00298"/>
    <x v="206"/>
    <s v="CUST-0166"/>
    <s v="PROD-009"/>
    <s v="R009"/>
    <n v="8"/>
    <n v="1220"/>
    <n v="28.2"/>
    <n v="7007.68"/>
    <s v="Completed"/>
    <s v="Hyderabad"/>
    <s v="Electronics"/>
    <m/>
    <s v="Retail"/>
    <n v="31"/>
    <s v="South"/>
    <s v="Sep-24"/>
  </r>
  <r>
    <s v="ORD-00299"/>
    <x v="207"/>
    <s v="CUST-0263"/>
    <s v="PROD-017"/>
    <s v="R030"/>
    <n v="3"/>
    <n v="2510"/>
    <n v="17.399999999999999"/>
    <n v="6219.78"/>
    <s v="Completed"/>
    <s v="Mumbai"/>
    <s v="Apparel"/>
    <m/>
    <s v="Retail"/>
    <n v="40"/>
    <s v="South"/>
    <s v="Jul-24"/>
  </r>
  <r>
    <s v="ORD-00300"/>
    <x v="208"/>
    <s v="CUST-0010"/>
    <s v="PROD-040"/>
    <s v="R004"/>
    <n v="1"/>
    <n v="1080"/>
    <n v="13.9"/>
    <n v="929.88"/>
    <s v="Completed"/>
    <s v="Mumbai"/>
    <s v="Home"/>
    <m/>
    <s v="SMB"/>
    <n v="61"/>
    <m/>
    <m/>
  </r>
  <r>
    <s v="ORD-00301"/>
    <x v="183"/>
    <s v="CUST-0036"/>
    <s v="PROD-033"/>
    <s v="R016"/>
    <n v="7"/>
    <n v="2030"/>
    <n v="29.2"/>
    <n v="10060.68"/>
    <s v="Completed"/>
    <s v="Mumbai"/>
    <s v="Home"/>
    <m/>
    <s v="Retail"/>
    <n v="35"/>
    <s v="North"/>
    <s v="Dec-24"/>
  </r>
  <r>
    <s v="ORD-00302"/>
    <x v="209"/>
    <s v="CUST-0259"/>
    <s v="PROD-059"/>
    <s v="R020"/>
    <n v="6"/>
    <n v="3780"/>
    <n v="20.9"/>
    <n v="17939.88"/>
    <s v="Refunded"/>
    <s v="Mumbai"/>
    <s v="Sports"/>
    <m/>
    <s v="Retail"/>
    <n v="34"/>
    <s v="South"/>
    <s v="Apr-24"/>
  </r>
  <r>
    <s v="ORD-00303"/>
    <x v="168"/>
    <s v="CUST-0247"/>
    <s v="PROD-012"/>
    <s v="R016"/>
    <n v="1"/>
    <n v="3160"/>
    <n v="10.7"/>
    <n v="2821.88"/>
    <s v="Completed"/>
    <s v="Pune"/>
    <s v="Apparel"/>
    <m/>
    <s v="SMB"/>
    <n v="35"/>
    <s v="East"/>
    <s v="May-24"/>
  </r>
  <r>
    <s v="ORD-00881"/>
    <x v="148"/>
    <s v="CUST-0191"/>
    <s v="PROD-046"/>
    <s v="R010"/>
    <n v="5"/>
    <n v="4880"/>
    <n v="11.4"/>
    <n v="21618.400000000001"/>
    <s v="Completed"/>
    <s v="Hyderabad"/>
    <s v="Beauty"/>
    <m/>
    <s v="SMB"/>
    <n v="43"/>
    <m/>
    <m/>
  </r>
  <r>
    <s v="ORD-00305"/>
    <x v="142"/>
    <s v="CUST-0167"/>
    <s v="PROD-031"/>
    <s v="R009"/>
    <n v="9"/>
    <n v="3730"/>
    <n v="10"/>
    <n v="30213"/>
    <s v="Completed"/>
    <s v="Delhi"/>
    <s v="Home"/>
    <m/>
    <s v="Retail"/>
    <n v="43"/>
    <m/>
    <m/>
  </r>
  <r>
    <s v="ORD-00306"/>
    <x v="119"/>
    <s v="CUST-0196"/>
    <s v="PROD-034"/>
    <s v="R004"/>
    <n v="5"/>
    <n v="5080"/>
    <n v="15.3"/>
    <n v="21513.8"/>
    <s v="Completed"/>
    <s v="Chennai"/>
    <s v="Home"/>
    <m/>
    <s v="Retail"/>
    <n v="26"/>
    <s v="South"/>
    <s v="Dec-24"/>
  </r>
  <r>
    <s v="ORD-00307"/>
    <x v="210"/>
    <s v="CUST-0182"/>
    <s v="PROD-042"/>
    <s v="R013"/>
    <n v="9"/>
    <n v="2290"/>
    <n v="3.3"/>
    <n v="19929.87"/>
    <s v="Pending"/>
    <s v="Mumbai"/>
    <s v="Beauty"/>
    <m/>
    <s v="Retail"/>
    <n v="54"/>
    <m/>
    <m/>
  </r>
  <r>
    <s v="ORD-00308"/>
    <x v="211"/>
    <s v="CUST-0246"/>
    <s v="PROD-008"/>
    <s v="R010"/>
    <n v="5"/>
    <n v="2660"/>
    <n v="8.3000000000000007"/>
    <n v="12196.1"/>
    <s v="Completed"/>
    <s v="Delhi"/>
    <s v="Electronics"/>
    <m/>
    <s v="SMB"/>
    <n v="29"/>
    <s v="South"/>
    <s v="Apr-24"/>
  </r>
  <r>
    <s v="ORD-00309"/>
    <x v="201"/>
    <s v="CUST-0132"/>
    <s v="PROD-027"/>
    <s v="R025"/>
    <n v="6"/>
    <n v="3780"/>
    <n v="28.3"/>
    <n v="16261.56"/>
    <s v="Completed"/>
    <s v="Delhi"/>
    <s v="Grocery"/>
    <m/>
    <s v="Retail"/>
    <n v="41"/>
    <m/>
    <m/>
  </r>
  <r>
    <s v="ORD-00310"/>
    <x v="212"/>
    <s v="CUST-0153"/>
    <s v="PROD-021"/>
    <s v="R028"/>
    <n v="5"/>
    <n v="2760"/>
    <n v="4.9000000000000004"/>
    <n v="13123.8"/>
    <s v="Completed"/>
    <s v="Mumbai"/>
    <s v="Grocery"/>
    <m/>
    <s v="Retail"/>
    <n v="35"/>
    <s v="West"/>
    <s v="Aug-24"/>
  </r>
  <r>
    <s v="ORD-00311"/>
    <x v="213"/>
    <s v="CUST-0139"/>
    <s v="PROD-041"/>
    <s v="R006"/>
    <n v="8"/>
    <n v="1540"/>
    <n v="29.4"/>
    <n v="8697.92"/>
    <s v="Cancelled"/>
    <s v="Hyderabad"/>
    <s v="Beauty"/>
    <m/>
    <s v="SMB"/>
    <n v="65"/>
    <m/>
    <m/>
  </r>
  <r>
    <s v="ORD-00312"/>
    <x v="163"/>
    <s v="CUST-0256"/>
    <s v="PROD-046"/>
    <s v="R022"/>
    <n v="1"/>
    <n v="4880"/>
    <n v="18.100000000000001"/>
    <n v="3996.72"/>
    <s v="Completed"/>
    <s v="Hyderabad"/>
    <s v="Beauty"/>
    <m/>
    <s v="Retail"/>
    <n v="28"/>
    <s v="North"/>
    <s v="Mar-24"/>
  </r>
  <r>
    <s v="ORD-00313"/>
    <x v="95"/>
    <s v="CUST-0027"/>
    <s v="PROD-024"/>
    <s v="R015"/>
    <n v="8"/>
    <n v="2270"/>
    <n v="19.8"/>
    <n v="14564.32"/>
    <s v="Pending"/>
    <s v="Hyderabad"/>
    <s v="Grocery"/>
    <m/>
    <s v="Corporate"/>
    <n v="52"/>
    <m/>
    <m/>
  </r>
  <r>
    <s v="ORD-00314"/>
    <x v="118"/>
    <s v="CUST-0151"/>
    <s v="PROD-019"/>
    <s v="R010"/>
    <n v="10"/>
    <n v="2480"/>
    <n v="24.4"/>
    <n v="18748.8"/>
    <s v="Pending"/>
    <s v="Mumbai"/>
    <s v="Apparel"/>
    <m/>
    <s v="Retail"/>
    <n v="53"/>
    <m/>
    <m/>
  </r>
  <r>
    <s v="ORD-00315"/>
    <x v="214"/>
    <s v="CUST-0204"/>
    <s v="PROD-045"/>
    <s v="R014"/>
    <n v="8"/>
    <n v="3020"/>
    <n v="15.2"/>
    <n v="20487.68"/>
    <s v="Pending"/>
    <s v="Hyderabad"/>
    <s v="Beauty"/>
    <m/>
    <s v="Retail"/>
    <n v="60"/>
    <m/>
    <m/>
  </r>
  <r>
    <s v="ORD-00316"/>
    <x v="25"/>
    <s v="CUST-0084"/>
    <s v="PROD-041"/>
    <s v="R019"/>
    <n v="10"/>
    <n v="1540"/>
    <n v="0.6"/>
    <n v="15307.6"/>
    <s v="Completed"/>
    <s v="Chennai"/>
    <s v="Beauty"/>
    <m/>
    <s v="Retail"/>
    <n v="28"/>
    <s v="South"/>
    <s v="Jul-24"/>
  </r>
  <r>
    <s v="ORD-00317"/>
    <x v="215"/>
    <s v="CUST-0048"/>
    <s v="PROD-012"/>
    <s v="R001"/>
    <n v="7"/>
    <n v="3160"/>
    <n v="8.9"/>
    <n v="20151.32"/>
    <s v="Completed"/>
    <s v="Delhi"/>
    <s v="Apparel"/>
    <m/>
    <s v="Retail"/>
    <n v="59"/>
    <m/>
    <m/>
  </r>
  <r>
    <s v="ORD-00318"/>
    <x v="95"/>
    <s v="CUST-0013"/>
    <s v="PROD-054"/>
    <s v="R013"/>
    <n v="6"/>
    <n v="1010"/>
    <n v="12.9"/>
    <n v="5278.26"/>
    <s v="Completed"/>
    <s v="Delhi"/>
    <s v="Sports"/>
    <m/>
    <s v="Retail"/>
    <n v="41"/>
    <m/>
    <m/>
  </r>
  <r>
    <s v="ORD-00319"/>
    <x v="216"/>
    <s v="CUST-0245"/>
    <s v="PROD-039"/>
    <s v="R020"/>
    <n v="4"/>
    <n v="4610"/>
    <n v="18.2"/>
    <n v="15083.92"/>
    <s v="Completed"/>
    <s v="Hyderabad"/>
    <s v="Home"/>
    <m/>
    <s v="Retail"/>
    <n v="65"/>
    <m/>
    <m/>
  </r>
  <r>
    <s v="ORD-00320"/>
    <x v="30"/>
    <s v="CUST-0031"/>
    <s v="PROD-025"/>
    <s v="R029"/>
    <n v="6"/>
    <n v="4060"/>
    <n v="24.3"/>
    <n v="18440.52"/>
    <s v="Completed"/>
    <s v="Hyderabad"/>
    <s v="Grocery"/>
    <m/>
    <s v="Retail"/>
    <n v="53"/>
    <m/>
    <m/>
  </r>
  <r>
    <s v="ORD-00321"/>
    <x v="89"/>
    <s v="CUST-0212"/>
    <s v="PROD-016"/>
    <s v="R001"/>
    <n v="5"/>
    <n v="620"/>
    <n v="10.7"/>
    <n v="2768.3"/>
    <s v="Refunded"/>
    <s v="Chennai"/>
    <s v="Apparel"/>
    <m/>
    <s v="SMB"/>
    <n v="46"/>
    <m/>
    <m/>
  </r>
  <r>
    <s v="ORD-00322"/>
    <x v="191"/>
    <s v="CUST-0104"/>
    <s v="PROD-018"/>
    <s v="R003"/>
    <n v="3"/>
    <n v="3560"/>
    <n v="4.0999999999999996"/>
    <n v="10242.120000000001"/>
    <s v="Completed"/>
    <s v="Hyderabad"/>
    <s v="Apparel"/>
    <m/>
    <s v="Corporate"/>
    <n v="43"/>
    <m/>
    <m/>
  </r>
  <r>
    <s v="ORD-00323"/>
    <x v="66"/>
    <s v="CUST-0157"/>
    <s v="PROD-058"/>
    <s v="R012"/>
    <n v="2"/>
    <n v="2400"/>
    <n v="13"/>
    <n v="4176"/>
    <s v="Completed"/>
    <s v="Pune"/>
    <s v="Sports"/>
    <m/>
    <s v="Corporate"/>
    <n v="52"/>
    <m/>
    <m/>
  </r>
  <r>
    <s v="ORD-00324"/>
    <x v="192"/>
    <s v="CUST-0004"/>
    <s v="PROD-056"/>
    <s v="R006"/>
    <n v="9"/>
    <n v="6940"/>
    <n v="26.2"/>
    <n v="46095.48"/>
    <s v="Completed"/>
    <s v="Delhi"/>
    <s v="Sports"/>
    <m/>
    <s v="Retail"/>
    <n v="53"/>
    <m/>
    <m/>
  </r>
  <r>
    <s v="ORD-00325"/>
    <x v="217"/>
    <s v="CUST-0003"/>
    <s v="PROD-023"/>
    <s v="R025"/>
    <n v="9"/>
    <n v="2380"/>
    <n v="22.7"/>
    <n v="16557.66"/>
    <s v="Completed"/>
    <s v="Mumbai"/>
    <s v="Grocery"/>
    <m/>
    <s v="Retail"/>
    <n v="33"/>
    <s v="North"/>
    <s v="Apr-24"/>
  </r>
  <r>
    <s v="ORD-00326"/>
    <x v="176"/>
    <s v="CUST-0175"/>
    <s v="PROD-014"/>
    <s v="R028"/>
    <n v="6"/>
    <n v="3620"/>
    <n v="9.1999999999999993"/>
    <n v="19721.759999999998"/>
    <s v="Completed"/>
    <s v="Delhi"/>
    <s v="Apparel"/>
    <m/>
    <s v="Corporate"/>
    <n v="55"/>
    <m/>
    <m/>
  </r>
  <r>
    <s v="ORD-00327"/>
    <x v="124"/>
    <s v="CUST-0104"/>
    <s v="PROD-050"/>
    <s v="R004"/>
    <n v="1"/>
    <n v="6080"/>
    <n v="29.4"/>
    <n v="4292.4799999999996"/>
    <s v="Cancelled"/>
    <s v="Hyderabad"/>
    <s v="Beauty"/>
    <m/>
    <s v="Corporate"/>
    <n v="43"/>
    <m/>
    <m/>
  </r>
  <r>
    <s v="ORD-00328"/>
    <x v="30"/>
    <s v="CUST-0196"/>
    <s v="PROD-020"/>
    <s v="R018"/>
    <n v="6"/>
    <n v="820"/>
    <n v="29.1"/>
    <n v="3488.28"/>
    <s v="Completed"/>
    <s v="Chennai"/>
    <s v="Apparel"/>
    <m/>
    <s v="Retail"/>
    <n v="26"/>
    <s v="North"/>
    <s v="May-24"/>
  </r>
  <r>
    <s v="ORD-00329"/>
    <x v="34"/>
    <s v="CUST-0299"/>
    <s v="PROD-045"/>
    <s v="R024"/>
    <n v="9"/>
    <n v="3020"/>
    <n v="7.9"/>
    <n v="25032.78"/>
    <s v="Completed"/>
    <s v="Mumbai"/>
    <s v="Beauty"/>
    <m/>
    <s v="Corporate"/>
    <n v="51"/>
    <m/>
    <m/>
  </r>
  <r>
    <s v="ORD-00330"/>
    <x v="218"/>
    <s v="CUST-0066"/>
    <s v="PROD-004"/>
    <s v="R029"/>
    <n v="8"/>
    <n v="3870"/>
    <n v="11.9"/>
    <n v="27275.759999999998"/>
    <s v="Completed"/>
    <s v="Delhi"/>
    <s v="Electronics"/>
    <m/>
    <s v="Retail"/>
    <n v="24"/>
    <s v="West"/>
    <s v="Dec-24"/>
  </r>
  <r>
    <s v="ORD-00331"/>
    <x v="72"/>
    <s v="CUST-0080"/>
    <s v="PROD-047"/>
    <s v="R030"/>
    <n v="6"/>
    <n v="3450"/>
    <n v="13.9"/>
    <n v="17822.7"/>
    <s v="Completed"/>
    <s v="Pune"/>
    <s v="Beauty"/>
    <m/>
    <s v="SMB"/>
    <n v="30"/>
    <s v="West"/>
    <s v="Dec-24"/>
  </r>
  <r>
    <s v="ORD-00332"/>
    <x v="219"/>
    <s v="CUST-0138"/>
    <s v="PROD-048"/>
    <s v="R008"/>
    <n v="9"/>
    <n v="5100"/>
    <n v="2.1"/>
    <n v="44936.1"/>
    <s v="Completed"/>
    <s v="Chennai"/>
    <s v="Beauty"/>
    <m/>
    <s v="Retail"/>
    <n v="24"/>
    <s v="West"/>
    <s v="Aug-24"/>
  </r>
  <r>
    <s v="ORD-00333"/>
    <x v="79"/>
    <s v="CUST-0253"/>
    <s v="PROD-026"/>
    <s v="R008"/>
    <n v="2"/>
    <n v="4070"/>
    <n v="28.6"/>
    <n v="5811.96"/>
    <s v="Completed"/>
    <s v="Delhi"/>
    <s v="Grocery"/>
    <m/>
    <s v="SMB"/>
    <n v="53"/>
    <m/>
    <m/>
  </r>
  <r>
    <s v="ORD-00334"/>
    <x v="220"/>
    <s v="CUST-0247"/>
    <s v="PROD-001"/>
    <s v="R007"/>
    <n v="9"/>
    <n v="5330"/>
    <n v="6.2"/>
    <n v="44995.86"/>
    <s v="Completed"/>
    <s v="Pune"/>
    <s v="Electronics"/>
    <m/>
    <s v="SMB"/>
    <n v="35"/>
    <s v="North"/>
    <s v="Aug-24"/>
  </r>
  <r>
    <s v="ORD-00335"/>
    <x v="158"/>
    <s v="CUST-0269"/>
    <s v="PROD-024"/>
    <s v="R020"/>
    <n v="6"/>
    <n v="2270"/>
    <n v="23.7"/>
    <n v="10392.06"/>
    <s v="Completed"/>
    <s v="Pune"/>
    <s v="Grocery"/>
    <m/>
    <s v="Retail"/>
    <n v="48"/>
    <m/>
    <m/>
  </r>
  <r>
    <s v="ORD-00336"/>
    <x v="221"/>
    <s v="CUST-0008"/>
    <s v="PROD-017"/>
    <s v="R024"/>
    <n v="5"/>
    <n v="2510"/>
    <n v="25"/>
    <n v="9412.5"/>
    <s v="Completed"/>
    <s v="Pune"/>
    <s v="Apparel"/>
    <m/>
    <s v="SMB"/>
    <n v="39"/>
    <s v="East"/>
    <s v="Jan-24"/>
  </r>
  <r>
    <s v="ORD-00337"/>
    <x v="164"/>
    <s v="CUST-0134"/>
    <s v="PROD-023"/>
    <s v="R019"/>
    <n v="9"/>
    <n v="2380"/>
    <n v="16.8"/>
    <n v="17821.439999999999"/>
    <s v="Completed"/>
    <s v="Delhi"/>
    <s v="Grocery"/>
    <m/>
    <s v="Retail"/>
    <n v="40"/>
    <s v="West"/>
    <s v="Nov-24"/>
  </r>
  <r>
    <s v="ORD-00338"/>
    <x v="103"/>
    <s v="CUST-0016"/>
    <s v="PROD-011"/>
    <s v="R008"/>
    <n v="1"/>
    <n v="3450"/>
    <n v="1.5"/>
    <n v="3398.25"/>
    <s v="Refunded"/>
    <s v="Delhi"/>
    <s v="Apparel"/>
    <m/>
    <s v="SMB"/>
    <n v="26"/>
    <s v="East"/>
    <s v="Feb-24"/>
  </r>
  <r>
    <s v="ORD-00339"/>
    <x v="146"/>
    <s v="CUST-0281"/>
    <s v="PROD-003"/>
    <s v="R002"/>
    <n v="5"/>
    <n v="3570"/>
    <n v="12.8"/>
    <n v="15565.2"/>
    <s v="Completed"/>
    <s v="Bengaluru"/>
    <s v="Electronics"/>
    <m/>
    <s v="Corporate"/>
    <n v="57"/>
    <m/>
    <m/>
  </r>
  <r>
    <s v="ORD-00340"/>
    <x v="222"/>
    <s v="CUST-0267"/>
    <s v="PROD-001"/>
    <s v="R029"/>
    <n v="3"/>
    <n v="5330"/>
    <n v="16.2"/>
    <n v="13399.62"/>
    <s v="Completed"/>
    <s v="Hyderabad"/>
    <s v="Electronics"/>
    <m/>
    <s v="Retail"/>
    <n v="27"/>
    <s v="North"/>
    <s v="Jan-24"/>
  </r>
  <r>
    <s v="ORD-00341"/>
    <x v="123"/>
    <s v="CUST-0279"/>
    <s v="PROD-028"/>
    <s v="R027"/>
    <n v="3"/>
    <n v="3660"/>
    <n v="25.3"/>
    <n v="8202.06"/>
    <s v="Completed"/>
    <s v="Mumbai"/>
    <s v="Grocery"/>
    <m/>
    <s v="Retail"/>
    <n v="56"/>
    <m/>
    <m/>
  </r>
  <r>
    <s v="ORD-00342"/>
    <x v="77"/>
    <s v="CUST-0036"/>
    <s v="PROD-054"/>
    <s v="R015"/>
    <n v="2"/>
    <n v="1010"/>
    <n v="29.2"/>
    <n v="1430.16"/>
    <s v="Completed"/>
    <s v="Mumbai"/>
    <s v="Sports"/>
    <m/>
    <s v="Retail"/>
    <n v="35"/>
    <s v="West"/>
    <s v="Feb-24"/>
  </r>
  <r>
    <s v="ORD-00343"/>
    <x v="47"/>
    <s v="CUST-0295"/>
    <s v="PROD-040"/>
    <s v="R015"/>
    <n v="1"/>
    <n v="1080"/>
    <n v="1.8"/>
    <n v="1060.56"/>
    <s v="Completed"/>
    <s v="Delhi"/>
    <s v="Home"/>
    <m/>
    <s v="SMB"/>
    <n v="48"/>
    <m/>
    <m/>
  </r>
  <r>
    <s v="ORD-00344"/>
    <x v="85"/>
    <s v="CUST-0106"/>
    <s v="PROD-051"/>
    <s v="R010"/>
    <n v="8"/>
    <n v="3450"/>
    <n v="20.399999999999999"/>
    <n v="21969.599999999999"/>
    <s v="Completed"/>
    <s v="Pune"/>
    <s v="Sports"/>
    <m/>
    <s v="Retail"/>
    <n v="22"/>
    <s v="South"/>
    <s v="Aug-24"/>
  </r>
  <r>
    <s v="ORD-00593"/>
    <x v="223"/>
    <s v="CUST-0070"/>
    <s v="PROD-056"/>
    <s v="R015"/>
    <n v="8"/>
    <n v="6940"/>
    <n v="19.399999999999999"/>
    <n v="44749.120000000003"/>
    <s v="Completed"/>
    <s v="Mumbai"/>
    <s v="Sports"/>
    <m/>
    <s v="Retail"/>
    <n v="42"/>
    <m/>
    <m/>
  </r>
  <r>
    <s v="ORD-00346"/>
    <x v="224"/>
    <s v="CUST-0062"/>
    <s v="PROD-041"/>
    <s v="R003"/>
    <n v="2"/>
    <n v="1540"/>
    <n v="9.3000000000000007"/>
    <n v="2793.56"/>
    <s v="Completed"/>
    <s v="Pune"/>
    <s v="Beauty"/>
    <m/>
    <s v="Retail"/>
    <n v="54"/>
    <m/>
    <m/>
  </r>
  <r>
    <s v="ORD-00347"/>
    <x v="225"/>
    <s v="CUST-0241"/>
    <s v="PROD-010"/>
    <s v="R015"/>
    <n v="4"/>
    <n v="2640"/>
    <n v="23.2"/>
    <n v="8110.08"/>
    <s v="Refunded"/>
    <s v="Pune"/>
    <s v="Electronics"/>
    <m/>
    <s v="Corporate"/>
    <n v="47"/>
    <m/>
    <m/>
  </r>
  <r>
    <s v="ORD-00348"/>
    <x v="17"/>
    <s v="CUST-0001"/>
    <s v="PROD-052"/>
    <s v="R024"/>
    <n v="6"/>
    <n v="5410"/>
    <n v="29.4"/>
    <n v="22916.76"/>
    <s v="Completed"/>
    <s v="Pune"/>
    <s v="Sports"/>
    <m/>
    <s v="Retail"/>
    <n v="36"/>
    <s v="South"/>
    <s v="Jun-24"/>
  </r>
  <r>
    <s v="ORD-00349"/>
    <x v="61"/>
    <s v="CUST-0181"/>
    <s v="PROD-003"/>
    <s v="R027"/>
    <n v="1"/>
    <n v="3570"/>
    <n v="4.3"/>
    <n v="3416.49"/>
    <s v="Completed"/>
    <s v="Delhi"/>
    <s v="Electronics"/>
    <m/>
    <s v="SMB"/>
    <n v="38"/>
    <s v="West"/>
    <s v="Nov-24"/>
  </r>
  <r>
    <s v="ORD-00350"/>
    <x v="226"/>
    <s v="CUST-0044"/>
    <s v="PROD-032"/>
    <s v="R028"/>
    <n v="2"/>
    <n v="370"/>
    <n v="7.2"/>
    <n v="686.72"/>
    <s v="Completed"/>
    <s v="Hyderabad"/>
    <s v="Home"/>
    <m/>
    <s v="SMB"/>
    <n v="29"/>
    <s v="West"/>
    <s v="Jun-24"/>
  </r>
  <r>
    <s v="ORD-00351"/>
    <x v="203"/>
    <s v="CUST-0218"/>
    <s v="PROD-017"/>
    <s v="R017"/>
    <n v="1"/>
    <n v="2510"/>
    <n v="2.4"/>
    <n v="2449.7600000000002"/>
    <s v="Completed"/>
    <s v="Mumbai"/>
    <s v="Apparel"/>
    <m/>
    <s v="Retail"/>
    <n v="39"/>
    <s v="West"/>
    <s v="Aug-24"/>
  </r>
  <r>
    <s v="ORD-00352"/>
    <x v="178"/>
    <s v="CUST-0061"/>
    <s v="PROD-013"/>
    <s v="R022"/>
    <n v="8"/>
    <n v="3640"/>
    <n v="28.7"/>
    <n v="20762.560000000001"/>
    <s v="Pending"/>
    <s v="Hyderabad"/>
    <s v="Apparel"/>
    <m/>
    <s v="Retail"/>
    <n v="64"/>
    <m/>
    <m/>
  </r>
  <r>
    <s v="ORD-00353"/>
    <x v="226"/>
    <s v="CUST-0143"/>
    <s v="PROD-044"/>
    <s v="R029"/>
    <n v="5"/>
    <n v="1650"/>
    <n v="13.4"/>
    <n v="7144.5"/>
    <s v="Pending"/>
    <s v="Chennai"/>
    <s v="Beauty"/>
    <m/>
    <s v="SMB"/>
    <n v="52"/>
    <m/>
    <m/>
  </r>
  <r>
    <s v="ORD-00354"/>
    <x v="107"/>
    <s v="CUST-0164"/>
    <s v="PROD-049"/>
    <s v="R024"/>
    <n v="9"/>
    <n v="960"/>
    <n v="28.6"/>
    <n v="6168.96"/>
    <s v="Pending"/>
    <s v="Chennai"/>
    <s v="Beauty"/>
    <m/>
    <s v="Retail"/>
    <n v="60"/>
    <m/>
    <m/>
  </r>
  <r>
    <s v="ORD-00355"/>
    <x v="97"/>
    <s v="CUST-0152"/>
    <s v="PROD-027"/>
    <s v="R021"/>
    <n v="4"/>
    <n v="3780"/>
    <n v="25.3"/>
    <n v="11294.64"/>
    <s v="Completed"/>
    <s v="Bengaluru"/>
    <s v="Grocery"/>
    <m/>
    <s v="SMB"/>
    <n v="64"/>
    <m/>
    <m/>
  </r>
  <r>
    <s v="ORD-00356"/>
    <x v="227"/>
    <s v="CUST-0143"/>
    <s v="PROD-044"/>
    <s v="R014"/>
    <n v="4"/>
    <n v="1650"/>
    <n v="13.7"/>
    <n v="5695.8"/>
    <s v="Cancelled"/>
    <s v="Chennai"/>
    <s v="Beauty"/>
    <m/>
    <s v="SMB"/>
    <n v="52"/>
    <m/>
    <m/>
  </r>
  <r>
    <s v="ORD-00357"/>
    <x v="228"/>
    <s v="CUST-0232"/>
    <s v="PROD-014"/>
    <s v="R012"/>
    <n v="6"/>
    <n v="3620"/>
    <n v="21.3"/>
    <n v="17093.64"/>
    <s v="Pending"/>
    <s v="Hyderabad"/>
    <s v="Apparel"/>
    <m/>
    <s v="Retail"/>
    <n v="38"/>
    <s v="South"/>
    <s v="Sep-24"/>
  </r>
  <r>
    <s v="ORD-00358"/>
    <x v="42"/>
    <s v="CUST-0067"/>
    <s v="PROD-022"/>
    <s v="R030"/>
    <n v="10"/>
    <n v="2270"/>
    <n v="17.7"/>
    <n v="18682.099999999999"/>
    <s v="Completed"/>
    <s v="Delhi"/>
    <s v="Grocery"/>
    <m/>
    <s v="SMB"/>
    <n v="59"/>
    <m/>
    <m/>
  </r>
  <r>
    <s v="ORD-00359"/>
    <x v="130"/>
    <s v="CUST-0292"/>
    <s v="PROD-041"/>
    <s v="R013"/>
    <n v="9"/>
    <n v="1540"/>
    <n v="10.7"/>
    <n v="12376.98"/>
    <s v="Completed"/>
    <s v="Bengaluru"/>
    <s v="Beauty"/>
    <m/>
    <s v="Retail"/>
    <n v="32"/>
    <s v="West"/>
    <s v="Jan-24"/>
  </r>
  <r>
    <s v="ORD-00360"/>
    <x v="84"/>
    <s v="CUST-0118"/>
    <s v="PROD-055"/>
    <s v="R021"/>
    <n v="9"/>
    <n v="2860"/>
    <n v="12.9"/>
    <n v="22419.54"/>
    <s v="Completed"/>
    <s v="Hyderabad"/>
    <s v="Sports"/>
    <m/>
    <s v="Retail"/>
    <n v="26"/>
    <s v="South"/>
    <s v="Jun-24"/>
  </r>
  <r>
    <s v="ORD-00361"/>
    <x v="229"/>
    <s v="CUST-0212"/>
    <s v="PROD-029"/>
    <s v="R016"/>
    <n v="5"/>
    <n v="2210"/>
    <n v="5.0999999999999996"/>
    <n v="10486.45"/>
    <s v="Completed"/>
    <s v="Chennai"/>
    <s v="Grocery"/>
    <m/>
    <s v="SMB"/>
    <n v="46"/>
    <m/>
    <m/>
  </r>
  <r>
    <s v="ORD-00362"/>
    <x v="157"/>
    <s v="CUST-0287"/>
    <s v="PROD-009"/>
    <s v="R029"/>
    <n v="1"/>
    <n v="1220"/>
    <n v="16.100000000000001"/>
    <n v="1023.58"/>
    <s v="Completed"/>
    <s v="Chennai"/>
    <s v="Electronics"/>
    <m/>
    <s v="SMB"/>
    <n v="53"/>
    <m/>
    <m/>
  </r>
  <r>
    <s v="ORD-00363"/>
    <x v="230"/>
    <s v="CUST-0030"/>
    <s v="PROD-003"/>
    <s v="R006"/>
    <n v="2"/>
    <n v="3570"/>
    <n v="1.1000000000000001"/>
    <n v="7061.46"/>
    <s v="Completed"/>
    <s v="Bengaluru"/>
    <s v="Electronics"/>
    <m/>
    <s v="Corporate"/>
    <n v="43"/>
    <m/>
    <m/>
  </r>
  <r>
    <s v="ORD-00364"/>
    <x v="231"/>
    <s v="CUST-0270"/>
    <s v="PROD-011"/>
    <s v="R016"/>
    <n v="10"/>
    <n v="3450"/>
    <n v="12.6"/>
    <n v="30153"/>
    <s v="Completed"/>
    <s v="Bengaluru"/>
    <s v="Apparel"/>
    <m/>
    <s v="Retail"/>
    <n v="29"/>
    <s v="North"/>
    <s v="Sep-24"/>
  </r>
  <r>
    <s v="ORD-00365"/>
    <x v="232"/>
    <s v="CUST-0001"/>
    <s v="PROD-029"/>
    <s v="R021"/>
    <n v="4"/>
    <n v="2210"/>
    <n v="5.4"/>
    <n v="8362.64"/>
    <s v="Completed"/>
    <s v="Pune"/>
    <s v="Grocery"/>
    <m/>
    <s v="Retail"/>
    <n v="36"/>
    <s v="South"/>
    <s v="Jan-24"/>
  </r>
  <r>
    <s v="ORD-00366"/>
    <x v="233"/>
    <s v="CUST-0215"/>
    <s v="PROD-035"/>
    <s v="R014"/>
    <n v="6"/>
    <n v="1090"/>
    <n v="2.9"/>
    <n v="6350.34"/>
    <s v="Cancelled"/>
    <s v="Hyderabad"/>
    <s v="Home"/>
    <m/>
    <s v="Retail"/>
    <n v="52"/>
    <m/>
    <m/>
  </r>
  <r>
    <s v="ORD-00367"/>
    <x v="234"/>
    <s v="CUST-0225"/>
    <s v="PROD-041"/>
    <s v="R017"/>
    <n v="8"/>
    <n v="1540"/>
    <n v="17.899999999999999"/>
    <n v="10114.719999999999"/>
    <s v="Pending"/>
    <s v="Chennai"/>
    <s v="Beauty"/>
    <m/>
    <s v="SMB"/>
    <n v="26"/>
    <s v="South"/>
    <s v="Jul-24"/>
  </r>
  <r>
    <s v="ORD-00368"/>
    <x v="2"/>
    <s v="CUST-0163"/>
    <s v="PROD-002"/>
    <s v="R028"/>
    <n v="9"/>
    <n v="2600"/>
    <n v="4.0999999999999996"/>
    <n v="22440.6"/>
    <s v="Completed"/>
    <s v="Pune"/>
    <s v="Electronics"/>
    <m/>
    <s v="Retail"/>
    <n v="49"/>
    <m/>
    <m/>
  </r>
  <r>
    <s v="ORD-00369"/>
    <x v="235"/>
    <s v="CUST-0196"/>
    <s v="PROD-060"/>
    <s v="R007"/>
    <n v="2"/>
    <n v="190"/>
    <n v="4.8"/>
    <n v="361.76"/>
    <s v="Completed"/>
    <s v="Chennai"/>
    <s v="Sports"/>
    <m/>
    <s v="Retail"/>
    <n v="26"/>
    <s v="West"/>
    <s v="Mar-24"/>
  </r>
  <r>
    <s v="ORD-00370"/>
    <x v="236"/>
    <s v="CUST-0002"/>
    <s v="PROD-019"/>
    <s v="R014"/>
    <n v="9"/>
    <n v="2480"/>
    <n v="28.3"/>
    <n v="16003.44"/>
    <s v="Completed"/>
    <s v="Pune"/>
    <s v="Apparel"/>
    <m/>
    <s v="Corporate"/>
    <n v="42"/>
    <m/>
    <m/>
  </r>
  <r>
    <s v="ORD-00371"/>
    <x v="33"/>
    <s v="CUST-0057"/>
    <s v="PROD-042"/>
    <s v="R006"/>
    <n v="7"/>
    <n v="2290"/>
    <n v="25"/>
    <n v="12022.5"/>
    <s v="Cancelled"/>
    <s v="Pune"/>
    <s v="Beauty"/>
    <m/>
    <s v="Retail"/>
    <n v="35"/>
    <s v="South"/>
    <s v="May-24"/>
  </r>
  <r>
    <s v="ORD-00372"/>
    <x v="237"/>
    <s v="CUST-0112"/>
    <s v="PROD-041"/>
    <s v="R015"/>
    <n v="9"/>
    <n v="1540"/>
    <n v="23.3"/>
    <n v="10630.62"/>
    <s v="Completed"/>
    <s v="Hyderabad"/>
    <s v="Beauty"/>
    <m/>
    <s v="Retail"/>
    <n v="64"/>
    <m/>
    <m/>
  </r>
  <r>
    <s v="ORD-00373"/>
    <x v="168"/>
    <s v="CUST-0131"/>
    <s v="PROD-034"/>
    <s v="R025"/>
    <n v="2"/>
    <n v="5080"/>
    <n v="2.5"/>
    <n v="9906"/>
    <s v="Cancelled"/>
    <s v="Delhi"/>
    <s v="Home"/>
    <m/>
    <s v="SMB"/>
    <n v="28"/>
    <s v="South"/>
    <s v="Oct-24"/>
  </r>
  <r>
    <s v="ORD-00374"/>
    <x v="238"/>
    <s v="CUST-0124"/>
    <s v="PROD-017"/>
    <s v="R016"/>
    <n v="4"/>
    <n v="2510"/>
    <n v="23.6"/>
    <n v="7670.56"/>
    <s v="Completed"/>
    <s v="Pune"/>
    <s v="Apparel"/>
    <m/>
    <s v="Retail"/>
    <n v="57"/>
    <m/>
    <m/>
  </r>
  <r>
    <s v="ORD-00375"/>
    <x v="10"/>
    <s v="CUST-0131"/>
    <s v="PROD-042"/>
    <s v="R011"/>
    <n v="5"/>
    <n v="2290"/>
    <n v="17"/>
    <n v="9503.5"/>
    <s v="Completed"/>
    <s v="Delhi"/>
    <s v="Beauty"/>
    <m/>
    <s v="SMB"/>
    <n v="28"/>
    <s v="South"/>
    <s v="Feb-24"/>
  </r>
  <r>
    <s v="ORD-00376"/>
    <x v="1"/>
    <s v="CUST-0084"/>
    <s v="PROD-053"/>
    <s v="R006"/>
    <n v="8"/>
    <n v="470"/>
    <n v="9.3000000000000007"/>
    <n v="3410.32"/>
    <s v="Completed"/>
    <s v="Chennai"/>
    <s v="Sports"/>
    <m/>
    <s v="Retail"/>
    <n v="28"/>
    <s v="South"/>
    <s v="Feb-24"/>
  </r>
  <r>
    <s v="ORD-00377"/>
    <x v="148"/>
    <s v="CUST-0082"/>
    <s v="PROD-048"/>
    <s v="R009"/>
    <n v="8"/>
    <n v="5100"/>
    <n v="4.5999999999999996"/>
    <n v="38923.199999999997"/>
    <s v="Completed"/>
    <s v="Hyderabad"/>
    <s v="Beauty"/>
    <m/>
    <s v="SMB"/>
    <n v="36"/>
    <s v="North"/>
    <s v="Feb-24"/>
  </r>
  <r>
    <s v="ORD-00378"/>
    <x v="197"/>
    <s v="CUST-0242"/>
    <s v="PROD-001"/>
    <s v="R010"/>
    <n v="7"/>
    <n v="5330"/>
    <n v="2.5"/>
    <n v="36377.25"/>
    <s v="Completed"/>
    <s v="Chennai"/>
    <s v="Electronics"/>
    <m/>
    <s v="SMB"/>
    <n v="59"/>
    <m/>
    <m/>
  </r>
  <r>
    <s v="ORD-00379"/>
    <x v="234"/>
    <s v="CUST-0074"/>
    <s v="PROD-033"/>
    <s v="R028"/>
    <n v="10"/>
    <n v="2030"/>
    <n v="8.5"/>
    <n v="18574.5"/>
    <s v="Completed"/>
    <s v="Bengaluru"/>
    <s v="Home"/>
    <m/>
    <s v="Retail"/>
    <n v="27"/>
    <s v="South"/>
    <s v="Jan-24"/>
  </r>
  <r>
    <s v="ORD-00380"/>
    <x v="9"/>
    <s v="CUST-0221"/>
    <s v="PROD-034"/>
    <s v="R003"/>
    <n v="8"/>
    <n v="5080"/>
    <n v="9.6"/>
    <n v="36738.559999999998"/>
    <s v="Cancelled"/>
    <s v="Delhi"/>
    <s v="Home"/>
    <m/>
    <s v="SMB"/>
    <n v="29"/>
    <s v="West"/>
    <s v="Mar-24"/>
  </r>
  <r>
    <s v="ORD-00381"/>
    <x v="239"/>
    <s v="CUST-0101"/>
    <s v="PROD-023"/>
    <s v="R014"/>
    <n v="1"/>
    <n v="2380"/>
    <n v="11.6"/>
    <n v="2103.92"/>
    <s v="Pending"/>
    <s v="Hyderabad"/>
    <s v="Grocery"/>
    <m/>
    <s v="SMB"/>
    <n v="40"/>
    <s v="North"/>
    <s v="Sep-24"/>
  </r>
  <r>
    <s v="ORD-00382"/>
    <x v="222"/>
    <s v="CUST-0203"/>
    <s v="PROD-041"/>
    <s v="R027"/>
    <n v="8"/>
    <n v="1540"/>
    <n v="27.8"/>
    <n v="8895.0400000000009"/>
    <s v="Completed"/>
    <s v="Chennai"/>
    <s v="Beauty"/>
    <m/>
    <s v="SMB"/>
    <n v="55"/>
    <m/>
    <m/>
  </r>
  <r>
    <s v="ORD-00383"/>
    <x v="157"/>
    <s v="CUST-0209"/>
    <s v="PROD-024"/>
    <s v="R024"/>
    <n v="1"/>
    <n v="2270"/>
    <n v="6.5"/>
    <n v="2122.4499999999998"/>
    <s v="Pending"/>
    <s v="Pune"/>
    <s v="Grocery"/>
    <m/>
    <s v="Retail"/>
    <n v="31"/>
    <s v="West"/>
    <s v="Oct-24"/>
  </r>
  <r>
    <s v="ORD-00384"/>
    <x v="240"/>
    <s v="CUST-0094"/>
    <s v="PROD-019"/>
    <s v="R028"/>
    <n v="6"/>
    <n v="2480"/>
    <n v="25.9"/>
    <n v="11026.08"/>
    <s v="Completed"/>
    <s v="Pune"/>
    <s v="Apparel"/>
    <m/>
    <s v="SMB"/>
    <n v="60"/>
    <m/>
    <m/>
  </r>
  <r>
    <s v="ORD-00385"/>
    <x v="170"/>
    <s v="CUST-0248"/>
    <s v="PROD-018"/>
    <s v="R019"/>
    <n v="3"/>
    <n v="3560"/>
    <n v="0.4"/>
    <n v="10637.28"/>
    <s v="Refunded"/>
    <s v="Chennai"/>
    <s v="Apparel"/>
    <m/>
    <s v="SMB"/>
    <n v="57"/>
    <m/>
    <m/>
  </r>
  <r>
    <s v="ORD-00386"/>
    <x v="124"/>
    <s v="CUST-0297"/>
    <s v="PROD-008"/>
    <s v="R006"/>
    <n v="4"/>
    <n v="2660"/>
    <n v="19.7"/>
    <n v="8543.92"/>
    <s v="Cancelled"/>
    <s v="Hyderabad"/>
    <s v="Electronics"/>
    <m/>
    <s v="Retail"/>
    <n v="50"/>
    <m/>
    <m/>
  </r>
  <r>
    <s v="ORD-00387"/>
    <x v="194"/>
    <s v="CUST-0107"/>
    <s v="PROD-009"/>
    <s v="R013"/>
    <n v="10"/>
    <n v="1220"/>
    <n v="10.1"/>
    <n v="10967.8"/>
    <s v="Cancelled"/>
    <s v="Pune"/>
    <s v="Electronics"/>
    <m/>
    <s v="Retail"/>
    <n v="50"/>
    <m/>
    <m/>
  </r>
  <r>
    <s v="ORD-00388"/>
    <x v="241"/>
    <s v="CUST-0247"/>
    <s v="PROD-002"/>
    <s v="R014"/>
    <n v="8"/>
    <n v="2600"/>
    <n v="26.7"/>
    <n v="15246.4"/>
    <s v="Completed"/>
    <s v="Pune"/>
    <s v="Electronics"/>
    <m/>
    <s v="SMB"/>
    <n v="35"/>
    <s v="South"/>
    <s v="Apr-24"/>
  </r>
  <r>
    <s v="ORD-00389"/>
    <x v="242"/>
    <s v="CUST-0047"/>
    <s v="PROD-011"/>
    <s v="R020"/>
    <n v="10"/>
    <n v="3450"/>
    <n v="20.399999999999999"/>
    <n v="27462"/>
    <s v="Completed"/>
    <s v="Pune"/>
    <s v="Apparel"/>
    <m/>
    <s v="Retail"/>
    <n v="49"/>
    <m/>
    <m/>
  </r>
  <r>
    <s v="ORD-00390"/>
    <x v="242"/>
    <s v="CUST-0118"/>
    <s v="PROD-056"/>
    <s v="R019"/>
    <n v="1"/>
    <n v="6940"/>
    <n v="9.6999999999999993"/>
    <n v="6266.82"/>
    <s v="Completed"/>
    <s v="Hyderabad"/>
    <s v="Sports"/>
    <m/>
    <s v="Retail"/>
    <n v="26"/>
    <s v="East"/>
    <s v="May-24"/>
  </r>
  <r>
    <s v="ORD-00391"/>
    <x v="243"/>
    <s v="CUST-0019"/>
    <s v="PROD-043"/>
    <s v="R006"/>
    <n v="10"/>
    <n v="3350"/>
    <n v="3.2"/>
    <n v="32428"/>
    <s v="Completed"/>
    <s v="Chennai"/>
    <s v="Beauty"/>
    <m/>
    <s v="Retail"/>
    <n v="22"/>
    <s v="East"/>
    <s v="May-24"/>
  </r>
  <r>
    <s v="ORD-00392"/>
    <x v="244"/>
    <s v="CUST-0290"/>
    <s v="PROD-041"/>
    <s v="R026"/>
    <n v="7"/>
    <n v="1540"/>
    <n v="0.5"/>
    <n v="10726.1"/>
    <s v="Completed"/>
    <s v="Delhi"/>
    <s v="Beauty"/>
    <m/>
    <s v="Retail"/>
    <n v="63"/>
    <m/>
    <m/>
  </r>
  <r>
    <s v="ORD-00393"/>
    <x v="219"/>
    <s v="CUST-9557"/>
    <s v="PROD-014"/>
    <s v="R026"/>
    <n v="10"/>
    <n v="3620"/>
    <n v="22"/>
    <n v="28236"/>
    <s v="Completed"/>
    <s v="Pune"/>
    <s v="Apparel"/>
    <m/>
    <e v="#N/A"/>
    <e v="#N/A"/>
    <m/>
    <m/>
  </r>
  <r>
    <s v="ORD-00394"/>
    <x v="98"/>
    <s v="CUST-0291"/>
    <s v="PROD-053"/>
    <s v="R026"/>
    <n v="2"/>
    <n v="470"/>
    <n v="26.5"/>
    <n v="690.9"/>
    <s v="Pending"/>
    <s v="Pune"/>
    <s v="Sports"/>
    <m/>
    <s v="SMB"/>
    <n v="29"/>
    <s v="West"/>
    <s v="Dec-24"/>
  </r>
  <r>
    <s v="ORD-00395"/>
    <x v="46"/>
    <s v="CUST-0045"/>
    <s v="PROD-028"/>
    <s v="R010"/>
    <n v="6"/>
    <n v="3660"/>
    <n v="1.5"/>
    <n v="21630.6"/>
    <s v="Completed"/>
    <s v="Chennai"/>
    <s v="Grocery"/>
    <m/>
    <s v="SMB"/>
    <n v="39"/>
    <s v="West"/>
    <s v="Dec-24"/>
  </r>
  <r>
    <s v="ORD-00396"/>
    <x v="39"/>
    <s v="CUST-0281"/>
    <s v="PROD-056"/>
    <s v="R017"/>
    <n v="10"/>
    <n v="6940"/>
    <n v="1.9"/>
    <n v="68081.399999999994"/>
    <s v="Completed"/>
    <s v="Bengaluru"/>
    <s v="Sports"/>
    <m/>
    <s v="Corporate"/>
    <n v="57"/>
    <m/>
    <m/>
  </r>
  <r>
    <s v="ORD-00397"/>
    <x v="245"/>
    <s v="CUST-0073"/>
    <s v="PROD-042"/>
    <s v="R005"/>
    <n v="8"/>
    <n v="2290"/>
    <n v="27.9"/>
    <n v="13208.72"/>
    <s v="Completed"/>
    <s v="Pune"/>
    <s v="Beauty"/>
    <m/>
    <s v="Corporate"/>
    <n v="40"/>
    <s v="East"/>
    <s v="May-24"/>
  </r>
  <r>
    <s v="ORD-00398"/>
    <x v="52"/>
    <s v="CUST-0043"/>
    <s v="PROD-012"/>
    <s v="R024"/>
    <n v="9"/>
    <n v="3160"/>
    <n v="10.199999999999999"/>
    <n v="25539.119999999999"/>
    <s v="Completed"/>
    <s v="Hyderabad"/>
    <s v="Apparel"/>
    <m/>
    <s v="Retail"/>
    <n v="61"/>
    <m/>
    <m/>
  </r>
  <r>
    <s v="ORD-00399"/>
    <x v="246"/>
    <s v="CUST-0154"/>
    <s v="PROD-034"/>
    <s v="R028"/>
    <n v="6"/>
    <n v="5080"/>
    <n v="25.4"/>
    <n v="22738.080000000002"/>
    <s v="Completed"/>
    <s v="Pune"/>
    <s v="Home"/>
    <m/>
    <s v="Retail"/>
    <n v="36"/>
    <s v="West"/>
    <s v="Oct-24"/>
  </r>
  <r>
    <s v="ORD-00400"/>
    <x v="247"/>
    <s v="CUST-0061"/>
    <s v="PROD-021"/>
    <s v="R012"/>
    <n v="6"/>
    <n v="2760"/>
    <n v="21.3"/>
    <n v="13032.72"/>
    <s v="Completed"/>
    <s v="Hyderabad"/>
    <s v="Grocery"/>
    <m/>
    <s v="Retail"/>
    <n v="64"/>
    <m/>
    <m/>
  </r>
  <r>
    <s v="ORD-00401"/>
    <x v="32"/>
    <s v="CUST-9654"/>
    <s v="PROD-009"/>
    <s v="R012"/>
    <n v="5"/>
    <n v="1220"/>
    <n v="7.6"/>
    <n v="5636.4"/>
    <s v="Completed"/>
    <s v="Mumbai"/>
    <s v="Electronics"/>
    <m/>
    <e v="#N/A"/>
    <e v="#N/A"/>
    <m/>
    <m/>
  </r>
  <r>
    <s v="ORD-00402"/>
    <x v="81"/>
    <s v="CUST-0189"/>
    <s v="PROD-046"/>
    <s v="R028"/>
    <n v="5"/>
    <n v="4880"/>
    <n v="8.5"/>
    <n v="22326"/>
    <s v="Completed"/>
    <s v="Chennai"/>
    <s v="Beauty"/>
    <m/>
    <s v="Retail"/>
    <n v="41"/>
    <m/>
    <m/>
  </r>
  <r>
    <s v="ORD-00403"/>
    <x v="102"/>
    <s v="CUST-0152"/>
    <s v="PROD-026"/>
    <s v="R022"/>
    <n v="7"/>
    <n v="4070"/>
    <n v="28"/>
    <n v="20512.8"/>
    <s v="Completed"/>
    <s v="Bengaluru"/>
    <s v="Grocery"/>
    <m/>
    <s v="SMB"/>
    <n v="64"/>
    <m/>
    <m/>
  </r>
  <r>
    <s v="ORD-00404"/>
    <x v="47"/>
    <s v="CUST-0284"/>
    <s v="PROD-006"/>
    <s v="R028"/>
    <n v="2"/>
    <n v="3970"/>
    <n v="14"/>
    <n v="6828.4"/>
    <s v="Completed"/>
    <s v="Hyderabad"/>
    <s v="Electronics"/>
    <m/>
    <s v="SMB"/>
    <n v="65"/>
    <m/>
    <m/>
  </r>
  <r>
    <s v="ORD-00405"/>
    <x v="134"/>
    <s v="CUST-0175"/>
    <s v="PROD-008"/>
    <s v="R018"/>
    <n v="9"/>
    <n v="2660"/>
    <n v="10.1"/>
    <n v="21522.06"/>
    <s v="Completed"/>
    <s v="Delhi"/>
    <s v="Electronics"/>
    <m/>
    <s v="Corporate"/>
    <n v="55"/>
    <m/>
    <m/>
  </r>
  <r>
    <s v="ORD-00406"/>
    <x v="192"/>
    <s v="CUST-0093"/>
    <s v="PROD-055"/>
    <s v="R022"/>
    <n v="9"/>
    <n v="2860"/>
    <n v="10.1"/>
    <n v="23140.26"/>
    <s v="Refunded"/>
    <s v="Pune"/>
    <s v="Sports"/>
    <m/>
    <s v="Retail"/>
    <n v="36"/>
    <s v="East"/>
    <s v="Feb-24"/>
  </r>
  <r>
    <s v="ORD-00407"/>
    <x v="157"/>
    <s v="CUST-0033"/>
    <s v="PROD-009"/>
    <s v="R007"/>
    <n v="7"/>
    <n v="1220"/>
    <n v="23.5"/>
    <n v="6533.1"/>
    <s v="Refunded"/>
    <s v="Delhi"/>
    <s v="Electronics"/>
    <m/>
    <s v="Retail"/>
    <n v="35"/>
    <s v="East"/>
    <s v="Apr-24"/>
  </r>
  <r>
    <s v="ORD-00408"/>
    <x v="241"/>
    <s v="CUST-0294"/>
    <s v="PROD-022"/>
    <s v="R026"/>
    <n v="1"/>
    <n v="2270"/>
    <n v="5.8"/>
    <n v="2138.34"/>
    <s v="Cancelled"/>
    <s v="Delhi"/>
    <s v="Grocery"/>
    <m/>
    <s v="Corporate"/>
    <n v="31"/>
    <s v="North"/>
    <s v="Oct-24"/>
  </r>
  <r>
    <s v="ORD-00409"/>
    <x v="248"/>
    <s v="CUST-0115"/>
    <s v="PROD-037"/>
    <s v="R002"/>
    <n v="2"/>
    <n v="660"/>
    <n v="2.2999999999999998"/>
    <n v="1289.6400000000001"/>
    <s v="Completed"/>
    <s v="Mumbai"/>
    <s v="Home"/>
    <m/>
    <s v="SMB"/>
    <n v="65"/>
    <m/>
    <m/>
  </r>
  <r>
    <s v="ORD-00410"/>
    <x v="236"/>
    <s v="CUST-0219"/>
    <s v="PROD-012"/>
    <s v="R014"/>
    <n v="1"/>
    <n v="3160"/>
    <n v="5.6"/>
    <n v="2983.04"/>
    <s v="Completed"/>
    <s v="Chennai"/>
    <s v="Apparel"/>
    <m/>
    <s v="Corporate"/>
    <n v="38"/>
    <s v="North"/>
    <s v="Oct-24"/>
  </r>
  <r>
    <s v="ORD-00411"/>
    <x v="199"/>
    <s v="CUST-0180"/>
    <s v="PROD-002"/>
    <s v="R013"/>
    <n v="1"/>
    <n v="2600"/>
    <n v="1"/>
    <n v="2574"/>
    <s v="Completed"/>
    <s v="Chennai"/>
    <s v="Electronics"/>
    <m/>
    <s v="Retail"/>
    <n v="36"/>
    <s v="South"/>
    <s v="May-24"/>
  </r>
  <r>
    <s v="ORD-00412"/>
    <x v="50"/>
    <s v="CUST-0148"/>
    <s v="PROD-039"/>
    <s v="R014"/>
    <n v="4"/>
    <n v="4610"/>
    <n v="18.7"/>
    <n v="14991.72"/>
    <s v="Completed"/>
    <s v="Chennai"/>
    <s v="Home"/>
    <m/>
    <s v="Retail"/>
    <n v="32"/>
    <s v="South"/>
    <s v="Apr-24"/>
  </r>
  <r>
    <s v="ORD-00413"/>
    <x v="249"/>
    <s v="CUST-0026"/>
    <s v="PROD-013"/>
    <s v="R018"/>
    <n v="3"/>
    <n v="3640"/>
    <n v="9.6999999999999993"/>
    <n v="9860.76"/>
    <s v="Cancelled"/>
    <s v="Pune"/>
    <s v="Apparel"/>
    <m/>
    <s v="Retail"/>
    <n v="62"/>
    <m/>
    <m/>
  </r>
  <r>
    <s v="ORD-00414"/>
    <x v="120"/>
    <s v="CUST-0246"/>
    <s v="PROD-015"/>
    <s v="R004"/>
    <n v="6"/>
    <n v="2720"/>
    <n v="13"/>
    <n v="14198.4"/>
    <s v="Pending"/>
    <s v="Delhi"/>
    <s v="Apparel"/>
    <m/>
    <s v="SMB"/>
    <n v="29"/>
    <s v="East"/>
    <s v="Apr-24"/>
  </r>
  <r>
    <s v="ORD-00415"/>
    <x v="128"/>
    <s v="CUST-0125"/>
    <s v="PROD-059"/>
    <s v="R008"/>
    <n v="5"/>
    <n v="3780"/>
    <n v="15.2"/>
    <n v="16027.2"/>
    <s v="Completed"/>
    <s v="Delhi"/>
    <s v="Sports"/>
    <m/>
    <s v="Retail"/>
    <n v="45"/>
    <m/>
    <m/>
  </r>
  <r>
    <s v="ORD-00416"/>
    <x v="192"/>
    <s v="CUST-0190"/>
    <s v="PROD-035"/>
    <s v="R030"/>
    <n v="9"/>
    <n v="1090"/>
    <n v="28.5"/>
    <n v="7014.15"/>
    <s v="Completed"/>
    <s v="Hyderabad"/>
    <s v="Home"/>
    <m/>
    <s v="Retail"/>
    <n v="52"/>
    <m/>
    <m/>
  </r>
  <r>
    <s v="ORD-00417"/>
    <x v="248"/>
    <s v="CUST-0085"/>
    <s v="PROD-035"/>
    <s v="R028"/>
    <n v="6"/>
    <n v="1090"/>
    <n v="28.7"/>
    <n v="4663.0200000000004"/>
    <s v="Completed"/>
    <s v="Chennai"/>
    <s v="Home"/>
    <m/>
    <s v="Retail"/>
    <n v="26"/>
    <s v="West"/>
    <s v="Apr-24"/>
  </r>
  <r>
    <s v="ORD-00418"/>
    <x v="250"/>
    <s v="CUST-0249"/>
    <s v="PROD-017"/>
    <s v="R030"/>
    <n v="5"/>
    <n v="2510"/>
    <n v="25"/>
    <n v="9412.5"/>
    <s v="Completed"/>
    <s v="Mumbai"/>
    <s v="Apparel"/>
    <m/>
    <s v="Retail"/>
    <n v="44"/>
    <m/>
    <m/>
  </r>
  <r>
    <s v="ORD-00419"/>
    <x v="251"/>
    <s v="CUST-0012"/>
    <s v="PROD-006"/>
    <s v="R010"/>
    <n v="5"/>
    <n v="3970"/>
    <n v="26"/>
    <n v="14689"/>
    <s v="Completed"/>
    <s v="Pune"/>
    <s v="Electronics"/>
    <m/>
    <s v="Retail"/>
    <n v="43"/>
    <m/>
    <m/>
  </r>
  <r>
    <s v="ORD-00420"/>
    <x v="144"/>
    <s v="CUST-0251"/>
    <s v="PROD-026"/>
    <s v="R001"/>
    <n v="9"/>
    <n v="4070"/>
    <n v="15.7"/>
    <n v="30879.09"/>
    <s v="Completed"/>
    <s v="Mumbai"/>
    <s v="Grocery"/>
    <m/>
    <s v="Retail"/>
    <n v="44"/>
    <m/>
    <m/>
  </r>
  <r>
    <s v="ORD-00421"/>
    <x v="196"/>
    <s v="CUST-0088"/>
    <s v="PROD-038"/>
    <s v="R004"/>
    <n v="6"/>
    <n v="5490"/>
    <n v="8.5"/>
    <n v="30140.1"/>
    <s v="Refunded"/>
    <s v="Chennai"/>
    <s v="Home"/>
    <m/>
    <s v="Retail"/>
    <n v="24"/>
    <s v="North"/>
    <s v="Feb-24"/>
  </r>
  <r>
    <s v="ORD-00422"/>
    <x v="70"/>
    <s v="CUST-0037"/>
    <s v="PROD-054"/>
    <s v="R022"/>
    <n v="9"/>
    <n v="1010"/>
    <n v="3.6"/>
    <n v="8762.76"/>
    <s v="Completed"/>
    <s v="Bengaluru"/>
    <s v="Sports"/>
    <m/>
    <s v="Retail"/>
    <n v="52"/>
    <m/>
    <m/>
  </r>
  <r>
    <s v="ORD-00423"/>
    <x v="252"/>
    <s v="CUST-0039"/>
    <s v="PROD-028"/>
    <s v="R008"/>
    <n v="6"/>
    <n v="3660"/>
    <n v="10.8"/>
    <n v="19588.32"/>
    <s v="Completed"/>
    <s v="Bengaluru"/>
    <s v="Grocery"/>
    <m/>
    <s v="Retail"/>
    <n v="37"/>
    <s v="East"/>
    <s v="Nov-24"/>
  </r>
  <r>
    <s v="ORD-00424"/>
    <x v="111"/>
    <s v="CUST-0106"/>
    <s v="PROD-047"/>
    <s v="R016"/>
    <n v="6"/>
    <n v="3450"/>
    <n v="10.7"/>
    <n v="18485.099999999999"/>
    <s v="Completed"/>
    <s v="Pune"/>
    <s v="Beauty"/>
    <m/>
    <s v="Retail"/>
    <n v="22"/>
    <s v="North"/>
    <s v="Dec-24"/>
  </r>
  <r>
    <s v="ORD-00425"/>
    <x v="229"/>
    <s v="CUST-0222"/>
    <s v="PROD-026"/>
    <s v="R011"/>
    <n v="10"/>
    <n v="4070"/>
    <n v="23.4"/>
    <n v="31176.2"/>
    <s v="Refunded"/>
    <s v="Chennai"/>
    <s v="Grocery"/>
    <m/>
    <s v="Retail"/>
    <n v="37"/>
    <s v="South"/>
    <s v="Aug-24"/>
  </r>
  <r>
    <s v="ORD-00426"/>
    <x v="253"/>
    <s v="CUST-0130"/>
    <s v="PROD-003"/>
    <s v="R025"/>
    <n v="9"/>
    <n v="3570"/>
    <n v="15.2"/>
    <n v="27246.240000000002"/>
    <s v="Completed"/>
    <s v="Bengaluru"/>
    <s v="Electronics"/>
    <m/>
    <s v="Corporate"/>
    <n v="41"/>
    <m/>
    <m/>
  </r>
  <r>
    <s v="ORD-00427"/>
    <x v="254"/>
    <s v="CUST-0281"/>
    <s v="PROD-056"/>
    <s v="R005"/>
    <n v="10"/>
    <n v="6940"/>
    <n v="21.8"/>
    <n v="54270.8"/>
    <s v="Pending"/>
    <s v="Bengaluru"/>
    <s v="Sports"/>
    <m/>
    <s v="Corporate"/>
    <n v="57"/>
    <m/>
    <m/>
  </r>
  <r>
    <s v="ORD-00428"/>
    <x v="135"/>
    <s v="CUST-0094"/>
    <s v="PROD-044"/>
    <s v="R014"/>
    <n v="9"/>
    <n v="1650"/>
    <n v="24.3"/>
    <n v="11241.45"/>
    <s v="Completed"/>
    <s v="Pune"/>
    <s v="Beauty"/>
    <m/>
    <s v="SMB"/>
    <n v="60"/>
    <m/>
    <m/>
  </r>
  <r>
    <s v="ORD-00429"/>
    <x v="207"/>
    <s v="CUST-0271"/>
    <s v="PROD-007"/>
    <s v="R014"/>
    <n v="10"/>
    <n v="1430"/>
    <n v="25.2"/>
    <n v="10696.4"/>
    <s v="Completed"/>
    <s v="Bengaluru"/>
    <s v="Electronics"/>
    <m/>
    <s v="Corporate"/>
    <n v="41"/>
    <m/>
    <m/>
  </r>
  <r>
    <s v="ORD-00430"/>
    <x v="178"/>
    <s v="CUST-0110"/>
    <s v="PROD-025"/>
    <s v="R010"/>
    <n v="4"/>
    <n v="4060"/>
    <n v="1.6"/>
    <n v="15980.16"/>
    <s v="Completed"/>
    <s v="Pune"/>
    <s v="Grocery"/>
    <m/>
    <s v="Corporate"/>
    <n v="31"/>
    <s v="South"/>
    <s v="Nov-24"/>
  </r>
  <r>
    <s v="ORD-00431"/>
    <x v="103"/>
    <s v="CUST-0262"/>
    <s v="PROD-032"/>
    <s v="R005"/>
    <n v="9"/>
    <n v="370"/>
    <n v="17"/>
    <n v="2763.9"/>
    <s v="Completed"/>
    <s v="Mumbai"/>
    <s v="Home"/>
    <m/>
    <s v="Retail"/>
    <n v="52"/>
    <m/>
    <m/>
  </r>
  <r>
    <s v="ORD-00432"/>
    <x v="94"/>
    <s v="CUST-0157"/>
    <s v="PROD-041"/>
    <s v="R010"/>
    <n v="1"/>
    <n v="1540"/>
    <n v="24"/>
    <n v="1170.4000000000001"/>
    <s v="Cancelled"/>
    <s v="Pune"/>
    <s v="Beauty"/>
    <m/>
    <s v="Corporate"/>
    <n v="52"/>
    <m/>
    <m/>
  </r>
  <r>
    <s v="ORD-00433"/>
    <x v="143"/>
    <s v="CUST-0135"/>
    <s v="PROD-002"/>
    <s v="R025"/>
    <n v="9"/>
    <n v="2600"/>
    <n v="7.7"/>
    <n v="21598.2"/>
    <s v="Completed"/>
    <s v="Pune"/>
    <s v="Electronics"/>
    <m/>
    <s v="SMB"/>
    <n v="24"/>
    <s v="South"/>
    <s v="Jan-24"/>
  </r>
  <r>
    <s v="ORD-00434"/>
    <x v="255"/>
    <s v="CUST-0136"/>
    <s v="PROD-017"/>
    <s v="R015"/>
    <n v="8"/>
    <n v="2510"/>
    <n v="3.7"/>
    <n v="19337.04"/>
    <s v="Completed"/>
    <s v="Chennai"/>
    <s v="Apparel"/>
    <m/>
    <s v="SMB"/>
    <n v="26"/>
    <s v="West"/>
    <s v="Mar-24"/>
  </r>
  <r>
    <s v="ORD-00435"/>
    <x v="256"/>
    <s v="CUST-0110"/>
    <s v="PROD-001"/>
    <s v="R003"/>
    <n v="6"/>
    <n v="5330"/>
    <n v="8.4"/>
    <n v="29293.68"/>
    <s v="Completed"/>
    <s v="Pune"/>
    <s v="Electronics"/>
    <m/>
    <s v="Corporate"/>
    <n v="31"/>
    <s v="South"/>
    <s v="Jul-24"/>
  </r>
  <r>
    <s v="ORD-00436"/>
    <x v="190"/>
    <s v="CUST-0192"/>
    <s v="PROD-034"/>
    <s v="R014"/>
    <n v="5"/>
    <n v="5080"/>
    <n v="10.3"/>
    <n v="22783.8"/>
    <s v="Completed"/>
    <s v="Bengaluru"/>
    <s v="Home"/>
    <m/>
    <s v="Retail"/>
    <n v="55"/>
    <m/>
    <m/>
  </r>
  <r>
    <s v="ORD-00437"/>
    <x v="257"/>
    <s v="CUST-0169"/>
    <s v="PROD-026"/>
    <s v="R025"/>
    <n v="3"/>
    <n v="4070"/>
    <n v="23.7"/>
    <n v="9316.23"/>
    <s v="Completed"/>
    <s v="Bengaluru"/>
    <s v="Grocery"/>
    <m/>
    <s v="SMB"/>
    <n v="42"/>
    <m/>
    <m/>
  </r>
  <r>
    <s v="ORD-00438"/>
    <x v="187"/>
    <s v="CUST-0086"/>
    <s v="PROD-016"/>
    <s v="R013"/>
    <n v="4"/>
    <n v="620"/>
    <n v="18.8"/>
    <n v="2013.76"/>
    <s v="Completed"/>
    <s v="Hyderabad"/>
    <s v="Apparel"/>
    <m/>
    <s v="Corporate"/>
    <n v="56"/>
    <m/>
    <m/>
  </r>
  <r>
    <s v="ORD-00439"/>
    <x v="108"/>
    <s v="CUST-0217"/>
    <s v="PROD-010"/>
    <s v="R017"/>
    <n v="10"/>
    <n v="2640"/>
    <n v="12.7"/>
    <n v="23047.200000000001"/>
    <s v="Completed"/>
    <s v="Pune"/>
    <s v="Electronics"/>
    <m/>
    <s v="SMB"/>
    <n v="59"/>
    <m/>
    <m/>
  </r>
  <r>
    <s v="ORD-00440"/>
    <x v="179"/>
    <s v="CUST-0119"/>
    <s v="PROD-026"/>
    <s v="R030"/>
    <n v="2"/>
    <n v="4070"/>
    <n v="29"/>
    <n v="5779.4"/>
    <s v="Completed"/>
    <s v="Bengaluru"/>
    <s v="Grocery"/>
    <m/>
    <s v="SMB"/>
    <n v="43"/>
    <m/>
    <m/>
  </r>
  <r>
    <s v="ORD-00441"/>
    <x v="230"/>
    <s v="CUST-0011"/>
    <s v="PROD-054"/>
    <s v="R007"/>
    <n v="8"/>
    <n v="1010"/>
    <n v="25.4"/>
    <n v="6027.68"/>
    <s v="Completed"/>
    <s v="Chennai"/>
    <s v="Sports"/>
    <m/>
    <s v="Corporate"/>
    <n v="41"/>
    <m/>
    <m/>
  </r>
  <r>
    <s v="ORD-00442"/>
    <x v="98"/>
    <s v="CUST-0059"/>
    <s v="PROD-036"/>
    <s v="R005"/>
    <n v="8"/>
    <n v="3250"/>
    <n v="5.4"/>
    <n v="24596"/>
    <s v="Completed"/>
    <s v="Pune"/>
    <s v="Home"/>
    <m/>
    <s v="Corporate"/>
    <n v="29"/>
    <s v="North"/>
    <s v="Sep-24"/>
  </r>
  <r>
    <s v="ORD-00443"/>
    <x v="151"/>
    <s v="CUST-0210"/>
    <s v="PROD-007"/>
    <s v="R009"/>
    <n v="7"/>
    <n v="1430"/>
    <n v="19.3"/>
    <n v="8078.07"/>
    <s v="Completed"/>
    <s v="Pune"/>
    <s v="Electronics"/>
    <m/>
    <s v="Corporate"/>
    <n v="48"/>
    <m/>
    <m/>
  </r>
  <r>
    <s v="ORD-00444"/>
    <x v="100"/>
    <s v="CUST-0145"/>
    <s v="PROD-045"/>
    <s v="R018"/>
    <n v="9"/>
    <n v="3020"/>
    <n v="15"/>
    <n v="23103"/>
    <s v="Completed"/>
    <s v="Bengaluru"/>
    <s v="Beauty"/>
    <m/>
    <s v="SMB"/>
    <n v="44"/>
    <m/>
    <m/>
  </r>
  <r>
    <s v="ORD-00445"/>
    <x v="258"/>
    <s v="CUST-9626"/>
    <s v="PROD-008"/>
    <s v="R002"/>
    <n v="2"/>
    <n v="2660"/>
    <n v="21.4"/>
    <n v="4181.5200000000004"/>
    <s v="Completed"/>
    <s v="Chennai"/>
    <s v="Electronics"/>
    <m/>
    <e v="#N/A"/>
    <e v="#N/A"/>
    <m/>
    <m/>
  </r>
  <r>
    <s v="ORD-00446"/>
    <x v="156"/>
    <s v="CUST-0250"/>
    <s v="PROD-003"/>
    <s v="R019"/>
    <n v="10"/>
    <n v="3570"/>
    <n v="20.3"/>
    <n v="28452.9"/>
    <s v="Completed"/>
    <s v="Delhi"/>
    <s v="Electronics"/>
    <m/>
    <s v="Retail"/>
    <n v="31"/>
    <s v="North"/>
    <s v="Feb-24"/>
  </r>
  <r>
    <s v="ORD-00447"/>
    <x v="259"/>
    <s v="CUST-0241"/>
    <s v="PROD-043"/>
    <s v="R010"/>
    <n v="4"/>
    <n v="3350"/>
    <n v="28.1"/>
    <n v="9634.6"/>
    <s v="Completed"/>
    <s v="Pune"/>
    <s v="Beauty"/>
    <m/>
    <s v="Corporate"/>
    <n v="47"/>
    <m/>
    <m/>
  </r>
  <r>
    <s v="ORD-00448"/>
    <x v="260"/>
    <s v="CUST-0071"/>
    <s v="PROD-019"/>
    <s v="R021"/>
    <n v="1"/>
    <n v="2480"/>
    <n v="13.5"/>
    <n v="2145.1999999999998"/>
    <s v="Completed"/>
    <s v="Delhi"/>
    <s v="Apparel"/>
    <m/>
    <s v="Corporate"/>
    <n v="46"/>
    <m/>
    <m/>
  </r>
  <r>
    <s v="ORD-00449"/>
    <x v="51"/>
    <s v="CUST-0017"/>
    <s v="PROD-052"/>
    <s v="R015"/>
    <n v="10"/>
    <n v="5410"/>
    <n v="26.1"/>
    <n v="39979.9"/>
    <s v="Completed"/>
    <s v="Delhi"/>
    <s v="Sports"/>
    <m/>
    <s v="SMB"/>
    <n v="38"/>
    <s v="East"/>
    <s v="Feb-24"/>
  </r>
  <r>
    <s v="ORD-00450"/>
    <x v="261"/>
    <s v="CUST-0007"/>
    <s v="PROD-037"/>
    <s v="R023"/>
    <n v="2"/>
    <n v="660"/>
    <n v="5"/>
    <n v="1254"/>
    <s v="Completed"/>
    <s v="Bengaluru"/>
    <s v="Home"/>
    <m/>
    <s v="Retail"/>
    <n v="47"/>
    <m/>
    <m/>
  </r>
  <r>
    <s v="ORD-00451"/>
    <x v="262"/>
    <s v="CUST-0054"/>
    <s v="PROD-054"/>
    <s v="R007"/>
    <n v="10"/>
    <n v="1010"/>
    <n v="10"/>
    <n v="9090"/>
    <s v="Completed"/>
    <s v="Mumbai"/>
    <s v="Sports"/>
    <m/>
    <s v="Corporate"/>
    <n v="62"/>
    <m/>
    <m/>
  </r>
  <r>
    <s v="ORD-00452"/>
    <x v="263"/>
    <s v="CUST-0038"/>
    <s v="PROD-042"/>
    <s v="R001"/>
    <n v="3"/>
    <n v="2290"/>
    <n v="8.9"/>
    <n v="6258.57"/>
    <s v="Completed"/>
    <s v="Mumbai"/>
    <s v="Beauty"/>
    <m/>
    <s v="Retail"/>
    <n v="57"/>
    <m/>
    <m/>
  </r>
  <r>
    <s v="ORD-00453"/>
    <x v="264"/>
    <s v="CUST-0066"/>
    <s v="PROD-047"/>
    <s v="R001"/>
    <n v="9"/>
    <n v="3450"/>
    <n v="24.3"/>
    <n v="23504.85"/>
    <s v="Completed"/>
    <s v="Delhi"/>
    <s v="Beauty"/>
    <m/>
    <s v="Retail"/>
    <n v="24"/>
    <s v="North"/>
    <s v="Jul-24"/>
  </r>
  <r>
    <s v="ORD-00454"/>
    <x v="44"/>
    <s v="CUST-0161"/>
    <s v="PROD-013"/>
    <s v="R003"/>
    <n v="10"/>
    <n v="3640"/>
    <n v="21.4"/>
    <n v="28610.400000000001"/>
    <s v="Cancelled"/>
    <s v="Chennai"/>
    <s v="Apparel"/>
    <m/>
    <s v="Retail"/>
    <n v="38"/>
    <s v="North"/>
    <s v="Mar-24"/>
  </r>
  <r>
    <s v="ORD-00455"/>
    <x v="260"/>
    <s v="CUST-0072"/>
    <s v="PROD-023"/>
    <s v="R015"/>
    <n v="5"/>
    <n v="2380"/>
    <n v="12.2"/>
    <n v="10448.200000000001"/>
    <s v="Completed"/>
    <s v="Mumbai"/>
    <s v="Grocery"/>
    <m/>
    <s v="Corporate"/>
    <n v="62"/>
    <m/>
    <m/>
  </r>
  <r>
    <s v="ORD-00456"/>
    <x v="265"/>
    <s v="CUST-0232"/>
    <s v="PROD-052"/>
    <s v="R017"/>
    <n v="10"/>
    <n v="5410"/>
    <n v="29.8"/>
    <n v="37978.199999999997"/>
    <s v="Completed"/>
    <s v="Hyderabad"/>
    <s v="Sports"/>
    <m/>
    <s v="Retail"/>
    <n v="38"/>
    <s v="South"/>
    <s v="Feb-24"/>
  </r>
  <r>
    <s v="ORD-00457"/>
    <x v="67"/>
    <s v="CUST-0054"/>
    <s v="PROD-044"/>
    <s v="R021"/>
    <n v="3"/>
    <n v="1650"/>
    <n v="9.4"/>
    <n v="4484.7"/>
    <s v="Cancelled"/>
    <s v="Mumbai"/>
    <s v="Beauty"/>
    <m/>
    <s v="Corporate"/>
    <n v="62"/>
    <m/>
    <m/>
  </r>
  <r>
    <s v="ORD-00458"/>
    <x v="266"/>
    <s v="CUST-0214"/>
    <s v="PROD-002"/>
    <s v="R022"/>
    <n v="7"/>
    <n v="2600"/>
    <n v="19.899999999999999"/>
    <n v="14578.2"/>
    <s v="Pending"/>
    <s v="Mumbai"/>
    <s v="Electronics"/>
    <m/>
    <s v="Retail"/>
    <n v="22"/>
    <s v="East"/>
    <s v="Mar-24"/>
  </r>
  <r>
    <s v="ORD-00135"/>
    <x v="267"/>
    <s v="CUST-0236"/>
    <s v="PROD-039"/>
    <s v="R002"/>
    <n v="4"/>
    <n v="4610"/>
    <n v="13.2"/>
    <n v="16005.92"/>
    <s v="Completed"/>
    <s v="Hyderabad"/>
    <s v="Home"/>
    <m/>
    <s v="SMB"/>
    <n v="28"/>
    <s v="East"/>
    <s v="Apr-24"/>
  </r>
  <r>
    <s v="ORD-00460"/>
    <x v="268"/>
    <s v="CUST-0031"/>
    <s v="PROD-039"/>
    <s v="R021"/>
    <n v="9"/>
    <n v="4610"/>
    <n v="25.8"/>
    <n v="30785.58"/>
    <s v="Completed"/>
    <s v="Hyderabad"/>
    <s v="Home"/>
    <m/>
    <s v="Retail"/>
    <n v="53"/>
    <m/>
    <m/>
  </r>
  <r>
    <s v="ORD-00461"/>
    <x v="269"/>
    <s v="CUST-0123"/>
    <s v="PROD-005"/>
    <s v="R014"/>
    <n v="5"/>
    <n v="300"/>
    <n v="11.8"/>
    <n v="1323"/>
    <s v="Completed"/>
    <s v="Chennai"/>
    <s v="Electronics"/>
    <m/>
    <s v="Corporate"/>
    <n v="44"/>
    <m/>
    <m/>
  </r>
  <r>
    <s v="ORD-00462"/>
    <x v="270"/>
    <s v="CUST-0019"/>
    <s v="PROD-011"/>
    <s v="R020"/>
    <n v="3"/>
    <n v="3450"/>
    <n v="14.2"/>
    <n v="8880.2999999999993"/>
    <s v="Completed"/>
    <s v="Chennai"/>
    <s v="Apparel"/>
    <m/>
    <s v="Retail"/>
    <n v="22"/>
    <s v="South"/>
    <s v="Sep-24"/>
  </r>
  <r>
    <s v="ORD-00463"/>
    <x v="271"/>
    <s v="CUST-0171"/>
    <s v="PROD-015"/>
    <s v="R028"/>
    <n v="2"/>
    <n v="2720"/>
    <n v="14.6"/>
    <n v="4645.76"/>
    <s v="Cancelled"/>
    <s v="Chennai"/>
    <s v="Apparel"/>
    <m/>
    <s v="Corporate"/>
    <n v="30"/>
    <s v="East"/>
    <s v="Jul-24"/>
  </r>
  <r>
    <s v="ORD-00464"/>
    <x v="17"/>
    <s v="CUST-0166"/>
    <s v="PROD-008"/>
    <s v="R017"/>
    <n v="7"/>
    <n v="2660"/>
    <n v="27.4"/>
    <n v="13518.12"/>
    <s v="Cancelled"/>
    <s v="Hyderabad"/>
    <s v="Electronics"/>
    <m/>
    <s v="Retail"/>
    <n v="31"/>
    <s v="West"/>
    <s v="Aug-24"/>
  </r>
  <r>
    <s v="ORD-00465"/>
    <x v="272"/>
    <s v="CUST-0151"/>
    <s v="PROD-051"/>
    <s v="R005"/>
    <n v="8"/>
    <n v="3450"/>
    <n v="20.399999999999999"/>
    <n v="21969.599999999999"/>
    <s v="Completed"/>
    <s v="Mumbai"/>
    <s v="Sports"/>
    <m/>
    <s v="Retail"/>
    <n v="53"/>
    <m/>
    <m/>
  </r>
  <r>
    <s v="ORD-00466"/>
    <x v="273"/>
    <s v="CUST-0027"/>
    <s v="PROD-052"/>
    <s v="R016"/>
    <n v="2"/>
    <n v="5410"/>
    <n v="7.2"/>
    <n v="10040.959999999999"/>
    <s v="Completed"/>
    <s v="Hyderabad"/>
    <s v="Sports"/>
    <m/>
    <s v="Corporate"/>
    <n v="52"/>
    <m/>
    <m/>
  </r>
  <r>
    <s v="ORD-00467"/>
    <x v="162"/>
    <s v="CUST-0171"/>
    <s v="PROD-004"/>
    <s v="R013"/>
    <n v="3"/>
    <n v="3870"/>
    <n v="4.2"/>
    <n v="11122.38"/>
    <s v="Completed"/>
    <s v="Chennai"/>
    <s v="Electronics"/>
    <m/>
    <s v="Corporate"/>
    <n v="30"/>
    <s v="South"/>
    <s v="May-24"/>
  </r>
  <r>
    <s v="ORD-00468"/>
    <x v="60"/>
    <s v="CUST-0094"/>
    <s v="PROD-024"/>
    <s v="R005"/>
    <n v="10"/>
    <n v="2270"/>
    <n v="17.3"/>
    <n v="18772.900000000001"/>
    <s v="Completed"/>
    <s v="Pune"/>
    <s v="Grocery"/>
    <m/>
    <s v="SMB"/>
    <n v="60"/>
    <m/>
    <m/>
  </r>
  <r>
    <s v="ORD-00469"/>
    <x v="18"/>
    <s v="CUST-0223"/>
    <s v="PROD-001"/>
    <s v="R025"/>
    <n v="1"/>
    <n v="5330"/>
    <n v="24.2"/>
    <n v="4040.14"/>
    <s v="Completed"/>
    <s v="Bengaluru"/>
    <s v="Electronics"/>
    <m/>
    <s v="Retail"/>
    <n v="46"/>
    <m/>
    <m/>
  </r>
  <r>
    <s v="ORD-00470"/>
    <x v="85"/>
    <s v="CUST-0281"/>
    <s v="PROD-043"/>
    <s v="R015"/>
    <n v="2"/>
    <n v="3350"/>
    <n v="23.4"/>
    <n v="5132.2"/>
    <s v="Completed"/>
    <s v="Bengaluru"/>
    <s v="Beauty"/>
    <m/>
    <s v="Corporate"/>
    <n v="57"/>
    <m/>
    <m/>
  </r>
  <r>
    <s v="ORD-00471"/>
    <x v="274"/>
    <s v="CUST-0148"/>
    <s v="PROD-045"/>
    <s v="R006"/>
    <n v="7"/>
    <n v="3020"/>
    <n v="23.7"/>
    <n v="16129.82"/>
    <s v="Completed"/>
    <s v="Chennai"/>
    <s v="Beauty"/>
    <m/>
    <s v="Retail"/>
    <n v="32"/>
    <s v="South"/>
    <s v="May-24"/>
  </r>
  <r>
    <s v="ORD-00472"/>
    <x v="275"/>
    <s v="CUST-0010"/>
    <s v="PROD-012"/>
    <s v="R020"/>
    <n v="7"/>
    <n v="3160"/>
    <n v="22.8"/>
    <n v="17076.64"/>
    <s v="Completed"/>
    <s v="Mumbai"/>
    <s v="Apparel"/>
    <m/>
    <s v="SMB"/>
    <n v="61"/>
    <m/>
    <m/>
  </r>
  <r>
    <s v="ORD-00473"/>
    <x v="110"/>
    <s v="CUST-0254"/>
    <s v="PROD-053"/>
    <s v="R020"/>
    <n v="2"/>
    <n v="470"/>
    <n v="28.8"/>
    <n v="669.28"/>
    <s v="Cancelled"/>
    <s v="Bengaluru"/>
    <s v="Sports"/>
    <m/>
    <s v="Retail"/>
    <n v="35"/>
    <s v="East"/>
    <s v="Aug-24"/>
  </r>
  <r>
    <s v="ORD-00474"/>
    <x v="253"/>
    <s v="CUST-0126"/>
    <s v="PROD-036"/>
    <s v="R021"/>
    <n v="2"/>
    <n v="3250"/>
    <n v="24.7"/>
    <n v="4894.5"/>
    <s v="Completed"/>
    <s v="Mumbai"/>
    <s v="Home"/>
    <m/>
    <s v="Retail"/>
    <n v="37"/>
    <s v="East"/>
    <s v="Sep-24"/>
  </r>
  <r>
    <s v="ORD-00475"/>
    <x v="252"/>
    <s v="CUST-0018"/>
    <s v="PROD-054"/>
    <s v="R023"/>
    <n v="2"/>
    <n v="1010"/>
    <n v="5.2"/>
    <n v="1914.96"/>
    <s v="Cancelled"/>
    <s v="Pune"/>
    <s v="Sports"/>
    <m/>
    <s v="SMB"/>
    <n v="54"/>
    <m/>
    <m/>
  </r>
  <r>
    <s v="ORD-00476"/>
    <x v="276"/>
    <s v="CUST-0089"/>
    <s v="PROD-005"/>
    <s v="R001"/>
    <n v="9"/>
    <n v="300"/>
    <n v="7.9"/>
    <n v="2486.6999999999998"/>
    <s v="Completed"/>
    <s v="Mumbai"/>
    <s v="Electronics"/>
    <m/>
    <s v="SMB"/>
    <n v="43"/>
    <m/>
    <m/>
  </r>
  <r>
    <s v="ORD-00477"/>
    <x v="277"/>
    <s v="CUST-0157"/>
    <s v="PROD-048"/>
    <s v="R006"/>
    <n v="10"/>
    <n v="5100"/>
    <n v="26.3"/>
    <n v="37587"/>
    <s v="Pending"/>
    <s v="Pune"/>
    <s v="Beauty"/>
    <m/>
    <s v="Corporate"/>
    <n v="52"/>
    <m/>
    <m/>
  </r>
  <r>
    <s v="ORD-00478"/>
    <x v="278"/>
    <s v="CUST-0201"/>
    <s v="PROD-043"/>
    <s v="R028"/>
    <n v="1"/>
    <n v="3350"/>
    <n v="8.5"/>
    <n v="3065.25"/>
    <s v="Cancelled"/>
    <s v="Hyderabad"/>
    <s v="Beauty"/>
    <m/>
    <s v="Retail"/>
    <n v="31"/>
    <s v="North"/>
    <s v="Jun-24"/>
  </r>
  <r>
    <s v="ORD-01195"/>
    <x v="211"/>
    <s v="CUST-0091"/>
    <s v="PROD-036"/>
    <s v="R022"/>
    <n v="2"/>
    <n v="3250"/>
    <n v="25.7"/>
    <n v="4829.5"/>
    <s v="Refunded"/>
    <s v="Delhi"/>
    <s v="Home"/>
    <m/>
    <s v="Retail"/>
    <n v="55"/>
    <m/>
    <m/>
  </r>
  <r>
    <s v="ORD-00480"/>
    <x v="279"/>
    <s v="CUST-0052"/>
    <s v="PROD-028"/>
    <s v="R008"/>
    <n v="10"/>
    <n v="3660"/>
    <n v="12"/>
    <n v="32208"/>
    <s v="Completed"/>
    <s v="Pune"/>
    <s v="Grocery"/>
    <m/>
    <s v="Retail"/>
    <n v="38"/>
    <s v="East"/>
    <s v="Sep-24"/>
  </r>
  <r>
    <s v="ORD-00481"/>
    <x v="126"/>
    <s v="CUST-0069"/>
    <s v="PROD-058"/>
    <s v="R009"/>
    <n v="1"/>
    <n v="2400"/>
    <n v="24.5"/>
    <n v="1812"/>
    <s v="Completed"/>
    <s v="Chennai"/>
    <s v="Sports"/>
    <m/>
    <s v="Retail"/>
    <n v="51"/>
    <m/>
    <m/>
  </r>
  <r>
    <s v="ORD-00482"/>
    <x v="263"/>
    <s v="CUST-0294"/>
    <s v="PROD-035"/>
    <s v="R010"/>
    <n v="1"/>
    <n v="1090"/>
    <n v="18.399999999999999"/>
    <n v="889.44"/>
    <s v="Completed"/>
    <s v="Delhi"/>
    <s v="Home"/>
    <m/>
    <s v="Corporate"/>
    <n v="31"/>
    <s v="South"/>
    <s v="Aug-24"/>
  </r>
  <r>
    <s v="ORD-00483"/>
    <x v="280"/>
    <s v="CUST-0019"/>
    <s v="PROD-059"/>
    <s v="R015"/>
    <n v="6"/>
    <n v="3780"/>
    <n v="15.9"/>
    <n v="19073.88"/>
    <s v="Completed"/>
    <s v="Chennai"/>
    <s v="Sports"/>
    <m/>
    <s v="Retail"/>
    <n v="22"/>
    <s v="South"/>
    <s v="Jul-24"/>
  </r>
  <r>
    <s v="ORD-00484"/>
    <x v="259"/>
    <s v="CUST-0087"/>
    <s v="PROD-043"/>
    <s v="R019"/>
    <n v="3"/>
    <n v="3350"/>
    <n v="18.8"/>
    <n v="8160.6"/>
    <s v="Refunded"/>
    <s v="Pune"/>
    <s v="Beauty"/>
    <m/>
    <s v="SMB"/>
    <n v="49"/>
    <m/>
    <m/>
  </r>
  <r>
    <s v="ORD-00485"/>
    <x v="46"/>
    <s v="CUST-0281"/>
    <s v="PROD-040"/>
    <s v="R030"/>
    <n v="3"/>
    <n v="1080"/>
    <n v="3.4"/>
    <n v="3129.84"/>
    <s v="Completed"/>
    <s v="Bengaluru"/>
    <s v="Home"/>
    <m/>
    <s v="Corporate"/>
    <n v="57"/>
    <m/>
    <m/>
  </r>
  <r>
    <s v="ORD-00486"/>
    <x v="281"/>
    <s v="CUST-0248"/>
    <s v="PROD-026"/>
    <s v="R022"/>
    <n v="6"/>
    <n v="4070"/>
    <n v="27.7"/>
    <n v="17655.66"/>
    <s v="Pending"/>
    <s v="Chennai"/>
    <s v="Grocery"/>
    <m/>
    <s v="SMB"/>
    <n v="57"/>
    <m/>
    <m/>
  </r>
  <r>
    <s v="ORD-00487"/>
    <x v="282"/>
    <s v="CUST-0019"/>
    <s v="PROD-041"/>
    <s v="R026"/>
    <n v="5"/>
    <n v="1540"/>
    <n v="24.9"/>
    <n v="5782.7"/>
    <s v="Completed"/>
    <s v="Chennai"/>
    <s v="Beauty"/>
    <m/>
    <s v="Retail"/>
    <n v="22"/>
    <s v="East"/>
    <s v="Aug-24"/>
  </r>
  <r>
    <s v="ORD-00488"/>
    <x v="255"/>
    <s v="CUST-0092"/>
    <s v="PROD-021"/>
    <s v="R028"/>
    <n v="6"/>
    <n v="2760"/>
    <n v="29.9"/>
    <n v="11608.56"/>
    <s v="Completed"/>
    <s v="Bengaluru"/>
    <s v="Grocery"/>
    <m/>
    <s v="SMB"/>
    <n v="28"/>
    <s v="West"/>
    <s v="Aug-24"/>
  </r>
  <r>
    <s v="ORD-00489"/>
    <x v="167"/>
    <s v="CUST-0195"/>
    <s v="PROD-006"/>
    <s v="R022"/>
    <n v="8"/>
    <n v="3970"/>
    <n v="23.7"/>
    <n v="24232.880000000001"/>
    <s v="Completed"/>
    <s v="Bengaluru"/>
    <s v="Electronics"/>
    <m/>
    <s v="Retail"/>
    <n v="28"/>
    <s v="West"/>
    <s v="Jul-24"/>
  </r>
  <r>
    <s v="ORD-00490"/>
    <x v="254"/>
    <s v="CUST-0126"/>
    <s v="PROD-011"/>
    <s v="R021"/>
    <n v="1"/>
    <n v="3450"/>
    <n v="7.4"/>
    <n v="3194.7"/>
    <s v="Completed"/>
    <s v="Mumbai"/>
    <s v="Apparel"/>
    <m/>
    <s v="Retail"/>
    <n v="37"/>
    <s v="East"/>
    <s v="Dec-24"/>
  </r>
  <r>
    <s v="ORD-00491"/>
    <x v="231"/>
    <s v="CUST-0274"/>
    <s v="PROD-018"/>
    <s v="R005"/>
    <n v="3"/>
    <n v="3560"/>
    <n v="15.2"/>
    <n v="9056.64"/>
    <s v="Completed"/>
    <s v="Bengaluru"/>
    <s v="Apparel"/>
    <m/>
    <s v="Corporate"/>
    <n v="36"/>
    <s v="East"/>
    <s v="Sep-24"/>
  </r>
  <r>
    <s v="ORD-00492"/>
    <x v="49"/>
    <s v="CUST-0059"/>
    <s v="PROD-003"/>
    <s v="R030"/>
    <n v="4"/>
    <n v="3570"/>
    <n v="18.899999999999999"/>
    <n v="11581.08"/>
    <s v="Completed"/>
    <s v="Pune"/>
    <s v="Electronics"/>
    <m/>
    <s v="Corporate"/>
    <n v="29"/>
    <s v="North"/>
    <s v="Jan-24"/>
  </r>
  <r>
    <s v="ORD-00493"/>
    <x v="22"/>
    <s v="CUST-0264"/>
    <s v="PROD-057"/>
    <s v="R025"/>
    <n v="9"/>
    <n v="960"/>
    <n v="14"/>
    <n v="7430.4"/>
    <s v="Refunded"/>
    <s v="Pune"/>
    <s v="Sports"/>
    <m/>
    <s v="Retail"/>
    <n v="59"/>
    <m/>
    <m/>
  </r>
  <r>
    <s v="ORD-00494"/>
    <x v="5"/>
    <s v="CUST-0157"/>
    <s v="PROD-047"/>
    <s v="R016"/>
    <n v="9"/>
    <n v="3450"/>
    <n v="6"/>
    <n v="29187"/>
    <s v="Cancelled"/>
    <s v="Pune"/>
    <s v="Beauty"/>
    <m/>
    <s v="Corporate"/>
    <n v="52"/>
    <m/>
    <m/>
  </r>
  <r>
    <s v="ORD-00495"/>
    <x v="136"/>
    <s v="CUST-0028"/>
    <s v="PROD-043"/>
    <s v="R012"/>
    <n v="7"/>
    <n v="3350"/>
    <n v="14"/>
    <n v="20167"/>
    <s v="Cancelled"/>
    <s v="Bengaluru"/>
    <s v="Beauty"/>
    <m/>
    <s v="Retail"/>
    <n v="59"/>
    <m/>
    <m/>
  </r>
  <r>
    <s v="ORD-00496"/>
    <x v="129"/>
    <s v="CUST-0033"/>
    <s v="PROD-049"/>
    <s v="R004"/>
    <n v="6"/>
    <n v="960"/>
    <n v="10.1"/>
    <n v="5178.24"/>
    <s v="Completed"/>
    <s v="Delhi"/>
    <s v="Beauty"/>
    <m/>
    <s v="Retail"/>
    <n v="35"/>
    <s v="South"/>
    <s v="Jun-24"/>
  </r>
  <r>
    <s v="ORD-00497"/>
    <x v="186"/>
    <s v="CUST-0280"/>
    <s v="PROD-005"/>
    <s v="R016"/>
    <n v="7"/>
    <n v="300"/>
    <n v="21.9"/>
    <n v="1640.1"/>
    <s v="Completed"/>
    <s v="Delhi"/>
    <s v="Electronics"/>
    <m/>
    <s v="SMB"/>
    <n v="27"/>
    <s v="North"/>
    <s v="Jan-24"/>
  </r>
  <r>
    <s v="ORD-00498"/>
    <x v="44"/>
    <s v="CUST-0232"/>
    <s v="PROD-023"/>
    <s v="R019"/>
    <n v="2"/>
    <n v="2380"/>
    <n v="6.8"/>
    <n v="4436.32"/>
    <s v="Completed"/>
    <s v="Hyderabad"/>
    <s v="Grocery"/>
    <m/>
    <s v="Retail"/>
    <n v="38"/>
    <s v="South"/>
    <s v="Feb-24"/>
  </r>
  <r>
    <s v="ORD-00499"/>
    <x v="129"/>
    <s v="CUST-0270"/>
    <s v="PROD-057"/>
    <s v="R024"/>
    <n v="5"/>
    <n v="960"/>
    <n v="15"/>
    <n v="4080"/>
    <s v="Cancelled"/>
    <s v="Bengaluru"/>
    <s v="Sports"/>
    <m/>
    <s v="Retail"/>
    <n v="29"/>
    <s v="East"/>
    <s v="Apr-24"/>
  </r>
  <r>
    <s v="ORD-00500"/>
    <x v="251"/>
    <s v="CUST-0203"/>
    <s v="PROD-059"/>
    <s v="R012"/>
    <n v="10"/>
    <n v="3780"/>
    <n v="24.1"/>
    <n v="28690.2"/>
    <s v="Refunded"/>
    <s v="Chennai"/>
    <s v="Sports"/>
    <m/>
    <s v="SMB"/>
    <n v="55"/>
    <m/>
    <m/>
  </r>
  <r>
    <s v="ORD-00501"/>
    <x v="36"/>
    <s v="CUST-0069"/>
    <s v="PROD-041"/>
    <s v="R020"/>
    <n v="4"/>
    <n v="1540"/>
    <n v="14.2"/>
    <n v="5285.28"/>
    <s v="Cancelled"/>
    <s v="Chennai"/>
    <s v="Beauty"/>
    <m/>
    <s v="Retail"/>
    <n v="51"/>
    <m/>
    <m/>
  </r>
  <r>
    <s v="ORD-00502"/>
    <x v="113"/>
    <s v="CUST-0037"/>
    <s v="PROD-017"/>
    <s v="R005"/>
    <n v="10"/>
    <n v="2510"/>
    <n v="20.8"/>
    <n v="19879.2"/>
    <s v="Completed"/>
    <s v="Bengaluru"/>
    <s v="Apparel"/>
    <m/>
    <s v="Retail"/>
    <n v="52"/>
    <m/>
    <m/>
  </r>
  <r>
    <s v="ORD-00503"/>
    <x v="163"/>
    <s v="CUST-0149"/>
    <s v="PROD-025"/>
    <s v="R014"/>
    <n v="9"/>
    <n v="4060"/>
    <n v="27.1"/>
    <n v="26637.66"/>
    <s v="Completed"/>
    <s v="Hyderabad"/>
    <s v="Grocery"/>
    <m/>
    <s v="Retail"/>
    <n v="44"/>
    <m/>
    <m/>
  </r>
  <r>
    <s v="ORD-00504"/>
    <x v="198"/>
    <s v="CUST-0131"/>
    <s v="PROD-058"/>
    <s v="R025"/>
    <n v="4"/>
    <n v="2400"/>
    <n v="19.100000000000001"/>
    <n v="7766.4"/>
    <s v="Completed"/>
    <s v="Delhi"/>
    <s v="Sports"/>
    <m/>
    <s v="SMB"/>
    <n v="28"/>
    <s v="South"/>
    <s v="Mar-24"/>
  </r>
  <r>
    <s v="ORD-00505"/>
    <x v="283"/>
    <s v="CUST-0071"/>
    <s v="PROD-046"/>
    <s v="R022"/>
    <n v="8"/>
    <n v="4880"/>
    <n v="9.1999999999999993"/>
    <n v="35448.32"/>
    <s v="Cancelled"/>
    <s v="Delhi"/>
    <s v="Beauty"/>
    <m/>
    <s v="Corporate"/>
    <n v="46"/>
    <m/>
    <m/>
  </r>
  <r>
    <s v="ORD-00506"/>
    <x v="261"/>
    <s v="CUST-0249"/>
    <s v="PROD-048"/>
    <s v="R019"/>
    <n v="9"/>
    <n v="5100"/>
    <n v="11.1"/>
    <n v="40805.1"/>
    <s v="Cancelled"/>
    <s v="Mumbai"/>
    <s v="Beauty"/>
    <m/>
    <s v="Retail"/>
    <n v="44"/>
    <m/>
    <m/>
  </r>
  <r>
    <s v="ORD-00507"/>
    <x v="161"/>
    <s v="CUST-0181"/>
    <s v="PROD-005"/>
    <s v="R028"/>
    <n v="4"/>
    <n v="300"/>
    <n v="16.7"/>
    <n v="999.6"/>
    <s v="Completed"/>
    <s v="Delhi"/>
    <s v="Electronics"/>
    <m/>
    <s v="SMB"/>
    <n v="38"/>
    <s v="East"/>
    <s v="Oct-24"/>
  </r>
  <r>
    <s v="ORD-00508"/>
    <x v="68"/>
    <s v="CUST-0085"/>
    <s v="PROD-019"/>
    <s v="R014"/>
    <n v="6"/>
    <n v="2480"/>
    <n v="3.3"/>
    <n v="14388.96"/>
    <s v="Completed"/>
    <s v="Chennai"/>
    <s v="Apparel"/>
    <m/>
    <s v="Retail"/>
    <n v="26"/>
    <s v="West"/>
    <s v="Dec-24"/>
  </r>
  <r>
    <s v="ORD-00509"/>
    <x v="28"/>
    <s v="CUST-0180"/>
    <s v="PROD-044"/>
    <s v="R023"/>
    <n v="10"/>
    <n v="1650"/>
    <n v="22.9"/>
    <n v="12721.5"/>
    <s v="Refunded"/>
    <s v="Chennai"/>
    <s v="Beauty"/>
    <m/>
    <s v="Retail"/>
    <n v="36"/>
    <s v="South"/>
    <s v="May-24"/>
  </r>
  <r>
    <s v="ORD-00510"/>
    <x v="158"/>
    <s v="CUST-0103"/>
    <s v="PROD-029"/>
    <s v="R012"/>
    <n v="3"/>
    <n v="2210"/>
    <n v="11.1"/>
    <n v="5894.07"/>
    <s v="Completed"/>
    <s v="Hyderabad"/>
    <s v="Grocery"/>
    <m/>
    <s v="Corporate"/>
    <n v="54"/>
    <m/>
    <m/>
  </r>
  <r>
    <s v="ORD-00511"/>
    <x v="5"/>
    <s v="CUST-0174"/>
    <s v="PROD-019"/>
    <s v="R005"/>
    <n v="10"/>
    <n v="2480"/>
    <n v="13"/>
    <n v="21576"/>
    <s v="Pending"/>
    <s v="Pune"/>
    <s v="Apparel"/>
    <m/>
    <s v="Retail"/>
    <n v="54"/>
    <m/>
    <m/>
  </r>
  <r>
    <s v="ORD-00512"/>
    <x v="98"/>
    <s v="CUST-0071"/>
    <s v="PROD-001"/>
    <s v="R023"/>
    <n v="10"/>
    <n v="5330"/>
    <n v="0.7"/>
    <n v="52926.9"/>
    <s v="Completed"/>
    <s v="Delhi"/>
    <s v="Electronics"/>
    <m/>
    <s v="Corporate"/>
    <n v="46"/>
    <m/>
    <m/>
  </r>
  <r>
    <s v="ORD-00513"/>
    <x v="109"/>
    <s v="CUST-0266"/>
    <s v="PROD-026"/>
    <s v="R012"/>
    <n v="9"/>
    <n v="4070"/>
    <n v="15.6"/>
    <n v="30915.72"/>
    <s v="Completed"/>
    <s v="Pune"/>
    <s v="Grocery"/>
    <m/>
    <s v="Retail"/>
    <n v="65"/>
    <m/>
    <m/>
  </r>
  <r>
    <s v="ORD-00514"/>
    <x v="284"/>
    <s v="CUST-0148"/>
    <s v="PROD-015"/>
    <s v="R001"/>
    <n v="5"/>
    <n v="2720"/>
    <n v="10.3"/>
    <n v="12199.2"/>
    <s v="Cancelled"/>
    <s v="Chennai"/>
    <s v="Apparel"/>
    <m/>
    <s v="Retail"/>
    <n v="32"/>
    <s v="South"/>
    <s v="Nov-24"/>
  </r>
  <r>
    <s v="ORD-00515"/>
    <x v="285"/>
    <s v="CUST-0030"/>
    <s v="PROD-055"/>
    <s v="R029"/>
    <n v="6"/>
    <n v="2860"/>
    <n v="28.9"/>
    <n v="12200.76"/>
    <s v="Completed"/>
    <s v="Bengaluru"/>
    <s v="Sports"/>
    <m/>
    <s v="Corporate"/>
    <n v="43"/>
    <m/>
    <m/>
  </r>
  <r>
    <s v="ORD-00516"/>
    <x v="165"/>
    <s v="CUST-0128"/>
    <s v="PROD-014"/>
    <s v="R012"/>
    <n v="5"/>
    <n v="3620"/>
    <n v="18.2"/>
    <n v="14805.8"/>
    <s v="Completed"/>
    <s v="Hyderabad"/>
    <s v="Apparel"/>
    <m/>
    <s v="Retail"/>
    <n v="35"/>
    <s v="West"/>
    <s v="Jul-24"/>
  </r>
  <r>
    <s v="ORD-00517"/>
    <x v="39"/>
    <s v="CUST-0056"/>
    <s v="PROD-044"/>
    <s v="R018"/>
    <n v="3"/>
    <n v="1650"/>
    <n v="10.7"/>
    <n v="4420.3500000000004"/>
    <s v="Completed"/>
    <s v="Bengaluru"/>
    <s v="Beauty"/>
    <m/>
    <s v="SMB"/>
    <n v="46"/>
    <m/>
    <m/>
  </r>
  <r>
    <s v="ORD-00518"/>
    <x v="185"/>
    <s v="CUST-0178"/>
    <s v="PROD-060"/>
    <s v="R029"/>
    <n v="8"/>
    <n v="190"/>
    <n v="18"/>
    <n v="1246.4000000000001"/>
    <s v="Pending"/>
    <s v="Hyderabad"/>
    <s v="Sports"/>
    <m/>
    <s v="Retail"/>
    <n v="25"/>
    <s v="East"/>
    <s v="May-24"/>
  </r>
  <r>
    <s v="ORD-00519"/>
    <x v="68"/>
    <s v="CUST-0237"/>
    <s v="PROD-042"/>
    <s v="R029"/>
    <n v="7"/>
    <n v="2290"/>
    <n v="12.5"/>
    <n v="14026.25"/>
    <s v="Completed"/>
    <s v="Mumbai"/>
    <s v="Beauty"/>
    <m/>
    <s v="Retail"/>
    <n v="49"/>
    <m/>
    <m/>
  </r>
  <r>
    <s v="ORD-00520"/>
    <x v="198"/>
    <s v="CUST-0143"/>
    <s v="PROD-001"/>
    <s v="R017"/>
    <n v="2"/>
    <n v="5330"/>
    <n v="26.5"/>
    <n v="7835.1"/>
    <s v="Completed"/>
    <s v="Chennai"/>
    <s v="Electronics"/>
    <m/>
    <s v="SMB"/>
    <n v="52"/>
    <m/>
    <m/>
  </r>
  <r>
    <s v="ORD-00521"/>
    <x v="233"/>
    <s v="CUST-0233"/>
    <s v="PROD-001"/>
    <s v="R015"/>
    <n v="4"/>
    <n v="5330"/>
    <n v="25.6"/>
    <n v="15862.08"/>
    <s v="Completed"/>
    <s v="Mumbai"/>
    <s v="Electronics"/>
    <m/>
    <s v="SMB"/>
    <n v="65"/>
    <m/>
    <m/>
  </r>
  <r>
    <s v="ORD-00522"/>
    <x v="286"/>
    <s v="CUST-0161"/>
    <s v="PROD-034"/>
    <s v="R006"/>
    <n v="4"/>
    <n v="5080"/>
    <n v="28.6"/>
    <n v="14508.48"/>
    <s v="Completed"/>
    <s v="Chennai"/>
    <s v="Home"/>
    <m/>
    <s v="Retail"/>
    <n v="38"/>
    <s v="South"/>
    <s v="Jul-24"/>
  </r>
  <r>
    <s v="ORD-00523"/>
    <x v="40"/>
    <s v="CUST-0087"/>
    <s v="PROD-032"/>
    <s v="R002"/>
    <n v="4"/>
    <n v="370"/>
    <n v="12.6"/>
    <n v="1293.52"/>
    <s v="Pending"/>
    <s v="Pune"/>
    <s v="Home"/>
    <m/>
    <s v="SMB"/>
    <n v="49"/>
    <m/>
    <m/>
  </r>
  <r>
    <s v="ORD-00524"/>
    <x v="230"/>
    <s v="CUST-0235"/>
    <s v="PROD-053"/>
    <s v="R013"/>
    <n v="9"/>
    <n v="470"/>
    <n v="3.6"/>
    <n v="4077.72"/>
    <s v="Completed"/>
    <s v="Chennai"/>
    <s v="Sports"/>
    <m/>
    <s v="Retail"/>
    <n v="31"/>
    <s v="North"/>
    <s v="Apr-24"/>
  </r>
  <r>
    <s v="ORD-00525"/>
    <x v="287"/>
    <s v="CUST-0183"/>
    <s v="PROD-052"/>
    <s v="R027"/>
    <n v="4"/>
    <n v="5410"/>
    <n v="11.3"/>
    <n v="19194.68"/>
    <s v="Refunded"/>
    <s v="Mumbai"/>
    <s v="Sports"/>
    <m/>
    <s v="SMB"/>
    <n v="27"/>
    <s v="South"/>
    <s v="Sep-24"/>
  </r>
  <r>
    <s v="ORD-00526"/>
    <x v="288"/>
    <s v="CUST-0199"/>
    <s v="PROD-014"/>
    <s v="R007"/>
    <n v="10"/>
    <n v="3620"/>
    <n v="2.5"/>
    <n v="35295"/>
    <s v="Completed"/>
    <s v="Hyderabad"/>
    <s v="Apparel"/>
    <m/>
    <s v="SMB"/>
    <n v="31"/>
    <s v="West"/>
    <s v="Dec-24"/>
  </r>
  <r>
    <s v="ORD-00527"/>
    <x v="82"/>
    <s v="CUST-0034"/>
    <s v="PROD-021"/>
    <s v="R030"/>
    <n v="1"/>
    <n v="2760"/>
    <n v="22.2"/>
    <n v="2147.2800000000002"/>
    <s v="Completed"/>
    <s v="Delhi"/>
    <s v="Grocery"/>
    <m/>
    <s v="Retail"/>
    <n v="47"/>
    <m/>
    <m/>
  </r>
  <r>
    <s v="ORD-00528"/>
    <x v="0"/>
    <s v="CUST-0206"/>
    <s v="PROD-047"/>
    <s v="R001"/>
    <n v="7"/>
    <n v="3450"/>
    <n v="8.6"/>
    <n v="22073.1"/>
    <s v="Completed"/>
    <s v="Mumbai"/>
    <s v="Beauty"/>
    <m/>
    <s v="Retail"/>
    <n v="40"/>
    <s v="West"/>
    <s v="Mar-24"/>
  </r>
  <r>
    <s v="ORD-00529"/>
    <x v="196"/>
    <s v="CUST-0246"/>
    <s v="PROD-028"/>
    <s v="R028"/>
    <n v="6"/>
    <n v="3660"/>
    <n v="10.6"/>
    <n v="19632.240000000002"/>
    <s v="Completed"/>
    <s v="Delhi"/>
    <s v="Grocery"/>
    <m/>
    <s v="SMB"/>
    <n v="29"/>
    <s v="North"/>
    <s v="Sep-24"/>
  </r>
  <r>
    <s v="ORD-00530"/>
    <x v="147"/>
    <s v="CUST-0075"/>
    <s v="PROD-003"/>
    <s v="R028"/>
    <n v="10"/>
    <n v="3570"/>
    <n v="1.2"/>
    <n v="35271.599999999999"/>
    <s v="Completed"/>
    <s v="Mumbai"/>
    <s v="Electronics"/>
    <m/>
    <s v="Corporate"/>
    <n v="55"/>
    <m/>
    <m/>
  </r>
  <r>
    <s v="ORD-00531"/>
    <x v="176"/>
    <s v="CUST-0298"/>
    <s v="PROD-035"/>
    <s v="R009"/>
    <n v="8"/>
    <n v="1090"/>
    <n v="13.2"/>
    <n v="7568.96"/>
    <s v="Refunded"/>
    <s v="Delhi"/>
    <s v="Home"/>
    <m/>
    <s v="Retail"/>
    <n v="44"/>
    <m/>
    <m/>
  </r>
  <r>
    <s v="ORD-00532"/>
    <x v="153"/>
    <s v="CUST-0165"/>
    <s v="PROD-014"/>
    <s v="R018"/>
    <n v="8"/>
    <n v="3620"/>
    <n v="29"/>
    <n v="20561.599999999999"/>
    <s v="Completed"/>
    <s v="Pune"/>
    <s v="Apparel"/>
    <m/>
    <s v="Retail"/>
    <n v="29"/>
    <s v="South"/>
    <s v="Sep-24"/>
  </r>
  <r>
    <s v="ORD-00533"/>
    <x v="289"/>
    <s v="CUST-0033"/>
    <s v="PROD-046"/>
    <s v="R010"/>
    <n v="7"/>
    <n v="4880"/>
    <n v="25.6"/>
    <n v="25415.040000000001"/>
    <s v="Refunded"/>
    <s v="Delhi"/>
    <s v="Beauty"/>
    <m/>
    <s v="Retail"/>
    <n v="35"/>
    <s v="East"/>
    <s v="Jan-24"/>
  </r>
  <r>
    <s v="ORD-00534"/>
    <x v="224"/>
    <s v="CUST-0205"/>
    <s v="PROD-053"/>
    <s v="R028"/>
    <n v="2"/>
    <n v="470"/>
    <n v="9.6999999999999993"/>
    <n v="848.82"/>
    <s v="Completed"/>
    <s v="Pune"/>
    <s v="Sports"/>
    <m/>
    <s v="Corporate"/>
    <n v="29"/>
    <s v="South"/>
    <s v="Sep-24"/>
  </r>
  <r>
    <s v="ORD-00535"/>
    <x v="149"/>
    <s v="CUST-0037"/>
    <s v="PROD-042"/>
    <s v="R022"/>
    <n v="6"/>
    <n v="2290"/>
    <n v="8.9"/>
    <n v="12517.14"/>
    <s v="Completed"/>
    <s v="Bengaluru"/>
    <s v="Beauty"/>
    <m/>
    <s v="Retail"/>
    <n v="52"/>
    <m/>
    <m/>
  </r>
  <r>
    <s v="ORD-00536"/>
    <x v="290"/>
    <s v="CUST-0228"/>
    <s v="PROD-023"/>
    <s v="R010"/>
    <n v="3"/>
    <n v="2380"/>
    <n v="2.7"/>
    <n v="6947.22"/>
    <s v="Pending"/>
    <s v="Pune"/>
    <s v="Grocery"/>
    <m/>
    <s v="Corporate"/>
    <n v="37"/>
    <s v="East"/>
    <s v="Sep-24"/>
  </r>
  <r>
    <s v="ORD-00537"/>
    <x v="270"/>
    <s v="CUST-0279"/>
    <s v="PROD-023"/>
    <s v="R008"/>
    <n v="9"/>
    <n v="2380"/>
    <n v="20.100000000000001"/>
    <n v="17114.580000000002"/>
    <s v="Completed"/>
    <s v="Mumbai"/>
    <s v="Grocery"/>
    <m/>
    <s v="Retail"/>
    <n v="56"/>
    <m/>
    <m/>
  </r>
  <r>
    <s v="ORD-00538"/>
    <x v="291"/>
    <s v="CUST-0271"/>
    <s v="PROD-052"/>
    <s v="R014"/>
    <n v="8"/>
    <n v="5410"/>
    <n v="11.2"/>
    <n v="38432.639999999999"/>
    <s v="Completed"/>
    <s v="Bengaluru"/>
    <s v="Sports"/>
    <m/>
    <s v="Corporate"/>
    <n v="41"/>
    <m/>
    <m/>
  </r>
  <r>
    <s v="ORD-00539"/>
    <x v="150"/>
    <s v="CUST-0127"/>
    <s v="PROD-007"/>
    <s v="R008"/>
    <n v="1"/>
    <n v="1430"/>
    <n v="19.600000000000001"/>
    <n v="1149.72"/>
    <s v="Completed"/>
    <s v="Bengaluru"/>
    <s v="Electronics"/>
    <m/>
    <s v="SMB"/>
    <n v="36"/>
    <s v="South"/>
    <s v="Jan-24"/>
  </r>
  <r>
    <s v="ORD-00540"/>
    <x v="292"/>
    <s v="CUST-0007"/>
    <s v="PROD-058"/>
    <s v="R027"/>
    <n v="9"/>
    <n v="2400"/>
    <n v="5"/>
    <n v="20520"/>
    <s v="Completed"/>
    <s v="Bengaluru"/>
    <s v="Sports"/>
    <m/>
    <s v="Retail"/>
    <n v="47"/>
    <m/>
    <m/>
  </r>
  <r>
    <s v="ORD-00541"/>
    <x v="293"/>
    <s v="CUST-0005"/>
    <s v="PROD-027"/>
    <s v="R001"/>
    <n v="1"/>
    <n v="3780"/>
    <n v="4.7"/>
    <n v="3602.34"/>
    <s v="Completed"/>
    <s v="Chennai"/>
    <s v="Grocery"/>
    <m/>
    <s v="Corporate"/>
    <n v="52"/>
    <m/>
    <m/>
  </r>
  <r>
    <s v="ORD-00542"/>
    <x v="95"/>
    <s v="CUST-0072"/>
    <s v="PROD-016"/>
    <s v="R019"/>
    <n v="2"/>
    <n v="620"/>
    <n v="8"/>
    <n v="1140.8"/>
    <s v="Completed"/>
    <s v="Mumbai"/>
    <s v="Apparel"/>
    <m/>
    <s v="Corporate"/>
    <n v="62"/>
    <m/>
    <m/>
  </r>
  <r>
    <s v="ORD-00543"/>
    <x v="229"/>
    <s v="CUST-0167"/>
    <s v="PROD-060"/>
    <s v="R007"/>
    <n v="3"/>
    <n v="190"/>
    <n v="17.899999999999999"/>
    <n v="467.97"/>
    <s v="Pending"/>
    <s v="Delhi"/>
    <s v="Sports"/>
    <m/>
    <s v="Retail"/>
    <n v="43"/>
    <m/>
    <m/>
  </r>
  <r>
    <s v="ORD-00544"/>
    <x v="10"/>
    <s v="CUST-0244"/>
    <s v="PROD-014"/>
    <s v="R019"/>
    <n v="2"/>
    <n v="3620"/>
    <n v="15.5"/>
    <n v="6117.8"/>
    <s v="Completed"/>
    <s v="Bengaluru"/>
    <s v="Apparel"/>
    <m/>
    <s v="Retail"/>
    <n v="61"/>
    <m/>
    <m/>
  </r>
  <r>
    <s v="ORD-00545"/>
    <x v="294"/>
    <s v="CUST-0086"/>
    <s v="PROD-055"/>
    <s v="R018"/>
    <n v="5"/>
    <n v="2860"/>
    <n v="26.8"/>
    <n v="10467.6"/>
    <s v="Completed"/>
    <s v="Hyderabad"/>
    <s v="Sports"/>
    <m/>
    <s v="Corporate"/>
    <n v="56"/>
    <m/>
    <m/>
  </r>
  <r>
    <s v="ORD-00546"/>
    <x v="198"/>
    <s v="CUST-0091"/>
    <s v="PROD-058"/>
    <s v="R023"/>
    <n v="6"/>
    <n v="2400"/>
    <n v="19.2"/>
    <n v="11635.2"/>
    <s v="Cancelled"/>
    <s v="Delhi"/>
    <s v="Sports"/>
    <m/>
    <s v="Retail"/>
    <n v="55"/>
    <m/>
    <m/>
  </r>
  <r>
    <s v="ORD-00547"/>
    <x v="14"/>
    <s v="CUST-0169"/>
    <s v="PROD-034"/>
    <s v="R009"/>
    <n v="7"/>
    <n v="5080"/>
    <n v="16.600000000000001"/>
    <n v="29657.040000000001"/>
    <s v="Pending"/>
    <s v="Bengaluru"/>
    <s v="Home"/>
    <m/>
    <s v="SMB"/>
    <n v="42"/>
    <m/>
    <m/>
  </r>
  <r>
    <s v="ORD-00548"/>
    <x v="295"/>
    <s v="CUST-0273"/>
    <s v="PROD-034"/>
    <s v="R015"/>
    <n v="10"/>
    <n v="5080"/>
    <n v="24.6"/>
    <n v="38303.199999999997"/>
    <s v="Completed"/>
    <s v="Hyderabad"/>
    <s v="Home"/>
    <m/>
    <s v="Corporate"/>
    <n v="32"/>
    <s v="South"/>
    <s v="Sep-24"/>
  </r>
  <r>
    <s v="ORD-00549"/>
    <x v="147"/>
    <s v="CUST-0233"/>
    <s v="PROD-057"/>
    <s v="R008"/>
    <n v="7"/>
    <n v="960"/>
    <n v="16.600000000000001"/>
    <n v="5604.48"/>
    <s v="Completed"/>
    <s v="Mumbai"/>
    <s v="Sports"/>
    <m/>
    <s v="SMB"/>
    <n v="65"/>
    <m/>
    <m/>
  </r>
  <r>
    <s v="ORD-00550"/>
    <x v="296"/>
    <s v="CUST-0175"/>
    <s v="PROD-028"/>
    <s v="R028"/>
    <n v="3"/>
    <n v="3660"/>
    <n v="3.2"/>
    <n v="10628.64"/>
    <s v="Pending"/>
    <s v="Delhi"/>
    <s v="Grocery"/>
    <m/>
    <s v="Corporate"/>
    <n v="55"/>
    <m/>
    <m/>
  </r>
  <r>
    <s v="ORD-00551"/>
    <x v="160"/>
    <s v="CUST-0241"/>
    <s v="PROD-010"/>
    <s v="R009"/>
    <n v="6"/>
    <n v="2640"/>
    <n v="26.3"/>
    <n v="11674.08"/>
    <s v="Completed"/>
    <s v="Pune"/>
    <s v="Electronics"/>
    <m/>
    <s v="Corporate"/>
    <n v="47"/>
    <m/>
    <m/>
  </r>
  <r>
    <s v="ORD-00552"/>
    <x v="254"/>
    <s v="CUST-0024"/>
    <s v="PROD-009"/>
    <s v="R009"/>
    <n v="6"/>
    <n v="1220"/>
    <n v="22.3"/>
    <n v="5687.64"/>
    <s v="Cancelled"/>
    <s v="Chennai"/>
    <s v="Electronics"/>
    <m/>
    <s v="SMB"/>
    <n v="64"/>
    <m/>
    <m/>
  </r>
  <r>
    <s v="ORD-00553"/>
    <x v="138"/>
    <s v="CUST-0252"/>
    <s v="PROD-005"/>
    <s v="R013"/>
    <n v="1"/>
    <n v="300"/>
    <n v="0.7"/>
    <n v="297.89999999999998"/>
    <s v="Completed"/>
    <s v="Bengaluru"/>
    <s v="Electronics"/>
    <m/>
    <s v="Retail"/>
    <n v="27"/>
    <s v="South"/>
    <s v="Sep-24"/>
  </r>
  <r>
    <s v="ORD-00554"/>
    <x v="43"/>
    <s v="CUST-0245"/>
    <s v="PROD-054"/>
    <s v="R020"/>
    <n v="2"/>
    <n v="1010"/>
    <n v="28"/>
    <n v="1454.4"/>
    <s v="Completed"/>
    <s v="Hyderabad"/>
    <s v="Sports"/>
    <m/>
    <s v="Retail"/>
    <n v="65"/>
    <m/>
    <m/>
  </r>
  <r>
    <s v="ORD-00555"/>
    <x v="192"/>
    <s v="CUST-0046"/>
    <s v="PROD-002"/>
    <s v="R011"/>
    <n v="5"/>
    <n v="2600"/>
    <n v="0.8"/>
    <n v="12896"/>
    <s v="Cancelled"/>
    <s v="Delhi"/>
    <s v="Electronics"/>
    <m/>
    <s v="SMB"/>
    <n v="45"/>
    <m/>
    <m/>
  </r>
  <r>
    <s v="ORD-00556"/>
    <x v="186"/>
    <s v="CUST-0050"/>
    <s v="PROD-056"/>
    <s v="R026"/>
    <n v="3"/>
    <n v="6940"/>
    <n v="10.7"/>
    <n v="18592.259999999998"/>
    <s v="Cancelled"/>
    <s v="Mumbai"/>
    <s v="Sports"/>
    <m/>
    <s v="Retail"/>
    <n v="37"/>
    <s v="South"/>
    <s v="Apr-24"/>
  </r>
  <r>
    <s v="ORD-00557"/>
    <x v="297"/>
    <s v="CUST-0227"/>
    <s v="PROD-032"/>
    <s v="R011"/>
    <n v="1"/>
    <n v="370"/>
    <n v="10.3"/>
    <n v="331.89"/>
    <s v="Refunded"/>
    <s v="Bengaluru"/>
    <s v="Home"/>
    <m/>
    <s v="SMB"/>
    <n v="44"/>
    <m/>
    <m/>
  </r>
  <r>
    <s v="ORD-00558"/>
    <x v="298"/>
    <s v="CUST-0218"/>
    <s v="PROD-027"/>
    <s v="R029"/>
    <n v="2"/>
    <n v="3780"/>
    <n v="29.4"/>
    <n v="5337.36"/>
    <s v="Completed"/>
    <s v="Mumbai"/>
    <s v="Grocery"/>
    <m/>
    <s v="Retail"/>
    <n v="39"/>
    <s v="South"/>
    <s v="Oct-24"/>
  </r>
  <r>
    <s v="ORD-00559"/>
    <x v="39"/>
    <s v="CUST-0087"/>
    <s v="PROD-030"/>
    <s v="R022"/>
    <n v="5"/>
    <n v="970"/>
    <n v="14.6"/>
    <n v="4141.8999999999996"/>
    <s v="Completed"/>
    <s v="Pune"/>
    <s v="Grocery"/>
    <m/>
    <s v="SMB"/>
    <n v="49"/>
    <m/>
    <m/>
  </r>
  <r>
    <s v="ORD-00560"/>
    <x v="117"/>
    <s v="CUST-0209"/>
    <s v="PROD-022"/>
    <s v="R002"/>
    <n v="3"/>
    <n v="2270"/>
    <n v="6.5"/>
    <n v="6367.35"/>
    <s v="Completed"/>
    <s v="Pune"/>
    <s v="Grocery"/>
    <m/>
    <s v="Retail"/>
    <n v="31"/>
    <s v="East"/>
    <s v="May-24"/>
  </r>
  <r>
    <s v="ORD-00561"/>
    <x v="299"/>
    <s v="CUST-0212"/>
    <s v="PROD-041"/>
    <s v="R029"/>
    <n v="10"/>
    <n v="1540"/>
    <n v="16.5"/>
    <n v="12859"/>
    <s v="Completed"/>
    <s v="Chennai"/>
    <s v="Beauty"/>
    <m/>
    <s v="SMB"/>
    <n v="46"/>
    <m/>
    <m/>
  </r>
  <r>
    <s v="ORD-00562"/>
    <x v="51"/>
    <s v="CUST-0180"/>
    <s v="PROD-021"/>
    <s v="R017"/>
    <n v="4"/>
    <n v="2760"/>
    <n v="19.8"/>
    <n v="8854.08"/>
    <s v="Completed"/>
    <s v="Chennai"/>
    <s v="Grocery"/>
    <m/>
    <s v="Retail"/>
    <n v="36"/>
    <s v="West"/>
    <s v="Jun-24"/>
  </r>
  <r>
    <s v="ORD-00563"/>
    <x v="10"/>
    <s v="CUST-0025"/>
    <s v="PROD-024"/>
    <s v="R030"/>
    <n v="3"/>
    <n v="2270"/>
    <n v="29.5"/>
    <n v="4801.05"/>
    <s v="Refunded"/>
    <s v="Bengaluru"/>
    <s v="Grocery"/>
    <m/>
    <s v="Retail"/>
    <n v="23"/>
    <s v="East"/>
    <s v="Dec-24"/>
  </r>
  <r>
    <s v="ORD-00564"/>
    <x v="196"/>
    <s v="CUST-0271"/>
    <s v="PROD-045"/>
    <s v="R015"/>
    <n v="8"/>
    <n v="3020"/>
    <n v="1.2"/>
    <n v="23870.080000000002"/>
    <s v="Completed"/>
    <s v="Bengaluru"/>
    <s v="Beauty"/>
    <m/>
    <s v="Corporate"/>
    <n v="41"/>
    <m/>
    <m/>
  </r>
  <r>
    <s v="ORD-00565"/>
    <x v="156"/>
    <s v="CUST-0026"/>
    <s v="PROD-023"/>
    <s v="R018"/>
    <n v="6"/>
    <n v="2380"/>
    <n v="20.399999999999999"/>
    <n v="11366.88"/>
    <s v="Completed"/>
    <s v="Pune"/>
    <s v="Grocery"/>
    <m/>
    <s v="Retail"/>
    <n v="62"/>
    <m/>
    <m/>
  </r>
  <r>
    <s v="ORD-00566"/>
    <x v="19"/>
    <s v="CUST-0058"/>
    <s v="PROD-056"/>
    <s v="R028"/>
    <n v="1"/>
    <n v="6940"/>
    <n v="15"/>
    <n v="5899"/>
    <s v="Cancelled"/>
    <s v="Bengaluru"/>
    <s v="Sports"/>
    <m/>
    <s v="SMB"/>
    <n v="49"/>
    <m/>
    <m/>
  </r>
  <r>
    <s v="ORD-00567"/>
    <x v="16"/>
    <s v="CUST-0033"/>
    <s v="PROD-008"/>
    <s v="R010"/>
    <n v="1"/>
    <n v="2660"/>
    <n v="11.6"/>
    <n v="2351.44"/>
    <s v="Completed"/>
    <s v="Delhi"/>
    <s v="Electronics"/>
    <m/>
    <s v="Retail"/>
    <n v="35"/>
    <s v="West"/>
    <s v="Jun-24"/>
  </r>
  <r>
    <s v="ORD-00568"/>
    <x v="289"/>
    <s v="CUST-0057"/>
    <s v="PROD-030"/>
    <s v="R013"/>
    <n v="4"/>
    <n v="970"/>
    <n v="11.6"/>
    <n v="3429.92"/>
    <s v="Completed"/>
    <s v="Pune"/>
    <s v="Grocery"/>
    <m/>
    <s v="Retail"/>
    <n v="35"/>
    <s v="South"/>
    <s v="Dec-24"/>
  </r>
  <r>
    <s v="ORD-00569"/>
    <x v="215"/>
    <s v="CUST-0231"/>
    <s v="PROD-022"/>
    <s v="R002"/>
    <n v="7"/>
    <n v="2270"/>
    <n v="27.9"/>
    <n v="11456.69"/>
    <s v="Completed"/>
    <s v="Chennai"/>
    <s v="Grocery"/>
    <m/>
    <s v="Retail"/>
    <n v="61"/>
    <m/>
    <m/>
  </r>
  <r>
    <s v="ORD-00570"/>
    <x v="300"/>
    <s v="CUST-0031"/>
    <s v="PROD-054"/>
    <s v="R016"/>
    <n v="8"/>
    <n v="1010"/>
    <n v="13.7"/>
    <n v="6973.04"/>
    <s v="Cancelled"/>
    <s v="Hyderabad"/>
    <s v="Sports"/>
    <m/>
    <s v="Retail"/>
    <n v="53"/>
    <m/>
    <m/>
  </r>
  <r>
    <s v="ORD-00571"/>
    <x v="259"/>
    <s v="CUST-0228"/>
    <s v="PROD-023"/>
    <s v="R001"/>
    <n v="8"/>
    <n v="2380"/>
    <n v="15.3"/>
    <n v="16126.88"/>
    <s v="Cancelled"/>
    <s v="Pune"/>
    <s v="Grocery"/>
    <m/>
    <s v="Corporate"/>
    <n v="37"/>
    <s v="South"/>
    <s v="Jan-24"/>
  </r>
  <r>
    <s v="ORD-00572"/>
    <x v="142"/>
    <s v="CUST-0127"/>
    <s v="PROD-053"/>
    <s v="R018"/>
    <n v="10"/>
    <n v="470"/>
    <n v="2.1"/>
    <n v="4601.3"/>
    <s v="Completed"/>
    <s v="Bengaluru"/>
    <s v="Sports"/>
    <m/>
    <s v="SMB"/>
    <n v="36"/>
    <s v="North"/>
    <s v="Feb-24"/>
  </r>
  <r>
    <s v="ORD-00573"/>
    <x v="178"/>
    <s v="CUST-0117"/>
    <s v="PROD-048"/>
    <s v="R025"/>
    <n v="5"/>
    <n v="5100"/>
    <n v="9.6999999999999993"/>
    <n v="23026.5"/>
    <s v="Completed"/>
    <s v="Delhi"/>
    <s v="Beauty"/>
    <m/>
    <s v="SMB"/>
    <n v="34"/>
    <s v="East"/>
    <s v="Dec-24"/>
  </r>
  <r>
    <s v="ORD-00574"/>
    <x v="73"/>
    <s v="CUST-0159"/>
    <s v="PROD-049"/>
    <s v="R026"/>
    <n v="9"/>
    <n v="960"/>
    <n v="17.7"/>
    <n v="7110.72"/>
    <s v="Completed"/>
    <s v="Hyderabad"/>
    <s v="Beauty"/>
    <m/>
    <s v="Retail"/>
    <n v="32"/>
    <s v="West"/>
    <s v="Jul-24"/>
  </r>
  <r>
    <s v="ORD-00575"/>
    <x v="35"/>
    <s v="CUST-0064"/>
    <s v="PROD-026"/>
    <s v="R007"/>
    <n v="2"/>
    <n v="4070"/>
    <n v="2.1"/>
    <n v="7969.06"/>
    <s v="Completed"/>
    <s v="Hyderabad"/>
    <s v="Grocery"/>
    <m/>
    <s v="SMB"/>
    <n v="40"/>
    <s v="West"/>
    <s v="Apr-24"/>
  </r>
  <r>
    <s v="ORD-00576"/>
    <x v="243"/>
    <s v="CUST-0272"/>
    <s v="PROD-031"/>
    <s v="R021"/>
    <n v="5"/>
    <n v="3730"/>
    <n v="16.5"/>
    <n v="15572.75"/>
    <s v="Completed"/>
    <s v="Mumbai"/>
    <s v="Home"/>
    <m/>
    <s v="SMB"/>
    <n v="47"/>
    <m/>
    <m/>
  </r>
  <r>
    <s v="ORD-00577"/>
    <x v="55"/>
    <s v="CUST-0071"/>
    <s v="PROD-055"/>
    <s v="R022"/>
    <n v="1"/>
    <n v="2860"/>
    <n v="10.4"/>
    <n v="2562.56"/>
    <s v="Cancelled"/>
    <s v="Delhi"/>
    <s v="Sports"/>
    <m/>
    <s v="Corporate"/>
    <n v="46"/>
    <m/>
    <m/>
  </r>
  <r>
    <s v="ORD-00578"/>
    <x v="11"/>
    <s v="CUST-0045"/>
    <s v="PROD-046"/>
    <s v="R018"/>
    <n v="4"/>
    <n v="4880"/>
    <n v="27.5"/>
    <n v="14152"/>
    <s v="Pending"/>
    <s v="Chennai"/>
    <s v="Beauty"/>
    <m/>
    <s v="SMB"/>
    <n v="39"/>
    <s v="East"/>
    <s v="Oct-24"/>
  </r>
  <r>
    <s v="ORD-00579"/>
    <x v="19"/>
    <s v="CUST-0148"/>
    <s v="PROD-022"/>
    <s v="R022"/>
    <n v="3"/>
    <n v="2270"/>
    <n v="6.7"/>
    <n v="6353.73"/>
    <s v="Completed"/>
    <s v="Chennai"/>
    <s v="Grocery"/>
    <m/>
    <s v="Retail"/>
    <n v="32"/>
    <s v="East"/>
    <s v="Aug-24"/>
  </r>
  <r>
    <s v="ORD-00580"/>
    <x v="55"/>
    <s v="CUST-0097"/>
    <s v="PROD-025"/>
    <s v="R007"/>
    <n v="10"/>
    <n v="4060"/>
    <n v="3.6"/>
    <n v="39138.400000000001"/>
    <s v="Pending"/>
    <s v="Mumbai"/>
    <s v="Grocery"/>
    <m/>
    <s v="Retail"/>
    <n v="65"/>
    <m/>
    <m/>
  </r>
  <r>
    <s v="ORD-00581"/>
    <x v="301"/>
    <s v="CUST-0151"/>
    <s v="PROD-010"/>
    <s v="R004"/>
    <n v="8"/>
    <n v="2640"/>
    <n v="28.8"/>
    <n v="15037.44"/>
    <s v="Completed"/>
    <s v="Mumbai"/>
    <s v="Electronics"/>
    <m/>
    <s v="Retail"/>
    <n v="53"/>
    <m/>
    <m/>
  </r>
  <r>
    <s v="ORD-00582"/>
    <x v="302"/>
    <s v="CUST-0048"/>
    <s v="PROD-031"/>
    <s v="R012"/>
    <n v="6"/>
    <n v="3730"/>
    <n v="21.9"/>
    <n v="17478.78"/>
    <s v="Completed"/>
    <s v="Delhi"/>
    <s v="Home"/>
    <m/>
    <s v="Retail"/>
    <n v="59"/>
    <m/>
    <m/>
  </r>
  <r>
    <s v="ORD-00583"/>
    <x v="68"/>
    <s v="CUST-0048"/>
    <s v="PROD-001"/>
    <s v="R006"/>
    <n v="9"/>
    <n v="5330"/>
    <n v="29.4"/>
    <n v="33866.82"/>
    <s v="Cancelled"/>
    <s v="Delhi"/>
    <s v="Electronics"/>
    <m/>
    <s v="Retail"/>
    <n v="59"/>
    <m/>
    <m/>
  </r>
  <r>
    <s v="ORD-00584"/>
    <x v="94"/>
    <s v="CUST-0156"/>
    <s v="PROD-011"/>
    <s v="R027"/>
    <n v="1"/>
    <n v="3450"/>
    <n v="23.3"/>
    <n v="2646.15"/>
    <s v="Completed"/>
    <s v="Mumbai"/>
    <s v="Apparel"/>
    <m/>
    <s v="Retail"/>
    <n v="33"/>
    <s v="North"/>
    <s v="May-24"/>
  </r>
  <r>
    <s v="ORD-00585"/>
    <x v="227"/>
    <s v="CUST-0022"/>
    <s v="PROD-050"/>
    <s v="R017"/>
    <n v="3"/>
    <n v="6080"/>
    <n v="14.5"/>
    <n v="15595.2"/>
    <s v="Completed"/>
    <s v="Bengaluru"/>
    <s v="Beauty"/>
    <m/>
    <s v="Corporate"/>
    <n v="55"/>
    <m/>
    <m/>
  </r>
  <r>
    <s v="ORD-00586"/>
    <x v="303"/>
    <s v="CUST-0193"/>
    <s v="PROD-031"/>
    <s v="R002"/>
    <n v="4"/>
    <n v="3730"/>
    <n v="3.4"/>
    <n v="14412.72"/>
    <s v="Cancelled"/>
    <s v="Bengaluru"/>
    <s v="Home"/>
    <m/>
    <s v="Retail"/>
    <n v="42"/>
    <m/>
    <m/>
  </r>
  <r>
    <s v="ORD-00587"/>
    <x v="304"/>
    <s v="CUST-0189"/>
    <s v="PROD-008"/>
    <s v="R022"/>
    <n v="10"/>
    <n v="2660"/>
    <n v="2.1"/>
    <n v="26041.4"/>
    <s v="Completed"/>
    <s v="Chennai"/>
    <s v="Electronics"/>
    <m/>
    <s v="Retail"/>
    <n v="41"/>
    <m/>
    <m/>
  </r>
  <r>
    <s v="ORD-00588"/>
    <x v="41"/>
    <s v="CUST-0101"/>
    <s v="PROD-029"/>
    <s v="R021"/>
    <n v="7"/>
    <n v="2210"/>
    <n v="17.100000000000001"/>
    <n v="12824.63"/>
    <s v="Completed"/>
    <s v="Hyderabad"/>
    <s v="Grocery"/>
    <m/>
    <s v="SMB"/>
    <n v="40"/>
    <s v="East"/>
    <s v="Jul-24"/>
  </r>
  <r>
    <s v="ORD-00589"/>
    <x v="84"/>
    <s v="CUST-0006"/>
    <s v="PROD-059"/>
    <s v="R013"/>
    <n v="6"/>
    <n v="3780"/>
    <n v="12.7"/>
    <n v="19799.64"/>
    <s v="Completed"/>
    <s v="Pune"/>
    <s v="Sports"/>
    <m/>
    <s v="SMB"/>
    <n v="44"/>
    <m/>
    <m/>
  </r>
  <r>
    <s v="ORD-00590"/>
    <x v="249"/>
    <s v="CUST-0235"/>
    <s v="PROD-038"/>
    <s v="R029"/>
    <n v="4"/>
    <n v="5490"/>
    <n v="26.9"/>
    <n v="16052.76"/>
    <s v="Completed"/>
    <s v="Chennai"/>
    <s v="Home"/>
    <m/>
    <s v="Retail"/>
    <n v="31"/>
    <s v="South"/>
    <s v="Nov-24"/>
  </r>
  <r>
    <s v="ORD-00591"/>
    <x v="116"/>
    <s v="CUST-0045"/>
    <s v="PROD-008"/>
    <s v="R013"/>
    <n v="9"/>
    <n v="2660"/>
    <n v="21.9"/>
    <n v="18697.14"/>
    <s v="Completed"/>
    <s v="Chennai"/>
    <s v="Electronics"/>
    <m/>
    <s v="SMB"/>
    <n v="39"/>
    <s v="West"/>
    <s v="Apr-24"/>
  </r>
  <r>
    <s v="ORD-00592"/>
    <x v="160"/>
    <s v="CUST-0028"/>
    <s v="PROD-056"/>
    <s v="R028"/>
    <n v="9"/>
    <n v="6940"/>
    <n v="8"/>
    <n v="57463.199999999997"/>
    <s v="Completed"/>
    <s v="Bengaluru"/>
    <s v="Sports"/>
    <m/>
    <s v="Retail"/>
    <n v="59"/>
    <m/>
    <m/>
  </r>
  <r>
    <s v="ORD-00593"/>
    <x v="73"/>
    <s v="CUST-0241"/>
    <s v="PROD-004"/>
    <s v="R006"/>
    <n v="1"/>
    <n v="3870"/>
    <n v="22.6"/>
    <n v="2995.38"/>
    <s v="Completed"/>
    <s v="Pune"/>
    <s v="Electronics"/>
    <m/>
    <s v="Corporate"/>
    <n v="47"/>
    <m/>
    <m/>
  </r>
  <r>
    <s v="ORD-00594"/>
    <x v="240"/>
    <s v="CUST-0278"/>
    <s v="PROD-035"/>
    <s v="R008"/>
    <n v="3"/>
    <n v="1090"/>
    <n v="28.1"/>
    <n v="2351.13"/>
    <s v="Completed"/>
    <s v="Hyderabad"/>
    <s v="Home"/>
    <m/>
    <s v="Retail"/>
    <n v="41"/>
    <m/>
    <m/>
  </r>
  <r>
    <s v="ORD-00595"/>
    <x v="111"/>
    <s v="CUST-0009"/>
    <s v="PROD-002"/>
    <s v="R001"/>
    <n v="2"/>
    <n v="2600"/>
    <n v="5.6"/>
    <n v="4908.8"/>
    <s v="Completed"/>
    <s v="Mumbai"/>
    <s v="Electronics"/>
    <m/>
    <s v="Retail"/>
    <n v="61"/>
    <m/>
    <m/>
  </r>
  <r>
    <s v="ORD-00596"/>
    <x v="54"/>
    <s v="CUST-0217"/>
    <s v="PROD-057"/>
    <s v="R020"/>
    <n v="4"/>
    <n v="960"/>
    <n v="21.7"/>
    <n v="3006.72"/>
    <s v="Completed"/>
    <s v="Pune"/>
    <s v="Sports"/>
    <m/>
    <s v="SMB"/>
    <n v="59"/>
    <m/>
    <m/>
  </r>
  <r>
    <s v="ORD-00597"/>
    <x v="80"/>
    <s v="CUST-0289"/>
    <s v="PROD-032"/>
    <s v="R026"/>
    <n v="6"/>
    <n v="370"/>
    <n v="22.5"/>
    <n v="1720.5"/>
    <s v="Completed"/>
    <s v="Mumbai"/>
    <s v="Home"/>
    <m/>
    <s v="Retail"/>
    <n v="54"/>
    <m/>
    <m/>
  </r>
  <r>
    <s v="ORD-00598"/>
    <x v="51"/>
    <s v="CUST-0176"/>
    <s v="PROD-034"/>
    <s v="R006"/>
    <n v="5"/>
    <n v="5080"/>
    <n v="23.8"/>
    <n v="19354.8"/>
    <s v="Completed"/>
    <s v="Bengaluru"/>
    <s v="Home"/>
    <m/>
    <s v="SMB"/>
    <n v="34"/>
    <s v="West"/>
    <s v="Aug-24"/>
  </r>
  <r>
    <s v="ORD-00599"/>
    <x v="67"/>
    <s v="CUST-0026"/>
    <s v="PROD-041"/>
    <s v="R003"/>
    <n v="5"/>
    <n v="1540"/>
    <n v="6.1"/>
    <n v="7230.3"/>
    <s v="Completed"/>
    <s v="Pune"/>
    <s v="Beauty"/>
    <m/>
    <s v="Retail"/>
    <n v="62"/>
    <m/>
    <m/>
  </r>
  <r>
    <s v="ORD-00600"/>
    <x v="305"/>
    <s v="CUST-0213"/>
    <s v="PROD-024"/>
    <s v="R015"/>
    <n v="7"/>
    <n v="2270"/>
    <n v="0.4"/>
    <n v="15826.44"/>
    <s v="Completed"/>
    <s v="Mumbai"/>
    <s v="Grocery"/>
    <m/>
    <s v="Retail"/>
    <n v="37"/>
    <s v="North"/>
    <s v="Mar-24"/>
  </r>
  <r>
    <s v="ORD-00601"/>
    <x v="236"/>
    <s v="CUST-0190"/>
    <s v="PROD-057"/>
    <s v="R015"/>
    <n v="2"/>
    <n v="960"/>
    <n v="3.7"/>
    <n v="1848.96"/>
    <s v="Completed"/>
    <s v="Hyderabad"/>
    <s v="Sports"/>
    <m/>
    <s v="Retail"/>
    <n v="52"/>
    <m/>
    <m/>
  </r>
  <r>
    <s v="ORD-00602"/>
    <x v="306"/>
    <s v="CUST-0150"/>
    <s v="PROD-007"/>
    <s v="R027"/>
    <n v="6"/>
    <n v="1430"/>
    <n v="2"/>
    <n v="8408.4"/>
    <s v="Pending"/>
    <s v="Pune"/>
    <s v="Electronics"/>
    <m/>
    <s v="SMB"/>
    <n v="53"/>
    <m/>
    <m/>
  </r>
  <r>
    <s v="ORD-00603"/>
    <x v="276"/>
    <s v="CUST-0129"/>
    <s v="PROD-047"/>
    <s v="R006"/>
    <n v="10"/>
    <n v="3450"/>
    <n v="19.100000000000001"/>
    <n v="27910.5"/>
    <s v="Completed"/>
    <s v="Hyderabad"/>
    <s v="Beauty"/>
    <m/>
    <s v="Retail"/>
    <n v="29"/>
    <s v="West"/>
    <s v="Apr-24"/>
  </r>
  <r>
    <s v="ORD-00604"/>
    <x v="249"/>
    <s v="CUST-0080"/>
    <s v="PROD-009"/>
    <s v="R026"/>
    <n v="8"/>
    <n v="1220"/>
    <n v="16.899999999999999"/>
    <n v="8110.56"/>
    <s v="Completed"/>
    <s v="Pune"/>
    <s v="Electronics"/>
    <m/>
    <s v="SMB"/>
    <n v="30"/>
    <s v="North"/>
    <s v="Oct-24"/>
  </r>
  <r>
    <s v="ORD-00605"/>
    <x v="96"/>
    <s v="CUST-0034"/>
    <s v="PROD-021"/>
    <s v="R020"/>
    <n v="9"/>
    <n v="2760"/>
    <n v="16.899999999999999"/>
    <n v="20642.04"/>
    <s v="Completed"/>
    <s v="Delhi"/>
    <s v="Grocery"/>
    <m/>
    <s v="Retail"/>
    <n v="47"/>
    <m/>
    <m/>
  </r>
  <r>
    <s v="ORD-00606"/>
    <x v="106"/>
    <s v="CUST-0179"/>
    <s v="PROD-043"/>
    <s v="R017"/>
    <n v="6"/>
    <n v="3350"/>
    <n v="11.8"/>
    <n v="17728.2"/>
    <s v="Pending"/>
    <s v="Mumbai"/>
    <s v="Beauty"/>
    <m/>
    <s v="SMB"/>
    <n v="54"/>
    <m/>
    <m/>
  </r>
  <r>
    <s v="ORD-00607"/>
    <x v="23"/>
    <s v="CUST-0176"/>
    <s v="PROD-048"/>
    <s v="R013"/>
    <n v="6"/>
    <n v="5100"/>
    <n v="13.2"/>
    <n v="26560.799999999999"/>
    <s v="Completed"/>
    <s v="Bengaluru"/>
    <s v="Beauty"/>
    <m/>
    <s v="SMB"/>
    <n v="34"/>
    <s v="East"/>
    <s v="Oct-24"/>
  </r>
  <r>
    <s v="ORD-00608"/>
    <x v="267"/>
    <s v="CUST-0144"/>
    <s v="PROD-010"/>
    <s v="R027"/>
    <n v="6"/>
    <n v="2640"/>
    <n v="26.2"/>
    <n v="11689.92"/>
    <s v="Completed"/>
    <s v="Chennai"/>
    <s v="Electronics"/>
    <m/>
    <s v="Retail"/>
    <n v="49"/>
    <m/>
    <m/>
  </r>
  <r>
    <s v="ORD-00609"/>
    <x v="111"/>
    <s v="CUST-0218"/>
    <s v="PROD-028"/>
    <s v="R016"/>
    <n v="1"/>
    <n v="3660"/>
    <n v="19.7"/>
    <n v="2938.98"/>
    <s v="Completed"/>
    <s v="Mumbai"/>
    <s v="Grocery"/>
    <m/>
    <s v="Retail"/>
    <n v="39"/>
    <s v="West"/>
    <s v="Jul-24"/>
  </r>
  <r>
    <s v="ORD-00610"/>
    <x v="290"/>
    <s v="CUST-0249"/>
    <s v="PROD-032"/>
    <s v="R027"/>
    <n v="5"/>
    <n v="370"/>
    <n v="21.7"/>
    <n v="1448.55"/>
    <s v="Completed"/>
    <s v="Mumbai"/>
    <s v="Home"/>
    <m/>
    <s v="Retail"/>
    <n v="44"/>
    <m/>
    <m/>
  </r>
  <r>
    <s v="ORD-00611"/>
    <x v="260"/>
    <s v="CUST-0092"/>
    <s v="PROD-016"/>
    <s v="R025"/>
    <n v="5"/>
    <n v="620"/>
    <n v="10.199999999999999"/>
    <n v="2783.8"/>
    <s v="Completed"/>
    <s v="Bengaluru"/>
    <s v="Apparel"/>
    <m/>
    <s v="SMB"/>
    <n v="28"/>
    <s v="West"/>
    <s v="Jun-24"/>
  </r>
  <r>
    <s v="ORD-00612"/>
    <x v="40"/>
    <s v="CUST-0245"/>
    <s v="PROD-053"/>
    <s v="R018"/>
    <n v="8"/>
    <n v="470"/>
    <n v="2.4"/>
    <n v="3669.76"/>
    <s v="Completed"/>
    <s v="Hyderabad"/>
    <s v="Sports"/>
    <m/>
    <s v="Retail"/>
    <n v="65"/>
    <m/>
    <m/>
  </r>
  <r>
    <s v="ORD-00613"/>
    <x v="294"/>
    <s v="CUST-0134"/>
    <s v="PROD-042"/>
    <s v="R005"/>
    <n v="3"/>
    <n v="2290"/>
    <n v="20.8"/>
    <n v="5441.04"/>
    <s v="Completed"/>
    <s v="Delhi"/>
    <s v="Beauty"/>
    <m/>
    <s v="Retail"/>
    <n v="40"/>
    <s v="East"/>
    <s v="Apr-24"/>
  </r>
  <r>
    <s v="ORD-00614"/>
    <x v="92"/>
    <s v="CUST-0063"/>
    <s v="PROD-057"/>
    <s v="R024"/>
    <n v="4"/>
    <n v="960"/>
    <n v="28.8"/>
    <n v="2734.08"/>
    <s v="Pending"/>
    <s v="Mumbai"/>
    <s v="Sports"/>
    <m/>
    <s v="SMB"/>
    <n v="53"/>
    <m/>
    <m/>
  </r>
  <r>
    <s v="ORD-00615"/>
    <x v="307"/>
    <s v="CUST-0172"/>
    <s v="PROD-028"/>
    <s v="R010"/>
    <n v="5"/>
    <n v="3660"/>
    <n v="11.9"/>
    <n v="16122.3"/>
    <s v="Pending"/>
    <s v="Pune"/>
    <s v="Grocery"/>
    <m/>
    <s v="Retail"/>
    <n v="65"/>
    <m/>
    <m/>
  </r>
  <r>
    <s v="ORD-00616"/>
    <x v="173"/>
    <s v="CUST-0139"/>
    <s v="PROD-003"/>
    <s v="R019"/>
    <n v="5"/>
    <n v="3570"/>
    <n v="12.4"/>
    <n v="15636.6"/>
    <s v="Completed"/>
    <s v="Hyderabad"/>
    <s v="Electronics"/>
    <m/>
    <s v="SMB"/>
    <n v="65"/>
    <m/>
    <m/>
  </r>
  <r>
    <s v="ORD-00617"/>
    <x v="246"/>
    <s v="CUST-0275"/>
    <s v="PROD-033"/>
    <s v="R017"/>
    <n v="9"/>
    <n v="2030"/>
    <n v="23.4"/>
    <n v="13994.82"/>
    <s v="Completed"/>
    <s v="Mumbai"/>
    <s v="Home"/>
    <m/>
    <s v="Retail"/>
    <n v="36"/>
    <s v="East"/>
    <s v="Jul-24"/>
  </r>
  <r>
    <s v="ORD-00618"/>
    <x v="60"/>
    <s v="CUST-0006"/>
    <s v="PROD-015"/>
    <s v="R024"/>
    <n v="7"/>
    <n v="2720"/>
    <n v="11.2"/>
    <n v="16907.52"/>
    <s v="Refunded"/>
    <s v="Pune"/>
    <s v="Apparel"/>
    <m/>
    <s v="SMB"/>
    <n v="44"/>
    <m/>
    <m/>
  </r>
  <r>
    <s v="ORD-00619"/>
    <x v="180"/>
    <s v="CUST-0279"/>
    <s v="PROD-003"/>
    <s v="R008"/>
    <n v="2"/>
    <n v="3570"/>
    <n v="6.1"/>
    <n v="6704.46"/>
    <s v="Cancelled"/>
    <s v="Mumbai"/>
    <s v="Electronics"/>
    <m/>
    <s v="Retail"/>
    <n v="56"/>
    <m/>
    <m/>
  </r>
  <r>
    <s v="ORD-00620"/>
    <x v="308"/>
    <s v="CUST-0093"/>
    <s v="PROD-058"/>
    <s v="R001"/>
    <n v="5"/>
    <n v="2400"/>
    <n v="16.100000000000001"/>
    <n v="10068"/>
    <s v="Completed"/>
    <s v="Pune"/>
    <s v="Sports"/>
    <m/>
    <s v="Retail"/>
    <n v="36"/>
    <s v="North"/>
    <s v="Dec-24"/>
  </r>
  <r>
    <s v="ORD-00621"/>
    <x v="95"/>
    <s v="CUST-0063"/>
    <s v="PROD-024"/>
    <s v="R002"/>
    <n v="4"/>
    <n v="2270"/>
    <n v="27.5"/>
    <n v="6583"/>
    <s v="Pending"/>
    <s v="Mumbai"/>
    <s v="Grocery"/>
    <m/>
    <s v="SMB"/>
    <n v="53"/>
    <m/>
    <m/>
  </r>
  <r>
    <s v="ORD-00622"/>
    <x v="89"/>
    <s v="CUST-0071"/>
    <s v="PROD-030"/>
    <s v="R012"/>
    <n v="1"/>
    <n v="970"/>
    <n v="12.7"/>
    <n v="846.81"/>
    <s v="Completed"/>
    <s v="Delhi"/>
    <s v="Grocery"/>
    <m/>
    <s v="Corporate"/>
    <n v="46"/>
    <m/>
    <m/>
  </r>
  <r>
    <s v="ORD-00623"/>
    <x v="246"/>
    <s v="CUST-0119"/>
    <s v="PROD-056"/>
    <s v="R018"/>
    <n v="5"/>
    <n v="6940"/>
    <n v="16.2"/>
    <n v="29078.6"/>
    <s v="Completed"/>
    <s v="Bengaluru"/>
    <s v="Sports"/>
    <m/>
    <s v="SMB"/>
    <n v="43"/>
    <m/>
    <m/>
  </r>
  <r>
    <s v="ORD-00624"/>
    <x v="261"/>
    <s v="CUST-0035"/>
    <s v="PROD-056"/>
    <s v="R009"/>
    <n v="4"/>
    <n v="6940"/>
    <n v="15.1"/>
    <n v="23568.240000000002"/>
    <s v="Completed"/>
    <s v="Hyderabad"/>
    <s v="Sports"/>
    <m/>
    <s v="Retail"/>
    <n v="53"/>
    <m/>
    <m/>
  </r>
  <r>
    <s v="ORD-00625"/>
    <x v="78"/>
    <s v="CUST-0042"/>
    <s v="PROD-054"/>
    <s v="R006"/>
    <n v="1"/>
    <n v="1010"/>
    <n v="1.7"/>
    <n v="992.83"/>
    <s v="Completed"/>
    <s v="Pune"/>
    <s v="Sports"/>
    <m/>
    <s v="Retail"/>
    <n v="25"/>
    <s v="South"/>
    <s v="Oct-24"/>
  </r>
  <r>
    <s v="ORD-00626"/>
    <x v="303"/>
    <s v="CUST-0033"/>
    <s v="PROD-004"/>
    <s v="R007"/>
    <n v="6"/>
    <n v="3870"/>
    <n v="12.2"/>
    <n v="20387.16"/>
    <s v="Completed"/>
    <s v="Delhi"/>
    <s v="Electronics"/>
    <m/>
    <s v="Retail"/>
    <n v="35"/>
    <s v="North"/>
    <s v="Oct-24"/>
  </r>
  <r>
    <s v="ORD-00627"/>
    <x v="309"/>
    <s v="CUST-0077"/>
    <s v="PROD-048"/>
    <s v="R011"/>
    <n v="9"/>
    <n v="5100"/>
    <n v="26.4"/>
    <n v="33782.400000000001"/>
    <s v="Completed"/>
    <s v="Hyderabad"/>
    <s v="Beauty"/>
    <m/>
    <s v="SMB"/>
    <n v="48"/>
    <m/>
    <m/>
  </r>
  <r>
    <s v="ORD-00628"/>
    <x v="310"/>
    <s v="CUST-0266"/>
    <s v="PROD-012"/>
    <s v="R008"/>
    <n v="2"/>
    <n v="3160"/>
    <n v="13.4"/>
    <n v="5473.12"/>
    <s v="Refunded"/>
    <s v="Pune"/>
    <s v="Apparel"/>
    <m/>
    <s v="Retail"/>
    <n v="65"/>
    <m/>
    <m/>
  </r>
  <r>
    <s v="ORD-00629"/>
    <x v="211"/>
    <s v="CUST-0272"/>
    <s v="PROD-029"/>
    <s v="R011"/>
    <n v="8"/>
    <n v="2210"/>
    <n v="26"/>
    <n v="13083.2"/>
    <s v="Completed"/>
    <s v="Mumbai"/>
    <s v="Grocery"/>
    <m/>
    <s v="SMB"/>
    <n v="47"/>
    <m/>
    <m/>
  </r>
  <r>
    <s v="ORD-00630"/>
    <x v="237"/>
    <s v="CUST-0253"/>
    <s v="PROD-018"/>
    <s v="R026"/>
    <n v="5"/>
    <n v="3560"/>
    <n v="15"/>
    <n v="15130"/>
    <s v="Completed"/>
    <s v="Delhi"/>
    <s v="Apparel"/>
    <m/>
    <s v="SMB"/>
    <n v="53"/>
    <m/>
    <m/>
  </r>
  <r>
    <s v="ORD-00631"/>
    <x v="142"/>
    <s v="CUST-0252"/>
    <s v="PROD-016"/>
    <s v="R010"/>
    <n v="10"/>
    <n v="620"/>
    <n v="15.8"/>
    <n v="5220.3999999999996"/>
    <s v="Refunded"/>
    <s v="Bengaluru"/>
    <s v="Apparel"/>
    <m/>
    <s v="Retail"/>
    <n v="27"/>
    <s v="West"/>
    <s v="Oct-24"/>
  </r>
  <r>
    <s v="ORD-00632"/>
    <x v="276"/>
    <s v="CUST-0097"/>
    <s v="PROD-021"/>
    <s v="R002"/>
    <n v="3"/>
    <n v="2760"/>
    <n v="1.9"/>
    <n v="8122.68"/>
    <s v="Cancelled"/>
    <s v="Mumbai"/>
    <s v="Grocery"/>
    <m/>
    <s v="Retail"/>
    <n v="65"/>
    <m/>
    <m/>
  </r>
  <r>
    <s v="ORD-00633"/>
    <x v="287"/>
    <s v="CUST-0283"/>
    <s v="PROD-054"/>
    <s v="R005"/>
    <n v="10"/>
    <n v="1010"/>
    <n v="28.9"/>
    <n v="7181.1"/>
    <s v="Completed"/>
    <s v="Delhi"/>
    <s v="Sports"/>
    <m/>
    <s v="SMB"/>
    <n v="50"/>
    <m/>
    <m/>
  </r>
  <r>
    <s v="ORD-00634"/>
    <x v="279"/>
    <s v="CUST-0064"/>
    <s v="PROD-013"/>
    <s v="R002"/>
    <n v="1"/>
    <n v="3640"/>
    <n v="9.6999999999999993"/>
    <n v="3286.92"/>
    <s v="Completed"/>
    <s v="Hyderabad"/>
    <s v="Apparel"/>
    <m/>
    <s v="SMB"/>
    <n v="40"/>
    <s v="North"/>
    <s v="Dec-24"/>
  </r>
  <r>
    <s v="ORD-00635"/>
    <x v="135"/>
    <s v="CUST-0143"/>
    <s v="PROD-020"/>
    <s v="R010"/>
    <n v="1"/>
    <n v="820"/>
    <n v="15"/>
    <n v="697"/>
    <s v="Completed"/>
    <s v="Chennai"/>
    <s v="Apparel"/>
    <m/>
    <s v="SMB"/>
    <n v="52"/>
    <m/>
    <m/>
  </r>
  <r>
    <s v="ORD-00636"/>
    <x v="305"/>
    <s v="CUST-0265"/>
    <s v="PROD-013"/>
    <s v="R011"/>
    <n v="4"/>
    <n v="3640"/>
    <n v="17"/>
    <n v="12084.8"/>
    <s v="Completed"/>
    <s v="Chennai"/>
    <s v="Apparel"/>
    <m/>
    <s v="Retail"/>
    <n v="49"/>
    <m/>
    <m/>
  </r>
  <r>
    <s v="ORD-00637"/>
    <x v="54"/>
    <s v="CUST-0158"/>
    <s v="PROD-023"/>
    <s v="R002"/>
    <n v="7"/>
    <n v="2380"/>
    <n v="25.5"/>
    <n v="12411.7"/>
    <s v="Completed"/>
    <s v="Pune"/>
    <s v="Grocery"/>
    <m/>
    <s v="Corporate"/>
    <n v="42"/>
    <m/>
    <m/>
  </r>
  <r>
    <s v="ORD-00638"/>
    <x v="311"/>
    <s v="CUST-0154"/>
    <s v="PROD-037"/>
    <s v="R008"/>
    <n v="1"/>
    <n v="660"/>
    <n v="2.5"/>
    <n v="643.5"/>
    <s v="Completed"/>
    <s v="Pune"/>
    <s v="Home"/>
    <m/>
    <s v="Retail"/>
    <n v="36"/>
    <s v="North"/>
    <s v="May-24"/>
  </r>
  <r>
    <s v="ORD-00639"/>
    <x v="177"/>
    <s v="CUST-0057"/>
    <s v="PROD-004"/>
    <s v="R020"/>
    <n v="7"/>
    <n v="3870"/>
    <n v="20.3"/>
    <n v="21590.73"/>
    <s v="Pending"/>
    <s v="Pune"/>
    <s v="Electronics"/>
    <m/>
    <s v="Retail"/>
    <n v="35"/>
    <s v="North"/>
    <s v="Nov-24"/>
  </r>
  <r>
    <s v="ORD-00640"/>
    <x v="176"/>
    <s v="CUST-0088"/>
    <s v="PROD-032"/>
    <s v="R016"/>
    <n v="10"/>
    <n v="370"/>
    <n v="1.3"/>
    <n v="3651.9"/>
    <s v="Refunded"/>
    <s v="Chennai"/>
    <s v="Home"/>
    <m/>
    <s v="Retail"/>
    <n v="24"/>
    <s v="East"/>
    <s v="Mar-24"/>
  </r>
  <r>
    <s v="ORD-00641"/>
    <x v="13"/>
    <s v="CUST-0064"/>
    <s v="PROD-014"/>
    <s v="R018"/>
    <n v="1"/>
    <n v="3620"/>
    <n v="1.4"/>
    <n v="3569.32"/>
    <s v="Completed"/>
    <s v="Hyderabad"/>
    <s v="Apparel"/>
    <m/>
    <s v="SMB"/>
    <n v="40"/>
    <s v="South"/>
    <s v="Sep-24"/>
  </r>
  <r>
    <s v="ORD-00642"/>
    <x v="308"/>
    <s v="CUST-0192"/>
    <s v="PROD-008"/>
    <s v="R005"/>
    <n v="10"/>
    <n v="2660"/>
    <n v="20.2"/>
    <n v="21226.799999999999"/>
    <s v="Completed"/>
    <s v="Bengaluru"/>
    <s v="Electronics"/>
    <m/>
    <s v="Retail"/>
    <n v="55"/>
    <m/>
    <m/>
  </r>
  <r>
    <s v="ORD-00643"/>
    <x v="105"/>
    <s v="CUST-0175"/>
    <s v="PROD-051"/>
    <s v="R015"/>
    <n v="10"/>
    <n v="3450"/>
    <n v="25.1"/>
    <n v="25840.5"/>
    <s v="Completed"/>
    <s v="Delhi"/>
    <s v="Sports"/>
    <m/>
    <s v="Corporate"/>
    <n v="55"/>
    <m/>
    <m/>
  </r>
  <r>
    <s v="ORD-00644"/>
    <x v="98"/>
    <s v="CUST-0083"/>
    <s v="PROD-025"/>
    <s v="R013"/>
    <n v="3"/>
    <n v="4060"/>
    <n v="2.5"/>
    <n v="11875.5"/>
    <s v="Refunded"/>
    <s v="Bengaluru"/>
    <s v="Grocery"/>
    <m/>
    <s v="Corporate"/>
    <n v="31"/>
    <s v="South"/>
    <s v="Nov-24"/>
  </r>
  <r>
    <s v="ORD-00645"/>
    <x v="137"/>
    <s v="CUST-0142"/>
    <s v="PROD-057"/>
    <s v="R021"/>
    <n v="3"/>
    <n v="960"/>
    <n v="6.6"/>
    <n v="2689.92"/>
    <s v="Cancelled"/>
    <s v="Chennai"/>
    <s v="Sports"/>
    <m/>
    <s v="Corporate"/>
    <n v="55"/>
    <m/>
    <m/>
  </r>
  <r>
    <s v="ORD-00646"/>
    <x v="196"/>
    <s v="CUST-0185"/>
    <s v="PROD-008"/>
    <s v="R008"/>
    <n v="4"/>
    <n v="2660"/>
    <n v="16.899999999999999"/>
    <n v="8841.84"/>
    <s v="Completed"/>
    <s v="Hyderabad"/>
    <s v="Electronics"/>
    <m/>
    <s v="SMB"/>
    <n v="43"/>
    <m/>
    <m/>
  </r>
  <r>
    <s v="ORD-00647"/>
    <x v="264"/>
    <s v="CUST-0284"/>
    <s v="PROD-024"/>
    <s v="R018"/>
    <n v="6"/>
    <n v="2270"/>
    <n v="16.7"/>
    <n v="11345.46"/>
    <s v="Completed"/>
    <s v="Hyderabad"/>
    <s v="Grocery"/>
    <m/>
    <s v="SMB"/>
    <n v="65"/>
    <m/>
    <m/>
  </r>
  <r>
    <s v="ORD-00648"/>
    <x v="0"/>
    <s v="CUST-0092"/>
    <s v="PROD-027"/>
    <s v="R025"/>
    <n v="5"/>
    <n v="3780"/>
    <n v="21.5"/>
    <n v="14836.5"/>
    <s v="Completed"/>
    <s v="Bengaluru"/>
    <s v="Grocery"/>
    <m/>
    <s v="SMB"/>
    <n v="28"/>
    <s v="East"/>
    <s v="Mar-24"/>
  </r>
  <r>
    <s v="ORD-00649"/>
    <x v="265"/>
    <s v="CUST-0091"/>
    <s v="PROD-037"/>
    <s v="R019"/>
    <n v="10"/>
    <n v="660"/>
    <n v="18.8"/>
    <n v="5359.2"/>
    <s v="Completed"/>
    <s v="Delhi"/>
    <s v="Home"/>
    <m/>
    <s v="Retail"/>
    <n v="55"/>
    <m/>
    <m/>
  </r>
  <r>
    <s v="ORD-00650"/>
    <x v="3"/>
    <s v="CUST-0155"/>
    <s v="PROD-031"/>
    <s v="R024"/>
    <n v="10"/>
    <n v="3730"/>
    <n v="15.1"/>
    <n v="31667.7"/>
    <s v="Completed"/>
    <s v="Pune"/>
    <s v="Home"/>
    <m/>
    <s v="Corporate"/>
    <n v="40"/>
    <s v="East"/>
    <s v="Aug-24"/>
  </r>
  <r>
    <s v="ORD-00651"/>
    <x v="115"/>
    <s v="CUST-0280"/>
    <s v="PROD-025"/>
    <s v="R021"/>
    <n v="6"/>
    <n v="4060"/>
    <n v="20.100000000000001"/>
    <n v="19463.64"/>
    <s v="Pending"/>
    <s v="Delhi"/>
    <s v="Grocery"/>
    <m/>
    <s v="SMB"/>
    <n v="27"/>
    <s v="West"/>
    <s v="May-24"/>
  </r>
  <r>
    <s v="ORD-00652"/>
    <x v="283"/>
    <s v="CUST-0127"/>
    <s v="PROD-024"/>
    <s v="R003"/>
    <n v="2"/>
    <n v="2270"/>
    <n v="17.7"/>
    <n v="3736.42"/>
    <s v="Completed"/>
    <s v="Bengaluru"/>
    <s v="Grocery"/>
    <m/>
    <s v="SMB"/>
    <n v="36"/>
    <s v="East"/>
    <s v="Sep-24"/>
  </r>
  <r>
    <s v="ORD-00653"/>
    <x v="294"/>
    <s v="CUST-0077"/>
    <s v="PROD-003"/>
    <s v="R028"/>
    <n v="9"/>
    <n v="3570"/>
    <n v="29.9"/>
    <n v="22523.13"/>
    <s v="Completed"/>
    <s v="Hyderabad"/>
    <s v="Electronics"/>
    <m/>
    <s v="SMB"/>
    <n v="48"/>
    <m/>
    <m/>
  </r>
  <r>
    <s v="ORD-00654"/>
    <x v="126"/>
    <s v="CUST-0190"/>
    <s v="PROD-029"/>
    <s v="R004"/>
    <n v="7"/>
    <n v="2210"/>
    <n v="25"/>
    <n v="11602.5"/>
    <s v="Completed"/>
    <s v="Hyderabad"/>
    <s v="Grocery"/>
    <m/>
    <s v="Retail"/>
    <n v="52"/>
    <m/>
    <m/>
  </r>
  <r>
    <s v="ORD-00655"/>
    <x v="257"/>
    <s v="CUST-0089"/>
    <s v="PROD-057"/>
    <s v="R026"/>
    <n v="2"/>
    <n v="960"/>
    <n v="8.1999999999999993"/>
    <n v="1762.56"/>
    <s v="Cancelled"/>
    <s v="Mumbai"/>
    <s v="Sports"/>
    <m/>
    <s v="SMB"/>
    <n v="43"/>
    <m/>
    <m/>
  </r>
  <r>
    <s v="ORD-00656"/>
    <x v="24"/>
    <s v="CUST-0141"/>
    <s v="PROD-059"/>
    <s v="R026"/>
    <n v="9"/>
    <n v="3780"/>
    <n v="28.4"/>
    <n v="24358.32"/>
    <s v="Pending"/>
    <s v="Hyderabad"/>
    <s v="Sports"/>
    <m/>
    <s v="Corporate"/>
    <n v="22"/>
    <s v="West"/>
    <s v="Mar-24"/>
  </r>
  <r>
    <s v="ORD-00657"/>
    <x v="248"/>
    <s v="CUST-0123"/>
    <s v="PROD-048"/>
    <s v="R014"/>
    <n v="2"/>
    <n v="5100"/>
    <n v="8.6"/>
    <n v="9322.7999999999993"/>
    <s v="Completed"/>
    <s v="Chennai"/>
    <s v="Beauty"/>
    <m/>
    <s v="Corporate"/>
    <n v="44"/>
    <m/>
    <m/>
  </r>
  <r>
    <s v="ORD-00658"/>
    <x v="85"/>
    <s v="CUST-0041"/>
    <s v="PROD-019"/>
    <s v="R021"/>
    <n v="4"/>
    <n v="2480"/>
    <n v="16.600000000000001"/>
    <n v="8273.2800000000007"/>
    <s v="Completed"/>
    <s v="Bengaluru"/>
    <s v="Apparel"/>
    <m/>
    <s v="SMB"/>
    <n v="26"/>
    <s v="South"/>
    <s v="Oct-24"/>
  </r>
  <r>
    <s v="ORD-00659"/>
    <x v="68"/>
    <s v="CUST-0257"/>
    <s v="PROD-040"/>
    <s v="R018"/>
    <n v="10"/>
    <n v="1080"/>
    <n v="14.5"/>
    <n v="9234"/>
    <s v="Completed"/>
    <s v="Mumbai"/>
    <s v="Home"/>
    <m/>
    <s v="Corporate"/>
    <n v="46"/>
    <m/>
    <m/>
  </r>
  <r>
    <s v="ORD-00660"/>
    <x v="312"/>
    <s v="CUST-0134"/>
    <s v="PROD-002"/>
    <s v="R029"/>
    <n v="7"/>
    <n v="2600"/>
    <n v="21"/>
    <n v="14378"/>
    <s v="Completed"/>
    <s v="Delhi"/>
    <s v="Electronics"/>
    <m/>
    <s v="Retail"/>
    <n v="40"/>
    <s v="East"/>
    <s v="May-24"/>
  </r>
  <r>
    <s v="ORD-00661"/>
    <x v="81"/>
    <s v="CUST-0180"/>
    <s v="PROD-002"/>
    <s v="R015"/>
    <n v="7"/>
    <n v="2600"/>
    <n v="6.7"/>
    <n v="16980.599999999999"/>
    <s v="Pending"/>
    <s v="Chennai"/>
    <s v="Electronics"/>
    <m/>
    <s v="Retail"/>
    <n v="36"/>
    <s v="West"/>
    <s v="Mar-24"/>
  </r>
  <r>
    <s v="ORD-00662"/>
    <x v="210"/>
    <s v="CUST-0283"/>
    <s v="PROD-020"/>
    <s v="R023"/>
    <n v="8"/>
    <n v="820"/>
    <n v="17.8"/>
    <n v="5392.32"/>
    <s v="Pending"/>
    <s v="Delhi"/>
    <s v="Apparel"/>
    <m/>
    <s v="SMB"/>
    <n v="50"/>
    <m/>
    <m/>
  </r>
  <r>
    <s v="ORD-00663"/>
    <x v="147"/>
    <s v="CUST-0047"/>
    <s v="PROD-057"/>
    <s v="R009"/>
    <n v="3"/>
    <n v="960"/>
    <n v="17.8"/>
    <n v="2367.36"/>
    <s v="Completed"/>
    <s v="Pune"/>
    <s v="Sports"/>
    <m/>
    <s v="Retail"/>
    <n v="49"/>
    <m/>
    <m/>
  </r>
  <r>
    <s v="ORD-00664"/>
    <x v="114"/>
    <s v="CUST-0175"/>
    <s v="PROD-041"/>
    <s v="R023"/>
    <n v="2"/>
    <n v="1540"/>
    <n v="1.8"/>
    <n v="3024.56"/>
    <s v="Cancelled"/>
    <s v="Delhi"/>
    <s v="Beauty"/>
    <m/>
    <s v="Corporate"/>
    <n v="55"/>
    <m/>
    <m/>
  </r>
  <r>
    <s v="ORD-00665"/>
    <x v="81"/>
    <s v="CUST-0227"/>
    <s v="PROD-056"/>
    <s v="R030"/>
    <n v="5"/>
    <n v="6940"/>
    <n v="2.9"/>
    <n v="33693.699999999997"/>
    <s v="Completed"/>
    <s v="Bengaluru"/>
    <s v="Sports"/>
    <m/>
    <s v="SMB"/>
    <n v="44"/>
    <m/>
    <m/>
  </r>
  <r>
    <s v="ORD-00666"/>
    <x v="101"/>
    <s v="CUST-0287"/>
    <s v="PROD-041"/>
    <s v="R013"/>
    <n v="5"/>
    <n v="1540"/>
    <n v="28.8"/>
    <n v="5482.4"/>
    <s v="Completed"/>
    <s v="Chennai"/>
    <s v="Beauty"/>
    <m/>
    <s v="SMB"/>
    <n v="53"/>
    <m/>
    <m/>
  </r>
  <r>
    <s v="ORD-00667"/>
    <x v="179"/>
    <s v="CUST-0004"/>
    <s v="PROD-031"/>
    <s v="R012"/>
    <n v="8"/>
    <n v="3730"/>
    <n v="21.1"/>
    <n v="23543.759999999998"/>
    <s v="Completed"/>
    <s v="Delhi"/>
    <s v="Home"/>
    <m/>
    <s v="Retail"/>
    <n v="53"/>
    <m/>
    <m/>
  </r>
  <r>
    <s v="ORD-00668"/>
    <x v="208"/>
    <s v="CUST-0234"/>
    <s v="PROD-021"/>
    <s v="R023"/>
    <n v="7"/>
    <n v="2760"/>
    <n v="1.2"/>
    <n v="19088.16"/>
    <s v="Cancelled"/>
    <s v="Bengaluru"/>
    <s v="Grocery"/>
    <m/>
    <s v="Retail"/>
    <n v="34"/>
    <s v="South"/>
    <s v="Feb-24"/>
  </r>
  <r>
    <s v="ORD-00669"/>
    <x v="313"/>
    <s v="CUST-0255"/>
    <s v="PROD-006"/>
    <s v="R020"/>
    <n v="3"/>
    <n v="3970"/>
    <n v="18.3"/>
    <n v="9730.4699999999993"/>
    <s v="Completed"/>
    <s v="Chennai"/>
    <s v="Electronics"/>
    <m/>
    <s v="Corporate"/>
    <n v="51"/>
    <m/>
    <m/>
  </r>
  <r>
    <s v="ORD-00670"/>
    <x v="274"/>
    <s v="CUST-0092"/>
    <s v="PROD-027"/>
    <s v="R023"/>
    <n v="4"/>
    <n v="3780"/>
    <n v="24.6"/>
    <n v="11400.48"/>
    <s v="Completed"/>
    <s v="Bengaluru"/>
    <s v="Grocery"/>
    <m/>
    <s v="SMB"/>
    <n v="28"/>
    <s v="East"/>
    <s v="May-24"/>
  </r>
  <r>
    <s v="ORD-00671"/>
    <x v="146"/>
    <s v="CUST-0037"/>
    <s v="PROD-015"/>
    <s v="R008"/>
    <n v="10"/>
    <n v="2720"/>
    <n v="12.8"/>
    <n v="23718.400000000001"/>
    <s v="Completed"/>
    <s v="Bengaluru"/>
    <s v="Apparel"/>
    <m/>
    <s v="Retail"/>
    <n v="52"/>
    <m/>
    <m/>
  </r>
  <r>
    <s v="ORD-00672"/>
    <x v="2"/>
    <s v="CUST-0208"/>
    <s v="PROD-006"/>
    <s v="R017"/>
    <n v="5"/>
    <n v="3970"/>
    <n v="5.9"/>
    <n v="18678.849999999999"/>
    <s v="Completed"/>
    <s v="Mumbai"/>
    <s v="Electronics"/>
    <m/>
    <s v="Retail"/>
    <n v="49"/>
    <m/>
    <m/>
  </r>
  <r>
    <s v="ORD-00673"/>
    <x v="131"/>
    <s v="CUST-0008"/>
    <s v="PROD-020"/>
    <s v="R011"/>
    <n v="3"/>
    <n v="820"/>
    <n v="19.399999999999999"/>
    <n v="1982.76"/>
    <s v="Completed"/>
    <s v="Pune"/>
    <s v="Apparel"/>
    <m/>
    <s v="SMB"/>
    <n v="39"/>
    <s v="East"/>
    <s v="Mar-24"/>
  </r>
  <r>
    <s v="ORD-00674"/>
    <x v="314"/>
    <s v="CUST-0050"/>
    <s v="PROD-016"/>
    <s v="R010"/>
    <n v="7"/>
    <n v="620"/>
    <n v="9.9"/>
    <n v="3910.34"/>
    <s v="Completed"/>
    <s v="Mumbai"/>
    <s v="Apparel"/>
    <m/>
    <s v="Retail"/>
    <n v="37"/>
    <s v="South"/>
    <s v="Nov-24"/>
  </r>
  <r>
    <s v="ORD-00675"/>
    <x v="125"/>
    <s v="CUST-0166"/>
    <s v="PROD-042"/>
    <s v="R027"/>
    <n v="8"/>
    <n v="2290"/>
    <n v="18.3"/>
    <n v="14967.44"/>
    <s v="Completed"/>
    <s v="Hyderabad"/>
    <s v="Beauty"/>
    <m/>
    <s v="Retail"/>
    <n v="31"/>
    <s v="South"/>
    <s v="Jun-24"/>
  </r>
  <r>
    <s v="ORD-00676"/>
    <x v="234"/>
    <s v="CUST-0271"/>
    <s v="PROD-030"/>
    <s v="R025"/>
    <n v="3"/>
    <n v="970"/>
    <n v="18.399999999999999"/>
    <n v="2374.56"/>
    <s v="Completed"/>
    <s v="Bengaluru"/>
    <s v="Grocery"/>
    <m/>
    <s v="Corporate"/>
    <n v="41"/>
    <m/>
    <m/>
  </r>
  <r>
    <s v="ORD-00677"/>
    <x v="140"/>
    <s v="CUST-0034"/>
    <s v="PROD-032"/>
    <s v="R014"/>
    <n v="2"/>
    <n v="370"/>
    <n v="8.9"/>
    <n v="674.14"/>
    <s v="Completed"/>
    <s v="Delhi"/>
    <s v="Home"/>
    <m/>
    <s v="Retail"/>
    <n v="47"/>
    <m/>
    <m/>
  </r>
  <r>
    <s v="ORD-00678"/>
    <x v="215"/>
    <s v="CUST-0016"/>
    <s v="PROD-007"/>
    <s v="R007"/>
    <n v="1"/>
    <n v="1430"/>
    <n v="5.9"/>
    <n v="1345.63"/>
    <s v="Cancelled"/>
    <s v="Delhi"/>
    <s v="Electronics"/>
    <m/>
    <s v="SMB"/>
    <n v="26"/>
    <s v="South"/>
    <s v="May-24"/>
  </r>
  <r>
    <s v="ORD-00679"/>
    <x v="315"/>
    <s v="CUST-0039"/>
    <s v="PROD-058"/>
    <s v="R030"/>
    <n v="2"/>
    <n v="2400"/>
    <n v="29.1"/>
    <n v="3403.2"/>
    <s v="Completed"/>
    <s v="Bengaluru"/>
    <s v="Sports"/>
    <m/>
    <s v="Retail"/>
    <n v="37"/>
    <s v="North"/>
    <s v="Dec-24"/>
  </r>
  <r>
    <s v="ORD-00680"/>
    <x v="186"/>
    <s v="CUST-0253"/>
    <s v="PROD-007"/>
    <s v="R011"/>
    <n v="9"/>
    <n v="1430"/>
    <n v="6"/>
    <n v="12097.8"/>
    <s v="Completed"/>
    <s v="Delhi"/>
    <s v="Electronics"/>
    <m/>
    <s v="SMB"/>
    <n v="53"/>
    <m/>
    <m/>
  </r>
  <r>
    <s v="ORD-00681"/>
    <x v="256"/>
    <s v="CUST-0295"/>
    <s v="PROD-015"/>
    <s v="R007"/>
    <n v="8"/>
    <n v="2720"/>
    <n v="25.7"/>
    <n v="16167.68"/>
    <s v="Completed"/>
    <s v="Delhi"/>
    <s v="Apparel"/>
    <m/>
    <s v="SMB"/>
    <n v="48"/>
    <m/>
    <m/>
  </r>
  <r>
    <s v="ORD-00682"/>
    <x v="160"/>
    <s v="CUST-0138"/>
    <s v="PROD-056"/>
    <s v="R027"/>
    <n v="6"/>
    <n v="6940"/>
    <n v="25.7"/>
    <n v="30938.52"/>
    <s v="Completed"/>
    <s v="Chennai"/>
    <s v="Sports"/>
    <m/>
    <s v="Retail"/>
    <n v="24"/>
    <s v="North"/>
    <s v="Aug-24"/>
  </r>
  <r>
    <s v="ORD-00683"/>
    <x v="22"/>
    <s v="CUST-0002"/>
    <s v="PROD-014"/>
    <s v="R007"/>
    <n v="3"/>
    <n v="3620"/>
    <n v="29.7"/>
    <n v="7634.58"/>
    <s v="Completed"/>
    <s v="Pune"/>
    <s v="Apparel"/>
    <m/>
    <s v="Corporate"/>
    <n v="42"/>
    <m/>
    <m/>
  </r>
  <r>
    <s v="ORD-00684"/>
    <x v="70"/>
    <s v="CUST-0287"/>
    <s v="PROD-010"/>
    <s v="R025"/>
    <n v="8"/>
    <n v="2640"/>
    <n v="24.4"/>
    <n v="15966.72"/>
    <s v="Completed"/>
    <s v="Chennai"/>
    <s v="Electronics"/>
    <m/>
    <s v="SMB"/>
    <n v="53"/>
    <m/>
    <m/>
  </r>
  <r>
    <s v="ORD-00685"/>
    <x v="134"/>
    <s v="CUST-0279"/>
    <s v="PROD-038"/>
    <s v="R006"/>
    <n v="3"/>
    <n v="5490"/>
    <n v="13.5"/>
    <n v="14246.55"/>
    <s v="Completed"/>
    <s v="Mumbai"/>
    <s v="Home"/>
    <m/>
    <s v="Retail"/>
    <n v="56"/>
    <m/>
    <m/>
  </r>
  <r>
    <s v="ORD-00686"/>
    <x v="3"/>
    <s v="CUST-0008"/>
    <s v="PROD-034"/>
    <s v="R017"/>
    <n v="3"/>
    <n v="5080"/>
    <n v="9.3000000000000007"/>
    <n v="13822.68"/>
    <s v="Completed"/>
    <s v="Pune"/>
    <s v="Home"/>
    <m/>
    <s v="SMB"/>
    <n v="39"/>
    <s v="North"/>
    <s v="Feb-24"/>
  </r>
  <r>
    <s v="ORD-00687"/>
    <x v="50"/>
    <s v="CUST-0092"/>
    <s v="PROD-042"/>
    <s v="R030"/>
    <n v="4"/>
    <n v="2290"/>
    <n v="24.4"/>
    <n v="6924.96"/>
    <s v="Completed"/>
    <s v="Bengaluru"/>
    <s v="Beauty"/>
    <m/>
    <s v="SMB"/>
    <n v="28"/>
    <s v="East"/>
    <s v="May-24"/>
  </r>
  <r>
    <s v="ORD-00688"/>
    <x v="113"/>
    <s v="CUST-0106"/>
    <s v="PROD-033"/>
    <s v="R011"/>
    <n v="10"/>
    <n v="2030"/>
    <n v="13.6"/>
    <n v="17539.2"/>
    <s v="Pending"/>
    <s v="Pune"/>
    <s v="Home"/>
    <m/>
    <s v="Retail"/>
    <n v="22"/>
    <s v="West"/>
    <s v="Aug-24"/>
  </r>
  <r>
    <s v="ORD-00689"/>
    <x v="84"/>
    <s v="CUST-0010"/>
    <s v="PROD-007"/>
    <s v="R012"/>
    <n v="10"/>
    <n v="1430"/>
    <n v="16.100000000000001"/>
    <n v="11997.7"/>
    <s v="Cancelled"/>
    <s v="Mumbai"/>
    <s v="Electronics"/>
    <m/>
    <s v="SMB"/>
    <n v="61"/>
    <m/>
    <m/>
  </r>
  <r>
    <s v="ORD-00690"/>
    <x v="298"/>
    <s v="CUST-0179"/>
    <s v="PROD-027"/>
    <s v="R009"/>
    <n v="1"/>
    <n v="3780"/>
    <n v="22.7"/>
    <n v="2921.94"/>
    <s v="Completed"/>
    <s v="Mumbai"/>
    <s v="Grocery"/>
    <m/>
    <s v="SMB"/>
    <n v="54"/>
    <m/>
    <m/>
  </r>
  <r>
    <s v="ORD-00691"/>
    <x v="68"/>
    <s v="CUST-0216"/>
    <s v="PROD-012"/>
    <s v="R021"/>
    <n v="10"/>
    <n v="3160"/>
    <n v="13.4"/>
    <n v="27365.599999999999"/>
    <s v="Completed"/>
    <s v="Mumbai"/>
    <s v="Apparel"/>
    <m/>
    <s v="Retail"/>
    <n v="50"/>
    <m/>
    <m/>
  </r>
  <r>
    <s v="ORD-00692"/>
    <x v="124"/>
    <s v="CUST-0172"/>
    <s v="PROD-007"/>
    <s v="R003"/>
    <n v="2"/>
    <n v="1430"/>
    <n v="7.4"/>
    <n v="2648.36"/>
    <s v="Completed"/>
    <s v="Pune"/>
    <s v="Electronics"/>
    <m/>
    <s v="Retail"/>
    <n v="65"/>
    <m/>
    <m/>
  </r>
  <r>
    <s v="ORD-00693"/>
    <x v="93"/>
    <s v="CUST-0152"/>
    <s v="PROD-012"/>
    <s v="R006"/>
    <n v="5"/>
    <n v="3160"/>
    <n v="3.6"/>
    <n v="15231.2"/>
    <s v="Pending"/>
    <s v="Bengaluru"/>
    <s v="Apparel"/>
    <m/>
    <s v="SMB"/>
    <n v="64"/>
    <m/>
    <m/>
  </r>
  <r>
    <s v="ORD-00694"/>
    <x v="126"/>
    <s v="CUST-0154"/>
    <s v="PROD-042"/>
    <s v="R004"/>
    <n v="2"/>
    <n v="2290"/>
    <n v="28.2"/>
    <n v="3288.44"/>
    <s v="Completed"/>
    <s v="Pune"/>
    <s v="Beauty"/>
    <m/>
    <s v="Retail"/>
    <n v="36"/>
    <s v="North"/>
    <s v="Dec-24"/>
  </r>
  <r>
    <s v="ORD-00695"/>
    <x v="250"/>
    <s v="CUST-0001"/>
    <s v="PROD-011"/>
    <s v="R015"/>
    <n v="5"/>
    <n v="3450"/>
    <n v="18.100000000000001"/>
    <n v="14127.75"/>
    <s v="Cancelled"/>
    <s v="Pune"/>
    <s v="Apparel"/>
    <m/>
    <s v="Retail"/>
    <n v="36"/>
    <s v="North"/>
    <s v="Aug-24"/>
  </r>
  <r>
    <s v="ORD-00696"/>
    <x v="96"/>
    <s v="CUST-0069"/>
    <s v="PROD-018"/>
    <s v="R001"/>
    <n v="1"/>
    <n v="3560"/>
    <n v="18.7"/>
    <n v="2894.28"/>
    <s v="Completed"/>
    <s v="Chennai"/>
    <s v="Apparel"/>
    <m/>
    <s v="Retail"/>
    <n v="51"/>
    <m/>
    <m/>
  </r>
  <r>
    <s v="ORD-00697"/>
    <x v="87"/>
    <s v="CUST-0200"/>
    <s v="PROD-058"/>
    <s v="R009"/>
    <n v="9"/>
    <n v="2400"/>
    <n v="18.5"/>
    <n v="17604"/>
    <s v="Completed"/>
    <s v="Hyderabad"/>
    <s v="Sports"/>
    <m/>
    <s v="Corporate"/>
    <n v="46"/>
    <m/>
    <m/>
  </r>
  <r>
    <s v="ORD-00698"/>
    <x v="209"/>
    <s v="CUST-0164"/>
    <s v="PROD-004"/>
    <s v="R023"/>
    <n v="9"/>
    <n v="3870"/>
    <n v="6.9"/>
    <n v="32426.73"/>
    <s v="Refunded"/>
    <s v="Chennai"/>
    <s v="Electronics"/>
    <m/>
    <s v="Retail"/>
    <n v="60"/>
    <m/>
    <m/>
  </r>
  <r>
    <s v="ORD-00699"/>
    <x v="247"/>
    <s v="CUST-0004"/>
    <s v="PROD-028"/>
    <s v="R022"/>
    <n v="5"/>
    <n v="3660"/>
    <n v="11.7"/>
    <n v="16158.9"/>
    <s v="Completed"/>
    <s v="Delhi"/>
    <s v="Grocery"/>
    <m/>
    <s v="Retail"/>
    <n v="53"/>
    <m/>
    <m/>
  </r>
  <r>
    <s v="ORD-00700"/>
    <x v="63"/>
    <s v="CUST-0224"/>
    <s v="PROD-040"/>
    <s v="R030"/>
    <n v="4"/>
    <n v="1080"/>
    <n v="17.5"/>
    <n v="3564"/>
    <s v="Completed"/>
    <s v="Chennai"/>
    <s v="Home"/>
    <m/>
    <s v="Corporate"/>
    <n v="24"/>
    <s v="East"/>
    <s v="Nov-24"/>
  </r>
  <r>
    <s v="ORD-01185"/>
    <x v="92"/>
    <s v="CUST-0037"/>
    <s v="PROD-059"/>
    <s v="R006"/>
    <n v="6"/>
    <n v="3780"/>
    <n v="27.8"/>
    <n v="16374.96"/>
    <s v="Completed"/>
    <s v="Bengaluru"/>
    <s v="Sports"/>
    <m/>
    <s v="Retail"/>
    <n v="52"/>
    <m/>
    <m/>
  </r>
  <r>
    <s v="ORD-00702"/>
    <x v="126"/>
    <s v="CUST-0179"/>
    <s v="PROD-019"/>
    <s v="R022"/>
    <n v="8"/>
    <n v="2480"/>
    <n v="15.7"/>
    <n v="16725.12"/>
    <s v="Pending"/>
    <s v="Mumbai"/>
    <s v="Apparel"/>
    <m/>
    <s v="SMB"/>
    <n v="54"/>
    <m/>
    <m/>
  </r>
  <r>
    <s v="ORD-00703"/>
    <x v="132"/>
    <s v="CUST-0018"/>
    <s v="PROD-054"/>
    <s v="R014"/>
    <n v="10"/>
    <n v="1010"/>
    <n v="0.1"/>
    <n v="10089.9"/>
    <s v="Pending"/>
    <s v="Pune"/>
    <s v="Sports"/>
    <m/>
    <s v="SMB"/>
    <n v="54"/>
    <m/>
    <m/>
  </r>
  <r>
    <s v="ORD-00704"/>
    <x v="5"/>
    <s v="CUST-0184"/>
    <s v="PROD-053"/>
    <s v="R015"/>
    <n v="3"/>
    <n v="470"/>
    <n v="1.1000000000000001"/>
    <n v="1394.49"/>
    <s v="Completed"/>
    <s v="Pune"/>
    <s v="Sports"/>
    <m/>
    <s v="Retail"/>
    <n v="63"/>
    <m/>
    <m/>
  </r>
  <r>
    <s v="ORD-00705"/>
    <x v="267"/>
    <s v="CUST-0066"/>
    <s v="PROD-024"/>
    <s v="R019"/>
    <n v="4"/>
    <n v="2270"/>
    <n v="17.100000000000001"/>
    <n v="7527.32"/>
    <s v="Completed"/>
    <s v="Delhi"/>
    <s v="Grocery"/>
    <m/>
    <s v="Retail"/>
    <n v="24"/>
    <s v="South"/>
    <s v="Apr-24"/>
  </r>
  <r>
    <s v="ORD-00706"/>
    <x v="276"/>
    <s v="CUST-0053"/>
    <s v="PROD-021"/>
    <s v="R010"/>
    <n v="7"/>
    <n v="2760"/>
    <n v="17.100000000000001"/>
    <n v="16016.28"/>
    <s v="Completed"/>
    <s v="Delhi"/>
    <s v="Grocery"/>
    <m/>
    <s v="Retail"/>
    <n v="53"/>
    <m/>
    <m/>
  </r>
  <r>
    <s v="ORD-00707"/>
    <x v="21"/>
    <s v="CUST-0278"/>
    <s v="PROD-051"/>
    <s v="R008"/>
    <n v="6"/>
    <n v="3450"/>
    <n v="6.6"/>
    <n v="19333.8"/>
    <s v="Refunded"/>
    <s v="Hyderabad"/>
    <s v="Sports"/>
    <m/>
    <s v="Retail"/>
    <n v="41"/>
    <m/>
    <m/>
  </r>
  <r>
    <s v="ORD-00708"/>
    <x v="316"/>
    <s v="CUST-0285"/>
    <s v="PROD-028"/>
    <s v="R007"/>
    <n v="8"/>
    <n v="3660"/>
    <n v="7.2"/>
    <n v="27171.84"/>
    <s v="Completed"/>
    <s v="Hyderabad"/>
    <s v="Grocery"/>
    <m/>
    <s v="Retail"/>
    <n v="22"/>
    <s v="North"/>
    <s v="Aug-24"/>
  </r>
  <r>
    <s v="ORD-00709"/>
    <x v="317"/>
    <s v="CUST-0060"/>
    <s v="PROD-009"/>
    <s v="R030"/>
    <n v="4"/>
    <n v="1220"/>
    <n v="24.3"/>
    <n v="3694.16"/>
    <s v="Cancelled"/>
    <s v="Pune"/>
    <s v="Electronics"/>
    <m/>
    <s v="Retail"/>
    <n v="39"/>
    <s v="North"/>
    <s v="Dec-24"/>
  </r>
  <r>
    <s v="ORD-00710"/>
    <x v="294"/>
    <s v="CUST-0236"/>
    <s v="PROD-052"/>
    <s v="R007"/>
    <n v="2"/>
    <n v="5410"/>
    <n v="0.9"/>
    <n v="10722.62"/>
    <s v="Pending"/>
    <s v="Hyderabad"/>
    <s v="Sports"/>
    <m/>
    <s v="SMB"/>
    <n v="28"/>
    <s v="West"/>
    <s v="Sep-24"/>
  </r>
  <r>
    <s v="ORD-00711"/>
    <x v="94"/>
    <s v="CUST-0106"/>
    <s v="PROD-033"/>
    <s v="R009"/>
    <n v="5"/>
    <n v="2030"/>
    <n v="25.2"/>
    <n v="7592.2"/>
    <s v="Completed"/>
    <s v="Pune"/>
    <s v="Home"/>
    <m/>
    <s v="Retail"/>
    <n v="22"/>
    <s v="North"/>
    <s v="Nov-24"/>
  </r>
  <r>
    <s v="ORD-00712"/>
    <x v="26"/>
    <s v="CUST-0085"/>
    <s v="PROD-009"/>
    <s v="R012"/>
    <n v="5"/>
    <n v="1220"/>
    <n v="2.6"/>
    <n v="5941.4"/>
    <s v="Completed"/>
    <s v="Chennai"/>
    <s v="Electronics"/>
    <m/>
    <s v="Retail"/>
    <n v="26"/>
    <s v="South"/>
    <s v="Jan-24"/>
  </r>
  <r>
    <s v="ORD-00713"/>
    <x v="77"/>
    <s v="CUST-0075"/>
    <s v="PROD-008"/>
    <s v="R006"/>
    <n v="4"/>
    <n v="2660"/>
    <n v="19.100000000000001"/>
    <n v="8607.76"/>
    <s v="Refunded"/>
    <s v="Mumbai"/>
    <s v="Electronics"/>
    <m/>
    <s v="Corporate"/>
    <n v="55"/>
    <m/>
    <m/>
  </r>
  <r>
    <s v="ORD-00714"/>
    <x v="116"/>
    <s v="CUST-0169"/>
    <s v="PROD-026"/>
    <s v="R016"/>
    <n v="3"/>
    <n v="4070"/>
    <n v="25.2"/>
    <n v="9133.08"/>
    <s v="Completed"/>
    <s v="Bengaluru"/>
    <s v="Grocery"/>
    <m/>
    <s v="SMB"/>
    <n v="42"/>
    <m/>
    <m/>
  </r>
  <r>
    <s v="ORD-00715"/>
    <x v="76"/>
    <s v="CUST-0166"/>
    <s v="PROD-049"/>
    <s v="R014"/>
    <n v="10"/>
    <n v="960"/>
    <n v="0.3"/>
    <n v="9571.2000000000007"/>
    <s v="Completed"/>
    <s v="Hyderabad"/>
    <s v="Beauty"/>
    <m/>
    <s v="Retail"/>
    <n v="31"/>
    <s v="South"/>
    <s v="Feb-24"/>
  </r>
  <r>
    <s v="ORD-00716"/>
    <x v="313"/>
    <s v="CUST-0065"/>
    <s v="PROD-031"/>
    <s v="R029"/>
    <n v="2"/>
    <n v="3730"/>
    <n v="29.9"/>
    <n v="5229.46"/>
    <s v="Completed"/>
    <s v="Chennai"/>
    <s v="Home"/>
    <m/>
    <s v="Corporate"/>
    <n v="49"/>
    <m/>
    <m/>
  </r>
  <r>
    <s v="ORD-00717"/>
    <x v="95"/>
    <s v="CUST-0102"/>
    <s v="PROD-057"/>
    <s v="R004"/>
    <n v="9"/>
    <n v="960"/>
    <n v="1.9"/>
    <n v="8475.84"/>
    <s v="Completed"/>
    <s v="Chennai"/>
    <s v="Sports"/>
    <m/>
    <s v="SMB"/>
    <n v="62"/>
    <m/>
    <m/>
  </r>
  <r>
    <s v="ORD-00718"/>
    <x v="253"/>
    <s v="CUST-0052"/>
    <s v="PROD-011"/>
    <s v="R004"/>
    <n v="2"/>
    <n v="3450"/>
    <n v="22.9"/>
    <n v="5319.9"/>
    <s v="Pending"/>
    <s v="Pune"/>
    <s v="Apparel"/>
    <m/>
    <s v="Retail"/>
    <n v="38"/>
    <s v="North"/>
    <s v="Oct-24"/>
  </r>
  <r>
    <s v="ORD-00719"/>
    <x v="48"/>
    <s v="CUST-0130"/>
    <s v="PROD-052"/>
    <s v="R010"/>
    <n v="3"/>
    <n v="5410"/>
    <n v="15.5"/>
    <n v="13714.35"/>
    <s v="Completed"/>
    <s v="Bengaluru"/>
    <s v="Sports"/>
    <m/>
    <s v="Corporate"/>
    <n v="41"/>
    <m/>
    <m/>
  </r>
  <r>
    <s v="ORD-00720"/>
    <x v="120"/>
    <s v="CUST-0284"/>
    <s v="PROD-043"/>
    <s v="R019"/>
    <n v="8"/>
    <n v="3350"/>
    <n v="18.399999999999999"/>
    <n v="21868.799999999999"/>
    <s v="Completed"/>
    <s v="Hyderabad"/>
    <s v="Beauty"/>
    <m/>
    <s v="SMB"/>
    <n v="65"/>
    <m/>
    <m/>
  </r>
  <r>
    <s v="ORD-00721"/>
    <x v="4"/>
    <s v="CUST-0053"/>
    <s v="PROD-015"/>
    <s v="R008"/>
    <n v="5"/>
    <n v="2720"/>
    <n v="17.3"/>
    <n v="11247.2"/>
    <s v="Cancelled"/>
    <s v="Delhi"/>
    <s v="Apparel"/>
    <m/>
    <s v="Retail"/>
    <n v="53"/>
    <m/>
    <m/>
  </r>
  <r>
    <s v="ORD-00722"/>
    <x v="210"/>
    <s v="CUST-0293"/>
    <s v="PROD-028"/>
    <s v="R017"/>
    <n v="8"/>
    <n v="3660"/>
    <n v="28.8"/>
    <n v="20847.36"/>
    <s v="Completed"/>
    <s v="Bengaluru"/>
    <s v="Grocery"/>
    <m/>
    <s v="Retail"/>
    <n v="27"/>
    <s v="North"/>
    <s v="Nov-24"/>
  </r>
  <r>
    <s v="ORD-00723"/>
    <x v="21"/>
    <s v="CUST-0242"/>
    <s v="PROD-005"/>
    <s v="R013"/>
    <n v="6"/>
    <n v="300"/>
    <n v="23.9"/>
    <n v="1369.8"/>
    <s v="Cancelled"/>
    <s v="Chennai"/>
    <s v="Electronics"/>
    <m/>
    <s v="SMB"/>
    <n v="59"/>
    <m/>
    <m/>
  </r>
  <r>
    <s v="ORD-00724"/>
    <x v="289"/>
    <s v="CUST-0226"/>
    <s v="PROD-042"/>
    <s v="R026"/>
    <n v="3"/>
    <n v="2290"/>
    <n v="2.4"/>
    <n v="6705.12"/>
    <s v="Completed"/>
    <s v="Chennai"/>
    <s v="Beauty"/>
    <m/>
    <s v="Corporate"/>
    <n v="52"/>
    <m/>
    <m/>
  </r>
  <r>
    <s v="ORD-00725"/>
    <x v="210"/>
    <s v="CUST-0005"/>
    <s v="PROD-046"/>
    <s v="R014"/>
    <n v="6"/>
    <n v="4880"/>
    <n v="11.1"/>
    <n v="26029.919999999998"/>
    <s v="Pending"/>
    <s v="Chennai"/>
    <s v="Beauty"/>
    <m/>
    <s v="Corporate"/>
    <n v="52"/>
    <m/>
    <m/>
  </r>
  <r>
    <s v="ORD-00726"/>
    <x v="254"/>
    <s v="CUST-0211"/>
    <s v="PROD-005"/>
    <s v="R007"/>
    <n v="5"/>
    <n v="300"/>
    <n v="19.399999999999999"/>
    <n v="1209"/>
    <s v="Completed"/>
    <s v="Bengaluru"/>
    <s v="Electronics"/>
    <m/>
    <s v="Retail"/>
    <n v="36"/>
    <s v="South"/>
    <s v="Apr-24"/>
  </r>
  <r>
    <s v="ORD-00727"/>
    <x v="208"/>
    <s v="CUST-0229"/>
    <s v="PROD-008"/>
    <s v="R030"/>
    <n v="3"/>
    <n v="2660"/>
    <n v="28.5"/>
    <n v="5705.7"/>
    <s v="Pending"/>
    <s v="Hyderabad"/>
    <s v="Electronics"/>
    <m/>
    <s v="SMB"/>
    <n v="25"/>
    <s v="North"/>
    <s v="Sep-24"/>
  </r>
  <r>
    <s v="ORD-00728"/>
    <x v="224"/>
    <s v="CUST-0037"/>
    <s v="PROD-035"/>
    <s v="R024"/>
    <n v="7"/>
    <n v="1090"/>
    <n v="10.3"/>
    <n v="6844.11"/>
    <s v="Completed"/>
    <s v="Bengaluru"/>
    <s v="Home"/>
    <m/>
    <s v="Retail"/>
    <n v="52"/>
    <m/>
    <m/>
  </r>
  <r>
    <s v="ORD-00729"/>
    <x v="154"/>
    <s v="CUST-0059"/>
    <s v="PROD-007"/>
    <s v="R012"/>
    <n v="9"/>
    <n v="1430"/>
    <n v="12.1"/>
    <n v="11312.73"/>
    <s v="Cancelled"/>
    <s v="Pune"/>
    <s v="Electronics"/>
    <m/>
    <s v="Corporate"/>
    <n v="29"/>
    <s v="West"/>
    <s v="May-24"/>
  </r>
  <r>
    <s v="ORD-00730"/>
    <x v="112"/>
    <s v="CUST-0222"/>
    <s v="PROD-010"/>
    <s v="R005"/>
    <n v="5"/>
    <n v="2640"/>
    <n v="26.8"/>
    <n v="9662.4"/>
    <s v="Completed"/>
    <s v="Chennai"/>
    <s v="Electronics"/>
    <m/>
    <s v="Retail"/>
    <n v="37"/>
    <s v="South"/>
    <s v="Feb-24"/>
  </r>
  <r>
    <s v="ORD-00731"/>
    <x v="71"/>
    <s v="CUST-0157"/>
    <s v="PROD-015"/>
    <s v="R001"/>
    <n v="8"/>
    <n v="2720"/>
    <n v="17.5"/>
    <n v="17952"/>
    <s v="Completed"/>
    <s v="Pune"/>
    <s v="Apparel"/>
    <m/>
    <s v="Corporate"/>
    <n v="52"/>
    <m/>
    <m/>
  </r>
  <r>
    <s v="ORD-00732"/>
    <x v="226"/>
    <s v="CUST-0027"/>
    <s v="PROD-013"/>
    <s v="R016"/>
    <n v="9"/>
    <n v="3640"/>
    <n v="3.6"/>
    <n v="31580.639999999999"/>
    <s v="Completed"/>
    <s v="Hyderabad"/>
    <s v="Apparel"/>
    <m/>
    <s v="Corporate"/>
    <n v="52"/>
    <m/>
    <m/>
  </r>
  <r>
    <s v="ORD-00733"/>
    <x v="211"/>
    <s v="CUST-9846"/>
    <s v="PROD-050"/>
    <s v="R021"/>
    <n v="7"/>
    <n v="6080"/>
    <n v="23.6"/>
    <n v="32515.84"/>
    <s v="Completed"/>
    <s v="Mumbai"/>
    <s v="Beauty"/>
    <m/>
    <e v="#N/A"/>
    <e v="#N/A"/>
    <m/>
    <m/>
  </r>
  <r>
    <s v="ORD-00734"/>
    <x v="241"/>
    <s v="CUST-0011"/>
    <s v="PROD-001"/>
    <s v="R015"/>
    <n v="7"/>
    <n v="5330"/>
    <n v="19.7"/>
    <n v="29959.93"/>
    <s v="Cancelled"/>
    <s v="Chennai"/>
    <s v="Electronics"/>
    <m/>
    <s v="Corporate"/>
    <n v="41"/>
    <m/>
    <m/>
  </r>
  <r>
    <s v="ORD-00735"/>
    <x v="106"/>
    <s v="CUST-0043"/>
    <s v="PROD-039"/>
    <s v="R024"/>
    <n v="5"/>
    <n v="4610"/>
    <n v="3.6"/>
    <n v="22220.2"/>
    <s v="Completed"/>
    <s v="Hyderabad"/>
    <s v="Home"/>
    <m/>
    <s v="Retail"/>
    <n v="61"/>
    <m/>
    <m/>
  </r>
  <r>
    <s v="ORD-00736"/>
    <x v="272"/>
    <s v="CUST-0154"/>
    <s v="PROD-001"/>
    <s v="R030"/>
    <n v="9"/>
    <n v="5330"/>
    <n v="22.9"/>
    <n v="36984.870000000003"/>
    <s v="Completed"/>
    <s v="Pune"/>
    <s v="Electronics"/>
    <m/>
    <s v="Retail"/>
    <n v="36"/>
    <s v="West"/>
    <s v="Oct-24"/>
  </r>
  <r>
    <s v="ORD-00737"/>
    <x v="242"/>
    <s v="CUST-0163"/>
    <s v="PROD-050"/>
    <s v="R018"/>
    <n v="5"/>
    <n v="6080"/>
    <n v="6"/>
    <n v="28576"/>
    <s v="Refunded"/>
    <s v="Pune"/>
    <s v="Beauty"/>
    <m/>
    <s v="Retail"/>
    <n v="49"/>
    <m/>
    <m/>
  </r>
  <r>
    <s v="ORD-00738"/>
    <x v="193"/>
    <s v="CUST-0299"/>
    <s v="PROD-013"/>
    <s v="R017"/>
    <n v="7"/>
    <n v="3640"/>
    <n v="5.5"/>
    <n v="24078.6"/>
    <s v="Completed"/>
    <s v="Mumbai"/>
    <s v="Apparel"/>
    <m/>
    <s v="Corporate"/>
    <n v="51"/>
    <m/>
    <m/>
  </r>
  <r>
    <s v="ORD-00739"/>
    <x v="260"/>
    <s v="CUST-0240"/>
    <s v="PROD-008"/>
    <s v="R013"/>
    <n v="1"/>
    <n v="2660"/>
    <n v="6.1"/>
    <n v="2497.7399999999998"/>
    <s v="Cancelled"/>
    <s v="Chennai"/>
    <s v="Electronics"/>
    <m/>
    <s v="Corporate"/>
    <n v="35"/>
    <s v="East"/>
    <s v="Jan-24"/>
  </r>
  <r>
    <s v="ORD-00740"/>
    <x v="212"/>
    <s v="CUST-0291"/>
    <s v="PROD-043"/>
    <s v="R015"/>
    <n v="8"/>
    <n v="3350"/>
    <n v="19.5"/>
    <n v="21574"/>
    <s v="Completed"/>
    <s v="Pune"/>
    <s v="Beauty"/>
    <m/>
    <s v="SMB"/>
    <n v="29"/>
    <s v="South"/>
    <s v="Feb-24"/>
  </r>
  <r>
    <s v="ORD-00741"/>
    <x v="83"/>
    <s v="CUST-0243"/>
    <s v="PROD-039"/>
    <s v="R019"/>
    <n v="4"/>
    <n v="4610"/>
    <n v="24"/>
    <n v="14014.4"/>
    <s v="Completed"/>
    <s v="Pune"/>
    <s v="Home"/>
    <m/>
    <s v="SMB"/>
    <n v="44"/>
    <m/>
    <m/>
  </r>
  <r>
    <s v="ORD-00742"/>
    <x v="174"/>
    <s v="CUST-0073"/>
    <s v="PROD-055"/>
    <s v="R014"/>
    <n v="7"/>
    <n v="2860"/>
    <n v="23.2"/>
    <n v="15375.36"/>
    <s v="Completed"/>
    <s v="Pune"/>
    <s v="Sports"/>
    <m/>
    <s v="Corporate"/>
    <n v="40"/>
    <s v="East"/>
    <s v="Dec-24"/>
  </r>
  <r>
    <s v="ORD-00743"/>
    <x v="128"/>
    <s v="CUST-0154"/>
    <s v="PROD-043"/>
    <s v="R013"/>
    <n v="7"/>
    <n v="3350"/>
    <n v="10.6"/>
    <n v="20964.3"/>
    <s v="Pending"/>
    <s v="Pune"/>
    <s v="Beauty"/>
    <m/>
    <s v="Retail"/>
    <n v="36"/>
    <s v="South"/>
    <s v="Jan-24"/>
  </r>
  <r>
    <s v="ORD-00744"/>
    <x v="55"/>
    <s v="CUST-0084"/>
    <s v="PROD-029"/>
    <s v="R028"/>
    <n v="5"/>
    <n v="2210"/>
    <n v="12.1"/>
    <n v="9712.9500000000007"/>
    <s v="Completed"/>
    <s v="Chennai"/>
    <s v="Grocery"/>
    <m/>
    <s v="Retail"/>
    <n v="28"/>
    <s v="South"/>
    <s v="Dec-24"/>
  </r>
  <r>
    <s v="ORD-00745"/>
    <x v="90"/>
    <s v="CUST-0228"/>
    <s v="PROD-047"/>
    <s v="R013"/>
    <n v="1"/>
    <n v="3450"/>
    <n v="19.100000000000001"/>
    <n v="2791.05"/>
    <s v="Pending"/>
    <s v="Pune"/>
    <s v="Beauty"/>
    <m/>
    <s v="Corporate"/>
    <n v="37"/>
    <s v="West"/>
    <s v="Oct-24"/>
  </r>
  <r>
    <s v="ORD-00746"/>
    <x v="78"/>
    <s v="CUST-0232"/>
    <s v="PROD-048"/>
    <s v="R028"/>
    <n v="5"/>
    <n v="5100"/>
    <n v="2.8"/>
    <n v="24786"/>
    <s v="Completed"/>
    <s v="Hyderabad"/>
    <s v="Beauty"/>
    <m/>
    <s v="Retail"/>
    <n v="38"/>
    <s v="South"/>
    <s v="Feb-24"/>
  </r>
  <r>
    <s v="ORD-00747"/>
    <x v="318"/>
    <s v="CUST-0129"/>
    <s v="PROD-048"/>
    <s v="R003"/>
    <n v="9"/>
    <n v="5100"/>
    <n v="24.4"/>
    <n v="34700.400000000001"/>
    <s v="Completed"/>
    <s v="Hyderabad"/>
    <s v="Beauty"/>
    <m/>
    <s v="Retail"/>
    <n v="29"/>
    <s v="West"/>
    <s v="Oct-24"/>
  </r>
  <r>
    <s v="ORD-00748"/>
    <x v="296"/>
    <s v="CUST-0189"/>
    <s v="PROD-037"/>
    <s v="R006"/>
    <n v="9"/>
    <n v="660"/>
    <n v="19.8"/>
    <n v="4763.88"/>
    <s v="Completed"/>
    <s v="Chennai"/>
    <s v="Home"/>
    <m/>
    <s v="Retail"/>
    <n v="41"/>
    <m/>
    <m/>
  </r>
  <r>
    <s v="ORD-00749"/>
    <x v="0"/>
    <s v="CUST-0122"/>
    <s v="PROD-026"/>
    <s v="R006"/>
    <n v="3"/>
    <n v="4070"/>
    <n v="27.1"/>
    <n v="8901.09"/>
    <s v="Completed"/>
    <s v="Mumbai"/>
    <s v="Grocery"/>
    <m/>
    <s v="Retail"/>
    <n v="44"/>
    <m/>
    <m/>
  </r>
  <r>
    <s v="ORD-00750"/>
    <x v="172"/>
    <s v="CUST-0170"/>
    <s v="PROD-017"/>
    <s v="R007"/>
    <n v="2"/>
    <n v="2510"/>
    <n v="29.1"/>
    <n v="3559.18"/>
    <s v="Completed"/>
    <s v="Mumbai"/>
    <s v="Apparel"/>
    <m/>
    <s v="SMB"/>
    <n v="22"/>
    <s v="North"/>
    <s v="Sep-24"/>
  </r>
  <r>
    <s v="ORD-00751"/>
    <x v="121"/>
    <s v="CUST-0291"/>
    <s v="PROD-036"/>
    <s v="R030"/>
    <n v="4"/>
    <n v="3250"/>
    <n v="21.1"/>
    <n v="10257"/>
    <s v="Completed"/>
    <s v="Pune"/>
    <s v="Home"/>
    <m/>
    <s v="SMB"/>
    <n v="29"/>
    <s v="North"/>
    <s v="Jul-24"/>
  </r>
  <r>
    <s v="ORD-00752"/>
    <x v="77"/>
    <s v="CUST-0090"/>
    <s v="PROD-032"/>
    <s v="R005"/>
    <n v="3"/>
    <n v="370"/>
    <n v="7.7"/>
    <n v="1024.53"/>
    <s v="Completed"/>
    <s v="Bengaluru"/>
    <s v="Home"/>
    <m/>
    <s v="Corporate"/>
    <n v="26"/>
    <s v="West"/>
    <s v="Jun-24"/>
  </r>
  <r>
    <s v="ORD-00753"/>
    <x v="319"/>
    <s v="CUST-0205"/>
    <s v="PROD-020"/>
    <s v="R006"/>
    <n v="10"/>
    <n v="820"/>
    <n v="3.5"/>
    <n v="7913"/>
    <s v="Completed"/>
    <s v="Pune"/>
    <s v="Apparel"/>
    <m/>
    <s v="Corporate"/>
    <n v="29"/>
    <s v="North"/>
    <s v="Nov-24"/>
  </r>
  <r>
    <s v="ORD-00754"/>
    <x v="101"/>
    <s v="CUST-0192"/>
    <s v="PROD-026"/>
    <s v="R029"/>
    <n v="4"/>
    <n v="4070"/>
    <n v="23.8"/>
    <n v="12405.36"/>
    <s v="Completed"/>
    <s v="Bengaluru"/>
    <s v="Grocery"/>
    <m/>
    <s v="Retail"/>
    <n v="55"/>
    <m/>
    <m/>
  </r>
  <r>
    <s v="ORD-00755"/>
    <x v="320"/>
    <s v="CUST-0270"/>
    <s v="PROD-023"/>
    <s v="R011"/>
    <n v="1"/>
    <n v="2380"/>
    <n v="19.600000000000001"/>
    <n v="1913.52"/>
    <s v="Cancelled"/>
    <s v="Bengaluru"/>
    <s v="Grocery"/>
    <m/>
    <s v="Retail"/>
    <n v="29"/>
    <s v="West"/>
    <s v="Aug-24"/>
  </r>
  <r>
    <s v="ORD-00756"/>
    <x v="223"/>
    <s v="CUST-0266"/>
    <s v="PROD-038"/>
    <s v="R030"/>
    <n v="3"/>
    <n v="5490"/>
    <n v="2.5"/>
    <n v="16058.25"/>
    <s v="Completed"/>
    <s v="Pune"/>
    <s v="Home"/>
    <m/>
    <s v="Retail"/>
    <n v="65"/>
    <m/>
    <m/>
  </r>
  <r>
    <s v="ORD-00757"/>
    <x v="155"/>
    <s v="CUST-0208"/>
    <s v="PROD-013"/>
    <s v="R027"/>
    <n v="3"/>
    <n v="3640"/>
    <n v="23.3"/>
    <n v="8375.64"/>
    <s v="Completed"/>
    <s v="Mumbai"/>
    <s v="Apparel"/>
    <m/>
    <s v="Retail"/>
    <n v="49"/>
    <m/>
    <m/>
  </r>
  <r>
    <s v="ORD-00758"/>
    <x v="321"/>
    <s v="CUST-0224"/>
    <s v="PROD-039"/>
    <s v="R018"/>
    <n v="2"/>
    <n v="4610"/>
    <n v="5"/>
    <n v="8759"/>
    <s v="Pending"/>
    <s v="Chennai"/>
    <s v="Home"/>
    <m/>
    <s v="Corporate"/>
    <n v="24"/>
    <s v="West"/>
    <s v="Jul-24"/>
  </r>
  <r>
    <s v="ORD-00759"/>
    <x v="264"/>
    <s v="CUST-0264"/>
    <s v="PROD-058"/>
    <s v="R001"/>
    <n v="8"/>
    <n v="2400"/>
    <n v="10"/>
    <n v="17280"/>
    <s v="Pending"/>
    <s v="Pune"/>
    <s v="Sports"/>
    <m/>
    <s v="Retail"/>
    <n v="59"/>
    <m/>
    <m/>
  </r>
  <r>
    <s v="ORD-00760"/>
    <x v="100"/>
    <s v="CUST-0113"/>
    <s v="PROD-043"/>
    <s v="R002"/>
    <n v="7"/>
    <n v="3350"/>
    <n v="23.7"/>
    <n v="17892.349999999999"/>
    <s v="Completed"/>
    <s v="Delhi"/>
    <s v="Beauty"/>
    <m/>
    <s v="Retail"/>
    <n v="30"/>
    <s v="North"/>
    <s v="Mar-24"/>
  </r>
  <r>
    <s v="ORD-00761"/>
    <x v="4"/>
    <s v="CUST-0160"/>
    <s v="PROD-013"/>
    <s v="R012"/>
    <n v="4"/>
    <n v="3640"/>
    <n v="9.3000000000000007"/>
    <n v="13205.92"/>
    <s v="Cancelled"/>
    <s v="Hyderabad"/>
    <s v="Apparel"/>
    <m/>
    <s v="Retail"/>
    <n v="27"/>
    <s v="North"/>
    <s v="Nov-24"/>
  </r>
  <r>
    <s v="ORD-00762"/>
    <x v="133"/>
    <s v="CUST-0109"/>
    <s v="PROD-013"/>
    <s v="R028"/>
    <n v="9"/>
    <n v="3640"/>
    <n v="13.1"/>
    <n v="28468.44"/>
    <s v="Pending"/>
    <s v="Pune"/>
    <s v="Apparel"/>
    <m/>
    <s v="Retail"/>
    <n v="42"/>
    <m/>
    <m/>
  </r>
  <r>
    <s v="ORD-00763"/>
    <x v="287"/>
    <s v="CUST-0107"/>
    <s v="PROD-033"/>
    <s v="R014"/>
    <n v="2"/>
    <n v="2030"/>
    <n v="12.2"/>
    <n v="3564.68"/>
    <s v="Completed"/>
    <s v="Pune"/>
    <s v="Home"/>
    <m/>
    <s v="Retail"/>
    <n v="50"/>
    <m/>
    <m/>
  </r>
  <r>
    <s v="ORD-00764"/>
    <x v="314"/>
    <s v="CUST-0120"/>
    <s v="PROD-012"/>
    <s v="R002"/>
    <n v="4"/>
    <n v="3160"/>
    <n v="7.5"/>
    <n v="11692"/>
    <s v="Completed"/>
    <s v="Mumbai"/>
    <s v="Apparel"/>
    <m/>
    <s v="Retail"/>
    <n v="29"/>
    <s v="South"/>
    <s v="Dec-24"/>
  </r>
  <r>
    <s v="ORD-00765"/>
    <x v="322"/>
    <s v="CUST-0225"/>
    <s v="PROD-026"/>
    <s v="R029"/>
    <n v="10"/>
    <n v="4070"/>
    <n v="8.3000000000000007"/>
    <n v="37321.9"/>
    <s v="Completed"/>
    <s v="Chennai"/>
    <s v="Grocery"/>
    <m/>
    <s v="SMB"/>
    <n v="26"/>
    <s v="North"/>
    <s v="Jun-24"/>
  </r>
  <r>
    <s v="ORD-00766"/>
    <x v="30"/>
    <s v="CUST-0134"/>
    <s v="PROD-025"/>
    <s v="R024"/>
    <n v="8"/>
    <n v="4060"/>
    <n v="8.5"/>
    <n v="29719.200000000001"/>
    <s v="Completed"/>
    <s v="Delhi"/>
    <s v="Grocery"/>
    <m/>
    <s v="Retail"/>
    <n v="40"/>
    <s v="West"/>
    <s v="Feb-24"/>
  </r>
  <r>
    <s v="ORD-00767"/>
    <x v="323"/>
    <s v="CUST-0279"/>
    <s v="PROD-057"/>
    <s v="R018"/>
    <n v="8"/>
    <n v="960"/>
    <n v="8.6999999999999993"/>
    <n v="7011.84"/>
    <s v="Completed"/>
    <s v="Mumbai"/>
    <s v="Sports"/>
    <m/>
    <s v="Retail"/>
    <n v="56"/>
    <m/>
    <m/>
  </r>
  <r>
    <s v="ORD-00768"/>
    <x v="141"/>
    <s v="CUST-0247"/>
    <s v="PROD-022"/>
    <s v="R027"/>
    <n v="2"/>
    <n v="2270"/>
    <n v="10.199999999999999"/>
    <n v="4076.92"/>
    <s v="Completed"/>
    <s v="Pune"/>
    <s v="Grocery"/>
    <m/>
    <s v="SMB"/>
    <n v="35"/>
    <s v="East"/>
    <s v="Feb-24"/>
  </r>
  <r>
    <s v="ORD-00769"/>
    <x v="197"/>
    <s v="CUST-0129"/>
    <s v="PROD-027"/>
    <s v="R007"/>
    <n v="1"/>
    <n v="3780"/>
    <n v="15.3"/>
    <n v="3201.66"/>
    <s v="Cancelled"/>
    <s v="Hyderabad"/>
    <s v="Grocery"/>
    <m/>
    <s v="Retail"/>
    <n v="29"/>
    <s v="West"/>
    <s v="Jan-24"/>
  </r>
  <r>
    <s v="ORD-00770"/>
    <x v="135"/>
    <s v="CUST-0038"/>
    <s v="PROD-042"/>
    <s v="R028"/>
    <n v="10"/>
    <n v="2290"/>
    <n v="2.4"/>
    <n v="22350.400000000001"/>
    <s v="Pending"/>
    <s v="Mumbai"/>
    <s v="Beauty"/>
    <m/>
    <s v="Retail"/>
    <n v="57"/>
    <m/>
    <m/>
  </r>
  <r>
    <s v="ORD-00771"/>
    <x v="104"/>
    <s v="CUST-0109"/>
    <s v="PROD-043"/>
    <s v="R017"/>
    <n v="5"/>
    <n v="3350"/>
    <n v="18.5"/>
    <n v="13651.25"/>
    <s v="Cancelled"/>
    <s v="Pune"/>
    <s v="Beauty"/>
    <m/>
    <s v="Retail"/>
    <n v="42"/>
    <m/>
    <m/>
  </r>
  <r>
    <s v="ORD-00772"/>
    <x v="324"/>
    <s v="CUST-0051"/>
    <s v="PROD-017"/>
    <s v="R021"/>
    <n v="7"/>
    <n v="2510"/>
    <n v="4.2"/>
    <n v="16832.060000000001"/>
    <s v="Cancelled"/>
    <s v="Pune"/>
    <s v="Apparel"/>
    <m/>
    <s v="SMB"/>
    <n v="54"/>
    <m/>
    <m/>
  </r>
  <r>
    <s v="ORD-00773"/>
    <x v="325"/>
    <s v="CUST-0265"/>
    <s v="PROD-002"/>
    <s v="R018"/>
    <n v="1"/>
    <n v="2600"/>
    <n v="2.2000000000000002"/>
    <n v="2542.8000000000002"/>
    <s v="Completed"/>
    <s v="Chennai"/>
    <s v="Electronics"/>
    <m/>
    <s v="Retail"/>
    <n v="49"/>
    <m/>
    <m/>
  </r>
  <r>
    <s v="ORD-00774"/>
    <x v="299"/>
    <s v="CUST-0192"/>
    <s v="PROD-053"/>
    <s v="R003"/>
    <n v="8"/>
    <n v="470"/>
    <n v="25.2"/>
    <n v="2812.48"/>
    <s v="Completed"/>
    <s v="Bengaluru"/>
    <s v="Sports"/>
    <m/>
    <s v="Retail"/>
    <n v="55"/>
    <m/>
    <m/>
  </r>
  <r>
    <s v="ORD-00775"/>
    <x v="307"/>
    <s v="CUST-0241"/>
    <s v="PROD-040"/>
    <s v="R012"/>
    <n v="6"/>
    <n v="1080"/>
    <n v="25"/>
    <n v="4860"/>
    <s v="Completed"/>
    <s v="Pune"/>
    <s v="Home"/>
    <m/>
    <s v="Corporate"/>
    <n v="47"/>
    <m/>
    <m/>
  </r>
  <r>
    <s v="ORD-00776"/>
    <x v="218"/>
    <s v="CUST-0243"/>
    <s v="PROD-054"/>
    <s v="R019"/>
    <n v="2"/>
    <n v="1010"/>
    <n v="16.100000000000001"/>
    <n v="1694.78"/>
    <s v="Completed"/>
    <s v="Pune"/>
    <s v="Sports"/>
    <m/>
    <s v="SMB"/>
    <n v="44"/>
    <m/>
    <m/>
  </r>
  <r>
    <s v="ORD-00777"/>
    <x v="196"/>
    <s v="CUST-0016"/>
    <s v="PROD-004"/>
    <s v="R002"/>
    <n v="6"/>
    <n v="3870"/>
    <n v="22.4"/>
    <n v="18018.72"/>
    <s v="Cancelled"/>
    <s v="Delhi"/>
    <s v="Electronics"/>
    <m/>
    <s v="SMB"/>
    <n v="26"/>
    <s v="East"/>
    <s v="Dec-24"/>
  </r>
  <r>
    <s v="ORD-00778"/>
    <x v="219"/>
    <s v="CUST-0249"/>
    <s v="PROD-033"/>
    <s v="R027"/>
    <n v="3"/>
    <n v="2030"/>
    <n v="18.5"/>
    <n v="4963.3500000000004"/>
    <s v="Completed"/>
    <s v="Mumbai"/>
    <s v="Home"/>
    <m/>
    <s v="Retail"/>
    <n v="44"/>
    <m/>
    <m/>
  </r>
  <r>
    <s v="ORD-00779"/>
    <x v="326"/>
    <s v="CUST-0021"/>
    <s v="PROD-040"/>
    <s v="R027"/>
    <n v="7"/>
    <n v="1080"/>
    <n v="6.8"/>
    <n v="7045.92"/>
    <s v="Pending"/>
    <s v="Pune"/>
    <s v="Home"/>
    <m/>
    <s v="Retail"/>
    <n v="44"/>
    <m/>
    <m/>
  </r>
  <r>
    <s v="ORD-00780"/>
    <x v="303"/>
    <s v="CUST-0255"/>
    <s v="PROD-035"/>
    <s v="R009"/>
    <n v="1"/>
    <n v="1090"/>
    <n v="20.6"/>
    <n v="865.46"/>
    <s v="Completed"/>
    <s v="Chennai"/>
    <s v="Home"/>
    <m/>
    <s v="Corporate"/>
    <n v="51"/>
    <m/>
    <m/>
  </r>
  <r>
    <s v="ORD-00781"/>
    <x v="72"/>
    <s v="CUST-0084"/>
    <s v="PROD-032"/>
    <s v="R011"/>
    <n v="8"/>
    <n v="370"/>
    <n v="1.7"/>
    <n v="2909.68"/>
    <s v="Completed"/>
    <s v="Chennai"/>
    <s v="Home"/>
    <m/>
    <s v="Retail"/>
    <n v="28"/>
    <s v="South"/>
    <s v="Nov-24"/>
  </r>
  <r>
    <s v="ORD-00782"/>
    <x v="327"/>
    <s v="CUST-0289"/>
    <s v="PROD-018"/>
    <s v="R018"/>
    <n v="7"/>
    <n v="3560"/>
    <n v="28.7"/>
    <n v="17767.96"/>
    <s v="Completed"/>
    <s v="Mumbai"/>
    <s v="Apparel"/>
    <m/>
    <s v="Retail"/>
    <n v="54"/>
    <m/>
    <m/>
  </r>
  <r>
    <s v="ORD-00783"/>
    <x v="328"/>
    <s v="CUST-0026"/>
    <s v="PROD-050"/>
    <s v="R016"/>
    <n v="9"/>
    <n v="6080"/>
    <n v="16.3"/>
    <n v="45800.639999999999"/>
    <s v="Cancelled"/>
    <s v="Pune"/>
    <s v="Beauty"/>
    <m/>
    <s v="Retail"/>
    <n v="62"/>
    <m/>
    <m/>
  </r>
  <r>
    <s v="ORD-00784"/>
    <x v="265"/>
    <s v="CUST-0273"/>
    <s v="PROD-051"/>
    <s v="R015"/>
    <n v="2"/>
    <n v="3450"/>
    <n v="17.600000000000001"/>
    <n v="5685.6"/>
    <s v="Pending"/>
    <s v="Hyderabad"/>
    <s v="Sports"/>
    <m/>
    <s v="Corporate"/>
    <n v="32"/>
    <s v="South"/>
    <s v="Jun-24"/>
  </r>
  <r>
    <s v="ORD-00785"/>
    <x v="24"/>
    <s v="CUST-0069"/>
    <s v="PROD-034"/>
    <s v="R009"/>
    <n v="1"/>
    <n v="5080"/>
    <n v="5.9"/>
    <n v="4780.28"/>
    <s v="Completed"/>
    <s v="Chennai"/>
    <s v="Home"/>
    <m/>
    <s v="Retail"/>
    <n v="51"/>
    <m/>
    <m/>
  </r>
  <r>
    <s v="ORD-00786"/>
    <x v="234"/>
    <s v="CUST-0236"/>
    <s v="PROD-011"/>
    <s v="R023"/>
    <n v="7"/>
    <n v="3450"/>
    <n v="17.399999999999999"/>
    <n v="19947.900000000001"/>
    <s v="Completed"/>
    <s v="Hyderabad"/>
    <s v="Apparel"/>
    <m/>
    <s v="SMB"/>
    <n v="28"/>
    <s v="South"/>
    <s v="Apr-24"/>
  </r>
  <r>
    <s v="ORD-00787"/>
    <x v="210"/>
    <s v="CUST-0060"/>
    <s v="PROD-024"/>
    <s v="R009"/>
    <n v="8"/>
    <n v="2270"/>
    <n v="24.7"/>
    <n v="13674.48"/>
    <s v="Completed"/>
    <s v="Pune"/>
    <s v="Grocery"/>
    <m/>
    <s v="Retail"/>
    <n v="39"/>
    <s v="East"/>
    <s v="Mar-24"/>
  </r>
  <r>
    <s v="ORD-00788"/>
    <x v="37"/>
    <s v="CUST-0243"/>
    <s v="PROD-012"/>
    <s v="R023"/>
    <n v="3"/>
    <n v="3160"/>
    <n v="1.5"/>
    <n v="9337.7999999999993"/>
    <s v="Pending"/>
    <s v="Pune"/>
    <s v="Apparel"/>
    <m/>
    <s v="SMB"/>
    <n v="44"/>
    <m/>
    <m/>
  </r>
  <r>
    <s v="ORD-00789"/>
    <x v="44"/>
    <s v="CUST-0188"/>
    <s v="PROD-043"/>
    <s v="R029"/>
    <n v="6"/>
    <n v="3350"/>
    <n v="0.9"/>
    <n v="19919.099999999999"/>
    <s v="Pending"/>
    <s v="Bengaluru"/>
    <s v="Beauty"/>
    <m/>
    <s v="Retail"/>
    <n v="54"/>
    <m/>
    <m/>
  </r>
  <r>
    <s v="ORD-00790"/>
    <x v="47"/>
    <s v="CUST-0174"/>
    <s v="PROD-044"/>
    <s v="R029"/>
    <n v="7"/>
    <n v="1650"/>
    <n v="5.6"/>
    <n v="10903.2"/>
    <s v="Refunded"/>
    <s v="Pune"/>
    <s v="Beauty"/>
    <m/>
    <s v="Retail"/>
    <n v="54"/>
    <m/>
    <m/>
  </r>
  <r>
    <s v="ORD-00791"/>
    <x v="73"/>
    <s v="CUST-0016"/>
    <s v="PROD-038"/>
    <s v="R003"/>
    <n v="1"/>
    <n v="5490"/>
    <n v="5.8"/>
    <n v="5171.58"/>
    <s v="Completed"/>
    <s v="Delhi"/>
    <s v="Home"/>
    <m/>
    <s v="SMB"/>
    <n v="26"/>
    <s v="West"/>
    <s v="Aug-24"/>
  </r>
  <r>
    <s v="ORD-00792"/>
    <x v="171"/>
    <s v="CUST-0184"/>
    <s v="PROD-040"/>
    <s v="R024"/>
    <n v="3"/>
    <n v="1080"/>
    <n v="20.9"/>
    <n v="2562.84"/>
    <s v="Completed"/>
    <s v="Pune"/>
    <s v="Home"/>
    <m/>
    <s v="Retail"/>
    <n v="63"/>
    <m/>
    <m/>
  </r>
  <r>
    <s v="ORD-00793"/>
    <x v="224"/>
    <s v="CUST-9568"/>
    <s v="PROD-027"/>
    <s v="R018"/>
    <n v="10"/>
    <n v="3780"/>
    <n v="5.5"/>
    <n v="35721"/>
    <s v="Completed"/>
    <s v="Hyderabad"/>
    <s v="Grocery"/>
    <m/>
    <e v="#N/A"/>
    <e v="#N/A"/>
    <m/>
    <m/>
  </r>
  <r>
    <s v="ORD-00794"/>
    <x v="307"/>
    <s v="CUST-0118"/>
    <s v="PROD-033"/>
    <s v="R030"/>
    <n v="2"/>
    <n v="2030"/>
    <n v="2"/>
    <n v="3978.8"/>
    <s v="Pending"/>
    <s v="Hyderabad"/>
    <s v="Home"/>
    <m/>
    <s v="Retail"/>
    <n v="26"/>
    <s v="East"/>
    <s v="May-24"/>
  </r>
  <r>
    <s v="ORD-00795"/>
    <x v="329"/>
    <s v="CUST-0271"/>
    <s v="PROD-041"/>
    <s v="R019"/>
    <n v="8"/>
    <n v="1540"/>
    <n v="9"/>
    <n v="11211.2"/>
    <s v="Cancelled"/>
    <s v="Bengaluru"/>
    <s v="Beauty"/>
    <m/>
    <s v="Corporate"/>
    <n v="41"/>
    <m/>
    <m/>
  </r>
  <r>
    <s v="ORD-00796"/>
    <x v="131"/>
    <s v="CUST-0147"/>
    <s v="PROD-036"/>
    <s v="R015"/>
    <n v="9"/>
    <n v="3250"/>
    <n v="20.5"/>
    <n v="23253.75"/>
    <s v="Completed"/>
    <s v="Pune"/>
    <s v="Home"/>
    <m/>
    <s v="Retail"/>
    <n v="56"/>
    <m/>
    <m/>
  </r>
  <r>
    <s v="ORD-00797"/>
    <x v="112"/>
    <s v="CUST-0253"/>
    <s v="PROD-047"/>
    <s v="R005"/>
    <n v="3"/>
    <n v="3450"/>
    <n v="17.899999999999999"/>
    <n v="8497.35"/>
    <s v="Completed"/>
    <s v="Delhi"/>
    <s v="Beauty"/>
    <m/>
    <s v="SMB"/>
    <n v="53"/>
    <m/>
    <m/>
  </r>
  <r>
    <s v="ORD-00798"/>
    <x v="172"/>
    <s v="CUST-0224"/>
    <s v="PROD-038"/>
    <s v="R008"/>
    <n v="5"/>
    <n v="5490"/>
    <n v="7.9"/>
    <n v="25281.45"/>
    <s v="Completed"/>
    <s v="Chennai"/>
    <s v="Home"/>
    <m/>
    <s v="Corporate"/>
    <n v="24"/>
    <s v="North"/>
    <s v="Feb-24"/>
  </r>
  <r>
    <s v="ORD-00799"/>
    <x v="141"/>
    <s v="CUST-0134"/>
    <s v="PROD-032"/>
    <s v="R029"/>
    <n v="3"/>
    <n v="370"/>
    <n v="13.4"/>
    <n v="961.26"/>
    <s v="Completed"/>
    <s v="Delhi"/>
    <s v="Home"/>
    <m/>
    <s v="Retail"/>
    <n v="40"/>
    <s v="North"/>
    <s v="Jul-24"/>
  </r>
  <r>
    <s v="ORD-00800"/>
    <x v="3"/>
    <s v="CUST-0287"/>
    <s v="PROD-001"/>
    <s v="R009"/>
    <n v="7"/>
    <n v="5330"/>
    <n v="29.7"/>
    <n v="26228.93"/>
    <s v="Pending"/>
    <s v="Chennai"/>
    <s v="Electronics"/>
    <m/>
    <s v="SMB"/>
    <n v="53"/>
    <m/>
    <m/>
  </r>
  <r>
    <s v="ORD-00801"/>
    <x v="213"/>
    <s v="CUST-0144"/>
    <s v="PROD-051"/>
    <s v="R016"/>
    <n v="8"/>
    <n v="3450"/>
    <n v="23.7"/>
    <n v="21058.799999999999"/>
    <s v="Completed"/>
    <s v="Chennai"/>
    <s v="Sports"/>
    <m/>
    <s v="Retail"/>
    <n v="49"/>
    <m/>
    <m/>
  </r>
  <r>
    <s v="ORD-00802"/>
    <x v="309"/>
    <s v="CUST-0255"/>
    <s v="PROD-011"/>
    <s v="R027"/>
    <n v="8"/>
    <n v="3450"/>
    <n v="5.4"/>
    <n v="26109.599999999999"/>
    <s v="Completed"/>
    <s v="Chennai"/>
    <s v="Apparel"/>
    <m/>
    <s v="Corporate"/>
    <n v="51"/>
    <m/>
    <m/>
  </r>
  <r>
    <s v="ORD-00803"/>
    <x v="325"/>
    <s v="CUST-0054"/>
    <s v="PROD-050"/>
    <s v="R029"/>
    <n v="1"/>
    <n v="6080"/>
    <n v="22.3"/>
    <n v="4724.16"/>
    <s v="Completed"/>
    <s v="Mumbai"/>
    <s v="Beauty"/>
    <m/>
    <s v="Corporate"/>
    <n v="62"/>
    <m/>
    <m/>
  </r>
  <r>
    <s v="ORD-00804"/>
    <x v="100"/>
    <s v="CUST-0283"/>
    <s v="PROD-017"/>
    <s v="R011"/>
    <n v="9"/>
    <n v="2510"/>
    <n v="27.4"/>
    <n v="16400.34"/>
    <s v="Completed"/>
    <s v="Delhi"/>
    <s v="Apparel"/>
    <m/>
    <s v="SMB"/>
    <n v="50"/>
    <m/>
    <m/>
  </r>
  <r>
    <s v="ORD-00805"/>
    <x v="40"/>
    <s v="CUST-0182"/>
    <s v="PROD-054"/>
    <s v="R012"/>
    <n v="10"/>
    <n v="1010"/>
    <n v="28.4"/>
    <n v="7231.6"/>
    <s v="Completed"/>
    <s v="Mumbai"/>
    <s v="Sports"/>
    <m/>
    <s v="Retail"/>
    <n v="54"/>
    <m/>
    <m/>
  </r>
  <r>
    <s v="ORD-00806"/>
    <x v="24"/>
    <s v="CUST-0289"/>
    <s v="PROD-018"/>
    <s v="R023"/>
    <n v="1"/>
    <n v="3560"/>
    <n v="26"/>
    <n v="2634.4"/>
    <s v="Completed"/>
    <s v="Mumbai"/>
    <s v="Apparel"/>
    <m/>
    <s v="Retail"/>
    <n v="54"/>
    <m/>
    <m/>
  </r>
  <r>
    <s v="ORD-00807"/>
    <x v="245"/>
    <s v="CUST-0104"/>
    <s v="PROD-045"/>
    <s v="R006"/>
    <n v="8"/>
    <n v="3020"/>
    <n v="6.9"/>
    <n v="22492.959999999999"/>
    <s v="Completed"/>
    <s v="Hyderabad"/>
    <s v="Beauty"/>
    <m/>
    <s v="Corporate"/>
    <n v="43"/>
    <m/>
    <m/>
  </r>
  <r>
    <s v="ORD-00808"/>
    <x v="114"/>
    <s v="CUST-0085"/>
    <s v="PROD-026"/>
    <s v="R017"/>
    <n v="1"/>
    <n v="4070"/>
    <n v="8.1999999999999993"/>
    <n v="3736.26"/>
    <s v="Completed"/>
    <s v="Chennai"/>
    <s v="Grocery"/>
    <m/>
    <s v="Retail"/>
    <n v="26"/>
    <s v="North"/>
    <s v="Apr-24"/>
  </r>
  <r>
    <s v="ORD-00809"/>
    <x v="324"/>
    <s v="CUST-0120"/>
    <s v="PROD-032"/>
    <s v="R020"/>
    <n v="9"/>
    <n v="370"/>
    <n v="19.8"/>
    <n v="2670.66"/>
    <s v="Completed"/>
    <s v="Mumbai"/>
    <s v="Home"/>
    <m/>
    <s v="Retail"/>
    <n v="29"/>
    <s v="East"/>
    <s v="Jan-24"/>
  </r>
  <r>
    <s v="ORD-00810"/>
    <x v="227"/>
    <s v="CUST-0236"/>
    <s v="PROD-030"/>
    <s v="R020"/>
    <n v="6"/>
    <n v="970"/>
    <n v="16.2"/>
    <n v="4877.16"/>
    <s v="Completed"/>
    <s v="Hyderabad"/>
    <s v="Grocery"/>
    <m/>
    <s v="SMB"/>
    <n v="28"/>
    <s v="East"/>
    <s v="Feb-24"/>
  </r>
  <r>
    <s v="ORD-00811"/>
    <x v="142"/>
    <s v="CUST-0094"/>
    <s v="PROD-015"/>
    <s v="R019"/>
    <n v="10"/>
    <n v="2720"/>
    <n v="3"/>
    <n v="26384"/>
    <s v="Pending"/>
    <s v="Pune"/>
    <s v="Apparel"/>
    <m/>
    <s v="SMB"/>
    <n v="60"/>
    <m/>
    <m/>
  </r>
  <r>
    <s v="ORD-00812"/>
    <x v="174"/>
    <s v="CUST-0030"/>
    <s v="PROD-058"/>
    <s v="R014"/>
    <n v="7"/>
    <n v="2400"/>
    <n v="29.4"/>
    <n v="11860.8"/>
    <s v="Completed"/>
    <s v="Bengaluru"/>
    <s v="Sports"/>
    <m/>
    <s v="Corporate"/>
    <n v="43"/>
    <m/>
    <m/>
  </r>
  <r>
    <s v="ORD-00813"/>
    <x v="148"/>
    <s v="CUST-0172"/>
    <s v="PROD-018"/>
    <s v="R012"/>
    <n v="8"/>
    <n v="3560"/>
    <n v="21.7"/>
    <n v="22299.84"/>
    <s v="Completed"/>
    <s v="Pune"/>
    <s v="Apparel"/>
    <m/>
    <s v="Retail"/>
    <n v="65"/>
    <m/>
    <m/>
  </r>
  <r>
    <s v="ORD-00814"/>
    <x v="217"/>
    <s v="CUST-0221"/>
    <s v="PROD-026"/>
    <s v="R015"/>
    <n v="7"/>
    <n v="4070"/>
    <n v="10.5"/>
    <n v="25498.55"/>
    <s v="Completed"/>
    <s v="Delhi"/>
    <s v="Grocery"/>
    <m/>
    <s v="SMB"/>
    <n v="29"/>
    <s v="South"/>
    <s v="Sep-24"/>
  </r>
  <r>
    <s v="ORD-01052"/>
    <x v="193"/>
    <s v="CUST-0151"/>
    <s v="PROD-052"/>
    <s v="R008"/>
    <n v="3"/>
    <n v="5410"/>
    <n v="0.2"/>
    <n v="16197.54"/>
    <s v="Completed"/>
    <s v="Mumbai"/>
    <s v="Sports"/>
    <m/>
    <s v="Retail"/>
    <n v="53"/>
    <m/>
    <m/>
  </r>
  <r>
    <s v="ORD-00816"/>
    <x v="330"/>
    <s v="CUST-0068"/>
    <s v="PROD-021"/>
    <s v="R028"/>
    <n v="4"/>
    <n v="2760"/>
    <n v="27.5"/>
    <n v="8004"/>
    <s v="Cancelled"/>
    <s v="Delhi"/>
    <s v="Grocery"/>
    <m/>
    <s v="SMB"/>
    <n v="48"/>
    <m/>
    <m/>
  </r>
  <r>
    <s v="ORD-01136"/>
    <x v="267"/>
    <s v="CUST-0165"/>
    <s v="PROD-034"/>
    <s v="R013"/>
    <n v="3"/>
    <n v="5080"/>
    <n v="27.2"/>
    <n v="11094.72"/>
    <s v="Completed"/>
    <s v="Pune"/>
    <s v="Home"/>
    <m/>
    <s v="Retail"/>
    <n v="29"/>
    <s v="West"/>
    <s v="Dec-24"/>
  </r>
  <r>
    <s v="ORD-00818"/>
    <x v="139"/>
    <s v="CUST-0060"/>
    <s v="PROD-035"/>
    <s v="R017"/>
    <n v="5"/>
    <n v="1090"/>
    <n v="3.3"/>
    <n v="5270.15"/>
    <s v="Completed"/>
    <s v="Pune"/>
    <s v="Home"/>
    <m/>
    <s v="Retail"/>
    <n v="39"/>
    <s v="South"/>
    <s v="Jul-24"/>
  </r>
  <r>
    <s v="ORD-00819"/>
    <x v="60"/>
    <s v="CUST-0130"/>
    <s v="PROD-023"/>
    <s v="R029"/>
    <n v="10"/>
    <n v="2380"/>
    <n v="7"/>
    <n v="22134"/>
    <s v="Completed"/>
    <s v="Bengaluru"/>
    <s v="Grocery"/>
    <m/>
    <s v="Corporate"/>
    <n v="41"/>
    <m/>
    <m/>
  </r>
  <r>
    <s v="ORD-00820"/>
    <x v="156"/>
    <s v="CUST-0023"/>
    <s v="PROD-012"/>
    <s v="R026"/>
    <n v="5"/>
    <n v="3160"/>
    <n v="25.6"/>
    <n v="11755.2"/>
    <s v="Completed"/>
    <s v="Chennai"/>
    <s v="Apparel"/>
    <m/>
    <s v="SMB"/>
    <n v="43"/>
    <m/>
    <m/>
  </r>
  <r>
    <s v="ORD-00821"/>
    <x v="331"/>
    <s v="CUST-0089"/>
    <s v="PROD-058"/>
    <s v="R029"/>
    <n v="9"/>
    <n v="2400"/>
    <n v="8.4"/>
    <n v="19785.599999999999"/>
    <s v="Completed"/>
    <s v="Mumbai"/>
    <s v="Sports"/>
    <m/>
    <s v="SMB"/>
    <n v="43"/>
    <m/>
    <m/>
  </r>
  <r>
    <s v="ORD-00822"/>
    <x v="121"/>
    <s v="CUST-0300"/>
    <s v="PROD-002"/>
    <s v="R020"/>
    <n v="4"/>
    <n v="2600"/>
    <n v="4.2"/>
    <n v="9963.2000000000007"/>
    <s v="Completed"/>
    <s v="Mumbai"/>
    <s v="Electronics"/>
    <m/>
    <s v="Retail"/>
    <n v="38"/>
    <s v="West"/>
    <s v="Mar-24"/>
  </r>
  <r>
    <s v="ORD-00823"/>
    <x v="132"/>
    <s v="CUST-9578"/>
    <s v="PROD-024"/>
    <s v="R023"/>
    <n v="5"/>
    <n v="2270"/>
    <n v="0.1"/>
    <n v="11338.65"/>
    <s v="Completed"/>
    <s v="Mumbai"/>
    <s v="Grocery"/>
    <m/>
    <e v="#N/A"/>
    <e v="#N/A"/>
    <m/>
    <m/>
  </r>
  <r>
    <s v="ORD-00824"/>
    <x v="57"/>
    <s v="CUST-0130"/>
    <s v="PROD-038"/>
    <s v="R020"/>
    <n v="7"/>
    <n v="5490"/>
    <n v="14.9"/>
    <n v="32703.93"/>
    <s v="Completed"/>
    <s v="Bengaluru"/>
    <s v="Home"/>
    <m/>
    <s v="Corporate"/>
    <n v="41"/>
    <m/>
    <m/>
  </r>
  <r>
    <s v="ORD-00825"/>
    <x v="209"/>
    <s v="CUST-0247"/>
    <s v="PROD-004"/>
    <s v="R009"/>
    <n v="5"/>
    <n v="3870"/>
    <n v="13.3"/>
    <n v="16776.45"/>
    <s v="Cancelled"/>
    <s v="Pune"/>
    <s v="Electronics"/>
    <m/>
    <s v="SMB"/>
    <n v="35"/>
    <s v="East"/>
    <s v="Jun-24"/>
  </r>
  <r>
    <s v="ORD-00826"/>
    <x v="332"/>
    <s v="CUST-0256"/>
    <s v="PROD-049"/>
    <s v="R024"/>
    <n v="2"/>
    <n v="960"/>
    <n v="17.5"/>
    <n v="1584"/>
    <s v="Completed"/>
    <s v="Hyderabad"/>
    <s v="Beauty"/>
    <m/>
    <s v="Retail"/>
    <n v="28"/>
    <s v="South"/>
    <s v="May-24"/>
  </r>
  <r>
    <s v="ORD-00827"/>
    <x v="171"/>
    <s v="CUST-0213"/>
    <s v="PROD-046"/>
    <s v="R001"/>
    <n v="4"/>
    <n v="4880"/>
    <n v="12.2"/>
    <n v="17138.560000000001"/>
    <s v="Cancelled"/>
    <s v="Mumbai"/>
    <s v="Beauty"/>
    <m/>
    <s v="Retail"/>
    <n v="37"/>
    <s v="West"/>
    <s v="Mar-24"/>
  </r>
  <r>
    <s v="ORD-00828"/>
    <x v="140"/>
    <s v="CUST-0183"/>
    <s v="PROD-058"/>
    <s v="R008"/>
    <n v="5"/>
    <n v="2400"/>
    <n v="15"/>
    <n v="10200"/>
    <s v="Completed"/>
    <s v="Mumbai"/>
    <s v="Sports"/>
    <m/>
    <s v="SMB"/>
    <n v="27"/>
    <s v="North"/>
    <s v="Apr-24"/>
  </r>
  <r>
    <s v="ORD-00829"/>
    <x v="190"/>
    <s v="CUST-0051"/>
    <s v="PROD-016"/>
    <s v="R015"/>
    <n v="9"/>
    <n v="620"/>
    <n v="20.399999999999999"/>
    <n v="4441.68"/>
    <s v="Pending"/>
    <s v="Pune"/>
    <s v="Apparel"/>
    <m/>
    <s v="SMB"/>
    <n v="54"/>
    <m/>
    <m/>
  </r>
  <r>
    <s v="ORD-00830"/>
    <x v="191"/>
    <s v="CUST-0001"/>
    <s v="PROD-039"/>
    <s v="R013"/>
    <n v="1"/>
    <n v="4610"/>
    <n v="1.8"/>
    <n v="4527.0200000000004"/>
    <s v="Pending"/>
    <s v="Pune"/>
    <s v="Home"/>
    <m/>
    <s v="Retail"/>
    <n v="36"/>
    <s v="South"/>
    <s v="Aug-24"/>
  </r>
  <r>
    <s v="ORD-00831"/>
    <x v="66"/>
    <s v="CUST-0105"/>
    <s v="PROD-039"/>
    <s v="R014"/>
    <n v="7"/>
    <n v="4610"/>
    <n v="27"/>
    <n v="23557.1"/>
    <s v="Completed"/>
    <s v="Chennai"/>
    <s v="Home"/>
    <m/>
    <s v="SMB"/>
    <n v="51"/>
    <m/>
    <m/>
  </r>
  <r>
    <s v="ORD-00832"/>
    <x v="170"/>
    <s v="CUST-0199"/>
    <s v="PROD-030"/>
    <s v="R029"/>
    <n v="6"/>
    <n v="970"/>
    <n v="4.7"/>
    <n v="5546.46"/>
    <s v="Cancelled"/>
    <s v="Hyderabad"/>
    <s v="Grocery"/>
    <m/>
    <s v="SMB"/>
    <n v="31"/>
    <s v="South"/>
    <s v="Jul-24"/>
  </r>
  <r>
    <s v="ORD-00833"/>
    <x v="331"/>
    <s v="CUST-0240"/>
    <s v="PROD-007"/>
    <s v="R026"/>
    <n v="8"/>
    <n v="1430"/>
    <n v="8.6999999999999993"/>
    <n v="10444.719999999999"/>
    <s v="Completed"/>
    <s v="Chennai"/>
    <s v="Electronics"/>
    <m/>
    <s v="Corporate"/>
    <n v="35"/>
    <s v="West"/>
    <s v="Nov-24"/>
  </r>
  <r>
    <s v="ORD-00834"/>
    <x v="333"/>
    <s v="CUST-0283"/>
    <s v="PROD-027"/>
    <s v="R011"/>
    <n v="5"/>
    <n v="3780"/>
    <n v="2.9"/>
    <n v="18351.900000000001"/>
    <s v="Completed"/>
    <s v="Delhi"/>
    <s v="Grocery"/>
    <m/>
    <s v="SMB"/>
    <n v="50"/>
    <m/>
    <m/>
  </r>
  <r>
    <s v="ORD-00835"/>
    <x v="147"/>
    <s v="CUST-0284"/>
    <s v="PROD-041"/>
    <s v="R023"/>
    <n v="2"/>
    <n v="1540"/>
    <n v="12.7"/>
    <n v="2688.84"/>
    <s v="Completed"/>
    <s v="Hyderabad"/>
    <s v="Beauty"/>
    <m/>
    <s v="SMB"/>
    <n v="65"/>
    <m/>
    <m/>
  </r>
  <r>
    <s v="ORD-00836"/>
    <x v="155"/>
    <s v="CUST-0060"/>
    <s v="PROD-040"/>
    <s v="R020"/>
    <n v="9"/>
    <n v="1080"/>
    <n v="11.2"/>
    <n v="8631.36"/>
    <s v="Cancelled"/>
    <s v="Pune"/>
    <s v="Home"/>
    <m/>
    <s v="Retail"/>
    <n v="39"/>
    <s v="East"/>
    <s v="Aug-24"/>
  </r>
  <r>
    <s v="ORD-00837"/>
    <x v="213"/>
    <s v="CUST-0266"/>
    <s v="PROD-058"/>
    <s v="R007"/>
    <n v="3"/>
    <n v="2400"/>
    <n v="28.6"/>
    <n v="5140.8"/>
    <s v="Completed"/>
    <s v="Pune"/>
    <s v="Sports"/>
    <m/>
    <s v="Retail"/>
    <n v="65"/>
    <m/>
    <m/>
  </r>
  <r>
    <s v="ORD-00838"/>
    <x v="120"/>
    <s v="CUST-0056"/>
    <s v="PROD-040"/>
    <s v="R018"/>
    <n v="5"/>
    <n v="1080"/>
    <n v="18.3"/>
    <n v="4411.8"/>
    <s v="Completed"/>
    <s v="Bengaluru"/>
    <s v="Home"/>
    <m/>
    <s v="SMB"/>
    <n v="46"/>
    <m/>
    <m/>
  </r>
  <r>
    <s v="ORD-00839"/>
    <x v="294"/>
    <s v="CUST-0187"/>
    <s v="PROD-024"/>
    <s v="R027"/>
    <n v="7"/>
    <n v="2270"/>
    <n v="1.7"/>
    <n v="15619.87"/>
    <s v="Cancelled"/>
    <s v="Chennai"/>
    <s v="Grocery"/>
    <m/>
    <s v="SMB"/>
    <n v="51"/>
    <m/>
    <m/>
  </r>
  <r>
    <s v="ORD-00840"/>
    <x v="334"/>
    <s v="CUST-0183"/>
    <s v="PROD-028"/>
    <s v="R026"/>
    <n v="8"/>
    <n v="3660"/>
    <n v="19.100000000000001"/>
    <n v="23687.52"/>
    <s v="Cancelled"/>
    <s v="Mumbai"/>
    <s v="Grocery"/>
    <m/>
    <s v="SMB"/>
    <n v="27"/>
    <s v="West"/>
    <s v="Nov-24"/>
  </r>
  <r>
    <s v="ORD-00841"/>
    <x v="302"/>
    <s v="CUST-0068"/>
    <s v="PROD-036"/>
    <s v="R003"/>
    <n v="5"/>
    <n v="3250"/>
    <n v="12.9"/>
    <n v="14153.75"/>
    <s v="Completed"/>
    <s v="Delhi"/>
    <s v="Home"/>
    <m/>
    <s v="SMB"/>
    <n v="48"/>
    <m/>
    <m/>
  </r>
  <r>
    <s v="ORD-00842"/>
    <x v="60"/>
    <s v="CUST-0135"/>
    <s v="PROD-044"/>
    <s v="R012"/>
    <n v="4"/>
    <n v="1650"/>
    <n v="4.0999999999999996"/>
    <n v="6329.4"/>
    <s v="Completed"/>
    <s v="Pune"/>
    <s v="Beauty"/>
    <m/>
    <s v="SMB"/>
    <n v="24"/>
    <s v="North"/>
    <s v="Jul-24"/>
  </r>
  <r>
    <s v="ORD-00843"/>
    <x v="207"/>
    <s v="CUST-0191"/>
    <s v="PROD-034"/>
    <s v="R003"/>
    <n v="6"/>
    <n v="5080"/>
    <n v="3"/>
    <n v="29565.599999999999"/>
    <s v="Completed"/>
    <s v="Hyderabad"/>
    <s v="Home"/>
    <m/>
    <s v="SMB"/>
    <n v="43"/>
    <m/>
    <m/>
  </r>
  <r>
    <s v="ORD-00844"/>
    <x v="105"/>
    <s v="CUST-0244"/>
    <s v="PROD-051"/>
    <s v="R027"/>
    <n v="8"/>
    <n v="3450"/>
    <n v="20.9"/>
    <n v="21831.599999999999"/>
    <s v="Completed"/>
    <s v="Bengaluru"/>
    <s v="Sports"/>
    <m/>
    <s v="Retail"/>
    <n v="61"/>
    <m/>
    <m/>
  </r>
  <r>
    <s v="ORD-00845"/>
    <x v="335"/>
    <s v="CUST-0189"/>
    <s v="PROD-043"/>
    <s v="R018"/>
    <n v="6"/>
    <n v="3350"/>
    <n v="24.8"/>
    <n v="15115.2"/>
    <s v="Completed"/>
    <s v="Chennai"/>
    <s v="Beauty"/>
    <m/>
    <s v="Retail"/>
    <n v="41"/>
    <m/>
    <m/>
  </r>
  <r>
    <s v="ORD-00846"/>
    <x v="310"/>
    <s v="CUST-0166"/>
    <s v="PROD-029"/>
    <s v="R027"/>
    <n v="10"/>
    <n v="2210"/>
    <n v="4.2"/>
    <n v="21171.8"/>
    <s v="Completed"/>
    <s v="Hyderabad"/>
    <s v="Grocery"/>
    <m/>
    <s v="Retail"/>
    <n v="31"/>
    <s v="East"/>
    <s v="May-24"/>
  </r>
  <r>
    <s v="ORD-00847"/>
    <x v="328"/>
    <s v="CUST-0167"/>
    <s v="PROD-046"/>
    <s v="R006"/>
    <n v="10"/>
    <n v="4880"/>
    <n v="0.7"/>
    <n v="48458.400000000001"/>
    <s v="Completed"/>
    <s v="Delhi"/>
    <s v="Beauty"/>
    <m/>
    <s v="Retail"/>
    <n v="43"/>
    <m/>
    <m/>
  </r>
  <r>
    <s v="ORD-00848"/>
    <x v="264"/>
    <s v="CUST-0265"/>
    <s v="PROD-055"/>
    <s v="R004"/>
    <n v="7"/>
    <n v="2860"/>
    <n v="28.1"/>
    <n v="14394.38"/>
    <s v="Pending"/>
    <s v="Chennai"/>
    <s v="Sports"/>
    <m/>
    <s v="Retail"/>
    <n v="49"/>
    <m/>
    <m/>
  </r>
  <r>
    <s v="ORD-00849"/>
    <x v="248"/>
    <s v="CUST-0172"/>
    <s v="PROD-030"/>
    <s v="R005"/>
    <n v="3"/>
    <n v="970"/>
    <n v="28.3"/>
    <n v="2086.4699999999998"/>
    <s v="Completed"/>
    <s v="Pune"/>
    <s v="Grocery"/>
    <m/>
    <s v="Retail"/>
    <n v="65"/>
    <m/>
    <m/>
  </r>
  <r>
    <s v="ORD-00850"/>
    <x v="315"/>
    <s v="CUST-0205"/>
    <s v="PROD-022"/>
    <s v="R008"/>
    <n v="1"/>
    <n v="2270"/>
    <n v="15.1"/>
    <n v="1927.23"/>
    <s v="Completed"/>
    <s v="Pune"/>
    <s v="Grocery"/>
    <m/>
    <s v="Corporate"/>
    <n v="29"/>
    <s v="North"/>
    <s v="Oct-24"/>
  </r>
  <r>
    <s v="ORD-00851"/>
    <x v="258"/>
    <s v="CUST-0102"/>
    <s v="PROD-018"/>
    <s v="R015"/>
    <n v="5"/>
    <n v="3560"/>
    <n v="11.5"/>
    <n v="15753"/>
    <s v="Completed"/>
    <s v="Chennai"/>
    <s v="Apparel"/>
    <m/>
    <s v="SMB"/>
    <n v="62"/>
    <m/>
    <m/>
  </r>
  <r>
    <s v="ORD-00852"/>
    <x v="140"/>
    <s v="CUST-0142"/>
    <s v="PROD-052"/>
    <s v="R010"/>
    <n v="2"/>
    <n v="5410"/>
    <n v="14.8"/>
    <n v="9218.64"/>
    <s v="Pending"/>
    <s v="Chennai"/>
    <s v="Sports"/>
    <m/>
    <s v="Corporate"/>
    <n v="55"/>
    <m/>
    <m/>
  </r>
  <r>
    <s v="ORD-00853"/>
    <x v="165"/>
    <s v="CUST-0195"/>
    <s v="PROD-019"/>
    <s v="R006"/>
    <n v="2"/>
    <n v="2480"/>
    <n v="27.2"/>
    <n v="3610.88"/>
    <s v="Completed"/>
    <s v="Bengaluru"/>
    <s v="Apparel"/>
    <m/>
    <s v="Retail"/>
    <n v="28"/>
    <s v="South"/>
    <s v="May-24"/>
  </r>
  <r>
    <s v="ORD-00854"/>
    <x v="154"/>
    <s v="CUST-0125"/>
    <s v="PROD-020"/>
    <s v="R014"/>
    <n v="6"/>
    <n v="820"/>
    <n v="6.6"/>
    <n v="4595.28"/>
    <s v="Completed"/>
    <s v="Delhi"/>
    <s v="Apparel"/>
    <m/>
    <s v="Retail"/>
    <n v="45"/>
    <m/>
    <m/>
  </r>
  <r>
    <s v="ORD-00855"/>
    <x v="224"/>
    <s v="CUST-0234"/>
    <s v="PROD-001"/>
    <s v="R015"/>
    <n v="10"/>
    <n v="5330"/>
    <n v="16.100000000000001"/>
    <n v="44718.7"/>
    <s v="Completed"/>
    <s v="Bengaluru"/>
    <s v="Electronics"/>
    <m/>
    <s v="Retail"/>
    <n v="34"/>
    <s v="South"/>
    <s v="Feb-24"/>
  </r>
  <r>
    <s v="ORD-00856"/>
    <x v="334"/>
    <s v="CUST-0061"/>
    <s v="PROD-047"/>
    <s v="R004"/>
    <n v="2"/>
    <n v="3450"/>
    <n v="11.3"/>
    <n v="6120.3"/>
    <s v="Pending"/>
    <s v="Hyderabad"/>
    <s v="Beauty"/>
    <m/>
    <s v="Retail"/>
    <n v="64"/>
    <m/>
    <m/>
  </r>
  <r>
    <s v="ORD-00857"/>
    <x v="97"/>
    <s v="CUST-0189"/>
    <s v="PROD-049"/>
    <s v="R023"/>
    <n v="7"/>
    <n v="960"/>
    <n v="17.100000000000001"/>
    <n v="5570.88"/>
    <s v="Completed"/>
    <s v="Chennai"/>
    <s v="Beauty"/>
    <m/>
    <s v="Retail"/>
    <n v="41"/>
    <m/>
    <m/>
  </r>
  <r>
    <s v="ORD-00858"/>
    <x v="235"/>
    <s v="CUST-0191"/>
    <s v="PROD-011"/>
    <s v="R003"/>
    <n v="5"/>
    <n v="3450"/>
    <n v="22.9"/>
    <n v="13299.75"/>
    <s v="Completed"/>
    <s v="Hyderabad"/>
    <s v="Apparel"/>
    <m/>
    <s v="SMB"/>
    <n v="43"/>
    <m/>
    <m/>
  </r>
  <r>
    <s v="ORD-00859"/>
    <x v="287"/>
    <s v="CUST-0217"/>
    <s v="PROD-009"/>
    <s v="R008"/>
    <n v="5"/>
    <n v="1220"/>
    <n v="0.3"/>
    <n v="6081.7"/>
    <s v="Completed"/>
    <s v="Pune"/>
    <s v="Electronics"/>
    <m/>
    <s v="SMB"/>
    <n v="59"/>
    <m/>
    <m/>
  </r>
  <r>
    <s v="ORD-00860"/>
    <x v="231"/>
    <s v="CUST-0060"/>
    <s v="PROD-001"/>
    <s v="R007"/>
    <n v="5"/>
    <n v="5330"/>
    <n v="29"/>
    <n v="18921.5"/>
    <s v="Completed"/>
    <s v="Pune"/>
    <s v="Electronics"/>
    <m/>
    <s v="Retail"/>
    <n v="39"/>
    <s v="North"/>
    <s v="Dec-24"/>
  </r>
  <r>
    <s v="ORD-00861"/>
    <x v="29"/>
    <s v="CUST-0270"/>
    <s v="PROD-003"/>
    <s v="R028"/>
    <n v="3"/>
    <n v="3570"/>
    <n v="20"/>
    <n v="8568"/>
    <s v="Cancelled"/>
    <s v="Bengaluru"/>
    <s v="Electronics"/>
    <m/>
    <s v="Retail"/>
    <n v="29"/>
    <s v="North"/>
    <s v="Jan-24"/>
  </r>
  <r>
    <s v="ORD-00862"/>
    <x v="8"/>
    <s v="CUST-0279"/>
    <s v="PROD-029"/>
    <s v="R026"/>
    <n v="9"/>
    <n v="2210"/>
    <n v="12.4"/>
    <n v="17423.64"/>
    <s v="Completed"/>
    <s v="Mumbai"/>
    <s v="Grocery"/>
    <m/>
    <s v="Retail"/>
    <n v="56"/>
    <m/>
    <m/>
  </r>
  <r>
    <s v="ORD-00863"/>
    <x v="272"/>
    <s v="CUST-0008"/>
    <s v="PROD-059"/>
    <s v="R029"/>
    <n v="5"/>
    <n v="3780"/>
    <n v="3.9"/>
    <n v="18162.900000000001"/>
    <s v="Completed"/>
    <s v="Pune"/>
    <s v="Sports"/>
    <m/>
    <s v="SMB"/>
    <n v="39"/>
    <s v="West"/>
    <s v="Apr-24"/>
  </r>
  <r>
    <s v="ORD-00864"/>
    <x v="17"/>
    <s v="CUST-0259"/>
    <s v="PROD-010"/>
    <s v="R008"/>
    <n v="10"/>
    <n v="2640"/>
    <n v="17.8"/>
    <n v="21700.799999999999"/>
    <s v="Refunded"/>
    <s v="Mumbai"/>
    <s v="Electronics"/>
    <m/>
    <s v="Retail"/>
    <n v="34"/>
    <s v="West"/>
    <s v="Jan-24"/>
  </r>
  <r>
    <s v="ORD-00865"/>
    <x v="279"/>
    <s v="CUST-0169"/>
    <s v="PROD-005"/>
    <s v="R024"/>
    <n v="5"/>
    <n v="300"/>
    <n v="12.9"/>
    <n v="1306.5"/>
    <s v="Completed"/>
    <s v="Bengaluru"/>
    <s v="Electronics"/>
    <m/>
    <s v="SMB"/>
    <n v="42"/>
    <m/>
    <m/>
  </r>
  <r>
    <s v="ORD-00866"/>
    <x v="276"/>
    <s v="CUST-0191"/>
    <s v="PROD-058"/>
    <s v="R013"/>
    <n v="2"/>
    <n v="2400"/>
    <n v="17.100000000000001"/>
    <n v="3979.2"/>
    <s v="Pending"/>
    <s v="Hyderabad"/>
    <s v="Sports"/>
    <m/>
    <s v="SMB"/>
    <n v="43"/>
    <m/>
    <m/>
  </r>
  <r>
    <s v="ORD-00867"/>
    <x v="336"/>
    <s v="CUST-0129"/>
    <s v="PROD-040"/>
    <s v="R026"/>
    <n v="5"/>
    <n v="1080"/>
    <n v="15.7"/>
    <n v="4552.2"/>
    <s v="Pending"/>
    <s v="Hyderabad"/>
    <s v="Home"/>
    <m/>
    <s v="Retail"/>
    <n v="29"/>
    <s v="South"/>
    <s v="Oct-24"/>
  </r>
  <r>
    <s v="ORD-00868"/>
    <x v="72"/>
    <s v="CUST-0066"/>
    <s v="PROD-036"/>
    <s v="R003"/>
    <n v="1"/>
    <n v="3250"/>
    <n v="14.7"/>
    <n v="2772.25"/>
    <s v="Completed"/>
    <s v="Delhi"/>
    <s v="Home"/>
    <m/>
    <s v="Retail"/>
    <n v="24"/>
    <s v="West"/>
    <s v="Oct-24"/>
  </r>
  <r>
    <s v="ORD-00869"/>
    <x v="169"/>
    <s v="CUST-0114"/>
    <s v="PROD-032"/>
    <s v="R021"/>
    <n v="7"/>
    <n v="370"/>
    <n v="6"/>
    <n v="2434.6"/>
    <s v="Cancelled"/>
    <s v="Bengaluru"/>
    <s v="Home"/>
    <m/>
    <s v="Corporate"/>
    <n v="42"/>
    <m/>
    <m/>
  </r>
  <r>
    <s v="ORD-00870"/>
    <x v="186"/>
    <s v="CUST-9833"/>
    <s v="PROD-038"/>
    <s v="R029"/>
    <n v="7"/>
    <n v="5490"/>
    <n v="10.199999999999999"/>
    <n v="34510.14"/>
    <s v="Completed"/>
    <s v="Pune"/>
    <s v="Home"/>
    <m/>
    <e v="#N/A"/>
    <e v="#N/A"/>
    <m/>
    <m/>
  </r>
  <r>
    <s v="ORD-00871"/>
    <x v="337"/>
    <s v="CUST-0076"/>
    <s v="PROD-006"/>
    <s v="R028"/>
    <n v="3"/>
    <n v="3970"/>
    <n v="2.4"/>
    <n v="11624.16"/>
    <s v="Completed"/>
    <s v="Mumbai"/>
    <s v="Electronics"/>
    <m/>
    <s v="Retail"/>
    <n v="38"/>
    <s v="West"/>
    <s v="Feb-24"/>
  </r>
  <r>
    <s v="ORD-00872"/>
    <x v="336"/>
    <s v="CUST-0215"/>
    <s v="PROD-009"/>
    <s v="R007"/>
    <n v="4"/>
    <n v="1220"/>
    <n v="25.3"/>
    <n v="3645.36"/>
    <s v="Completed"/>
    <s v="Hyderabad"/>
    <s v="Electronics"/>
    <m/>
    <s v="Retail"/>
    <n v="52"/>
    <m/>
    <m/>
  </r>
  <r>
    <s v="ORD-00873"/>
    <x v="132"/>
    <s v="CUST-0061"/>
    <s v="PROD-012"/>
    <s v="R026"/>
    <n v="3"/>
    <n v="3160"/>
    <n v="19.8"/>
    <n v="7602.96"/>
    <s v="Completed"/>
    <s v="Hyderabad"/>
    <s v="Apparel"/>
    <m/>
    <s v="Retail"/>
    <n v="64"/>
    <m/>
    <m/>
  </r>
  <r>
    <s v="ORD-00874"/>
    <x v="195"/>
    <s v="CUST-0249"/>
    <s v="PROD-005"/>
    <s v="R008"/>
    <n v="1"/>
    <n v="300"/>
    <n v="24.5"/>
    <n v="226.5"/>
    <s v="Completed"/>
    <s v="Mumbai"/>
    <s v="Electronics"/>
    <m/>
    <s v="Retail"/>
    <n v="44"/>
    <m/>
    <m/>
  </r>
  <r>
    <s v="ORD-00875"/>
    <x v="16"/>
    <s v="CUST-0105"/>
    <s v="PROD-047"/>
    <s v="R029"/>
    <n v="5"/>
    <n v="3450"/>
    <n v="13.4"/>
    <n v="14938.5"/>
    <s v="Pending"/>
    <s v="Chennai"/>
    <s v="Beauty"/>
    <m/>
    <s v="SMB"/>
    <n v="51"/>
    <m/>
    <m/>
  </r>
  <r>
    <s v="ORD-00876"/>
    <x v="245"/>
    <s v="CUST-0161"/>
    <s v="PROD-014"/>
    <s v="R027"/>
    <n v="7"/>
    <n v="3620"/>
    <n v="19.2"/>
    <n v="20474.72"/>
    <s v="Completed"/>
    <s v="Chennai"/>
    <s v="Apparel"/>
    <m/>
    <s v="Retail"/>
    <n v="38"/>
    <s v="West"/>
    <s v="Dec-24"/>
  </r>
  <r>
    <s v="ORD-00877"/>
    <x v="265"/>
    <s v="CUST-0275"/>
    <s v="PROD-024"/>
    <s v="R010"/>
    <n v="10"/>
    <n v="2270"/>
    <n v="20.5"/>
    <n v="18046.5"/>
    <s v="Completed"/>
    <s v="Mumbai"/>
    <s v="Grocery"/>
    <m/>
    <s v="Retail"/>
    <n v="36"/>
    <s v="West"/>
    <s v="Apr-24"/>
  </r>
  <r>
    <s v="ORD-00878"/>
    <x v="194"/>
    <s v="CUST-0049"/>
    <s v="PROD-015"/>
    <s v="R024"/>
    <n v="5"/>
    <n v="2720"/>
    <n v="29.3"/>
    <n v="9615.2000000000007"/>
    <s v="Completed"/>
    <s v="Mumbai"/>
    <s v="Apparel"/>
    <m/>
    <s v="Corporate"/>
    <n v="42"/>
    <m/>
    <m/>
  </r>
  <r>
    <s v="ORD-00879"/>
    <x v="59"/>
    <s v="CUST-0235"/>
    <s v="PROD-027"/>
    <s v="R022"/>
    <n v="9"/>
    <n v="3780"/>
    <n v="2.2999999999999998"/>
    <n v="33237.54"/>
    <s v="Completed"/>
    <s v="Chennai"/>
    <s v="Grocery"/>
    <m/>
    <s v="Retail"/>
    <n v="31"/>
    <s v="West"/>
    <s v="Apr-24"/>
  </r>
  <r>
    <s v="ORD-00880"/>
    <x v="184"/>
    <s v="CUST-0220"/>
    <s v="PROD-025"/>
    <s v="R014"/>
    <n v="9"/>
    <n v="4060"/>
    <n v="11.5"/>
    <n v="32337.9"/>
    <s v="Completed"/>
    <s v="Chennai"/>
    <s v="Grocery"/>
    <m/>
    <s v="Retail"/>
    <n v="34"/>
    <s v="East"/>
    <s v="Jul-24"/>
  </r>
  <r>
    <s v="ORD-00881"/>
    <x v="25"/>
    <s v="CUST-0298"/>
    <s v="PROD-021"/>
    <s v="R012"/>
    <n v="10"/>
    <n v="2760"/>
    <n v="3.9"/>
    <n v="26523.599999999999"/>
    <s v="Refunded"/>
    <s v="Delhi"/>
    <s v="Grocery"/>
    <m/>
    <s v="Retail"/>
    <n v="44"/>
    <m/>
    <m/>
  </r>
  <r>
    <s v="ORD-00882"/>
    <x v="106"/>
    <s v="CUST-0222"/>
    <s v="PROD-040"/>
    <s v="R021"/>
    <n v="10"/>
    <n v="1080"/>
    <n v="21.4"/>
    <n v="8488.7999999999993"/>
    <s v="Completed"/>
    <s v="Chennai"/>
    <s v="Home"/>
    <m/>
    <s v="Retail"/>
    <n v="37"/>
    <s v="South"/>
    <s v="Aug-24"/>
  </r>
  <r>
    <s v="ORD-00883"/>
    <x v="255"/>
    <s v="CUST-0049"/>
    <s v="PROD-034"/>
    <s v="R023"/>
    <n v="6"/>
    <n v="5080"/>
    <n v="29.8"/>
    <n v="21396.959999999999"/>
    <s v="Pending"/>
    <s v="Mumbai"/>
    <s v="Home"/>
    <m/>
    <s v="Corporate"/>
    <n v="42"/>
    <m/>
    <m/>
  </r>
  <r>
    <s v="ORD-00884"/>
    <x v="174"/>
    <s v="CUST-0147"/>
    <s v="PROD-046"/>
    <s v="R030"/>
    <n v="1"/>
    <n v="4880"/>
    <n v="28.2"/>
    <n v="3503.84"/>
    <s v="Completed"/>
    <s v="Pune"/>
    <s v="Beauty"/>
    <m/>
    <s v="Retail"/>
    <n v="56"/>
    <m/>
    <m/>
  </r>
  <r>
    <s v="ORD-00885"/>
    <x v="254"/>
    <s v="CUST-0177"/>
    <s v="PROD-022"/>
    <s v="R027"/>
    <n v="1"/>
    <n v="2270"/>
    <n v="27.8"/>
    <n v="1638.94"/>
    <s v="Completed"/>
    <s v="Mumbai"/>
    <s v="Grocery"/>
    <m/>
    <s v="SMB"/>
    <n v="36"/>
    <s v="West"/>
    <s v="Jan-24"/>
  </r>
  <r>
    <s v="ORD-00886"/>
    <x v="198"/>
    <s v="CUST-0121"/>
    <s v="PROD-006"/>
    <s v="R019"/>
    <n v="9"/>
    <n v="3970"/>
    <n v="7"/>
    <n v="33228.9"/>
    <s v="Completed"/>
    <s v="Delhi"/>
    <s v="Electronics"/>
    <m/>
    <s v="SMB"/>
    <n v="55"/>
    <m/>
    <m/>
  </r>
  <r>
    <s v="ORD-00887"/>
    <x v="199"/>
    <s v="CUST-0262"/>
    <s v="PROD-048"/>
    <s v="R003"/>
    <n v="9"/>
    <n v="5100"/>
    <n v="9.6999999999999993"/>
    <n v="41447.699999999997"/>
    <s v="Completed"/>
    <s v="Mumbai"/>
    <s v="Beauty"/>
    <m/>
    <s v="Retail"/>
    <n v="52"/>
    <m/>
    <m/>
  </r>
  <r>
    <s v="ORD-00888"/>
    <x v="71"/>
    <s v="CUST-0246"/>
    <s v="PROD-060"/>
    <s v="R005"/>
    <n v="8"/>
    <n v="190"/>
    <n v="10.199999999999999"/>
    <n v="1364.96"/>
    <s v="Completed"/>
    <s v="Delhi"/>
    <s v="Sports"/>
    <m/>
    <s v="SMB"/>
    <n v="29"/>
    <s v="North"/>
    <s v="Apr-24"/>
  </r>
  <r>
    <s v="ORD-00889"/>
    <x v="51"/>
    <s v="CUST-0070"/>
    <s v="PROD-050"/>
    <s v="R026"/>
    <n v="1"/>
    <n v="6080"/>
    <n v="5.6"/>
    <n v="5739.52"/>
    <s v="Completed"/>
    <s v="Mumbai"/>
    <s v="Beauty"/>
    <m/>
    <s v="Retail"/>
    <n v="42"/>
    <m/>
    <m/>
  </r>
  <r>
    <s v="ORD-00890"/>
    <x v="285"/>
    <s v="CUST-0218"/>
    <s v="PROD-057"/>
    <s v="R020"/>
    <n v="6"/>
    <n v="960"/>
    <n v="1.9"/>
    <n v="5650.56"/>
    <s v="Completed"/>
    <s v="Mumbai"/>
    <s v="Sports"/>
    <m/>
    <s v="Retail"/>
    <n v="39"/>
    <s v="West"/>
    <s v="Dec-24"/>
  </r>
  <r>
    <s v="ORD-00891"/>
    <x v="309"/>
    <s v="CUST-0068"/>
    <s v="PROD-041"/>
    <s v="R004"/>
    <n v="7"/>
    <n v="1540"/>
    <n v="7.1"/>
    <n v="10014.620000000001"/>
    <s v="Completed"/>
    <s v="Delhi"/>
    <s v="Beauty"/>
    <m/>
    <s v="SMB"/>
    <n v="48"/>
    <m/>
    <m/>
  </r>
  <r>
    <s v="ORD-00892"/>
    <x v="60"/>
    <s v="CUST-0261"/>
    <s v="PROD-005"/>
    <s v="R011"/>
    <n v="10"/>
    <n v="300"/>
    <n v="12.8"/>
    <n v="2616"/>
    <s v="Cancelled"/>
    <s v="Delhi"/>
    <s v="Electronics"/>
    <m/>
    <s v="Retail"/>
    <n v="54"/>
    <m/>
    <m/>
  </r>
  <r>
    <s v="ORD-00893"/>
    <x v="145"/>
    <s v="CUST-0077"/>
    <s v="PROD-046"/>
    <s v="R011"/>
    <n v="4"/>
    <n v="4880"/>
    <n v="26.5"/>
    <n v="14347.2"/>
    <s v="Completed"/>
    <s v="Hyderabad"/>
    <s v="Beauty"/>
    <m/>
    <s v="SMB"/>
    <n v="48"/>
    <m/>
    <m/>
  </r>
  <r>
    <s v="ORD-00894"/>
    <x v="55"/>
    <s v="CUST-0188"/>
    <s v="PROD-032"/>
    <s v="R003"/>
    <n v="2"/>
    <n v="370"/>
    <n v="26.5"/>
    <n v="543.9"/>
    <s v="Completed"/>
    <s v="Bengaluru"/>
    <s v="Home"/>
    <m/>
    <s v="Retail"/>
    <n v="54"/>
    <m/>
    <m/>
  </r>
  <r>
    <s v="ORD-00895"/>
    <x v="106"/>
    <s v="CUST-0145"/>
    <s v="PROD-039"/>
    <s v="R002"/>
    <n v="3"/>
    <n v="4610"/>
    <n v="29.7"/>
    <n v="9722.49"/>
    <s v="Completed"/>
    <s v="Bengaluru"/>
    <s v="Home"/>
    <m/>
    <s v="SMB"/>
    <n v="44"/>
    <m/>
    <m/>
  </r>
  <r>
    <s v="ORD-00896"/>
    <x v="149"/>
    <s v="CUST-0036"/>
    <s v="PROD-002"/>
    <s v="R013"/>
    <n v="5"/>
    <n v="2600"/>
    <n v="21.4"/>
    <n v="10218"/>
    <s v="Completed"/>
    <s v="Mumbai"/>
    <s v="Electronics"/>
    <m/>
    <s v="Retail"/>
    <n v="35"/>
    <s v="North"/>
    <s v="Oct-24"/>
  </r>
  <r>
    <s v="ORD-00600"/>
    <x v="295"/>
    <s v="CUST-0269"/>
    <s v="PROD-009"/>
    <s v="R025"/>
    <n v="10"/>
    <n v="1220"/>
    <n v="24.3"/>
    <n v="9235.4"/>
    <s v="Completed"/>
    <s v="Pune"/>
    <s v="Electronics"/>
    <m/>
    <s v="Retail"/>
    <n v="48"/>
    <m/>
    <m/>
  </r>
  <r>
    <s v="ORD-00898"/>
    <x v="34"/>
    <s v="CUST-9607"/>
    <s v="PROD-007"/>
    <s v="R015"/>
    <n v="10"/>
    <n v="1430"/>
    <n v="5.0999999999999996"/>
    <n v="13570.7"/>
    <s v="Cancelled"/>
    <s v="Chennai"/>
    <s v="Electronics"/>
    <m/>
    <e v="#N/A"/>
    <e v="#N/A"/>
    <m/>
    <m/>
  </r>
  <r>
    <s v="ORD-00899"/>
    <x v="35"/>
    <s v="CUST-0189"/>
    <s v="PROD-046"/>
    <s v="R030"/>
    <n v="10"/>
    <n v="4880"/>
    <n v="25.5"/>
    <n v="36356"/>
    <s v="Cancelled"/>
    <s v="Chennai"/>
    <s v="Beauty"/>
    <m/>
    <s v="Retail"/>
    <n v="41"/>
    <m/>
    <m/>
  </r>
  <r>
    <s v="ORD-00900"/>
    <x v="79"/>
    <s v="CUST-0199"/>
    <s v="PROD-050"/>
    <s v="R028"/>
    <n v="6"/>
    <n v="6080"/>
    <n v="21.6"/>
    <n v="28600.32"/>
    <s v="Completed"/>
    <s v="Hyderabad"/>
    <s v="Beauty"/>
    <m/>
    <s v="SMB"/>
    <n v="31"/>
    <s v="West"/>
    <s v="Jul-24"/>
  </r>
  <r>
    <s v="ORD-00901"/>
    <x v="158"/>
    <s v="CUST-0277"/>
    <s v="PROD-045"/>
    <s v="R013"/>
    <n v="3"/>
    <n v="3020"/>
    <n v="20.7"/>
    <n v="7184.58"/>
    <s v="Completed"/>
    <s v="Chennai"/>
    <s v="Beauty"/>
    <m/>
    <s v="Corporate"/>
    <n v="34"/>
    <s v="West"/>
    <s v="Aug-24"/>
  </r>
  <r>
    <s v="ORD-00902"/>
    <x v="338"/>
    <s v="CUST-0108"/>
    <s v="PROD-015"/>
    <s v="R013"/>
    <n v="9"/>
    <n v="2720"/>
    <n v="21.4"/>
    <n v="19241.28"/>
    <s v="Completed"/>
    <s v="Bengaluru"/>
    <s v="Apparel"/>
    <m/>
    <s v="Corporate"/>
    <n v="59"/>
    <m/>
    <m/>
  </r>
  <r>
    <s v="ORD-00903"/>
    <x v="53"/>
    <s v="CUST-0203"/>
    <s v="PROD-003"/>
    <s v="R025"/>
    <n v="10"/>
    <n v="3570"/>
    <n v="4.4000000000000004"/>
    <n v="34129.199999999997"/>
    <s v="Completed"/>
    <s v="Chennai"/>
    <s v="Electronics"/>
    <m/>
    <s v="SMB"/>
    <n v="55"/>
    <m/>
    <m/>
  </r>
  <r>
    <s v="ORD-00904"/>
    <x v="119"/>
    <s v="CUST-0272"/>
    <s v="PROD-040"/>
    <s v="R014"/>
    <n v="8"/>
    <n v="1080"/>
    <n v="23.8"/>
    <n v="6583.68"/>
    <s v="Completed"/>
    <s v="Mumbai"/>
    <s v="Home"/>
    <m/>
    <s v="SMB"/>
    <n v="47"/>
    <m/>
    <m/>
  </r>
  <r>
    <s v="ORD-00905"/>
    <x v="27"/>
    <s v="CUST-0039"/>
    <s v="PROD-035"/>
    <s v="R011"/>
    <n v="8"/>
    <n v="1090"/>
    <n v="17.5"/>
    <n v="7194"/>
    <s v="Completed"/>
    <s v="Bengaluru"/>
    <s v="Home"/>
    <m/>
    <s v="Retail"/>
    <n v="37"/>
    <s v="South"/>
    <s v="Jan-24"/>
  </r>
  <r>
    <s v="ORD-00906"/>
    <x v="70"/>
    <s v="CUST-0105"/>
    <s v="PROD-018"/>
    <s v="R027"/>
    <n v="7"/>
    <n v="3560"/>
    <n v="11.1"/>
    <n v="22153.88"/>
    <s v="Completed"/>
    <s v="Chennai"/>
    <s v="Apparel"/>
    <m/>
    <s v="SMB"/>
    <n v="51"/>
    <m/>
    <m/>
  </r>
  <r>
    <s v="ORD-00907"/>
    <x v="59"/>
    <s v="CUST-0095"/>
    <s v="PROD-060"/>
    <s v="R022"/>
    <n v="6"/>
    <n v="190"/>
    <n v="17.100000000000001"/>
    <n v="945.06"/>
    <s v="Cancelled"/>
    <s v="Mumbai"/>
    <s v="Sports"/>
    <m/>
    <s v="SMB"/>
    <n v="54"/>
    <m/>
    <m/>
  </r>
  <r>
    <s v="ORD-00908"/>
    <x v="320"/>
    <s v="CUST-0138"/>
    <s v="PROD-025"/>
    <s v="R025"/>
    <n v="7"/>
    <n v="4060"/>
    <n v="0.6"/>
    <n v="28249.48"/>
    <s v="Completed"/>
    <s v="Chennai"/>
    <s v="Grocery"/>
    <m/>
    <s v="Retail"/>
    <n v="24"/>
    <s v="East"/>
    <s v="Jul-24"/>
  </r>
  <r>
    <s v="ORD-00909"/>
    <x v="63"/>
    <s v="CUST-0155"/>
    <s v="PROD-039"/>
    <s v="R021"/>
    <n v="4"/>
    <n v="4610"/>
    <n v="1.9"/>
    <n v="18089.64"/>
    <s v="Pending"/>
    <s v="Pune"/>
    <s v="Home"/>
    <m/>
    <s v="Corporate"/>
    <n v="40"/>
    <s v="West"/>
    <s v="Mar-24"/>
  </r>
  <r>
    <s v="ORD-00910"/>
    <x v="93"/>
    <s v="CUST-0198"/>
    <s v="PROD-026"/>
    <s v="R020"/>
    <n v="4"/>
    <n v="4070"/>
    <n v="26.8"/>
    <n v="11916.96"/>
    <s v="Completed"/>
    <s v="Chennai"/>
    <s v="Grocery"/>
    <m/>
    <s v="Corporate"/>
    <n v="22"/>
    <s v="East"/>
    <s v="Feb-24"/>
  </r>
  <r>
    <s v="ORD-00911"/>
    <x v="142"/>
    <s v="CUST-0267"/>
    <s v="PROD-014"/>
    <s v="R004"/>
    <n v="4"/>
    <n v="3620"/>
    <n v="11.7"/>
    <n v="12785.84"/>
    <s v="Completed"/>
    <s v="Hyderabad"/>
    <s v="Apparel"/>
    <m/>
    <s v="Retail"/>
    <n v="27"/>
    <s v="East"/>
    <s v="Dec-24"/>
  </r>
  <r>
    <s v="ORD-00912"/>
    <x v="195"/>
    <s v="CUST-0248"/>
    <s v="PROD-006"/>
    <s v="R030"/>
    <n v="3"/>
    <n v="3970"/>
    <n v="24.7"/>
    <n v="8968.23"/>
    <s v="Completed"/>
    <s v="Chennai"/>
    <s v="Electronics"/>
    <m/>
    <s v="SMB"/>
    <n v="57"/>
    <m/>
    <m/>
  </r>
  <r>
    <s v="ORD-00913"/>
    <x v="36"/>
    <s v="CUST-0114"/>
    <s v="PROD-030"/>
    <s v="R028"/>
    <n v="4"/>
    <n v="970"/>
    <n v="0.4"/>
    <n v="3864.48"/>
    <s v="Completed"/>
    <s v="Bengaluru"/>
    <s v="Grocery"/>
    <m/>
    <s v="Corporate"/>
    <n v="42"/>
    <m/>
    <m/>
  </r>
  <r>
    <s v="ORD-00914"/>
    <x v="229"/>
    <s v="CUST-0129"/>
    <s v="PROD-057"/>
    <s v="R023"/>
    <n v="2"/>
    <n v="960"/>
    <n v="1.4"/>
    <n v="1893.12"/>
    <s v="Completed"/>
    <s v="Hyderabad"/>
    <s v="Sports"/>
    <m/>
    <s v="Retail"/>
    <n v="29"/>
    <s v="West"/>
    <s v="Mar-24"/>
  </r>
  <r>
    <s v="ORD-00915"/>
    <x v="67"/>
    <s v="CUST-0182"/>
    <s v="PROD-005"/>
    <s v="R016"/>
    <n v="7"/>
    <n v="300"/>
    <n v="20.399999999999999"/>
    <n v="1671.6"/>
    <s v="Completed"/>
    <s v="Mumbai"/>
    <s v="Electronics"/>
    <m/>
    <s v="Retail"/>
    <n v="54"/>
    <m/>
    <m/>
  </r>
  <r>
    <s v="ORD-00916"/>
    <x v="245"/>
    <s v="CUST-0020"/>
    <s v="PROD-002"/>
    <s v="R014"/>
    <n v="8"/>
    <n v="2600"/>
    <n v="2.2000000000000002"/>
    <n v="20342.400000000001"/>
    <s v="Cancelled"/>
    <s v="Hyderabad"/>
    <s v="Electronics"/>
    <m/>
    <s v="Retail"/>
    <n v="46"/>
    <m/>
    <m/>
  </r>
  <r>
    <s v="ORD-00917"/>
    <x v="297"/>
    <s v="CUST-0163"/>
    <s v="PROD-032"/>
    <s v="R008"/>
    <n v="2"/>
    <n v="370"/>
    <n v="17.7"/>
    <n v="609.02"/>
    <s v="Completed"/>
    <s v="Pune"/>
    <s v="Home"/>
    <m/>
    <s v="Retail"/>
    <n v="49"/>
    <m/>
    <m/>
  </r>
  <r>
    <s v="ORD-00918"/>
    <x v="6"/>
    <s v="CUST-0142"/>
    <s v="PROD-047"/>
    <s v="R026"/>
    <n v="4"/>
    <n v="3450"/>
    <n v="9.8000000000000007"/>
    <n v="12447.6"/>
    <s v="Cancelled"/>
    <s v="Chennai"/>
    <s v="Beauty"/>
    <m/>
    <s v="Corporate"/>
    <n v="55"/>
    <m/>
    <m/>
  </r>
  <r>
    <s v="ORD-00919"/>
    <x v="97"/>
    <s v="CUST-0221"/>
    <s v="PROD-019"/>
    <s v="R020"/>
    <n v="1"/>
    <n v="2480"/>
    <n v="5.8"/>
    <n v="2336.16"/>
    <s v="Completed"/>
    <s v="Delhi"/>
    <s v="Apparel"/>
    <m/>
    <s v="SMB"/>
    <n v="29"/>
    <s v="West"/>
    <s v="Jun-24"/>
  </r>
  <r>
    <s v="ORD-00920"/>
    <x v="90"/>
    <s v="CUST-0079"/>
    <s v="PROD-028"/>
    <s v="R019"/>
    <n v="5"/>
    <n v="3660"/>
    <n v="4.7"/>
    <n v="17439.900000000001"/>
    <s v="Pending"/>
    <s v="Mumbai"/>
    <s v="Grocery"/>
    <m/>
    <s v="Corporate"/>
    <n v="60"/>
    <m/>
    <m/>
  </r>
  <r>
    <s v="ORD-00921"/>
    <x v="162"/>
    <s v="CUST-0133"/>
    <s v="PROD-044"/>
    <s v="R023"/>
    <n v="7"/>
    <n v="1650"/>
    <n v="8.6"/>
    <n v="10556.7"/>
    <s v="Completed"/>
    <s v="Chennai"/>
    <s v="Beauty"/>
    <m/>
    <s v="Retail"/>
    <n v="26"/>
    <s v="East"/>
    <s v="Feb-24"/>
  </r>
  <r>
    <s v="ORD-00922"/>
    <x v="339"/>
    <s v="CUST-0086"/>
    <s v="PROD-060"/>
    <s v="R025"/>
    <n v="6"/>
    <n v="190"/>
    <n v="14.6"/>
    <n v="973.56"/>
    <s v="Completed"/>
    <s v="Hyderabad"/>
    <s v="Sports"/>
    <m/>
    <s v="Corporate"/>
    <n v="56"/>
    <m/>
    <m/>
  </r>
  <r>
    <s v="ORD-00923"/>
    <x v="14"/>
    <s v="CUST-0155"/>
    <s v="PROD-022"/>
    <s v="R001"/>
    <n v="5"/>
    <n v="2270"/>
    <n v="5.9"/>
    <n v="10680.35"/>
    <s v="Completed"/>
    <s v="Pune"/>
    <s v="Grocery"/>
    <m/>
    <s v="Corporate"/>
    <n v="40"/>
    <s v="West"/>
    <s v="Jun-24"/>
  </r>
  <r>
    <s v="ORD-00924"/>
    <x v="327"/>
    <s v="CUST-0244"/>
    <s v="PROD-024"/>
    <s v="R011"/>
    <n v="1"/>
    <n v="2270"/>
    <n v="14.9"/>
    <n v="1931.77"/>
    <s v="Completed"/>
    <s v="Bengaluru"/>
    <s v="Grocery"/>
    <m/>
    <s v="Retail"/>
    <n v="61"/>
    <m/>
    <m/>
  </r>
  <r>
    <s v="ORD-00925"/>
    <x v="133"/>
    <s v="CUST-0262"/>
    <s v="PROD-011"/>
    <s v="R018"/>
    <n v="4"/>
    <n v="3450"/>
    <n v="11.7"/>
    <n v="12185.4"/>
    <s v="Cancelled"/>
    <s v="Mumbai"/>
    <s v="Apparel"/>
    <m/>
    <s v="Retail"/>
    <n v="52"/>
    <m/>
    <m/>
  </r>
  <r>
    <s v="ORD-00926"/>
    <x v="46"/>
    <s v="CUST-0251"/>
    <s v="PROD-045"/>
    <s v="R028"/>
    <n v="7"/>
    <n v="3020"/>
    <n v="18.8"/>
    <n v="17165.68"/>
    <s v="Completed"/>
    <s v="Mumbai"/>
    <s v="Beauty"/>
    <m/>
    <s v="Retail"/>
    <n v="44"/>
    <m/>
    <m/>
  </r>
  <r>
    <s v="ORD-00927"/>
    <x v="284"/>
    <s v="CUST-0007"/>
    <s v="PROD-033"/>
    <s v="R016"/>
    <n v="4"/>
    <n v="2030"/>
    <n v="25.7"/>
    <n v="6033.16"/>
    <s v="Completed"/>
    <s v="Bengaluru"/>
    <s v="Home"/>
    <m/>
    <s v="Retail"/>
    <n v="47"/>
    <m/>
    <m/>
  </r>
  <r>
    <s v="ORD-00928"/>
    <x v="331"/>
    <s v="CUST-0161"/>
    <s v="PROD-011"/>
    <s v="R014"/>
    <n v="4"/>
    <n v="3450"/>
    <n v="3.9"/>
    <n v="13261.8"/>
    <s v="Completed"/>
    <s v="Chennai"/>
    <s v="Apparel"/>
    <m/>
    <s v="Retail"/>
    <n v="38"/>
    <s v="South"/>
    <s v="Nov-24"/>
  </r>
  <r>
    <s v="ORD-00929"/>
    <x v="324"/>
    <s v="CUST-0251"/>
    <s v="PROD-049"/>
    <s v="R028"/>
    <n v="5"/>
    <n v="960"/>
    <n v="8"/>
    <n v="4416"/>
    <s v="Completed"/>
    <s v="Mumbai"/>
    <s v="Beauty"/>
    <m/>
    <s v="Retail"/>
    <n v="44"/>
    <m/>
    <m/>
  </r>
  <r>
    <s v="ORD-00930"/>
    <x v="269"/>
    <s v="CUST-0098"/>
    <s v="PROD-006"/>
    <s v="R001"/>
    <n v="7"/>
    <n v="3970"/>
    <n v="11.7"/>
    <n v="24538.57"/>
    <s v="Completed"/>
    <s v="Delhi"/>
    <s v="Electronics"/>
    <m/>
    <s v="Retail"/>
    <n v="52"/>
    <m/>
    <m/>
  </r>
  <r>
    <s v="ORD-00931"/>
    <x v="211"/>
    <s v="CUST-0200"/>
    <s v="PROD-052"/>
    <s v="R026"/>
    <n v="3"/>
    <n v="5410"/>
    <n v="10"/>
    <n v="14607"/>
    <s v="Completed"/>
    <s v="Hyderabad"/>
    <s v="Sports"/>
    <m/>
    <s v="Corporate"/>
    <n v="46"/>
    <m/>
    <m/>
  </r>
  <r>
    <s v="ORD-00932"/>
    <x v="49"/>
    <s v="CUST-0228"/>
    <s v="PROD-003"/>
    <s v="R007"/>
    <n v="8"/>
    <n v="3570"/>
    <n v="8.5"/>
    <n v="26132.400000000001"/>
    <s v="Completed"/>
    <s v="Pune"/>
    <s v="Electronics"/>
    <m/>
    <s v="Corporate"/>
    <n v="37"/>
    <s v="West"/>
    <s v="Sep-24"/>
  </r>
  <r>
    <s v="ORD-00933"/>
    <x v="25"/>
    <s v="CUST-0095"/>
    <s v="PROD-002"/>
    <s v="R014"/>
    <n v="7"/>
    <n v="2600"/>
    <n v="27.1"/>
    <n v="13267.8"/>
    <s v="Completed"/>
    <s v="Mumbai"/>
    <s v="Electronics"/>
    <m/>
    <s v="SMB"/>
    <n v="54"/>
    <m/>
    <m/>
  </r>
  <r>
    <s v="ORD-00934"/>
    <x v="33"/>
    <s v="CUST-0175"/>
    <s v="PROD-053"/>
    <s v="R026"/>
    <n v="6"/>
    <n v="470"/>
    <n v="2.4"/>
    <n v="2752.32"/>
    <s v="Pending"/>
    <s v="Delhi"/>
    <s v="Sports"/>
    <m/>
    <s v="Corporate"/>
    <n v="55"/>
    <m/>
    <m/>
  </r>
  <r>
    <s v="ORD-00935"/>
    <x v="2"/>
    <s v="CUST-0270"/>
    <s v="PROD-053"/>
    <s v="R025"/>
    <n v="3"/>
    <n v="470"/>
    <n v="6.3"/>
    <n v="1321.17"/>
    <s v="Completed"/>
    <s v="Bengaluru"/>
    <s v="Sports"/>
    <m/>
    <s v="Retail"/>
    <n v="29"/>
    <s v="West"/>
    <s v="May-24"/>
  </r>
  <r>
    <s v="ORD-00936"/>
    <x v="326"/>
    <s v="CUST-0105"/>
    <s v="PROD-059"/>
    <s v="R004"/>
    <n v="3"/>
    <n v="3780"/>
    <n v="19.399999999999999"/>
    <n v="9140.0400000000009"/>
    <s v="Pending"/>
    <s v="Chennai"/>
    <s v="Sports"/>
    <m/>
    <s v="SMB"/>
    <n v="51"/>
    <m/>
    <m/>
  </r>
  <r>
    <s v="ORD-00937"/>
    <x v="40"/>
    <s v="CUST-0147"/>
    <s v="PROD-056"/>
    <s v="R019"/>
    <n v="5"/>
    <n v="6940"/>
    <n v="12.6"/>
    <n v="30327.8"/>
    <s v="Completed"/>
    <s v="Pune"/>
    <s v="Sports"/>
    <m/>
    <s v="Retail"/>
    <n v="56"/>
    <m/>
    <m/>
  </r>
  <r>
    <s v="ORD-00938"/>
    <x v="194"/>
    <s v="CUST-0106"/>
    <s v="PROD-004"/>
    <s v="R030"/>
    <n v="2"/>
    <n v="3870"/>
    <n v="10.5"/>
    <n v="6927.3"/>
    <s v="Completed"/>
    <s v="Pune"/>
    <s v="Electronics"/>
    <m/>
    <s v="Retail"/>
    <n v="22"/>
    <s v="East"/>
    <s v="Apr-24"/>
  </r>
  <r>
    <s v="ORD-00939"/>
    <x v="340"/>
    <s v="CUST-0130"/>
    <s v="PROD-052"/>
    <s v="R014"/>
    <n v="8"/>
    <n v="5410"/>
    <n v="28.4"/>
    <n v="30988.48"/>
    <s v="Pending"/>
    <s v="Bengaluru"/>
    <s v="Sports"/>
    <m/>
    <s v="Corporate"/>
    <n v="41"/>
    <m/>
    <m/>
  </r>
  <r>
    <s v="ORD-00940"/>
    <x v="221"/>
    <s v="CUST-0241"/>
    <s v="PROD-006"/>
    <s v="R030"/>
    <n v="7"/>
    <n v="3970"/>
    <n v="12.3"/>
    <n v="24371.83"/>
    <s v="Completed"/>
    <s v="Pune"/>
    <s v="Electronics"/>
    <m/>
    <s v="Corporate"/>
    <n v="47"/>
    <m/>
    <m/>
  </r>
  <r>
    <s v="ORD-00941"/>
    <x v="294"/>
    <s v="CUST-0151"/>
    <s v="PROD-056"/>
    <s v="R001"/>
    <n v="5"/>
    <n v="6940"/>
    <n v="1.5"/>
    <n v="34179.5"/>
    <s v="Completed"/>
    <s v="Mumbai"/>
    <s v="Sports"/>
    <m/>
    <s v="Retail"/>
    <n v="53"/>
    <m/>
    <m/>
  </r>
  <r>
    <s v="ORD-00942"/>
    <x v="110"/>
    <s v="CUST-0022"/>
    <s v="PROD-012"/>
    <s v="R006"/>
    <n v="7"/>
    <n v="3160"/>
    <n v="2.4"/>
    <n v="21589.119999999999"/>
    <s v="Refunded"/>
    <s v="Bengaluru"/>
    <s v="Apparel"/>
    <m/>
    <s v="Corporate"/>
    <n v="55"/>
    <m/>
    <m/>
  </r>
  <r>
    <s v="ORD-00943"/>
    <x v="255"/>
    <s v="CUST-0030"/>
    <s v="PROD-020"/>
    <s v="R024"/>
    <n v="2"/>
    <n v="820"/>
    <n v="8.1"/>
    <n v="1507.16"/>
    <s v="Completed"/>
    <s v="Bengaluru"/>
    <s v="Apparel"/>
    <m/>
    <s v="Corporate"/>
    <n v="43"/>
    <m/>
    <m/>
  </r>
  <r>
    <s v="ORD-00944"/>
    <x v="237"/>
    <s v="CUST-0176"/>
    <s v="PROD-041"/>
    <s v="R030"/>
    <n v="2"/>
    <n v="1540"/>
    <n v="17.7"/>
    <n v="2534.84"/>
    <s v="Completed"/>
    <s v="Bengaluru"/>
    <s v="Beauty"/>
    <m/>
    <s v="SMB"/>
    <n v="34"/>
    <s v="West"/>
    <s v="Jul-24"/>
  </r>
  <r>
    <s v="ORD-00945"/>
    <x v="310"/>
    <s v="CUST-0270"/>
    <s v="PROD-004"/>
    <s v="R001"/>
    <n v="10"/>
    <n v="3870"/>
    <n v="12.2"/>
    <n v="33978.6"/>
    <s v="Refunded"/>
    <s v="Bengaluru"/>
    <s v="Electronics"/>
    <m/>
    <s v="Retail"/>
    <n v="29"/>
    <s v="West"/>
    <s v="Oct-24"/>
  </r>
  <r>
    <s v="ORD-00946"/>
    <x v="56"/>
    <s v="CUST-0216"/>
    <s v="PROD-008"/>
    <s v="R002"/>
    <n v="7"/>
    <n v="2660"/>
    <n v="4.7"/>
    <n v="17744.86"/>
    <s v="Completed"/>
    <s v="Mumbai"/>
    <s v="Electronics"/>
    <m/>
    <s v="Retail"/>
    <n v="50"/>
    <m/>
    <m/>
  </r>
  <r>
    <s v="ORD-00947"/>
    <x v="313"/>
    <s v="CUST-0187"/>
    <s v="PROD-003"/>
    <s v="R009"/>
    <n v="4"/>
    <n v="3570"/>
    <n v="19.3"/>
    <n v="11523.96"/>
    <s v="Completed"/>
    <s v="Chennai"/>
    <s v="Electronics"/>
    <m/>
    <s v="SMB"/>
    <n v="51"/>
    <m/>
    <m/>
  </r>
  <r>
    <s v="ORD-00948"/>
    <x v="274"/>
    <s v="CUST-0143"/>
    <s v="PROD-033"/>
    <s v="R002"/>
    <n v="2"/>
    <n v="2030"/>
    <n v="2.6"/>
    <n v="3954.44"/>
    <s v="Completed"/>
    <s v="Chennai"/>
    <s v="Home"/>
    <m/>
    <s v="SMB"/>
    <n v="52"/>
    <m/>
    <m/>
  </r>
  <r>
    <s v="ORD-00949"/>
    <x v="273"/>
    <s v="CUST-0104"/>
    <s v="PROD-012"/>
    <s v="R013"/>
    <n v="6"/>
    <n v="3160"/>
    <n v="25.8"/>
    <n v="14068.32"/>
    <s v="Completed"/>
    <s v="Hyderabad"/>
    <s v="Apparel"/>
    <m/>
    <s v="Corporate"/>
    <n v="43"/>
    <m/>
    <m/>
  </r>
  <r>
    <s v="ORD-00950"/>
    <x v="157"/>
    <s v="CUST-0121"/>
    <s v="PROD-034"/>
    <s v="R014"/>
    <n v="4"/>
    <n v="5080"/>
    <n v="2"/>
    <n v="19913.599999999999"/>
    <s v="Completed"/>
    <s v=" Delhi "/>
    <s v="Home"/>
    <m/>
    <s v="SMB"/>
    <n v="55"/>
    <m/>
    <m/>
  </r>
  <r>
    <s v="ORD-00951"/>
    <x v="322"/>
    <s v="CUST-0228"/>
    <s v="PROD-047"/>
    <s v="R010"/>
    <n v="6"/>
    <n v="3450"/>
    <n v="1.8"/>
    <n v="20327.400000000001"/>
    <s v="Cancelled"/>
    <s v="Pune"/>
    <s v="Beauty"/>
    <m/>
    <s v="Corporate"/>
    <n v="37"/>
    <s v="South"/>
    <s v="Oct-24"/>
  </r>
  <r>
    <s v="ORD-00952"/>
    <x v="189"/>
    <s v="CUST-0218"/>
    <s v="PROD-051"/>
    <s v="R016"/>
    <n v="3"/>
    <n v="3450"/>
    <n v="4.7"/>
    <n v="9863.5499999999993"/>
    <s v="Pending"/>
    <s v="Mumbai"/>
    <s v="Sports"/>
    <m/>
    <s v="Retail"/>
    <n v="39"/>
    <s v="South"/>
    <s v="Feb-24"/>
  </r>
  <r>
    <s v="ORD-00953"/>
    <x v="27"/>
    <s v="CUST-0118"/>
    <s v="PROD-001"/>
    <s v="R027"/>
    <n v="7"/>
    <n v="5330"/>
    <n v="16.399999999999999"/>
    <n v="31191.16"/>
    <s v="Completed"/>
    <s v="Hyderabad"/>
    <s v="Electronics"/>
    <m/>
    <s v="Retail"/>
    <n v="26"/>
    <s v="South"/>
    <s v="Oct-24"/>
  </r>
  <r>
    <s v="ORD-00954"/>
    <x v="190"/>
    <s v="CUST-0262"/>
    <s v="PROD-029"/>
    <s v="R003"/>
    <n v="6"/>
    <n v="2210"/>
    <n v="13.1"/>
    <n v="11522.94"/>
    <s v="Completed"/>
    <s v="Mumbai"/>
    <s v="Grocery"/>
    <m/>
    <s v="Retail"/>
    <n v="52"/>
    <m/>
    <m/>
  </r>
  <r>
    <s v="ORD-00955"/>
    <x v="133"/>
    <s v="CUST-0137"/>
    <s v="PROD-040"/>
    <s v="R026"/>
    <n v="8"/>
    <n v="1080"/>
    <n v="8.6999999999999993"/>
    <n v="7888.32"/>
    <s v="Completed"/>
    <s v="Mumbai"/>
    <s v="Home"/>
    <m/>
    <s v="Retail"/>
    <n v="41"/>
    <m/>
    <m/>
  </r>
  <r>
    <s v="ORD-00956"/>
    <x v="185"/>
    <s v="CUST-0145"/>
    <s v="PROD-014"/>
    <s v="R015"/>
    <n v="5"/>
    <n v="3620"/>
    <n v="16.100000000000001"/>
    <n v="15185.9"/>
    <s v="Completed"/>
    <s v="Bengaluru"/>
    <s v="Apparel"/>
    <m/>
    <s v="SMB"/>
    <n v="44"/>
    <m/>
    <m/>
  </r>
  <r>
    <s v="ORD-00957"/>
    <x v="64"/>
    <s v="CUST-0275"/>
    <s v="PROD-018"/>
    <s v="R011"/>
    <n v="7"/>
    <n v="3560"/>
    <n v="8.5"/>
    <n v="22801.8"/>
    <s v="Completed"/>
    <s v="Mumbai"/>
    <s v="Apparel"/>
    <m/>
    <s v="Retail"/>
    <n v="36"/>
    <s v="South"/>
    <s v="Jul-24"/>
  </r>
  <r>
    <s v="ORD-00958"/>
    <x v="263"/>
    <s v="CUST-0189"/>
    <s v="PROD-033"/>
    <s v="R025"/>
    <n v="8"/>
    <n v="2030"/>
    <n v="18.100000000000001"/>
    <n v="13300.56"/>
    <s v="Completed"/>
    <s v="Chennai"/>
    <s v="Home"/>
    <m/>
    <s v="Retail"/>
    <n v="41"/>
    <m/>
    <m/>
  </r>
  <r>
    <s v="ORD-00959"/>
    <x v="154"/>
    <s v="CUST-0105"/>
    <s v="PROD-044"/>
    <s v="R011"/>
    <n v="10"/>
    <n v="1650"/>
    <n v="7.1"/>
    <n v="15328.5"/>
    <s v="Completed"/>
    <s v="Chennai"/>
    <s v="Beauty"/>
    <m/>
    <s v="SMB"/>
    <n v="51"/>
    <m/>
    <m/>
  </r>
  <r>
    <s v="ORD-00960"/>
    <x v="25"/>
    <s v="CUST-0284"/>
    <s v="PROD-021"/>
    <s v="R017"/>
    <n v="4"/>
    <n v="2760"/>
    <n v="17.600000000000001"/>
    <n v="9096.9599999999991"/>
    <s v="Cancelled"/>
    <s v="Hyderabad"/>
    <s v="Grocery"/>
    <m/>
    <s v="SMB"/>
    <n v="65"/>
    <m/>
    <m/>
  </r>
  <r>
    <s v="ORD-00961"/>
    <x v="151"/>
    <s v="CUST-0296"/>
    <s v="PROD-006"/>
    <s v="R009"/>
    <n v="4"/>
    <n v="3970"/>
    <n v="4.3"/>
    <n v="15197.16"/>
    <s v="Completed"/>
    <s v="Delhi"/>
    <s v="Electronics"/>
    <m/>
    <s v="Corporate"/>
    <n v="47"/>
    <m/>
    <m/>
  </r>
  <r>
    <s v="ORD-00962"/>
    <x v="89"/>
    <s v="CUST-0087"/>
    <s v="PROD-050"/>
    <s v="R010"/>
    <n v="2"/>
    <n v="6080"/>
    <n v="23.8"/>
    <n v="9265.92"/>
    <s v="Completed"/>
    <s v="Pune"/>
    <s v="Beauty"/>
    <m/>
    <s v="SMB"/>
    <n v="49"/>
    <m/>
    <m/>
  </r>
  <r>
    <s v="ORD-00963"/>
    <x v="341"/>
    <s v="CUST-0012"/>
    <s v="PROD-024"/>
    <s v="R004"/>
    <n v="4"/>
    <n v="2270"/>
    <n v="28.9"/>
    <n v="6455.88"/>
    <s v="Completed"/>
    <s v="Pune"/>
    <s v="Grocery"/>
    <m/>
    <s v="Retail"/>
    <n v="43"/>
    <m/>
    <m/>
  </r>
  <r>
    <s v="ORD-00964"/>
    <x v="236"/>
    <s v="CUST-0241"/>
    <s v="PROD-006"/>
    <s v="R004"/>
    <n v="10"/>
    <n v="3970"/>
    <n v="26.2"/>
    <n v="29298.6"/>
    <s v="Completed"/>
    <s v="Pune"/>
    <s v="Electronics"/>
    <m/>
    <s v="Corporate"/>
    <n v="47"/>
    <m/>
    <m/>
  </r>
  <r>
    <s v="ORD-00965"/>
    <x v="239"/>
    <s v="CUST-0133"/>
    <s v="PROD-048"/>
    <s v="R013"/>
    <n v="4"/>
    <n v="5100"/>
    <n v="2.1"/>
    <n v="19971.599999999999"/>
    <s v="Completed"/>
    <s v="Chennai"/>
    <s v="Beauty"/>
    <m/>
    <s v="Retail"/>
    <n v="26"/>
    <s v="North"/>
    <s v="May-24"/>
  </r>
  <r>
    <s v="ORD-00966"/>
    <x v="49"/>
    <s v="CUST-0230"/>
    <s v="PROD-045"/>
    <s v="R024"/>
    <n v="5"/>
    <n v="3020"/>
    <n v="17.3"/>
    <n v="12487.7"/>
    <s v="Completed"/>
    <s v="Pune"/>
    <s v="Beauty"/>
    <m/>
    <s v="Corporate"/>
    <n v="33"/>
    <s v="South"/>
    <s v="Mar-24"/>
  </r>
  <r>
    <s v="ORD-00967"/>
    <x v="126"/>
    <s v="CUST-0126"/>
    <s v="PROD-057"/>
    <s v="R016"/>
    <n v="8"/>
    <n v="960"/>
    <n v="1.3"/>
    <n v="7580.16"/>
    <s v="Cancelled"/>
    <s v="Mumbai"/>
    <s v="Sports"/>
    <m/>
    <s v="Retail"/>
    <n v="37"/>
    <s v="West"/>
    <s v="May-24"/>
  </r>
  <r>
    <s v="ORD-00968"/>
    <x v="109"/>
    <s v="CUST-0233"/>
    <s v="PROD-019"/>
    <s v="R008"/>
    <n v="9"/>
    <n v="2480"/>
    <n v="15.6"/>
    <n v="18838.080000000002"/>
    <s v="Completed"/>
    <s v="Mumbai"/>
    <s v="Apparel"/>
    <m/>
    <s v="SMB"/>
    <n v="65"/>
    <m/>
    <m/>
  </r>
  <r>
    <s v="ORD-00969"/>
    <x v="286"/>
    <s v="CUST-9555"/>
    <s v="PROD-030"/>
    <s v="R012"/>
    <n v="1"/>
    <n v="970"/>
    <n v="24.9"/>
    <n v="728.47"/>
    <s v="Completed"/>
    <s v="Bengaluru"/>
    <s v="Grocery"/>
    <m/>
    <e v="#N/A"/>
    <e v="#N/A"/>
    <m/>
    <m/>
  </r>
  <r>
    <s v="ORD-00970"/>
    <x v="38"/>
    <s v="CUST-0150"/>
    <s v="PROD-023"/>
    <s v="R022"/>
    <n v="4"/>
    <n v="2380"/>
    <n v="9.5"/>
    <n v="8615.6"/>
    <s v="Cancelled"/>
    <s v="Pune"/>
    <s v="Grocery"/>
    <m/>
    <s v="SMB"/>
    <n v="53"/>
    <m/>
    <m/>
  </r>
  <r>
    <s v="ORD-00971"/>
    <x v="318"/>
    <s v="CUST-0204"/>
    <s v="PROD-052"/>
    <s v="R005"/>
    <n v="4"/>
    <n v="5410"/>
    <n v="18.7"/>
    <n v="17593.32"/>
    <s v="Completed"/>
    <s v="Hyderabad"/>
    <s v="Sports"/>
    <m/>
    <s v="Retail"/>
    <n v="60"/>
    <m/>
    <m/>
  </r>
  <r>
    <s v="ORD-00972"/>
    <x v="52"/>
    <s v="CUST-0040"/>
    <s v="PROD-034"/>
    <s v="R022"/>
    <n v="7"/>
    <n v="5080"/>
    <n v="6.5"/>
    <n v="33248.6"/>
    <s v="Completed"/>
    <s v="Chennai"/>
    <s v="Home"/>
    <m/>
    <s v="Retail"/>
    <n v="28"/>
    <s v="North"/>
    <s v="May-24"/>
  </r>
  <r>
    <s v="ORD-00973"/>
    <x v="220"/>
    <s v="CUST-0060"/>
    <s v="PROD-007"/>
    <s v="R025"/>
    <n v="5"/>
    <n v="1430"/>
    <n v="19.8"/>
    <n v="5734.3"/>
    <s v="Completed"/>
    <s v="Pune"/>
    <s v="Electronics"/>
    <m/>
    <s v="Retail"/>
    <n v="39"/>
    <s v="East"/>
    <s v="Oct-24"/>
  </r>
  <r>
    <s v="ORD-00974"/>
    <x v="4"/>
    <s v="CUST-0017"/>
    <s v="PROD-037"/>
    <s v="R011"/>
    <n v="7"/>
    <n v="660"/>
    <n v="17.3"/>
    <n v="3820.74"/>
    <s v="Completed"/>
    <s v="Delhi"/>
    <s v="Home"/>
    <m/>
    <s v="SMB"/>
    <n v="38"/>
    <s v="West"/>
    <s v="Feb-24"/>
  </r>
  <r>
    <s v="ORD-00975"/>
    <x v="265"/>
    <s v="CUST-0093"/>
    <s v="PROD-041"/>
    <s v="R004"/>
    <n v="10"/>
    <n v="1540"/>
    <n v="17.5"/>
    <n v="12705"/>
    <s v="Completed"/>
    <s v="Pune"/>
    <s v="Beauty"/>
    <m/>
    <s v="Retail"/>
    <n v="36"/>
    <s v="South"/>
    <s v="Nov-24"/>
  </r>
  <r>
    <s v="ORD-01662"/>
    <x v="243"/>
    <s v="CUST-0068"/>
    <s v="PROD-029"/>
    <s v="R003"/>
    <n v="10"/>
    <n v="2210"/>
    <n v="24.1"/>
    <n v="16773.900000000001"/>
    <s v="Pending"/>
    <s v="Delhi"/>
    <s v="Grocery"/>
    <m/>
    <s v="SMB"/>
    <n v="48"/>
    <m/>
    <m/>
  </r>
  <r>
    <s v="ORD-00977"/>
    <x v="281"/>
    <s v="CUST-0251"/>
    <s v="PROD-057"/>
    <s v="R022"/>
    <n v="4"/>
    <n v="960"/>
    <n v="13.4"/>
    <n v="3325.44"/>
    <s v="Completed"/>
    <s v="Mumbai"/>
    <s v="Sports"/>
    <m/>
    <s v="Retail"/>
    <n v="44"/>
    <m/>
    <m/>
  </r>
  <r>
    <s v="ORD-00978"/>
    <x v="108"/>
    <s v="CUST-0076"/>
    <s v="PROD-047"/>
    <s v="R022"/>
    <n v="8"/>
    <n v="3450"/>
    <n v="3.7"/>
    <n v="26578.799999999999"/>
    <s v="Completed"/>
    <s v="Mumbai"/>
    <s v="Beauty"/>
    <m/>
    <s v="Retail"/>
    <n v="38"/>
    <s v="East"/>
    <s v="Aug-24"/>
  </r>
  <r>
    <s v="ORD-00979"/>
    <x v="214"/>
    <s v="CUST-9927"/>
    <s v="PROD-033"/>
    <s v="R005"/>
    <n v="6"/>
    <n v="2030"/>
    <n v="9.5"/>
    <n v="11022.9"/>
    <s v="Completed"/>
    <s v="Mumbai"/>
    <s v="Home"/>
    <m/>
    <e v="#N/A"/>
    <e v="#N/A"/>
    <m/>
    <m/>
  </r>
  <r>
    <s v="ORD-00980"/>
    <x v="342"/>
    <s v="CUST-0135"/>
    <s v="PROD-011"/>
    <s v="R009"/>
    <n v="7"/>
    <n v="3450"/>
    <n v="28.2"/>
    <n v="17339.7"/>
    <s v="Completed"/>
    <s v="Pune"/>
    <s v="Apparel"/>
    <m/>
    <s v="SMB"/>
    <n v="24"/>
    <s v="North"/>
    <s v="Jul-24"/>
  </r>
  <r>
    <s v="ORD-00981"/>
    <x v="101"/>
    <s v="CUST-0163"/>
    <s v="PROD-027"/>
    <s v="R011"/>
    <n v="7"/>
    <n v="3780"/>
    <n v="15.1"/>
    <n v="22464.54"/>
    <s v="Completed"/>
    <s v="Pune"/>
    <s v="Grocery"/>
    <m/>
    <s v="Retail"/>
    <n v="49"/>
    <m/>
    <m/>
  </r>
  <r>
    <s v="ORD-00947"/>
    <x v="53"/>
    <s v="CUST-0107"/>
    <s v="PROD-021"/>
    <s v="R002"/>
    <n v="4"/>
    <n v="2760"/>
    <n v="14.8"/>
    <n v="9406.08"/>
    <s v="Completed"/>
    <s v="Pune"/>
    <s v="Grocery"/>
    <m/>
    <s v="Retail"/>
    <n v="50"/>
    <m/>
    <m/>
  </r>
  <r>
    <s v="ORD-00983"/>
    <x v="322"/>
    <s v="CUST-0209"/>
    <s v="PROD-041"/>
    <s v="R029"/>
    <n v="4"/>
    <n v="1540"/>
    <n v="13.9"/>
    <n v="5303.76"/>
    <s v="Completed"/>
    <s v="Pune"/>
    <s v="Beauty"/>
    <m/>
    <s v="Retail"/>
    <n v="31"/>
    <s v="North"/>
    <s v="May-24"/>
  </r>
  <r>
    <s v="ORD-00984"/>
    <x v="334"/>
    <s v="CUST-0074"/>
    <s v="PROD-031"/>
    <s v="R007"/>
    <n v="2"/>
    <n v="3730"/>
    <n v="15.7"/>
    <n v="6288.78"/>
    <s v="Cancelled"/>
    <s v="Bengaluru"/>
    <s v="Home"/>
    <m/>
    <s v="Retail"/>
    <n v="27"/>
    <s v="West"/>
    <s v="Feb-24"/>
  </r>
  <r>
    <s v="ORD-00985"/>
    <x v="251"/>
    <s v="CUST-0037"/>
    <s v="PROD-031"/>
    <s v="R027"/>
    <n v="4"/>
    <n v="3730"/>
    <n v="2.1"/>
    <n v="14606.68"/>
    <s v="Completed"/>
    <s v="Bengaluru"/>
    <s v="Home"/>
    <m/>
    <s v="Retail"/>
    <n v="52"/>
    <m/>
    <m/>
  </r>
  <r>
    <s v="ORD-00986"/>
    <x v="136"/>
    <s v="CUST-0026"/>
    <s v="PROD-012"/>
    <s v="R013"/>
    <n v="1"/>
    <n v="3160"/>
    <n v="29.8"/>
    <n v="2218.3200000000002"/>
    <s v="Completed"/>
    <s v="Pune"/>
    <s v="Apparel"/>
    <m/>
    <s v="Retail"/>
    <n v="62"/>
    <m/>
    <m/>
  </r>
  <r>
    <s v="ORD-00987"/>
    <x v="227"/>
    <s v="CUST-0151"/>
    <s v="PROD-042"/>
    <s v="R022"/>
    <n v="9"/>
    <n v="2290"/>
    <n v="8.3000000000000007"/>
    <n v="18899.37"/>
    <s v="Pending"/>
    <s v="Mumbai"/>
    <s v="Beauty"/>
    <m/>
    <s v="Retail"/>
    <n v="53"/>
    <m/>
    <m/>
  </r>
  <r>
    <s v="ORD-00988"/>
    <x v="215"/>
    <s v="CUST-0210"/>
    <s v="PROD-004"/>
    <s v="R013"/>
    <n v="2"/>
    <n v="3870"/>
    <n v="5.2"/>
    <n v="7337.52"/>
    <s v="Completed"/>
    <s v="Pune"/>
    <s v="Electronics"/>
    <m/>
    <s v="Corporate"/>
    <n v="48"/>
    <m/>
    <m/>
  </r>
  <r>
    <s v="ORD-00989"/>
    <x v="57"/>
    <s v="CUST-0192"/>
    <s v="PROD-003"/>
    <s v="R007"/>
    <n v="5"/>
    <n v="3570"/>
    <n v="19.899999999999999"/>
    <n v="14297.85"/>
    <s v="Completed"/>
    <s v="Bengaluru"/>
    <s v="Electronics"/>
    <m/>
    <s v="Retail"/>
    <n v="55"/>
    <m/>
    <m/>
  </r>
  <r>
    <s v="ORD-00990"/>
    <x v="305"/>
    <s v="CUST-0161"/>
    <s v="PROD-054"/>
    <s v="R001"/>
    <n v="5"/>
    <n v="1010"/>
    <n v="2.2000000000000002"/>
    <n v="4938.8999999999996"/>
    <s v="Completed"/>
    <s v="Chennai"/>
    <s v="Sports"/>
    <m/>
    <s v="Retail"/>
    <n v="38"/>
    <s v="North"/>
    <s v="Jun-24"/>
  </r>
  <r>
    <s v="ORD-00991"/>
    <x v="119"/>
    <s v="CUST-0255"/>
    <s v="PROD-042"/>
    <s v="R004"/>
    <n v="10"/>
    <n v="2290"/>
    <n v="16.8"/>
    <n v="19052.8"/>
    <s v="Cancelled"/>
    <s v="Chennai"/>
    <s v="Beauty"/>
    <m/>
    <s v="Corporate"/>
    <n v="51"/>
    <m/>
    <m/>
  </r>
  <r>
    <s v="ORD-00992"/>
    <x v="293"/>
    <s v="CUST-0027"/>
    <s v="PROD-039"/>
    <s v="R019"/>
    <n v="3"/>
    <n v="4610"/>
    <n v="13.2"/>
    <n v="12004.44"/>
    <s v="Pending"/>
    <s v="Hyderabad"/>
    <s v="Home"/>
    <m/>
    <s v="Corporate"/>
    <n v="52"/>
    <m/>
    <m/>
  </r>
  <r>
    <s v="ORD-00993"/>
    <x v="320"/>
    <s v="CUST-0228"/>
    <s v="PROD-017"/>
    <s v="R003"/>
    <n v="1"/>
    <n v="2510"/>
    <n v="16.899999999999999"/>
    <n v="2085.81"/>
    <s v="Completed"/>
    <s v="Pune"/>
    <s v="Apparel"/>
    <m/>
    <s v="Corporate"/>
    <n v="37"/>
    <s v="East"/>
    <s v="Jul-24"/>
  </r>
  <r>
    <s v="ORD-00994"/>
    <x v="27"/>
    <s v="CUST-0183"/>
    <s v="PROD-045"/>
    <s v="R009"/>
    <n v="1"/>
    <n v="3020"/>
    <n v="26.7"/>
    <n v="2213.66"/>
    <s v="Completed"/>
    <s v="Mumbai"/>
    <s v="Beauty"/>
    <m/>
    <s v="SMB"/>
    <n v="27"/>
    <s v="North"/>
    <s v="Mar-24"/>
  </r>
  <r>
    <s v="ORD-00995"/>
    <x v="343"/>
    <s v="CUST-0026"/>
    <s v="PROD-060"/>
    <s v="R012"/>
    <n v="6"/>
    <n v="190"/>
    <n v="7.1"/>
    <n v="1059.06"/>
    <s v="Completed"/>
    <s v="Pune"/>
    <s v="Sports"/>
    <m/>
    <s v="Retail"/>
    <n v="62"/>
    <m/>
    <m/>
  </r>
  <r>
    <s v="ORD-00996"/>
    <x v="201"/>
    <s v="CUST-0211"/>
    <s v="PROD-033"/>
    <s v="R002"/>
    <n v="6"/>
    <n v="2030"/>
    <n v="13.5"/>
    <n v="10535.7"/>
    <s v="Cancelled"/>
    <s v="Bengaluru"/>
    <s v="Home"/>
    <m/>
    <s v="Retail"/>
    <n v="36"/>
    <s v="South"/>
    <s v="Jan-24"/>
  </r>
  <r>
    <s v="ORD-00997"/>
    <x v="74"/>
    <s v="CUST-0190"/>
    <s v="PROD-036"/>
    <s v="R012"/>
    <n v="10"/>
    <n v="3250"/>
    <n v="8.6999999999999993"/>
    <n v="29672.5"/>
    <s v="Completed"/>
    <s v="Hyderabad"/>
    <s v="Home"/>
    <m/>
    <s v="Retail"/>
    <n v="52"/>
    <m/>
    <m/>
  </r>
  <r>
    <s v="ORD-00998"/>
    <x v="193"/>
    <s v="CUST-0172"/>
    <s v="PROD-033"/>
    <s v="R029"/>
    <n v="9"/>
    <n v="2030"/>
    <n v="29.3"/>
    <n v="12916.89"/>
    <s v="Completed"/>
    <s v="Pune"/>
    <s v="Home"/>
    <m/>
    <s v="Retail"/>
    <n v="65"/>
    <m/>
    <m/>
  </r>
  <r>
    <s v="ORD-00999"/>
    <x v="82"/>
    <s v="CUST-0272"/>
    <s v="PROD-023"/>
    <s v="R025"/>
    <n v="1"/>
    <n v="2380"/>
    <n v="12.9"/>
    <n v="2072.98"/>
    <s v="Completed"/>
    <s v="Mumbai"/>
    <s v="Grocery"/>
    <m/>
    <s v="SMB"/>
    <n v="47"/>
    <m/>
    <m/>
  </r>
  <r>
    <s v="ORD-01000"/>
    <x v="126"/>
    <s v="CUST-0232"/>
    <s v="PROD-011"/>
    <s v="R024"/>
    <n v="10"/>
    <n v="3450"/>
    <n v="18.5"/>
    <n v="28117.5"/>
    <s v="Completed"/>
    <s v="Hyderabad"/>
    <s v="Apparel"/>
    <m/>
    <s v="Retail"/>
    <n v="38"/>
    <s v="West"/>
    <s v="Mar-24"/>
  </r>
  <r>
    <s v="ORD-01001"/>
    <x v="66"/>
    <s v="CUST-0282"/>
    <s v="PROD-012"/>
    <s v="R002"/>
    <n v="10"/>
    <n v="3160"/>
    <n v="26.3"/>
    <n v="23289.200000000001"/>
    <s v="Completed"/>
    <s v="Hyderabad"/>
    <s v="Apparel"/>
    <m/>
    <s v="Corporate"/>
    <n v="29"/>
    <s v="West"/>
    <s v="Aug-24"/>
  </r>
  <r>
    <s v="ORD-01002"/>
    <x v="101"/>
    <s v="CUST-0164"/>
    <s v="PROD-038"/>
    <s v="R026"/>
    <n v="10"/>
    <n v="5490"/>
    <n v="22.7"/>
    <n v="42437.7"/>
    <s v="Completed"/>
    <s v="Chennai"/>
    <s v="Home"/>
    <m/>
    <s v="Retail"/>
    <n v="60"/>
    <m/>
    <m/>
  </r>
  <r>
    <s v="ORD-01003"/>
    <x v="232"/>
    <s v="CUST-0212"/>
    <s v="PROD-055"/>
    <s v="R006"/>
    <n v="8"/>
    <n v="2860"/>
    <n v="14.3"/>
    <n v="19608.16"/>
    <s v="Completed"/>
    <s v="Chennai"/>
    <s v="Sports"/>
    <m/>
    <s v="SMB"/>
    <n v="46"/>
    <m/>
    <m/>
  </r>
  <r>
    <s v="ORD-01004"/>
    <x v="104"/>
    <s v="CUST-0234"/>
    <s v="PROD-049"/>
    <s v="R011"/>
    <n v="1"/>
    <n v="960"/>
    <n v="11.9"/>
    <n v="845.76"/>
    <s v="Completed"/>
    <s v="Bengaluru"/>
    <s v="Beauty"/>
    <m/>
    <s v="Retail"/>
    <n v="34"/>
    <s v="North"/>
    <s v="Sep-24"/>
  </r>
  <r>
    <s v="ORD-01005"/>
    <x v="195"/>
    <s v="CUST-0292"/>
    <s v="PROD-040"/>
    <s v="R007"/>
    <n v="3"/>
    <n v="1080"/>
    <n v="26"/>
    <n v="2397.6"/>
    <s v="Completed"/>
    <s v="Bengaluru"/>
    <s v="Home"/>
    <m/>
    <s v="Retail"/>
    <n v="32"/>
    <s v="South"/>
    <s v="May-24"/>
  </r>
  <r>
    <s v="ORD-01006"/>
    <x v="65"/>
    <s v="CUST-0018"/>
    <s v="PROD-055"/>
    <s v="R001"/>
    <n v="10"/>
    <n v="2860"/>
    <n v="13.1"/>
    <n v="24853.4"/>
    <s v="Refunded"/>
    <s v="Pune"/>
    <s v="Sports"/>
    <m/>
    <s v="SMB"/>
    <n v="54"/>
    <m/>
    <m/>
  </r>
  <r>
    <s v="ORD-01007"/>
    <x v="316"/>
    <s v="CUST-0220"/>
    <s v="PROD-013"/>
    <s v="R001"/>
    <n v="3"/>
    <n v="3640"/>
    <n v="18.2"/>
    <n v="8932.56"/>
    <s v="Completed"/>
    <s v="Chennai"/>
    <s v="Apparel"/>
    <m/>
    <s v="Retail"/>
    <n v="34"/>
    <s v="North"/>
    <s v="Oct-24"/>
  </r>
  <r>
    <s v="ORD-01008"/>
    <x v="171"/>
    <s v="CUST-0064"/>
    <s v="PROD-015"/>
    <s v="R018"/>
    <n v="3"/>
    <n v="2720"/>
    <n v="3.6"/>
    <n v="7866.24"/>
    <s v="Completed"/>
    <s v="Hyderabad"/>
    <s v="Apparel"/>
    <m/>
    <s v="SMB"/>
    <n v="40"/>
    <s v="North"/>
    <s v="Dec-24"/>
  </r>
  <r>
    <s v="ORD-01009"/>
    <x v="316"/>
    <s v="CUST-0077"/>
    <s v="PROD-024"/>
    <s v="R008"/>
    <n v="4"/>
    <n v="2270"/>
    <n v="18.399999999999999"/>
    <n v="7409.28"/>
    <s v="Completed"/>
    <s v="Hyderabad"/>
    <s v="Grocery"/>
    <m/>
    <s v="SMB"/>
    <n v="48"/>
    <m/>
    <m/>
  </r>
  <r>
    <s v="ORD-01010"/>
    <x v="64"/>
    <s v="CUST-0229"/>
    <s v="PROD-009"/>
    <s v="R029"/>
    <n v="5"/>
    <n v="1220"/>
    <n v="13.9"/>
    <n v="5252.1"/>
    <s v="Completed"/>
    <s v="Hyderabad"/>
    <s v="Electronics"/>
    <m/>
    <s v="SMB"/>
    <n v="25"/>
    <s v="North"/>
    <s v="Dec-24"/>
  </r>
  <r>
    <s v="ORD-01011"/>
    <x v="21"/>
    <s v="CUST-0129"/>
    <s v="PROD-010"/>
    <s v="R015"/>
    <n v="8"/>
    <n v="2640"/>
    <n v="17.3"/>
    <n v="17466.240000000002"/>
    <s v="Completed"/>
    <s v="Hyderabad"/>
    <s v="Electronics"/>
    <m/>
    <s v="Retail"/>
    <n v="29"/>
    <s v="West"/>
    <s v="Jul-24"/>
  </r>
  <r>
    <s v="ORD-01012"/>
    <x v="66"/>
    <s v="CUST-0145"/>
    <s v="PROD-030"/>
    <s v="R015"/>
    <n v="1"/>
    <n v="970"/>
    <n v="28"/>
    <n v="698.4"/>
    <s v="Cancelled"/>
    <s v="Bengaluru"/>
    <s v="Grocery"/>
    <m/>
    <s v="SMB"/>
    <n v="44"/>
    <m/>
    <m/>
  </r>
  <r>
    <s v="ORD-01013"/>
    <x v="243"/>
    <s v="CUST-0258"/>
    <s v="PROD-031"/>
    <s v="R025"/>
    <n v="8"/>
    <n v="3730"/>
    <n v="2.1"/>
    <n v="29213.360000000001"/>
    <s v="Refunded"/>
    <s v="Pune"/>
    <s v="Home"/>
    <m/>
    <s v="Retail"/>
    <n v="44"/>
    <m/>
    <m/>
  </r>
  <r>
    <s v="ORD-01014"/>
    <x v="311"/>
    <s v="CUST-0209"/>
    <s v="PROD-030"/>
    <s v="R024"/>
    <n v="7"/>
    <n v="970"/>
    <n v="25.5"/>
    <n v="5058.55"/>
    <s v="Completed"/>
    <s v="Pune"/>
    <s v="Grocery"/>
    <m/>
    <s v="Retail"/>
    <n v="31"/>
    <s v="West"/>
    <s v="Mar-24"/>
  </r>
  <r>
    <s v="ORD-01015"/>
    <x v="125"/>
    <s v="CUST-0131"/>
    <s v="PROD-003"/>
    <s v="R022"/>
    <n v="6"/>
    <n v="3570"/>
    <n v="9.9"/>
    <n v="19299.419999999998"/>
    <s v="Completed"/>
    <s v="Delhi"/>
    <s v="Electronics"/>
    <m/>
    <s v="SMB"/>
    <n v="28"/>
    <s v="West"/>
    <s v="Nov-24"/>
  </r>
  <r>
    <s v="ORD-01016"/>
    <x v="111"/>
    <s v="CUST-0276"/>
    <s v="PROD-030"/>
    <s v="R016"/>
    <n v="6"/>
    <n v="970"/>
    <n v="19.600000000000001"/>
    <n v="4679.28"/>
    <s v="Completed"/>
    <s v="Chennai"/>
    <s v="Grocery"/>
    <m/>
    <s v="Retail"/>
    <n v="26"/>
    <s v="East"/>
    <s v="Jan-24"/>
  </r>
  <r>
    <s v="ORD-01017"/>
    <x v="211"/>
    <s v="CUST-0283"/>
    <s v="PROD-059"/>
    <s v="R011"/>
    <n v="8"/>
    <n v="3780"/>
    <n v="26.5"/>
    <n v="22226.400000000001"/>
    <s v="Completed"/>
    <s v="Delhi"/>
    <s v="Sports"/>
    <m/>
    <s v="SMB"/>
    <n v="50"/>
    <m/>
    <m/>
  </r>
  <r>
    <s v="ORD-01018"/>
    <x v="72"/>
    <s v="CUST-0195"/>
    <s v="PROD-058"/>
    <s v="R011"/>
    <n v="6"/>
    <n v="2400"/>
    <n v="1.4"/>
    <n v="14198.4"/>
    <s v="Completed"/>
    <s v="Bengaluru"/>
    <s v="Sports"/>
    <m/>
    <s v="Retail"/>
    <n v="28"/>
    <s v="South"/>
    <s v="Sep-24"/>
  </r>
  <r>
    <s v="ORD-01019"/>
    <x v="97"/>
    <s v="CUST-0181"/>
    <s v="PROD-036"/>
    <s v="R021"/>
    <n v="10"/>
    <n v="3250"/>
    <n v="19.3"/>
    <n v="26227.5"/>
    <s v="Completed"/>
    <s v="Delhi"/>
    <s v="Home"/>
    <m/>
    <s v="SMB"/>
    <n v="38"/>
    <s v="South"/>
    <s v="Aug-24"/>
  </r>
  <r>
    <s v="ORD-01020"/>
    <x v="260"/>
    <s v="CUST-0149"/>
    <s v="PROD-021"/>
    <s v="R014"/>
    <n v="7"/>
    <n v="2760"/>
    <n v="23.6"/>
    <n v="14760.48"/>
    <s v="Pending"/>
    <s v="Hyderabad"/>
    <s v="Grocery"/>
    <m/>
    <s v="Retail"/>
    <n v="44"/>
    <m/>
    <m/>
  </r>
  <r>
    <s v="ORD-01021"/>
    <x v="113"/>
    <s v="CUST-0152"/>
    <s v="PROD-003"/>
    <s v="R001"/>
    <n v="3"/>
    <n v="3570"/>
    <n v="26.3"/>
    <n v="7893.27"/>
    <s v="Completed"/>
    <s v="Bengaluru"/>
    <s v="Electronics"/>
    <m/>
    <s v="SMB"/>
    <n v="64"/>
    <m/>
    <m/>
  </r>
  <r>
    <s v="ORD-01022"/>
    <x v="40"/>
    <s v="CUST-0085"/>
    <s v="PROD-027"/>
    <s v="R015"/>
    <n v="4"/>
    <n v="3780"/>
    <n v="10.1"/>
    <n v="13592.88"/>
    <s v="Completed"/>
    <s v="Chennai"/>
    <s v="Grocery"/>
    <m/>
    <s v="Retail"/>
    <n v="26"/>
    <s v="North"/>
    <s v="Jun-24"/>
  </r>
  <r>
    <s v="ORD-01023"/>
    <x v="77"/>
    <s v="CUST-0231"/>
    <s v="PROD-007"/>
    <s v="R019"/>
    <n v="10"/>
    <n v="1430"/>
    <n v="3.7"/>
    <n v="13770.9"/>
    <s v="Completed"/>
    <s v="Chennai"/>
    <s v="Electronics"/>
    <m/>
    <s v="Retail"/>
    <n v="61"/>
    <m/>
    <m/>
  </r>
  <r>
    <s v="ORD-01024"/>
    <x v="91"/>
    <s v="CUST-0044"/>
    <s v="PROD-022"/>
    <s v="R011"/>
    <n v="6"/>
    <n v="2270"/>
    <n v="7.9"/>
    <n v="12544.02"/>
    <s v="Refunded"/>
    <s v="Hyderabad"/>
    <s v="Grocery"/>
    <m/>
    <s v="SMB"/>
    <n v="29"/>
    <s v="East"/>
    <s v="Nov-24"/>
  </r>
  <r>
    <s v="ORD-01025"/>
    <x v="5"/>
    <s v="CUST-0027"/>
    <s v="PROD-054"/>
    <s v="R013"/>
    <n v="1"/>
    <n v="1010"/>
    <n v="6.9"/>
    <n v="940.31"/>
    <s v="Pending"/>
    <s v="Hyderabad"/>
    <s v="Sports"/>
    <m/>
    <s v="Corporate"/>
    <n v="52"/>
    <m/>
    <m/>
  </r>
  <r>
    <s v="ORD-01026"/>
    <x v="91"/>
    <s v="CUST-0101"/>
    <s v="PROD-055"/>
    <s v="R014"/>
    <n v="2"/>
    <n v="2860"/>
    <n v="20.100000000000001"/>
    <n v="4570.28"/>
    <s v="Completed"/>
    <s v="Hyderabad"/>
    <s v="Sports"/>
    <m/>
    <s v="SMB"/>
    <n v="40"/>
    <s v="South"/>
    <s v="Apr-24"/>
  </r>
  <r>
    <s v="ORD-01027"/>
    <x v="76"/>
    <s v="CUST-0123"/>
    <s v="PROD-002"/>
    <s v="R019"/>
    <n v="9"/>
    <n v="2600"/>
    <n v="15.9"/>
    <n v="19679.400000000001"/>
    <s v="Cancelled"/>
    <s v="Chennai"/>
    <s v="Electronics"/>
    <m/>
    <s v="Corporate"/>
    <n v="44"/>
    <m/>
    <m/>
  </r>
  <r>
    <s v="ORD-01028"/>
    <x v="132"/>
    <s v="CUST-0124"/>
    <s v="PROD-053"/>
    <s v="R024"/>
    <n v="10"/>
    <n v="470"/>
    <n v="23.1"/>
    <n v="3614.3"/>
    <s v="Pending"/>
    <s v="Pune"/>
    <s v="Sports"/>
    <m/>
    <s v="Retail"/>
    <n v="57"/>
    <m/>
    <m/>
  </r>
  <r>
    <s v="ORD-01029"/>
    <x v="185"/>
    <s v="CUST-0159"/>
    <s v="PROD-037"/>
    <s v="R013"/>
    <n v="10"/>
    <n v="660"/>
    <n v="9.4"/>
    <n v="5979.6"/>
    <s v="Completed"/>
    <s v="Hyderabad"/>
    <s v="Home"/>
    <m/>
    <s v="Retail"/>
    <n v="32"/>
    <s v="West"/>
    <s v="Apr-24"/>
  </r>
  <r>
    <s v="ORD-01030"/>
    <x v="246"/>
    <s v="CUST-0087"/>
    <s v="PROD-009"/>
    <s v="R023"/>
    <n v="5"/>
    <n v="1220"/>
    <n v="23.3"/>
    <n v="4678.7"/>
    <s v="Completed"/>
    <s v="Pune"/>
    <s v="Electronics"/>
    <m/>
    <s v="SMB"/>
    <n v="49"/>
    <m/>
    <m/>
  </r>
  <r>
    <s v="ORD-01031"/>
    <x v="137"/>
    <s v="CUST-0295"/>
    <s v="PROD-036"/>
    <s v="R011"/>
    <n v="9"/>
    <n v="3250"/>
    <n v="19.600000000000001"/>
    <n v="23517"/>
    <s v="Pending"/>
    <s v="Delhi"/>
    <s v="Home"/>
    <m/>
    <s v="SMB"/>
    <n v="48"/>
    <m/>
    <m/>
  </r>
  <r>
    <s v="ORD-01032"/>
    <x v="176"/>
    <s v="CUST-0211"/>
    <s v="PROD-016"/>
    <s v="R018"/>
    <n v="7"/>
    <n v="620"/>
    <n v="29"/>
    <n v="3081.4"/>
    <s v="Completed"/>
    <s v="Bengaluru"/>
    <s v="Apparel"/>
    <m/>
    <s v="Retail"/>
    <n v="36"/>
    <s v="South"/>
    <s v="Jan-24"/>
  </r>
  <r>
    <s v="ORD-01033"/>
    <x v="99"/>
    <s v="CUST-0265"/>
    <s v="PROD-026"/>
    <s v="R006"/>
    <n v="9"/>
    <n v="4070"/>
    <n v="16.2"/>
    <n v="30695.94"/>
    <s v="Completed"/>
    <s v="Chennai"/>
    <s v="Grocery"/>
    <m/>
    <s v="Retail"/>
    <n v="49"/>
    <m/>
    <m/>
  </r>
  <r>
    <s v="ORD-01034"/>
    <x v="116"/>
    <s v="CUST-0252"/>
    <s v="PROD-012"/>
    <s v="R007"/>
    <n v="8"/>
    <n v="3160"/>
    <n v="23.8"/>
    <n v="19263.36"/>
    <s v="Completed"/>
    <s v="Bengaluru"/>
    <s v="Apparel"/>
    <m/>
    <s v="Retail"/>
    <n v="27"/>
    <s v="North"/>
    <s v="Jun-24"/>
  </r>
  <r>
    <s v="ORD-01035"/>
    <x v="124"/>
    <s v="CUST-0180"/>
    <s v="PROD-029"/>
    <s v="R022"/>
    <n v="3"/>
    <n v="2210"/>
    <n v="29.7"/>
    <n v="4660.8900000000003"/>
    <s v="Completed"/>
    <s v="Chennai"/>
    <s v="Grocery"/>
    <m/>
    <s v="Retail"/>
    <n v="36"/>
    <s v="North"/>
    <s v="Feb-24"/>
  </r>
  <r>
    <s v="ORD-01036"/>
    <x v="268"/>
    <s v="CUST-0231"/>
    <s v="PROD-053"/>
    <s v="R025"/>
    <n v="9"/>
    <n v="470"/>
    <n v="27.1"/>
    <n v="3083.67"/>
    <s v="Completed"/>
    <s v="Chennai"/>
    <s v="Sports"/>
    <m/>
    <s v="Retail"/>
    <n v="61"/>
    <m/>
    <m/>
  </r>
  <r>
    <s v="ORD-01037"/>
    <x v="81"/>
    <s v="CUST-0161"/>
    <s v="PROD-032"/>
    <s v="R020"/>
    <n v="6"/>
    <n v="370"/>
    <n v="5.4"/>
    <n v="2100.12"/>
    <s v="Completed"/>
    <s v="Chennai"/>
    <s v="Home"/>
    <m/>
    <s v="Retail"/>
    <n v="38"/>
    <s v="West"/>
    <s v="Mar-24"/>
  </r>
  <r>
    <s v="ORD-01038"/>
    <x v="263"/>
    <s v="CUST-0249"/>
    <s v="PROD-059"/>
    <s v="R018"/>
    <n v="10"/>
    <n v="3780"/>
    <n v="21.5"/>
    <n v="29673"/>
    <s v="Pending"/>
    <s v="Mumbai"/>
    <s v="Sports"/>
    <m/>
    <s v="Retail"/>
    <n v="44"/>
    <m/>
    <m/>
  </r>
  <r>
    <s v="ORD-01039"/>
    <x v="344"/>
    <s v="CUST-0048"/>
    <s v="PROD-056"/>
    <s v="R009"/>
    <n v="4"/>
    <n v="6940"/>
    <n v="3.9"/>
    <n v="26677.360000000001"/>
    <s v="Cancelled"/>
    <s v="Delhi"/>
    <s v="Sports"/>
    <m/>
    <s v="Retail"/>
    <n v="59"/>
    <m/>
    <m/>
  </r>
  <r>
    <s v="ORD-01040"/>
    <x v="233"/>
    <s v="CUST-0068"/>
    <s v="PROD-031"/>
    <s v="R022"/>
    <n v="3"/>
    <n v="3730"/>
    <n v="20.7"/>
    <n v="8873.67"/>
    <s v="Completed"/>
    <s v="Delhi"/>
    <s v="Home"/>
    <m/>
    <s v="SMB"/>
    <n v="48"/>
    <m/>
    <m/>
  </r>
  <r>
    <s v="ORD-01041"/>
    <x v="212"/>
    <s v="CUST-0213"/>
    <s v="PROD-034"/>
    <s v="R025"/>
    <n v="8"/>
    <n v="5080"/>
    <n v="6.2"/>
    <n v="38120.32"/>
    <s v="Completed"/>
    <s v="Mumbai"/>
    <s v="Home"/>
    <m/>
    <s v="Retail"/>
    <n v="37"/>
    <s v="East"/>
    <s v="Jul-24"/>
  </r>
  <r>
    <s v="ORD-01042"/>
    <x v="6"/>
    <s v="CUST-0159"/>
    <s v="PROD-052"/>
    <s v="R001"/>
    <n v="5"/>
    <n v="5410"/>
    <n v="5.2"/>
    <n v="25643.4"/>
    <s v="Completed"/>
    <s v="Hyderabad"/>
    <s v="Sports"/>
    <m/>
    <s v="Retail"/>
    <n v="32"/>
    <s v="West"/>
    <s v="Jan-24"/>
  </r>
  <r>
    <s v="ORD-01043"/>
    <x v="280"/>
    <s v="CUST-0298"/>
    <s v="PROD-015"/>
    <s v="R026"/>
    <n v="6"/>
    <n v="2720"/>
    <n v="29.8"/>
    <n v="11456.64"/>
    <s v="Pending"/>
    <s v="Delhi"/>
    <s v="Apparel"/>
    <m/>
    <s v="Retail"/>
    <n v="44"/>
    <m/>
    <m/>
  </r>
  <r>
    <s v="ORD-01044"/>
    <x v="290"/>
    <s v="CUST-0145"/>
    <s v="PROD-009"/>
    <s v="R010"/>
    <n v="1"/>
    <n v="1220"/>
    <n v="22.6"/>
    <n v="944.28"/>
    <s v="Completed"/>
    <s v="Bengaluru"/>
    <s v="Electronics"/>
    <m/>
    <s v="SMB"/>
    <n v="44"/>
    <m/>
    <m/>
  </r>
  <r>
    <s v="ORD-01045"/>
    <x v="93"/>
    <s v="CUST-0015"/>
    <s v="PROD-046"/>
    <s v="R008"/>
    <n v="10"/>
    <n v="4880"/>
    <n v="7.3"/>
    <n v="45237.599999999999"/>
    <s v="Completed"/>
    <s v="Chennai"/>
    <s v="Beauty"/>
    <m/>
    <s v="Retail"/>
    <n v="31"/>
    <s v="South"/>
    <s v="Jun-24"/>
  </r>
  <r>
    <s v="ORD-01046"/>
    <x v="216"/>
    <s v="CUST-0054"/>
    <s v="PROD-022"/>
    <s v="R021"/>
    <n v="10"/>
    <n v="2270"/>
    <n v="1.6"/>
    <n v="22336.799999999999"/>
    <s v="Completed"/>
    <s v="Mumbai"/>
    <s v="Grocery"/>
    <m/>
    <s v="Corporate"/>
    <n v="62"/>
    <m/>
    <m/>
  </r>
  <r>
    <s v="ORD-01047"/>
    <x v="55"/>
    <s v="CUST-0150"/>
    <s v="PROD-030"/>
    <s v="R003"/>
    <n v="8"/>
    <n v="970"/>
    <n v="13.1"/>
    <n v="6743.44"/>
    <s v="Completed"/>
    <s v="Pune"/>
    <s v="Grocery"/>
    <m/>
    <s v="SMB"/>
    <n v="53"/>
    <m/>
    <m/>
  </r>
  <r>
    <s v="ORD-01048"/>
    <x v="34"/>
    <s v="CUST-0096"/>
    <s v="PROD-023"/>
    <s v="R012"/>
    <n v="7"/>
    <n v="2380"/>
    <n v="10.6"/>
    <n v="14894.04"/>
    <s v="Cancelled"/>
    <s v="Delhi"/>
    <s v="Grocery"/>
    <m/>
    <s v="Corporate"/>
    <n v="27"/>
    <s v="North"/>
    <s v="Oct-24"/>
  </r>
  <r>
    <s v="ORD-01049"/>
    <x v="56"/>
    <s v="CUST-0288"/>
    <s v="PROD-014"/>
    <s v="R016"/>
    <n v="6"/>
    <n v="3620"/>
    <n v="21.3"/>
    <n v="17093.64"/>
    <s v="Cancelled"/>
    <s v="Hyderabad"/>
    <s v="Apparel"/>
    <m/>
    <s v="Corporate"/>
    <n v="25"/>
    <s v="South"/>
    <s v="Dec-24"/>
  </r>
  <r>
    <s v="ORD-01050"/>
    <x v="122"/>
    <s v="CUST-0048"/>
    <s v="PROD-026"/>
    <s v="R027"/>
    <n v="3"/>
    <n v="4070"/>
    <n v="8.1999999999999993"/>
    <n v="11208.78"/>
    <s v="Cancelled"/>
    <s v="Delhi"/>
    <s v="Grocery"/>
    <m/>
    <s v="Retail"/>
    <n v="59"/>
    <m/>
    <m/>
  </r>
  <r>
    <s v="ORD-01051"/>
    <x v="344"/>
    <s v="CUST-0104"/>
    <s v="PROD-048"/>
    <s v="R026"/>
    <n v="8"/>
    <n v="5100"/>
    <n v="26.9"/>
    <n v="29824.799999999999"/>
    <s v="Completed"/>
    <s v="Hyderabad"/>
    <s v="Beauty"/>
    <m/>
    <s v="Corporate"/>
    <n v="43"/>
    <m/>
    <m/>
  </r>
  <r>
    <s v="ORD-01052"/>
    <x v="197"/>
    <s v="CUST-0054"/>
    <s v="PROD-045"/>
    <s v="R017"/>
    <n v="3"/>
    <n v="3020"/>
    <n v="18.5"/>
    <n v="7383.9"/>
    <s v="Cancelled"/>
    <s v="Mumbai"/>
    <s v="Beauty"/>
    <m/>
    <s v="Corporate"/>
    <n v="62"/>
    <m/>
    <m/>
  </r>
  <r>
    <s v="ORD-01053"/>
    <x v="148"/>
    <s v="CUST-0158"/>
    <s v="PROD-049"/>
    <s v="R002"/>
    <n v="8"/>
    <n v="960"/>
    <n v="7.1"/>
    <n v="7134.72"/>
    <s v="Completed"/>
    <s v="Pune"/>
    <s v="Beauty"/>
    <m/>
    <s v="Corporate"/>
    <n v="42"/>
    <m/>
    <m/>
  </r>
  <r>
    <s v="ORD-01054"/>
    <x v="266"/>
    <s v="CUST-0231"/>
    <s v="PROD-034"/>
    <s v="R015"/>
    <n v="8"/>
    <n v="5080"/>
    <n v="6.2"/>
    <n v="38120.32"/>
    <s v="Completed"/>
    <s v="Chennai"/>
    <s v="Home"/>
    <m/>
    <s v="Retail"/>
    <n v="61"/>
    <m/>
    <m/>
  </r>
  <r>
    <s v="ORD-01055"/>
    <x v="295"/>
    <s v="CUST-0277"/>
    <s v="PROD-050"/>
    <s v="R010"/>
    <n v="6"/>
    <n v="6080"/>
    <n v="25.8"/>
    <n v="27068.16"/>
    <s v="Completed"/>
    <s v="Chennai"/>
    <s v="Beauty"/>
    <m/>
    <s v="Corporate"/>
    <n v="34"/>
    <s v="South"/>
    <s v="Apr-24"/>
  </r>
  <r>
    <s v="ORD-01056"/>
    <x v="227"/>
    <s v="CUST-0232"/>
    <s v="PROD-041"/>
    <s v="R010"/>
    <n v="5"/>
    <n v="1540"/>
    <n v="24.6"/>
    <n v="5805.8"/>
    <s v="Completed"/>
    <s v="Hyderabad"/>
    <s v="Beauty"/>
    <m/>
    <s v="Retail"/>
    <n v="38"/>
    <s v="South"/>
    <s v="May-24"/>
  </r>
  <r>
    <s v="ORD-01057"/>
    <x v="280"/>
    <s v="CUST-0074"/>
    <s v="PROD-054"/>
    <s v="R024"/>
    <n v="4"/>
    <n v="1010"/>
    <n v="2.9"/>
    <n v="3922.84"/>
    <s v="Pending"/>
    <s v="Bengaluru"/>
    <s v="Sports"/>
    <m/>
    <s v="Retail"/>
    <n v="27"/>
    <s v="South"/>
    <s v="Sep-24"/>
  </r>
  <r>
    <s v="ORD-01058"/>
    <x v="261"/>
    <s v="CUST-0068"/>
    <s v="PROD-049"/>
    <s v="R026"/>
    <n v="5"/>
    <n v="960"/>
    <n v="11.4"/>
    <n v="4252.8"/>
    <s v="Completed"/>
    <s v="Delhi"/>
    <s v="Beauty"/>
    <m/>
    <s v="SMB"/>
    <n v="48"/>
    <m/>
    <m/>
  </r>
  <r>
    <s v="ORD-01059"/>
    <x v="111"/>
    <s v="CUST-0152"/>
    <s v="PROD-041"/>
    <s v="R010"/>
    <n v="1"/>
    <n v="1540"/>
    <n v="5.6"/>
    <n v="1453.76"/>
    <s v="Completed"/>
    <s v="Bengaluru"/>
    <s v="Beauty"/>
    <m/>
    <s v="SMB"/>
    <n v="64"/>
    <m/>
    <m/>
  </r>
  <r>
    <s v="ORD-01060"/>
    <x v="245"/>
    <s v="CUST-0046"/>
    <s v="PROD-043"/>
    <s v="R019"/>
    <n v="9"/>
    <n v="3350"/>
    <n v="2.1"/>
    <n v="29516.85"/>
    <s v="Completed"/>
    <s v="Delhi"/>
    <s v="Beauty"/>
    <m/>
    <s v="SMB"/>
    <n v="45"/>
    <m/>
    <m/>
  </r>
  <r>
    <s v="ORD-01061"/>
    <x v="260"/>
    <s v="CUST-0201"/>
    <s v="PROD-051"/>
    <s v="R021"/>
    <n v="7"/>
    <n v="3450"/>
    <n v="4.7"/>
    <n v="23014.95"/>
    <s v="Completed"/>
    <s v="Hyderabad"/>
    <s v="Sports"/>
    <m/>
    <s v="Retail"/>
    <n v="31"/>
    <s v="East"/>
    <s v="Apr-24"/>
  </r>
  <r>
    <s v="ORD-01062"/>
    <x v="345"/>
    <s v="CUST-0191"/>
    <s v="PROD-057"/>
    <s v="R019"/>
    <n v="10"/>
    <n v="960"/>
    <n v="17.899999999999999"/>
    <n v="7881.6"/>
    <s v="Completed"/>
    <s v="Hyderabad"/>
    <s v="Sports"/>
    <m/>
    <s v="SMB"/>
    <n v="43"/>
    <m/>
    <m/>
  </r>
  <r>
    <s v="ORD-01063"/>
    <x v="7"/>
    <s v="CUST-0192"/>
    <s v="PROD-013"/>
    <s v="R014"/>
    <n v="1"/>
    <n v="3640"/>
    <n v="8.8000000000000007"/>
    <n v="3319.68"/>
    <s v="Completed"/>
    <s v="Bengaluru"/>
    <s v="Apparel"/>
    <m/>
    <s v="Retail"/>
    <n v="55"/>
    <m/>
    <m/>
  </r>
  <r>
    <s v="ORD-01064"/>
    <x v="239"/>
    <s v="CUST-0074"/>
    <s v="PROD-029"/>
    <s v="R017"/>
    <n v="1"/>
    <n v="2210"/>
    <n v="10.7"/>
    <n v="1973.53"/>
    <s v="Completed"/>
    <s v="Bengaluru"/>
    <s v="Grocery"/>
    <m/>
    <s v="Retail"/>
    <n v="27"/>
    <s v="South"/>
    <s v="Nov-24"/>
  </r>
  <r>
    <s v="ORD-01065"/>
    <x v="125"/>
    <s v="CUST-0071"/>
    <s v="PROD-031"/>
    <s v="R005"/>
    <n v="2"/>
    <n v="3730"/>
    <n v="13.9"/>
    <n v="6423.06"/>
    <s v="Completed"/>
    <s v="Delhi"/>
    <s v="Home"/>
    <m/>
    <s v="Corporate"/>
    <n v="46"/>
    <m/>
    <m/>
  </r>
  <r>
    <s v="ORD-01066"/>
    <x v="176"/>
    <s v="CUST-0210"/>
    <s v="PROD-052"/>
    <s v="R010"/>
    <n v="7"/>
    <n v="5410"/>
    <n v="23.6"/>
    <n v="28932.68"/>
    <s v="Completed"/>
    <s v="Pune"/>
    <s v="Sports"/>
    <m/>
    <s v="Corporate"/>
    <n v="48"/>
    <m/>
    <m/>
  </r>
  <r>
    <s v="ORD-01067"/>
    <x v="221"/>
    <s v="CUST-0054"/>
    <s v="PROD-027"/>
    <s v="R018"/>
    <n v="7"/>
    <n v="3780"/>
    <n v="8.5"/>
    <n v="24210.9"/>
    <s v="Cancelled"/>
    <s v="Mumbai"/>
    <s v="Grocery"/>
    <m/>
    <s v="Corporate"/>
    <n v="62"/>
    <m/>
    <m/>
  </r>
  <r>
    <s v="ORD-01068"/>
    <x v="122"/>
    <s v="CUST-0194"/>
    <s v="PROD-039"/>
    <s v="R016"/>
    <n v="9"/>
    <n v="4610"/>
    <n v="26.6"/>
    <n v="30453.66"/>
    <s v="Completed"/>
    <s v="Delhi"/>
    <s v="Home"/>
    <m/>
    <s v="SMB"/>
    <n v="55"/>
    <m/>
    <m/>
  </r>
  <r>
    <s v="ORD-01069"/>
    <x v="41"/>
    <s v="CUST-0231"/>
    <s v="PROD-010"/>
    <s v="R025"/>
    <n v="5"/>
    <n v="2640"/>
    <n v="1.5"/>
    <n v="13002"/>
    <s v="Completed"/>
    <s v="Chennai"/>
    <s v="Electronics"/>
    <m/>
    <s v="Retail"/>
    <n v="61"/>
    <m/>
    <m/>
  </r>
  <r>
    <s v="ORD-01070"/>
    <x v="50"/>
    <s v="CUST-0053"/>
    <s v="PROD-014"/>
    <s v="R010"/>
    <n v="3"/>
    <n v="3620"/>
    <n v="3.1"/>
    <n v="10523.34"/>
    <s v="Completed"/>
    <s v="Delhi"/>
    <s v="Apparel"/>
    <m/>
    <s v="Retail"/>
    <n v="53"/>
    <m/>
    <m/>
  </r>
  <r>
    <s v="ORD-01071"/>
    <x v="21"/>
    <s v="CUST-0290"/>
    <s v="PROD-053"/>
    <s v="R018"/>
    <n v="5"/>
    <n v="470"/>
    <n v="10.6"/>
    <n v="2100.9"/>
    <s v="Cancelled"/>
    <s v="Delhi"/>
    <s v="Sports"/>
    <m/>
    <s v="Retail"/>
    <n v="63"/>
    <m/>
    <m/>
  </r>
  <r>
    <s v="ORD-01072"/>
    <x v="113"/>
    <s v="CUST-0261"/>
    <s v="PROD-001"/>
    <s v="R009"/>
    <n v="7"/>
    <n v="5330"/>
    <n v="25"/>
    <n v="27982.5"/>
    <s v="Cancelled"/>
    <s v="Delhi"/>
    <s v="Electronics"/>
    <m/>
    <s v="Retail"/>
    <n v="54"/>
    <m/>
    <m/>
  </r>
  <r>
    <s v="ORD-01073"/>
    <x v="346"/>
    <s v="CUST-0045"/>
    <s v="PROD-050"/>
    <s v="R014"/>
    <n v="1"/>
    <n v="6080"/>
    <n v="27.8"/>
    <n v="4389.76"/>
    <s v="Completed"/>
    <s v="Chennai"/>
    <s v="Beauty"/>
    <m/>
    <s v="SMB"/>
    <n v="39"/>
    <s v="South"/>
    <s v="Jun-24"/>
  </r>
  <r>
    <s v="ORD-01074"/>
    <x v="324"/>
    <s v="CUST-0064"/>
    <s v="PROD-043"/>
    <s v="R024"/>
    <n v="6"/>
    <n v="3350"/>
    <n v="12"/>
    <n v="17688"/>
    <s v="Completed"/>
    <s v="Hyderabad"/>
    <s v="Beauty"/>
    <m/>
    <s v="SMB"/>
    <n v="40"/>
    <s v="South"/>
    <s v="Jan-24"/>
  </r>
  <r>
    <s v="ORD-01075"/>
    <x v="95"/>
    <s v="CUST-9754"/>
    <s v="PROD-056"/>
    <s v="R027"/>
    <n v="6"/>
    <n v="6940"/>
    <n v="20"/>
    <n v="33312"/>
    <s v="Completed"/>
    <s v="Chennai"/>
    <s v="Sports"/>
    <m/>
    <e v="#N/A"/>
    <e v="#N/A"/>
    <m/>
    <m/>
  </r>
  <r>
    <s v="ORD-01076"/>
    <x v="184"/>
    <s v="CUST-0200"/>
    <s v="PROD-032"/>
    <s v="R007"/>
    <n v="1"/>
    <n v="370"/>
    <n v="10"/>
    <n v="333"/>
    <s v="Completed"/>
    <s v="Hyderabad"/>
    <s v="Home"/>
    <m/>
    <s v="Corporate"/>
    <n v="46"/>
    <m/>
    <m/>
  </r>
  <r>
    <s v="ORD-01077"/>
    <x v="39"/>
    <s v="CUST-0058"/>
    <s v="PROD-038"/>
    <s v="R020"/>
    <n v="2"/>
    <n v="5490"/>
    <n v="27.9"/>
    <n v="7916.58"/>
    <s v="Completed"/>
    <s v="Bengaluru"/>
    <s v="Home"/>
    <m/>
    <s v="SMB"/>
    <n v="49"/>
    <m/>
    <m/>
  </r>
  <r>
    <s v="ORD-01078"/>
    <x v="319"/>
    <s v="CUST-0156"/>
    <s v="PROD-028"/>
    <s v="R009"/>
    <n v="5"/>
    <n v="3660"/>
    <n v="4.5999999999999996"/>
    <n v="17458.2"/>
    <s v="Completed"/>
    <s v="Mumbai"/>
    <s v="Grocery"/>
    <m/>
    <s v="Retail"/>
    <n v="33"/>
    <s v="East"/>
    <s v="May-24"/>
  </r>
  <r>
    <s v="ORD-01079"/>
    <x v="232"/>
    <s v="CUST-0107"/>
    <s v="PROD-005"/>
    <s v="R029"/>
    <n v="6"/>
    <n v="300"/>
    <n v="9"/>
    <n v="1638"/>
    <s v="Completed"/>
    <s v="Pune"/>
    <s v="Electronics"/>
    <m/>
    <s v="Retail"/>
    <n v="50"/>
    <m/>
    <m/>
  </r>
  <r>
    <s v="ORD-01080"/>
    <x v="271"/>
    <s v="CUST-0184"/>
    <s v="PROD-005"/>
    <s v="R012"/>
    <n v="3"/>
    <n v="300"/>
    <n v="19.2"/>
    <n v="727.2"/>
    <s v="Completed"/>
    <s v="Pune"/>
    <s v="Electronics"/>
    <m/>
    <s v="Retail"/>
    <n v="63"/>
    <m/>
    <m/>
  </r>
  <r>
    <s v="ORD-01081"/>
    <x v="205"/>
    <s v="CUST-0202"/>
    <s v="PROD-049"/>
    <s v="R014"/>
    <n v="6"/>
    <n v="960"/>
    <n v="29.3"/>
    <n v="4072.32"/>
    <s v="Cancelled"/>
    <s v="Chennai"/>
    <s v="Beauty"/>
    <m/>
    <s v="Retail"/>
    <n v="39"/>
    <s v="South"/>
    <s v="Aug-24"/>
  </r>
  <r>
    <s v="ORD-01082"/>
    <x v="266"/>
    <s v="CUST-0137"/>
    <s v="PROD-022"/>
    <s v="R025"/>
    <n v="1"/>
    <n v="2270"/>
    <n v="12.4"/>
    <n v="1988.52"/>
    <s v="Completed"/>
    <s v="Mumbai"/>
    <s v="Grocery"/>
    <m/>
    <s v="Retail"/>
    <n v="41"/>
    <m/>
    <m/>
  </r>
  <r>
    <s v="ORD-01083"/>
    <x v="110"/>
    <s v="CUST-0108"/>
    <s v="PROD-033"/>
    <s v="R027"/>
    <n v="10"/>
    <n v="2030"/>
    <n v="4"/>
    <n v="19488"/>
    <s v="Completed"/>
    <s v="Bengaluru"/>
    <s v="Home"/>
    <m/>
    <s v="Corporate"/>
    <n v="59"/>
    <m/>
    <m/>
  </r>
  <r>
    <s v="ORD-01084"/>
    <x v="303"/>
    <s v="CUST-0126"/>
    <s v="PROD-040"/>
    <s v="R021"/>
    <n v="9"/>
    <n v="1080"/>
    <n v="19.2"/>
    <n v="7853.76"/>
    <s v="Pending"/>
    <s v="Mumbai"/>
    <s v="Home"/>
    <m/>
    <s v="Retail"/>
    <n v="37"/>
    <s v="West"/>
    <s v="Sep-24"/>
  </r>
  <r>
    <s v="ORD-01085"/>
    <x v="113"/>
    <s v="CUST-0107"/>
    <s v="PROD-055"/>
    <s v="R025"/>
    <n v="5"/>
    <n v="2860"/>
    <n v="25"/>
    <n v="10725"/>
    <s v="Pending"/>
    <s v="Pune"/>
    <s v="Sports"/>
    <m/>
    <s v="Retail"/>
    <n v="50"/>
    <m/>
    <m/>
  </r>
  <r>
    <s v="ORD-01086"/>
    <x v="276"/>
    <s v="CUST-0071"/>
    <s v="PROD-024"/>
    <s v="R012"/>
    <n v="6"/>
    <n v="2270"/>
    <n v="9.3000000000000007"/>
    <n v="12353.34"/>
    <s v="Completed"/>
    <s v="Delhi"/>
    <s v="Grocery"/>
    <m/>
    <s v="Corporate"/>
    <n v="46"/>
    <m/>
    <m/>
  </r>
  <r>
    <s v="ORD-01087"/>
    <x v="60"/>
    <s v="CUST-0238"/>
    <s v="PROD-015"/>
    <s v="R024"/>
    <n v="1"/>
    <n v="2720"/>
    <n v="15.2"/>
    <n v="2306.56"/>
    <s v="Completed"/>
    <s v="Delhi"/>
    <s v="Apparel"/>
    <m/>
    <s v="Retail"/>
    <n v="49"/>
    <m/>
    <m/>
  </r>
  <r>
    <s v="ORD-01088"/>
    <x v="198"/>
    <s v="CUST-0022"/>
    <s v="PROD-004"/>
    <s v="R005"/>
    <n v="10"/>
    <n v="3870"/>
    <n v="4.9000000000000004"/>
    <n v="36803.699999999997"/>
    <s v="Cancelled"/>
    <s v="Bengaluru"/>
    <s v="Electronics"/>
    <m/>
    <s v="Corporate"/>
    <n v="55"/>
    <m/>
    <m/>
  </r>
  <r>
    <s v="ORD-01089"/>
    <x v="10"/>
    <s v="CUST-0100"/>
    <s v="PROD-011"/>
    <s v="R019"/>
    <n v="8"/>
    <n v="3450"/>
    <n v="20.6"/>
    <n v="21914.400000000001"/>
    <s v="Completed"/>
    <s v="Hyderabad"/>
    <s v="Apparel"/>
    <m/>
    <s v="Corporate"/>
    <n v="60"/>
    <m/>
    <m/>
  </r>
  <r>
    <s v="ORD-01090"/>
    <x v="5"/>
    <s v="CUST-0263"/>
    <s v="PROD-053"/>
    <s v="R002"/>
    <n v="1"/>
    <n v="470"/>
    <n v="5.4"/>
    <n v="444.62"/>
    <s v="Refunded"/>
    <s v="Mumbai"/>
    <s v="Sports"/>
    <m/>
    <s v="Retail"/>
    <n v="40"/>
    <s v="East"/>
    <s v="Feb-24"/>
  </r>
  <r>
    <s v="ORD-01091"/>
    <x v="171"/>
    <s v="CUST-0032"/>
    <s v="PROD-006"/>
    <s v="R009"/>
    <n v="5"/>
    <n v="3970"/>
    <n v="5.8"/>
    <n v="18698.7"/>
    <s v="Completed"/>
    <s v="Hyderabad"/>
    <s v="Electronics"/>
    <m/>
    <s v="Retail"/>
    <n v="28"/>
    <s v="North"/>
    <s v="Apr-24"/>
  </r>
  <r>
    <s v="ORD-01092"/>
    <x v="277"/>
    <s v="CUST-0227"/>
    <s v="PROD-048"/>
    <s v="R012"/>
    <n v="2"/>
    <n v="5100"/>
    <n v="19.899999999999999"/>
    <n v="8170.2"/>
    <s v="Completed"/>
    <s v="Bengaluru"/>
    <s v="Beauty"/>
    <m/>
    <s v="SMB"/>
    <n v="44"/>
    <m/>
    <m/>
  </r>
  <r>
    <s v="ORD-01093"/>
    <x v="165"/>
    <s v="CUST-0124"/>
    <s v="PROD-047"/>
    <s v="R001"/>
    <n v="6"/>
    <n v="3450"/>
    <n v="13"/>
    <n v="18009"/>
    <s v="Completed"/>
    <s v="Pune"/>
    <s v="Beauty"/>
    <m/>
    <s v="Retail"/>
    <n v="57"/>
    <m/>
    <m/>
  </r>
  <r>
    <s v="ORD-01094"/>
    <x v="168"/>
    <s v="CUST-0276"/>
    <s v="PROD-031"/>
    <s v="R012"/>
    <n v="9"/>
    <n v="3730"/>
    <n v="15.5"/>
    <n v="28366.65"/>
    <s v="Completed"/>
    <s v="Chennai"/>
    <s v="Home"/>
    <m/>
    <s v="Retail"/>
    <n v="26"/>
    <s v="North"/>
    <s v="Dec-24"/>
  </r>
  <r>
    <s v="ORD-01095"/>
    <x v="242"/>
    <s v="CUST-0100"/>
    <s v="PROD-049"/>
    <s v="R020"/>
    <n v="5"/>
    <n v="960"/>
    <n v="9.3000000000000007"/>
    <n v="4353.6000000000004"/>
    <s v="Completed"/>
    <s v="Hyderabad"/>
    <s v="Beauty"/>
    <m/>
    <s v="Corporate"/>
    <n v="60"/>
    <m/>
    <m/>
  </r>
  <r>
    <s v="ORD-01096"/>
    <x v="187"/>
    <s v="CUST-0221"/>
    <s v="PROD-034"/>
    <s v="R008"/>
    <n v="3"/>
    <n v="5080"/>
    <n v="17.399999999999999"/>
    <n v="12588.24"/>
    <s v="Cancelled"/>
    <s v="Delhi"/>
    <s v="Home"/>
    <m/>
    <s v="SMB"/>
    <n v="29"/>
    <s v="East"/>
    <s v="May-24"/>
  </r>
  <r>
    <s v="ORD-01097"/>
    <x v="212"/>
    <s v="CUST-0266"/>
    <s v="PROD-004"/>
    <s v="R003"/>
    <n v="4"/>
    <n v="3870"/>
    <n v="20.5"/>
    <n v="12306.6"/>
    <s v="Pending"/>
    <s v="Pune"/>
    <s v="Electronics"/>
    <m/>
    <s v="Retail"/>
    <n v="65"/>
    <m/>
    <m/>
  </r>
  <r>
    <s v="ORD-01098"/>
    <x v="72"/>
    <s v="CUST-0210"/>
    <s v="PROD-059"/>
    <s v="R024"/>
    <n v="1"/>
    <n v="3780"/>
    <n v="21.5"/>
    <n v="2967.3"/>
    <s v="Completed"/>
    <s v="Pune"/>
    <s v="Sports"/>
    <m/>
    <s v="Corporate"/>
    <n v="48"/>
    <m/>
    <m/>
  </r>
  <r>
    <s v="ORD-01099"/>
    <x v="81"/>
    <s v="CUST-0293"/>
    <s v="PROD-004"/>
    <s v="R017"/>
    <n v="3"/>
    <n v="3870"/>
    <n v="21.9"/>
    <n v="9067.41"/>
    <s v="Pending"/>
    <s v="Bengaluru"/>
    <s v="Electronics"/>
    <m/>
    <s v="Retail"/>
    <n v="27"/>
    <s v="West"/>
    <s v="Aug-24"/>
  </r>
  <r>
    <s v="ORD-01100"/>
    <x v="113"/>
    <s v="CUST-0291"/>
    <s v="PROD-033"/>
    <s v="R009"/>
    <n v="4"/>
    <n v="2030"/>
    <n v="23.4"/>
    <n v="6219.92"/>
    <s v="Completed"/>
    <s v="Pune"/>
    <s v="Home"/>
    <m/>
    <s v="SMB"/>
    <n v="29"/>
    <s v="East"/>
    <s v="Nov-24"/>
  </r>
  <r>
    <s v="ORD-01101"/>
    <x v="192"/>
    <s v="CUST-0295"/>
    <s v="PROD-029"/>
    <s v="R003"/>
    <n v="6"/>
    <n v="2210"/>
    <n v="9.1"/>
    <n v="12053.34"/>
    <s v="Completed"/>
    <s v="Delhi"/>
    <s v="Grocery"/>
    <m/>
    <s v="SMB"/>
    <n v="48"/>
    <m/>
    <m/>
  </r>
  <r>
    <s v="ORD-01102"/>
    <x v="180"/>
    <s v="CUST-0123"/>
    <s v="PROD-041"/>
    <s v="R017"/>
    <n v="5"/>
    <n v="1540"/>
    <n v="18.100000000000001"/>
    <n v="6306.3"/>
    <s v="Completed"/>
    <s v="Chennai"/>
    <s v="Beauty"/>
    <m/>
    <s v="Corporate"/>
    <n v="44"/>
    <m/>
    <m/>
  </r>
  <r>
    <s v="ORD-01103"/>
    <x v="274"/>
    <s v="CUST-0167"/>
    <s v="PROD-054"/>
    <s v="R011"/>
    <n v="1"/>
    <n v="1010"/>
    <n v="7.3"/>
    <n v="936.27"/>
    <s v="Completed"/>
    <s v="Delhi"/>
    <s v="Sports"/>
    <m/>
    <s v="Retail"/>
    <n v="43"/>
    <m/>
    <m/>
  </r>
  <r>
    <s v="ORD-01104"/>
    <x v="107"/>
    <s v="CUST-0247"/>
    <s v="PROD-001"/>
    <s v="R015"/>
    <n v="10"/>
    <n v="5330"/>
    <n v="27.3"/>
    <n v="38749.1"/>
    <s v="Completed"/>
    <s v="Pune"/>
    <s v="Electronics"/>
    <m/>
    <s v="SMB"/>
    <n v="35"/>
    <s v="South"/>
    <s v="Apr-24"/>
  </r>
  <r>
    <s v="ORD-01105"/>
    <x v="289"/>
    <s v="CUST-0224"/>
    <s v="PROD-003"/>
    <s v="R022"/>
    <n v="7"/>
    <n v="3570"/>
    <n v="24.3"/>
    <n v="18917.43"/>
    <s v="Completed"/>
    <s v="Chennai"/>
    <s v="Electronics"/>
    <m/>
    <s v="Corporate"/>
    <n v="24"/>
    <s v="South"/>
    <s v="Mar-24"/>
  </r>
  <r>
    <s v="ORD-01106"/>
    <x v="28"/>
    <s v="CUST-0102"/>
    <s v="PROD-043"/>
    <s v="R017"/>
    <n v="1"/>
    <n v="3350"/>
    <n v="14.9"/>
    <n v="2850.85"/>
    <s v="Completed"/>
    <s v="Chennai"/>
    <s v="Beauty"/>
    <m/>
    <s v="SMB"/>
    <n v="62"/>
    <m/>
    <m/>
  </r>
  <r>
    <s v="ORD-01107"/>
    <x v="110"/>
    <s v="CUST-0151"/>
    <s v="PROD-017"/>
    <s v="R023"/>
    <n v="2"/>
    <n v="2510"/>
    <n v="10.6"/>
    <n v="4487.88"/>
    <s v="Completed"/>
    <s v="Mumbai"/>
    <s v="Apparel"/>
    <m/>
    <s v="Retail"/>
    <n v="53"/>
    <m/>
    <m/>
  </r>
  <r>
    <s v="ORD-01108"/>
    <x v="264"/>
    <s v="CUST-0182"/>
    <s v="PROD-030"/>
    <s v="R025"/>
    <n v="5"/>
    <n v="970"/>
    <n v="6.8"/>
    <n v="4520.2"/>
    <s v="Pending"/>
    <s v="Mumbai"/>
    <s v="Grocery"/>
    <m/>
    <s v="Retail"/>
    <n v="54"/>
    <m/>
    <m/>
  </r>
  <r>
    <s v="ORD-01109"/>
    <x v="281"/>
    <s v="CUST-0152"/>
    <s v="PROD-027"/>
    <s v="R002"/>
    <n v="5"/>
    <n v="3780"/>
    <n v="16.600000000000001"/>
    <n v="15762.6"/>
    <s v="Completed"/>
    <s v="Bengaluru"/>
    <s v="Grocery"/>
    <m/>
    <s v="SMB"/>
    <n v="64"/>
    <m/>
    <m/>
  </r>
  <r>
    <s v="ORD-01110"/>
    <x v="229"/>
    <s v="CUST-0247"/>
    <s v="PROD-017"/>
    <s v="R007"/>
    <n v="3"/>
    <n v="2510"/>
    <n v="24.9"/>
    <n v="5655.03"/>
    <s v="Cancelled"/>
    <s v="Pune"/>
    <s v="Apparel"/>
    <m/>
    <s v="SMB"/>
    <n v="35"/>
    <s v="North"/>
    <s v="Aug-24"/>
  </r>
  <r>
    <s v="ORD-01111"/>
    <x v="289"/>
    <s v="CUST-0220"/>
    <s v="PROD-033"/>
    <s v="R008"/>
    <n v="3"/>
    <n v="2030"/>
    <n v="3.8"/>
    <n v="5858.58"/>
    <s v="Completed"/>
    <s v="Chennai"/>
    <s v="Home"/>
    <m/>
    <s v="Retail"/>
    <n v="34"/>
    <s v="North"/>
    <s v="Mar-24"/>
  </r>
  <r>
    <s v="ORD-01112"/>
    <x v="35"/>
    <s v="CUST-0206"/>
    <s v="PROD-060"/>
    <s v="R014"/>
    <n v="9"/>
    <n v="190"/>
    <n v="5.4"/>
    <n v="1617.66"/>
    <s v="Completed"/>
    <s v="Mumbai"/>
    <s v="Sports"/>
    <m/>
    <s v="Retail"/>
    <n v="40"/>
    <s v="North"/>
    <s v="Sep-24"/>
  </r>
  <r>
    <s v="ORD-01113"/>
    <x v="200"/>
    <s v="CUST-0219"/>
    <s v="PROD-029"/>
    <s v="R020"/>
    <n v="6"/>
    <n v="2210"/>
    <n v="29.4"/>
    <n v="9361.56"/>
    <s v="Completed"/>
    <s v="Chennai"/>
    <s v="Grocery"/>
    <m/>
    <s v="Corporate"/>
    <n v="38"/>
    <s v="South"/>
    <s v="Jul-24"/>
  </r>
  <r>
    <s v="ORD-01114"/>
    <x v="14"/>
    <s v="CUST-0298"/>
    <s v="PROD-013"/>
    <s v="R005"/>
    <n v="4"/>
    <n v="3640"/>
    <n v="0.6"/>
    <n v="14472.64"/>
    <s v="Completed"/>
    <s v="Delhi"/>
    <s v="Apparel"/>
    <m/>
    <s v="Retail"/>
    <n v="44"/>
    <m/>
    <m/>
  </r>
  <r>
    <s v="ORD-01115"/>
    <x v="17"/>
    <s v="CUST-0254"/>
    <s v="PROD-009"/>
    <s v="R009"/>
    <n v="9"/>
    <n v="1220"/>
    <n v="24.1"/>
    <n v="8333.82"/>
    <s v="Completed"/>
    <s v="Bengaluru"/>
    <s v="Electronics"/>
    <m/>
    <s v="Retail"/>
    <n v="35"/>
    <s v="North"/>
    <s v="Sep-24"/>
  </r>
  <r>
    <s v="ORD-01116"/>
    <x v="73"/>
    <s v="CUST-0085"/>
    <s v="PROD-056"/>
    <s v="R009"/>
    <n v="2"/>
    <n v="6940"/>
    <n v="27"/>
    <n v="10132.4"/>
    <s v="Completed"/>
    <s v="Chennai"/>
    <s v="Sports"/>
    <m/>
    <s v="Retail"/>
    <n v="26"/>
    <s v="South"/>
    <s v="Nov-24"/>
  </r>
  <r>
    <s v="ORD-01117"/>
    <x v="117"/>
    <s v="CUST-0181"/>
    <s v="PROD-055"/>
    <s v="R010"/>
    <n v="6"/>
    <n v="2860"/>
    <n v="6.6"/>
    <n v="16027.44"/>
    <s v="Completed"/>
    <s v="Delhi"/>
    <s v="Sports"/>
    <m/>
    <s v="SMB"/>
    <n v="38"/>
    <s v="South"/>
    <s v="Apr-24"/>
  </r>
  <r>
    <s v="ORD-01118"/>
    <x v="182"/>
    <s v="CUST-0143"/>
    <s v="PROD-015"/>
    <s v="R018"/>
    <n v="5"/>
    <n v="2720"/>
    <n v="21.4"/>
    <n v="10689.6"/>
    <s v="Completed"/>
    <s v="Chennai"/>
    <s v="Apparel"/>
    <m/>
    <s v="SMB"/>
    <n v="52"/>
    <m/>
    <m/>
  </r>
  <r>
    <s v="ORD-01119"/>
    <x v="338"/>
    <s v="CUST-0263"/>
    <s v="PROD-020"/>
    <s v="R006"/>
    <n v="5"/>
    <n v="820"/>
    <n v="28.6"/>
    <n v="2927.4"/>
    <s v="Completed"/>
    <s v="Mumbai"/>
    <s v="Apparel"/>
    <m/>
    <s v="Retail"/>
    <n v="40"/>
    <s v="East"/>
    <s v="Sep-24"/>
  </r>
  <r>
    <s v="ORD-01120"/>
    <x v="135"/>
    <s v="CUST-0105"/>
    <s v="PROD-042"/>
    <s v="R022"/>
    <n v="6"/>
    <n v="2290"/>
    <n v="18.8"/>
    <n v="11156.88"/>
    <s v="Completed"/>
    <s v="Chennai"/>
    <s v="Beauty"/>
    <m/>
    <s v="SMB"/>
    <n v="51"/>
    <m/>
    <m/>
  </r>
  <r>
    <s v="ORD-01121"/>
    <x v="18"/>
    <s v="CUST-0256"/>
    <s v="PROD-047"/>
    <s v="R021"/>
    <n v="6"/>
    <n v="3450"/>
    <n v="28.4"/>
    <n v="14821.2"/>
    <s v="Completed"/>
    <s v="Hyderabad"/>
    <s v="Beauty"/>
    <m/>
    <s v="Retail"/>
    <n v="28"/>
    <s v="East"/>
    <s v="Jul-24"/>
  </r>
  <r>
    <s v="ORD-01122"/>
    <x v="1"/>
    <s v="CUST-0260"/>
    <s v="PROD-033"/>
    <s v="R002"/>
    <n v="10"/>
    <n v="2030"/>
    <n v="8"/>
    <n v="18676"/>
    <s v="Completed"/>
    <s v="Bengaluru"/>
    <s v="Home"/>
    <m/>
    <s v="Retail"/>
    <n v="42"/>
    <m/>
    <m/>
  </r>
  <r>
    <s v="ORD-01123"/>
    <x v="239"/>
    <s v="CUST-0233"/>
    <s v="PROD-058"/>
    <s v="R022"/>
    <n v="1"/>
    <n v="2400"/>
    <n v="9.6999999999999993"/>
    <n v="2167.1999999999998"/>
    <s v="Completed"/>
    <s v="Mumbai"/>
    <s v="Sports"/>
    <m/>
    <s v="SMB"/>
    <n v="65"/>
    <m/>
    <m/>
  </r>
  <r>
    <s v="ORD-01124"/>
    <x v="264"/>
    <s v="CUST-0183"/>
    <s v="PROD-033"/>
    <s v="R014"/>
    <n v="4"/>
    <n v="2030"/>
    <n v="24.8"/>
    <n v="6106.24"/>
    <s v="Pending"/>
    <s v="Mumbai"/>
    <s v="Home"/>
    <m/>
    <s v="SMB"/>
    <n v="27"/>
    <s v="East"/>
    <s v="Mar-24"/>
  </r>
  <r>
    <s v="ORD-01125"/>
    <x v="191"/>
    <s v="CUST-0142"/>
    <s v="PROD-025"/>
    <s v="R002"/>
    <n v="5"/>
    <n v="4060"/>
    <n v="9.1"/>
    <n v="18452.7"/>
    <s v="Pending"/>
    <s v="Chennai"/>
    <s v="Grocery"/>
    <m/>
    <s v="Corporate"/>
    <n v="55"/>
    <m/>
    <m/>
  </r>
  <r>
    <s v="ORD-01126"/>
    <x v="334"/>
    <s v="CUST-0150"/>
    <s v="PROD-033"/>
    <s v="R013"/>
    <n v="9"/>
    <n v="2030"/>
    <n v="15.9"/>
    <n v="15365.07"/>
    <s v="Pending"/>
    <s v="Pune"/>
    <s v="Home"/>
    <m/>
    <s v="SMB"/>
    <n v="53"/>
    <m/>
    <m/>
  </r>
  <r>
    <s v="ORD-01127"/>
    <x v="201"/>
    <s v="CUST-0001"/>
    <s v="PROD-043"/>
    <s v="R014"/>
    <n v="1"/>
    <n v="3350"/>
    <n v="23.2"/>
    <n v="2572.8000000000002"/>
    <s v="Refunded"/>
    <s v="Pune"/>
    <s v="Beauty"/>
    <m/>
    <s v="Retail"/>
    <n v="36"/>
    <s v="South"/>
    <s v="May-24"/>
  </r>
  <r>
    <s v="ORD-01128"/>
    <x v="287"/>
    <s v="CUST-0104"/>
    <s v="PROD-037"/>
    <s v="R006"/>
    <n v="4"/>
    <n v="660"/>
    <n v="27.1"/>
    <n v="1924.56"/>
    <s v="Completed"/>
    <s v="Hyderabad"/>
    <s v="Home"/>
    <m/>
    <s v="Corporate"/>
    <n v="43"/>
    <m/>
    <m/>
  </r>
  <r>
    <s v="ORD-01129"/>
    <x v="236"/>
    <s v="CUST-0261"/>
    <s v="PROD-045"/>
    <s v="R014"/>
    <n v="3"/>
    <n v="3020"/>
    <n v="7.2"/>
    <n v="8407.68"/>
    <s v="Completed"/>
    <s v="Delhi"/>
    <s v="Beauty"/>
    <m/>
    <s v="Retail"/>
    <n v="54"/>
    <m/>
    <m/>
  </r>
  <r>
    <s v="ORD-01130"/>
    <x v="132"/>
    <s v="CUST-0010"/>
    <s v="PROD-008"/>
    <s v="R006"/>
    <n v="3"/>
    <n v="2660"/>
    <n v="0.2"/>
    <n v="7964.04"/>
    <s v="Completed"/>
    <s v="Mumbai"/>
    <s v="Electronics"/>
    <m/>
    <s v="SMB"/>
    <n v="61"/>
    <m/>
    <m/>
  </r>
  <r>
    <s v="ORD-01131"/>
    <x v="181"/>
    <s v="CUST-0237"/>
    <s v="PROD-054"/>
    <s v="R006"/>
    <n v="4"/>
    <n v="1010"/>
    <n v="3.1"/>
    <n v="3914.76"/>
    <s v="Completed"/>
    <s v="Mumbai"/>
    <s v="Sports"/>
    <m/>
    <s v="Retail"/>
    <n v="49"/>
    <m/>
    <m/>
  </r>
  <r>
    <s v="ORD-01132"/>
    <x v="82"/>
    <s v="CUST-0128"/>
    <s v="PROD-038"/>
    <s v="R017"/>
    <n v="5"/>
    <n v="5490"/>
    <n v="3.6"/>
    <n v="26461.8"/>
    <s v="Completed"/>
    <s v="Hyderabad"/>
    <s v="Home"/>
    <m/>
    <s v="Retail"/>
    <n v="35"/>
    <s v="North"/>
    <s v="Dec-24"/>
  </r>
  <r>
    <s v="ORD-01133"/>
    <x v="94"/>
    <s v="CUST-0182"/>
    <s v="PROD-058"/>
    <s v="R019"/>
    <n v="1"/>
    <n v="2400"/>
    <n v="24.3"/>
    <n v="1816.8"/>
    <s v="Completed"/>
    <s v="Mumbai"/>
    <s v="Sports"/>
    <m/>
    <s v="Retail"/>
    <n v="54"/>
    <m/>
    <m/>
  </r>
  <r>
    <s v="ORD-01134"/>
    <x v="147"/>
    <s v="CUST-0131"/>
    <s v="PROD-037"/>
    <s v="R009"/>
    <n v="8"/>
    <n v="660"/>
    <n v="19.8"/>
    <n v="4234.5600000000004"/>
    <s v="Completed"/>
    <s v="Delhi"/>
    <s v="Home"/>
    <m/>
    <s v="SMB"/>
    <n v="28"/>
    <s v="East"/>
    <s v="Jan-24"/>
  </r>
  <r>
    <s v="ORD-01135"/>
    <x v="172"/>
    <s v="CUST-0023"/>
    <s v="PROD-001"/>
    <s v="R016"/>
    <n v="9"/>
    <n v="5330"/>
    <n v="16.5"/>
    <n v="40054.949999999997"/>
    <s v="Completed"/>
    <s v="Chennai"/>
    <s v="Electronics"/>
    <m/>
    <s v="SMB"/>
    <n v="43"/>
    <m/>
    <m/>
  </r>
  <r>
    <s v="ORD-01136"/>
    <x v="340"/>
    <s v="CUST-0171"/>
    <s v="PROD-002"/>
    <s v="R007"/>
    <n v="5"/>
    <n v="2600"/>
    <n v="0.3"/>
    <n v="12961"/>
    <s v="Completed"/>
    <s v="Chennai"/>
    <s v="Electronics"/>
    <m/>
    <s v="Corporate"/>
    <n v="30"/>
    <s v="South"/>
    <s v="Jul-24"/>
  </r>
  <r>
    <s v="ORD-01137"/>
    <x v="32"/>
    <s v="CUST-0116"/>
    <s v="PROD-034"/>
    <s v="R018"/>
    <n v="4"/>
    <n v="5080"/>
    <n v="13.8"/>
    <n v="17515.84"/>
    <s v="Pending"/>
    <s v="Bengaluru"/>
    <s v="Home"/>
    <m/>
    <s v="Retail"/>
    <n v="53"/>
    <m/>
    <m/>
  </r>
  <r>
    <s v="ORD-01138"/>
    <x v="100"/>
    <s v="CUST-0021"/>
    <s v="PROD-023"/>
    <s v="R002"/>
    <n v="7"/>
    <n v="2380"/>
    <n v="15.5"/>
    <n v="14077.7"/>
    <s v="Completed"/>
    <s v="Pune"/>
    <s v="Grocery"/>
    <m/>
    <s v="Retail"/>
    <n v="44"/>
    <m/>
    <m/>
  </r>
  <r>
    <s v="ORD-01139"/>
    <x v="83"/>
    <s v="CUST-0234"/>
    <s v="PROD-046"/>
    <s v="R006"/>
    <n v="3"/>
    <n v="4880"/>
    <n v="6.1"/>
    <n v="13746.96"/>
    <s v="Completed"/>
    <s v="Bengaluru"/>
    <s v="Beauty"/>
    <m/>
    <s v="Retail"/>
    <n v="34"/>
    <s v="North"/>
    <s v="Nov-24"/>
  </r>
  <r>
    <s v="ORD-01140"/>
    <x v="36"/>
    <s v="CUST-0225"/>
    <s v="PROD-043"/>
    <s v="R009"/>
    <n v="2"/>
    <n v="3350"/>
    <n v="17.2"/>
    <n v="5547.6"/>
    <s v="Completed"/>
    <s v="Chennai"/>
    <s v="Beauty"/>
    <m/>
    <s v="SMB"/>
    <n v="26"/>
    <s v="North"/>
    <s v="Dec-24"/>
  </r>
  <r>
    <s v="ORD-01141"/>
    <x v="238"/>
    <s v="CUST-0268"/>
    <s v="PROD-030"/>
    <s v="R024"/>
    <n v="5"/>
    <n v="970"/>
    <n v="23.6"/>
    <n v="3705.4"/>
    <s v="Completed"/>
    <s v="Chennai"/>
    <s v="Grocery"/>
    <m/>
    <s v="Retail"/>
    <n v="35"/>
    <s v="South"/>
    <s v="Mar-24"/>
  </r>
  <r>
    <s v="ORD-01142"/>
    <x v="215"/>
    <s v="CUST-0248"/>
    <s v="PROD-005"/>
    <s v="R022"/>
    <n v="5"/>
    <n v="300"/>
    <n v="3.8"/>
    <n v="1443"/>
    <s v="Completed"/>
    <s v="Chennai"/>
    <s v="Electronics"/>
    <m/>
    <s v="SMB"/>
    <n v="57"/>
    <m/>
    <m/>
  </r>
  <r>
    <s v="ORD-01143"/>
    <x v="243"/>
    <s v="CUST-0026"/>
    <s v="PROD-006"/>
    <s v="R005"/>
    <n v="9"/>
    <n v="3970"/>
    <n v="0.8"/>
    <n v="35444.160000000003"/>
    <s v="Completed"/>
    <s v="Pune"/>
    <s v="Electronics"/>
    <m/>
    <s v="Retail"/>
    <n v="62"/>
    <m/>
    <m/>
  </r>
  <r>
    <s v="ORD-01144"/>
    <x v="242"/>
    <s v="CUST-0257"/>
    <s v="PROD-015"/>
    <s v="R013"/>
    <n v="4"/>
    <n v="2720"/>
    <n v="12.7"/>
    <n v="9498.24"/>
    <s v="Completed"/>
    <s v="Mumbai"/>
    <s v="Apparel"/>
    <m/>
    <s v="Corporate"/>
    <n v="46"/>
    <m/>
    <m/>
  </r>
  <r>
    <s v="ORD-01145"/>
    <x v="249"/>
    <s v="CUST-0258"/>
    <s v="PROD-016"/>
    <s v="R021"/>
    <n v="3"/>
    <n v="620"/>
    <n v="5.5"/>
    <n v="1757.7"/>
    <s v="Completed"/>
    <s v="Pune"/>
    <s v="Apparel"/>
    <m/>
    <s v="Retail"/>
    <n v="44"/>
    <m/>
    <m/>
  </r>
  <r>
    <s v="ORD-01146"/>
    <x v="319"/>
    <s v="CUST-0142"/>
    <s v="PROD-041"/>
    <s v="R024"/>
    <n v="2"/>
    <n v="1540"/>
    <n v="2.2000000000000002"/>
    <n v="3012.24"/>
    <s v="Pending"/>
    <s v="Chennai"/>
    <s v="Beauty"/>
    <m/>
    <s v="Corporate"/>
    <n v="55"/>
    <m/>
    <m/>
  </r>
  <r>
    <s v="ORD-01147"/>
    <x v="166"/>
    <s v="CUST-0020"/>
    <s v="PROD-042"/>
    <s v="R026"/>
    <n v="1"/>
    <n v="2290"/>
    <n v="24.4"/>
    <n v="1731.24"/>
    <s v="Cancelled"/>
    <s v="Hyderabad"/>
    <s v="Beauty"/>
    <m/>
    <s v="Retail"/>
    <n v="46"/>
    <m/>
    <m/>
  </r>
  <r>
    <s v="ORD-01148"/>
    <x v="343"/>
    <s v="CUST-0016"/>
    <s v="PROD-015"/>
    <s v="R018"/>
    <n v="8"/>
    <n v="2720"/>
    <n v="1.7"/>
    <n v="21390.080000000002"/>
    <s v="Completed"/>
    <s v="Delhi"/>
    <s v="Apparel"/>
    <m/>
    <s v="SMB"/>
    <n v="26"/>
    <s v="West"/>
    <s v="Aug-24"/>
  </r>
  <r>
    <s v="ORD-01149"/>
    <x v="69"/>
    <s v="CUST-0288"/>
    <s v="PROD-025"/>
    <s v="R023"/>
    <n v="4"/>
    <n v="4060"/>
    <n v="19.600000000000001"/>
    <n v="13056.96"/>
    <s v="Cancelled"/>
    <s v="Hyderabad"/>
    <s v="Grocery"/>
    <m/>
    <s v="Corporate"/>
    <n v="25"/>
    <s v="East"/>
    <s v="Jan-24"/>
  </r>
  <r>
    <s v="ORD-01150"/>
    <x v="43"/>
    <s v="CUST-0133"/>
    <s v="PROD-003"/>
    <s v="R016"/>
    <n v="8"/>
    <n v="3570"/>
    <n v="10.8"/>
    <n v="25475.52"/>
    <s v="Completed"/>
    <s v="Chennai"/>
    <s v="Electronics"/>
    <m/>
    <s v="Retail"/>
    <n v="26"/>
    <s v="East"/>
    <s v="Apr-24"/>
  </r>
  <r>
    <s v="ORD-01151"/>
    <x v="258"/>
    <s v="CUST-0192"/>
    <s v="PROD-051"/>
    <s v="R004"/>
    <n v="10"/>
    <n v="3450"/>
    <n v="13.5"/>
    <n v="29842.5"/>
    <s v="Pending"/>
    <s v="Bengaluru"/>
    <s v="Sports"/>
    <m/>
    <s v="Retail"/>
    <n v="55"/>
    <m/>
    <m/>
  </r>
  <r>
    <s v="ORD-01152"/>
    <x v="277"/>
    <s v="CUST-0298"/>
    <s v="PROD-010"/>
    <s v="R007"/>
    <n v="10"/>
    <n v="2640"/>
    <n v="29.8"/>
    <n v="18532.8"/>
    <s v="Completed"/>
    <s v="Delhi"/>
    <s v="Electronics"/>
    <m/>
    <s v="Retail"/>
    <n v="44"/>
    <m/>
    <m/>
  </r>
  <r>
    <s v="ORD-01153"/>
    <x v="204"/>
    <s v="CUST-0088"/>
    <s v="PROD-032"/>
    <s v="R009"/>
    <n v="3"/>
    <n v="370"/>
    <n v="25.5"/>
    <n v="826.95"/>
    <s v="Completed"/>
    <s v="Chennai"/>
    <s v="Home"/>
    <m/>
    <s v="Retail"/>
    <n v="24"/>
    <s v="North"/>
    <s v="Jun-24"/>
  </r>
  <r>
    <s v="ORD-01154"/>
    <x v="180"/>
    <s v="CUST-0274"/>
    <s v="PROD-009"/>
    <s v="R030"/>
    <n v="3"/>
    <n v="1220"/>
    <n v="7.7"/>
    <n v="3378.18"/>
    <s v="Pending"/>
    <s v="Bengaluru"/>
    <s v="Electronics"/>
    <m/>
    <s v="Corporate"/>
    <n v="36"/>
    <s v="South"/>
    <s v="Nov-24"/>
  </r>
  <r>
    <s v="ORD-01155"/>
    <x v="59"/>
    <s v="CUST-0165"/>
    <s v="PROD-010"/>
    <s v="R022"/>
    <n v="1"/>
    <n v="2640"/>
    <n v="23.6"/>
    <n v="2016.96"/>
    <s v="Completed"/>
    <s v="Pune"/>
    <s v="Electronics"/>
    <m/>
    <s v="Retail"/>
    <n v="29"/>
    <s v="West"/>
    <s v="Dec-24"/>
  </r>
  <r>
    <s v="ORD-01156"/>
    <x v="232"/>
    <s v="CUST-0275"/>
    <s v="PROD-048"/>
    <s v="R011"/>
    <n v="9"/>
    <n v="5100"/>
    <n v="9.5"/>
    <n v="41539.5"/>
    <s v="Completed"/>
    <s v="Mumbai"/>
    <s v="Beauty"/>
    <m/>
    <s v="Retail"/>
    <n v="36"/>
    <s v="East"/>
    <s v="Jul-24"/>
  </r>
  <r>
    <s v="ORD-01157"/>
    <x v="347"/>
    <s v="CUST-0225"/>
    <s v="PROD-050"/>
    <s v="R008"/>
    <n v="7"/>
    <n v="6080"/>
    <n v="17.5"/>
    <n v="35112"/>
    <s v="Completed"/>
    <s v="Chennai"/>
    <s v="Beauty"/>
    <m/>
    <s v="SMB"/>
    <n v="26"/>
    <s v="South"/>
    <s v="Sep-24"/>
  </r>
  <r>
    <s v="ORD-01158"/>
    <x v="341"/>
    <s v="CUST-0059"/>
    <s v="PROD-005"/>
    <s v="R026"/>
    <n v="1"/>
    <n v="300"/>
    <n v="26.9"/>
    <n v="219.3"/>
    <s v="Completed"/>
    <s v="Pune"/>
    <s v="Electronics"/>
    <m/>
    <s v="Corporate"/>
    <n v="29"/>
    <s v="North"/>
    <s v="May-24"/>
  </r>
  <r>
    <s v="ORD-01159"/>
    <x v="181"/>
    <s v="CUST-0149"/>
    <s v="PROD-045"/>
    <s v="R020"/>
    <n v="6"/>
    <n v="3020"/>
    <n v="28.5"/>
    <n v="12955.8"/>
    <s v="Completed"/>
    <s v="Hyderabad"/>
    <s v="Beauty"/>
    <m/>
    <s v="Retail"/>
    <n v="44"/>
    <m/>
    <m/>
  </r>
  <r>
    <s v="ORD-01160"/>
    <x v="137"/>
    <s v="CUST-0283"/>
    <s v="PROD-005"/>
    <s v="R018"/>
    <n v="8"/>
    <n v="300"/>
    <n v="1.2"/>
    <n v="2371.1999999999998"/>
    <s v="Completed"/>
    <s v="Delhi"/>
    <s v="Electronics"/>
    <m/>
    <s v="SMB"/>
    <n v="50"/>
    <m/>
    <m/>
  </r>
  <r>
    <s v="ORD-01161"/>
    <x v="271"/>
    <s v="CUST-0039"/>
    <s v="PROD-043"/>
    <s v="R011"/>
    <n v="9"/>
    <n v="3350"/>
    <n v="0.6"/>
    <n v="29969.1"/>
    <s v="Refunded"/>
    <s v="Bengaluru"/>
    <s v="Beauty"/>
    <m/>
    <s v="Retail"/>
    <n v="37"/>
    <s v="East"/>
    <s v="Jan-24"/>
  </r>
  <r>
    <s v="ORD-01162"/>
    <x v="319"/>
    <s v="CUST-0046"/>
    <s v="PROD-026"/>
    <s v="R024"/>
    <n v="4"/>
    <n v="4070"/>
    <n v="10.1"/>
    <n v="14635.72"/>
    <s v="Completed"/>
    <s v="Delhi"/>
    <s v="Grocery"/>
    <m/>
    <s v="SMB"/>
    <n v="45"/>
    <m/>
    <m/>
  </r>
  <r>
    <s v="ORD-01163"/>
    <x v="105"/>
    <s v="CUST-0105"/>
    <s v="PROD-059"/>
    <s v="R024"/>
    <n v="9"/>
    <n v="3780"/>
    <n v="27.8"/>
    <n v="24562.44"/>
    <s v="Cancelled"/>
    <s v="Chennai"/>
    <s v="Sports"/>
    <m/>
    <s v="SMB"/>
    <n v="51"/>
    <m/>
    <m/>
  </r>
  <r>
    <s v="ORD-01164"/>
    <x v="192"/>
    <s v="CUST-0006"/>
    <s v="PROD-040"/>
    <s v="R030"/>
    <n v="6"/>
    <n v="1080"/>
    <n v="17.5"/>
    <n v="5346"/>
    <s v="Completed"/>
    <s v="Pune"/>
    <s v="Home"/>
    <m/>
    <s v="SMB"/>
    <n v="44"/>
    <m/>
    <m/>
  </r>
  <r>
    <s v="ORD-01165"/>
    <x v="348"/>
    <s v="CUST-0192"/>
    <s v="PROD-002"/>
    <s v="R023"/>
    <n v="3"/>
    <n v="2600"/>
    <n v="1.9"/>
    <n v="7651.8"/>
    <s v="Completed"/>
    <s v="Bengaluru"/>
    <s v="Electronics"/>
    <m/>
    <s v="Retail"/>
    <n v="55"/>
    <m/>
    <m/>
  </r>
  <r>
    <s v="ORD-01166"/>
    <x v="67"/>
    <s v="CUST-0290"/>
    <s v="PROD-015"/>
    <s v="R008"/>
    <n v="5"/>
    <n v="2720"/>
    <n v="1.8"/>
    <n v="13355.2"/>
    <s v="Cancelled"/>
    <s v="Delhi"/>
    <s v="Apparel"/>
    <m/>
    <s v="Retail"/>
    <n v="63"/>
    <m/>
    <m/>
  </r>
  <r>
    <s v="ORD-01167"/>
    <x v="270"/>
    <s v="CUST-0287"/>
    <s v="PROD-028"/>
    <s v="R012"/>
    <n v="8"/>
    <n v="3660"/>
    <n v="29.5"/>
    <n v="20642.400000000001"/>
    <s v="Completed"/>
    <s v="Chennai"/>
    <s v="Grocery"/>
    <m/>
    <s v="SMB"/>
    <n v="53"/>
    <m/>
    <m/>
  </r>
  <r>
    <s v="ORD-01168"/>
    <x v="237"/>
    <s v="CUST-0025"/>
    <s v="PROD-044"/>
    <s v="R005"/>
    <n v="9"/>
    <n v="1650"/>
    <n v="19.8"/>
    <n v="11909.7"/>
    <s v="Refunded"/>
    <s v="Bengaluru"/>
    <s v="Beauty"/>
    <m/>
    <s v="Retail"/>
    <n v="23"/>
    <s v="South"/>
    <s v="Jul-24"/>
  </r>
  <r>
    <s v="ORD-01169"/>
    <x v="349"/>
    <s v="CUST-0139"/>
    <s v="PROD-055"/>
    <s v="R019"/>
    <n v="3"/>
    <n v="2860"/>
    <n v="22.7"/>
    <n v="6632.34"/>
    <s v="Completed"/>
    <s v="Hyderabad"/>
    <s v="Sports"/>
    <m/>
    <s v="SMB"/>
    <n v="65"/>
    <m/>
    <m/>
  </r>
  <r>
    <s v="ORD-01170"/>
    <x v="335"/>
    <s v="CUST-0278"/>
    <s v="PROD-051"/>
    <s v="R025"/>
    <n v="4"/>
    <n v="3450"/>
    <n v="9.1999999999999993"/>
    <n v="12530.4"/>
    <s v="Completed"/>
    <s v="Hyderabad"/>
    <s v="Sports"/>
    <m/>
    <s v="Retail"/>
    <n v="41"/>
    <m/>
    <m/>
  </r>
  <r>
    <s v="ORD-01171"/>
    <x v="171"/>
    <s v="CUST-0258"/>
    <s v="PROD-033"/>
    <s v="R003"/>
    <n v="4"/>
    <n v="2030"/>
    <n v="17.100000000000001"/>
    <n v="6731.48"/>
    <s v="Completed"/>
    <s v="Pune"/>
    <s v="Home"/>
    <m/>
    <s v="Retail"/>
    <n v="44"/>
    <m/>
    <m/>
  </r>
  <r>
    <s v="ORD-01172"/>
    <x v="24"/>
    <s v="CUST-0106"/>
    <s v="PROD-022"/>
    <s v="R016"/>
    <n v="4"/>
    <n v="2270"/>
    <n v="27.3"/>
    <n v="6601.16"/>
    <s v="Completed"/>
    <s v="Pune"/>
    <s v="Grocery"/>
    <m/>
    <s v="Retail"/>
    <n v="22"/>
    <s v="North"/>
    <s v="Apr-24"/>
  </r>
  <r>
    <s v="ORD-01173"/>
    <x v="41"/>
    <s v="CUST-0009"/>
    <s v="PROD-034"/>
    <s v="R013"/>
    <n v="9"/>
    <n v="5080"/>
    <n v="10.9"/>
    <n v="40736.519999999997"/>
    <s v="Completed"/>
    <s v="Mumbai"/>
    <s v="Home"/>
    <m/>
    <s v="Retail"/>
    <n v="61"/>
    <m/>
    <m/>
  </r>
  <r>
    <s v="ORD-01174"/>
    <x v="341"/>
    <s v="CUST-0209"/>
    <s v="PROD-026"/>
    <s v="R029"/>
    <n v="8"/>
    <n v="4070"/>
    <n v="17.7"/>
    <n v="26796.880000000001"/>
    <s v="Completed"/>
    <s v="Pune"/>
    <s v="Grocery"/>
    <m/>
    <s v="Retail"/>
    <n v="31"/>
    <s v="South"/>
    <s v="Mar-24"/>
  </r>
  <r>
    <s v="ORD-01175"/>
    <x v="332"/>
    <s v="CUST-0111"/>
    <s v="PROD-041"/>
    <s v="R005"/>
    <n v="1"/>
    <n v="1540"/>
    <n v="0.9"/>
    <n v="1526.14"/>
    <s v="Completed"/>
    <s v="Chennai"/>
    <s v="Beauty"/>
    <m/>
    <s v="SMB"/>
    <n v="64"/>
    <m/>
    <m/>
  </r>
  <r>
    <s v="ORD-01176"/>
    <x v="104"/>
    <s v="CUST-0014"/>
    <s v="PROD-048"/>
    <s v="R024"/>
    <n v="10"/>
    <n v="5100"/>
    <n v="3"/>
    <n v="49470"/>
    <s v="Completed"/>
    <s v="Bengaluru"/>
    <s v="Beauty"/>
    <m/>
    <s v="Retail"/>
    <n v="48"/>
    <m/>
    <m/>
  </r>
  <r>
    <s v="ORD-01177"/>
    <x v="165"/>
    <s v="CUST-0073"/>
    <s v="PROD-014"/>
    <s v="R006"/>
    <n v="6"/>
    <n v="3620"/>
    <n v="20.2"/>
    <n v="17332.560000000001"/>
    <s v="Completed"/>
    <s v="Pune"/>
    <s v="Apparel"/>
    <m/>
    <s v="Corporate"/>
    <n v="40"/>
    <s v="West"/>
    <s v="May-24"/>
  </r>
  <r>
    <s v="ORD-01178"/>
    <x v="258"/>
    <s v="CUST-0147"/>
    <s v="PROD-046"/>
    <s v="R003"/>
    <n v="7"/>
    <n v="4880"/>
    <n v="5"/>
    <n v="32452"/>
    <s v="Completed"/>
    <s v="Pune"/>
    <s v="Beauty"/>
    <m/>
    <s v="Retail"/>
    <n v="56"/>
    <m/>
    <m/>
  </r>
  <r>
    <s v="ORD-01179"/>
    <x v="22"/>
    <s v="CUST-0006"/>
    <s v="PROD-010"/>
    <s v="R024"/>
    <n v="1"/>
    <n v="2640"/>
    <n v="4.0999999999999996"/>
    <n v="2531.7600000000002"/>
    <s v="Completed"/>
    <s v="Pune"/>
    <s v="Electronics"/>
    <m/>
    <s v="SMB"/>
    <n v="44"/>
    <m/>
    <m/>
  </r>
  <r>
    <s v="ORD-01180"/>
    <x v="118"/>
    <s v="CUST-0031"/>
    <s v="PROD-026"/>
    <s v="R020"/>
    <n v="9"/>
    <n v="4070"/>
    <n v="4.4000000000000004"/>
    <n v="35018.28"/>
    <s v="Completed"/>
    <s v="Hyderabad"/>
    <s v="Grocery"/>
    <m/>
    <s v="Retail"/>
    <n v="53"/>
    <m/>
    <m/>
  </r>
  <r>
    <s v="ORD-01181"/>
    <x v="7"/>
    <s v="CUST-0084"/>
    <s v="PROD-003"/>
    <s v="R025"/>
    <n v="9"/>
    <n v="3570"/>
    <n v="24.8"/>
    <n v="24161.759999999998"/>
    <s v="Completed"/>
    <s v="Chennai"/>
    <s v="Electronics"/>
    <m/>
    <s v="Retail"/>
    <n v="28"/>
    <s v="East"/>
    <s v="Aug-24"/>
  </r>
  <r>
    <s v="ORD-01182"/>
    <x v="19"/>
    <s v="CUST-0203"/>
    <s v="PROD-043"/>
    <s v="R005"/>
    <n v="10"/>
    <n v="3350"/>
    <n v="25.1"/>
    <n v="25091.5"/>
    <s v="Cancelled"/>
    <s v="Chennai"/>
    <s v="Beauty"/>
    <m/>
    <s v="SMB"/>
    <n v="55"/>
    <m/>
    <m/>
  </r>
  <r>
    <s v="ORD-01183"/>
    <x v="246"/>
    <s v="CUST-0138"/>
    <s v="PROD-059"/>
    <s v="R025"/>
    <n v="3"/>
    <n v="3780"/>
    <n v="3.8"/>
    <n v="10909.08"/>
    <s v="Completed"/>
    <s v="Chennai"/>
    <s v="Sports"/>
    <m/>
    <s v="Retail"/>
    <n v="24"/>
    <s v="North"/>
    <s v="Jun-24"/>
  </r>
  <r>
    <s v="ORD-01184"/>
    <x v="330"/>
    <s v="CUST-0157"/>
    <s v="PROD-003"/>
    <s v="R008"/>
    <n v="4"/>
    <n v="3570"/>
    <n v="0.9"/>
    <n v="14151.48"/>
    <s v="Pending"/>
    <s v="Pune"/>
    <s v="Electronics"/>
    <m/>
    <s v="Corporate"/>
    <n v="52"/>
    <m/>
    <m/>
  </r>
  <r>
    <s v="ORD-01185"/>
    <x v="295"/>
    <s v="CUST-0298"/>
    <s v="PROD-055"/>
    <s v="R024"/>
    <n v="5"/>
    <n v="2860"/>
    <n v="20.100000000000001"/>
    <n v="11425.7"/>
    <s v="Completed"/>
    <s v="Delhi"/>
    <s v="Sports"/>
    <m/>
    <s v="Retail"/>
    <n v="44"/>
    <m/>
    <m/>
  </r>
  <r>
    <s v="ORD-01186"/>
    <x v="79"/>
    <s v="CUST-0132"/>
    <s v="PROD-016"/>
    <s v="R003"/>
    <n v="1"/>
    <n v="620"/>
    <n v="1.1000000000000001"/>
    <n v="613.17999999999995"/>
    <s v="Cancelled"/>
    <s v="Delhi"/>
    <s v="Apparel"/>
    <m/>
    <s v="Retail"/>
    <n v="41"/>
    <m/>
    <m/>
  </r>
  <r>
    <s v="ORD-01187"/>
    <x v="39"/>
    <s v="CUST-0006"/>
    <s v="PROD-003"/>
    <s v="R012"/>
    <n v="1"/>
    <n v="3570"/>
    <n v="11.1"/>
    <n v="3173.73"/>
    <s v="Cancelled"/>
    <s v="Pune"/>
    <s v="Electronics"/>
    <m/>
    <s v="SMB"/>
    <n v="44"/>
    <m/>
    <m/>
  </r>
  <r>
    <s v="ORD-01188"/>
    <x v="317"/>
    <s v="CUST-0011"/>
    <s v="PROD-001"/>
    <s v="R012"/>
    <n v="1"/>
    <n v="5330"/>
    <n v="3.5"/>
    <n v="5143.45"/>
    <s v="Completed"/>
    <s v="Chennai"/>
    <s v="Electronics"/>
    <m/>
    <s v="Corporate"/>
    <n v="41"/>
    <m/>
    <m/>
  </r>
  <r>
    <s v="ORD-01189"/>
    <x v="333"/>
    <s v="CUST-0170"/>
    <s v="PROD-052"/>
    <s v="R018"/>
    <n v="7"/>
    <n v="5410"/>
    <n v="26.2"/>
    <n v="27948.06"/>
    <s v="Completed"/>
    <s v="Mumbai"/>
    <s v="Sports"/>
    <m/>
    <s v="SMB"/>
    <n v="22"/>
    <s v="South"/>
    <s v="Sep-24"/>
  </r>
  <r>
    <s v="ORD-01190"/>
    <x v="163"/>
    <s v="CUST-0109"/>
    <s v="PROD-034"/>
    <s v="R016"/>
    <n v="10"/>
    <n v="5080"/>
    <n v="3.7"/>
    <n v="48920.4"/>
    <s v="Pending"/>
    <s v="Pune"/>
    <s v="Home"/>
    <m/>
    <s v="Retail"/>
    <n v="42"/>
    <m/>
    <m/>
  </r>
  <r>
    <s v="ORD-01191"/>
    <x v="43"/>
    <s v="CUST-0066"/>
    <s v="PROD-003"/>
    <s v="R005"/>
    <n v="9"/>
    <n v="3570"/>
    <n v="5.6"/>
    <n v="30330.720000000001"/>
    <s v="Completed"/>
    <s v="Delhi"/>
    <s v="Electronics"/>
    <m/>
    <s v="Retail"/>
    <n v="24"/>
    <s v="South"/>
    <s v="Mar-24"/>
  </r>
  <r>
    <s v="ORD-01192"/>
    <x v="165"/>
    <s v="CUST-0055"/>
    <s v="PROD-030"/>
    <s v="R022"/>
    <n v="9"/>
    <n v="970"/>
    <n v="19.5"/>
    <n v="7027.65"/>
    <s v="Completed"/>
    <s v="Bengaluru"/>
    <s v="Grocery"/>
    <m/>
    <s v="Retail"/>
    <n v="34"/>
    <s v="North"/>
    <s v="Mar-24"/>
  </r>
  <r>
    <s v="ORD-01193"/>
    <x v="298"/>
    <s v="CUST-0298"/>
    <s v="PROD-005"/>
    <s v="R009"/>
    <n v="10"/>
    <n v="300"/>
    <n v="23"/>
    <n v="2310"/>
    <s v="Cancelled"/>
    <s v="Delhi"/>
    <s v="Electronics"/>
    <m/>
    <s v="Retail"/>
    <n v="44"/>
    <m/>
    <m/>
  </r>
  <r>
    <s v="ORD-01194"/>
    <x v="319"/>
    <s v="CUST-0024"/>
    <s v="PROD-050"/>
    <s v="R003"/>
    <n v="10"/>
    <n v="6080"/>
    <n v="3.9"/>
    <n v="58428.800000000003"/>
    <s v="Completed"/>
    <s v="Chennai"/>
    <s v="Beauty"/>
    <m/>
    <s v="SMB"/>
    <n v="64"/>
    <m/>
    <m/>
  </r>
  <r>
    <s v="ORD-01195"/>
    <x v="149"/>
    <s v="CUST-0008"/>
    <s v="PROD-048"/>
    <s v="R011"/>
    <n v="2"/>
    <n v="5100"/>
    <n v="11"/>
    <n v="9078"/>
    <s v="Completed"/>
    <s v="Pune"/>
    <s v="Beauty"/>
    <m/>
    <s v="SMB"/>
    <n v="39"/>
    <s v="North"/>
    <s v="Jul-24"/>
  </r>
  <r>
    <s v="ORD-01196"/>
    <x v="18"/>
    <s v="CUST-0070"/>
    <s v="PROD-011"/>
    <s v="R019"/>
    <n v="9"/>
    <n v="3450"/>
    <n v="23.7"/>
    <n v="23691.15"/>
    <s v="Completed"/>
    <s v="Mumbai"/>
    <s v="Apparel"/>
    <m/>
    <s v="Retail"/>
    <n v="42"/>
    <m/>
    <m/>
  </r>
  <r>
    <s v="ORD-01197"/>
    <x v="164"/>
    <s v="CUST-0270"/>
    <s v="PROD-019"/>
    <s v="R011"/>
    <n v="5"/>
    <n v="2480"/>
    <n v="20.399999999999999"/>
    <n v="9870.4"/>
    <s v="Completed"/>
    <s v="Bengaluru"/>
    <s v="Apparel"/>
    <m/>
    <s v="Retail"/>
    <n v="29"/>
    <s v="East"/>
    <s v="Apr-24"/>
  </r>
  <r>
    <s v="ORD-01198"/>
    <x v="323"/>
    <s v="CUST-0175"/>
    <s v="PROD-060"/>
    <s v="R010"/>
    <n v="4"/>
    <n v="190"/>
    <n v="2.6"/>
    <n v="740.24"/>
    <s v="Completed"/>
    <s v="Delhi"/>
    <s v="Sports"/>
    <m/>
    <s v="Corporate"/>
    <n v="55"/>
    <m/>
    <m/>
  </r>
  <r>
    <s v="ORD-01199"/>
    <x v="212"/>
    <s v="CUST-0227"/>
    <s v="PROD-022"/>
    <s v="R020"/>
    <n v="4"/>
    <n v="2270"/>
    <n v="8.1"/>
    <n v="8344.52"/>
    <s v="Pending"/>
    <s v="Bengaluru"/>
    <s v="Grocery"/>
    <m/>
    <s v="SMB"/>
    <n v="44"/>
    <m/>
    <m/>
  </r>
  <r>
    <s v="ORD-01200"/>
    <x v="169"/>
    <s v="CUST-0041"/>
    <s v="PROD-017"/>
    <s v="R028"/>
    <n v="7"/>
    <n v="2510"/>
    <n v="25.5"/>
    <n v="13089.65"/>
    <s v="Completed"/>
    <s v="Bengaluru"/>
    <s v="Apparel"/>
    <m/>
    <s v="SMB"/>
    <n v="26"/>
    <s v="East"/>
    <s v="Jan-24"/>
  </r>
  <r>
    <s v="ORD-01201"/>
    <x v="318"/>
    <s v="CUST-0147"/>
    <s v="PROD-059"/>
    <s v="R004"/>
    <n v="3"/>
    <n v="3780"/>
    <n v="16.8"/>
    <n v="9434.8799999999992"/>
    <s v="Completed"/>
    <s v="Pune"/>
    <s v="Sports"/>
    <m/>
    <s v="Retail"/>
    <n v="56"/>
    <m/>
    <m/>
  </r>
  <r>
    <s v="ORD-01202"/>
    <x v="79"/>
    <s v="CUST-0185"/>
    <s v="PROD-003"/>
    <s v="R010"/>
    <n v="7"/>
    <n v="3570"/>
    <n v="23.7"/>
    <n v="19067.37"/>
    <s v="Completed"/>
    <s v="Hyderabad"/>
    <s v="Electronics"/>
    <m/>
    <s v="SMB"/>
    <n v="43"/>
    <m/>
    <m/>
  </r>
  <r>
    <s v="ORD-01203"/>
    <x v="115"/>
    <s v="CUST-0210"/>
    <s v="PROD-037"/>
    <s v="R011"/>
    <n v="4"/>
    <n v="660"/>
    <n v="3.6"/>
    <n v="2544.96"/>
    <s v="Completed"/>
    <s v="Pune"/>
    <s v="Home"/>
    <m/>
    <s v="Corporate"/>
    <n v="48"/>
    <m/>
    <m/>
  </r>
  <r>
    <s v="ORD-01204"/>
    <x v="350"/>
    <s v="CUST-0289"/>
    <s v="PROD-030"/>
    <s v="R010"/>
    <n v="7"/>
    <n v="970"/>
    <n v="23.7"/>
    <n v="5180.7700000000004"/>
    <s v="Completed"/>
    <s v="Mumbai"/>
    <s v="Grocery"/>
    <m/>
    <s v="Retail"/>
    <n v="54"/>
    <m/>
    <m/>
  </r>
  <r>
    <s v="ORD-01205"/>
    <x v="200"/>
    <s v="CUST-0017"/>
    <s v="PROD-024"/>
    <s v="R006"/>
    <n v="8"/>
    <n v="2270"/>
    <n v="6.8"/>
    <n v="16925.12"/>
    <s v="Completed"/>
    <s v="Delhi"/>
    <s v="Grocery"/>
    <m/>
    <s v="SMB"/>
    <n v="38"/>
    <s v="South"/>
    <s v="Jul-24"/>
  </r>
  <r>
    <s v="ORD-01206"/>
    <x v="65"/>
    <s v="CUST-0115"/>
    <s v="PROD-058"/>
    <s v="R012"/>
    <n v="1"/>
    <n v="2400"/>
    <n v="26.5"/>
    <n v="1764"/>
    <s v="Completed"/>
    <s v="Mumbai"/>
    <s v="Sports"/>
    <m/>
    <s v="SMB"/>
    <n v="65"/>
    <m/>
    <m/>
  </r>
  <r>
    <s v="ORD-01207"/>
    <x v="283"/>
    <s v="CUST-0183"/>
    <s v="PROD-034"/>
    <s v="R010"/>
    <n v="5"/>
    <n v="5080"/>
    <n v="29.6"/>
    <n v="17881.599999999999"/>
    <s v="Completed"/>
    <s v="Mumbai"/>
    <s v="Home"/>
    <m/>
    <s v="SMB"/>
    <n v="27"/>
    <s v="South"/>
    <s v="Oct-24"/>
  </r>
  <r>
    <s v="ORD-01208"/>
    <x v="116"/>
    <s v="CUST-0193"/>
    <s v="PROD-043"/>
    <s v="R014"/>
    <n v="9"/>
    <n v="3350"/>
    <n v="6.2"/>
    <n v="28280.7"/>
    <s v="Completed"/>
    <s v="Bengaluru"/>
    <s v="Beauty"/>
    <m/>
    <s v="Retail"/>
    <n v="42"/>
    <m/>
    <m/>
  </r>
  <r>
    <s v="ORD-01209"/>
    <x v="9"/>
    <s v="CUST-0019"/>
    <s v="PROD-041"/>
    <s v="R001"/>
    <n v="4"/>
    <n v="1540"/>
    <n v="22.2"/>
    <n v="4792.4799999999996"/>
    <s v="Completed"/>
    <s v="Chennai"/>
    <s v="Beauty"/>
    <m/>
    <s v="Retail"/>
    <n v="22"/>
    <s v="South"/>
    <s v="Feb-24"/>
  </r>
  <r>
    <s v="ORD-01210"/>
    <x v="313"/>
    <s v="CUST-0097"/>
    <s v="PROD-034"/>
    <s v="R002"/>
    <n v="10"/>
    <n v="5080"/>
    <n v="11.8"/>
    <n v="44805.599999999999"/>
    <s v="Completed"/>
    <s v="Mumbai"/>
    <s v="Home"/>
    <m/>
    <s v="Retail"/>
    <n v="65"/>
    <m/>
    <m/>
  </r>
  <r>
    <s v="ORD-01211"/>
    <x v="197"/>
    <s v="CUST-0237"/>
    <s v="PROD-018"/>
    <s v="R012"/>
    <n v="9"/>
    <n v="3560"/>
    <n v="15.9"/>
    <n v="26945.64"/>
    <s v="Completed"/>
    <s v="Mumbai"/>
    <s v="Apparel"/>
    <m/>
    <s v="Retail"/>
    <n v="49"/>
    <m/>
    <m/>
  </r>
  <r>
    <s v="ORD-01212"/>
    <x v="98"/>
    <s v="CUST-0252"/>
    <s v="PROD-040"/>
    <s v="R009"/>
    <n v="2"/>
    <n v="1080"/>
    <n v="21.1"/>
    <n v="1704.24"/>
    <s v="Completed"/>
    <s v="Bengaluru"/>
    <s v="Home"/>
    <m/>
    <s v="Retail"/>
    <n v="27"/>
    <s v="South"/>
    <s v="Jan-24"/>
  </r>
  <r>
    <s v="ORD-01213"/>
    <x v="202"/>
    <s v="CUST-0216"/>
    <s v="PROD-023"/>
    <s v="R018"/>
    <n v="5"/>
    <n v="2380"/>
    <n v="20.5"/>
    <n v="9460.5"/>
    <s v="Completed"/>
    <s v="Mumbai"/>
    <s v="Grocery"/>
    <m/>
    <s v="Retail"/>
    <n v="50"/>
    <m/>
    <m/>
  </r>
  <r>
    <s v="ORD-01214"/>
    <x v="71"/>
    <s v="CUST-0248"/>
    <s v="PROD-019"/>
    <s v="R025"/>
    <n v="9"/>
    <n v="2480"/>
    <n v="1.2"/>
    <n v="22052.16"/>
    <s v="Completed"/>
    <s v="Chennai"/>
    <s v="Apparel"/>
    <m/>
    <s v="SMB"/>
    <n v="57"/>
    <m/>
    <m/>
  </r>
  <r>
    <s v="ORD-01215"/>
    <x v="333"/>
    <s v="CUST-0044"/>
    <s v="PROD-042"/>
    <s v="R012"/>
    <n v="9"/>
    <n v="2290"/>
    <n v="0.9"/>
    <n v="20424.509999999998"/>
    <s v="Completed"/>
    <s v="Hyderabad"/>
    <s v="Beauty"/>
    <m/>
    <s v="SMB"/>
    <n v="29"/>
    <s v="West"/>
    <s v="Jul-24"/>
  </r>
  <r>
    <s v="ORD-01216"/>
    <x v="143"/>
    <s v="CUST-0251"/>
    <s v="PROD-011"/>
    <s v="R011"/>
    <n v="3"/>
    <n v="3450"/>
    <n v="29.5"/>
    <n v="7296.75"/>
    <s v="Completed"/>
    <s v="Mumbai"/>
    <s v="Apparel"/>
    <m/>
    <s v="Retail"/>
    <n v="44"/>
    <m/>
    <m/>
  </r>
  <r>
    <s v="ORD-01217"/>
    <x v="28"/>
    <s v="CUST-0280"/>
    <s v="PROD-047"/>
    <s v="R024"/>
    <n v="9"/>
    <n v="3450"/>
    <n v="19.399999999999999"/>
    <n v="25026.3"/>
    <s v="Completed"/>
    <s v="Delhi"/>
    <s v="Beauty"/>
    <m/>
    <s v="SMB"/>
    <n v="27"/>
    <s v="South"/>
    <s v="Mar-24"/>
  </r>
  <r>
    <s v="ORD-01218"/>
    <x v="340"/>
    <s v="CUST-0108"/>
    <s v="PROD-002"/>
    <s v="R030"/>
    <n v="2"/>
    <n v="2600"/>
    <n v="20.2"/>
    <n v="4149.6000000000004"/>
    <s v="Cancelled"/>
    <s v="Bengaluru"/>
    <s v="Electronics"/>
    <m/>
    <s v="Corporate"/>
    <n v="59"/>
    <m/>
    <m/>
  </r>
  <r>
    <s v="ORD-01219"/>
    <x v="281"/>
    <s v="CUST-0058"/>
    <s v="PROD-021"/>
    <s v="R025"/>
    <n v="1"/>
    <n v="2760"/>
    <n v="9.5"/>
    <n v="2497.8000000000002"/>
    <s v="Completed"/>
    <s v="Bengaluru"/>
    <s v="Grocery"/>
    <m/>
    <s v="SMB"/>
    <n v="49"/>
    <m/>
    <m/>
  </r>
  <r>
    <s v="ORD-01220"/>
    <x v="106"/>
    <s v="CUST-0090"/>
    <s v="PROD-039"/>
    <s v="R003"/>
    <n v="4"/>
    <n v="4610"/>
    <n v="14.8"/>
    <n v="15710.88"/>
    <s v="Completed"/>
    <s v="Bengaluru"/>
    <s v="Home"/>
    <m/>
    <s v="Corporate"/>
    <n v="26"/>
    <s v="West"/>
    <s v="Aug-24"/>
  </r>
  <r>
    <s v="ORD-01221"/>
    <x v="147"/>
    <s v="CUST-0204"/>
    <s v="PROD-019"/>
    <s v="R024"/>
    <n v="3"/>
    <n v="2480"/>
    <n v="3.7"/>
    <n v="7164.72"/>
    <s v="Completed"/>
    <s v="Hyderabad"/>
    <s v="Apparel"/>
    <m/>
    <s v="Retail"/>
    <n v="60"/>
    <m/>
    <m/>
  </r>
  <r>
    <s v="ORD-01222"/>
    <x v="294"/>
    <s v="CUST-0044"/>
    <s v="PROD-056"/>
    <s v="R011"/>
    <n v="5"/>
    <n v="6940"/>
    <n v="0.3"/>
    <n v="34595.9"/>
    <s v="Completed"/>
    <s v="Hyderabad"/>
    <s v="Sports"/>
    <m/>
    <s v="SMB"/>
    <n v="29"/>
    <s v="West"/>
    <s v="Aug-24"/>
  </r>
  <r>
    <s v="ORD-01223"/>
    <x v="9"/>
    <s v="CUST-0068"/>
    <s v="PROD-022"/>
    <s v="R023"/>
    <n v="8"/>
    <n v="2270"/>
    <n v="15.6"/>
    <n v="15327.04"/>
    <s v="Pending"/>
    <s v="Delhi"/>
    <s v="Grocery"/>
    <m/>
    <s v="SMB"/>
    <n v="48"/>
    <m/>
    <m/>
  </r>
  <r>
    <s v="ORD-01224"/>
    <x v="313"/>
    <s v="CUST-0127"/>
    <s v="PROD-048"/>
    <s v="R030"/>
    <n v="5"/>
    <n v="5100"/>
    <n v="9.5"/>
    <n v="23077.5"/>
    <s v="Completed"/>
    <s v="Bengaluru"/>
    <s v="Beauty"/>
    <m/>
    <s v="SMB"/>
    <n v="36"/>
    <s v="East"/>
    <s v="Sep-24"/>
  </r>
  <r>
    <s v="ORD-01225"/>
    <x v="345"/>
    <s v="CUST-0191"/>
    <s v="PROD-036"/>
    <s v="R011"/>
    <n v="5"/>
    <n v="3250"/>
    <n v="8.1"/>
    <n v="14933.75"/>
    <s v="Completed"/>
    <s v="Hyderabad"/>
    <s v="Home"/>
    <m/>
    <s v="SMB"/>
    <n v="43"/>
    <m/>
    <m/>
  </r>
  <r>
    <s v="ORD-01226"/>
    <x v="303"/>
    <s v="CUST-0028"/>
    <s v="PROD-006"/>
    <s v="R003"/>
    <n v="6"/>
    <n v="3970"/>
    <n v="18.8"/>
    <n v="19341.84"/>
    <s v="Pending"/>
    <s v="Bengaluru"/>
    <s v="Electronics"/>
    <m/>
    <s v="Retail"/>
    <n v="59"/>
    <m/>
    <m/>
  </r>
  <r>
    <s v="ORD-01227"/>
    <x v="14"/>
    <s v="CUST-0027"/>
    <s v="PROD-001"/>
    <s v="R025"/>
    <n v="4"/>
    <n v="5330"/>
    <n v="19.7"/>
    <n v="17119.96"/>
    <s v="Completed"/>
    <s v="Hyderabad"/>
    <s v="Electronics"/>
    <m/>
    <s v="Corporate"/>
    <n v="52"/>
    <m/>
    <m/>
  </r>
  <r>
    <s v="ORD-01228"/>
    <x v="84"/>
    <s v="CUST-0193"/>
    <s v="PROD-008"/>
    <s v="R004"/>
    <n v="7"/>
    <n v="2660"/>
    <n v="8.5"/>
    <n v="17037.3"/>
    <s v="Completed"/>
    <s v="Bengaluru"/>
    <s v="Electronics"/>
    <m/>
    <s v="Retail"/>
    <n v="42"/>
    <m/>
    <m/>
  </r>
  <r>
    <s v="ORD-01229"/>
    <x v="124"/>
    <s v="CUST-0202"/>
    <s v="PROD-012"/>
    <s v="R029"/>
    <n v="5"/>
    <n v="3160"/>
    <n v="13.4"/>
    <n v="13682.8"/>
    <s v="Pending"/>
    <s v="Chennai"/>
    <s v="Apparel"/>
    <m/>
    <s v="Retail"/>
    <n v="39"/>
    <s v="North"/>
    <s v="Nov-24"/>
  </r>
  <r>
    <s v="ORD-01230"/>
    <x v="287"/>
    <s v="CUST-0230"/>
    <s v="PROD-054"/>
    <s v="R019"/>
    <n v="10"/>
    <n v="1010"/>
    <n v="14"/>
    <n v="8686"/>
    <s v="Completed"/>
    <s v="Pune"/>
    <s v="Sports"/>
    <m/>
    <s v="Corporate"/>
    <n v="33"/>
    <s v="West"/>
    <s v="May-24"/>
  </r>
  <r>
    <s v="ORD-01231"/>
    <x v="351"/>
    <s v="CUST-0280"/>
    <s v="PROD-041"/>
    <s v="R003"/>
    <n v="3"/>
    <n v="1540"/>
    <n v="13.7"/>
    <n v="3987.06"/>
    <s v="Pending"/>
    <s v="Delhi"/>
    <s v="Beauty"/>
    <m/>
    <s v="SMB"/>
    <n v="27"/>
    <s v="East"/>
    <s v="Dec-24"/>
  </r>
  <r>
    <s v="ORD-01232"/>
    <x v="343"/>
    <s v="CUST-0196"/>
    <s v="PROD-048"/>
    <s v="R009"/>
    <n v="10"/>
    <n v="5100"/>
    <n v="13.8"/>
    <n v="43962"/>
    <s v="Completed"/>
    <s v="Chennai"/>
    <s v="Beauty"/>
    <m/>
    <s v="Retail"/>
    <n v="26"/>
    <s v="North"/>
    <s v="Mar-24"/>
  </r>
  <r>
    <s v="ORD-01233"/>
    <x v="136"/>
    <s v="CUST-0019"/>
    <s v="PROD-007"/>
    <s v="R030"/>
    <n v="3"/>
    <n v="1430"/>
    <n v="1.5"/>
    <n v="4225.6499999999996"/>
    <s v="Completed"/>
    <s v="Chennai"/>
    <s v="Electronics"/>
    <m/>
    <s v="Retail"/>
    <n v="22"/>
    <s v="South"/>
    <s v="Jan-24"/>
  </r>
  <r>
    <s v="ORD-01234"/>
    <x v="247"/>
    <s v="CUST-0201"/>
    <s v="PROD-038"/>
    <s v="R013"/>
    <n v="8"/>
    <n v="5490"/>
    <n v="23.2"/>
    <n v="33730.559999999998"/>
    <s v="Completed"/>
    <s v="Hyderabad"/>
    <s v="Home"/>
    <m/>
    <s v="Retail"/>
    <n v="31"/>
    <s v="West"/>
    <s v="Jun-24"/>
  </r>
  <r>
    <s v="ORD-01235"/>
    <x v="185"/>
    <s v="CUST-0146"/>
    <s v="PROD-044"/>
    <s v="R008"/>
    <n v="6"/>
    <n v="1650"/>
    <n v="16.8"/>
    <n v="8236.7999999999993"/>
    <s v="Completed"/>
    <s v="Hyderabad"/>
    <s v="Beauty"/>
    <m/>
    <s v="Retail"/>
    <n v="22"/>
    <s v="South"/>
    <s v="Nov-24"/>
  </r>
  <r>
    <s v="ORD-01236"/>
    <x v="151"/>
    <s v="CUST-0199"/>
    <s v="PROD-045"/>
    <s v="R018"/>
    <n v="3"/>
    <n v="3020"/>
    <n v="14.5"/>
    <n v="7746.3"/>
    <s v="Completed"/>
    <s v="Hyderabad"/>
    <s v="Beauty"/>
    <m/>
    <s v="SMB"/>
    <n v="31"/>
    <s v="North"/>
    <s v="Jul-24"/>
  </r>
  <r>
    <s v="ORD-01237"/>
    <x v="334"/>
    <s v="CUST-0099"/>
    <s v="PROD-041"/>
    <s v="R003"/>
    <n v="5"/>
    <n v="1540"/>
    <n v="27.2"/>
    <n v="5605.6"/>
    <s v="Completed"/>
    <s v="Bengaluru"/>
    <s v="Beauty"/>
    <m/>
    <s v="SMB"/>
    <n v="54"/>
    <m/>
    <m/>
  </r>
  <r>
    <s v="ORD-00372"/>
    <x v="246"/>
    <s v="CUST-0094"/>
    <s v="PROD-056"/>
    <s v="R023"/>
    <n v="4"/>
    <n v="6940"/>
    <n v="3.2"/>
    <n v="26871.68"/>
    <s v="Completed"/>
    <s v="Pune"/>
    <s v="Sports"/>
    <m/>
    <s v="SMB"/>
    <n v="60"/>
    <m/>
    <m/>
  </r>
  <r>
    <s v="ORD-01239"/>
    <x v="25"/>
    <s v="CUST-0275"/>
    <s v="PROD-048"/>
    <s v="R017"/>
    <n v="2"/>
    <n v="5100"/>
    <n v="18.100000000000001"/>
    <n v="8353.7999999999993"/>
    <s v="Completed"/>
    <s v="Mumbai"/>
    <s v="Beauty"/>
    <m/>
    <s v="Retail"/>
    <n v="36"/>
    <s v="East"/>
    <s v="Jan-24"/>
  </r>
  <r>
    <s v="ORD-01240"/>
    <x v="189"/>
    <s v="CUST-0230"/>
    <s v="PROD-001"/>
    <s v="R016"/>
    <n v="6"/>
    <n v="5330"/>
    <n v="0.3"/>
    <n v="31884.06"/>
    <s v="Pending"/>
    <s v="Pune"/>
    <s v="Electronics"/>
    <m/>
    <s v="Corporate"/>
    <n v="33"/>
    <s v="East"/>
    <s v="Aug-24"/>
  </r>
  <r>
    <s v="ORD-01241"/>
    <x v="121"/>
    <s v="CUST-0227"/>
    <s v="PROD-057"/>
    <s v="R029"/>
    <n v="5"/>
    <n v="960"/>
    <n v="16.600000000000001"/>
    <n v="4003.2"/>
    <s v="Completed"/>
    <s v="Bengaluru"/>
    <s v="Sports"/>
    <m/>
    <s v="SMB"/>
    <n v="44"/>
    <m/>
    <m/>
  </r>
  <r>
    <s v="ORD-01365"/>
    <x v="214"/>
    <s v="CUST-0200"/>
    <s v="PROD-014"/>
    <s v="R022"/>
    <n v="7"/>
    <n v="3620"/>
    <n v="5.4"/>
    <n v="23971.64"/>
    <s v="Completed"/>
    <s v="Hyderabad"/>
    <s v="Apparel"/>
    <m/>
    <s v="Corporate"/>
    <n v="46"/>
    <m/>
    <m/>
  </r>
  <r>
    <s v="ORD-01243"/>
    <x v="213"/>
    <s v="CUST-0268"/>
    <s v="PROD-002"/>
    <s v="R006"/>
    <n v="6"/>
    <n v="2600"/>
    <n v="25.9"/>
    <n v="11559.6"/>
    <s v="Completed"/>
    <s v="Chennai"/>
    <s v="Electronics"/>
    <m/>
    <s v="Retail"/>
    <n v="35"/>
    <s v="East"/>
    <s v="Jul-24"/>
  </r>
  <r>
    <s v="ORD-01244"/>
    <x v="129"/>
    <s v="CUST-0163"/>
    <s v="PROD-008"/>
    <s v="R013"/>
    <n v="7"/>
    <n v="2660"/>
    <n v="20.2"/>
    <n v="14858.76"/>
    <s v="Completed"/>
    <s v="Pune"/>
    <s v="Electronics"/>
    <m/>
    <s v="Retail"/>
    <n v="49"/>
    <m/>
    <m/>
  </r>
  <r>
    <s v="ORD-01245"/>
    <x v="22"/>
    <s v="CUST-0233"/>
    <s v="PROD-019"/>
    <s v="R022"/>
    <n v="9"/>
    <n v="2480"/>
    <n v="14.7"/>
    <n v="19038.96"/>
    <s v="Completed"/>
    <s v="Mumbai"/>
    <s v="Apparel"/>
    <m/>
    <s v="SMB"/>
    <n v="65"/>
    <m/>
    <m/>
  </r>
  <r>
    <s v="ORD-01246"/>
    <x v="296"/>
    <s v="CUST-0181"/>
    <s v="PROD-008"/>
    <s v="R015"/>
    <n v="4"/>
    <n v="2660"/>
    <n v="8.9"/>
    <n v="9693.0400000000009"/>
    <s v="Completed"/>
    <s v="Delhi"/>
    <s v="Electronics"/>
    <m/>
    <s v="SMB"/>
    <n v="38"/>
    <s v="East"/>
    <s v="Jun-24"/>
  </r>
  <r>
    <s v="ORD-01247"/>
    <x v="326"/>
    <s v="CUST-0254"/>
    <s v="PROD-001"/>
    <s v="R010"/>
    <n v="1"/>
    <n v="5330"/>
    <n v="26.8"/>
    <n v="3901.56"/>
    <s v="Completed"/>
    <s v="Bengaluru"/>
    <s v="Electronics"/>
    <m/>
    <s v="Retail"/>
    <n v="35"/>
    <s v="South"/>
    <s v="Oct-24"/>
  </r>
  <r>
    <s v="ORD-01248"/>
    <x v="227"/>
    <s v="CUST-0116"/>
    <s v="PROD-051"/>
    <s v="R027"/>
    <n v="6"/>
    <n v="3450"/>
    <n v="19.2"/>
    <n v="16725.599999999999"/>
    <s v="Pending"/>
    <s v="Bengaluru"/>
    <s v="Sports"/>
    <m/>
    <s v="Retail"/>
    <n v="53"/>
    <m/>
    <m/>
  </r>
  <r>
    <s v="ORD-01249"/>
    <x v="323"/>
    <s v="CUST-0259"/>
    <s v="PROD-060"/>
    <s v="R025"/>
    <n v="10"/>
    <n v="190"/>
    <n v="18.100000000000001"/>
    <n v="1556.1"/>
    <s v="Completed"/>
    <s v="Mumbai"/>
    <s v="Sports"/>
    <m/>
    <s v="Retail"/>
    <n v="34"/>
    <s v="West"/>
    <s v="Sep-24"/>
  </r>
  <r>
    <s v="ORD-01250"/>
    <x v="241"/>
    <s v="CUST-0198"/>
    <s v="PROD-006"/>
    <s v="R009"/>
    <n v="9"/>
    <n v="3970"/>
    <n v="18.2"/>
    <n v="29227.14"/>
    <s v="Pending"/>
    <s v="Chennai"/>
    <s v="Electronics"/>
    <m/>
    <s v="Corporate"/>
    <n v="22"/>
    <s v="West"/>
    <s v="Feb-24"/>
  </r>
  <r>
    <s v="ORD-01251"/>
    <x v="280"/>
    <s v="CUST-0204"/>
    <s v="PROD-039"/>
    <s v="R002"/>
    <n v="4"/>
    <n v="4610"/>
    <n v="15.1"/>
    <n v="15655.56"/>
    <s v="Cancelled"/>
    <s v="Hyderabad"/>
    <s v="Home"/>
    <m/>
    <s v="Retail"/>
    <n v="60"/>
    <m/>
    <m/>
  </r>
  <r>
    <s v="ORD-01252"/>
    <x v="233"/>
    <s v="CUST-0216"/>
    <s v="PROD-016"/>
    <s v="R025"/>
    <n v="2"/>
    <n v="620"/>
    <n v="3.3"/>
    <n v="1199.08"/>
    <s v="Completed"/>
    <s v="Mumbai"/>
    <s v="Apparel"/>
    <m/>
    <s v="Retail"/>
    <n v="50"/>
    <m/>
    <m/>
  </r>
  <r>
    <s v="ORD-01253"/>
    <x v="214"/>
    <s v="CUST-0030"/>
    <s v="PROD-041"/>
    <s v="R025"/>
    <n v="7"/>
    <n v="1540"/>
    <n v="27.5"/>
    <n v="7815.5"/>
    <s v="Completed"/>
    <s v="Bengaluru"/>
    <s v="Beauty"/>
    <m/>
    <s v="Corporate"/>
    <n v="43"/>
    <m/>
    <m/>
  </r>
  <r>
    <s v="ORD-01254"/>
    <x v="178"/>
    <s v="CUST-0019"/>
    <s v="PROD-053"/>
    <s v="R017"/>
    <n v="10"/>
    <n v="470"/>
    <n v="3.9"/>
    <n v="4516.7"/>
    <s v="Completed"/>
    <s v="Chennai"/>
    <s v="Sports"/>
    <m/>
    <s v="Retail"/>
    <n v="22"/>
    <s v="West"/>
    <s v="Jul-24"/>
  </r>
  <r>
    <s v="ORD-01255"/>
    <x v="348"/>
    <s v="CUST-0034"/>
    <s v="PROD-046"/>
    <s v="R002"/>
    <n v="5"/>
    <n v="4880"/>
    <n v="27.4"/>
    <n v="17714.400000000001"/>
    <s v="Completed"/>
    <s v="Delhi"/>
    <s v="Beauty"/>
    <m/>
    <s v="Retail"/>
    <n v="47"/>
    <m/>
    <m/>
  </r>
  <r>
    <s v="ORD-01256"/>
    <x v="289"/>
    <s v="CUST-0063"/>
    <s v="PROD-052"/>
    <s v="R029"/>
    <n v="1"/>
    <n v="5410"/>
    <n v="8.3000000000000007"/>
    <n v="4960.97"/>
    <s v="Completed"/>
    <s v="Mumbai"/>
    <s v="Sports"/>
    <m/>
    <s v="SMB"/>
    <n v="53"/>
    <m/>
    <m/>
  </r>
  <r>
    <s v="ORD-01257"/>
    <x v="337"/>
    <s v="CUST-0203"/>
    <s v="PROD-004"/>
    <s v="R022"/>
    <n v="8"/>
    <n v="3870"/>
    <n v="9.3000000000000007"/>
    <n v="28080.720000000001"/>
    <s v="Pending"/>
    <s v="Chennai"/>
    <s v="Electronics"/>
    <m/>
    <s v="SMB"/>
    <n v="55"/>
    <m/>
    <m/>
  </r>
  <r>
    <s v="ORD-01258"/>
    <x v="136"/>
    <s v="CUST-0016"/>
    <s v="PROD-010"/>
    <s v="R017"/>
    <n v="10"/>
    <n v="2640"/>
    <n v="19.899999999999999"/>
    <n v="21146.400000000001"/>
    <s v="Completed"/>
    <s v="Delhi"/>
    <s v="Electronics"/>
    <m/>
    <s v="SMB"/>
    <n v="26"/>
    <s v="East"/>
    <s v="Jul-24"/>
  </r>
  <r>
    <s v="ORD-01259"/>
    <x v="118"/>
    <s v="CUST-0198"/>
    <s v="PROD-034"/>
    <s v="R007"/>
    <n v="1"/>
    <n v="5080"/>
    <n v="8.6"/>
    <n v="4643.12"/>
    <s v="Completed"/>
    <s v="Chennai"/>
    <s v="Home"/>
    <m/>
    <s v="Corporate"/>
    <n v="22"/>
    <s v="East"/>
    <s v="Jun-24"/>
  </r>
  <r>
    <s v="ORD-01260"/>
    <x v="342"/>
    <s v="CUST-0212"/>
    <s v="PROD-036"/>
    <s v="R018"/>
    <n v="9"/>
    <n v="3250"/>
    <n v="18.2"/>
    <n v="23926.5"/>
    <s v="Pending"/>
    <s v="Chennai"/>
    <s v="Home"/>
    <m/>
    <s v="SMB"/>
    <n v="46"/>
    <m/>
    <m/>
  </r>
  <r>
    <s v="ORD-01261"/>
    <x v="84"/>
    <s v="CUST-0265"/>
    <s v="PROD-006"/>
    <s v="R002"/>
    <n v="8"/>
    <n v="3970"/>
    <n v="22.4"/>
    <n v="24645.759999999998"/>
    <s v="Completed"/>
    <s v="Chennai"/>
    <s v="Electronics"/>
    <m/>
    <s v="Retail"/>
    <n v="49"/>
    <m/>
    <m/>
  </r>
  <r>
    <s v="ORD-01262"/>
    <x v="192"/>
    <s v="CUST-0165"/>
    <s v="PROD-037"/>
    <s v="R017"/>
    <n v="3"/>
    <n v="660"/>
    <n v="3.1"/>
    <n v="1918.62"/>
    <s v="Completed"/>
    <s v="Pune"/>
    <s v="Home"/>
    <m/>
    <s v="Retail"/>
    <n v="29"/>
    <s v="North"/>
    <s v="Nov-24"/>
  </r>
  <r>
    <s v="ORD-01263"/>
    <x v="298"/>
    <s v="CUST-0109"/>
    <s v="PROD-002"/>
    <s v="R022"/>
    <n v="7"/>
    <n v="2600"/>
    <n v="15.4"/>
    <n v="15397.2"/>
    <s v="Completed"/>
    <s v="Pune"/>
    <s v="Electronics"/>
    <m/>
    <s v="Retail"/>
    <n v="42"/>
    <m/>
    <m/>
  </r>
  <r>
    <s v="ORD-01264"/>
    <x v="45"/>
    <s v="CUST-0155"/>
    <s v="PROD-037"/>
    <s v="R015"/>
    <n v="9"/>
    <n v="660"/>
    <n v="23.7"/>
    <n v="4532.22"/>
    <s v="Completed"/>
    <s v="Pune"/>
    <s v="Home"/>
    <m/>
    <s v="Corporate"/>
    <n v="40"/>
    <s v="East"/>
    <s v="Mar-24"/>
  </r>
  <r>
    <s v="ORD-01265"/>
    <x v="183"/>
    <s v="CUST-0194"/>
    <s v="PROD-023"/>
    <s v="R021"/>
    <n v="3"/>
    <n v="2380"/>
    <n v="19.5"/>
    <n v="5747.7"/>
    <s v="Cancelled"/>
    <s v="Delhi"/>
    <s v="Grocery"/>
    <m/>
    <s v="SMB"/>
    <n v="55"/>
    <m/>
    <m/>
  </r>
  <r>
    <s v="ORD-01266"/>
    <x v="207"/>
    <s v="CUST-0084"/>
    <s v="PROD-044"/>
    <s v="R010"/>
    <n v="9"/>
    <n v="1650"/>
    <n v="2.5"/>
    <n v="14478.75"/>
    <s v="Completed"/>
    <s v="Chennai"/>
    <s v="Beauty"/>
    <m/>
    <s v="Retail"/>
    <n v="28"/>
    <s v="East"/>
    <s v="Apr-24"/>
  </r>
  <r>
    <s v="ORD-01267"/>
    <x v="181"/>
    <s v="CUST-9684"/>
    <s v="PROD-010"/>
    <s v="R006"/>
    <n v="8"/>
    <n v="2640"/>
    <n v="24.4"/>
    <n v="15966.72"/>
    <s v="Completed"/>
    <s v="Mumbai"/>
    <s v="Electronics"/>
    <m/>
    <e v="#N/A"/>
    <e v="#N/A"/>
    <m/>
    <m/>
  </r>
  <r>
    <s v="ORD-01268"/>
    <x v="43"/>
    <s v="CUST-0218"/>
    <s v="PROD-023"/>
    <s v="R013"/>
    <n v="8"/>
    <n v="2380"/>
    <n v="24.2"/>
    <n v="14432.32"/>
    <s v="Completed"/>
    <s v="Mumbai"/>
    <s v="Grocery"/>
    <m/>
    <s v="Retail"/>
    <n v="39"/>
    <s v="North"/>
    <s v="Dec-24"/>
  </r>
  <r>
    <s v="ORD-01269"/>
    <x v="41"/>
    <s v="CUST-0194"/>
    <s v="PROD-029"/>
    <s v="R007"/>
    <n v="10"/>
    <n v="2210"/>
    <n v="3.6"/>
    <n v="21304.400000000001"/>
    <s v="Completed"/>
    <s v="Delhi"/>
    <s v="Grocery"/>
    <m/>
    <s v="SMB"/>
    <n v="55"/>
    <m/>
    <m/>
  </r>
  <r>
    <s v="ORD-01270"/>
    <x v="139"/>
    <s v="CUST-0037"/>
    <s v="PROD-050"/>
    <s v="R018"/>
    <n v="9"/>
    <n v="6080"/>
    <n v="17.2"/>
    <n v="45308.160000000003"/>
    <s v="Pending"/>
    <s v="Bengaluru"/>
    <s v="Beauty"/>
    <m/>
    <s v="Retail"/>
    <n v="52"/>
    <m/>
    <m/>
  </r>
  <r>
    <s v="ORD-01271"/>
    <x v="10"/>
    <s v="CUST-0245"/>
    <s v="PROD-054"/>
    <s v="R022"/>
    <n v="8"/>
    <n v="1010"/>
    <n v="12.3"/>
    <n v="7086.16"/>
    <s v="Completed"/>
    <s v="Hyderabad"/>
    <s v="Sports"/>
    <m/>
    <s v="Retail"/>
    <n v="65"/>
    <m/>
    <m/>
  </r>
  <r>
    <s v="ORD-01272"/>
    <x v="329"/>
    <s v="CUST-0266"/>
    <s v="PROD-028"/>
    <s v="R011"/>
    <n v="8"/>
    <n v="3660"/>
    <n v="8.4"/>
    <n v="26820.48"/>
    <s v="Completed"/>
    <s v="Pune"/>
    <s v="Grocery"/>
    <m/>
    <s v="Retail"/>
    <n v="65"/>
    <m/>
    <m/>
  </r>
  <r>
    <s v="ORD-01273"/>
    <x v="68"/>
    <s v="CUST-0058"/>
    <s v="PROD-039"/>
    <s v="R029"/>
    <n v="8"/>
    <n v="4610"/>
    <n v="15.4"/>
    <n v="31200.48"/>
    <s v="Cancelled"/>
    <s v="Bengaluru"/>
    <s v="Home"/>
    <m/>
    <s v="SMB"/>
    <n v="49"/>
    <m/>
    <m/>
  </r>
  <r>
    <s v="ORD-01274"/>
    <x v="283"/>
    <s v="CUST-0058"/>
    <s v="PROD-048"/>
    <s v="R006"/>
    <n v="9"/>
    <n v="5100"/>
    <n v="25.2"/>
    <n v="34333.199999999997"/>
    <s v="Cancelled"/>
    <s v="Bengaluru"/>
    <s v="Beauty"/>
    <m/>
    <s v="SMB"/>
    <n v="49"/>
    <m/>
    <m/>
  </r>
  <r>
    <s v="ORD-01275"/>
    <x v="312"/>
    <s v="CUST-0028"/>
    <s v="PROD-045"/>
    <s v="R019"/>
    <n v="5"/>
    <n v="3020"/>
    <n v="23"/>
    <n v="11627"/>
    <s v="Completed"/>
    <s v="Bengaluru"/>
    <s v="Beauty"/>
    <m/>
    <s v="Retail"/>
    <n v="59"/>
    <m/>
    <m/>
  </r>
  <r>
    <s v="ORD-01276"/>
    <x v="3"/>
    <s v="CUST-0262"/>
    <s v="PROD-059"/>
    <s v="R015"/>
    <n v="8"/>
    <n v="3780"/>
    <n v="17.100000000000001"/>
    <n v="25068.959999999999"/>
    <s v="Completed"/>
    <s v="Mumbai"/>
    <s v="Sports"/>
    <m/>
    <s v="Retail"/>
    <n v="52"/>
    <m/>
    <m/>
  </r>
  <r>
    <s v="ORD-01277"/>
    <x v="352"/>
    <s v="CUST-0241"/>
    <s v="PROD-029"/>
    <s v="R001"/>
    <n v="10"/>
    <n v="2210"/>
    <n v="8.5"/>
    <n v="20221.5"/>
    <s v="Completed"/>
    <s v="Pune"/>
    <s v="Grocery"/>
    <m/>
    <s v="Corporate"/>
    <n v="47"/>
    <m/>
    <m/>
  </r>
  <r>
    <s v="ORD-01278"/>
    <x v="117"/>
    <s v="CUST-0109"/>
    <s v="PROD-029"/>
    <s v="R015"/>
    <n v="4"/>
    <n v="2210"/>
    <n v="3.1"/>
    <n v="8565.9599999999991"/>
    <s v="Completed"/>
    <s v="Pune"/>
    <s v="Grocery"/>
    <m/>
    <s v="Retail"/>
    <n v="42"/>
    <m/>
    <m/>
  </r>
  <r>
    <s v="ORD-01279"/>
    <x v="326"/>
    <s v="CUST-0228"/>
    <s v="PROD-044"/>
    <s v="R015"/>
    <n v="1"/>
    <n v="1650"/>
    <n v="10"/>
    <n v="1485"/>
    <s v="Completed"/>
    <s v="Pune"/>
    <s v="Beauty"/>
    <m/>
    <s v="Corporate"/>
    <n v="37"/>
    <s v="South"/>
    <s v="Nov-24"/>
  </r>
  <r>
    <s v="ORD-01280"/>
    <x v="100"/>
    <s v="CUST-0239"/>
    <s v="PROD-060"/>
    <s v="R005"/>
    <n v="6"/>
    <n v="190"/>
    <n v="3.5"/>
    <n v="1100.0999999999999"/>
    <s v="Cancelled"/>
    <s v="Mumbai"/>
    <s v="Sports"/>
    <m/>
    <s v="Retail"/>
    <n v="61"/>
    <m/>
    <m/>
  </r>
  <r>
    <s v="ORD-01281"/>
    <x v="55"/>
    <s v="CUST-0092"/>
    <s v="PROD-055"/>
    <s v="R027"/>
    <n v="8"/>
    <n v="2860"/>
    <n v="14.7"/>
    <n v="19516.64"/>
    <s v="Completed"/>
    <s v="Bengaluru"/>
    <s v="Sports"/>
    <m/>
    <s v="SMB"/>
    <n v="28"/>
    <s v="North"/>
    <s v="Nov-24"/>
  </r>
  <r>
    <s v="ORD-01282"/>
    <x v="120"/>
    <s v="CUST-0283"/>
    <s v="PROD-005"/>
    <s v="R030"/>
    <n v="9"/>
    <n v="300"/>
    <n v="19.5"/>
    <n v="2173.5"/>
    <s v="Completed"/>
    <s v="Delhi"/>
    <s v="Electronics"/>
    <m/>
    <s v="SMB"/>
    <n v="50"/>
    <m/>
    <m/>
  </r>
  <r>
    <s v="ORD-01283"/>
    <x v="170"/>
    <s v="CUST-0206"/>
    <s v="PROD-049"/>
    <s v="R007"/>
    <n v="10"/>
    <n v="960"/>
    <n v="9.6999999999999993"/>
    <n v="8668.7999999999993"/>
    <s v="Completed"/>
    <s v="Mumbai"/>
    <s v="Beauty"/>
    <m/>
    <s v="Retail"/>
    <n v="40"/>
    <s v="West"/>
    <s v="Jun-24"/>
  </r>
  <r>
    <s v="ORD-01284"/>
    <x v="292"/>
    <s v="CUST-0174"/>
    <s v="PROD-020"/>
    <s v="R013"/>
    <n v="5"/>
    <n v="820"/>
    <n v="0.5"/>
    <n v="4079.5"/>
    <s v="Completed"/>
    <s v="Pune"/>
    <s v="Apparel"/>
    <m/>
    <s v="Retail"/>
    <n v="54"/>
    <m/>
    <m/>
  </r>
  <r>
    <s v="ORD-01285"/>
    <x v="266"/>
    <s v="CUST-0040"/>
    <s v="PROD-032"/>
    <s v="R004"/>
    <n v="2"/>
    <n v="370"/>
    <n v="10.5"/>
    <n v="662.3"/>
    <s v="Pending"/>
    <s v="Chennai"/>
    <s v="Home"/>
    <m/>
    <s v="Retail"/>
    <n v="28"/>
    <s v="South"/>
    <s v="May-24"/>
  </r>
  <r>
    <s v="ORD-01286"/>
    <x v="99"/>
    <s v="CUST-0153"/>
    <s v="PROD-038"/>
    <s v="R023"/>
    <n v="9"/>
    <n v="5490"/>
    <n v="14.2"/>
    <n v="42393.78"/>
    <s v="Cancelled"/>
    <s v="Mumbai"/>
    <s v="Home"/>
    <m/>
    <s v="Retail"/>
    <n v="35"/>
    <s v="North"/>
    <s v="Apr-24"/>
  </r>
  <r>
    <s v="ORD-01287"/>
    <x v="62"/>
    <s v="CUST-0236"/>
    <s v="PROD-032"/>
    <s v="R018"/>
    <n v="3"/>
    <n v="370"/>
    <n v="18.399999999999999"/>
    <n v="905.76"/>
    <s v="Completed"/>
    <s v="Hyderabad"/>
    <s v="Home"/>
    <m/>
    <s v="SMB"/>
    <n v="28"/>
    <s v="East"/>
    <s v="Jun-24"/>
  </r>
  <r>
    <s v="ORD-01288"/>
    <x v="241"/>
    <s v="CUST-0295"/>
    <s v="PROD-060"/>
    <s v="R018"/>
    <n v="6"/>
    <n v="190"/>
    <n v="12.9"/>
    <n v="992.94"/>
    <s v="Completed"/>
    <s v="Delhi"/>
    <s v="Sports"/>
    <m/>
    <s v="SMB"/>
    <n v="48"/>
    <m/>
    <m/>
  </r>
  <r>
    <s v="ORD-01289"/>
    <x v="245"/>
    <s v="CUST-0145"/>
    <s v="PROD-029"/>
    <s v="R023"/>
    <n v="8"/>
    <n v="2210"/>
    <n v="9.8000000000000007"/>
    <n v="15947.36"/>
    <s v="Completed"/>
    <s v="Bengaluru"/>
    <s v="Grocery"/>
    <m/>
    <s v="SMB"/>
    <n v="44"/>
    <m/>
    <m/>
  </r>
  <r>
    <s v="ORD-01290"/>
    <x v="99"/>
    <s v="CUST-0192"/>
    <s v="PROD-044"/>
    <s v="R009"/>
    <n v="7"/>
    <n v="1650"/>
    <n v="8.4"/>
    <n v="10579.8"/>
    <s v="Completed"/>
    <s v="Bengaluru"/>
    <s v="Beauty"/>
    <m/>
    <s v="Retail"/>
    <n v="55"/>
    <m/>
    <m/>
  </r>
  <r>
    <s v="ORD-01291"/>
    <x v="353"/>
    <s v="CUST-0148"/>
    <s v="PROD-037"/>
    <s v="R013"/>
    <n v="8"/>
    <n v="660"/>
    <n v="7.5"/>
    <n v="4884"/>
    <s v="Completed"/>
    <s v="Chennai"/>
    <s v="Home"/>
    <m/>
    <s v="Retail"/>
    <n v="32"/>
    <s v="South"/>
    <s v="Jun-24"/>
  </r>
  <r>
    <s v="ORD-01292"/>
    <x v="128"/>
    <s v="CUST-0227"/>
    <s v="PROD-039"/>
    <s v="R004"/>
    <n v="3"/>
    <n v="4610"/>
    <n v="29.6"/>
    <n v="9736.32"/>
    <s v="Completed"/>
    <s v="Bengaluru"/>
    <s v="Home"/>
    <m/>
    <s v="SMB"/>
    <n v="44"/>
    <m/>
    <m/>
  </r>
  <r>
    <s v="ORD-01293"/>
    <x v="354"/>
    <s v="CUST-0170"/>
    <s v="PROD-029"/>
    <s v="R025"/>
    <n v="6"/>
    <n v="2210"/>
    <n v="9.5"/>
    <n v="12000.3"/>
    <s v="Completed"/>
    <s v="Mumbai"/>
    <s v="Grocery"/>
    <m/>
    <s v="SMB"/>
    <n v="22"/>
    <s v="North"/>
    <s v="Dec-24"/>
  </r>
  <r>
    <s v="ORD-01294"/>
    <x v="80"/>
    <s v="CUST-0102"/>
    <s v="PROD-042"/>
    <s v="R017"/>
    <n v="4"/>
    <n v="2290"/>
    <n v="3.3"/>
    <n v="8857.7199999999993"/>
    <s v="Completed"/>
    <s v="Chennai"/>
    <s v="Beauty"/>
    <m/>
    <s v="SMB"/>
    <n v="62"/>
    <m/>
    <m/>
  </r>
  <r>
    <s v="ORD-01295"/>
    <x v="264"/>
    <s v="CUST-0071"/>
    <s v="PROD-040"/>
    <s v="R026"/>
    <n v="5"/>
    <n v="1080"/>
    <n v="26.1"/>
    <n v="3990.6"/>
    <s v="Completed"/>
    <s v="Delhi"/>
    <s v="Home"/>
    <m/>
    <s v="Corporate"/>
    <n v="46"/>
    <m/>
    <m/>
  </r>
  <r>
    <s v="ORD-01296"/>
    <x v="42"/>
    <s v="CUST-0080"/>
    <s v="PROD-057"/>
    <s v="R010"/>
    <n v="7"/>
    <n v="960"/>
    <n v="17.7"/>
    <n v="5530.56"/>
    <s v="Completed"/>
    <s v="Pune"/>
    <s v="Sports"/>
    <m/>
    <s v="SMB"/>
    <n v="30"/>
    <s v="West"/>
    <s v="Mar-24"/>
  </r>
  <r>
    <s v="ORD-01297"/>
    <x v="338"/>
    <s v="CUST-0272"/>
    <s v="PROD-058"/>
    <s v="R008"/>
    <n v="1"/>
    <n v="2400"/>
    <n v="29.9"/>
    <n v="1682.4"/>
    <s v="Completed"/>
    <s v="Mumbai"/>
    <s v="Sports"/>
    <m/>
    <s v="SMB"/>
    <n v="47"/>
    <m/>
    <m/>
  </r>
  <r>
    <s v="ORD-01298"/>
    <x v="184"/>
    <s v="CUST-0076"/>
    <s v="PROD-042"/>
    <s v="R010"/>
    <n v="9"/>
    <n v="2290"/>
    <n v="28.8"/>
    <n v="14674.32"/>
    <s v="Completed"/>
    <s v="Mumbai"/>
    <s v="Beauty"/>
    <m/>
    <s v="Retail"/>
    <n v="38"/>
    <s v="North"/>
    <s v="Jun-24"/>
  </r>
  <r>
    <s v="ORD-01299"/>
    <x v="137"/>
    <s v="CUST-0222"/>
    <s v="PROD-040"/>
    <s v="R018"/>
    <n v="9"/>
    <n v="1080"/>
    <n v="10.3"/>
    <n v="8718.84"/>
    <s v="Completed"/>
    <s v="Chennai"/>
    <s v="Home"/>
    <m/>
    <s v="Retail"/>
    <n v="37"/>
    <s v="South"/>
    <s v="Dec-24"/>
  </r>
  <r>
    <s v="ORD-01300"/>
    <x v="121"/>
    <s v="CUST-0091"/>
    <s v="PROD-035"/>
    <s v="R004"/>
    <n v="1"/>
    <n v="1090"/>
    <n v="5.8"/>
    <n v="1026.78"/>
    <s v="Cancelled"/>
    <s v="Delhi"/>
    <s v="Home"/>
    <m/>
    <s v="Retail"/>
    <n v="55"/>
    <m/>
    <m/>
  </r>
  <r>
    <s v="ORD-01301"/>
    <x v="9"/>
    <s v="CUST-0126"/>
    <s v="PROD-029"/>
    <s v="R018"/>
    <n v="3"/>
    <n v="2210"/>
    <n v="18.2"/>
    <n v="5423.34"/>
    <s v="Pending"/>
    <s v="Mumbai"/>
    <s v="Grocery"/>
    <m/>
    <s v="Retail"/>
    <n v="37"/>
    <s v="North"/>
    <s v="Jun-24"/>
  </r>
  <r>
    <s v="ORD-01302"/>
    <x v="276"/>
    <s v="CUST-0241"/>
    <s v="PROD-014"/>
    <s v="R015"/>
    <n v="8"/>
    <n v="3620"/>
    <n v="1.4"/>
    <n v="28554.560000000001"/>
    <s v="Completed"/>
    <s v="Pune"/>
    <s v="Apparel"/>
    <m/>
    <s v="Corporate"/>
    <n v="47"/>
    <m/>
    <m/>
  </r>
  <r>
    <s v="ORD-01303"/>
    <x v="107"/>
    <s v="CUST-0118"/>
    <s v="PROD-033"/>
    <s v="R011"/>
    <n v="7"/>
    <n v="2030"/>
    <n v="27.7"/>
    <n v="10273.83"/>
    <s v="Completed"/>
    <s v="Hyderabad"/>
    <s v="Home"/>
    <m/>
    <s v="Retail"/>
    <n v="26"/>
    <s v="South"/>
    <s v="Oct-24"/>
  </r>
  <r>
    <s v="ORD-01304"/>
    <x v="309"/>
    <s v="CUST-0090"/>
    <s v="PROD-004"/>
    <s v="R023"/>
    <n v="1"/>
    <n v="3870"/>
    <n v="29.6"/>
    <n v="2724.48"/>
    <s v="Completed"/>
    <s v="Bengaluru"/>
    <s v="Electronics"/>
    <m/>
    <s v="Corporate"/>
    <n v="26"/>
    <s v="South"/>
    <s v="Mar-24"/>
  </r>
  <r>
    <s v="ORD-01305"/>
    <x v="258"/>
    <s v="CUST-0037"/>
    <s v="PROD-003"/>
    <s v="R014"/>
    <n v="5"/>
    <n v="3570"/>
    <n v="11.8"/>
    <n v="15743.7"/>
    <s v="Refunded"/>
    <s v="Bengaluru"/>
    <s v="Electronics"/>
    <m/>
    <s v="Retail"/>
    <n v="52"/>
    <m/>
    <m/>
  </r>
  <r>
    <s v="ORD-01306"/>
    <x v="181"/>
    <s v="CUST-0083"/>
    <s v="PROD-001"/>
    <s v="R019"/>
    <n v="7"/>
    <n v="5330"/>
    <n v="8.1999999999999993"/>
    <n v="34250.58"/>
    <s v="Completed"/>
    <s v="Bengaluru"/>
    <s v="Electronics"/>
    <m/>
    <s v="Corporate"/>
    <n v="31"/>
    <s v="South"/>
    <s v="Feb-24"/>
  </r>
  <r>
    <s v="ORD-01307"/>
    <x v="148"/>
    <s v="CUST-0154"/>
    <s v="PROD-009"/>
    <s v="R009"/>
    <n v="5"/>
    <n v="1220"/>
    <n v="17.8"/>
    <n v="5014.2"/>
    <s v="Refunded"/>
    <s v="Pune"/>
    <s v="Electronics"/>
    <m/>
    <s v="Retail"/>
    <n v="36"/>
    <s v="East"/>
    <s v="Dec-24"/>
  </r>
  <r>
    <s v="ORD-01308"/>
    <x v="78"/>
    <s v="CUST-0265"/>
    <s v="PROD-011"/>
    <s v="R019"/>
    <n v="7"/>
    <n v="3450"/>
    <n v="29.3"/>
    <n v="17074.05"/>
    <s v="Completed"/>
    <s v="Chennai"/>
    <s v="Apparel"/>
    <m/>
    <s v="Retail"/>
    <n v="49"/>
    <m/>
    <m/>
  </r>
  <r>
    <s v="ORD-01309"/>
    <x v="152"/>
    <s v="CUST-0115"/>
    <s v="PROD-018"/>
    <s v="R013"/>
    <n v="6"/>
    <n v="3560"/>
    <n v="9.4"/>
    <n v="19352.16"/>
    <s v="Pending"/>
    <s v="Mumbai"/>
    <s v="Apparel"/>
    <m/>
    <s v="SMB"/>
    <n v="65"/>
    <m/>
    <m/>
  </r>
  <r>
    <s v="ORD-01310"/>
    <x v="217"/>
    <s v="CUST-0274"/>
    <s v="PROD-032"/>
    <s v="R005"/>
    <n v="4"/>
    <n v="370"/>
    <n v="4.9000000000000004"/>
    <n v="1407.48"/>
    <s v="Completed"/>
    <s v="Bengaluru"/>
    <s v="Home"/>
    <m/>
    <s v="Corporate"/>
    <n v="36"/>
    <s v="South"/>
    <s v="Sep-24"/>
  </r>
  <r>
    <s v="ORD-01311"/>
    <x v="262"/>
    <s v="CUST-0269"/>
    <s v="PROD-009"/>
    <s v="R003"/>
    <n v="1"/>
    <n v="1220"/>
    <n v="15.2"/>
    <n v="1034.56"/>
    <s v="Completed"/>
    <s v="Pune"/>
    <s v="Electronics"/>
    <m/>
    <s v="Retail"/>
    <n v="48"/>
    <m/>
    <m/>
  </r>
  <r>
    <s v="ORD-01312"/>
    <x v="12"/>
    <s v="CUST-0045"/>
    <s v="PROD-013"/>
    <s v="R006"/>
    <n v="3"/>
    <n v="3640"/>
    <n v="12.3"/>
    <n v="9576.84"/>
    <s v="Pending"/>
    <s v="Chennai"/>
    <s v="Apparel"/>
    <m/>
    <s v="SMB"/>
    <n v="39"/>
    <s v="North"/>
    <s v="Dec-24"/>
  </r>
  <r>
    <s v="ORD-01313"/>
    <x v="115"/>
    <s v="CUST-0054"/>
    <s v="PROD-045"/>
    <s v="R010"/>
    <n v="8"/>
    <n v="3020"/>
    <n v="28.2"/>
    <n v="17346.88"/>
    <s v="Pending"/>
    <s v="Mumbai"/>
    <s v="Beauty"/>
    <m/>
    <s v="Corporate"/>
    <n v="62"/>
    <m/>
    <m/>
  </r>
  <r>
    <s v="ORD-01314"/>
    <x v="277"/>
    <s v="CUST-0160"/>
    <s v="PROD-048"/>
    <s v="R008"/>
    <n v="3"/>
    <n v="5100"/>
    <n v="7.8"/>
    <n v="14106.6"/>
    <s v="Completed"/>
    <s v="Hyderabad"/>
    <s v="Beauty"/>
    <m/>
    <s v="Retail"/>
    <n v="27"/>
    <s v="South"/>
    <s v="Sep-24"/>
  </r>
  <r>
    <s v="ORD-01315"/>
    <x v="192"/>
    <s v="CUST-0163"/>
    <s v="PROD-005"/>
    <s v="R001"/>
    <n v="9"/>
    <n v="300"/>
    <n v="19"/>
    <n v="2187"/>
    <s v="Completed"/>
    <s v="Pune"/>
    <s v="Electronics"/>
    <m/>
    <s v="Retail"/>
    <n v="49"/>
    <m/>
    <m/>
  </r>
  <r>
    <s v="ORD-01316"/>
    <x v="287"/>
    <s v="CUST-0006"/>
    <s v="PROD-042"/>
    <s v="R007"/>
    <n v="10"/>
    <n v="2290"/>
    <n v="27.7"/>
    <n v="16556.7"/>
    <s v="Completed"/>
    <s v="Pune"/>
    <s v="Beauty"/>
    <m/>
    <s v="SMB"/>
    <n v="44"/>
    <m/>
    <m/>
  </r>
  <r>
    <s v="ORD-01317"/>
    <x v="253"/>
    <s v="CUST-0142"/>
    <s v="PROD-013"/>
    <s v="R024"/>
    <n v="9"/>
    <n v="3640"/>
    <n v="20.100000000000001"/>
    <n v="26175.24"/>
    <s v="Completed"/>
    <s v="Chennai"/>
    <s v="Apparel"/>
    <m/>
    <s v="Corporate"/>
    <n v="55"/>
    <m/>
    <m/>
  </r>
  <r>
    <s v="ORD-01318"/>
    <x v="45"/>
    <s v="CUST-0262"/>
    <s v="PROD-020"/>
    <s v="R022"/>
    <n v="4"/>
    <n v="820"/>
    <n v="7.6"/>
    <n v="3030.72"/>
    <s v="Completed"/>
    <s v="Mumbai"/>
    <s v="Apparel"/>
    <m/>
    <s v="Retail"/>
    <n v="52"/>
    <m/>
    <m/>
  </r>
  <r>
    <s v="ORD-01319"/>
    <x v="68"/>
    <s v="CUST-0049"/>
    <s v="PROD-030"/>
    <s v="R014"/>
    <n v="1"/>
    <n v="970"/>
    <n v="1.7"/>
    <n v="953.51"/>
    <s v="Completed"/>
    <s v="Mumbai"/>
    <s v="Grocery"/>
    <m/>
    <s v="Corporate"/>
    <n v="42"/>
    <m/>
    <m/>
  </r>
  <r>
    <s v="ORD-01320"/>
    <x v="125"/>
    <s v="CUST-0204"/>
    <s v="PROD-018"/>
    <s v="R019"/>
    <n v="5"/>
    <n v="3560"/>
    <n v="10.5"/>
    <n v="15931"/>
    <s v="Completed"/>
    <s v="Hyderabad"/>
    <s v="Apparel"/>
    <m/>
    <s v="Retail"/>
    <n v="60"/>
    <m/>
    <m/>
  </r>
  <r>
    <s v="ORD-01321"/>
    <x v="231"/>
    <s v="CUST-0164"/>
    <s v="PROD-035"/>
    <s v="R009"/>
    <n v="6"/>
    <n v="1090"/>
    <n v="2.4"/>
    <n v="6383.04"/>
    <s v="Pending"/>
    <s v="Chennai"/>
    <s v="Home"/>
    <m/>
    <s v="Retail"/>
    <n v="60"/>
    <m/>
    <m/>
  </r>
  <r>
    <s v="ORD-01322"/>
    <x v="141"/>
    <s v="CUST-0003"/>
    <s v="PROD-008"/>
    <s v="R017"/>
    <n v="6"/>
    <n v="2660"/>
    <n v="6.4"/>
    <n v="14938.56"/>
    <s v="Completed"/>
    <s v="Mumbai"/>
    <s v="Electronics"/>
    <m/>
    <s v="Retail"/>
    <n v="33"/>
    <s v="South"/>
    <s v="Jan-24"/>
  </r>
  <r>
    <s v="ORD-01323"/>
    <x v="39"/>
    <s v="CUST-0032"/>
    <s v="PROD-006"/>
    <s v="R001"/>
    <n v="5"/>
    <n v="3970"/>
    <n v="18.8"/>
    <n v="16118.2"/>
    <s v="Pending"/>
    <s v="Hyderabad"/>
    <s v="Electronics"/>
    <m/>
    <s v="Retail"/>
    <n v="28"/>
    <s v="East"/>
    <s v="Jan-24"/>
  </r>
  <r>
    <s v="ORD-01324"/>
    <x v="264"/>
    <s v="CUST-0208"/>
    <s v="PROD-056"/>
    <s v="R021"/>
    <n v="7"/>
    <n v="6940"/>
    <n v="23.8"/>
    <n v="37017.96"/>
    <s v="Refunded"/>
    <s v="Mumbai"/>
    <s v="Sports"/>
    <m/>
    <s v="Retail"/>
    <n v="49"/>
    <m/>
    <m/>
  </r>
  <r>
    <s v="ORD-01325"/>
    <x v="227"/>
    <s v="CUST-0183"/>
    <s v="PROD-058"/>
    <s v="R004"/>
    <n v="3"/>
    <n v="2400"/>
    <n v="9.8000000000000007"/>
    <n v="6494.4"/>
    <s v="Completed"/>
    <s v="Mumbai"/>
    <s v="Sports"/>
    <m/>
    <s v="SMB"/>
    <n v="27"/>
    <s v="East"/>
    <s v="Mar-24"/>
  </r>
  <r>
    <s v="ORD-01326"/>
    <x v="183"/>
    <s v="CUST-0021"/>
    <s v="PROD-051"/>
    <s v="R023"/>
    <n v="8"/>
    <n v="3450"/>
    <n v="26.6"/>
    <n v="20258.400000000001"/>
    <s v="Cancelled"/>
    <s v="Pune"/>
    <s v="Sports"/>
    <m/>
    <s v="Retail"/>
    <n v="44"/>
    <m/>
    <m/>
  </r>
  <r>
    <s v="ORD-01327"/>
    <x v="44"/>
    <s v="CUST-0080"/>
    <s v="PROD-009"/>
    <s v="R004"/>
    <n v="4"/>
    <n v="1220"/>
    <n v="5.5"/>
    <n v="4611.6000000000004"/>
    <s v="Completed"/>
    <s v="Pune"/>
    <s v="Electronics"/>
    <m/>
    <s v="SMB"/>
    <n v="30"/>
    <s v="East"/>
    <s v="Apr-24"/>
  </r>
  <r>
    <s v="ORD-01328"/>
    <x v="355"/>
    <s v="CUST-0286"/>
    <s v="PROD-016"/>
    <s v="R007"/>
    <n v="1"/>
    <n v="620"/>
    <n v="22.3"/>
    <n v="481.74"/>
    <s v="Pending"/>
    <s v="Delhi"/>
    <s v="Apparel"/>
    <m/>
    <s v="Retail"/>
    <n v="62"/>
    <m/>
    <m/>
  </r>
  <r>
    <s v="ORD-01329"/>
    <x v="333"/>
    <s v="CUST-0152"/>
    <s v="PROD-005"/>
    <s v="R023"/>
    <n v="1"/>
    <n v="300"/>
    <n v="12.5"/>
    <n v="262.5"/>
    <s v="Completed"/>
    <s v="Bengaluru"/>
    <s v="Electronics"/>
    <m/>
    <s v="SMB"/>
    <n v="64"/>
    <m/>
    <m/>
  </r>
  <r>
    <s v="ORD-01330"/>
    <x v="349"/>
    <s v="CUST-0254"/>
    <s v="PROD-054"/>
    <s v="R020"/>
    <n v="3"/>
    <n v="1010"/>
    <n v="14.1"/>
    <n v="2602.77"/>
    <s v="Completed"/>
    <s v="Bengaluru"/>
    <s v="Sports"/>
    <m/>
    <s v="Retail"/>
    <n v="35"/>
    <s v="East"/>
    <s v="Feb-24"/>
  </r>
  <r>
    <s v="ORD-01331"/>
    <x v="77"/>
    <s v="CUST-0290"/>
    <s v="PROD-034"/>
    <s v="R027"/>
    <n v="2"/>
    <n v="5080"/>
    <n v="16.8"/>
    <n v="8453.1200000000008"/>
    <s v="Completed"/>
    <s v="Delhi"/>
    <s v="Home"/>
    <m/>
    <s v="Retail"/>
    <n v="63"/>
    <m/>
    <m/>
  </r>
  <r>
    <s v="ORD-01332"/>
    <x v="104"/>
    <s v="CUST-0101"/>
    <s v="PROD-012"/>
    <s v="R027"/>
    <n v="2"/>
    <n v="3160"/>
    <n v="21.4"/>
    <n v="4967.5200000000004"/>
    <s v="Completed"/>
    <s v="Hyderabad"/>
    <s v="Apparel"/>
    <m/>
    <s v="SMB"/>
    <n v="40"/>
    <s v="West"/>
    <s v="Nov-24"/>
  </r>
  <r>
    <s v="ORD-01333"/>
    <x v="275"/>
    <s v="CUST-0058"/>
    <s v="PROD-047"/>
    <s v="R016"/>
    <n v="7"/>
    <n v="3450"/>
    <n v="21.3"/>
    <n v="19006.05"/>
    <s v="Completed"/>
    <s v="Bengaluru"/>
    <s v="Beauty"/>
    <m/>
    <s v="SMB"/>
    <n v="49"/>
    <m/>
    <m/>
  </r>
  <r>
    <s v="ORD-01334"/>
    <x v="94"/>
    <s v="CUST-0296"/>
    <s v="PROD-001"/>
    <s v="R006"/>
    <n v="2"/>
    <n v="5330"/>
    <n v="4.3"/>
    <n v="10201.620000000001"/>
    <s v="Completed"/>
    <s v="Delhi"/>
    <s v="Electronics"/>
    <m/>
    <s v="Corporate"/>
    <n v="47"/>
    <m/>
    <m/>
  </r>
  <r>
    <s v="ORD-01335"/>
    <x v="17"/>
    <s v="CUST-0249"/>
    <s v="PROD-056"/>
    <s v="R014"/>
    <n v="5"/>
    <n v="6940"/>
    <n v="2.9"/>
    <n v="33693.699999999997"/>
    <s v="Completed"/>
    <s v="Mumbai"/>
    <s v="Sports"/>
    <m/>
    <s v="Retail"/>
    <n v="44"/>
    <m/>
    <m/>
  </r>
  <r>
    <s v="ORD-01336"/>
    <x v="166"/>
    <s v="CUST-0055"/>
    <s v="PROD-037"/>
    <s v="R028"/>
    <n v="5"/>
    <n v="660"/>
    <n v="15.8"/>
    <n v="2778.6"/>
    <s v="Completed"/>
    <s v="Bengaluru"/>
    <s v="Home"/>
    <m/>
    <s v="Retail"/>
    <n v="34"/>
    <s v="South"/>
    <s v="Nov-24"/>
  </r>
  <r>
    <s v="ORD-01337"/>
    <x v="281"/>
    <s v="CUST-0005"/>
    <s v="PROD-048"/>
    <s v="R013"/>
    <n v="9"/>
    <n v="5100"/>
    <n v="0.4"/>
    <n v="45716.4"/>
    <s v="Completed"/>
    <s v="Chennai"/>
    <s v="Beauty"/>
    <m/>
    <s v="Corporate"/>
    <n v="52"/>
    <m/>
    <m/>
  </r>
  <r>
    <s v="ORD-01338"/>
    <x v="162"/>
    <s v="CUST-9595"/>
    <s v="PROD-044"/>
    <s v="R014"/>
    <n v="5"/>
    <n v="1650"/>
    <n v="0.8"/>
    <n v="8184"/>
    <s v="Pending"/>
    <s v="Chennai"/>
    <s v="Beauty"/>
    <m/>
    <e v="#N/A"/>
    <e v="#N/A"/>
    <m/>
    <m/>
  </r>
  <r>
    <s v="ORD-01339"/>
    <x v="286"/>
    <s v="CUST-0138"/>
    <s v="PROD-013"/>
    <s v="R018"/>
    <n v="7"/>
    <n v="3640"/>
    <n v="25.5"/>
    <n v="18982.599999999999"/>
    <s v="Completed"/>
    <s v="Chennai"/>
    <s v="Apparel"/>
    <m/>
    <s v="Retail"/>
    <n v="24"/>
    <s v="South"/>
    <s v="Jan-24"/>
  </r>
  <r>
    <s v="ORD-01340"/>
    <x v="175"/>
    <s v="CUST-0112"/>
    <s v="PROD-046"/>
    <s v="R029"/>
    <n v="6"/>
    <n v="4880"/>
    <n v="12.6"/>
    <n v="25590.720000000001"/>
    <s v="Cancelled"/>
    <s v="Hyderabad"/>
    <s v="Beauty"/>
    <m/>
    <s v="Retail"/>
    <n v="64"/>
    <m/>
    <m/>
  </r>
  <r>
    <s v="ORD-01341"/>
    <x v="124"/>
    <s v="CUST-0254"/>
    <s v="PROD-001"/>
    <s v="R028"/>
    <n v="4"/>
    <n v="5330"/>
    <n v="16.2"/>
    <n v="17866.16"/>
    <s v="Completed"/>
    <s v="Bengaluru"/>
    <s v="Electronics"/>
    <m/>
    <s v="Retail"/>
    <n v="35"/>
    <s v="West"/>
    <s v="Dec-24"/>
  </r>
  <r>
    <s v="ORD-01342"/>
    <x v="169"/>
    <s v="CUST-0087"/>
    <s v="PROD-038"/>
    <s v="R023"/>
    <n v="3"/>
    <n v="5490"/>
    <n v="26.7"/>
    <n v="12072.51"/>
    <s v="Completed"/>
    <s v="Pune"/>
    <s v="Home"/>
    <m/>
    <s v="SMB"/>
    <n v="49"/>
    <m/>
    <m/>
  </r>
  <r>
    <s v="ORD-01343"/>
    <x v="148"/>
    <s v="CUST-0142"/>
    <s v="PROD-060"/>
    <s v="R002"/>
    <n v="7"/>
    <n v="190"/>
    <n v="11.6"/>
    <n v="1175.72"/>
    <s v="Completed"/>
    <s v="Chennai"/>
    <s v="Sports"/>
    <m/>
    <s v="Corporate"/>
    <n v="55"/>
    <m/>
    <m/>
  </r>
  <r>
    <s v="ORD-01344"/>
    <x v="352"/>
    <s v="CUST-0293"/>
    <s v="PROD-012"/>
    <s v="R016"/>
    <n v="5"/>
    <n v="3160"/>
    <n v="24.1"/>
    <n v="11992.2"/>
    <s v="Completed"/>
    <s v="Bengaluru"/>
    <s v="Apparel"/>
    <m/>
    <s v="Retail"/>
    <n v="27"/>
    <s v="North"/>
    <s v="Sep-24"/>
  </r>
  <r>
    <s v="ORD-01345"/>
    <x v="183"/>
    <s v="CUST-0025"/>
    <s v="PROD-035"/>
    <s v="R023"/>
    <n v="1"/>
    <n v="1090"/>
    <n v="9.6"/>
    <n v="985.36"/>
    <s v="Refunded"/>
    <s v="Bengaluru"/>
    <s v="Home"/>
    <m/>
    <s v="Retail"/>
    <n v="23"/>
    <s v="South"/>
    <s v="May-24"/>
  </r>
  <r>
    <s v="ORD-01346"/>
    <x v="130"/>
    <s v="CUST-0096"/>
    <s v="PROD-032"/>
    <s v="R004"/>
    <n v="9"/>
    <n v="370"/>
    <n v="4"/>
    <n v="3196.8"/>
    <s v="Completed"/>
    <s v="Delhi"/>
    <s v="Home"/>
    <m/>
    <s v="Corporate"/>
    <n v="27"/>
    <s v="East"/>
    <s v="Apr-24"/>
  </r>
  <r>
    <s v="ORD-01347"/>
    <x v="212"/>
    <s v="CUST-0069"/>
    <s v="PROD-008"/>
    <s v="R002"/>
    <n v="5"/>
    <n v="2660"/>
    <n v="24.6"/>
    <n v="10028.200000000001"/>
    <s v="Cancelled"/>
    <s v="Chennai"/>
    <s v="Electronics"/>
    <m/>
    <s v="Retail"/>
    <n v="51"/>
    <m/>
    <m/>
  </r>
  <r>
    <s v="ORD-01348"/>
    <x v="322"/>
    <s v="CUST-0220"/>
    <s v="PROD-018"/>
    <s v="R018"/>
    <n v="4"/>
    <n v="3560"/>
    <n v="25.7"/>
    <n v="10580.32"/>
    <s v="Completed"/>
    <s v="Chennai"/>
    <s v="Apparel"/>
    <m/>
    <s v="Retail"/>
    <n v="34"/>
    <s v="North"/>
    <s v="Jan-24"/>
  </r>
  <r>
    <s v="ORD-01349"/>
    <x v="306"/>
    <s v="CUST-0005"/>
    <s v="PROD-049"/>
    <s v="R005"/>
    <n v="8"/>
    <n v="960"/>
    <n v="0.1"/>
    <n v="7672.32"/>
    <s v="Completed"/>
    <s v="Chennai"/>
    <s v="Beauty"/>
    <m/>
    <s v="Corporate"/>
    <n v="52"/>
    <m/>
    <m/>
  </r>
  <r>
    <s v="ORD-01350"/>
    <x v="128"/>
    <s v="CUST-0222"/>
    <s v="PROD-032"/>
    <s v="R024"/>
    <n v="10"/>
    <n v="370"/>
    <n v="16.399999999999999"/>
    <n v="3093.2"/>
    <s v="Cancelled"/>
    <s v="Chennai"/>
    <s v="Home"/>
    <m/>
    <s v="Retail"/>
    <n v="37"/>
    <s v="North"/>
    <s v="Apr-24"/>
  </r>
  <r>
    <s v="ORD-01351"/>
    <x v="342"/>
    <s v="CUST-0039"/>
    <s v="PROD-015"/>
    <s v="R029"/>
    <n v="4"/>
    <n v="2720"/>
    <n v="3.1"/>
    <n v="10542.72"/>
    <s v="Completed"/>
    <s v="Bengaluru"/>
    <s v="Apparel"/>
    <m/>
    <s v="Retail"/>
    <n v="37"/>
    <s v="West"/>
    <s v="Dec-24"/>
  </r>
  <r>
    <s v="ORD-01352"/>
    <x v="236"/>
    <s v="CUST-0224"/>
    <s v="PROD-034"/>
    <s v="R005"/>
    <n v="10"/>
    <n v="5080"/>
    <n v="6.8"/>
    <n v="47345.599999999999"/>
    <s v="Completed"/>
    <s v="Chennai"/>
    <s v="Home"/>
    <m/>
    <s v="Corporate"/>
    <n v="24"/>
    <s v="West"/>
    <s v="Apr-24"/>
  </r>
  <r>
    <s v="ORD-01353"/>
    <x v="229"/>
    <s v="CUST-0288"/>
    <s v="PROD-042"/>
    <s v="R008"/>
    <n v="6"/>
    <n v="2290"/>
    <n v="22.6"/>
    <n v="10634.76"/>
    <s v="Completed"/>
    <s v="Hyderabad"/>
    <s v="Beauty"/>
    <m/>
    <s v="Corporate"/>
    <n v="25"/>
    <s v="North"/>
    <s v="May-24"/>
  </r>
  <r>
    <s v="ORD-01354"/>
    <x v="349"/>
    <s v="CUST-0002"/>
    <s v="PROD-021"/>
    <s v="R006"/>
    <n v="4"/>
    <n v="2760"/>
    <n v="27.2"/>
    <n v="8037.12"/>
    <s v="Refunded"/>
    <s v="Pune"/>
    <s v="Grocery"/>
    <m/>
    <s v="Corporate"/>
    <n v="42"/>
    <m/>
    <m/>
  </r>
  <r>
    <s v="ORD-01355"/>
    <x v="12"/>
    <s v="CUST-0172"/>
    <s v="PROD-024"/>
    <s v="R027"/>
    <n v="9"/>
    <n v="2270"/>
    <n v="5.2"/>
    <n v="19367.64"/>
    <s v="Completed"/>
    <s v="Pune"/>
    <s v="Grocery"/>
    <m/>
    <s v="Retail"/>
    <n v="65"/>
    <m/>
    <m/>
  </r>
  <r>
    <s v="ORD-01356"/>
    <x v="66"/>
    <s v="CUST-0287"/>
    <s v="PROD-017"/>
    <s v="R008"/>
    <n v="3"/>
    <n v="2510"/>
    <n v="16.399999999999999"/>
    <n v="6295.08"/>
    <s v="Completed"/>
    <s v="Chennai"/>
    <s v="Apparel"/>
    <m/>
    <s v="SMB"/>
    <n v="53"/>
    <m/>
    <m/>
  </r>
  <r>
    <s v="ORD-01357"/>
    <x v="186"/>
    <s v="CUST-0020"/>
    <s v="PROD-023"/>
    <s v="R012"/>
    <n v="1"/>
    <n v="2380"/>
    <n v="23.5"/>
    <n v="1820.7"/>
    <s v="Completed"/>
    <s v="Hyderabad"/>
    <s v="Grocery"/>
    <m/>
    <s v="Retail"/>
    <n v="46"/>
    <m/>
    <m/>
  </r>
  <r>
    <s v="ORD-01358"/>
    <x v="130"/>
    <s v="CUST-0039"/>
    <s v="PROD-059"/>
    <s v="R019"/>
    <n v="2"/>
    <n v="3780"/>
    <n v="29.1"/>
    <n v="5360.04"/>
    <s v="Completed"/>
    <s v="Bengaluru"/>
    <s v="Sports"/>
    <m/>
    <s v="Retail"/>
    <n v="37"/>
    <s v="South"/>
    <s v="Feb-24"/>
  </r>
  <r>
    <s v="ORD-01359"/>
    <x v="14"/>
    <s v="CUST-0128"/>
    <s v="PROD-011"/>
    <s v="R026"/>
    <n v="1"/>
    <n v="3450"/>
    <n v="17.8"/>
    <n v="2835.9"/>
    <s v="Completed"/>
    <s v="Hyderabad"/>
    <s v="Apparel"/>
    <m/>
    <s v="Retail"/>
    <n v="35"/>
    <s v="East"/>
    <s v="Jun-24"/>
  </r>
  <r>
    <s v="ORD-01360"/>
    <x v="310"/>
    <s v="CUST-0149"/>
    <s v="PROD-046"/>
    <s v="R006"/>
    <n v="6"/>
    <n v="4880"/>
    <n v="15.6"/>
    <n v="24712.32"/>
    <s v="Pending"/>
    <s v="Hyderabad"/>
    <s v="Beauty"/>
    <m/>
    <s v="Retail"/>
    <n v="44"/>
    <m/>
    <m/>
  </r>
  <r>
    <s v="ORD-01361"/>
    <x v="273"/>
    <s v="CUST-0101"/>
    <s v="PROD-049"/>
    <s v="R016"/>
    <n v="6"/>
    <n v="960"/>
    <n v="7.5"/>
    <n v="5328"/>
    <s v="Pending"/>
    <s v="Hyderabad"/>
    <s v="Beauty"/>
    <m/>
    <s v="SMB"/>
    <n v="40"/>
    <s v="North"/>
    <s v="Jun-24"/>
  </r>
  <r>
    <s v="ORD-01362"/>
    <x v="147"/>
    <s v="CUST-0106"/>
    <s v="PROD-018"/>
    <s v="R023"/>
    <n v="1"/>
    <n v="3560"/>
    <n v="12.9"/>
    <n v="3100.76"/>
    <s v="Completed"/>
    <s v="Pune"/>
    <s v="Apparel"/>
    <m/>
    <s v="Retail"/>
    <n v="22"/>
    <s v="South"/>
    <s v="May-24"/>
  </r>
  <r>
    <s v="ORD-01363"/>
    <x v="12"/>
    <s v="CUST-0085"/>
    <s v="PROD-025"/>
    <s v="R005"/>
    <n v="5"/>
    <n v="4060"/>
    <n v="18.100000000000001"/>
    <n v="16625.7"/>
    <s v="Pending"/>
    <s v="Chennai"/>
    <s v="Grocery"/>
    <m/>
    <s v="Retail"/>
    <n v="26"/>
    <s v="East"/>
    <s v="Aug-24"/>
  </r>
  <r>
    <s v="ORD-01364"/>
    <x v="182"/>
    <s v="CUST-0071"/>
    <s v="PROD-015"/>
    <s v="R020"/>
    <n v="10"/>
    <n v="2720"/>
    <n v="23.2"/>
    <n v="20889.599999999999"/>
    <s v="Completed"/>
    <s v="Delhi"/>
    <s v="Apparel"/>
    <m/>
    <s v="Corporate"/>
    <n v="46"/>
    <m/>
    <m/>
  </r>
  <r>
    <s v="ORD-01365"/>
    <x v="74"/>
    <s v="CUST-0185"/>
    <s v="PROD-029"/>
    <s v="R022"/>
    <n v="1"/>
    <n v="2210"/>
    <n v="5.8"/>
    <n v="2081.8200000000002"/>
    <s v="Pending"/>
    <s v="Hyderabad"/>
    <s v="Grocery"/>
    <m/>
    <s v="SMB"/>
    <n v="43"/>
    <m/>
    <m/>
  </r>
  <r>
    <s v="ORD-01366"/>
    <x v="74"/>
    <s v="CUST-0182"/>
    <s v="PROD-047"/>
    <s v="R013"/>
    <n v="5"/>
    <n v="3450"/>
    <n v="27.9"/>
    <n v="12437.25"/>
    <s v="Pending"/>
    <s v="Mumbai"/>
    <s v="Beauty"/>
    <m/>
    <s v="Retail"/>
    <n v="54"/>
    <m/>
    <m/>
  </r>
  <r>
    <s v="ORD-01367"/>
    <x v="269"/>
    <s v="CUST-0177"/>
    <s v="PROD-023"/>
    <s v="R023"/>
    <n v="9"/>
    <n v="2380"/>
    <n v="15.2"/>
    <n v="18164.16"/>
    <s v="Refunded"/>
    <s v="Mumbai"/>
    <s v="Grocery"/>
    <m/>
    <s v="SMB"/>
    <n v="36"/>
    <s v="South"/>
    <s v="Sep-24"/>
  </r>
  <r>
    <s v="ORD-01368"/>
    <x v="317"/>
    <s v="CUST-0253"/>
    <s v="PROD-023"/>
    <s v="R002"/>
    <n v="2"/>
    <n v="2380"/>
    <n v="24.3"/>
    <n v="3603.32"/>
    <s v="Completed"/>
    <s v="Delhi"/>
    <s v="Grocery"/>
    <m/>
    <s v="SMB"/>
    <n v="53"/>
    <m/>
    <m/>
  </r>
  <r>
    <s v="ORD-01369"/>
    <x v="9"/>
    <s v="CUST-0071"/>
    <s v="PROD-018"/>
    <s v="R012"/>
    <n v="9"/>
    <n v="3560"/>
    <n v="6.6"/>
    <n v="29925.360000000001"/>
    <s v="Refunded"/>
    <s v="Delhi"/>
    <s v="Apparel"/>
    <m/>
    <s v="Corporate"/>
    <n v="46"/>
    <m/>
    <m/>
  </r>
  <r>
    <s v="ORD-01370"/>
    <x v="259"/>
    <s v="CUST-0240"/>
    <s v="PROD-009"/>
    <s v="R018"/>
    <n v="7"/>
    <n v="1220"/>
    <n v="29.4"/>
    <n v="6029.24"/>
    <s v="Completed"/>
    <s v="Chennai"/>
    <s v="Electronics"/>
    <m/>
    <s v="Corporate"/>
    <n v="35"/>
    <s v="South"/>
    <s v="Sep-24"/>
  </r>
  <r>
    <s v="ORD-01371"/>
    <x v="9"/>
    <s v="CUST-0050"/>
    <s v="PROD-056"/>
    <s v="R017"/>
    <n v="7"/>
    <n v="6940"/>
    <n v="9.6"/>
    <n v="43916.32"/>
    <s v="Completed"/>
    <s v="Mumbai"/>
    <s v="Sports"/>
    <m/>
    <s v="Retail"/>
    <n v="37"/>
    <s v="East"/>
    <s v="Feb-24"/>
  </r>
  <r>
    <s v="ORD-01372"/>
    <x v="183"/>
    <s v="CUST-0089"/>
    <s v="PROD-035"/>
    <s v="R022"/>
    <n v="2"/>
    <n v="1090"/>
    <n v="17"/>
    <n v="1809.4"/>
    <s v="Completed"/>
    <s v="Mumbai"/>
    <s v="Home"/>
    <m/>
    <s v="SMB"/>
    <n v="43"/>
    <m/>
    <m/>
  </r>
  <r>
    <s v="ORD-01373"/>
    <x v="97"/>
    <s v="CUST-0209"/>
    <s v="PROD-023"/>
    <s v="R028"/>
    <n v="4"/>
    <n v="2380"/>
    <n v="18.899999999999999"/>
    <n v="7720.72"/>
    <s v="Pending"/>
    <s v="Pune"/>
    <s v="Grocery"/>
    <m/>
    <s v="Retail"/>
    <n v="31"/>
    <s v="East"/>
    <s v="Apr-24"/>
  </r>
  <r>
    <s v="ORD-01374"/>
    <x v="344"/>
    <s v="CUST-0089"/>
    <s v="PROD-024"/>
    <s v="R004"/>
    <n v="6"/>
    <n v="2270"/>
    <n v="20.9"/>
    <n v="10773.42"/>
    <s v="Pending"/>
    <s v="Mumbai"/>
    <s v="Grocery"/>
    <m/>
    <s v="SMB"/>
    <n v="43"/>
    <m/>
    <m/>
  </r>
  <r>
    <s v="ORD-01375"/>
    <x v="248"/>
    <s v="CUST-0093"/>
    <s v="PROD-033"/>
    <s v="R019"/>
    <n v="10"/>
    <n v="2030"/>
    <n v="25"/>
    <n v="15225"/>
    <s v="Completed"/>
    <s v="Pune"/>
    <s v="Home"/>
    <m/>
    <s v="Retail"/>
    <n v="36"/>
    <s v="North"/>
    <s v="Oct-24"/>
  </r>
  <r>
    <s v="ORD-01376"/>
    <x v="118"/>
    <s v="CUST-0018"/>
    <s v="PROD-035"/>
    <s v="R027"/>
    <n v="3"/>
    <n v="1090"/>
    <n v="12.1"/>
    <n v="2874.33"/>
    <s v="Completed"/>
    <s v="Pune"/>
    <s v="Home"/>
    <m/>
    <s v="SMB"/>
    <n v="54"/>
    <m/>
    <m/>
  </r>
  <r>
    <s v="ORD-01377"/>
    <x v="291"/>
    <s v="CUST-0089"/>
    <s v="PROD-017"/>
    <s v="R017"/>
    <n v="3"/>
    <n v="2510"/>
    <n v="28.7"/>
    <n v="5368.89"/>
    <s v="Completed"/>
    <s v="Mumbai"/>
    <s v="Apparel"/>
    <m/>
    <s v="SMB"/>
    <n v="43"/>
    <m/>
    <m/>
  </r>
  <r>
    <s v="ORD-01378"/>
    <x v="249"/>
    <s v="CUST-0116"/>
    <s v="PROD-024"/>
    <s v="R026"/>
    <n v="9"/>
    <n v="2270"/>
    <n v="25.4"/>
    <n v="15240.78"/>
    <s v="Pending"/>
    <s v="Bengaluru"/>
    <s v="Grocery"/>
    <m/>
    <s v="Retail"/>
    <n v="53"/>
    <m/>
    <m/>
  </r>
  <r>
    <s v="ORD-01379"/>
    <x v="169"/>
    <s v="CUST-0071"/>
    <s v="PROD-006"/>
    <s v="R029"/>
    <n v="9"/>
    <n v="3970"/>
    <n v="10.1"/>
    <n v="32121.27"/>
    <s v="Cancelled"/>
    <s v="Delhi"/>
    <s v="Electronics"/>
    <m/>
    <s v="Corporate"/>
    <n v="46"/>
    <m/>
    <m/>
  </r>
  <r>
    <s v="ORD-01380"/>
    <x v="23"/>
    <s v="CUST-0115"/>
    <s v="PROD-029"/>
    <s v="R014"/>
    <n v="6"/>
    <n v="2210"/>
    <n v="7.4"/>
    <n v="12278.76"/>
    <s v="Completed"/>
    <s v="Mumbai"/>
    <s v="Grocery"/>
    <m/>
    <s v="SMB"/>
    <n v="65"/>
    <m/>
    <m/>
  </r>
  <r>
    <s v="ORD-01381"/>
    <x v="107"/>
    <s v="CUST-0258"/>
    <s v="PROD-041"/>
    <s v="R017"/>
    <n v="7"/>
    <n v="1540"/>
    <n v="20.6"/>
    <n v="8559.32"/>
    <s v="Completed"/>
    <s v="Pune"/>
    <s v="Beauty"/>
    <m/>
    <s v="Retail"/>
    <n v="44"/>
    <m/>
    <m/>
  </r>
  <r>
    <s v="ORD-01382"/>
    <x v="323"/>
    <s v="CUST-0290"/>
    <s v="PROD-039"/>
    <s v="R027"/>
    <n v="9"/>
    <n v="4610"/>
    <n v="2.1"/>
    <n v="40618.71"/>
    <s v="Completed"/>
    <s v="Delhi"/>
    <s v="Home"/>
    <m/>
    <s v="Retail"/>
    <n v="63"/>
    <m/>
    <m/>
  </r>
  <r>
    <s v="ORD-01383"/>
    <x v="159"/>
    <s v="CUST-0279"/>
    <s v="PROD-006"/>
    <s v="R002"/>
    <n v="10"/>
    <n v="3970"/>
    <n v="13.3"/>
    <n v="34419.9"/>
    <s v="Pending"/>
    <s v="Mumbai"/>
    <s v="Electronics"/>
    <m/>
    <s v="Retail"/>
    <n v="56"/>
    <m/>
    <m/>
  </r>
  <r>
    <s v="ORD-01384"/>
    <x v="166"/>
    <s v="CUST-0132"/>
    <s v="PROD-008"/>
    <s v="R008"/>
    <n v="8"/>
    <n v="2660"/>
    <n v="16.8"/>
    <n v="17704.96"/>
    <s v="Completed"/>
    <s v="Delhi"/>
    <s v="Electronics"/>
    <m/>
    <s v="Retail"/>
    <n v="41"/>
    <m/>
    <m/>
  </r>
  <r>
    <s v="ORD-01385"/>
    <x v="90"/>
    <s v="CUST-0029"/>
    <s v="PROD-047"/>
    <s v="R021"/>
    <n v="6"/>
    <n v="3450"/>
    <n v="23.4"/>
    <n v="15856.2"/>
    <s v="Completed"/>
    <s v="Chennai"/>
    <s v="Beauty"/>
    <m/>
    <s v="Corporate"/>
    <n v="54"/>
    <m/>
    <m/>
  </r>
  <r>
    <s v="ORD-01386"/>
    <x v="356"/>
    <s v="CUST-0295"/>
    <s v="PROD-053"/>
    <s v="R007"/>
    <n v="10"/>
    <n v="470"/>
    <n v="21.2"/>
    <n v="3703.6"/>
    <s v="Completed"/>
    <s v="Delhi"/>
    <s v="Sports"/>
    <m/>
    <s v="SMB"/>
    <n v="48"/>
    <m/>
    <m/>
  </r>
  <r>
    <s v="ORD-00168"/>
    <x v="323"/>
    <s v="CUST-0106"/>
    <s v="PROD-059"/>
    <s v="R022"/>
    <n v="7"/>
    <n v="3780"/>
    <n v="10.1"/>
    <n v="23787.54"/>
    <s v="Completed"/>
    <s v="Pune"/>
    <s v="Sports"/>
    <m/>
    <s v="Retail"/>
    <n v="22"/>
    <s v="North"/>
    <s v="Nov-24"/>
  </r>
  <r>
    <s v="ORD-01388"/>
    <x v="258"/>
    <s v="CUST-0127"/>
    <s v="PROD-014"/>
    <s v="R027"/>
    <n v="3"/>
    <n v="3620"/>
    <n v="4.2"/>
    <n v="10403.879999999999"/>
    <s v="Completed"/>
    <s v="Bengaluru"/>
    <s v="Apparel"/>
    <m/>
    <s v="SMB"/>
    <n v="36"/>
    <s v="East"/>
    <s v="Feb-24"/>
  </r>
  <r>
    <s v="ORD-01389"/>
    <x v="110"/>
    <s v="CUST-0031"/>
    <s v="PROD-049"/>
    <s v="R028"/>
    <n v="7"/>
    <n v="960"/>
    <n v="9"/>
    <n v="6115.2"/>
    <s v="Completed"/>
    <s v="Hyderabad"/>
    <s v="Beauty"/>
    <m/>
    <s v="Retail"/>
    <n v="53"/>
    <m/>
    <m/>
  </r>
  <r>
    <s v="ORD-01390"/>
    <x v="112"/>
    <s v="CUST-0256"/>
    <s v="PROD-043"/>
    <s v="R007"/>
    <n v="10"/>
    <n v="3350"/>
    <n v="1.2"/>
    <n v="33098"/>
    <s v="Cancelled"/>
    <s v="Hyderabad"/>
    <s v="Beauty"/>
    <m/>
    <s v="Retail"/>
    <n v="28"/>
    <s v="West"/>
    <s v="Sep-24"/>
  </r>
  <r>
    <s v="ORD-01391"/>
    <x v="321"/>
    <s v="CUST-0131"/>
    <s v="PROD-058"/>
    <s v="R030"/>
    <n v="3"/>
    <n v="2400"/>
    <n v="15.4"/>
    <n v="6091.2"/>
    <s v="Completed"/>
    <s v="Delhi"/>
    <s v="Sports"/>
    <m/>
    <s v="SMB"/>
    <n v="28"/>
    <s v="North"/>
    <s v="Feb-24"/>
  </r>
  <r>
    <s v="ORD-01392"/>
    <x v="192"/>
    <s v="CUST-0270"/>
    <s v="PROD-055"/>
    <s v="R002"/>
    <n v="2"/>
    <n v="2860"/>
    <n v="10.5"/>
    <n v="5119.3999999999996"/>
    <s v="Completed"/>
    <s v="Bengaluru"/>
    <s v="Sports"/>
    <m/>
    <s v="Retail"/>
    <n v="29"/>
    <s v="West"/>
    <s v="Apr-24"/>
  </r>
  <r>
    <s v="ORD-01393"/>
    <x v="247"/>
    <s v="CUST-0212"/>
    <s v="PROD-042"/>
    <s v="R008"/>
    <n v="4"/>
    <n v="2290"/>
    <n v="5.9"/>
    <n v="8619.56"/>
    <s v="Completed"/>
    <s v="Chennai"/>
    <s v="Beauty"/>
    <m/>
    <s v="SMB"/>
    <n v="46"/>
    <m/>
    <m/>
  </r>
  <r>
    <s v="ORD-01394"/>
    <x v="59"/>
    <s v="CUST-0216"/>
    <s v="PROD-001"/>
    <s v="R023"/>
    <n v="7"/>
    <n v="5330"/>
    <n v="3.5"/>
    <n v="36004.15"/>
    <s v="Cancelled"/>
    <s v="Mumbai"/>
    <s v="Electronics"/>
    <m/>
    <s v="Retail"/>
    <n v="50"/>
    <m/>
    <m/>
  </r>
  <r>
    <s v="ORD-01395"/>
    <x v="65"/>
    <s v="CUST-0189"/>
    <s v="PROD-013"/>
    <s v="R018"/>
    <n v="10"/>
    <n v="3640"/>
    <n v="20.100000000000001"/>
    <n v="29083.599999999999"/>
    <s v="Completed"/>
    <s v="Chennai"/>
    <s v="Apparel"/>
    <m/>
    <s v="Retail"/>
    <n v="41"/>
    <m/>
    <m/>
  </r>
  <r>
    <s v="ORD-01396"/>
    <x v="142"/>
    <s v="CUST-0064"/>
    <s v="PROD-034"/>
    <s v="R024"/>
    <n v="10"/>
    <n v="5080"/>
    <n v="2.1"/>
    <n v="49733.2"/>
    <s v="Completed"/>
    <s v="Hyderabad"/>
    <s v="Home"/>
    <m/>
    <s v="SMB"/>
    <n v="40"/>
    <s v="East"/>
    <s v="Oct-24"/>
  </r>
  <r>
    <s v="ORD-01397"/>
    <x v="25"/>
    <s v="CUST-0016"/>
    <s v="PROD-035"/>
    <s v="R018"/>
    <n v="4"/>
    <n v="1090"/>
    <n v="18.5"/>
    <n v="3553.4"/>
    <s v="Refunded"/>
    <s v="Delhi"/>
    <s v="Home"/>
    <m/>
    <s v="SMB"/>
    <n v="26"/>
    <s v="West"/>
    <s v="Dec-24"/>
  </r>
  <r>
    <s v="ORD-01398"/>
    <x v="218"/>
    <s v="CUST-0296"/>
    <s v="PROD-047"/>
    <s v="R030"/>
    <n v="10"/>
    <n v="3450"/>
    <n v="26.5"/>
    <n v="25357.5"/>
    <s v="Refunded"/>
    <s v="Delhi"/>
    <s v="Beauty"/>
    <m/>
    <s v="Corporate"/>
    <n v="47"/>
    <m/>
    <m/>
  </r>
  <r>
    <s v="ORD-01399"/>
    <x v="64"/>
    <s v="CUST-0031"/>
    <s v="PROD-052"/>
    <s v="R009"/>
    <n v="9"/>
    <n v="5410"/>
    <n v="11.5"/>
    <n v="43090.65"/>
    <s v="Completed"/>
    <s v="Hyderabad"/>
    <s v="Sports"/>
    <m/>
    <s v="Retail"/>
    <n v="53"/>
    <m/>
    <m/>
  </r>
  <r>
    <s v="ORD-01400"/>
    <x v="338"/>
    <s v="CUST-0207"/>
    <s v="PROD-011"/>
    <s v="R030"/>
    <n v="9"/>
    <n v="3450"/>
    <n v="0.3"/>
    <n v="30956.85"/>
    <s v="Refunded"/>
    <s v="Hyderabad"/>
    <s v="Apparel"/>
    <m/>
    <s v="SMB"/>
    <n v="34"/>
    <s v="South"/>
    <s v="Jul-24"/>
  </r>
  <r>
    <s v="ORD-01401"/>
    <x v="105"/>
    <s v="CUST-0165"/>
    <s v="PROD-012"/>
    <s v="R025"/>
    <n v="10"/>
    <n v="3160"/>
    <n v="13.6"/>
    <n v="27302.400000000001"/>
    <s v="Completed"/>
    <s v="Pune"/>
    <s v="Apparel"/>
    <m/>
    <s v="Retail"/>
    <n v="29"/>
    <s v="West"/>
    <s v="Jun-24"/>
  </r>
  <r>
    <s v="ORD-01402"/>
    <x v="301"/>
    <s v="CUST-0281"/>
    <s v="PROD-041"/>
    <s v="R026"/>
    <n v="3"/>
    <n v="1540"/>
    <n v="21.2"/>
    <n v="3640.56"/>
    <s v="Completed"/>
    <s v="Bengaluru"/>
    <s v="Beauty"/>
    <m/>
    <s v="Corporate"/>
    <n v="57"/>
    <m/>
    <m/>
  </r>
  <r>
    <s v="ORD-01403"/>
    <x v="73"/>
    <s v="CUST-0018"/>
    <s v="PROD-013"/>
    <s v="R022"/>
    <n v="5"/>
    <n v="3640"/>
    <n v="17.5"/>
    <n v="15015"/>
    <s v="Completed"/>
    <s v="Pune"/>
    <s v="Apparel"/>
    <m/>
    <s v="SMB"/>
    <n v="54"/>
    <m/>
    <m/>
  </r>
  <r>
    <s v="ORD-01404"/>
    <x v="272"/>
    <s v="CUST-0204"/>
    <s v="PROD-059"/>
    <s v="R002"/>
    <n v="4"/>
    <n v="3780"/>
    <n v="9"/>
    <n v="13759.2"/>
    <s v="Pending"/>
    <s v="Hyderabad"/>
    <s v="Sports"/>
    <m/>
    <s v="Retail"/>
    <n v="60"/>
    <m/>
    <m/>
  </r>
  <r>
    <s v="ORD-01405"/>
    <x v="357"/>
    <s v="CUST-0028"/>
    <s v="PROD-015"/>
    <s v="R025"/>
    <n v="9"/>
    <n v="2720"/>
    <n v="8.9"/>
    <n v="22301.279999999999"/>
    <s v="Completed"/>
    <s v="Bengaluru"/>
    <s v="Apparel"/>
    <m/>
    <s v="Retail"/>
    <n v="59"/>
    <m/>
    <m/>
  </r>
  <r>
    <s v="ORD-01406"/>
    <x v="83"/>
    <s v="CUST-0144"/>
    <s v="PROD-014"/>
    <s v="R004"/>
    <n v="4"/>
    <n v="3620"/>
    <n v="8"/>
    <n v="13321.6"/>
    <s v="Pending"/>
    <s v="Chennai"/>
    <s v="Apparel"/>
    <m/>
    <s v="Retail"/>
    <n v="49"/>
    <m/>
    <m/>
  </r>
  <r>
    <s v="ORD-01407"/>
    <x v="354"/>
    <s v="CUST-0043"/>
    <s v="PROD-011"/>
    <s v="R004"/>
    <n v="1"/>
    <n v="3450"/>
    <n v="0.2"/>
    <n v="3443.1"/>
    <s v="Completed"/>
    <s v="Hyderabad"/>
    <s v="Apparel"/>
    <m/>
    <s v="Retail"/>
    <n v="61"/>
    <m/>
    <m/>
  </r>
  <r>
    <s v="ORD-01408"/>
    <x v="93"/>
    <s v="CUST-0246"/>
    <s v="PROD-013"/>
    <s v="R014"/>
    <n v="7"/>
    <n v="3640"/>
    <n v="4.5999999999999996"/>
    <n v="24307.919999999998"/>
    <s v="Completed"/>
    <s v="Delhi"/>
    <s v="Apparel"/>
    <m/>
    <s v="SMB"/>
    <n v="29"/>
    <s v="North"/>
    <s v="Feb-24"/>
  </r>
  <r>
    <s v="ORD-01409"/>
    <x v="318"/>
    <s v="CUST-0156"/>
    <s v="PROD-016"/>
    <s v="R023"/>
    <n v="9"/>
    <n v="620"/>
    <n v="8.5"/>
    <n v="5105.7"/>
    <s v="Completed"/>
    <s v="Mumbai"/>
    <s v="Apparel"/>
    <m/>
    <s v="Retail"/>
    <n v="33"/>
    <s v="South"/>
    <s v="Dec-24"/>
  </r>
  <r>
    <s v="ORD-01410"/>
    <x v="318"/>
    <s v="CUST-0066"/>
    <s v="PROD-059"/>
    <s v="R016"/>
    <n v="10"/>
    <n v="3780"/>
    <n v="5.8"/>
    <n v="35607.599999999999"/>
    <s v="Completed"/>
    <s v="Delhi"/>
    <s v="Sports"/>
    <m/>
    <s v="Retail"/>
    <n v="24"/>
    <s v="East"/>
    <s v="May-24"/>
  </r>
  <r>
    <s v="ORD-01411"/>
    <x v="79"/>
    <s v="CUST-0121"/>
    <s v="PROD-003"/>
    <s v="R009"/>
    <n v="7"/>
    <n v="3570"/>
    <n v="26.1"/>
    <n v="18467.61"/>
    <s v="Completed"/>
    <s v="Delhi"/>
    <s v="Electronics"/>
    <m/>
    <s v="SMB"/>
    <n v="55"/>
    <m/>
    <m/>
  </r>
  <r>
    <s v="ORD-01412"/>
    <x v="141"/>
    <s v="CUST-0066"/>
    <s v="PROD-044"/>
    <s v="R002"/>
    <n v="2"/>
    <n v="1650"/>
    <n v="3.8"/>
    <n v="3174.6"/>
    <s v="Completed"/>
    <s v="Delhi"/>
    <s v="Beauty"/>
    <m/>
    <s v="Retail"/>
    <n v="24"/>
    <s v="South"/>
    <s v="Aug-24"/>
  </r>
  <r>
    <s v="ORD-01413"/>
    <x v="63"/>
    <s v="CUST-0099"/>
    <s v="PROD-049"/>
    <s v="R012"/>
    <n v="2"/>
    <n v="960"/>
    <n v="6.8"/>
    <n v="1789.44"/>
    <s v="Completed"/>
    <s v="Bengaluru"/>
    <s v="Beauty"/>
    <m/>
    <s v="SMB"/>
    <n v="54"/>
    <m/>
    <m/>
  </r>
  <r>
    <s v="ORD-01414"/>
    <x v="351"/>
    <s v="CUST-0054"/>
    <s v="PROD-005"/>
    <s v="R006"/>
    <n v="2"/>
    <n v="300"/>
    <n v="2.8"/>
    <n v="583.20000000000005"/>
    <s v="Completed"/>
    <s v="Mumbai"/>
    <s v="Electronics"/>
    <m/>
    <s v="Corporate"/>
    <n v="62"/>
    <m/>
    <m/>
  </r>
  <r>
    <s v="ORD-01415"/>
    <x v="230"/>
    <s v="CUST-0124"/>
    <s v="PROD-025"/>
    <s v="R027"/>
    <n v="10"/>
    <n v="4060"/>
    <n v="15.1"/>
    <n v="34469.4"/>
    <s v="Completed"/>
    <s v="Pune"/>
    <s v="Grocery"/>
    <m/>
    <s v="Retail"/>
    <n v="57"/>
    <m/>
    <m/>
  </r>
  <r>
    <s v="ORD-01416"/>
    <x v="153"/>
    <s v="CUST-0211"/>
    <s v="PROD-001"/>
    <s v="R022"/>
    <n v="6"/>
    <n v="5330"/>
    <n v="2"/>
    <n v="31340.400000000001"/>
    <s v="Completed"/>
    <s v="Bengaluru"/>
    <s v="Electronics"/>
    <m/>
    <s v="Retail"/>
    <n v="36"/>
    <s v="West"/>
    <s v="Sep-24"/>
  </r>
  <r>
    <s v="ORD-01417"/>
    <x v="160"/>
    <s v="CUST-0298"/>
    <s v="PROD-031"/>
    <s v="R021"/>
    <n v="9"/>
    <n v="3730"/>
    <n v="24.5"/>
    <n v="25345.35"/>
    <s v="Refunded"/>
    <s v="Delhi"/>
    <s v="Home"/>
    <m/>
    <s v="Retail"/>
    <n v="44"/>
    <m/>
    <m/>
  </r>
  <r>
    <s v="ORD-01418"/>
    <x v="4"/>
    <s v="CUST-0164"/>
    <s v="PROD-050"/>
    <s v="R030"/>
    <n v="1"/>
    <n v="6080"/>
    <n v="4.4000000000000004"/>
    <n v="5812.48"/>
    <s v="Cancelled"/>
    <s v="Chennai"/>
    <s v="Beauty"/>
    <m/>
    <s v="Retail"/>
    <n v="60"/>
    <m/>
    <m/>
  </r>
  <r>
    <s v="ORD-01419"/>
    <x v="111"/>
    <s v="CUST-0003"/>
    <s v="PROD-015"/>
    <s v="R025"/>
    <n v="5"/>
    <n v="2720"/>
    <n v="9.1999999999999993"/>
    <n v="12348.8"/>
    <s v="Completed"/>
    <s v="Mumbai"/>
    <s v="Apparel"/>
    <m/>
    <s v="Retail"/>
    <n v="33"/>
    <s v="West"/>
    <s v="Nov-24"/>
  </r>
  <r>
    <s v="ORD-01420"/>
    <x v="334"/>
    <s v="CUST-0239"/>
    <s v="PROD-011"/>
    <s v="R023"/>
    <n v="1"/>
    <n v="3450"/>
    <n v="15.6"/>
    <n v="2911.8"/>
    <s v="Completed"/>
    <s v="Mumbai"/>
    <s v="Apparel"/>
    <m/>
    <s v="Retail"/>
    <n v="61"/>
    <m/>
    <m/>
  </r>
  <r>
    <s v="ORD-01421"/>
    <x v="285"/>
    <s v="CUST-0116"/>
    <s v="PROD-035"/>
    <s v="R022"/>
    <n v="2"/>
    <n v="1090"/>
    <n v="0.4"/>
    <n v="2171.2800000000002"/>
    <s v="Refunded"/>
    <s v="Bengaluru"/>
    <s v="Home"/>
    <m/>
    <s v="Retail"/>
    <n v="53"/>
    <m/>
    <m/>
  </r>
  <r>
    <s v="ORD-01422"/>
    <x v="175"/>
    <s v="CUST-0232"/>
    <s v="PROD-003"/>
    <s v="R017"/>
    <n v="2"/>
    <n v="3570"/>
    <n v="9"/>
    <n v="6497.4"/>
    <s v="Completed"/>
    <s v="Hyderabad"/>
    <s v="Electronics"/>
    <m/>
    <s v="Retail"/>
    <n v="38"/>
    <s v="East"/>
    <s v="Jul-24"/>
  </r>
  <r>
    <s v="ORD-01423"/>
    <x v="352"/>
    <s v="CUST-0121"/>
    <s v="PROD-019"/>
    <s v="R014"/>
    <n v="9"/>
    <n v="2480"/>
    <n v="3.6"/>
    <n v="21516.48"/>
    <s v="Pending"/>
    <s v="Delhi"/>
    <s v="Apparel"/>
    <m/>
    <s v="SMB"/>
    <n v="55"/>
    <m/>
    <m/>
  </r>
  <r>
    <s v="ORD-01424"/>
    <x v="291"/>
    <s v="CUST-0178"/>
    <s v="PROD-027"/>
    <s v="R022"/>
    <n v="9"/>
    <n v="3780"/>
    <n v="4.5"/>
    <n v="32489.1"/>
    <s v="Completed"/>
    <s v="Hyderabad"/>
    <s v="Grocery"/>
    <m/>
    <s v="Retail"/>
    <n v="25"/>
    <s v="South"/>
    <s v="May-24"/>
  </r>
  <r>
    <s v="ORD-01425"/>
    <x v="252"/>
    <s v="CUST-0131"/>
    <s v="PROD-025"/>
    <s v="R010"/>
    <n v="5"/>
    <n v="4060"/>
    <n v="2.7"/>
    <n v="19751.900000000001"/>
    <s v="Completed"/>
    <s v="Delhi"/>
    <s v="Grocery"/>
    <m/>
    <s v="SMB"/>
    <n v="28"/>
    <s v="East"/>
    <s v="Jan-24"/>
  </r>
  <r>
    <s v="ORD-01426"/>
    <x v="148"/>
    <s v="CUST-0155"/>
    <s v="PROD-005"/>
    <s v="R002"/>
    <n v="8"/>
    <n v="300"/>
    <n v="19.8"/>
    <n v="1924.8"/>
    <s v="Cancelled"/>
    <s v="Pune"/>
    <s v="Electronics"/>
    <m/>
    <s v="Corporate"/>
    <n v="40"/>
    <s v="South"/>
    <s v="Dec-24"/>
  </r>
  <r>
    <s v="ORD-01427"/>
    <x v="253"/>
    <s v="CUST-0170"/>
    <s v="PROD-036"/>
    <s v="R002"/>
    <n v="10"/>
    <n v="3250"/>
    <n v="21.3"/>
    <n v="25577.5"/>
    <s v="Cancelled"/>
    <s v="Mumbai"/>
    <s v="Home"/>
    <m/>
    <s v="SMB"/>
    <n v="22"/>
    <s v="North"/>
    <s v="Sep-24"/>
  </r>
  <r>
    <s v="ORD-01428"/>
    <x v="48"/>
    <s v="CUST-0180"/>
    <s v="PROD-055"/>
    <s v="R009"/>
    <n v="2"/>
    <n v="2860"/>
    <n v="13.7"/>
    <n v="4936.3599999999997"/>
    <s v="Completed"/>
    <s v="Chennai"/>
    <s v="Sports"/>
    <m/>
    <s v="Retail"/>
    <n v="36"/>
    <s v="North"/>
    <s v="Jun-24"/>
  </r>
  <r>
    <s v="ORD-01429"/>
    <x v="271"/>
    <s v="CUST-0066"/>
    <s v="PROD-009"/>
    <s v="R017"/>
    <n v="10"/>
    <n v="1220"/>
    <n v="15.4"/>
    <n v="10321.200000000001"/>
    <s v="Completed"/>
    <s v="Delhi"/>
    <s v="Electronics"/>
    <m/>
    <s v="Retail"/>
    <n v="24"/>
    <s v="South"/>
    <s v="Nov-24"/>
  </r>
  <r>
    <s v="ORD-01430"/>
    <x v="96"/>
    <s v="CUST-0267"/>
    <s v="PROD-027"/>
    <s v="R010"/>
    <n v="3"/>
    <n v="3780"/>
    <n v="1.9"/>
    <n v="11124.54"/>
    <s v="Completed"/>
    <s v="Hyderabad"/>
    <s v="Grocery"/>
    <m/>
    <s v="Retail"/>
    <n v="27"/>
    <s v="East"/>
    <s v="Aug-24"/>
  </r>
  <r>
    <s v="ORD-01431"/>
    <x v="133"/>
    <s v="CUST-0034"/>
    <s v="PROD-038"/>
    <s v="R018"/>
    <n v="6"/>
    <n v="5490"/>
    <n v="0.5"/>
    <n v="32775.300000000003"/>
    <s v="Pending"/>
    <s v="Delhi"/>
    <s v="Home"/>
    <m/>
    <s v="Retail"/>
    <n v="47"/>
    <m/>
    <m/>
  </r>
  <r>
    <s v="ORD-01432"/>
    <x v="185"/>
    <s v="CUST-0029"/>
    <s v="PROD-022"/>
    <s v="R029"/>
    <n v="6"/>
    <n v="2270"/>
    <n v="21.5"/>
    <n v="10691.7"/>
    <s v="Completed"/>
    <s v="Chennai"/>
    <s v="Grocery"/>
    <m/>
    <s v="Corporate"/>
    <n v="54"/>
    <m/>
    <m/>
  </r>
  <r>
    <s v="ORD-01433"/>
    <x v="77"/>
    <s v="CUST-0224"/>
    <s v="PROD-029"/>
    <s v="R023"/>
    <n v="7"/>
    <n v="2210"/>
    <n v="10.3"/>
    <n v="13876.59"/>
    <s v="Completed"/>
    <s v="Chennai"/>
    <s v="Grocery"/>
    <m/>
    <s v="Corporate"/>
    <n v="24"/>
    <s v="West"/>
    <s v="Jul-24"/>
  </r>
  <r>
    <s v="ORD-01434"/>
    <x v="150"/>
    <s v="CUST-9889"/>
    <s v="PROD-035"/>
    <s v="R009"/>
    <n v="8"/>
    <n v="1090"/>
    <n v="21.7"/>
    <n v="6827.76"/>
    <s v="Completed"/>
    <s v="Pune"/>
    <s v="Home"/>
    <m/>
    <e v="#N/A"/>
    <e v="#N/A"/>
    <m/>
    <m/>
  </r>
  <r>
    <s v="ORD-01435"/>
    <x v="311"/>
    <s v="CUST-0130"/>
    <s v="PROD-018"/>
    <s v="R002"/>
    <n v="5"/>
    <n v="3560"/>
    <n v="19.399999999999999"/>
    <n v="14346.8"/>
    <s v="Pending"/>
    <s v="Bengaluru"/>
    <s v="Apparel"/>
    <m/>
    <s v="Corporate"/>
    <n v="41"/>
    <m/>
    <m/>
  </r>
  <r>
    <s v="ORD-01436"/>
    <x v="358"/>
    <s v="CUST-0060"/>
    <s v="PROD-054"/>
    <s v="R028"/>
    <n v="7"/>
    <n v="1010"/>
    <n v="28.2"/>
    <n v="5076.26"/>
    <s v="Completed"/>
    <s v="Pune"/>
    <s v="Sports"/>
    <m/>
    <s v="Retail"/>
    <n v="39"/>
    <s v="North"/>
    <s v="Nov-24"/>
  </r>
  <r>
    <s v="ORD-01437"/>
    <x v="19"/>
    <s v="CUST-0299"/>
    <s v="PROD-033"/>
    <s v="R015"/>
    <n v="2"/>
    <n v="2030"/>
    <n v="27.3"/>
    <n v="2951.62"/>
    <s v="Refunded"/>
    <s v="Mumbai"/>
    <s v="Home"/>
    <m/>
    <s v="Corporate"/>
    <n v="51"/>
    <m/>
    <m/>
  </r>
  <r>
    <s v="ORD-01438"/>
    <x v="154"/>
    <s v="CUST-0013"/>
    <s v="PROD-001"/>
    <s v="R012"/>
    <n v="6"/>
    <n v="5330"/>
    <n v="0.6"/>
    <n v="31788.12"/>
    <s v="Completed"/>
    <s v="Delhi"/>
    <s v="Electronics"/>
    <m/>
    <s v="Retail"/>
    <n v="41"/>
    <m/>
    <m/>
  </r>
  <r>
    <s v="ORD-01439"/>
    <x v="282"/>
    <s v="CUST-0193"/>
    <s v="PROD-010"/>
    <s v="R007"/>
    <n v="2"/>
    <n v="2640"/>
    <n v="26"/>
    <n v="3907.2"/>
    <s v="Pending"/>
    <s v="Bengaluru"/>
    <s v="Electronics"/>
    <m/>
    <s v="Retail"/>
    <n v="42"/>
    <m/>
    <m/>
  </r>
  <r>
    <s v="ORD-01440"/>
    <x v="130"/>
    <s v="CUST-0170"/>
    <s v="PROD-008"/>
    <s v="R012"/>
    <n v="8"/>
    <n v="2660"/>
    <n v="2.9"/>
    <n v="20662.88"/>
    <s v="Completed"/>
    <s v="Mumbai"/>
    <s v="Electronics"/>
    <m/>
    <s v="SMB"/>
    <n v="22"/>
    <s v="North"/>
    <s v="Aug-24"/>
  </r>
  <r>
    <s v="ORD-01441"/>
    <x v="69"/>
    <s v="CUST-0063"/>
    <s v="PROD-036"/>
    <s v="R023"/>
    <n v="6"/>
    <n v="3250"/>
    <n v="11.1"/>
    <n v="17335.5"/>
    <s v="Completed"/>
    <s v="Mumbai"/>
    <s v="Home"/>
    <m/>
    <s v="SMB"/>
    <n v="53"/>
    <m/>
    <m/>
  </r>
  <r>
    <s v="ORD-01442"/>
    <x v="246"/>
    <s v="CUST-0168"/>
    <s v="PROD-029"/>
    <s v="R004"/>
    <n v="1"/>
    <n v="2210"/>
    <n v="3.5"/>
    <n v="2132.65"/>
    <s v="Completed"/>
    <s v="Pune"/>
    <s v="Grocery"/>
    <m/>
    <s v="Retail"/>
    <n v="25"/>
    <s v="East"/>
    <s v="Apr-24"/>
  </r>
  <r>
    <s v="ORD-01443"/>
    <x v="39"/>
    <s v="CUST-0124"/>
    <s v="PROD-032"/>
    <s v="R019"/>
    <n v="9"/>
    <n v="370"/>
    <n v="12.4"/>
    <n v="2917.08"/>
    <s v="Completed"/>
    <s v="Pune"/>
    <s v="Home"/>
    <m/>
    <s v="Retail"/>
    <n v="57"/>
    <m/>
    <m/>
  </r>
  <r>
    <s v="ORD-01444"/>
    <x v="99"/>
    <s v="CUST-0138"/>
    <s v="PROD-059"/>
    <s v="R022"/>
    <n v="3"/>
    <n v="3780"/>
    <n v="8.5"/>
    <n v="10376.1"/>
    <s v="Pending"/>
    <s v="Chennai"/>
    <s v="Sports"/>
    <m/>
    <s v="Retail"/>
    <n v="24"/>
    <s v="East"/>
    <s v="May-24"/>
  </r>
  <r>
    <s v="ORD-01445"/>
    <x v="245"/>
    <s v="CUST-0146"/>
    <s v="PROD-054"/>
    <s v="R002"/>
    <n v="2"/>
    <n v="1010"/>
    <n v="2.7"/>
    <n v="1965.46"/>
    <s v="Completed"/>
    <s v="Hyderabad"/>
    <s v="Sports"/>
    <m/>
    <s v="Retail"/>
    <n v="22"/>
    <s v="East"/>
    <s v="Jun-24"/>
  </r>
  <r>
    <s v="ORD-01446"/>
    <x v="167"/>
    <s v="CUST-0244"/>
    <s v="PROD-020"/>
    <s v="R012"/>
    <n v="2"/>
    <n v="820"/>
    <n v="13.2"/>
    <n v="1423.52"/>
    <s v="Pending"/>
    <s v="Bengaluru"/>
    <s v="Apparel"/>
    <m/>
    <s v="Retail"/>
    <n v="61"/>
    <m/>
    <m/>
  </r>
  <r>
    <s v="ORD-01447"/>
    <x v="337"/>
    <s v="CUST-0291"/>
    <s v="PROD-028"/>
    <s v="R012"/>
    <n v="1"/>
    <n v="3660"/>
    <n v="14"/>
    <n v="3147.6"/>
    <s v="Refunded"/>
    <s v="Pune"/>
    <s v="Grocery"/>
    <m/>
    <s v="SMB"/>
    <n v="29"/>
    <s v="South"/>
    <s v="Dec-24"/>
  </r>
  <r>
    <s v="ORD-01448"/>
    <x v="130"/>
    <s v="CUST-0222"/>
    <s v="PROD-022"/>
    <s v="R017"/>
    <n v="6"/>
    <n v="2270"/>
    <n v="16"/>
    <n v="11440.8"/>
    <s v="Completed"/>
    <s v="Chennai"/>
    <s v="Grocery"/>
    <m/>
    <s v="Retail"/>
    <n v="37"/>
    <s v="South"/>
    <s v="Jul-24"/>
  </r>
  <r>
    <s v="ORD-01449"/>
    <x v="311"/>
    <s v="CUST-0137"/>
    <s v="PROD-049"/>
    <s v="R019"/>
    <n v="7"/>
    <n v="960"/>
    <n v="28.8"/>
    <n v="4784.6400000000003"/>
    <s v="Refunded"/>
    <s v="Mumbai"/>
    <s v="Beauty"/>
    <m/>
    <s v="Retail"/>
    <n v="41"/>
    <m/>
    <m/>
  </r>
  <r>
    <s v="ORD-01450"/>
    <x v="218"/>
    <s v="CUST-0150"/>
    <s v="PROD-033"/>
    <s v="R025"/>
    <n v="9"/>
    <n v="2030"/>
    <n v="3.4"/>
    <n v="17648.82"/>
    <s v="Completed"/>
    <s v="Pune"/>
    <s v="Home"/>
    <m/>
    <s v="SMB"/>
    <n v="53"/>
    <m/>
    <m/>
  </r>
  <r>
    <s v="ORD-01451"/>
    <x v="193"/>
    <s v="CUST-0058"/>
    <s v="PROD-023"/>
    <s v="R005"/>
    <n v="6"/>
    <n v="2380"/>
    <n v="13.2"/>
    <n v="12395.04"/>
    <s v="Completed"/>
    <s v="Bengaluru"/>
    <s v="Grocery"/>
    <m/>
    <s v="SMB"/>
    <n v="49"/>
    <m/>
    <m/>
  </r>
  <r>
    <s v="ORD-01452"/>
    <x v="231"/>
    <s v="CUST-0187"/>
    <s v="PROD-047"/>
    <s v="R009"/>
    <n v="10"/>
    <n v="3450"/>
    <n v="8.6999999999999993"/>
    <n v="31498.5"/>
    <s v="Completed"/>
    <s v="Chennai"/>
    <s v="Beauty"/>
    <m/>
    <s v="SMB"/>
    <n v="51"/>
    <m/>
    <m/>
  </r>
  <r>
    <s v="ORD-01453"/>
    <x v="173"/>
    <s v="CUST-0116"/>
    <s v="PROD-049"/>
    <s v="R021"/>
    <n v="6"/>
    <n v="960"/>
    <n v="20.6"/>
    <n v="4573.4399999999996"/>
    <s v="Pending"/>
    <s v="Bengaluru"/>
    <s v="Beauty"/>
    <m/>
    <s v="Retail"/>
    <n v="53"/>
    <m/>
    <m/>
  </r>
  <r>
    <s v="ORD-01454"/>
    <x v="123"/>
    <s v="CUST-0290"/>
    <s v="PROD-018"/>
    <s v="R013"/>
    <n v="10"/>
    <n v="3560"/>
    <n v="1.4"/>
    <n v="35101.599999999999"/>
    <s v="Pending"/>
    <s v="Delhi"/>
    <s v="Apparel"/>
    <m/>
    <s v="Retail"/>
    <n v="63"/>
    <m/>
    <m/>
  </r>
  <r>
    <s v="ORD-01455"/>
    <x v="20"/>
    <s v="CUST-0053"/>
    <s v="PROD-015"/>
    <s v="R014"/>
    <n v="4"/>
    <n v="2720"/>
    <n v="19.399999999999999"/>
    <n v="8769.2800000000007"/>
    <s v="Refunded"/>
    <s v="Delhi"/>
    <s v="Apparel"/>
    <m/>
    <s v="Retail"/>
    <n v="53"/>
    <m/>
    <m/>
  </r>
  <r>
    <s v="ORD-01456"/>
    <x v="86"/>
    <s v="CUST-0044"/>
    <s v="PROD-009"/>
    <s v="R029"/>
    <n v="5"/>
    <n v="1220"/>
    <n v="15.6"/>
    <n v="5148.3999999999996"/>
    <s v="Completed"/>
    <s v="Hyderabad"/>
    <s v="Electronics"/>
    <m/>
    <s v="SMB"/>
    <n v="29"/>
    <s v="South"/>
    <s v="Mar-24"/>
  </r>
  <r>
    <s v="ORD-01457"/>
    <x v="234"/>
    <s v="CUST-0267"/>
    <s v="PROD-035"/>
    <s v="R026"/>
    <n v="5"/>
    <n v="1090"/>
    <n v="15"/>
    <n v="4632.5"/>
    <s v="Completed"/>
    <s v="Hyderabad"/>
    <s v="Home"/>
    <m/>
    <s v="Retail"/>
    <n v="27"/>
    <s v="West"/>
    <s v="Jun-24"/>
  </r>
  <r>
    <s v="ORD-01458"/>
    <x v="221"/>
    <s v="CUST-0179"/>
    <s v="PROD-032"/>
    <s v="R029"/>
    <n v="9"/>
    <n v="370"/>
    <n v="25.4"/>
    <n v="2484.1799999999998"/>
    <s v="Completed"/>
    <s v="Mumbai"/>
    <s v="Home"/>
    <m/>
    <s v="SMB"/>
    <n v="54"/>
    <m/>
    <m/>
  </r>
  <r>
    <s v="ORD-01459"/>
    <x v="145"/>
    <s v="CUST-0089"/>
    <s v="PROD-055"/>
    <s v="R007"/>
    <n v="7"/>
    <n v="2860"/>
    <n v="14"/>
    <n v="17217.2"/>
    <s v="Completed"/>
    <s v="Mumbai"/>
    <s v="Sports"/>
    <m/>
    <s v="SMB"/>
    <n v="43"/>
    <m/>
    <m/>
  </r>
  <r>
    <s v="ORD-01460"/>
    <x v="156"/>
    <s v="CUST-0090"/>
    <s v="PROD-029"/>
    <s v="R026"/>
    <n v="1"/>
    <n v="2210"/>
    <n v="1.7"/>
    <n v="2172.4299999999998"/>
    <s v="Completed"/>
    <s v="Bengaluru"/>
    <s v="Grocery"/>
    <m/>
    <s v="Corporate"/>
    <n v="26"/>
    <s v="North"/>
    <s v="Jun-24"/>
  </r>
  <r>
    <s v="ORD-01461"/>
    <x v="241"/>
    <s v="CUST-0135"/>
    <s v="PROD-030"/>
    <s v="R025"/>
    <n v="3"/>
    <n v="970"/>
    <n v="20.3"/>
    <n v="2319.27"/>
    <s v="Pending"/>
    <s v="Pune"/>
    <s v="Grocery"/>
    <m/>
    <s v="SMB"/>
    <n v="24"/>
    <s v="West"/>
    <s v="Jul-24"/>
  </r>
  <r>
    <s v="ORD-01462"/>
    <x v="233"/>
    <s v="CUST-0252"/>
    <s v="PROD-018"/>
    <s v="R021"/>
    <n v="5"/>
    <n v="3560"/>
    <n v="17.100000000000001"/>
    <n v="14756.2"/>
    <s v="Completed"/>
    <s v="Bengaluru"/>
    <s v="Apparel"/>
    <m/>
    <s v="Retail"/>
    <n v="27"/>
    <s v="West"/>
    <s v="Oct-24"/>
  </r>
  <r>
    <s v="ORD-01463"/>
    <x v="244"/>
    <s v="CUST-0086"/>
    <s v="PROD-040"/>
    <s v="R023"/>
    <n v="10"/>
    <n v="1080"/>
    <n v="12.8"/>
    <n v="9417.6"/>
    <s v="Completed"/>
    <s v="Hyderabad"/>
    <s v="Home"/>
    <m/>
    <s v="Corporate"/>
    <n v="56"/>
    <m/>
    <m/>
  </r>
  <r>
    <s v="ORD-01464"/>
    <x v="258"/>
    <s v="CUST-0264"/>
    <s v="PROD-009"/>
    <s v="R011"/>
    <n v="3"/>
    <n v="1220"/>
    <n v="1.9"/>
    <n v="3590.46"/>
    <s v="Completed"/>
    <s v="Pune"/>
    <s v="Electronics"/>
    <m/>
    <s v="Retail"/>
    <n v="59"/>
    <m/>
    <m/>
  </r>
  <r>
    <s v="ORD-01465"/>
    <x v="319"/>
    <s v="CUST-9851"/>
    <s v="PROD-031"/>
    <s v="R009"/>
    <n v="1"/>
    <n v="3730"/>
    <n v="14.7"/>
    <n v="3181.69"/>
    <s v="Pending"/>
    <s v="Pune"/>
    <s v="Home"/>
    <m/>
    <e v="#N/A"/>
    <e v="#N/A"/>
    <m/>
    <m/>
  </r>
  <r>
    <s v="ORD-01466"/>
    <x v="108"/>
    <s v="CUST-0143"/>
    <s v="PROD-007"/>
    <s v="R001"/>
    <n v="3"/>
    <n v="1430"/>
    <n v="13.2"/>
    <n v="3723.72"/>
    <s v="Completed"/>
    <s v="Chennai"/>
    <s v="Electronics"/>
    <m/>
    <s v="SMB"/>
    <n v="52"/>
    <m/>
    <m/>
  </r>
  <r>
    <s v="ORD-01467"/>
    <x v="3"/>
    <s v="CUST-0086"/>
    <s v="PROD-050"/>
    <s v="R018"/>
    <n v="2"/>
    <n v="6080"/>
    <n v="21.8"/>
    <n v="9509.1200000000008"/>
    <s v="Cancelled"/>
    <s v="Hyderabad"/>
    <s v="Beauty"/>
    <m/>
    <s v="Corporate"/>
    <n v="56"/>
    <m/>
    <m/>
  </r>
  <r>
    <s v="ORD-01468"/>
    <x v="30"/>
    <s v="CUST-0196"/>
    <s v="PROD-048"/>
    <s v="R015"/>
    <n v="9"/>
    <n v="5100"/>
    <n v="29.3"/>
    <n v="32451.3"/>
    <s v="Completed"/>
    <s v="Chennai"/>
    <s v="Beauty"/>
    <m/>
    <s v="Retail"/>
    <n v="26"/>
    <s v="East"/>
    <s v="May-24"/>
  </r>
  <r>
    <s v="ORD-01469"/>
    <x v="75"/>
    <s v="CUST-0089"/>
    <s v="PROD-011"/>
    <s v="R014"/>
    <n v="5"/>
    <n v="3450"/>
    <n v="5.3"/>
    <n v="16335.75"/>
    <s v="Completed"/>
    <s v="Mumbai"/>
    <s v="Apparel"/>
    <m/>
    <s v="SMB"/>
    <n v="43"/>
    <m/>
    <m/>
  </r>
  <r>
    <s v="ORD-01470"/>
    <x v="215"/>
    <s v="CUST-0149"/>
    <s v="PROD-003"/>
    <s v="R002"/>
    <n v="6"/>
    <n v="3570"/>
    <n v="17.3"/>
    <n v="17714.34"/>
    <s v="Completed"/>
    <s v="Hyderabad"/>
    <s v="Electronics"/>
    <m/>
    <s v="Retail"/>
    <n v="44"/>
    <m/>
    <m/>
  </r>
  <r>
    <s v="ORD-01471"/>
    <x v="328"/>
    <s v="CUST-0161"/>
    <s v="PROD-031"/>
    <s v="R018"/>
    <n v="6"/>
    <n v="3730"/>
    <n v="1"/>
    <n v="22156.2"/>
    <s v="Completed"/>
    <s v="Chennai"/>
    <s v="Home"/>
    <m/>
    <s v="Retail"/>
    <n v="38"/>
    <s v="North"/>
    <s v="Dec-24"/>
  </r>
  <r>
    <s v="ORD-01472"/>
    <x v="182"/>
    <s v="CUST-0022"/>
    <s v="PROD-059"/>
    <s v="R019"/>
    <n v="4"/>
    <n v="3780"/>
    <n v="13.1"/>
    <n v="13139.28"/>
    <s v="Completed"/>
    <s v="Bengaluru"/>
    <s v="Sports"/>
    <m/>
    <s v="Corporate"/>
    <n v="55"/>
    <m/>
    <m/>
  </r>
  <r>
    <s v="ORD-01473"/>
    <x v="187"/>
    <s v="CUST-0169"/>
    <s v="PROD-017"/>
    <s v="R011"/>
    <n v="1"/>
    <n v="2510"/>
    <n v="27.8"/>
    <n v="1812.22"/>
    <s v="Cancelled"/>
    <s v="Bengaluru"/>
    <s v="Apparel"/>
    <m/>
    <s v="SMB"/>
    <n v="42"/>
    <m/>
    <m/>
  </r>
  <r>
    <s v="ORD-01474"/>
    <x v="251"/>
    <s v="CUST-0290"/>
    <s v="PROD-037"/>
    <s v="R007"/>
    <n v="9"/>
    <n v="660"/>
    <n v="29.3"/>
    <n v="4199.58"/>
    <s v="Completed"/>
    <s v="Delhi"/>
    <s v="Home"/>
    <m/>
    <s v="Retail"/>
    <n v="63"/>
    <m/>
    <m/>
  </r>
  <r>
    <s v="ORD-01475"/>
    <x v="11"/>
    <s v="CUST-0156"/>
    <s v="PROD-013"/>
    <s v="R030"/>
    <n v="7"/>
    <n v="3640"/>
    <n v="11.6"/>
    <n v="22524.32"/>
    <s v="Completed"/>
    <s v="Mumbai"/>
    <s v="Apparel"/>
    <m/>
    <s v="Retail"/>
    <n v="33"/>
    <s v="North"/>
    <s v="Oct-24"/>
  </r>
  <r>
    <s v="ORD-01476"/>
    <x v="209"/>
    <s v="CUST-0005"/>
    <s v="PROD-052"/>
    <s v="R019"/>
    <n v="8"/>
    <n v="5410"/>
    <n v="25.6"/>
    <n v="32200.32"/>
    <s v="Completed"/>
    <s v="Chennai"/>
    <s v="Sports"/>
    <m/>
    <s v="Corporate"/>
    <n v="52"/>
    <m/>
    <m/>
  </r>
  <r>
    <s v="ORD-01477"/>
    <x v="305"/>
    <s v="CUST-0206"/>
    <s v="PROD-058"/>
    <s v="R008"/>
    <n v="4"/>
    <n v="2400"/>
    <n v="10.4"/>
    <n v="8601.6"/>
    <s v="Completed"/>
    <s v="Mumbai"/>
    <s v="Sports"/>
    <m/>
    <s v="Retail"/>
    <n v="40"/>
    <s v="East"/>
    <s v="May-24"/>
  </r>
  <r>
    <s v="ORD-01478"/>
    <x v="144"/>
    <s v="CUST-0240"/>
    <s v="PROD-038"/>
    <s v="R028"/>
    <n v="2"/>
    <n v="5490"/>
    <n v="5.4"/>
    <n v="10387.08"/>
    <s v="Completed"/>
    <s v="Chennai"/>
    <s v="Home"/>
    <m/>
    <s v="Corporate"/>
    <n v="35"/>
    <s v="North"/>
    <s v="Feb-24"/>
  </r>
  <r>
    <s v="ORD-01479"/>
    <x v="340"/>
    <s v="CUST-0109"/>
    <s v="PROD-041"/>
    <s v="R016"/>
    <n v="6"/>
    <n v="1540"/>
    <n v="0.6"/>
    <n v="9184.56"/>
    <s v="Completed"/>
    <s v="Pune"/>
    <s v="Beauty"/>
    <m/>
    <s v="Retail"/>
    <n v="42"/>
    <m/>
    <m/>
  </r>
  <r>
    <s v="ORD-01480"/>
    <x v="30"/>
    <s v="CUST-0201"/>
    <s v="PROD-001"/>
    <s v="R001"/>
    <n v="3"/>
    <n v="5330"/>
    <n v="1"/>
    <n v="15830.1"/>
    <s v="Pending"/>
    <s v="Hyderabad"/>
    <s v="Electronics"/>
    <m/>
    <s v="Retail"/>
    <n v="31"/>
    <s v="South"/>
    <s v="Aug-24"/>
  </r>
  <r>
    <s v="ORD-01481"/>
    <x v="190"/>
    <s v="CUST-0100"/>
    <s v="PROD-055"/>
    <s v="R012"/>
    <n v="6"/>
    <n v="2860"/>
    <n v="13.3"/>
    <n v="14877.72"/>
    <s v="Completed"/>
    <s v="Hyderabad"/>
    <s v="Sports"/>
    <m/>
    <s v="Corporate"/>
    <n v="60"/>
    <m/>
    <m/>
  </r>
  <r>
    <s v="ORD-01482"/>
    <x v="359"/>
    <s v="CUST-0262"/>
    <s v="PROD-046"/>
    <s v="R006"/>
    <n v="3"/>
    <n v="4880"/>
    <n v="12.1"/>
    <n v="12868.56"/>
    <s v="Completed"/>
    <s v="Mumbai"/>
    <s v="Beauty"/>
    <m/>
    <s v="Retail"/>
    <n v="52"/>
    <m/>
    <m/>
  </r>
  <r>
    <s v="ORD-01483"/>
    <x v="177"/>
    <s v="CUST-0067"/>
    <s v="PROD-017"/>
    <s v="R005"/>
    <n v="5"/>
    <n v="2510"/>
    <n v="2.9"/>
    <n v="12186.05"/>
    <s v="Pending"/>
    <s v="Delhi"/>
    <s v="Apparel"/>
    <m/>
    <s v="SMB"/>
    <n v="59"/>
    <m/>
    <m/>
  </r>
  <r>
    <s v="ORD-01484"/>
    <x v="283"/>
    <s v="CUST-9844"/>
    <s v="PROD-006"/>
    <s v="R020"/>
    <n v="9"/>
    <n v="3970"/>
    <n v="28"/>
    <n v="25725.599999999999"/>
    <s v="Completed"/>
    <s v="Pune"/>
    <s v="Electronics"/>
    <m/>
    <e v="#N/A"/>
    <e v="#N/A"/>
    <m/>
    <m/>
  </r>
  <r>
    <s v="ORD-01485"/>
    <x v="106"/>
    <s v="CUST-0122"/>
    <s v="PROD-053"/>
    <s v="R027"/>
    <n v="4"/>
    <n v="470"/>
    <n v="19.100000000000001"/>
    <n v="1520.92"/>
    <s v="Pending"/>
    <s v="Mumbai"/>
    <s v="Sports"/>
    <m/>
    <s v="Retail"/>
    <n v="44"/>
    <m/>
    <m/>
  </r>
  <r>
    <s v="ORD-01486"/>
    <x v="269"/>
    <s v="CUST-0129"/>
    <s v="PROD-001"/>
    <s v="R025"/>
    <n v="7"/>
    <n v="5330"/>
    <n v="17.2"/>
    <n v="30892.68"/>
    <s v="Cancelled"/>
    <s v="Hyderabad"/>
    <s v="Electronics"/>
    <m/>
    <s v="Retail"/>
    <n v="29"/>
    <s v="West"/>
    <s v="Oct-24"/>
  </r>
  <r>
    <s v="ORD-01487"/>
    <x v="187"/>
    <s v="CUST-0056"/>
    <s v="PROD-035"/>
    <s v="R012"/>
    <n v="4"/>
    <n v="1090"/>
    <n v="4.9000000000000004"/>
    <n v="4146.3599999999997"/>
    <s v="Cancelled"/>
    <s v="Bengaluru"/>
    <s v="Home"/>
    <m/>
    <s v="SMB"/>
    <n v="46"/>
    <m/>
    <m/>
  </r>
  <r>
    <s v="ORD-01488"/>
    <x v="145"/>
    <s v="CUST-0080"/>
    <s v="PROD-054"/>
    <s v="R009"/>
    <n v="2"/>
    <n v="1010"/>
    <n v="14"/>
    <n v="1737.2"/>
    <s v="Completed"/>
    <s v="Pune"/>
    <s v="Sports"/>
    <m/>
    <s v="SMB"/>
    <n v="30"/>
    <s v="South"/>
    <s v="Aug-24"/>
  </r>
  <r>
    <s v="ORD-01489"/>
    <x v="30"/>
    <s v="CUST-0155"/>
    <s v="PROD-004"/>
    <s v="R016"/>
    <n v="9"/>
    <n v="3870"/>
    <n v="8.1999999999999993"/>
    <n v="31973.94"/>
    <s v="Completed"/>
    <s v="Pune"/>
    <s v="Electronics"/>
    <m/>
    <s v="Corporate"/>
    <n v="40"/>
    <s v="South"/>
    <s v="Jun-24"/>
  </r>
  <r>
    <s v="ORD-01490"/>
    <x v="304"/>
    <s v="CUST-0278"/>
    <s v="PROD-008"/>
    <s v="R013"/>
    <n v="7"/>
    <n v="2660"/>
    <n v="15.9"/>
    <n v="15659.42"/>
    <s v="Completed"/>
    <s v="Hyderabad"/>
    <s v="Electronics"/>
    <m/>
    <s v="Retail"/>
    <n v="41"/>
    <m/>
    <m/>
  </r>
  <r>
    <s v="ORD-01491"/>
    <x v="204"/>
    <s v="CUST-0075"/>
    <s v="PROD-007"/>
    <s v="R019"/>
    <n v="4"/>
    <n v="1430"/>
    <n v="25.6"/>
    <n v="4255.68"/>
    <s v="Completed"/>
    <s v="Mumbai"/>
    <s v="Electronics"/>
    <m/>
    <s v="Corporate"/>
    <n v="55"/>
    <m/>
    <m/>
  </r>
  <r>
    <s v="ORD-01492"/>
    <x v="163"/>
    <s v="CUST-0274"/>
    <s v="PROD-046"/>
    <s v="R023"/>
    <n v="4"/>
    <n v="4880"/>
    <n v="19.399999999999999"/>
    <n v="15733.12"/>
    <s v="Cancelled"/>
    <s v="Bengaluru"/>
    <s v="Beauty"/>
    <m/>
    <s v="Corporate"/>
    <n v="36"/>
    <s v="East"/>
    <s v="Nov-24"/>
  </r>
  <r>
    <s v="ORD-01493"/>
    <x v="286"/>
    <s v="CUST-0197"/>
    <s v="PROD-060"/>
    <s v="R001"/>
    <n v="2"/>
    <n v="190"/>
    <n v="9"/>
    <n v="345.8"/>
    <s v="Completed"/>
    <s v="Bengaluru"/>
    <s v="Sports"/>
    <m/>
    <s v="Retail"/>
    <n v="55"/>
    <m/>
    <m/>
  </r>
  <r>
    <s v="ORD-01494"/>
    <x v="209"/>
    <s v="CUST-0294"/>
    <s v="PROD-045"/>
    <s v="R019"/>
    <n v="1"/>
    <n v="3020"/>
    <n v="3.6"/>
    <n v="2911.28"/>
    <s v="Refunded"/>
    <s v="Delhi"/>
    <s v="Beauty"/>
    <m/>
    <s v="Corporate"/>
    <n v="31"/>
    <s v="North"/>
    <s v="Oct-24"/>
  </r>
  <r>
    <s v="ORD-01495"/>
    <x v="131"/>
    <s v="CUST-0281"/>
    <s v="PROD-046"/>
    <s v="R019"/>
    <n v="2"/>
    <n v="4880"/>
    <n v="2"/>
    <n v="9564.7999999999993"/>
    <s v="Cancelled"/>
    <s v="Bengaluru"/>
    <s v="Beauty"/>
    <m/>
    <s v="Corporate"/>
    <n v="57"/>
    <m/>
    <m/>
  </r>
  <r>
    <s v="ORD-01496"/>
    <x v="158"/>
    <s v="CUST-0130"/>
    <s v="PROD-058"/>
    <s v="R027"/>
    <n v="4"/>
    <n v="2400"/>
    <n v="11.5"/>
    <n v="8496"/>
    <s v="Completed"/>
    <s v="Bengaluru"/>
    <s v="Sports"/>
    <m/>
    <s v="Corporate"/>
    <n v="41"/>
    <m/>
    <m/>
  </r>
  <r>
    <s v="ORD-01497"/>
    <x v="298"/>
    <s v="CUST-0097"/>
    <s v="PROD-050"/>
    <s v="R002"/>
    <n v="2"/>
    <n v="6080"/>
    <n v="0.5"/>
    <n v="12099.2"/>
    <s v="Cancelled"/>
    <s v="Mumbai"/>
    <s v="Beauty"/>
    <m/>
    <s v="Retail"/>
    <n v="65"/>
    <m/>
    <m/>
  </r>
  <r>
    <s v="ORD-01498"/>
    <x v="360"/>
    <s v="CUST-0148"/>
    <s v="PROD-023"/>
    <s v="R023"/>
    <n v="7"/>
    <n v="2380"/>
    <n v="12.3"/>
    <n v="14610.82"/>
    <s v="Completed"/>
    <s v="Chennai"/>
    <s v="Grocery"/>
    <m/>
    <s v="Retail"/>
    <n v="32"/>
    <s v="North"/>
    <s v="Mar-24"/>
  </r>
  <r>
    <s v="ORD-01499"/>
    <x v="89"/>
    <s v="CUST-0102"/>
    <s v="PROD-041"/>
    <s v="R001"/>
    <n v="10"/>
    <n v="1540"/>
    <n v="20.6"/>
    <n v="12227.6"/>
    <s v="Completed"/>
    <s v="Chennai"/>
    <s v="Beauty"/>
    <m/>
    <s v="SMB"/>
    <n v="62"/>
    <m/>
    <m/>
  </r>
  <r>
    <s v="ORD-01500"/>
    <x v="226"/>
    <s v="CUST-0265"/>
    <s v="PROD-004"/>
    <s v="R028"/>
    <n v="7"/>
    <n v="3870"/>
    <n v="6.1"/>
    <n v="25437.51"/>
    <s v="Completed"/>
    <s v="Chennai"/>
    <s v="Electronics"/>
    <m/>
    <s v="Retail"/>
    <n v="49"/>
    <m/>
    <m/>
  </r>
  <r>
    <s v="ORD-01501"/>
    <x v="266"/>
    <s v="CUST-0073"/>
    <s v="PROD-032"/>
    <s v="R021"/>
    <n v="3"/>
    <n v="370"/>
    <n v="13.7"/>
    <n v="957.93"/>
    <s v="Completed"/>
    <s v="Pune"/>
    <s v="Home"/>
    <m/>
    <s v="Corporate"/>
    <n v="40"/>
    <s v="West"/>
    <s v="Aug-24"/>
  </r>
  <r>
    <s v="ORD-01502"/>
    <x v="60"/>
    <s v="CUST-0070"/>
    <s v="PROD-060"/>
    <s v="R027"/>
    <n v="8"/>
    <n v="190"/>
    <n v="0.2"/>
    <n v="1516.96"/>
    <s v="Completed"/>
    <s v="Mumbai"/>
    <s v="Sports"/>
    <m/>
    <s v="Retail"/>
    <n v="42"/>
    <m/>
    <m/>
  </r>
  <r>
    <s v="ORD-01503"/>
    <x v="350"/>
    <s v="CUST-0202"/>
    <s v="PROD-007"/>
    <s v="R011"/>
    <n v="6"/>
    <n v="1430"/>
    <n v="0.1"/>
    <n v="8571.42"/>
    <s v="Completed"/>
    <s v="Chennai"/>
    <s v="Electronics"/>
    <m/>
    <s v="Retail"/>
    <n v="39"/>
    <s v="West"/>
    <s v="Feb-24"/>
  </r>
  <r>
    <s v="ORD-01504"/>
    <x v="63"/>
    <s v="CUST-0240"/>
    <s v="PROD-053"/>
    <s v="R020"/>
    <n v="4"/>
    <n v="470"/>
    <n v="3"/>
    <n v="1823.6"/>
    <s v="Completed"/>
    <s v="Chennai"/>
    <s v="Sports"/>
    <m/>
    <s v="Corporate"/>
    <n v="35"/>
    <s v="South"/>
    <s v="Jul-24"/>
  </r>
  <r>
    <s v="ORD-01505"/>
    <x v="225"/>
    <s v="CUST-0163"/>
    <s v="PROD-018"/>
    <s v="R004"/>
    <n v="4"/>
    <n v="3560"/>
    <n v="1.1000000000000001"/>
    <n v="14083.36"/>
    <s v="Completed"/>
    <s v="Pune"/>
    <s v="Apparel"/>
    <m/>
    <s v="Retail"/>
    <n v="49"/>
    <m/>
    <m/>
  </r>
  <r>
    <s v="ORD-01506"/>
    <x v="126"/>
    <s v="CUST-0238"/>
    <s v="PROD-046"/>
    <s v="R012"/>
    <n v="5"/>
    <n v="4880"/>
    <n v="17"/>
    <n v="20252"/>
    <s v="Completed"/>
    <s v="Delhi"/>
    <s v="Beauty"/>
    <m/>
    <s v="Retail"/>
    <n v="49"/>
    <m/>
    <m/>
  </r>
  <r>
    <s v="ORD-01507"/>
    <x v="64"/>
    <s v="CUST-0196"/>
    <s v="PROD-003"/>
    <s v="R009"/>
    <n v="9"/>
    <n v="3570"/>
    <n v="12"/>
    <n v="28274.400000000001"/>
    <s v="Completed"/>
    <s v="Chennai"/>
    <s v="Electronics"/>
    <m/>
    <s v="Retail"/>
    <n v="26"/>
    <s v="South"/>
    <s v="Aug-24"/>
  </r>
  <r>
    <s v="ORD-01508"/>
    <x v="43"/>
    <s v="CUST-0220"/>
    <s v="PROD-051"/>
    <s v="R025"/>
    <n v="6"/>
    <n v="3450"/>
    <n v="22.7"/>
    <n v="16001.1"/>
    <s v="Cancelled"/>
    <s v="Chennai"/>
    <s v="Sports"/>
    <m/>
    <s v="Retail"/>
    <n v="34"/>
    <s v="South"/>
    <s v="Jul-24"/>
  </r>
  <r>
    <s v="ORD-01509"/>
    <x v="145"/>
    <s v="CUST-0142"/>
    <s v="PROD-040"/>
    <s v="R002"/>
    <n v="10"/>
    <n v="1080"/>
    <n v="27.4"/>
    <n v="7840.8"/>
    <s v="Completed"/>
    <s v="Chennai"/>
    <s v="Home"/>
    <m/>
    <s v="Corporate"/>
    <n v="55"/>
    <m/>
    <m/>
  </r>
  <r>
    <s v="ORD-01510"/>
    <x v="150"/>
    <s v="CUST-0217"/>
    <s v="PROD-041"/>
    <s v="R025"/>
    <n v="6"/>
    <n v="1540"/>
    <n v="17.100000000000001"/>
    <n v="7659.96"/>
    <s v="Completed"/>
    <s v="Pune"/>
    <s v="Beauty"/>
    <m/>
    <s v="SMB"/>
    <n v="59"/>
    <m/>
    <m/>
  </r>
  <r>
    <s v="ORD-01511"/>
    <x v="361"/>
    <s v="CUST-9582"/>
    <s v="PROD-015"/>
    <s v="R013"/>
    <n v="6"/>
    <n v="2720"/>
    <n v="28.1"/>
    <n v="11734.08"/>
    <s v="Completed"/>
    <s v="Mumbai"/>
    <s v="Apparel"/>
    <m/>
    <e v="#N/A"/>
    <e v="#N/A"/>
    <m/>
    <m/>
  </r>
  <r>
    <s v="ORD-01512"/>
    <x v="28"/>
    <s v="CUST-0267"/>
    <s v="PROD-034"/>
    <s v="R005"/>
    <n v="2"/>
    <n v="5080"/>
    <n v="11.1"/>
    <n v="9032.24"/>
    <s v="Completed"/>
    <s v="Hyderabad"/>
    <s v="Home"/>
    <m/>
    <s v="Retail"/>
    <n v="27"/>
    <s v="South"/>
    <s v="Sep-24"/>
  </r>
  <r>
    <s v="ORD-01513"/>
    <x v="90"/>
    <s v="CUST-9565"/>
    <s v="PROD-016"/>
    <s v="R008"/>
    <n v="5"/>
    <n v="620"/>
    <n v="10.9"/>
    <n v="2762.1"/>
    <s v="Pending"/>
    <s v="Chennai"/>
    <s v="Apparel"/>
    <m/>
    <e v="#N/A"/>
    <e v="#N/A"/>
    <m/>
    <m/>
  </r>
  <r>
    <s v="ORD-01514"/>
    <x v="312"/>
    <s v="CUST-0051"/>
    <s v="PROD-019"/>
    <s v="R003"/>
    <n v="3"/>
    <n v="2480"/>
    <n v="5"/>
    <n v="7068"/>
    <s v="Completed"/>
    <s v="Pune"/>
    <s v="Apparel"/>
    <m/>
    <s v="SMB"/>
    <n v="54"/>
    <m/>
    <m/>
  </r>
  <r>
    <s v="ORD-01515"/>
    <x v="205"/>
    <s v="CUST-0075"/>
    <s v="PROD-054"/>
    <s v="R005"/>
    <n v="9"/>
    <n v="1010"/>
    <n v="21.9"/>
    <n v="7099.29"/>
    <s v="Completed"/>
    <s v="Mumbai"/>
    <s v="Sports"/>
    <m/>
    <s v="Corporate"/>
    <n v="55"/>
    <m/>
    <m/>
  </r>
  <r>
    <s v="ORD-01516"/>
    <x v="269"/>
    <s v="CUST-0106"/>
    <s v="PROD-040"/>
    <s v="R004"/>
    <n v="2"/>
    <n v="1080"/>
    <n v="8.5"/>
    <n v="1976.4"/>
    <s v="Completed"/>
    <s v="Pune"/>
    <s v="Home"/>
    <m/>
    <s v="Retail"/>
    <n v="22"/>
    <s v="North"/>
    <s v="Sep-24"/>
  </r>
  <r>
    <s v="ORD-01517"/>
    <x v="354"/>
    <s v="CUST-0053"/>
    <s v="PROD-053"/>
    <s v="R025"/>
    <n v="5"/>
    <n v="470"/>
    <n v="8"/>
    <n v="2162"/>
    <s v="Completed"/>
    <s v="Delhi"/>
    <s v="Sports"/>
    <m/>
    <s v="Retail"/>
    <n v="53"/>
    <m/>
    <m/>
  </r>
  <r>
    <s v="ORD-01518"/>
    <x v="67"/>
    <s v="CUST-0042"/>
    <s v="PROD-006"/>
    <s v="R020"/>
    <n v="9"/>
    <n v="3970"/>
    <n v="18.5"/>
    <n v="29119.95"/>
    <s v="Completed"/>
    <s v="Pune"/>
    <s v="Electronics"/>
    <m/>
    <s v="Retail"/>
    <n v="25"/>
    <s v="West"/>
    <s v="Feb-24"/>
  </r>
  <r>
    <s v="ORD-01519"/>
    <x v="105"/>
    <s v="CUST-0120"/>
    <s v="PROD-044"/>
    <s v="R010"/>
    <n v="9"/>
    <n v="1650"/>
    <n v="19.5"/>
    <n v="11954.25"/>
    <s v="Completed"/>
    <s v="Mumbai"/>
    <s v="Beauty"/>
    <m/>
    <s v="Retail"/>
    <n v="29"/>
    <s v="East"/>
    <s v="Mar-24"/>
  </r>
  <r>
    <s v="ORD-01520"/>
    <x v="234"/>
    <s v="CUST-0166"/>
    <s v="PROD-043"/>
    <s v="R006"/>
    <n v="9"/>
    <n v="3350"/>
    <n v="4.0999999999999996"/>
    <n v="28913.85"/>
    <s v="Completed"/>
    <s v="Hyderabad"/>
    <s v="Beauty"/>
    <m/>
    <s v="Retail"/>
    <n v="31"/>
    <s v="South"/>
    <s v="Nov-24"/>
  </r>
  <r>
    <s v="ORD-01521"/>
    <x v="305"/>
    <s v="CUST-0175"/>
    <s v="PROD-006"/>
    <s v="R023"/>
    <n v="7"/>
    <n v="3970"/>
    <n v="15.6"/>
    <n v="23454.76"/>
    <s v="Completed"/>
    <s v="Delhi"/>
    <s v="Electronics"/>
    <m/>
    <s v="Corporate"/>
    <n v="55"/>
    <m/>
    <m/>
  </r>
  <r>
    <s v="ORD-01522"/>
    <x v="253"/>
    <s v="CUST-0001"/>
    <s v="PROD-027"/>
    <s v="R018"/>
    <n v="7"/>
    <n v="3780"/>
    <n v="18.7"/>
    <n v="21511.98"/>
    <s v="Completed"/>
    <s v="Pune"/>
    <s v="Grocery"/>
    <m/>
    <s v="Retail"/>
    <n v="36"/>
    <s v="East"/>
    <s v="Feb-24"/>
  </r>
  <r>
    <s v="ORD-01523"/>
    <x v="327"/>
    <s v="CUST-0238"/>
    <s v="PROD-020"/>
    <s v="R013"/>
    <n v="4"/>
    <n v="820"/>
    <n v="18.8"/>
    <n v="2663.36"/>
    <s v="Cancelled"/>
    <s v="Delhi"/>
    <s v="Apparel"/>
    <m/>
    <s v="Retail"/>
    <n v="49"/>
    <m/>
    <m/>
  </r>
  <r>
    <s v="ORD-01524"/>
    <x v="77"/>
    <s v="CUST-0279"/>
    <s v="PROD-044"/>
    <s v="R022"/>
    <n v="1"/>
    <n v="1650"/>
    <n v="18.8"/>
    <n v="1339.8"/>
    <s v="Cancelled"/>
    <s v="Mumbai"/>
    <s v="Beauty"/>
    <m/>
    <s v="Retail"/>
    <n v="56"/>
    <m/>
    <m/>
  </r>
  <r>
    <s v="ORD-01525"/>
    <x v="245"/>
    <s v="CUST-0042"/>
    <s v="PROD-027"/>
    <s v="R021"/>
    <n v="2"/>
    <n v="3780"/>
    <n v="1"/>
    <n v="7484.4"/>
    <s v="Refunded"/>
    <s v="Pune"/>
    <s v="Grocery"/>
    <m/>
    <s v="Retail"/>
    <n v="25"/>
    <s v="East"/>
    <s v="Nov-24"/>
  </r>
  <r>
    <s v="ORD-01526"/>
    <x v="53"/>
    <s v="CUST-0137"/>
    <s v="PROD-029"/>
    <s v="R027"/>
    <n v="5"/>
    <n v="2210"/>
    <n v="16.600000000000001"/>
    <n v="9215.7000000000007"/>
    <s v="Completed"/>
    <s v="Mumbai"/>
    <s v="Grocery"/>
    <m/>
    <s v="Retail"/>
    <n v="41"/>
    <m/>
    <m/>
  </r>
  <r>
    <s v="ORD-01527"/>
    <x v="173"/>
    <s v="CUST-0160"/>
    <s v="PROD-056"/>
    <s v="R010"/>
    <n v="10"/>
    <n v="6940"/>
    <n v="10.6"/>
    <n v="62043.6"/>
    <s v="Completed"/>
    <s v="Hyderabad"/>
    <s v="Sports"/>
    <m/>
    <s v="Retail"/>
    <n v="27"/>
    <s v="West"/>
    <s v="May-24"/>
  </r>
  <r>
    <s v="ORD-01528"/>
    <x v="253"/>
    <s v="CUST-0102"/>
    <s v="PROD-042"/>
    <s v="R005"/>
    <n v="8"/>
    <n v="2290"/>
    <n v="12.2"/>
    <n v="16084.96"/>
    <s v="Completed"/>
    <s v="Chennai"/>
    <s v="Beauty"/>
    <m/>
    <s v="SMB"/>
    <n v="62"/>
    <m/>
    <m/>
  </r>
  <r>
    <s v="ORD-01529"/>
    <x v="201"/>
    <s v="CUST-0133"/>
    <s v="PROD-033"/>
    <s v="R025"/>
    <n v="5"/>
    <n v="2030"/>
    <n v="23.8"/>
    <n v="7734.3"/>
    <s v="Cancelled"/>
    <s v="Chennai"/>
    <s v="Home"/>
    <m/>
    <s v="Retail"/>
    <n v="26"/>
    <s v="North"/>
    <s v="Jun-24"/>
  </r>
  <r>
    <s v="ORD-01530"/>
    <x v="14"/>
    <s v="CUST-0080"/>
    <s v="PROD-006"/>
    <s v="R029"/>
    <n v="3"/>
    <n v="3970"/>
    <n v="7.7"/>
    <n v="10992.93"/>
    <s v="Completed"/>
    <s v="Pune"/>
    <s v="Electronics"/>
    <m/>
    <s v="SMB"/>
    <n v="30"/>
    <s v="West"/>
    <s v="Aug-24"/>
  </r>
  <r>
    <s v="ORD-01821"/>
    <x v="214"/>
    <s v="CUST-0299"/>
    <s v="PROD-020"/>
    <s v="R016"/>
    <n v="1"/>
    <n v="820"/>
    <n v="5.4"/>
    <n v="775.72"/>
    <s v="Completed"/>
    <s v="Mumbai"/>
    <s v="Apparel"/>
    <m/>
    <s v="Corporate"/>
    <n v="51"/>
    <m/>
    <m/>
  </r>
  <r>
    <s v="ORD-01532"/>
    <x v="22"/>
    <s v="CUST-0078"/>
    <s v="PROD-004"/>
    <s v="R025"/>
    <n v="3"/>
    <n v="3870"/>
    <n v="1.9"/>
    <n v="11389.41"/>
    <s v="Completed"/>
    <s v="Delhi"/>
    <s v="Electronics"/>
    <m/>
    <s v="Retail"/>
    <n v="31"/>
    <s v="South"/>
    <s v="Jul-24"/>
  </r>
  <r>
    <s v="ORD-01533"/>
    <x v="197"/>
    <s v="CUST-0251"/>
    <s v="PROD-030"/>
    <s v="R022"/>
    <n v="6"/>
    <n v="970"/>
    <n v="27.1"/>
    <n v="4242.78"/>
    <s v="Completed"/>
    <s v="Mumbai"/>
    <s v="Grocery"/>
    <m/>
    <s v="Retail"/>
    <n v="44"/>
    <m/>
    <m/>
  </r>
  <r>
    <s v="ORD-01534"/>
    <x v="237"/>
    <s v="CUST-0191"/>
    <s v="PROD-046"/>
    <s v="R025"/>
    <n v="1"/>
    <n v="4880"/>
    <n v="26.8"/>
    <n v="3572.16"/>
    <s v="Completed"/>
    <s v="Hyderabad"/>
    <s v="Beauty"/>
    <m/>
    <s v="SMB"/>
    <n v="43"/>
    <m/>
    <m/>
  </r>
  <r>
    <s v="ORD-01535"/>
    <x v="186"/>
    <s v="CUST-0130"/>
    <s v="PROD-022"/>
    <s v="R023"/>
    <n v="1"/>
    <n v="2270"/>
    <n v="22.2"/>
    <n v="1766.06"/>
    <s v="Completed"/>
    <s v="Bengaluru"/>
    <s v="Grocery"/>
    <m/>
    <s v="Corporate"/>
    <n v="41"/>
    <m/>
    <m/>
  </r>
  <r>
    <s v="ORD-01536"/>
    <x v="351"/>
    <s v="CUST-0056"/>
    <s v="PROD-047"/>
    <s v="R026"/>
    <n v="10"/>
    <n v="3450"/>
    <n v="21.9"/>
    <n v="26944.5"/>
    <s v="Completed"/>
    <s v="Bengaluru"/>
    <s v="Beauty"/>
    <m/>
    <s v="SMB"/>
    <n v="46"/>
    <m/>
    <m/>
  </r>
  <r>
    <s v="ORD-01537"/>
    <x v="48"/>
    <s v="CUST-0185"/>
    <s v="PROD-022"/>
    <s v="R011"/>
    <n v="3"/>
    <n v="2270"/>
    <n v="19.100000000000001"/>
    <n v="5509.29"/>
    <s v="Cancelled"/>
    <s v="Hyderabad"/>
    <s v="Grocery"/>
    <m/>
    <s v="SMB"/>
    <n v="43"/>
    <m/>
    <m/>
  </r>
  <r>
    <s v="ORD-01538"/>
    <x v="107"/>
    <s v="CUST-0195"/>
    <s v="PROD-029"/>
    <s v="R030"/>
    <n v="10"/>
    <n v="2210"/>
    <n v="22.3"/>
    <n v="17171.7"/>
    <s v="Completed"/>
    <s v="Bengaluru"/>
    <s v="Grocery"/>
    <m/>
    <s v="Retail"/>
    <n v="28"/>
    <s v="South"/>
    <s v="Nov-24"/>
  </r>
  <r>
    <s v="ORD-01539"/>
    <x v="57"/>
    <s v="CUST-0067"/>
    <s v="PROD-033"/>
    <s v="R011"/>
    <n v="9"/>
    <n v="2030"/>
    <n v="24.8"/>
    <n v="13739.04"/>
    <s v="Completed"/>
    <s v="Delhi"/>
    <s v="Home"/>
    <m/>
    <s v="SMB"/>
    <n v="59"/>
    <m/>
    <m/>
  </r>
  <r>
    <s v="ORD-01540"/>
    <x v="82"/>
    <s v="CUST-0149"/>
    <s v="PROD-043"/>
    <s v="R023"/>
    <n v="5"/>
    <n v="3350"/>
    <n v="18.2"/>
    <n v="13701.5"/>
    <s v="Completed"/>
    <s v="Hyderabad"/>
    <s v="Beauty"/>
    <m/>
    <s v="Retail"/>
    <n v="44"/>
    <m/>
    <m/>
  </r>
  <r>
    <s v="ORD-01541"/>
    <x v="243"/>
    <s v="CUST-0268"/>
    <s v="PROD-013"/>
    <s v="R008"/>
    <n v="7"/>
    <n v="3640"/>
    <n v="14.4"/>
    <n v="21810.880000000001"/>
    <s v="Completed"/>
    <s v="Chennai"/>
    <s v="Apparel"/>
    <m/>
    <s v="Retail"/>
    <n v="35"/>
    <s v="East"/>
    <s v="Mar-24"/>
  </r>
  <r>
    <s v="ORD-01542"/>
    <x v="217"/>
    <s v="CUST-0126"/>
    <s v="PROD-051"/>
    <s v="R018"/>
    <n v="9"/>
    <n v="3450"/>
    <n v="20.100000000000001"/>
    <n v="24808.95"/>
    <s v="Completed"/>
    <s v="Mumbai"/>
    <s v="Sports"/>
    <m/>
    <s v="Retail"/>
    <n v="37"/>
    <s v="North"/>
    <s v="Mar-24"/>
  </r>
  <r>
    <s v="ORD-01543"/>
    <x v="68"/>
    <s v="CUST-0017"/>
    <s v="PROD-047"/>
    <s v="R003"/>
    <n v="6"/>
    <n v="3450"/>
    <n v="19.899999999999999"/>
    <n v="16580.7"/>
    <s v="Pending"/>
    <s v="Delhi"/>
    <s v="Beauty"/>
    <m/>
    <s v="SMB"/>
    <n v="38"/>
    <s v="East"/>
    <s v="Apr-24"/>
  </r>
  <r>
    <s v="ORD-01544"/>
    <x v="37"/>
    <s v="CUST-0250"/>
    <s v="PROD-042"/>
    <s v="R022"/>
    <n v="4"/>
    <n v="2290"/>
    <n v="4.8"/>
    <n v="8720.32"/>
    <s v="Pending"/>
    <s v="Delhi"/>
    <s v="Beauty"/>
    <m/>
    <s v="Retail"/>
    <n v="31"/>
    <s v="North"/>
    <s v="May-24"/>
  </r>
  <r>
    <s v="ORD-01545"/>
    <x v="319"/>
    <s v="CUST-0245"/>
    <s v="PROD-057"/>
    <s v="R010"/>
    <n v="9"/>
    <n v="960"/>
    <n v="2.4"/>
    <n v="8432.64"/>
    <s v="Completed"/>
    <s v="Hyderabad"/>
    <s v="Sports"/>
    <m/>
    <s v="Retail"/>
    <n v="65"/>
    <m/>
    <m/>
  </r>
  <r>
    <s v="ORD-01546"/>
    <x v="135"/>
    <s v="CUST-0016"/>
    <s v="PROD-039"/>
    <s v="R025"/>
    <n v="9"/>
    <n v="4610"/>
    <n v="21.3"/>
    <n v="32652.63"/>
    <s v="Completed"/>
    <s v="Delhi"/>
    <s v="Home"/>
    <m/>
    <s v="SMB"/>
    <n v="26"/>
    <s v="South"/>
    <s v="Jul-24"/>
  </r>
  <r>
    <s v="ORD-01547"/>
    <x v="282"/>
    <s v="CUST-0063"/>
    <s v="PROD-028"/>
    <s v="R003"/>
    <n v="1"/>
    <n v="3660"/>
    <n v="15.6"/>
    <n v="3089.04"/>
    <s v="Completed"/>
    <s v="Mumbai"/>
    <s v="Grocery"/>
    <m/>
    <s v="SMB"/>
    <n v="53"/>
    <m/>
    <m/>
  </r>
  <r>
    <s v="ORD-01548"/>
    <x v="168"/>
    <s v="CUST-0200"/>
    <s v="PROD-008"/>
    <s v="R012"/>
    <n v="5"/>
    <n v="2660"/>
    <n v="20.399999999999999"/>
    <n v="10586.8"/>
    <s v="Completed"/>
    <s v="Hyderabad"/>
    <s v="Electronics"/>
    <m/>
    <s v="Corporate"/>
    <n v="46"/>
    <m/>
    <m/>
  </r>
  <r>
    <s v="ORD-01549"/>
    <x v="24"/>
    <s v="CUST-0017"/>
    <s v="PROD-041"/>
    <s v="R026"/>
    <n v="8"/>
    <n v="1540"/>
    <n v="0.5"/>
    <n v="12258.4"/>
    <s v="Completed"/>
    <s v="Delhi"/>
    <s v="Beauty"/>
    <m/>
    <s v="SMB"/>
    <n v="38"/>
    <s v="South"/>
    <s v="Dec-24"/>
  </r>
  <r>
    <s v="ORD-01550"/>
    <x v="356"/>
    <s v="CUST-0264"/>
    <s v="PROD-006"/>
    <s v="R004"/>
    <n v="4"/>
    <n v="3970"/>
    <n v="22.5"/>
    <n v="12307"/>
    <s v="Completed"/>
    <s v="Pune"/>
    <s v="Electronics"/>
    <m/>
    <s v="Retail"/>
    <n v="59"/>
    <m/>
    <m/>
  </r>
  <r>
    <s v="ORD-01551"/>
    <x v="213"/>
    <s v="CUST-0102"/>
    <s v="PROD-059"/>
    <s v="R007"/>
    <n v="8"/>
    <n v="3780"/>
    <n v="3.8"/>
    <n v="29090.880000000001"/>
    <s v="Completed"/>
    <s v="Chennai"/>
    <s v="Sports"/>
    <m/>
    <s v="SMB"/>
    <n v="62"/>
    <m/>
    <m/>
  </r>
  <r>
    <s v="ORD-01552"/>
    <x v="269"/>
    <s v="CUST-0092"/>
    <s v="PROD-022"/>
    <s v="R004"/>
    <n v="4"/>
    <n v="2270"/>
    <n v="3.8"/>
    <n v="8734.9599999999991"/>
    <s v="Cancelled"/>
    <s v="Bengaluru"/>
    <s v="Grocery"/>
    <m/>
    <s v="SMB"/>
    <n v="28"/>
    <s v="North"/>
    <s v="Mar-24"/>
  </r>
  <r>
    <s v="ORD-01553"/>
    <x v="300"/>
    <s v="CUST-0139"/>
    <s v="PROD-009"/>
    <s v="R009"/>
    <n v="10"/>
    <n v="1220"/>
    <n v="19.5"/>
    <n v="9821"/>
    <s v="Completed"/>
    <s v="Hyderabad"/>
    <s v="Electronics"/>
    <m/>
    <s v="SMB"/>
    <n v="65"/>
    <m/>
    <m/>
  </r>
  <r>
    <s v="ORD-01554"/>
    <x v="188"/>
    <s v="CUST-0129"/>
    <s v="PROD-043"/>
    <s v="R015"/>
    <n v="10"/>
    <n v="3350"/>
    <n v="7.8"/>
    <n v="30887"/>
    <s v="Completed"/>
    <s v="Hyderabad"/>
    <s v="Beauty"/>
    <m/>
    <s v="Retail"/>
    <n v="29"/>
    <s v="South"/>
    <s v="Jan-24"/>
  </r>
  <r>
    <s v="ORD-01555"/>
    <x v="243"/>
    <s v="CUST-9841"/>
    <s v="PROD-043"/>
    <s v="R030"/>
    <n v="7"/>
    <n v="3350"/>
    <n v="14.5"/>
    <n v="20049.75"/>
    <s v="Completed"/>
    <s v="Bengaluru"/>
    <s v="Beauty"/>
    <m/>
    <e v="#N/A"/>
    <e v="#N/A"/>
    <m/>
    <m/>
  </r>
  <r>
    <s v="ORD-01556"/>
    <x v="242"/>
    <s v="CUST-0069"/>
    <s v="PROD-038"/>
    <s v="R014"/>
    <n v="6"/>
    <n v="5490"/>
    <n v="8"/>
    <n v="30304.799999999999"/>
    <s v="Completed"/>
    <s v="Chennai"/>
    <s v="Home"/>
    <m/>
    <s v="Retail"/>
    <n v="51"/>
    <m/>
    <m/>
  </r>
  <r>
    <s v="ORD-01557"/>
    <x v="221"/>
    <s v="CUST-0140"/>
    <s v="PROD-055"/>
    <s v="R018"/>
    <n v="3"/>
    <n v="2860"/>
    <n v="19.899999999999999"/>
    <n v="6872.58"/>
    <s v="Completed"/>
    <s v="Hyderabad"/>
    <s v="Sports"/>
    <m/>
    <s v="SMB"/>
    <n v="39"/>
    <s v="South"/>
    <s v="May-24"/>
  </r>
  <r>
    <s v="ORD-01558"/>
    <x v="146"/>
    <s v="CUST-0138"/>
    <s v="PROD-010"/>
    <s v="R024"/>
    <n v="3"/>
    <n v="2640"/>
    <n v="29.3"/>
    <n v="5599.44"/>
    <s v="Completed"/>
    <s v="Chennai"/>
    <s v="Electronics"/>
    <m/>
    <s v="Retail"/>
    <n v="24"/>
    <s v="East"/>
    <s v="Nov-24"/>
  </r>
  <r>
    <s v="ORD-01559"/>
    <x v="360"/>
    <s v="CUST-0277"/>
    <s v="PROD-011"/>
    <s v="R029"/>
    <n v="8"/>
    <n v="3450"/>
    <n v="15.2"/>
    <n v="23404.799999999999"/>
    <s v="Cancelled"/>
    <s v="Chennai"/>
    <s v="Apparel"/>
    <m/>
    <s v="Corporate"/>
    <n v="34"/>
    <s v="West"/>
    <s v="Jan-24"/>
  </r>
  <r>
    <s v="ORD-01560"/>
    <x v="134"/>
    <s v="CUST-0017"/>
    <s v="PROD-032"/>
    <s v="R025"/>
    <n v="6"/>
    <n v="370"/>
    <n v="7"/>
    <n v="2064.6"/>
    <s v="Completed"/>
    <s v="Delhi"/>
    <s v="Home"/>
    <m/>
    <s v="SMB"/>
    <n v="38"/>
    <s v="West"/>
    <s v="Apr-24"/>
  </r>
  <r>
    <s v="ORD-01561"/>
    <x v="96"/>
    <s v="CUST-0170"/>
    <s v="PROD-025"/>
    <s v="R029"/>
    <n v="10"/>
    <n v="4060"/>
    <n v="4.7"/>
    <n v="38691.800000000003"/>
    <s v="Cancelled"/>
    <s v="Mumbai"/>
    <s v="Grocery"/>
    <m/>
    <s v="SMB"/>
    <n v="22"/>
    <s v="West"/>
    <s v="Feb-24"/>
  </r>
  <r>
    <s v="ORD-01562"/>
    <x v="87"/>
    <s v="CUST-0022"/>
    <s v="PROD-004"/>
    <s v="R024"/>
    <n v="1"/>
    <n v="3870"/>
    <n v="18.2"/>
    <n v="3165.66"/>
    <s v="Pending"/>
    <s v="Bengaluru"/>
    <s v="Electronics"/>
    <m/>
    <s v="Corporate"/>
    <n v="55"/>
    <m/>
    <m/>
  </r>
  <r>
    <s v="ORD-01563"/>
    <x v="217"/>
    <s v="CUST-0158"/>
    <s v="PROD-001"/>
    <s v="R006"/>
    <n v="1"/>
    <n v="5330"/>
    <n v="3.9"/>
    <n v="5122.13"/>
    <s v="Refunded"/>
    <s v="Pune"/>
    <s v="Electronics"/>
    <m/>
    <s v="Corporate"/>
    <n v="42"/>
    <m/>
    <m/>
  </r>
  <r>
    <s v="ORD-01564"/>
    <x v="42"/>
    <s v="CUST-0160"/>
    <s v="PROD-032"/>
    <s v="R020"/>
    <n v="8"/>
    <n v="370"/>
    <n v="1.3"/>
    <n v="2921.52"/>
    <s v="Completed"/>
    <s v="Hyderabad"/>
    <s v="Home"/>
    <m/>
    <s v="Retail"/>
    <n v="27"/>
    <s v="North"/>
    <s v="Apr-24"/>
  </r>
  <r>
    <s v="ORD-01565"/>
    <x v="81"/>
    <s v="CUST-0009"/>
    <s v="PROD-005"/>
    <s v="R020"/>
    <n v="7"/>
    <n v="300"/>
    <n v="7.1"/>
    <n v="1950.9"/>
    <s v="Completed"/>
    <s v="Mumbai"/>
    <s v="Electronics"/>
    <m/>
    <s v="Retail"/>
    <n v="61"/>
    <m/>
    <m/>
  </r>
  <r>
    <s v="ORD-01566"/>
    <x v="118"/>
    <s v="CUST-0151"/>
    <s v="PROD-043"/>
    <s v="R012"/>
    <n v="8"/>
    <n v="3350"/>
    <n v="11.2"/>
    <n v="23798.400000000001"/>
    <s v="Completed"/>
    <s v="Mumbai"/>
    <s v="Beauty"/>
    <m/>
    <s v="Retail"/>
    <n v="53"/>
    <m/>
    <m/>
  </r>
  <r>
    <s v="ORD-01567"/>
    <x v="72"/>
    <s v="CUST-0105"/>
    <s v="PROD-056"/>
    <s v="R009"/>
    <n v="6"/>
    <n v="6940"/>
    <n v="0.3"/>
    <n v="41515.08"/>
    <s v="Completed"/>
    <s v="Chennai"/>
    <s v="Sports"/>
    <m/>
    <s v="SMB"/>
    <n v="51"/>
    <m/>
    <m/>
  </r>
  <r>
    <s v="ORD-01568"/>
    <x v="64"/>
    <s v="CUST-0292"/>
    <s v="PROD-049"/>
    <s v="R008"/>
    <n v="10"/>
    <n v="960"/>
    <n v="9.3000000000000007"/>
    <n v="8707.2000000000007"/>
    <s v="Cancelled"/>
    <s v="Bengaluru"/>
    <s v="Beauty"/>
    <m/>
    <s v="Retail"/>
    <n v="32"/>
    <s v="South"/>
    <s v="Aug-24"/>
  </r>
  <r>
    <s v="ORD-01569"/>
    <x v="327"/>
    <s v="CUST-0076"/>
    <s v="PROD-021"/>
    <s v="R021"/>
    <n v="10"/>
    <n v="2760"/>
    <n v="17.2"/>
    <n v="22852.799999999999"/>
    <s v="Completed"/>
    <s v="Mumbai"/>
    <s v="Grocery"/>
    <m/>
    <s v="Retail"/>
    <n v="38"/>
    <s v="North"/>
    <s v="Jul-24"/>
  </r>
  <r>
    <s v="ORD-01570"/>
    <x v="243"/>
    <s v="CUST-0152"/>
    <s v="PROD-024"/>
    <s v="R026"/>
    <n v="4"/>
    <n v="2270"/>
    <n v="26.8"/>
    <n v="6646.56"/>
    <s v="Completed"/>
    <s v="Bengaluru"/>
    <s v="Grocery"/>
    <m/>
    <s v="SMB"/>
    <n v="64"/>
    <m/>
    <m/>
  </r>
  <r>
    <s v="ORD-01571"/>
    <x v="305"/>
    <s v="CUST-0146"/>
    <s v="PROD-002"/>
    <s v="R021"/>
    <n v="2"/>
    <n v="2600"/>
    <n v="27"/>
    <n v="3796"/>
    <s v="Completed"/>
    <s v="Hyderabad"/>
    <s v="Electronics"/>
    <m/>
    <s v="Retail"/>
    <n v="22"/>
    <s v="West"/>
    <s v="Mar-24"/>
  </r>
  <r>
    <s v="ORD-01572"/>
    <x v="300"/>
    <s v="CUST-0127"/>
    <s v="PROD-003"/>
    <s v="R024"/>
    <n v="4"/>
    <n v="3570"/>
    <n v="12.3"/>
    <n v="12523.56"/>
    <s v="Completed"/>
    <s v="Bengaluru"/>
    <s v="Electronics"/>
    <m/>
    <s v="SMB"/>
    <n v="36"/>
    <s v="East"/>
    <s v="Feb-24"/>
  </r>
  <r>
    <s v="ORD-01573"/>
    <x v="309"/>
    <s v="CUST-0173"/>
    <s v="PROD-034"/>
    <s v="R016"/>
    <n v="5"/>
    <n v="5080"/>
    <n v="1.3"/>
    <n v="25069.8"/>
    <s v="Completed"/>
    <s v="Mumbai"/>
    <s v="Home"/>
    <m/>
    <s v="Retail"/>
    <n v="65"/>
    <m/>
    <m/>
  </r>
  <r>
    <s v="ORD-01574"/>
    <x v="1"/>
    <s v="CUST-0206"/>
    <s v="PROD-049"/>
    <s v="R016"/>
    <n v="5"/>
    <n v="960"/>
    <n v="25.2"/>
    <n v="3590.4"/>
    <s v="Completed"/>
    <s v="Mumbai"/>
    <s v="Beauty"/>
    <m/>
    <s v="Retail"/>
    <n v="40"/>
    <s v="South"/>
    <s v="Jan-24"/>
  </r>
  <r>
    <s v="ORD-01575"/>
    <x v="117"/>
    <s v="CUST-0072"/>
    <s v="PROD-053"/>
    <s v="R010"/>
    <n v="7"/>
    <n v="470"/>
    <n v="21.6"/>
    <n v="2579.36"/>
    <s v="Completed"/>
    <s v="Mumbai"/>
    <s v="Sports"/>
    <m/>
    <s v="Corporate"/>
    <n v="62"/>
    <m/>
    <m/>
  </r>
  <r>
    <s v="ORD-01576"/>
    <x v="327"/>
    <s v="CUST-0004"/>
    <s v="PROD-009"/>
    <s v="R027"/>
    <n v="4"/>
    <n v="1220"/>
    <n v="12.6"/>
    <n v="4265.12"/>
    <s v="Completed"/>
    <s v="Delhi"/>
    <s v="Electronics"/>
    <m/>
    <s v="Retail"/>
    <n v="53"/>
    <m/>
    <m/>
  </r>
  <r>
    <s v="ORD-01577"/>
    <x v="174"/>
    <s v="CUST-0249"/>
    <s v="PROD-054"/>
    <s v="R008"/>
    <n v="4"/>
    <n v="1010"/>
    <n v="11.3"/>
    <n v="3583.48"/>
    <s v="Completed"/>
    <s v="Mumbai"/>
    <s v="Sports"/>
    <m/>
    <s v="Retail"/>
    <n v="44"/>
    <m/>
    <m/>
  </r>
  <r>
    <s v="ORD-01578"/>
    <x v="253"/>
    <s v="CUST-0139"/>
    <s v="PROD-028"/>
    <s v="R005"/>
    <n v="4"/>
    <n v="3660"/>
    <n v="7.2"/>
    <n v="13585.92"/>
    <s v="Completed"/>
    <s v="Hyderabad"/>
    <s v="Grocery"/>
    <m/>
    <s v="SMB"/>
    <n v="65"/>
    <m/>
    <m/>
  </r>
  <r>
    <s v="ORD-01579"/>
    <x v="138"/>
    <s v="CUST-0019"/>
    <s v="PROD-038"/>
    <s v="R010"/>
    <n v="4"/>
    <n v="5490"/>
    <n v="8"/>
    <n v="20203.2"/>
    <s v="Completed"/>
    <s v="Chennai"/>
    <s v="Home"/>
    <m/>
    <s v="Retail"/>
    <n v="22"/>
    <s v="North"/>
    <s v="Jun-24"/>
  </r>
  <r>
    <s v="ORD-01580"/>
    <x v="218"/>
    <s v="CUST-0210"/>
    <s v="PROD-022"/>
    <s v="R003"/>
    <n v="6"/>
    <n v="2270"/>
    <n v="17.100000000000001"/>
    <n v="11290.98"/>
    <s v="Completed"/>
    <s v="Pune"/>
    <s v="Grocery"/>
    <m/>
    <s v="Corporate"/>
    <n v="48"/>
    <m/>
    <m/>
  </r>
  <r>
    <s v="ORD-01581"/>
    <x v="276"/>
    <s v="CUST-0168"/>
    <s v="PROD-022"/>
    <s v="R015"/>
    <n v="8"/>
    <n v="2270"/>
    <n v="11.9"/>
    <n v="15998.96"/>
    <s v="Pending"/>
    <s v="Pune"/>
    <s v="Grocery"/>
    <m/>
    <s v="Retail"/>
    <n v="25"/>
    <s v="North"/>
    <s v="Dec-24"/>
  </r>
  <r>
    <s v="ORD-01582"/>
    <x v="95"/>
    <s v="CUST-0094"/>
    <s v="PROD-002"/>
    <s v="R018"/>
    <n v="6"/>
    <n v="2600"/>
    <n v="5.0999999999999996"/>
    <n v="14804.4"/>
    <s v="Completed"/>
    <s v="Pune"/>
    <s v="Electronics"/>
    <m/>
    <s v="SMB"/>
    <n v="60"/>
    <m/>
    <m/>
  </r>
  <r>
    <s v="ORD-01583"/>
    <x v="210"/>
    <s v="CUST-0259"/>
    <s v="PROD-004"/>
    <s v="R027"/>
    <n v="9"/>
    <n v="3870"/>
    <n v="1.8"/>
    <n v="34203.06"/>
    <s v="Cancelled"/>
    <s v="Mumbai"/>
    <s v="Electronics"/>
    <m/>
    <s v="Retail"/>
    <n v="34"/>
    <s v="East"/>
    <s v="Oct-24"/>
  </r>
  <r>
    <s v="ORD-01584"/>
    <x v="61"/>
    <s v="CUST-0150"/>
    <s v="PROD-006"/>
    <s v="R006"/>
    <n v="3"/>
    <n v="3970"/>
    <n v="8.1999999999999993"/>
    <n v="10933.38"/>
    <s v="Completed"/>
    <s v="Pune"/>
    <s v="Electronics"/>
    <m/>
    <s v="SMB"/>
    <n v="53"/>
    <m/>
    <m/>
  </r>
  <r>
    <s v="ORD-01585"/>
    <x v="334"/>
    <s v="CUST-0040"/>
    <s v="PROD-049"/>
    <s v="R028"/>
    <n v="9"/>
    <n v="960"/>
    <n v="21.7"/>
    <n v="6765.12"/>
    <s v="Cancelled"/>
    <s v="Chennai"/>
    <s v="Beauty"/>
    <m/>
    <s v="Retail"/>
    <n v="28"/>
    <s v="North"/>
    <s v="Jun-24"/>
  </r>
  <r>
    <s v="ORD-01586"/>
    <x v="215"/>
    <s v="CUST-0290"/>
    <s v="PROD-052"/>
    <s v="R025"/>
    <n v="3"/>
    <n v="5410"/>
    <n v="20.3"/>
    <n v="12935.31"/>
    <s v="Completed"/>
    <s v="Delhi"/>
    <s v="Sports"/>
    <m/>
    <s v="Retail"/>
    <n v="63"/>
    <m/>
    <m/>
  </r>
  <r>
    <s v="ORD-01587"/>
    <x v="133"/>
    <s v="CUST-0123"/>
    <s v="PROD-011"/>
    <s v="R005"/>
    <n v="3"/>
    <n v="3450"/>
    <n v="11.6"/>
    <n v="9149.4"/>
    <s v="Completed"/>
    <s v="Chennai"/>
    <s v="Apparel"/>
    <m/>
    <s v="Corporate"/>
    <n v="44"/>
    <m/>
    <m/>
  </r>
  <r>
    <s v="ORD-01588"/>
    <x v="40"/>
    <s v="CUST-0053"/>
    <s v="PROD-045"/>
    <s v="R008"/>
    <n v="2"/>
    <n v="3020"/>
    <n v="20.8"/>
    <n v="4783.68"/>
    <s v="Pending"/>
    <s v="Delhi"/>
    <s v="Beauty"/>
    <m/>
    <s v="Retail"/>
    <n v="53"/>
    <m/>
    <m/>
  </r>
  <r>
    <s v="ORD-01589"/>
    <x v="232"/>
    <s v="CUST-0179"/>
    <s v="PROD-060"/>
    <s v="R002"/>
    <n v="3"/>
    <n v="190"/>
    <n v="10.7"/>
    <n v="509.01"/>
    <s v="Completed"/>
    <s v="Mumbai"/>
    <s v="Sports"/>
    <m/>
    <s v="SMB"/>
    <n v="54"/>
    <m/>
    <m/>
  </r>
  <r>
    <s v="ORD-01590"/>
    <x v="137"/>
    <s v="CUST-0006"/>
    <s v="PROD-031"/>
    <s v="R012"/>
    <n v="4"/>
    <n v="3730"/>
    <n v="6.9"/>
    <n v="13890.52"/>
    <s v="Completed"/>
    <s v="Pune"/>
    <s v="Home"/>
    <m/>
    <s v="SMB"/>
    <n v="44"/>
    <m/>
    <m/>
  </r>
  <r>
    <s v="ORD-01591"/>
    <x v="240"/>
    <s v="CUST-0272"/>
    <s v="PROD-051"/>
    <s v="R025"/>
    <n v="9"/>
    <n v="3450"/>
    <n v="22.2"/>
    <n v="24156.9"/>
    <s v="Cancelled"/>
    <s v="Mumbai"/>
    <s v="Sports"/>
    <m/>
    <s v="SMB"/>
    <n v="47"/>
    <m/>
    <m/>
  </r>
  <r>
    <s v="ORD-01592"/>
    <x v="260"/>
    <s v="CUST-0274"/>
    <s v="PROD-006"/>
    <s v="R002"/>
    <n v="3"/>
    <n v="3970"/>
    <n v="6.8"/>
    <n v="11100.12"/>
    <s v="Completed"/>
    <s v="Bengaluru"/>
    <s v="Electronics"/>
    <m/>
    <s v="Corporate"/>
    <n v="36"/>
    <s v="West"/>
    <s v="Jul-24"/>
  </r>
  <r>
    <s v="ORD-01593"/>
    <x v="32"/>
    <s v="CUST-0262"/>
    <s v="PROD-035"/>
    <s v="R022"/>
    <n v="3"/>
    <n v="1090"/>
    <n v="23.7"/>
    <n v="2495.0100000000002"/>
    <s v="Completed"/>
    <s v="Mumbai"/>
    <s v="Home"/>
    <m/>
    <s v="Retail"/>
    <n v="52"/>
    <m/>
    <m/>
  </r>
  <r>
    <s v="ORD-01594"/>
    <x v="212"/>
    <s v="CUST-0087"/>
    <s v="PROD-033"/>
    <s v="R023"/>
    <n v="3"/>
    <n v="2030"/>
    <n v="18.8"/>
    <n v="4945.08"/>
    <s v="Completed"/>
    <s v="Pune"/>
    <s v="Home"/>
    <m/>
    <s v="SMB"/>
    <n v="49"/>
    <m/>
    <m/>
  </r>
  <r>
    <s v="ORD-01595"/>
    <x v="27"/>
    <s v="CUST-0198"/>
    <s v="PROD-026"/>
    <s v="R008"/>
    <n v="2"/>
    <n v="4070"/>
    <n v="14.3"/>
    <n v="6975.98"/>
    <s v="Completed"/>
    <s v="Chennai"/>
    <s v="Grocery"/>
    <m/>
    <s v="Corporate"/>
    <n v="22"/>
    <s v="East"/>
    <s v="Jan-24"/>
  </r>
  <r>
    <s v="ORD-01596"/>
    <x v="306"/>
    <s v="CUST-0065"/>
    <s v="PROD-014"/>
    <s v="R028"/>
    <n v="3"/>
    <n v="3620"/>
    <n v="13.5"/>
    <n v="9393.9"/>
    <s v="Completed"/>
    <s v="Chennai"/>
    <s v="Apparel"/>
    <m/>
    <s v="Corporate"/>
    <n v="49"/>
    <m/>
    <m/>
  </r>
  <r>
    <s v="ORD-01597"/>
    <x v="235"/>
    <s v="CUST-0209"/>
    <s v="PROD-054"/>
    <s v="R001"/>
    <n v="4"/>
    <n v="1010"/>
    <n v="3.3"/>
    <n v="3906.68"/>
    <s v="Completed"/>
    <s v="Pune"/>
    <s v="Sports"/>
    <m/>
    <s v="Retail"/>
    <n v="31"/>
    <s v="West"/>
    <s v="Apr-24"/>
  </r>
  <r>
    <s v="ORD-01598"/>
    <x v="304"/>
    <s v="CUST-0181"/>
    <s v="PROD-030"/>
    <s v="R005"/>
    <n v="7"/>
    <n v="970"/>
    <n v="0.1"/>
    <n v="6783.21"/>
    <s v="Completed"/>
    <s v="Delhi"/>
    <s v="Grocery"/>
    <m/>
    <s v="SMB"/>
    <n v="38"/>
    <s v="North"/>
    <s v="Nov-24"/>
  </r>
  <r>
    <s v="ORD-01599"/>
    <x v="297"/>
    <s v="CUST-0007"/>
    <s v="PROD-053"/>
    <s v="R027"/>
    <n v="5"/>
    <n v="470"/>
    <n v="18.3"/>
    <n v="1919.95"/>
    <s v="Refunded"/>
    <s v="Bengaluru"/>
    <s v="Sports"/>
    <m/>
    <s v="Retail"/>
    <n v="47"/>
    <m/>
    <m/>
  </r>
  <r>
    <s v="ORD-01600"/>
    <x v="274"/>
    <s v="CUST-0050"/>
    <s v="PROD-011"/>
    <s v="R010"/>
    <n v="8"/>
    <n v="3450"/>
    <n v="5.0999999999999996"/>
    <n v="26192.400000000001"/>
    <s v="Refunded"/>
    <s v="Mumbai"/>
    <s v="Apparel"/>
    <m/>
    <s v="Retail"/>
    <n v="37"/>
    <s v="West"/>
    <s v="Oct-24"/>
  </r>
  <r>
    <s v="ORD-01601"/>
    <x v="57"/>
    <s v="CUST-0155"/>
    <s v="PROD-010"/>
    <s v="R022"/>
    <n v="1"/>
    <n v="2640"/>
    <n v="5.9"/>
    <n v="2484.2399999999998"/>
    <s v="Completed"/>
    <s v="Pune"/>
    <s v="Electronics"/>
    <m/>
    <s v="Corporate"/>
    <n v="40"/>
    <s v="South"/>
    <s v="Apr-24"/>
  </r>
  <r>
    <s v="ORD-01602"/>
    <x v="20"/>
    <s v="CUST-0085"/>
    <s v="PROD-003"/>
    <s v="R020"/>
    <n v="10"/>
    <n v="3570"/>
    <n v="21.5"/>
    <n v="28024.5"/>
    <s v="Completed"/>
    <s v="Chennai"/>
    <s v="Electronics"/>
    <m/>
    <s v="Retail"/>
    <n v="26"/>
    <s v="East"/>
    <s v="Jun-24"/>
  </r>
  <r>
    <s v="ORD-01603"/>
    <x v="248"/>
    <s v="CUST-0285"/>
    <s v="PROD-007"/>
    <s v="R016"/>
    <n v="10"/>
    <n v="1430"/>
    <n v="11.4"/>
    <n v="12669.8"/>
    <s v="Cancelled"/>
    <s v="Hyderabad"/>
    <s v="Electronics"/>
    <m/>
    <s v="Retail"/>
    <n v="22"/>
    <s v="East"/>
    <s v="Mar-24"/>
  </r>
  <r>
    <s v="ORD-01604"/>
    <x v="175"/>
    <s v="CUST-0148"/>
    <s v="PROD-057"/>
    <s v="R013"/>
    <n v="7"/>
    <n v="960"/>
    <n v="22.9"/>
    <n v="5181.12"/>
    <s v="Completed"/>
    <s v="Chennai"/>
    <s v="Sports"/>
    <m/>
    <s v="Retail"/>
    <n v="32"/>
    <s v="South"/>
    <s v="Oct-24"/>
  </r>
  <r>
    <s v="ORD-01605"/>
    <x v="38"/>
    <s v="CUST-0252"/>
    <s v="PROD-036"/>
    <s v="R010"/>
    <n v="8"/>
    <n v="3250"/>
    <n v="1.9"/>
    <n v="25506"/>
    <s v="Completed"/>
    <s v="Bengaluru"/>
    <s v="Home"/>
    <m/>
    <s v="Retail"/>
    <n v="27"/>
    <s v="South"/>
    <s v="Dec-24"/>
  </r>
  <r>
    <s v="ORD-01606"/>
    <x v="320"/>
    <s v="CUST-0141"/>
    <s v="PROD-051"/>
    <s v="R018"/>
    <n v="9"/>
    <n v="3450"/>
    <n v="18"/>
    <n v="25461"/>
    <s v="Completed"/>
    <s v="Hyderabad"/>
    <s v="Sports"/>
    <m/>
    <s v="Corporate"/>
    <n v="22"/>
    <s v="South"/>
    <s v="Nov-24"/>
  </r>
  <r>
    <s v="ORD-01607"/>
    <x v="30"/>
    <s v="CUST-0101"/>
    <s v="PROD-024"/>
    <s v="R016"/>
    <n v="5"/>
    <n v="2270"/>
    <n v="11.5"/>
    <n v="10044.75"/>
    <s v="Completed"/>
    <s v="Hyderabad"/>
    <s v="Grocery"/>
    <m/>
    <s v="SMB"/>
    <n v="40"/>
    <s v="East"/>
    <s v="Mar-24"/>
  </r>
  <r>
    <s v="ORD-01608"/>
    <x v="121"/>
    <s v="CUST-0223"/>
    <s v="PROD-045"/>
    <s v="R019"/>
    <n v="6"/>
    <n v="3020"/>
    <n v="12.6"/>
    <n v="15836.88"/>
    <s v="Completed"/>
    <s v="Bengaluru"/>
    <s v="Beauty"/>
    <m/>
    <s v="Retail"/>
    <n v="46"/>
    <m/>
    <m/>
  </r>
  <r>
    <s v="ORD-01609"/>
    <x v="58"/>
    <s v="CUST-0197"/>
    <s v="PROD-010"/>
    <s v="R008"/>
    <n v="8"/>
    <n v="2640"/>
    <n v="14.5"/>
    <n v="18057.599999999999"/>
    <s v="Refunded"/>
    <s v="Bengaluru"/>
    <s v="Electronics"/>
    <m/>
    <s v="Retail"/>
    <n v="55"/>
    <m/>
    <m/>
  </r>
  <r>
    <s v="ORD-01610"/>
    <x v="230"/>
    <s v="CUST-0260"/>
    <s v="PROD-024"/>
    <s v="R027"/>
    <n v="2"/>
    <n v="2270"/>
    <n v="27"/>
    <n v="3314.2"/>
    <s v="Completed"/>
    <s v="Bengaluru"/>
    <s v="Grocery"/>
    <m/>
    <s v="Retail"/>
    <n v="42"/>
    <m/>
    <m/>
  </r>
  <r>
    <s v="ORD-01611"/>
    <x v="184"/>
    <s v="CUST-0180"/>
    <s v="PROD-021"/>
    <s v="R027"/>
    <n v="8"/>
    <n v="2760"/>
    <n v="18"/>
    <n v="18105.599999999999"/>
    <s v="Cancelled"/>
    <s v="Chennai"/>
    <s v="Grocery"/>
    <m/>
    <s v="Retail"/>
    <n v="36"/>
    <s v="West"/>
    <s v="Sep-24"/>
  </r>
  <r>
    <s v="ORD-01612"/>
    <x v="62"/>
    <s v="CUST-0166"/>
    <s v="PROD-014"/>
    <s v="R023"/>
    <n v="8"/>
    <n v="3620"/>
    <n v="7.1"/>
    <n v="26903.84"/>
    <s v="Completed"/>
    <s v="Hyderabad"/>
    <s v="Apparel"/>
    <m/>
    <s v="Retail"/>
    <n v="31"/>
    <s v="West"/>
    <s v="Dec-24"/>
  </r>
  <r>
    <s v="ORD-01613"/>
    <x v="302"/>
    <s v="CUST-0062"/>
    <s v="PROD-042"/>
    <s v="R021"/>
    <n v="8"/>
    <n v="2290"/>
    <n v="16.399999999999999"/>
    <n v="15315.52"/>
    <s v="Completed"/>
    <s v="Pune"/>
    <s v="Beauty"/>
    <m/>
    <s v="Retail"/>
    <n v="54"/>
    <m/>
    <m/>
  </r>
  <r>
    <s v="ORD-01614"/>
    <x v="32"/>
    <s v="CUST-0130"/>
    <s v="PROD-044"/>
    <s v="R019"/>
    <n v="3"/>
    <n v="1650"/>
    <n v="1.8"/>
    <n v="4860.8999999999996"/>
    <s v="Cancelled"/>
    <s v="Bengaluru"/>
    <s v="Beauty"/>
    <m/>
    <s v="Corporate"/>
    <n v="41"/>
    <m/>
    <m/>
  </r>
  <r>
    <s v="ORD-01615"/>
    <x v="362"/>
    <s v="CUST-0162"/>
    <s v="PROD-001"/>
    <s v="R018"/>
    <n v="3"/>
    <n v="5330"/>
    <n v="22.2"/>
    <n v="12440.22"/>
    <s v="Completed"/>
    <s v="Mumbai"/>
    <s v="Electronics"/>
    <m/>
    <s v="Corporate"/>
    <n v="35"/>
    <s v="East"/>
    <s v="Jun-24"/>
  </r>
  <r>
    <s v="ORD-01616"/>
    <x v="166"/>
    <s v="CUST-0153"/>
    <s v="PROD-040"/>
    <s v="R022"/>
    <n v="7"/>
    <n v="1080"/>
    <n v="17.899999999999999"/>
    <n v="6206.76"/>
    <s v="Completed"/>
    <s v="Mumbai"/>
    <s v="Home"/>
    <m/>
    <s v="Retail"/>
    <n v="35"/>
    <s v="East"/>
    <s v="Dec-24"/>
  </r>
  <r>
    <s v="ORD-01617"/>
    <x v="151"/>
    <s v="CUST-0071"/>
    <s v="PROD-009"/>
    <s v="R022"/>
    <n v="10"/>
    <n v="1220"/>
    <n v="5.7"/>
    <n v="11504.6"/>
    <s v="Completed"/>
    <s v="Delhi"/>
    <s v="Electronics"/>
    <m/>
    <s v="Corporate"/>
    <n v="46"/>
    <m/>
    <m/>
  </r>
  <r>
    <s v="ORD-01618"/>
    <x v="83"/>
    <s v="CUST-0200"/>
    <s v="PROD-037"/>
    <s v="R030"/>
    <n v="10"/>
    <n v="660"/>
    <n v="7.5"/>
    <n v="6105"/>
    <s v="Completed"/>
    <s v="Hyderabad"/>
    <s v="Home"/>
    <m/>
    <s v="Corporate"/>
    <n v="46"/>
    <m/>
    <m/>
  </r>
  <r>
    <s v="ORD-01619"/>
    <x v="88"/>
    <s v="CUST-0266"/>
    <s v="PROD-040"/>
    <s v="R020"/>
    <n v="6"/>
    <n v="1080"/>
    <n v="28.9"/>
    <n v="4607.28"/>
    <s v="Completed"/>
    <s v="Pune"/>
    <s v="Home"/>
    <m/>
    <s v="Retail"/>
    <n v="65"/>
    <m/>
    <m/>
  </r>
  <r>
    <s v="ORD-01620"/>
    <x v="241"/>
    <s v="CUST-0171"/>
    <s v="PROD-022"/>
    <s v="R020"/>
    <n v="7"/>
    <n v="2270"/>
    <n v="1.4"/>
    <n v="15667.54"/>
    <s v="Completed"/>
    <s v="Chennai"/>
    <s v="Grocery"/>
    <m/>
    <s v="Corporate"/>
    <n v="30"/>
    <s v="East"/>
    <s v="Sep-24"/>
  </r>
  <r>
    <s v="ORD-01621"/>
    <x v="206"/>
    <s v="CUST-0221"/>
    <s v="PROD-032"/>
    <s v="R028"/>
    <n v="3"/>
    <n v="370"/>
    <n v="9.6"/>
    <n v="1003.44"/>
    <s v="Refunded"/>
    <s v="Delhi"/>
    <s v="Home"/>
    <m/>
    <s v="SMB"/>
    <n v="29"/>
    <s v="East"/>
    <s v="Oct-24"/>
  </r>
  <r>
    <s v="ORD-01622"/>
    <x v="13"/>
    <s v="CUST-0038"/>
    <s v="PROD-030"/>
    <s v="R009"/>
    <n v="9"/>
    <n v="970"/>
    <n v="29.7"/>
    <n v="6137.19"/>
    <s v="Completed"/>
    <s v="Mumbai"/>
    <s v="Grocery"/>
    <m/>
    <s v="Retail"/>
    <n v="57"/>
    <m/>
    <m/>
  </r>
  <r>
    <s v="ORD-00613"/>
    <x v="171"/>
    <s v="CUST-0174"/>
    <s v="PROD-016"/>
    <s v="R003"/>
    <n v="1"/>
    <n v="620"/>
    <n v="10.4"/>
    <n v="555.52"/>
    <s v="Cancelled"/>
    <s v="Pune"/>
    <s v="Apparel"/>
    <m/>
    <s v="Retail"/>
    <n v="54"/>
    <m/>
    <m/>
  </r>
  <r>
    <s v="ORD-01624"/>
    <x v="80"/>
    <s v="CUST-0054"/>
    <s v="PROD-028"/>
    <s v="R029"/>
    <n v="5"/>
    <n v="3660"/>
    <n v="8"/>
    <n v="16836"/>
    <s v="Completed"/>
    <s v="Mumbai"/>
    <s v="Grocery"/>
    <m/>
    <s v="Corporate"/>
    <n v="62"/>
    <m/>
    <m/>
  </r>
  <r>
    <s v="ORD-01625"/>
    <x v="108"/>
    <s v="CUST-0071"/>
    <s v="PROD-029"/>
    <s v="R024"/>
    <n v="7"/>
    <n v="2210"/>
    <n v="13.7"/>
    <n v="13350.61"/>
    <s v="Refunded"/>
    <s v="Delhi"/>
    <s v="Grocery"/>
    <m/>
    <s v="Corporate"/>
    <n v="46"/>
    <m/>
    <m/>
  </r>
  <r>
    <s v="ORD-01626"/>
    <x v="252"/>
    <s v="CUST-0004"/>
    <s v="PROD-059"/>
    <s v="R028"/>
    <n v="1"/>
    <n v="3780"/>
    <n v="11.5"/>
    <n v="3345.3"/>
    <s v="Completed"/>
    <s v="Delhi"/>
    <s v="Sports"/>
    <m/>
    <s v="Retail"/>
    <n v="53"/>
    <m/>
    <m/>
  </r>
  <r>
    <s v="ORD-01627"/>
    <x v="131"/>
    <s v="CUST-0033"/>
    <s v="PROD-002"/>
    <s v="R005"/>
    <n v="10"/>
    <n v="2600"/>
    <n v="29.4"/>
    <n v="18356"/>
    <s v="Completed"/>
    <s v="Delhi"/>
    <s v="Electronics"/>
    <m/>
    <s v="Retail"/>
    <n v="35"/>
    <s v="West"/>
    <s v="Dec-24"/>
  </r>
  <r>
    <s v="ORD-01628"/>
    <x v="13"/>
    <s v="CUST-0079"/>
    <s v="PROD-027"/>
    <s v="R017"/>
    <n v="3"/>
    <n v="3780"/>
    <n v="14.4"/>
    <n v="9707.0400000000009"/>
    <s v="Completed"/>
    <s v="Mumbai"/>
    <s v="Grocery"/>
    <m/>
    <s v="Corporate"/>
    <n v="60"/>
    <m/>
    <m/>
  </r>
  <r>
    <s v="ORD-01629"/>
    <x v="292"/>
    <s v="CUST-0176"/>
    <s v="PROD-010"/>
    <s v="R003"/>
    <n v="10"/>
    <n v="2640"/>
    <n v="26.8"/>
    <n v="19324.8"/>
    <s v="Pending"/>
    <s v="Bengaluru"/>
    <s v="Electronics"/>
    <m/>
    <s v="SMB"/>
    <n v="34"/>
    <s v="East"/>
    <s v="Mar-24"/>
  </r>
  <r>
    <s v="ORD-01630"/>
    <x v="324"/>
    <s v="CUST-0254"/>
    <s v="PROD-035"/>
    <s v="R013"/>
    <n v="3"/>
    <n v="1090"/>
    <n v="9.1"/>
    <n v="2972.43"/>
    <s v="Completed"/>
    <s v="Bengaluru"/>
    <s v="Home"/>
    <m/>
    <s v="Retail"/>
    <n v="35"/>
    <s v="North"/>
    <s v="May-24"/>
  </r>
  <r>
    <s v="ORD-01631"/>
    <x v="308"/>
    <s v="CUST-0212"/>
    <s v="PROD-011"/>
    <s v="R024"/>
    <n v="3"/>
    <n v="3450"/>
    <n v="23"/>
    <n v="7969.5"/>
    <s v="Pending"/>
    <s v="Chennai"/>
    <s v="Apparel"/>
    <m/>
    <s v="SMB"/>
    <n v="46"/>
    <m/>
    <m/>
  </r>
  <r>
    <s v="ORD-01632"/>
    <x v="13"/>
    <s v="CUST-0109"/>
    <s v="PROD-049"/>
    <s v="R015"/>
    <n v="1"/>
    <n v="960"/>
    <n v="1.1000000000000001"/>
    <n v="949.44"/>
    <s v="Completed"/>
    <s v="Pune"/>
    <s v="Beauty"/>
    <m/>
    <s v="Retail"/>
    <n v="42"/>
    <m/>
    <m/>
  </r>
  <r>
    <s v="ORD-01633"/>
    <x v="251"/>
    <s v="CUST-0087"/>
    <s v="PROD-028"/>
    <s v="R030"/>
    <n v="9"/>
    <n v="3660"/>
    <n v="9"/>
    <n v="29975.4"/>
    <s v="Completed"/>
    <s v="Pune"/>
    <s v="Grocery"/>
    <m/>
    <s v="SMB"/>
    <n v="49"/>
    <m/>
    <m/>
  </r>
  <r>
    <s v="ORD-01634"/>
    <x v="103"/>
    <s v="CUST-0167"/>
    <s v="PROD-031"/>
    <s v="R008"/>
    <n v="3"/>
    <n v="3730"/>
    <n v="15.8"/>
    <n v="9421.98"/>
    <s v="Completed"/>
    <s v="Delhi"/>
    <s v="Home"/>
    <m/>
    <s v="Retail"/>
    <n v="43"/>
    <m/>
    <m/>
  </r>
  <r>
    <s v="ORD-01635"/>
    <x v="324"/>
    <s v="CUST-0079"/>
    <s v="PROD-026"/>
    <s v="R004"/>
    <n v="6"/>
    <n v="4070"/>
    <n v="6.2"/>
    <n v="22905.96"/>
    <s v="Completed"/>
    <s v="Mumbai"/>
    <s v="Grocery"/>
    <m/>
    <s v="Corporate"/>
    <n v="60"/>
    <m/>
    <m/>
  </r>
  <r>
    <s v="ORD-01636"/>
    <x v="90"/>
    <s v="CUST-0115"/>
    <s v="PROD-008"/>
    <s v="R022"/>
    <n v="1"/>
    <n v="2660"/>
    <n v="14.6"/>
    <n v="2271.64"/>
    <s v="Completed"/>
    <s v="Mumbai"/>
    <s v="Electronics"/>
    <m/>
    <s v="SMB"/>
    <n v="65"/>
    <m/>
    <m/>
  </r>
  <r>
    <s v="ORD-01637"/>
    <x v="239"/>
    <s v="CUST-0184"/>
    <s v="PROD-033"/>
    <s v="R003"/>
    <n v="3"/>
    <n v="2030"/>
    <n v="13.3"/>
    <n v="5280.03"/>
    <s v="Cancelled"/>
    <s v="Pune"/>
    <s v="Home"/>
    <m/>
    <s v="Retail"/>
    <n v="63"/>
    <m/>
    <m/>
  </r>
  <r>
    <s v="ORD-01638"/>
    <x v="274"/>
    <s v="CUST-0084"/>
    <s v="PROD-028"/>
    <s v="R001"/>
    <n v="4"/>
    <n v="3660"/>
    <n v="2.2000000000000002"/>
    <n v="14317.92"/>
    <s v="Completed"/>
    <s v="Chennai"/>
    <s v="Grocery"/>
    <m/>
    <s v="Retail"/>
    <n v="28"/>
    <s v="North"/>
    <s v="Mar-24"/>
  </r>
  <r>
    <s v="ORD-01639"/>
    <x v="234"/>
    <s v="CUST-0186"/>
    <s v="PROD-008"/>
    <s v="R006"/>
    <n v="2"/>
    <n v="2660"/>
    <n v="7.2"/>
    <n v="4936.96"/>
    <s v="Cancelled"/>
    <s v="Bengaluru"/>
    <s v="Electronics"/>
    <m/>
    <s v="Retail"/>
    <n v="42"/>
    <m/>
    <m/>
  </r>
  <r>
    <s v="ORD-01640"/>
    <x v="207"/>
    <s v="CUST-0077"/>
    <s v="PROD-046"/>
    <s v="R013"/>
    <n v="2"/>
    <n v="4880"/>
    <n v="23.8"/>
    <n v="7437.12"/>
    <s v="Completed"/>
    <s v="Hyderabad"/>
    <s v="Beauty"/>
    <m/>
    <s v="SMB"/>
    <n v="48"/>
    <m/>
    <m/>
  </r>
  <r>
    <s v="ORD-01641"/>
    <x v="91"/>
    <s v="CUST-0093"/>
    <s v="PROD-011"/>
    <s v="R011"/>
    <n v="1"/>
    <n v="3450"/>
    <n v="1.7"/>
    <n v="3391.35"/>
    <s v="Completed"/>
    <s v="Pune"/>
    <s v="Apparel"/>
    <m/>
    <s v="Retail"/>
    <n v="36"/>
    <s v="South"/>
    <s v="Nov-24"/>
  </r>
  <r>
    <s v="ORD-01642"/>
    <x v="269"/>
    <s v="CUST-0018"/>
    <s v="PROD-045"/>
    <s v="R023"/>
    <n v="4"/>
    <n v="3020"/>
    <n v="17.8"/>
    <n v="9929.76"/>
    <s v="Completed"/>
    <s v="Pune"/>
    <s v="Beauty"/>
    <m/>
    <s v="SMB"/>
    <n v="54"/>
    <m/>
    <m/>
  </r>
  <r>
    <s v="ORD-01643"/>
    <x v="15"/>
    <s v="CUST-0034"/>
    <s v="PROD-056"/>
    <s v="R021"/>
    <n v="6"/>
    <n v="6940"/>
    <n v="8.9"/>
    <n v="37934.04"/>
    <s v="Completed"/>
    <s v="Delhi"/>
    <s v="Sports"/>
    <m/>
    <s v="Retail"/>
    <n v="47"/>
    <m/>
    <m/>
  </r>
  <r>
    <s v="ORD-01644"/>
    <x v="271"/>
    <s v="CUST-0111"/>
    <s v="PROD-021"/>
    <s v="R023"/>
    <n v="10"/>
    <n v="2760"/>
    <n v="8.9"/>
    <n v="25143.599999999999"/>
    <s v="Completed"/>
    <s v="Chennai"/>
    <s v="Grocery"/>
    <m/>
    <s v="SMB"/>
    <n v="64"/>
    <m/>
    <m/>
  </r>
  <r>
    <s v="ORD-01645"/>
    <x v="202"/>
    <s v="CUST-0210"/>
    <s v="PROD-049"/>
    <s v="R020"/>
    <n v="8"/>
    <n v="960"/>
    <n v="20.9"/>
    <n v="6074.88"/>
    <s v="Completed"/>
    <s v="Pune"/>
    <s v="Beauty"/>
    <m/>
    <s v="Corporate"/>
    <n v="48"/>
    <m/>
    <m/>
  </r>
  <r>
    <s v="ORD-01646"/>
    <x v="71"/>
    <s v="CUST-0037"/>
    <s v="PROD-049"/>
    <s v="R012"/>
    <n v="4"/>
    <n v="960"/>
    <n v="29.1"/>
    <n v="2722.56"/>
    <s v="Completed"/>
    <s v="Bengaluru"/>
    <s v="Beauty"/>
    <m/>
    <s v="Retail"/>
    <n v="52"/>
    <m/>
    <m/>
  </r>
  <r>
    <s v="ORD-01647"/>
    <x v="306"/>
    <s v="CUST-0192"/>
    <s v="PROD-030"/>
    <s v="R021"/>
    <n v="1"/>
    <n v="970"/>
    <n v="8.4"/>
    <n v="888.52"/>
    <s v="Cancelled"/>
    <s v="Bengaluru"/>
    <s v="Grocery"/>
    <m/>
    <s v="Retail"/>
    <n v="55"/>
    <m/>
    <m/>
  </r>
  <r>
    <s v="ORD-01648"/>
    <x v="169"/>
    <s v="CUST-0038"/>
    <s v="PROD-050"/>
    <s v="R023"/>
    <n v="5"/>
    <n v="6080"/>
    <n v="17.600000000000001"/>
    <n v="25049.599999999999"/>
    <s v="Completed"/>
    <s v="Mumbai"/>
    <s v="Beauty"/>
    <m/>
    <s v="Retail"/>
    <n v="57"/>
    <m/>
    <m/>
  </r>
  <r>
    <s v="ORD-01649"/>
    <x v="283"/>
    <s v="CUST-0034"/>
    <s v="PROD-028"/>
    <s v="R013"/>
    <n v="4"/>
    <n v="3660"/>
    <n v="21.8"/>
    <n v="11448.48"/>
    <s v="Pending"/>
    <s v="Delhi"/>
    <s v="Grocery"/>
    <m/>
    <s v="Retail"/>
    <n v="47"/>
    <m/>
    <m/>
  </r>
  <r>
    <s v="ORD-01650"/>
    <x v="32"/>
    <s v="CUST-0248"/>
    <s v="PROD-031"/>
    <s v="R008"/>
    <n v="6"/>
    <n v="3730"/>
    <n v="13.3"/>
    <n v="19403.46"/>
    <s v="Cancelled"/>
    <s v="Chennai"/>
    <s v="Home"/>
    <m/>
    <s v="SMB"/>
    <n v="57"/>
    <m/>
    <m/>
  </r>
  <r>
    <s v="ORD-01651"/>
    <x v="327"/>
    <s v="CUST-0194"/>
    <s v="PROD-004"/>
    <s v="R029"/>
    <n v="8"/>
    <n v="3870"/>
    <n v="21.2"/>
    <n v="24396.48"/>
    <s v="Pending"/>
    <s v="Delhi"/>
    <s v="Electronics"/>
    <m/>
    <s v="SMB"/>
    <n v="55"/>
    <m/>
    <m/>
  </r>
  <r>
    <s v="ORD-01652"/>
    <x v="69"/>
    <s v="CUST-0114"/>
    <s v="PROD-021"/>
    <s v="R016"/>
    <n v="4"/>
    <n v="2760"/>
    <n v="14"/>
    <n v="9494.4"/>
    <s v="Completed"/>
    <s v="Bengaluru"/>
    <s v="Grocery"/>
    <m/>
    <s v="Corporate"/>
    <n v="42"/>
    <m/>
    <m/>
  </r>
  <r>
    <s v="ORD-01653"/>
    <x v="100"/>
    <s v="CUST-0118"/>
    <s v="PROD-023"/>
    <s v="R020"/>
    <n v="5"/>
    <n v="2380"/>
    <n v="16.399999999999999"/>
    <n v="9948.4"/>
    <s v="Completed"/>
    <s v="Hyderabad"/>
    <s v="Grocery"/>
    <m/>
    <s v="Retail"/>
    <n v="26"/>
    <s v="South"/>
    <s v="Apr-24"/>
  </r>
  <r>
    <s v="ORD-01654"/>
    <x v="246"/>
    <s v="CUST-9719"/>
    <s v="PROD-050"/>
    <s v="R015"/>
    <n v="2"/>
    <n v="6080"/>
    <n v="20.100000000000001"/>
    <n v="9715.84"/>
    <s v="Cancelled"/>
    <s v="Mumbai"/>
    <s v="Beauty"/>
    <m/>
    <e v="#N/A"/>
    <e v="#N/A"/>
    <m/>
    <m/>
  </r>
  <r>
    <s v="ORD-01655"/>
    <x v="296"/>
    <s v="CUST-0232"/>
    <s v="PROD-016"/>
    <s v="R016"/>
    <n v="2"/>
    <n v="620"/>
    <n v="4.3"/>
    <n v="1186.68"/>
    <s v="Completed"/>
    <s v="Hyderabad"/>
    <s v="Apparel"/>
    <m/>
    <s v="Retail"/>
    <n v="38"/>
    <s v="South"/>
    <s v="Jan-24"/>
  </r>
  <r>
    <s v="ORD-01656"/>
    <x v="16"/>
    <s v="CUST-0240"/>
    <s v="PROD-004"/>
    <s v="R012"/>
    <n v="7"/>
    <n v="3870"/>
    <n v="5.9"/>
    <n v="25491.69"/>
    <s v="Completed"/>
    <s v="Chennai"/>
    <s v="Electronics"/>
    <m/>
    <s v="Corporate"/>
    <n v="35"/>
    <s v="South"/>
    <s v="Oct-24"/>
  </r>
  <r>
    <s v="ORD-01657"/>
    <x v="249"/>
    <s v="CUST-0227"/>
    <s v="PROD-003"/>
    <s v="R020"/>
    <n v="8"/>
    <n v="3570"/>
    <n v="24.6"/>
    <n v="21534.240000000002"/>
    <s v="Completed"/>
    <s v="Bengaluru"/>
    <s v="Electronics"/>
    <m/>
    <s v="SMB"/>
    <n v="44"/>
    <m/>
    <m/>
  </r>
  <r>
    <s v="ORD-01658"/>
    <x v="168"/>
    <s v="CUST-0234"/>
    <s v="PROD-026"/>
    <s v="R010"/>
    <n v="1"/>
    <n v="4070"/>
    <n v="29.1"/>
    <n v="2885.63"/>
    <s v="Pending"/>
    <s v="Bengaluru"/>
    <s v="Grocery"/>
    <m/>
    <s v="Retail"/>
    <n v="34"/>
    <s v="East"/>
    <s v="Apr-24"/>
  </r>
  <r>
    <s v="ORD-01659"/>
    <x v="296"/>
    <s v="CUST-0041"/>
    <s v="PROD-020"/>
    <s v="R017"/>
    <n v="1"/>
    <n v="820"/>
    <n v="17.899999999999999"/>
    <n v="673.22"/>
    <s v="Completed"/>
    <s v="Bengaluru"/>
    <s v="Apparel"/>
    <m/>
    <s v="SMB"/>
    <n v="26"/>
    <s v="South"/>
    <s v="Dec-24"/>
  </r>
  <r>
    <s v="ORD-01660"/>
    <x v="175"/>
    <s v="CUST-0129"/>
    <s v="PROD-045"/>
    <s v="R029"/>
    <n v="5"/>
    <n v="3020"/>
    <n v="26.2"/>
    <n v="11143.8"/>
    <s v="Completed"/>
    <s v="Hyderabad"/>
    <s v="Beauty"/>
    <m/>
    <s v="Retail"/>
    <n v="29"/>
    <s v="East"/>
    <s v="Oct-24"/>
  </r>
  <r>
    <s v="ORD-01661"/>
    <x v="91"/>
    <s v="CUST-0141"/>
    <s v="PROD-018"/>
    <s v="R022"/>
    <n v="10"/>
    <n v="3560"/>
    <n v="15.4"/>
    <n v="30117.599999999999"/>
    <s v="Refunded"/>
    <s v="Hyderabad"/>
    <s v="Apparel"/>
    <m/>
    <s v="Corporate"/>
    <n v="22"/>
    <s v="West"/>
    <s v="Dec-24"/>
  </r>
  <r>
    <s v="ORD-01662"/>
    <x v="299"/>
    <s v="CUST-0282"/>
    <s v="PROD-043"/>
    <s v="R001"/>
    <n v="3"/>
    <n v="3350"/>
    <n v="8.1"/>
    <n v="9235.9500000000007"/>
    <s v="Completed"/>
    <s v="Hyderabad"/>
    <s v="Beauty"/>
    <m/>
    <s v="Corporate"/>
    <n v="29"/>
    <s v="East"/>
    <s v="Apr-24"/>
  </r>
  <r>
    <s v="ORD-01663"/>
    <x v="176"/>
    <s v="CUST-0269"/>
    <s v="PROD-042"/>
    <s v="R025"/>
    <n v="10"/>
    <n v="2290"/>
    <n v="7"/>
    <n v="21297"/>
    <s v="Completed"/>
    <s v="Pune"/>
    <s v="Beauty"/>
    <m/>
    <s v="Retail"/>
    <n v="48"/>
    <m/>
    <m/>
  </r>
  <r>
    <s v="ORD-01664"/>
    <x v="64"/>
    <s v="CUST-0239"/>
    <s v="PROD-028"/>
    <s v="R003"/>
    <n v="6"/>
    <n v="3660"/>
    <n v="29.9"/>
    <n v="15393.96"/>
    <s v="Completed"/>
    <s v="Mumbai"/>
    <s v="Grocery"/>
    <m/>
    <s v="Retail"/>
    <n v="61"/>
    <m/>
    <m/>
  </r>
  <r>
    <s v="ORD-01665"/>
    <x v="87"/>
    <s v="CUST-0075"/>
    <s v="PROD-010"/>
    <s v="R013"/>
    <n v="8"/>
    <n v="2640"/>
    <n v="4.2"/>
    <n v="20232.96"/>
    <s v="Refunded"/>
    <s v="Mumbai"/>
    <s v="Electronics"/>
    <m/>
    <s v="Corporate"/>
    <n v="55"/>
    <m/>
    <m/>
  </r>
  <r>
    <s v="ORD-01666"/>
    <x v="194"/>
    <s v="CUST-0184"/>
    <s v="PROD-032"/>
    <s v="R006"/>
    <n v="5"/>
    <n v="370"/>
    <n v="6"/>
    <n v="1739"/>
    <s v="Completed"/>
    <s v="Pune"/>
    <s v="Home"/>
    <m/>
    <s v="Retail"/>
    <n v="63"/>
    <m/>
    <m/>
  </r>
  <r>
    <s v="ORD-01667"/>
    <x v="312"/>
    <s v="CUST-0144"/>
    <s v="PROD-024"/>
    <s v="R007"/>
    <n v="9"/>
    <n v="2270"/>
    <n v="4.7"/>
    <n v="19469.79"/>
    <s v="Completed"/>
    <s v="Chennai"/>
    <s v="Grocery"/>
    <m/>
    <s v="Retail"/>
    <n v="49"/>
    <m/>
    <m/>
  </r>
  <r>
    <s v="ORD-01668"/>
    <x v="85"/>
    <s v="CUST-0039"/>
    <s v="PROD-037"/>
    <s v="R011"/>
    <n v="5"/>
    <n v="660"/>
    <n v="21"/>
    <n v="2607"/>
    <s v="Completed"/>
    <s v="Bengaluru"/>
    <s v="Home"/>
    <m/>
    <s v="Retail"/>
    <n v="37"/>
    <s v="North"/>
    <s v="Mar-24"/>
  </r>
  <r>
    <s v="ORD-01669"/>
    <x v="192"/>
    <s v="CUST-9765"/>
    <s v="PROD-057"/>
    <s v="R003"/>
    <n v="2"/>
    <n v="960"/>
    <n v="7.3"/>
    <n v="1779.84"/>
    <s v="Completed"/>
    <s v="Bengaluru"/>
    <s v="Sports"/>
    <m/>
    <e v="#N/A"/>
    <e v="#N/A"/>
    <m/>
    <m/>
  </r>
  <r>
    <s v="ORD-01670"/>
    <x v="89"/>
    <s v="CUST-0159"/>
    <s v="PROD-048"/>
    <s v="R009"/>
    <n v="3"/>
    <n v="5100"/>
    <n v="21"/>
    <n v="12087"/>
    <s v="Completed"/>
    <s v="Hyderabad"/>
    <s v="Beauty"/>
    <m/>
    <s v="Retail"/>
    <n v="32"/>
    <s v="North"/>
    <s v="Apr-24"/>
  </r>
  <r>
    <s v="ORD-01671"/>
    <x v="286"/>
    <s v="CUST-0168"/>
    <s v="PROD-012"/>
    <s v="R004"/>
    <n v="3"/>
    <n v="3160"/>
    <n v="13.5"/>
    <n v="8200.2000000000007"/>
    <s v="Completed"/>
    <s v="Pune"/>
    <s v="Apparel"/>
    <m/>
    <s v="Retail"/>
    <n v="25"/>
    <s v="South"/>
    <s v="Aug-24"/>
  </r>
  <r>
    <s v="ORD-01672"/>
    <x v="111"/>
    <s v="CUST-9552"/>
    <s v="PROD-041"/>
    <s v="R005"/>
    <n v="9"/>
    <n v="1540"/>
    <n v="18.2"/>
    <n v="11337.48"/>
    <s v="Cancelled"/>
    <s v="Bengaluru"/>
    <s v="Beauty"/>
    <m/>
    <e v="#N/A"/>
    <e v="#N/A"/>
    <m/>
    <m/>
  </r>
  <r>
    <s v="ORD-01673"/>
    <x v="313"/>
    <s v="CUST-0056"/>
    <s v="PROD-047"/>
    <s v="R024"/>
    <n v="4"/>
    <n v="3450"/>
    <n v="26.4"/>
    <n v="10156.799999999999"/>
    <s v="Pending"/>
    <s v="Bengaluru"/>
    <s v="Beauty"/>
    <m/>
    <s v="SMB"/>
    <n v="46"/>
    <m/>
    <m/>
  </r>
  <r>
    <s v="ORD-01674"/>
    <x v="311"/>
    <s v="CUST-0239"/>
    <s v="PROD-023"/>
    <s v="R026"/>
    <n v="4"/>
    <n v="2380"/>
    <n v="6.9"/>
    <n v="8863.1200000000008"/>
    <s v="Completed"/>
    <s v="Mumbai"/>
    <s v="Grocery"/>
    <m/>
    <s v="Retail"/>
    <n v="61"/>
    <m/>
    <m/>
  </r>
  <r>
    <s v="ORD-01675"/>
    <x v="140"/>
    <s v="CUST-0168"/>
    <s v="PROD-031"/>
    <s v="R003"/>
    <n v="2"/>
    <n v="3730"/>
    <n v="22.9"/>
    <n v="5751.66"/>
    <s v="Completed"/>
    <s v="Pune"/>
    <s v="Home"/>
    <m/>
    <s v="Retail"/>
    <n v="25"/>
    <s v="West"/>
    <s v="Nov-24"/>
  </r>
  <r>
    <s v="ORD-01676"/>
    <x v="0"/>
    <s v="CUST-0012"/>
    <s v="PROD-036"/>
    <s v="R002"/>
    <n v="7"/>
    <n v="3250"/>
    <n v="6"/>
    <n v="21385"/>
    <s v="Completed"/>
    <s v="Pune"/>
    <s v="Home"/>
    <m/>
    <s v="Retail"/>
    <n v="43"/>
    <m/>
    <m/>
  </r>
  <r>
    <s v="ORD-01677"/>
    <x v="281"/>
    <s v="CUST-0057"/>
    <s v="PROD-053"/>
    <s v="R020"/>
    <n v="9"/>
    <n v="470"/>
    <n v="11.6"/>
    <n v="3739.32"/>
    <s v="Completed"/>
    <s v="Pune"/>
    <s v="Sports"/>
    <m/>
    <s v="Retail"/>
    <n v="35"/>
    <s v="North"/>
    <s v="Sep-24"/>
  </r>
  <r>
    <s v="ORD-01678"/>
    <x v="308"/>
    <s v="CUST-0030"/>
    <s v="PROD-042"/>
    <s v="R026"/>
    <n v="5"/>
    <n v="2290"/>
    <n v="27.6"/>
    <n v="8289.7999999999993"/>
    <s v="Completed"/>
    <s v="Bengaluru"/>
    <s v="Beauty"/>
    <m/>
    <s v="Corporate"/>
    <n v="43"/>
    <m/>
    <m/>
  </r>
  <r>
    <s v="ORD-01679"/>
    <x v="32"/>
    <s v="CUST-0166"/>
    <s v="PROD-007"/>
    <s v="R029"/>
    <n v="6"/>
    <n v="1430"/>
    <n v="18.399999999999999"/>
    <n v="7001.28"/>
    <s v="Pending"/>
    <s v="Hyderabad"/>
    <s v="Electronics"/>
    <m/>
    <s v="Retail"/>
    <n v="31"/>
    <s v="West"/>
    <s v="Oct-24"/>
  </r>
  <r>
    <s v="ORD-01680"/>
    <x v="260"/>
    <s v="CUST-0188"/>
    <s v="PROD-055"/>
    <s v="R002"/>
    <n v="7"/>
    <n v="2860"/>
    <n v="19.5"/>
    <n v="16116.1"/>
    <s v="Completed"/>
    <s v="Bengaluru"/>
    <s v="Sports"/>
    <m/>
    <s v="Retail"/>
    <n v="54"/>
    <m/>
    <m/>
  </r>
  <r>
    <s v="ORD-01681"/>
    <x v="96"/>
    <s v="CUST-0097"/>
    <s v="PROD-047"/>
    <s v="R020"/>
    <n v="8"/>
    <n v="3450"/>
    <n v="25.5"/>
    <n v="20562"/>
    <s v="Pending"/>
    <s v="Mumbai"/>
    <s v="Beauty"/>
    <m/>
    <s v="Retail"/>
    <n v="65"/>
    <m/>
    <m/>
  </r>
  <r>
    <s v="ORD-01682"/>
    <x v="344"/>
    <s v="CUST-0026"/>
    <s v="PROD-052"/>
    <s v="R019"/>
    <n v="7"/>
    <n v="5410"/>
    <n v="15.2"/>
    <n v="32113.759999999998"/>
    <s v="Cancelled"/>
    <s v="Pune"/>
    <s v="Sports"/>
    <m/>
    <s v="Retail"/>
    <n v="62"/>
    <m/>
    <m/>
  </r>
  <r>
    <s v="ORD-01683"/>
    <x v="276"/>
    <s v="CUST-0026"/>
    <s v="PROD-040"/>
    <s v="R025"/>
    <n v="3"/>
    <n v="1080"/>
    <n v="26"/>
    <n v="2397.6"/>
    <s v="Completed"/>
    <s v="Pune"/>
    <s v="Home"/>
    <m/>
    <s v="Retail"/>
    <n v="62"/>
    <m/>
    <m/>
  </r>
  <r>
    <s v="ORD-01684"/>
    <x v="20"/>
    <s v="CUST-0020"/>
    <s v="PROD-055"/>
    <s v="R019"/>
    <n v="8"/>
    <n v="2860"/>
    <n v="14.8"/>
    <n v="19493.759999999998"/>
    <s v="Completed"/>
    <s v="Hyderabad"/>
    <s v="Sports"/>
    <m/>
    <s v="Retail"/>
    <n v="46"/>
    <m/>
    <m/>
  </r>
  <r>
    <s v="ORD-01685"/>
    <x v="10"/>
    <s v="CUST-9740"/>
    <s v="PROD-045"/>
    <s v="R013"/>
    <n v="4"/>
    <n v="3020"/>
    <n v="8.1"/>
    <n v="11101.52"/>
    <s v="Completed"/>
    <s v="Hyderabad"/>
    <s v="Beauty"/>
    <m/>
    <e v="#N/A"/>
    <e v="#N/A"/>
    <m/>
    <m/>
  </r>
  <r>
    <s v="ORD-01686"/>
    <x v="51"/>
    <s v="CUST-0095"/>
    <s v="PROD-057"/>
    <s v="R025"/>
    <n v="4"/>
    <n v="960"/>
    <n v="6.4"/>
    <n v="3594.24"/>
    <s v="Cancelled"/>
    <s v="Mumbai"/>
    <s v="Sports"/>
    <m/>
    <s v="SMB"/>
    <n v="54"/>
    <m/>
    <m/>
  </r>
  <r>
    <s v="ORD-01687"/>
    <x v="102"/>
    <s v="CUST-0079"/>
    <s v="PROD-004"/>
    <s v="R029"/>
    <n v="4"/>
    <n v="3870"/>
    <n v="15.9"/>
    <n v="13018.68"/>
    <s v="Completed"/>
    <s v="Mumbai"/>
    <s v="Electronics"/>
    <m/>
    <s v="Corporate"/>
    <n v="60"/>
    <m/>
    <m/>
  </r>
  <r>
    <s v="ORD-01688"/>
    <x v="239"/>
    <s v="CUST-0060"/>
    <s v="PROD-012"/>
    <s v="R020"/>
    <n v="5"/>
    <n v="3160"/>
    <n v="29.8"/>
    <n v="11091.6"/>
    <s v="Completed"/>
    <s v="Pune"/>
    <s v="Apparel"/>
    <m/>
    <s v="Retail"/>
    <n v="39"/>
    <s v="West"/>
    <s v="Oct-24"/>
  </r>
  <r>
    <s v="ORD-01689"/>
    <x v="210"/>
    <s v="CUST-0080"/>
    <s v="PROD-047"/>
    <s v="R027"/>
    <n v="5"/>
    <n v="3450"/>
    <n v="29.4"/>
    <n v="12178.5"/>
    <s v="Completed"/>
    <s v="Pune"/>
    <s v="Beauty"/>
    <m/>
    <s v="SMB"/>
    <n v="30"/>
    <s v="East"/>
    <s v="Mar-24"/>
  </r>
  <r>
    <s v="ORD-01690"/>
    <x v="275"/>
    <s v="CUST-0136"/>
    <s v="PROD-049"/>
    <s v="R018"/>
    <n v="10"/>
    <n v="960"/>
    <n v="27"/>
    <n v="7008"/>
    <s v="Cancelled"/>
    <s v="Chennai"/>
    <s v="Beauty"/>
    <m/>
    <s v="SMB"/>
    <n v="26"/>
    <s v="West"/>
    <s v="Apr-24"/>
  </r>
  <r>
    <s v="ORD-01691"/>
    <x v="335"/>
    <s v="CUST-0074"/>
    <s v="PROD-056"/>
    <s v="R018"/>
    <n v="10"/>
    <n v="6940"/>
    <n v="20.100000000000001"/>
    <n v="55450.6"/>
    <s v="Completed"/>
    <s v="Bengaluru"/>
    <s v="Sports"/>
    <m/>
    <s v="Retail"/>
    <n v="27"/>
    <s v="East"/>
    <s v="Aug-24"/>
  </r>
  <r>
    <s v="ORD-01692"/>
    <x v="295"/>
    <s v="CUST-0090"/>
    <s v="PROD-058"/>
    <s v="R009"/>
    <n v="9"/>
    <n v="2400"/>
    <n v="7.8"/>
    <n v="19915.2"/>
    <s v="Completed"/>
    <s v="Bengaluru"/>
    <s v="Sports"/>
    <m/>
    <s v="Corporate"/>
    <n v="26"/>
    <s v="East"/>
    <s v="May-24"/>
  </r>
  <r>
    <s v="ORD-01693"/>
    <x v="245"/>
    <s v="CUST-0300"/>
    <s v="PROD-052"/>
    <s v="R017"/>
    <n v="1"/>
    <n v="5410"/>
    <n v="22.8"/>
    <n v="4176.5200000000004"/>
    <s v="Completed"/>
    <s v="Mumbai"/>
    <s v="Sports"/>
    <m/>
    <s v="Retail"/>
    <n v="38"/>
    <s v="South"/>
    <s v="May-24"/>
  </r>
  <r>
    <s v="ORD-01694"/>
    <x v="98"/>
    <s v="CUST-0188"/>
    <s v="PROD-009"/>
    <s v="R004"/>
    <n v="7"/>
    <n v="1220"/>
    <n v="18.8"/>
    <n v="6934.48"/>
    <s v="Pending"/>
    <s v="Bengaluru"/>
    <s v="Electronics"/>
    <m/>
    <s v="Retail"/>
    <n v="54"/>
    <m/>
    <m/>
  </r>
  <r>
    <s v="ORD-01695"/>
    <x v="127"/>
    <s v="CUST-0250"/>
    <s v="PROD-035"/>
    <s v="R019"/>
    <n v="1"/>
    <n v="1090"/>
    <n v="23.5"/>
    <n v="833.85"/>
    <s v="Completed"/>
    <s v="Delhi"/>
    <s v="Home"/>
    <m/>
    <s v="Retail"/>
    <n v="31"/>
    <s v="North"/>
    <s v="Dec-24"/>
  </r>
  <r>
    <s v="ORD-01696"/>
    <x v="101"/>
    <s v="CUST-0195"/>
    <s v="PROD-021"/>
    <s v="R023"/>
    <n v="2"/>
    <n v="2760"/>
    <n v="2.2999999999999998"/>
    <n v="5393.04"/>
    <s v="Completed"/>
    <s v="Bengaluru"/>
    <s v="Grocery"/>
    <m/>
    <s v="Retail"/>
    <n v="28"/>
    <s v="East"/>
    <s v="Oct-24"/>
  </r>
  <r>
    <s v="ORD-01697"/>
    <x v="17"/>
    <s v="CUST-0185"/>
    <s v="PROD-003"/>
    <s v="R026"/>
    <n v="3"/>
    <n v="3570"/>
    <n v="18.399999999999999"/>
    <n v="8739.36"/>
    <s v="Refunded"/>
    <s v="Hyderabad"/>
    <s v="Electronics"/>
    <m/>
    <s v="SMB"/>
    <n v="43"/>
    <m/>
    <m/>
  </r>
  <r>
    <s v="ORD-01698"/>
    <x v="349"/>
    <s v="CUST-0256"/>
    <s v="PROD-009"/>
    <s v="R004"/>
    <n v="7"/>
    <n v="1220"/>
    <n v="25.8"/>
    <n v="6336.68"/>
    <s v="Refunded"/>
    <s v="Hyderabad"/>
    <s v="Electronics"/>
    <m/>
    <s v="Retail"/>
    <n v="28"/>
    <s v="West"/>
    <s v="Nov-24"/>
  </r>
  <r>
    <s v="ORD-01699"/>
    <x v="350"/>
    <s v="CUST-0060"/>
    <s v="PROD-051"/>
    <s v="R029"/>
    <n v="6"/>
    <n v="3450"/>
    <n v="13.1"/>
    <n v="17988.3"/>
    <s v="Completed"/>
    <s v="Pune"/>
    <s v="Sports"/>
    <m/>
    <s v="Retail"/>
    <n v="39"/>
    <s v="North"/>
    <s v="Jul-24"/>
  </r>
  <r>
    <s v="ORD-01700"/>
    <x v="347"/>
    <s v="CUST-0275"/>
    <s v="PROD-029"/>
    <s v="R004"/>
    <n v="10"/>
    <n v="2210"/>
    <n v="16.600000000000001"/>
    <n v="18431.400000000001"/>
    <s v="Completed"/>
    <s v="Mumbai"/>
    <s v="Grocery"/>
    <m/>
    <s v="Retail"/>
    <n v="36"/>
    <s v="West"/>
    <s v="Jul-24"/>
  </r>
  <r>
    <s v="ORD-01701"/>
    <x v="146"/>
    <s v="CUST-0114"/>
    <s v="PROD-019"/>
    <s v="R027"/>
    <n v="10"/>
    <n v="2480"/>
    <n v="17.5"/>
    <n v="20460"/>
    <s v="Completed"/>
    <s v="Bengaluru"/>
    <s v="Apparel"/>
    <m/>
    <s v="Corporate"/>
    <n v="42"/>
    <m/>
    <m/>
  </r>
  <r>
    <s v="ORD-01702"/>
    <x v="286"/>
    <s v="CUST-0060"/>
    <s v="PROD-036"/>
    <s v="R019"/>
    <n v="9"/>
    <n v="3250"/>
    <n v="25.9"/>
    <n v="21674.25"/>
    <s v="Completed"/>
    <s v="Pune"/>
    <s v="Home"/>
    <m/>
    <s v="Retail"/>
    <n v="39"/>
    <s v="West"/>
    <s v="Jan-24"/>
  </r>
  <r>
    <s v="ORD-01703"/>
    <x v="267"/>
    <s v="CUST-0039"/>
    <s v="PROD-058"/>
    <s v="R008"/>
    <n v="3"/>
    <n v="2400"/>
    <n v="17.5"/>
    <n v="5940"/>
    <s v="Completed"/>
    <s v="Bengaluru"/>
    <s v="Sports"/>
    <m/>
    <s v="Retail"/>
    <n v="37"/>
    <s v="East"/>
    <s v="Oct-24"/>
  </r>
  <r>
    <s v="ORD-01704"/>
    <x v="332"/>
    <s v="CUST-0033"/>
    <s v="PROD-052"/>
    <s v="R006"/>
    <n v="8"/>
    <n v="5410"/>
    <n v="8.3000000000000007"/>
    <n v="39687.760000000002"/>
    <s v="Completed"/>
    <s v="Delhi"/>
    <s v="Sports"/>
    <m/>
    <s v="Retail"/>
    <n v="35"/>
    <s v="North"/>
    <s v="Jul-24"/>
  </r>
  <r>
    <s v="ORD-01705"/>
    <x v="81"/>
    <s v="CUST-0037"/>
    <s v="PROD-002"/>
    <s v="R018"/>
    <n v="1"/>
    <n v="2600"/>
    <n v="5.9"/>
    <n v="2446.6"/>
    <s v="Completed"/>
    <s v="Bengaluru"/>
    <s v="Electronics"/>
    <m/>
    <s v="Retail"/>
    <n v="52"/>
    <m/>
    <m/>
  </r>
  <r>
    <s v="ORD-01706"/>
    <x v="348"/>
    <s v="CUST-0081"/>
    <s v="PROD-025"/>
    <s v="R003"/>
    <n v="10"/>
    <n v="4060"/>
    <n v="2.2999999999999998"/>
    <n v="39666.199999999997"/>
    <s v="Completed"/>
    <s v="Mumbai"/>
    <s v="Grocery"/>
    <m/>
    <s v="Retail"/>
    <n v="25"/>
    <s v="East"/>
    <s v="Nov-24"/>
  </r>
  <r>
    <s v="ORD-01707"/>
    <x v="279"/>
    <s v="CUST-0279"/>
    <s v="PROD-001"/>
    <s v="R020"/>
    <n v="9"/>
    <n v="5330"/>
    <n v="23.5"/>
    <n v="36697.050000000003"/>
    <s v="Completed"/>
    <s v="Mumbai"/>
    <s v="Electronics"/>
    <m/>
    <s v="Retail"/>
    <n v="56"/>
    <m/>
    <m/>
  </r>
  <r>
    <s v="ORD-01708"/>
    <x v="77"/>
    <s v="CUST-0129"/>
    <s v="PROD-043"/>
    <s v="R025"/>
    <n v="7"/>
    <n v="3350"/>
    <n v="13.4"/>
    <n v="20307.7"/>
    <s v="Pending"/>
    <s v="Hyderabad"/>
    <s v="Beauty"/>
    <m/>
    <s v="Retail"/>
    <n v="29"/>
    <s v="East"/>
    <s v="Mar-24"/>
  </r>
  <r>
    <s v="ORD-01709"/>
    <x v="252"/>
    <s v="CUST-0010"/>
    <s v="PROD-017"/>
    <s v="R014"/>
    <n v="4"/>
    <n v="2510"/>
    <n v="26.6"/>
    <n v="7369.36"/>
    <s v="Completed"/>
    <s v="Mumbai"/>
    <s v="Apparel"/>
    <m/>
    <s v="SMB"/>
    <n v="61"/>
    <m/>
    <m/>
  </r>
  <r>
    <s v="ORD-01710"/>
    <x v="145"/>
    <s v="CUST-0006"/>
    <s v="PROD-045"/>
    <s v="R021"/>
    <n v="1"/>
    <n v="3020"/>
    <n v="15.2"/>
    <n v="2560.96"/>
    <s v="Cancelled"/>
    <s v="Pune"/>
    <s v="Beauty"/>
    <m/>
    <s v="SMB"/>
    <n v="44"/>
    <m/>
    <m/>
  </r>
  <r>
    <s v="ORD-01711"/>
    <x v="149"/>
    <s v="CUST-0206"/>
    <s v="PROD-020"/>
    <s v="R029"/>
    <n v="1"/>
    <n v="820"/>
    <n v="6.3"/>
    <n v="768.34"/>
    <s v="Completed"/>
    <s v="Mumbai"/>
    <s v="Apparel"/>
    <m/>
    <s v="Retail"/>
    <n v="40"/>
    <s v="East"/>
    <s v="Jun-24"/>
  </r>
  <r>
    <s v="ORD-01712"/>
    <x v="56"/>
    <s v="CUST-0034"/>
    <s v="PROD-012"/>
    <s v="R027"/>
    <n v="4"/>
    <n v="3160"/>
    <n v="3.6"/>
    <n v="12184.96"/>
    <s v="Pending"/>
    <s v="Delhi"/>
    <s v="Apparel"/>
    <m/>
    <s v="Retail"/>
    <n v="47"/>
    <m/>
    <m/>
  </r>
  <r>
    <s v="ORD-01713"/>
    <x v="43"/>
    <s v="CUST-0121"/>
    <s v="PROD-028"/>
    <s v="R012"/>
    <n v="1"/>
    <n v="3660"/>
    <n v="28.2"/>
    <n v="2627.88"/>
    <s v="Pending"/>
    <s v="Delhi"/>
    <s v="Grocery"/>
    <m/>
    <s v="SMB"/>
    <n v="55"/>
    <m/>
    <m/>
  </r>
  <r>
    <s v="ORD-01714"/>
    <x v="18"/>
    <s v="CUST-0098"/>
    <s v="PROD-020"/>
    <s v="R026"/>
    <n v="2"/>
    <n v="820"/>
    <n v="7"/>
    <n v="1525.2"/>
    <s v="Completed"/>
    <s v="Delhi"/>
    <s v="Apparel"/>
    <m/>
    <s v="Retail"/>
    <n v="52"/>
    <m/>
    <m/>
  </r>
  <r>
    <s v="ORD-01715"/>
    <x v="225"/>
    <s v="CUST-0031"/>
    <s v="PROD-023"/>
    <s v="R022"/>
    <n v="5"/>
    <n v="2380"/>
    <n v="23"/>
    <n v="9163"/>
    <s v="Completed"/>
    <s v="Hyderabad"/>
    <s v="Grocery"/>
    <m/>
    <s v="Retail"/>
    <n v="53"/>
    <m/>
    <m/>
  </r>
  <r>
    <s v="ORD-01716"/>
    <x v="109"/>
    <s v="CUST-0185"/>
    <s v="PROD-004"/>
    <s v="R013"/>
    <n v="1"/>
    <n v="3870"/>
    <n v="27.3"/>
    <n v="2813.49"/>
    <s v="Completed"/>
    <s v="Hyderabad"/>
    <s v="Electronics"/>
    <m/>
    <s v="SMB"/>
    <n v="43"/>
    <m/>
    <m/>
  </r>
  <r>
    <s v="ORD-01717"/>
    <x v="114"/>
    <s v="CUST-0011"/>
    <s v="PROD-005"/>
    <s v="R007"/>
    <n v="10"/>
    <n v="300"/>
    <n v="14.1"/>
    <n v="2577"/>
    <s v="Cancelled"/>
    <s v="Chennai"/>
    <s v="Electronics"/>
    <m/>
    <s v="Corporate"/>
    <n v="41"/>
    <m/>
    <m/>
  </r>
  <r>
    <s v="ORD-01718"/>
    <x v="262"/>
    <s v="CUST-0223"/>
    <s v="PROD-048"/>
    <s v="R027"/>
    <n v="10"/>
    <n v="5100"/>
    <n v="12.7"/>
    <n v="44523"/>
    <s v="Completed"/>
    <s v="Bengaluru"/>
    <s v="Beauty"/>
    <m/>
    <s v="Retail"/>
    <n v="46"/>
    <m/>
    <m/>
  </r>
  <r>
    <s v="ORD-01719"/>
    <x v="55"/>
    <s v="CUST-0126"/>
    <s v="PROD-021"/>
    <s v="R013"/>
    <n v="1"/>
    <n v="2760"/>
    <n v="17.8"/>
    <n v="2268.7199999999998"/>
    <s v="Refunded"/>
    <s v="Mumbai"/>
    <s v="Grocery"/>
    <m/>
    <s v="Retail"/>
    <n v="37"/>
    <s v="West"/>
    <s v="Dec-24"/>
  </r>
  <r>
    <s v="ORD-01720"/>
    <x v="143"/>
    <s v="CUST-0284"/>
    <s v="PROD-001"/>
    <s v="R002"/>
    <n v="8"/>
    <n v="5330"/>
    <n v="16.399999999999999"/>
    <n v="35647.040000000001"/>
    <s v="Completed"/>
    <s v="Hyderabad"/>
    <s v="Electronics"/>
    <m/>
    <s v="SMB"/>
    <n v="65"/>
    <m/>
    <m/>
  </r>
  <r>
    <s v="ORD-01721"/>
    <x v="136"/>
    <s v="CUST-0011"/>
    <s v="PROD-054"/>
    <s v="R016"/>
    <n v="1"/>
    <n v="1010"/>
    <n v="20.399999999999999"/>
    <n v="803.96"/>
    <s v="Cancelled"/>
    <s v="Chennai"/>
    <s v="Sports"/>
    <m/>
    <s v="Corporate"/>
    <n v="41"/>
    <m/>
    <m/>
  </r>
  <r>
    <s v="ORD-01722"/>
    <x v="351"/>
    <s v="CUST-0275"/>
    <s v="PROD-008"/>
    <s v="R019"/>
    <n v="10"/>
    <n v="2660"/>
    <n v="29.3"/>
    <n v="18806.2"/>
    <s v="Completed"/>
    <s v="Mumbai"/>
    <s v="Electronics"/>
    <m/>
    <s v="Retail"/>
    <n v="36"/>
    <s v="South"/>
    <s v="Jun-24"/>
  </r>
  <r>
    <s v="ORD-01723"/>
    <x v="47"/>
    <s v="CUST-0259"/>
    <s v="PROD-006"/>
    <s v="R011"/>
    <n v="9"/>
    <n v="3970"/>
    <n v="10.4"/>
    <n v="32014.080000000002"/>
    <s v="Pending"/>
    <s v="Mumbai"/>
    <s v="Electronics"/>
    <m/>
    <s v="Retail"/>
    <n v="34"/>
    <s v="East"/>
    <s v="Mar-24"/>
  </r>
  <r>
    <s v="ORD-01724"/>
    <x v="22"/>
    <s v="CUST-0089"/>
    <s v="PROD-014"/>
    <s v="R008"/>
    <n v="3"/>
    <n v="3620"/>
    <n v="22"/>
    <n v="8470.7999999999993"/>
    <s v="Completed"/>
    <s v="Mumbai"/>
    <s v="Apparel"/>
    <m/>
    <s v="SMB"/>
    <n v="43"/>
    <m/>
    <m/>
  </r>
  <r>
    <s v="ORD-01725"/>
    <x v="266"/>
    <s v="CUST-0232"/>
    <s v="PROD-022"/>
    <s v="R018"/>
    <n v="6"/>
    <n v="2270"/>
    <n v="11.1"/>
    <n v="12108.18"/>
    <s v="Cancelled"/>
    <s v="Hyderabad"/>
    <s v="Grocery"/>
    <m/>
    <s v="Retail"/>
    <n v="38"/>
    <s v="North"/>
    <s v="Jun-24"/>
  </r>
  <r>
    <s v="ORD-01726"/>
    <x v="363"/>
    <s v="CUST-0220"/>
    <s v="PROD-022"/>
    <s v="R014"/>
    <n v="4"/>
    <n v="2270"/>
    <n v="27.2"/>
    <n v="6610.24"/>
    <s v="Pending"/>
    <s v="Chennai"/>
    <s v="Grocery"/>
    <m/>
    <s v="Retail"/>
    <n v="34"/>
    <s v="East"/>
    <s v="Apr-24"/>
  </r>
  <r>
    <s v="ORD-01727"/>
    <x v="31"/>
    <s v="CUST-0137"/>
    <s v="PROD-039"/>
    <s v="R012"/>
    <n v="8"/>
    <n v="4610"/>
    <n v="24.5"/>
    <n v="27844.400000000001"/>
    <s v="Completed"/>
    <s v="Mumbai"/>
    <s v="Home"/>
    <m/>
    <s v="Retail"/>
    <n v="41"/>
    <m/>
    <m/>
  </r>
  <r>
    <s v="ORD-01728"/>
    <x v="250"/>
    <s v="CUST-0132"/>
    <s v="PROD-060"/>
    <s v="R020"/>
    <n v="6"/>
    <n v="190"/>
    <n v="8.6999999999999993"/>
    <n v="1040.82"/>
    <s v="Cancelled"/>
    <s v="Delhi"/>
    <s v="Sports"/>
    <m/>
    <s v="Retail"/>
    <n v="41"/>
    <m/>
    <m/>
  </r>
  <r>
    <s v="ORD-01729"/>
    <x v="7"/>
    <s v="CUST-0226"/>
    <s v="PROD-033"/>
    <s v="R026"/>
    <n v="5"/>
    <n v="2030"/>
    <n v="0.9"/>
    <n v="10058.65"/>
    <s v="Cancelled"/>
    <s v="Chennai"/>
    <s v="Home"/>
    <m/>
    <s v="Corporate"/>
    <n v="52"/>
    <m/>
    <m/>
  </r>
  <r>
    <s v="ORD-01730"/>
    <x v="105"/>
    <s v="CUST-0080"/>
    <s v="PROD-026"/>
    <s v="R020"/>
    <n v="1"/>
    <n v="4070"/>
    <n v="9.3000000000000007"/>
    <n v="3691.49"/>
    <s v="Refunded"/>
    <s v="Pune"/>
    <s v="Grocery"/>
    <m/>
    <s v="SMB"/>
    <n v="30"/>
    <s v="West"/>
    <s v="Nov-24"/>
  </r>
  <r>
    <s v="ORD-01731"/>
    <x v="151"/>
    <s v="CUST-0068"/>
    <s v="PROD-042"/>
    <s v="R001"/>
    <n v="3"/>
    <n v="2290"/>
    <n v="12.1"/>
    <n v="6038.73"/>
    <s v="Completed"/>
    <s v="Delhi"/>
    <s v="Beauty"/>
    <m/>
    <s v="SMB"/>
    <n v="48"/>
    <m/>
    <m/>
  </r>
  <r>
    <s v="ORD-01732"/>
    <x v="282"/>
    <s v="CUST-0146"/>
    <s v="PROD-031"/>
    <s v="R020"/>
    <n v="7"/>
    <n v="3730"/>
    <n v="4.5"/>
    <n v="24935.05"/>
    <s v="Completed"/>
    <s v="Hyderabad"/>
    <s v="Home"/>
    <m/>
    <s v="Retail"/>
    <n v="22"/>
    <s v="North"/>
    <s v="Jun-24"/>
  </r>
  <r>
    <s v="ORD-01733"/>
    <x v="141"/>
    <s v="CUST-0106"/>
    <s v="PROD-016"/>
    <s v="R005"/>
    <n v="5"/>
    <n v="620"/>
    <n v="7.5"/>
    <n v="2867.5"/>
    <s v="Completed"/>
    <s v="Pune"/>
    <s v="Apparel"/>
    <m/>
    <s v="Retail"/>
    <n v="22"/>
    <s v="East"/>
    <s v="Aug-24"/>
  </r>
  <r>
    <s v="ORD-01734"/>
    <x v="6"/>
    <s v="CUST-0096"/>
    <s v="PROD-010"/>
    <s v="R010"/>
    <n v="8"/>
    <n v="2640"/>
    <n v="16.399999999999999"/>
    <n v="17656.32"/>
    <s v="Completed"/>
    <s v="Delhi"/>
    <s v="Electronics"/>
    <m/>
    <s v="Corporate"/>
    <n v="27"/>
    <s v="North"/>
    <s v="Jan-24"/>
  </r>
  <r>
    <s v="ORD-01735"/>
    <x v="148"/>
    <s v="CUST-0248"/>
    <s v="PROD-028"/>
    <s v="R004"/>
    <n v="6"/>
    <n v="3660"/>
    <n v="6.2"/>
    <n v="20598.48"/>
    <s v="Completed"/>
    <s v="Chennai"/>
    <s v="Grocery"/>
    <m/>
    <s v="SMB"/>
    <n v="57"/>
    <m/>
    <m/>
  </r>
  <r>
    <s v="ORD-01736"/>
    <x v="11"/>
    <s v="CUST-0297"/>
    <s v="PROD-020"/>
    <s v="R020"/>
    <n v="2"/>
    <n v="820"/>
    <n v="25.4"/>
    <n v="1223.44"/>
    <s v="Completed"/>
    <s v="Hyderabad"/>
    <s v="Apparel"/>
    <m/>
    <s v="Retail"/>
    <n v="50"/>
    <m/>
    <m/>
  </r>
  <r>
    <s v="ORD-01737"/>
    <x v="102"/>
    <s v="CUST-0120"/>
    <s v="PROD-019"/>
    <s v="R021"/>
    <n v="3"/>
    <n v="2480"/>
    <n v="28.7"/>
    <n v="5304.72"/>
    <s v="Pending"/>
    <s v="Mumbai"/>
    <s v="Apparel"/>
    <m/>
    <s v="Retail"/>
    <n v="29"/>
    <s v="East"/>
    <s v="Aug-24"/>
  </r>
  <r>
    <s v="ORD-01738"/>
    <x v="166"/>
    <s v="CUST-0148"/>
    <s v="PROD-050"/>
    <s v="R028"/>
    <n v="10"/>
    <n v="6080"/>
    <n v="18.899999999999999"/>
    <n v="49308.800000000003"/>
    <s v="Completed"/>
    <s v="Chennai"/>
    <s v="Beauty"/>
    <m/>
    <s v="Retail"/>
    <n v="32"/>
    <s v="East"/>
    <s v="Oct-24"/>
  </r>
  <r>
    <s v="ORD-01739"/>
    <x v="260"/>
    <s v="CUST-0008"/>
    <s v="PROD-060"/>
    <s v="R022"/>
    <n v="1"/>
    <n v="190"/>
    <n v="5.7"/>
    <n v="179.17"/>
    <s v="Completed"/>
    <s v="Pune"/>
    <s v="Sports"/>
    <m/>
    <s v="SMB"/>
    <n v="39"/>
    <s v="West"/>
    <s v="Aug-24"/>
  </r>
  <r>
    <s v="ORD-01740"/>
    <x v="113"/>
    <s v="CUST-0013"/>
    <s v="PROD-059"/>
    <s v="R026"/>
    <n v="2"/>
    <n v="3780"/>
    <n v="11.8"/>
    <n v="6667.92"/>
    <s v="Completed"/>
    <s v="Delhi"/>
    <s v="Sports"/>
    <m/>
    <s v="Retail"/>
    <n v="41"/>
    <m/>
    <m/>
  </r>
  <r>
    <s v="ORD-01741"/>
    <x v="341"/>
    <s v="CUST-0234"/>
    <s v="PROD-036"/>
    <s v="R001"/>
    <n v="5"/>
    <n v="3250"/>
    <n v="19.899999999999999"/>
    <n v="13016.25"/>
    <s v="Completed"/>
    <s v="Bengaluru"/>
    <s v="Home"/>
    <m/>
    <s v="Retail"/>
    <n v="34"/>
    <s v="West"/>
    <s v="Jun-24"/>
  </r>
  <r>
    <s v="ORD-01742"/>
    <x v="13"/>
    <s v="CUST-0207"/>
    <s v="PROD-033"/>
    <s v="R008"/>
    <n v="7"/>
    <n v="2030"/>
    <n v="4.0999999999999996"/>
    <n v="13627.39"/>
    <s v="Completed"/>
    <s v="Hyderabad"/>
    <s v="Home"/>
    <m/>
    <s v="SMB"/>
    <n v="34"/>
    <s v="North"/>
    <s v="Nov-24"/>
  </r>
  <r>
    <s v="ORD-01743"/>
    <x v="330"/>
    <s v="CUST-0245"/>
    <s v="PROD-046"/>
    <s v="R012"/>
    <n v="5"/>
    <n v="4880"/>
    <n v="22.9"/>
    <n v="18812.400000000001"/>
    <s v="Completed"/>
    <s v="Hyderabad"/>
    <s v="Beauty"/>
    <m/>
    <s v="Retail"/>
    <n v="65"/>
    <m/>
    <m/>
  </r>
  <r>
    <s v="ORD-01744"/>
    <x v="92"/>
    <s v="CUST-0044"/>
    <s v="PROD-043"/>
    <s v="R020"/>
    <n v="3"/>
    <n v="3350"/>
    <n v="15.2"/>
    <n v="8522.4"/>
    <s v="Pending"/>
    <s v="Hyderabad"/>
    <s v="Beauty"/>
    <m/>
    <s v="SMB"/>
    <n v="29"/>
    <s v="South"/>
    <s v="Dec-24"/>
  </r>
  <r>
    <s v="ORD-01745"/>
    <x v="54"/>
    <s v="CUST-0264"/>
    <s v="PROD-055"/>
    <s v="R029"/>
    <n v="10"/>
    <n v="2860"/>
    <n v="15"/>
    <n v="24310"/>
    <s v="Completed"/>
    <s v="Pune"/>
    <s v="Sports"/>
    <m/>
    <s v="Retail"/>
    <n v="59"/>
    <m/>
    <m/>
  </r>
  <r>
    <s v="ORD-01746"/>
    <x v="328"/>
    <s v="CUST-0193"/>
    <s v="PROD-047"/>
    <s v="R018"/>
    <n v="5"/>
    <n v="3450"/>
    <n v="2.2999999999999998"/>
    <n v="16853.25"/>
    <s v="Completed"/>
    <s v="Bengaluru"/>
    <s v="Beauty"/>
    <m/>
    <s v="Retail"/>
    <n v="42"/>
    <m/>
    <m/>
  </r>
  <r>
    <s v="ORD-01747"/>
    <x v="245"/>
    <s v="CUST-0006"/>
    <s v="PROD-024"/>
    <s v="R015"/>
    <n v="3"/>
    <n v="2270"/>
    <n v="2.8"/>
    <n v="6619.32"/>
    <s v="Pending"/>
    <s v="Pune"/>
    <s v="Grocery"/>
    <m/>
    <s v="SMB"/>
    <n v="44"/>
    <m/>
    <m/>
  </r>
  <r>
    <s v="ORD-01748"/>
    <x v="20"/>
    <s v="CUST-0221"/>
    <s v="PROD-028"/>
    <s v="R007"/>
    <n v="8"/>
    <n v="3660"/>
    <n v="16.8"/>
    <n v="24360.959999999999"/>
    <s v="Completed"/>
    <s v="Delhi"/>
    <s v="Grocery"/>
    <m/>
    <s v="SMB"/>
    <n v="29"/>
    <s v="South"/>
    <s v="Apr-24"/>
  </r>
  <r>
    <s v="ORD-01749"/>
    <x v="277"/>
    <s v="CUST-0151"/>
    <s v="PROD-045"/>
    <s v="R008"/>
    <n v="7"/>
    <n v="3020"/>
    <n v="17.8"/>
    <n v="17377.080000000002"/>
    <s v="Completed"/>
    <s v="Mumbai"/>
    <s v="Beauty"/>
    <m/>
    <s v="Retail"/>
    <n v="53"/>
    <m/>
    <m/>
  </r>
  <r>
    <s v="ORD-01750"/>
    <x v="78"/>
    <s v="CUST-0188"/>
    <s v="PROD-040"/>
    <s v="R014"/>
    <n v="7"/>
    <n v="1080"/>
    <n v="12.9"/>
    <n v="6584.76"/>
    <s v="Completed"/>
    <s v="Bengaluru"/>
    <s v="Home"/>
    <m/>
    <s v="Retail"/>
    <n v="54"/>
    <m/>
    <m/>
  </r>
  <r>
    <s v="ORD-01751"/>
    <x v="315"/>
    <s v="CUST-0010"/>
    <s v="PROD-022"/>
    <s v="R012"/>
    <n v="2"/>
    <n v="2270"/>
    <n v="8.6"/>
    <n v="4149.5600000000004"/>
    <s v="Cancelled"/>
    <s v="Mumbai"/>
    <s v="Grocery"/>
    <m/>
    <s v="SMB"/>
    <n v="61"/>
    <m/>
    <m/>
  </r>
  <r>
    <s v="ORD-01752"/>
    <x v="338"/>
    <s v="CUST-0018"/>
    <s v="PROD-016"/>
    <s v="R012"/>
    <n v="10"/>
    <n v="620"/>
    <n v="26.1"/>
    <n v="4581.8"/>
    <s v="Completed"/>
    <s v="Pune"/>
    <s v="Apparel"/>
    <m/>
    <s v="SMB"/>
    <n v="54"/>
    <m/>
    <m/>
  </r>
  <r>
    <s v="ORD-01753"/>
    <x v="230"/>
    <s v="CUST-0262"/>
    <s v="PROD-025"/>
    <s v="R015"/>
    <n v="2"/>
    <n v="4060"/>
    <n v="3.8"/>
    <n v="7811.44"/>
    <s v="Completed"/>
    <s v="Mumbai"/>
    <s v="Grocery"/>
    <m/>
    <s v="Retail"/>
    <n v="52"/>
    <m/>
    <m/>
  </r>
  <r>
    <s v="ORD-01754"/>
    <x v="56"/>
    <s v="CUST-0282"/>
    <s v="PROD-027"/>
    <s v="R012"/>
    <n v="1"/>
    <n v="3780"/>
    <n v="27.9"/>
    <n v="2725.38"/>
    <s v="Completed"/>
    <s v="Hyderabad"/>
    <s v="Grocery"/>
    <m/>
    <s v="Corporate"/>
    <n v="29"/>
    <s v="South"/>
    <s v="Sep-24"/>
  </r>
  <r>
    <s v="ORD-01755"/>
    <x v="7"/>
    <s v="CUST-0194"/>
    <s v="PROD-023"/>
    <s v="R022"/>
    <n v="8"/>
    <n v="2380"/>
    <n v="3.8"/>
    <n v="18316.48"/>
    <s v="Completed"/>
    <s v="Delhi"/>
    <s v="Grocery"/>
    <m/>
    <s v="SMB"/>
    <n v="55"/>
    <m/>
    <m/>
  </r>
  <r>
    <s v="ORD-01756"/>
    <x v="239"/>
    <s v="CUST-0161"/>
    <s v="PROD-026"/>
    <s v="R024"/>
    <n v="7"/>
    <n v="4070"/>
    <n v="0.3"/>
    <n v="28404.53"/>
    <s v="Completed"/>
    <s v="Chennai"/>
    <s v="Grocery"/>
    <m/>
    <s v="Retail"/>
    <n v="38"/>
    <s v="East"/>
    <s v="Nov-24"/>
  </r>
  <r>
    <s v="ORD-01757"/>
    <x v="61"/>
    <s v="CUST-0120"/>
    <s v="PROD-010"/>
    <s v="R020"/>
    <n v="6"/>
    <n v="2640"/>
    <n v="3.4"/>
    <n v="15301.44"/>
    <s v="Completed"/>
    <s v="Mumbai"/>
    <s v="Electronics"/>
    <m/>
    <s v="Retail"/>
    <n v="29"/>
    <s v="West"/>
    <s v="Mar-24"/>
  </r>
  <r>
    <s v="ORD-01758"/>
    <x v="312"/>
    <s v="CUST-0250"/>
    <s v="PROD-059"/>
    <s v="R030"/>
    <n v="10"/>
    <n v="3780"/>
    <n v="13.3"/>
    <n v="32772.6"/>
    <s v="Completed"/>
    <s v="Delhi"/>
    <s v="Sports"/>
    <m/>
    <s v="Retail"/>
    <n v="31"/>
    <s v="East"/>
    <s v="Jun-24"/>
  </r>
  <r>
    <s v="ORD-01759"/>
    <x v="272"/>
    <s v="CUST-0054"/>
    <s v="PROD-043"/>
    <s v="R009"/>
    <n v="9"/>
    <n v="3350"/>
    <n v="12.8"/>
    <n v="26290.799999999999"/>
    <s v="Completed"/>
    <s v="Mumbai"/>
    <s v="Beauty"/>
    <m/>
    <s v="Corporate"/>
    <n v="62"/>
    <m/>
    <m/>
  </r>
  <r>
    <s v="ORD-01760"/>
    <x v="61"/>
    <s v="CUST-0247"/>
    <s v="PROD-012"/>
    <s v="R024"/>
    <n v="7"/>
    <n v="3160"/>
    <n v="15.3"/>
    <n v="18735.64"/>
    <s v="Completed"/>
    <s v="Pune"/>
    <s v="Apparel"/>
    <m/>
    <s v="SMB"/>
    <n v="35"/>
    <s v="South"/>
    <s v="Jan-24"/>
  </r>
  <r>
    <s v="ORD-01761"/>
    <x v="49"/>
    <s v="CUST-0127"/>
    <s v="PROD-055"/>
    <s v="R004"/>
    <n v="6"/>
    <n v="2860"/>
    <n v="17.5"/>
    <n v="14157"/>
    <s v="Completed"/>
    <s v="Bengaluru"/>
    <s v="Sports"/>
    <m/>
    <s v="SMB"/>
    <n v="36"/>
    <s v="West"/>
    <s v="Jun-24"/>
  </r>
  <r>
    <s v="ORD-01762"/>
    <x v="123"/>
    <s v="CUST-0030"/>
    <s v="PROD-005"/>
    <s v="R010"/>
    <n v="9"/>
    <n v="300"/>
    <n v="25.2"/>
    <n v="2019.6"/>
    <s v="Completed"/>
    <s v="Bengaluru"/>
    <s v="Electronics"/>
    <m/>
    <s v="Corporate"/>
    <n v="43"/>
    <m/>
    <m/>
  </r>
  <r>
    <s v="ORD-01763"/>
    <x v="197"/>
    <s v="CUST-0205"/>
    <s v="PROD-060"/>
    <s v="R020"/>
    <n v="5"/>
    <n v="190"/>
    <n v="1.8"/>
    <n v="932.9"/>
    <s v="Completed"/>
    <s v="Pune"/>
    <s v="Sports"/>
    <m/>
    <s v="Corporate"/>
    <n v="29"/>
    <s v="South"/>
    <s v="Feb-24"/>
  </r>
  <r>
    <s v="ORD-01764"/>
    <x v="80"/>
    <s v="CUST-0172"/>
    <s v="PROD-054"/>
    <s v="R021"/>
    <n v="7"/>
    <n v="1010"/>
    <n v="11.2"/>
    <n v="6278.16"/>
    <s v="Completed"/>
    <s v="Pune"/>
    <s v="Sports"/>
    <m/>
    <s v="Retail"/>
    <n v="65"/>
    <m/>
    <m/>
  </r>
  <r>
    <s v="ORD-01765"/>
    <x v="50"/>
    <s v="CUST-0283"/>
    <s v="PROD-051"/>
    <s v="R001"/>
    <n v="8"/>
    <n v="3450"/>
    <n v="8.4"/>
    <n v="25281.599999999999"/>
    <s v="Completed"/>
    <s v="Delhi"/>
    <s v="Sports"/>
    <m/>
    <s v="SMB"/>
    <n v="50"/>
    <m/>
    <m/>
  </r>
  <r>
    <s v="ORD-01766"/>
    <x v="100"/>
    <s v="CUST-0005"/>
    <s v="PROD-005"/>
    <s v="R001"/>
    <n v="3"/>
    <n v="300"/>
    <n v="7.5"/>
    <n v="832.5"/>
    <s v="Refunded"/>
    <s v="Chennai"/>
    <s v="Electronics"/>
    <m/>
    <s v="Corporate"/>
    <n v="52"/>
    <m/>
    <m/>
  </r>
  <r>
    <s v="ORD-01767"/>
    <x v="43"/>
    <s v="CUST-0095"/>
    <s v="PROD-031"/>
    <s v="R018"/>
    <n v="4"/>
    <n v="3730"/>
    <n v="24.8"/>
    <n v="11219.84"/>
    <s v="Completed"/>
    <s v="Mumbai"/>
    <s v="Home"/>
    <m/>
    <s v="SMB"/>
    <n v="54"/>
    <m/>
    <m/>
  </r>
  <r>
    <s v="ORD-01768"/>
    <x v="32"/>
    <s v="CUST-0142"/>
    <s v="PROD-058"/>
    <s v="R020"/>
    <n v="5"/>
    <n v="2400"/>
    <n v="9.1999999999999993"/>
    <n v="10896"/>
    <s v="Completed"/>
    <s v="Chennai"/>
    <s v="Sports"/>
    <m/>
    <s v="Corporate"/>
    <n v="55"/>
    <m/>
    <m/>
  </r>
  <r>
    <s v="ORD-01769"/>
    <x v="303"/>
    <s v="CUST-0028"/>
    <s v="PROD-021"/>
    <s v="R001"/>
    <n v="3"/>
    <n v="2760"/>
    <n v="2.4"/>
    <n v="8081.28"/>
    <s v="Completed"/>
    <s v="Bengaluru"/>
    <s v="Grocery"/>
    <m/>
    <s v="Retail"/>
    <n v="59"/>
    <m/>
    <m/>
  </r>
  <r>
    <s v="ORD-01770"/>
    <x v="289"/>
    <s v="CUST-0118"/>
    <s v="PROD-053"/>
    <s v="R009"/>
    <n v="8"/>
    <n v="470"/>
    <n v="24.8"/>
    <n v="2827.52"/>
    <s v="Pending"/>
    <s v="Hyderabad"/>
    <s v="Sports"/>
    <m/>
    <s v="Retail"/>
    <n v="26"/>
    <s v="North"/>
    <s v="Nov-24"/>
  </r>
  <r>
    <s v="ORD-01771"/>
    <x v="142"/>
    <s v="CUST-0231"/>
    <s v="PROD-053"/>
    <s v="R027"/>
    <n v="3"/>
    <n v="470"/>
    <n v="18.600000000000001"/>
    <n v="1147.74"/>
    <s v="Completed"/>
    <s v="Chennai"/>
    <s v="Sports"/>
    <m/>
    <s v="Retail"/>
    <n v="61"/>
    <m/>
    <m/>
  </r>
  <r>
    <s v="ORD-01772"/>
    <x v="228"/>
    <s v="CUST-0264"/>
    <s v="PROD-032"/>
    <s v="R028"/>
    <n v="2"/>
    <n v="370"/>
    <n v="24"/>
    <n v="562.4"/>
    <s v="Completed"/>
    <s v="Pune"/>
    <s v="Home"/>
    <m/>
    <s v="Retail"/>
    <n v="59"/>
    <m/>
    <m/>
  </r>
  <r>
    <s v="ORD-01773"/>
    <x v="90"/>
    <s v="CUST-0120"/>
    <s v="PROD-029"/>
    <s v="R001"/>
    <n v="6"/>
    <n v="2210"/>
    <n v="28.3"/>
    <n v="9507.42"/>
    <s v="Cancelled"/>
    <s v="Mumbai"/>
    <s v="Grocery"/>
    <m/>
    <s v="Retail"/>
    <n v="29"/>
    <s v="West"/>
    <s v="Oct-24"/>
  </r>
  <r>
    <s v="ORD-01774"/>
    <x v="0"/>
    <s v="CUST-0185"/>
    <s v="PROD-056"/>
    <s v="R002"/>
    <n v="3"/>
    <n v="6940"/>
    <n v="27.2"/>
    <n v="15156.96"/>
    <s v="Refunded"/>
    <s v="Hyderabad"/>
    <s v="Sports"/>
    <m/>
    <s v="SMB"/>
    <n v="43"/>
    <m/>
    <m/>
  </r>
  <r>
    <s v="ORD-01775"/>
    <x v="318"/>
    <s v="CUST-0174"/>
    <s v="PROD-033"/>
    <s v="R018"/>
    <n v="10"/>
    <n v="2030"/>
    <n v="25.6"/>
    <n v="15103.2"/>
    <s v="Completed"/>
    <s v="Pune"/>
    <s v="Home"/>
    <m/>
    <s v="Retail"/>
    <n v="54"/>
    <m/>
    <m/>
  </r>
  <r>
    <s v="ORD-01776"/>
    <x v="80"/>
    <s v="CUST-0174"/>
    <s v="PROD-054"/>
    <s v="R017"/>
    <n v="9"/>
    <n v="1010"/>
    <n v="9.3000000000000007"/>
    <n v="8244.6299999999992"/>
    <s v="Completed"/>
    <s v="Pune"/>
    <s v="Sports"/>
    <m/>
    <s v="Retail"/>
    <n v="54"/>
    <m/>
    <m/>
  </r>
  <r>
    <s v="ORD-01777"/>
    <x v="297"/>
    <s v="CUST-0084"/>
    <s v="PROD-017"/>
    <s v="R002"/>
    <n v="5"/>
    <n v="2510"/>
    <n v="22.2"/>
    <n v="9763.9"/>
    <s v="Completed"/>
    <s v="Chennai"/>
    <s v="Apparel"/>
    <m/>
    <s v="Retail"/>
    <n v="28"/>
    <s v="East"/>
    <s v="Aug-24"/>
  </r>
  <r>
    <s v="ORD-01778"/>
    <x v="236"/>
    <s v="CUST-0270"/>
    <s v="PROD-032"/>
    <s v="R002"/>
    <n v="10"/>
    <n v="370"/>
    <n v="29"/>
    <n v="2627"/>
    <s v="Completed"/>
    <s v="Bengaluru"/>
    <s v="Home"/>
    <m/>
    <s v="Retail"/>
    <n v="29"/>
    <s v="North"/>
    <s v="Oct-24"/>
  </r>
  <r>
    <s v="ORD-01779"/>
    <x v="210"/>
    <s v="CUST-0178"/>
    <s v="PROD-019"/>
    <s v="R021"/>
    <n v="3"/>
    <n v="2480"/>
    <n v="9.6"/>
    <n v="6725.76"/>
    <s v="Completed"/>
    <s v="Hyderabad"/>
    <s v="Apparel"/>
    <m/>
    <s v="Retail"/>
    <n v="25"/>
    <s v="North"/>
    <s v="May-24"/>
  </r>
  <r>
    <s v="ORD-01780"/>
    <x v="128"/>
    <s v="CUST-0019"/>
    <s v="PROD-010"/>
    <s v="R017"/>
    <n v="3"/>
    <n v="2640"/>
    <n v="10.199999999999999"/>
    <n v="7112.16"/>
    <s v="Cancelled"/>
    <s v="Chennai"/>
    <s v="Electronics"/>
    <m/>
    <s v="Retail"/>
    <n v="22"/>
    <s v="East"/>
    <s v="Apr-24"/>
  </r>
  <r>
    <s v="ORD-01781"/>
    <x v="172"/>
    <s v="CUST-0276"/>
    <s v="PROD-035"/>
    <s v="R020"/>
    <n v="1"/>
    <n v="1090"/>
    <n v="21.6"/>
    <n v="854.56"/>
    <s v="Cancelled"/>
    <s v="Chennai"/>
    <s v="Home"/>
    <m/>
    <s v="Retail"/>
    <n v="26"/>
    <s v="East"/>
    <s v="Dec-24"/>
  </r>
  <r>
    <s v="ORD-01782"/>
    <x v="38"/>
    <s v="CUST-0076"/>
    <s v="PROD-043"/>
    <s v="R002"/>
    <n v="10"/>
    <n v="3350"/>
    <n v="12.1"/>
    <n v="29446.5"/>
    <s v="Completed"/>
    <s v="Mumbai"/>
    <s v="Beauty"/>
    <m/>
    <s v="Retail"/>
    <n v="38"/>
    <s v="East"/>
    <s v="Jul-24"/>
  </r>
  <r>
    <s v="ORD-01783"/>
    <x v="254"/>
    <s v="CUST-0085"/>
    <s v="PROD-050"/>
    <s v="R015"/>
    <n v="4"/>
    <n v="6080"/>
    <n v="26.7"/>
    <n v="17826.560000000001"/>
    <s v="Cancelled"/>
    <s v="Chennai"/>
    <s v="Beauty"/>
    <m/>
    <s v="Retail"/>
    <n v="26"/>
    <s v="North"/>
    <s v="Nov-24"/>
  </r>
  <r>
    <s v="ORD-01784"/>
    <x v="332"/>
    <s v="CUST-0245"/>
    <s v="PROD-049"/>
    <s v="R002"/>
    <n v="3"/>
    <n v="960"/>
    <n v="13.2"/>
    <n v="2499.84"/>
    <s v="Completed"/>
    <s v="Hyderabad"/>
    <s v="Beauty"/>
    <m/>
    <s v="Retail"/>
    <n v="65"/>
    <m/>
    <m/>
  </r>
  <r>
    <s v="ORD-01785"/>
    <x v="294"/>
    <s v="CUST-0135"/>
    <s v="PROD-028"/>
    <s v="R007"/>
    <n v="9"/>
    <n v="3660"/>
    <n v="9.3000000000000007"/>
    <n v="29876.58"/>
    <s v="Cancelled"/>
    <s v="Pune"/>
    <s v="Grocery"/>
    <m/>
    <s v="SMB"/>
    <n v="24"/>
    <s v="North"/>
    <s v="Mar-24"/>
  </r>
  <r>
    <s v="ORD-01786"/>
    <x v="321"/>
    <s v="CUST-0224"/>
    <s v="PROD-047"/>
    <s v="R019"/>
    <n v="6"/>
    <n v="3450"/>
    <n v="8.1999999999999993"/>
    <n v="19002.599999999999"/>
    <s v="Completed"/>
    <s v="Chennai"/>
    <s v="Beauty"/>
    <m/>
    <s v="Corporate"/>
    <n v="24"/>
    <s v="North"/>
    <s v="Nov-24"/>
  </r>
  <r>
    <s v="ORD-01787"/>
    <x v="292"/>
    <s v="CUST-0036"/>
    <s v="PROD-039"/>
    <s v="R020"/>
    <n v="7"/>
    <n v="4610"/>
    <n v="10.4"/>
    <n v="28913.919999999998"/>
    <s v="Completed"/>
    <s v="Mumbai"/>
    <s v="Home"/>
    <m/>
    <s v="Retail"/>
    <n v="35"/>
    <s v="East"/>
    <s v="Apr-24"/>
  </r>
  <r>
    <s v="ORD-01788"/>
    <x v="201"/>
    <s v="CUST-0197"/>
    <s v="PROD-057"/>
    <s v="R009"/>
    <n v="2"/>
    <n v="960"/>
    <n v="16.5"/>
    <n v="1603.2"/>
    <s v="Completed"/>
    <s v="Bengaluru"/>
    <s v="Sports"/>
    <m/>
    <s v="Retail"/>
    <n v="55"/>
    <m/>
    <m/>
  </r>
  <r>
    <s v="ORD-01789"/>
    <x v="223"/>
    <s v="CUST-0111"/>
    <s v="PROD-032"/>
    <s v="R023"/>
    <n v="7"/>
    <n v="370"/>
    <n v="1.4"/>
    <n v="2553.7399999999998"/>
    <s v="Refunded"/>
    <s v="Chennai"/>
    <s v="Home"/>
    <m/>
    <s v="SMB"/>
    <n v="64"/>
    <m/>
    <m/>
  </r>
  <r>
    <s v="ORD-01790"/>
    <x v="275"/>
    <s v="CUST-0198"/>
    <s v="PROD-024"/>
    <s v="R004"/>
    <n v="3"/>
    <n v="2270"/>
    <n v="12.6"/>
    <n v="5951.94"/>
    <s v="Completed"/>
    <s v="Chennai"/>
    <s v="Grocery"/>
    <m/>
    <s v="Corporate"/>
    <n v="22"/>
    <s v="East"/>
    <s v="Sep-24"/>
  </r>
  <r>
    <s v="ORD-00268"/>
    <x v="114"/>
    <s v="CUST-0049"/>
    <s v="PROD-036"/>
    <s v="R014"/>
    <n v="1"/>
    <n v="3250"/>
    <n v="17.8"/>
    <n v="2671.5"/>
    <s v="Completed"/>
    <s v="Mumbai"/>
    <s v="Home"/>
    <m/>
    <s v="Corporate"/>
    <n v="42"/>
    <m/>
    <m/>
  </r>
  <r>
    <s v="ORD-01792"/>
    <x v="280"/>
    <s v="CUST-0029"/>
    <s v="PROD-016"/>
    <s v="R018"/>
    <n v="5"/>
    <n v="620"/>
    <n v="19.399999999999999"/>
    <n v="2498.6"/>
    <s v="Pending"/>
    <s v="Chennai"/>
    <s v="Apparel"/>
    <m/>
    <s v="Corporate"/>
    <n v="54"/>
    <m/>
    <m/>
  </r>
  <r>
    <s v="ORD-01793"/>
    <x v="77"/>
    <s v="CUST-0018"/>
    <s v="PROD-008"/>
    <s v="R005"/>
    <n v="6"/>
    <n v="2660"/>
    <n v="14.9"/>
    <n v="13581.96"/>
    <s v="Completed"/>
    <s v="Pune"/>
    <s v="Electronics"/>
    <m/>
    <s v="SMB"/>
    <n v="54"/>
    <m/>
    <m/>
  </r>
  <r>
    <s v="ORD-01794"/>
    <x v="357"/>
    <s v="CUST-0007"/>
    <s v="PROD-014"/>
    <s v="R001"/>
    <n v="5"/>
    <n v="3620"/>
    <n v="21"/>
    <n v="14299"/>
    <s v="Cancelled"/>
    <s v="Bengaluru"/>
    <s v="Apparel"/>
    <m/>
    <s v="Retail"/>
    <n v="47"/>
    <m/>
    <m/>
  </r>
  <r>
    <s v="ORD-01795"/>
    <x v="228"/>
    <s v="CUST-0014"/>
    <s v="PROD-013"/>
    <s v="R021"/>
    <n v="1"/>
    <n v="3640"/>
    <n v="15.8"/>
    <n v="3064.88"/>
    <s v="Completed"/>
    <s v="Bengaluru"/>
    <s v="Apparel"/>
    <m/>
    <s v="Retail"/>
    <n v="48"/>
    <m/>
    <m/>
  </r>
  <r>
    <s v="ORD-01796"/>
    <x v="328"/>
    <s v="CUST-0215"/>
    <s v="PROD-009"/>
    <s v="R007"/>
    <n v="1"/>
    <n v="1220"/>
    <n v="0.6"/>
    <n v="1212.68"/>
    <s v="Refunded"/>
    <s v="Hyderabad"/>
    <s v="Electronics"/>
    <m/>
    <s v="Retail"/>
    <n v="52"/>
    <m/>
    <m/>
  </r>
  <r>
    <s v="ORD-01797"/>
    <x v="154"/>
    <s v="CUST-0056"/>
    <s v="PROD-019"/>
    <s v="R002"/>
    <n v="10"/>
    <n v="2480"/>
    <n v="0.6"/>
    <n v="24651.200000000001"/>
    <s v="Completed"/>
    <s v="Bengaluru"/>
    <s v="Apparel"/>
    <m/>
    <s v="SMB"/>
    <n v="46"/>
    <m/>
    <m/>
  </r>
  <r>
    <s v="ORD-01798"/>
    <x v="287"/>
    <s v="CUST-0231"/>
    <s v="PROD-044"/>
    <s v="R027"/>
    <n v="9"/>
    <n v="1650"/>
    <n v="26.8"/>
    <n v="10870.2"/>
    <s v="Completed"/>
    <s v="Chennai"/>
    <s v="Beauty"/>
    <m/>
    <s v="Retail"/>
    <n v="61"/>
    <m/>
    <m/>
  </r>
  <r>
    <s v="ORD-01799"/>
    <x v="9"/>
    <s v="CUST-0138"/>
    <s v="PROD-045"/>
    <s v="R008"/>
    <n v="10"/>
    <n v="3020"/>
    <n v="2.6"/>
    <n v="29414.799999999999"/>
    <s v="Completed"/>
    <s v="Chennai"/>
    <s v="Beauty"/>
    <m/>
    <s v="Retail"/>
    <n v="24"/>
    <s v="West"/>
    <s v="Dec-24"/>
  </r>
  <r>
    <s v="ORD-01800"/>
    <x v="227"/>
    <s v="CUST-0007"/>
    <s v="PROD-011"/>
    <s v="R014"/>
    <n v="5"/>
    <n v="3450"/>
    <n v="25.3"/>
    <n v="12885.75"/>
    <s v="Completed"/>
    <s v="Bengaluru"/>
    <s v="Apparel"/>
    <m/>
    <s v="Retail"/>
    <n v="47"/>
    <m/>
    <m/>
  </r>
  <r>
    <s v="ORD-01801"/>
    <x v="136"/>
    <s v="CUST-0118"/>
    <s v="PROD-009"/>
    <s v="R019"/>
    <n v="7"/>
    <n v="1220"/>
    <n v="13.1"/>
    <n v="7421.26"/>
    <s v="Completed"/>
    <s v="Hyderabad"/>
    <s v="Electronics"/>
    <m/>
    <s v="Retail"/>
    <n v="26"/>
    <s v="South"/>
    <s v="Sep-24"/>
  </r>
  <r>
    <s v="ORD-01802"/>
    <x v="344"/>
    <s v="CUST-0064"/>
    <s v="PROD-027"/>
    <s v="R005"/>
    <n v="10"/>
    <n v="3780"/>
    <n v="23.7"/>
    <n v="28841.4"/>
    <s v="Completed"/>
    <s v="Hyderabad"/>
    <s v="Grocery"/>
    <m/>
    <s v="SMB"/>
    <n v="40"/>
    <s v="East"/>
    <s v="Jun-24"/>
  </r>
  <r>
    <s v="ORD-01803"/>
    <x v="171"/>
    <s v="CUST-0298"/>
    <s v="PROD-008"/>
    <s v="R002"/>
    <n v="8"/>
    <n v="2660"/>
    <n v="16.100000000000001"/>
    <n v="17853.919999999998"/>
    <s v="Completed"/>
    <s v="Delhi"/>
    <s v="Electronics"/>
    <m/>
    <s v="Retail"/>
    <n v="44"/>
    <m/>
    <m/>
  </r>
  <r>
    <s v="ORD-01804"/>
    <x v="200"/>
    <s v="CUST-0020"/>
    <s v="PROD-035"/>
    <s v="R008"/>
    <n v="6"/>
    <n v="1090"/>
    <n v="20"/>
    <n v="5232"/>
    <s v="Pending"/>
    <s v="Hyderabad"/>
    <s v="Home"/>
    <m/>
    <s v="Retail"/>
    <n v="46"/>
    <m/>
    <m/>
  </r>
  <r>
    <s v="ORD-01805"/>
    <x v="258"/>
    <s v="CUST-9725"/>
    <s v="PROD-037"/>
    <s v="R016"/>
    <n v="2"/>
    <n v="660"/>
    <n v="18.7"/>
    <n v="1073.1600000000001"/>
    <s v="Completed"/>
    <s v="Mumbai"/>
    <s v="Home"/>
    <m/>
    <e v="#N/A"/>
    <e v="#N/A"/>
    <m/>
    <m/>
  </r>
  <r>
    <s v="ORD-01806"/>
    <x v="10"/>
    <s v="CUST-0063"/>
    <s v="PROD-035"/>
    <s v="R015"/>
    <n v="7"/>
    <n v="1090"/>
    <n v="19.399999999999999"/>
    <n v="6149.78"/>
    <s v="Pending"/>
    <s v="Mumbai"/>
    <s v="Home"/>
    <m/>
    <s v="SMB"/>
    <n v="53"/>
    <m/>
    <m/>
  </r>
  <r>
    <s v="ORD-01807"/>
    <x v="335"/>
    <s v="CUST-0193"/>
    <s v="PROD-029"/>
    <s v="R015"/>
    <n v="3"/>
    <n v="2210"/>
    <n v="11"/>
    <n v="5900.7"/>
    <s v="Completed"/>
    <s v="Bengaluru"/>
    <s v="Grocery"/>
    <m/>
    <s v="Retail"/>
    <n v="42"/>
    <m/>
    <m/>
  </r>
  <r>
    <s v="ORD-01808"/>
    <x v="103"/>
    <s v="CUST-0142"/>
    <s v="PROD-006"/>
    <s v="R029"/>
    <n v="2"/>
    <n v="3970"/>
    <n v="24.9"/>
    <n v="5962.94"/>
    <s v="Completed"/>
    <s v="Chennai"/>
    <s v="Electronics"/>
    <m/>
    <s v="Corporate"/>
    <n v="55"/>
    <m/>
    <m/>
  </r>
  <r>
    <s v="ORD-01809"/>
    <x v="210"/>
    <s v="CUST-0264"/>
    <s v="PROD-039"/>
    <s v="R021"/>
    <n v="7"/>
    <n v="4610"/>
    <n v="6.3"/>
    <n v="30236.99"/>
    <s v="Completed"/>
    <s v="Pune"/>
    <s v="Home"/>
    <m/>
    <s v="Retail"/>
    <n v="59"/>
    <m/>
    <m/>
  </r>
  <r>
    <s v="ORD-01810"/>
    <x v="210"/>
    <s v="CUST-0121"/>
    <s v="PROD-049"/>
    <s v="R026"/>
    <n v="10"/>
    <n v="960"/>
    <n v="14.6"/>
    <n v="8198.4"/>
    <s v="Completed"/>
    <s v="Delhi"/>
    <s v="Beauty"/>
    <m/>
    <s v="SMB"/>
    <n v="55"/>
    <m/>
    <m/>
  </r>
  <r>
    <s v="ORD-01811"/>
    <x v="77"/>
    <s v="CUST-0152"/>
    <s v="PROD-045"/>
    <s v="R016"/>
    <n v="8"/>
    <n v="3020"/>
    <n v="14.5"/>
    <n v="20656.8"/>
    <s v="Completed"/>
    <s v="Bengaluru"/>
    <s v="Beauty"/>
    <m/>
    <s v="SMB"/>
    <n v="64"/>
    <m/>
    <m/>
  </r>
  <r>
    <s v="ORD-01812"/>
    <x v="98"/>
    <s v="CUST-0008"/>
    <s v="PROD-019"/>
    <s v="R026"/>
    <n v="7"/>
    <n v="2480"/>
    <n v="17.3"/>
    <n v="14356.72"/>
    <s v="Completed"/>
    <s v="Pune"/>
    <s v="Apparel"/>
    <m/>
    <s v="SMB"/>
    <n v="39"/>
    <s v="South"/>
    <s v="Nov-24"/>
  </r>
  <r>
    <s v="ORD-01813"/>
    <x v="259"/>
    <s v="CUST-0285"/>
    <s v="PROD-004"/>
    <s v="R013"/>
    <n v="10"/>
    <n v="3870"/>
    <n v="22.4"/>
    <n v="30031.200000000001"/>
    <s v="Pending"/>
    <s v="Hyderabad"/>
    <s v="Electronics"/>
    <m/>
    <s v="Retail"/>
    <n v="22"/>
    <s v="West"/>
    <s v="Dec-24"/>
  </r>
  <r>
    <s v="ORD-01814"/>
    <x v="317"/>
    <s v="CUST-0072"/>
    <s v="PROD-037"/>
    <s v="R022"/>
    <n v="6"/>
    <n v="660"/>
    <n v="27.3"/>
    <n v="2878.92"/>
    <s v="Completed"/>
    <s v="Mumbai"/>
    <s v="Home"/>
    <m/>
    <s v="Corporate"/>
    <n v="62"/>
    <m/>
    <m/>
  </r>
  <r>
    <s v="ORD-01815"/>
    <x v="188"/>
    <s v="CUST-9630"/>
    <s v="PROD-004"/>
    <s v="R026"/>
    <n v="3"/>
    <n v="3870"/>
    <n v="7.6"/>
    <n v="10727.64"/>
    <s v="Cancelled"/>
    <s v="Chennai"/>
    <s v="Electronics"/>
    <m/>
    <e v="#N/A"/>
    <e v="#N/A"/>
    <m/>
    <m/>
  </r>
  <r>
    <s v="ORD-01816"/>
    <x v="176"/>
    <s v="CUST-0243"/>
    <s v="PROD-019"/>
    <s v="R006"/>
    <n v="10"/>
    <n v="2480"/>
    <n v="21.5"/>
    <n v="19468"/>
    <s v="Pending"/>
    <s v="Pune"/>
    <s v="Apparel"/>
    <m/>
    <s v="SMB"/>
    <n v="44"/>
    <m/>
    <m/>
  </r>
  <r>
    <s v="ORD-01817"/>
    <x v="175"/>
    <s v="CUST-0231"/>
    <s v="PROD-010"/>
    <s v="R001"/>
    <n v="8"/>
    <n v="2640"/>
    <n v="22.3"/>
    <n v="16410.240000000002"/>
    <s v="Completed"/>
    <s v="Chennai"/>
    <s v="Electronics"/>
    <m/>
    <s v="Retail"/>
    <n v="61"/>
    <m/>
    <m/>
  </r>
  <r>
    <s v="ORD-01818"/>
    <x v="115"/>
    <s v="CUST-0229"/>
    <s v="PROD-030"/>
    <s v="R001"/>
    <n v="8"/>
    <n v="970"/>
    <n v="13.1"/>
    <n v="6743.44"/>
    <s v="Completed"/>
    <s v="Hyderabad"/>
    <s v="Grocery"/>
    <m/>
    <s v="SMB"/>
    <n v="25"/>
    <s v="North"/>
    <s v="Dec-24"/>
  </r>
  <r>
    <s v="ORD-01819"/>
    <x v="104"/>
    <s v="CUST-0218"/>
    <s v="PROD-057"/>
    <s v="R001"/>
    <n v="6"/>
    <n v="960"/>
    <n v="3.2"/>
    <n v="5575.68"/>
    <s v="Completed"/>
    <s v="Mumbai"/>
    <s v="Sports"/>
    <m/>
    <s v="Retail"/>
    <n v="39"/>
    <s v="North"/>
    <s v="Sep-24"/>
  </r>
  <r>
    <s v="ORD-01820"/>
    <x v="277"/>
    <s v="CUST-0015"/>
    <s v="PROD-033"/>
    <s v="R008"/>
    <n v="9"/>
    <n v="2030"/>
    <n v="12.6"/>
    <n v="15967.98"/>
    <s v="Cancelled"/>
    <s v="Chennai"/>
    <s v="Home"/>
    <m/>
    <s v="Retail"/>
    <n v="31"/>
    <s v="North"/>
    <s v="May-24"/>
  </r>
  <r>
    <s v="ORD-01821"/>
    <x v="244"/>
    <s v="CUST-0291"/>
    <s v="PROD-042"/>
    <s v="R024"/>
    <n v="10"/>
    <n v="2290"/>
    <n v="22.2"/>
    <n v="17816.2"/>
    <s v="Completed"/>
    <s v="Pune"/>
    <s v="Beauty"/>
    <m/>
    <s v="SMB"/>
    <n v="29"/>
    <s v="North"/>
    <s v="Jun-24"/>
  </r>
  <r>
    <s v="ORD-01822"/>
    <x v="41"/>
    <s v="CUST-0276"/>
    <s v="PROD-020"/>
    <s v="R027"/>
    <n v="7"/>
    <n v="820"/>
    <n v="6.4"/>
    <n v="5372.64"/>
    <s v="Refunded"/>
    <s v="Chennai"/>
    <s v="Apparel"/>
    <m/>
    <s v="Retail"/>
    <n v="26"/>
    <s v="West"/>
    <s v="Apr-24"/>
  </r>
  <r>
    <s v="ORD-01823"/>
    <x v="105"/>
    <s v="CUST-0139"/>
    <s v="PROD-040"/>
    <s v="R030"/>
    <n v="5"/>
    <n v="1080"/>
    <n v="6"/>
    <n v="5076"/>
    <s v="Completed"/>
    <s v="Hyderabad"/>
    <s v="Home"/>
    <m/>
    <s v="SMB"/>
    <n v="65"/>
    <m/>
    <m/>
  </r>
  <r>
    <s v="ORD-01824"/>
    <x v="202"/>
    <s v="CUST-0087"/>
    <s v="PROD-060"/>
    <s v="R028"/>
    <n v="4"/>
    <n v="190"/>
    <n v="6.3"/>
    <n v="712.12"/>
    <s v="Refunded"/>
    <s v="Pune"/>
    <s v="Sports"/>
    <m/>
    <s v="SMB"/>
    <n v="49"/>
    <m/>
    <m/>
  </r>
  <r>
    <s v="ORD-01825"/>
    <x v="158"/>
    <s v="CUST-0203"/>
    <s v="PROD-017"/>
    <s v="R029"/>
    <n v="6"/>
    <n v="2510"/>
    <n v="11.5"/>
    <n v="13328.1"/>
    <s v="Completed"/>
    <s v="Chennai"/>
    <s v="Apparel"/>
    <m/>
    <s v="SMB"/>
    <n v="55"/>
    <m/>
    <m/>
  </r>
  <r>
    <s v="ORD-01826"/>
    <x v="193"/>
    <s v="CUST-0180"/>
    <s v="PROD-018"/>
    <s v="R015"/>
    <n v="2"/>
    <n v="3560"/>
    <n v="10.5"/>
    <n v="6372.4"/>
    <s v="Completed"/>
    <s v="Chennai"/>
    <s v="Apparel"/>
    <m/>
    <s v="Retail"/>
    <n v="36"/>
    <s v="West"/>
    <s v="Jan-24"/>
  </r>
  <r>
    <s v="ORD-01827"/>
    <x v="361"/>
    <s v="CUST-0130"/>
    <s v="PROD-020"/>
    <s v="R013"/>
    <n v="3"/>
    <n v="820"/>
    <n v="13"/>
    <n v="2140.1999999999998"/>
    <s v="Cancelled"/>
    <s v="Bengaluru"/>
    <s v="Apparel"/>
    <m/>
    <s v="Corporate"/>
    <n v="41"/>
    <m/>
    <m/>
  </r>
  <r>
    <s v="ORD-01828"/>
    <x v="66"/>
    <s v="CUST-0049"/>
    <s v="PROD-013"/>
    <s v="R003"/>
    <n v="6"/>
    <n v="3640"/>
    <n v="14"/>
    <n v="18782.400000000001"/>
    <s v="Completed"/>
    <s v="Mumbai"/>
    <s v="Apparel"/>
    <m/>
    <s v="Corporate"/>
    <n v="42"/>
    <m/>
    <m/>
  </r>
  <r>
    <s v="ORD-01829"/>
    <x v="43"/>
    <s v="CUST-0182"/>
    <s v="PROD-028"/>
    <s v="R019"/>
    <n v="5"/>
    <n v="3660"/>
    <n v="28.7"/>
    <n v="13047.9"/>
    <s v="Completed"/>
    <s v="Mumbai"/>
    <s v="Grocery"/>
    <m/>
    <s v="Retail"/>
    <n v="54"/>
    <m/>
    <m/>
  </r>
  <r>
    <s v="ORD-01830"/>
    <x v="126"/>
    <s v="CUST-0291"/>
    <s v="PROD-055"/>
    <s v="R030"/>
    <n v="2"/>
    <n v="2860"/>
    <n v="21.1"/>
    <n v="4513.08"/>
    <s v="Completed"/>
    <s v="Pune"/>
    <s v="Sports"/>
    <m/>
    <s v="SMB"/>
    <n v="29"/>
    <s v="East"/>
    <s v="Mar-24"/>
  </r>
  <r>
    <s v="ORD-01831"/>
    <x v="214"/>
    <s v="CUST-0167"/>
    <s v="PROD-015"/>
    <s v="R019"/>
    <n v="1"/>
    <n v="2720"/>
    <n v="22.1"/>
    <n v="2118.88"/>
    <s v="Completed"/>
    <s v="Delhi"/>
    <s v="Apparel"/>
    <m/>
    <s v="Retail"/>
    <n v="43"/>
    <m/>
    <m/>
  </r>
  <r>
    <s v="ORD-01832"/>
    <x v="142"/>
    <s v="CUST-0223"/>
    <s v="PROD-055"/>
    <s v="R004"/>
    <n v="6"/>
    <n v="2860"/>
    <n v="10.5"/>
    <n v="15358.2"/>
    <s v="Cancelled"/>
    <s v="Bengaluru"/>
    <s v="Sports"/>
    <m/>
    <s v="Retail"/>
    <n v="46"/>
    <m/>
    <m/>
  </r>
  <r>
    <s v="ORD-01833"/>
    <x v="359"/>
    <s v="CUST-0050"/>
    <s v="PROD-017"/>
    <s v="R020"/>
    <n v="1"/>
    <n v="2510"/>
    <n v="12"/>
    <n v="2208.8000000000002"/>
    <s v="Completed"/>
    <s v="Mumbai"/>
    <s v="Apparel"/>
    <m/>
    <s v="Retail"/>
    <n v="37"/>
    <s v="North"/>
    <s v="Dec-24"/>
  </r>
  <r>
    <s v="ORD-01834"/>
    <x v="106"/>
    <s v="CUST-0242"/>
    <s v="PROD-017"/>
    <s v="R020"/>
    <n v="4"/>
    <n v="2510"/>
    <n v="23.2"/>
    <n v="7710.72"/>
    <s v="Completed"/>
    <s v="Chennai"/>
    <s v="Apparel"/>
    <m/>
    <s v="SMB"/>
    <n v="59"/>
    <m/>
    <m/>
  </r>
  <r>
    <s v="ORD-01835"/>
    <x v="122"/>
    <s v="CUST-0144"/>
    <s v="PROD-049"/>
    <s v="R005"/>
    <n v="8"/>
    <n v="960"/>
    <n v="20.3"/>
    <n v="6120.96"/>
    <s v="Pending"/>
    <s v="Chennai"/>
    <s v="Beauty"/>
    <m/>
    <s v="Retail"/>
    <n v="49"/>
    <m/>
    <m/>
  </r>
  <r>
    <s v="ORD-01836"/>
    <x v="5"/>
    <s v="CUST-0140"/>
    <s v="PROD-038"/>
    <s v="R010"/>
    <n v="3"/>
    <n v="5490"/>
    <n v="25.2"/>
    <n v="12319.56"/>
    <s v="Completed"/>
    <s v="Hyderabad"/>
    <s v="Home"/>
    <m/>
    <s v="SMB"/>
    <n v="39"/>
    <s v="North"/>
    <s v="Sep-24"/>
  </r>
  <r>
    <s v="ORD-01837"/>
    <x v="262"/>
    <s v="CUST-0174"/>
    <s v="PROD-017"/>
    <s v="R006"/>
    <n v="2"/>
    <n v="2510"/>
    <n v="28.2"/>
    <n v="3604.36"/>
    <s v="Completed"/>
    <s v="Pune"/>
    <s v="Apparel"/>
    <m/>
    <s v="Retail"/>
    <n v="54"/>
    <m/>
    <m/>
  </r>
  <r>
    <s v="ORD-01838"/>
    <x v="194"/>
    <s v="CUST-0290"/>
    <s v="PROD-020"/>
    <s v="R011"/>
    <n v="1"/>
    <n v="820"/>
    <n v="4.7"/>
    <n v="781.46"/>
    <s v="Completed"/>
    <s v="Delhi"/>
    <s v="Apparel"/>
    <m/>
    <s v="Retail"/>
    <n v="63"/>
    <m/>
    <m/>
  </r>
  <r>
    <s v="ORD-01839"/>
    <x v="99"/>
    <s v="CUST-0170"/>
    <s v="PROD-005"/>
    <s v="R018"/>
    <n v="6"/>
    <n v="300"/>
    <n v="13.3"/>
    <n v="1560.6"/>
    <s v="Completed"/>
    <s v="Mumbai"/>
    <s v="Electronics"/>
    <m/>
    <s v="SMB"/>
    <n v="22"/>
    <s v="South"/>
    <s v="Apr-24"/>
  </r>
  <r>
    <s v="ORD-01840"/>
    <x v="155"/>
    <s v="CUST-0180"/>
    <s v="PROD-043"/>
    <s v="R016"/>
    <n v="4"/>
    <n v="3350"/>
    <n v="5.8"/>
    <n v="12622.8"/>
    <s v="Pending"/>
    <s v="Chennai"/>
    <s v="Beauty"/>
    <m/>
    <s v="Retail"/>
    <n v="36"/>
    <s v="East"/>
    <s v="Jun-24"/>
  </r>
  <r>
    <s v="ORD-01841"/>
    <x v="150"/>
    <s v="CUST-0286"/>
    <s v="PROD-036"/>
    <s v="R025"/>
    <n v="3"/>
    <n v="3250"/>
    <n v="19.600000000000001"/>
    <n v="7839"/>
    <s v="Pending"/>
    <s v="Delhi"/>
    <s v="Home"/>
    <m/>
    <s v="Retail"/>
    <n v="62"/>
    <m/>
    <m/>
  </r>
  <r>
    <s v="ORD-01842"/>
    <x v="112"/>
    <s v="CUST-0056"/>
    <s v="PROD-044"/>
    <s v="R027"/>
    <n v="10"/>
    <n v="1650"/>
    <n v="22.5"/>
    <n v="12787.5"/>
    <s v="Cancelled"/>
    <s v="Bengaluru"/>
    <s v="Beauty"/>
    <m/>
    <s v="SMB"/>
    <n v="46"/>
    <m/>
    <m/>
  </r>
  <r>
    <s v="ORD-01843"/>
    <x v="47"/>
    <s v="CUST-0292"/>
    <s v="PROD-009"/>
    <s v="R026"/>
    <n v="2"/>
    <n v="1220"/>
    <n v="10.5"/>
    <n v="2183.8000000000002"/>
    <s v="Completed"/>
    <s v="Bengaluru"/>
    <s v="Electronics"/>
    <m/>
    <s v="Retail"/>
    <n v="32"/>
    <s v="West"/>
    <s v="Feb-24"/>
  </r>
  <r>
    <s v="ORD-01844"/>
    <x v="126"/>
    <s v="CUST-0020"/>
    <s v="PROD-049"/>
    <s v="R026"/>
    <n v="7"/>
    <n v="960"/>
    <n v="5.4"/>
    <n v="6357.12"/>
    <s v="Refunded"/>
    <s v="Hyderabad"/>
    <s v="Beauty"/>
    <m/>
    <s v="Retail"/>
    <n v="46"/>
    <m/>
    <m/>
  </r>
  <r>
    <s v="ORD-01845"/>
    <x v="44"/>
    <s v="CUST-0089"/>
    <s v="PROD-046"/>
    <s v="R014"/>
    <n v="3"/>
    <n v="4880"/>
    <n v="17.100000000000001"/>
    <n v="12136.56"/>
    <s v="Completed"/>
    <s v="Mumbai"/>
    <s v="Beauty"/>
    <m/>
    <s v="SMB"/>
    <n v="43"/>
    <m/>
    <m/>
  </r>
  <r>
    <s v="ORD-01846"/>
    <x v="69"/>
    <s v="CUST-0242"/>
    <s v="PROD-024"/>
    <s v="R028"/>
    <n v="5"/>
    <n v="2270"/>
    <n v="12.4"/>
    <n v="9942.6"/>
    <s v="Completed"/>
    <s v="Chennai"/>
    <s v="Grocery"/>
    <m/>
    <s v="SMB"/>
    <n v="59"/>
    <m/>
    <m/>
  </r>
  <r>
    <s v="ORD-01847"/>
    <x v="3"/>
    <s v="CUST-0249"/>
    <s v="PROD-035"/>
    <s v="R028"/>
    <n v="1"/>
    <n v="1090"/>
    <n v="17.3"/>
    <n v="901.43"/>
    <s v="Completed"/>
    <s v="Mumbai"/>
    <s v="Home"/>
    <m/>
    <s v="Retail"/>
    <n v="44"/>
    <m/>
    <m/>
  </r>
  <r>
    <s v="ORD-01848"/>
    <x v="275"/>
    <s v="CUST-0032"/>
    <s v="PROD-034"/>
    <s v="R029"/>
    <n v="8"/>
    <n v="5080"/>
    <n v="0.9"/>
    <n v="40274.239999999998"/>
    <s v="Completed"/>
    <s v="Hyderabad"/>
    <s v="Home"/>
    <m/>
    <s v="Retail"/>
    <n v="28"/>
    <s v="West"/>
    <s v="May-24"/>
  </r>
  <r>
    <s v="ORD-01849"/>
    <x v="28"/>
    <s v="CUST-0217"/>
    <s v="PROD-039"/>
    <s v="R017"/>
    <n v="7"/>
    <n v="4610"/>
    <n v="0.9"/>
    <n v="31979.57"/>
    <s v="Completed"/>
    <s v="Pune"/>
    <s v="Home"/>
    <m/>
    <s v="SMB"/>
    <n v="59"/>
    <m/>
    <m/>
  </r>
  <r>
    <s v="ORD-01850"/>
    <x v="159"/>
    <s v="CUST-0284"/>
    <s v="PROD-045"/>
    <s v="R028"/>
    <n v="1"/>
    <n v="3020"/>
    <n v="10.3"/>
    <n v="2708.94"/>
    <s v="Completed"/>
    <s v="Hyderabad"/>
    <s v="Beauty"/>
    <m/>
    <s v="SMB"/>
    <n v="65"/>
    <m/>
    <m/>
  </r>
  <r>
    <s v="ORD-01851"/>
    <x v="99"/>
    <s v="CUST-0167"/>
    <s v="PROD-022"/>
    <s v="R028"/>
    <n v="6"/>
    <n v="2270"/>
    <n v="23.1"/>
    <n v="10473.780000000001"/>
    <s v="Completed"/>
    <s v="Delhi"/>
    <s v="Grocery"/>
    <m/>
    <s v="Retail"/>
    <n v="43"/>
    <m/>
    <m/>
  </r>
  <r>
    <s v="ORD-01852"/>
    <x v="150"/>
    <s v="CUST-0008"/>
    <s v="PROD-026"/>
    <s v="R010"/>
    <n v="6"/>
    <n v="4070"/>
    <n v="28.9"/>
    <n v="17362.62"/>
    <s v="Completed"/>
    <s v="Pune"/>
    <s v="Grocery"/>
    <m/>
    <s v="SMB"/>
    <n v="39"/>
    <s v="West"/>
    <s v="Jun-24"/>
  </r>
  <r>
    <s v="ORD-01853"/>
    <x v="181"/>
    <s v="CUST-0277"/>
    <s v="PROD-009"/>
    <s v="R017"/>
    <n v="5"/>
    <n v="1220"/>
    <n v="18.7"/>
    <n v="4959.3"/>
    <s v="Completed"/>
    <s v="Chennai"/>
    <s v="Electronics"/>
    <m/>
    <s v="Corporate"/>
    <n v="34"/>
    <s v="South"/>
    <s v="Nov-24"/>
  </r>
  <r>
    <s v="ORD-01854"/>
    <x v="249"/>
    <s v="CUST-0025"/>
    <s v="PROD-019"/>
    <s v="R024"/>
    <n v="8"/>
    <n v="2480"/>
    <n v="3.2"/>
    <n v="19205.12"/>
    <s v="Cancelled"/>
    <s v="Bengaluru"/>
    <s v="Apparel"/>
    <m/>
    <s v="Retail"/>
    <n v="23"/>
    <s v="East"/>
    <s v="Dec-24"/>
  </r>
  <r>
    <s v="ORD-01855"/>
    <x v="211"/>
    <s v="CUST-0228"/>
    <s v="PROD-055"/>
    <s v="R007"/>
    <n v="7"/>
    <n v="2860"/>
    <n v="8.4"/>
    <n v="18338.32"/>
    <s v="Completed"/>
    <s v="Pune"/>
    <s v="Sports"/>
    <m/>
    <s v="Corporate"/>
    <n v="37"/>
    <s v="West"/>
    <s v="Apr-24"/>
  </r>
  <r>
    <s v="ORD-01856"/>
    <x v="13"/>
    <s v="CUST-0078"/>
    <s v="PROD-027"/>
    <s v="R024"/>
    <n v="1"/>
    <n v="3780"/>
    <n v="16.3"/>
    <n v="3163.86"/>
    <s v="Cancelled"/>
    <s v="Delhi"/>
    <s v="Grocery"/>
    <m/>
    <s v="Retail"/>
    <n v="31"/>
    <s v="North"/>
    <s v="Sep-24"/>
  </r>
  <r>
    <s v="ORD-01857"/>
    <x v="172"/>
    <s v="CUST-0205"/>
    <s v="PROD-055"/>
    <s v="R025"/>
    <n v="6"/>
    <n v="2860"/>
    <n v="10.7"/>
    <n v="15323.88"/>
    <s v="Completed"/>
    <s v="Pune"/>
    <s v="Sports"/>
    <m/>
    <s v="Corporate"/>
    <n v="29"/>
    <s v="West"/>
    <s v="Mar-24"/>
  </r>
  <r>
    <s v="ORD-01858"/>
    <x v="325"/>
    <s v="CUST-0044"/>
    <s v="PROD-058"/>
    <s v="R027"/>
    <n v="3"/>
    <n v="2400"/>
    <n v="20.7"/>
    <n v="5709.6"/>
    <s v="Completed"/>
    <s v="Hyderabad"/>
    <s v="Sports"/>
    <m/>
    <s v="SMB"/>
    <n v="29"/>
    <s v="West"/>
    <s v="Jul-24"/>
  </r>
  <r>
    <s v="ORD-01859"/>
    <x v="259"/>
    <s v="CUST-0188"/>
    <s v="PROD-023"/>
    <s v="R025"/>
    <n v="8"/>
    <n v="2380"/>
    <n v="22.3"/>
    <n v="14794.08"/>
    <s v="Refunded"/>
    <s v="Bengaluru"/>
    <s v="Grocery"/>
    <m/>
    <s v="Retail"/>
    <n v="54"/>
    <m/>
    <m/>
  </r>
  <r>
    <s v="ORD-01860"/>
    <x v="80"/>
    <s v="CUST-0165"/>
    <s v="PROD-048"/>
    <s v="R006"/>
    <n v="7"/>
    <n v="5100"/>
    <n v="22.9"/>
    <n v="27524.7"/>
    <s v="Cancelled"/>
    <s v="Pune"/>
    <s v="Beauty"/>
    <m/>
    <s v="Retail"/>
    <n v="29"/>
    <s v="West"/>
    <s v="Feb-24"/>
  </r>
  <r>
    <s v="ORD-01861"/>
    <x v="113"/>
    <s v="CUST-0059"/>
    <s v="PROD-005"/>
    <s v="R015"/>
    <n v="7"/>
    <n v="300"/>
    <n v="15.3"/>
    <n v="1778.7"/>
    <s v="Completed"/>
    <s v="Pune"/>
    <s v="Electronics"/>
    <m/>
    <s v="Corporate"/>
    <n v="29"/>
    <s v="North"/>
    <s v="Aug-24"/>
  </r>
  <r>
    <s v="ORD-01862"/>
    <x v="49"/>
    <s v="CUST-0280"/>
    <s v="PROD-051"/>
    <s v="R010"/>
    <n v="5"/>
    <n v="3450"/>
    <n v="16.8"/>
    <n v="14352"/>
    <s v="Completed"/>
    <s v="Delhi"/>
    <s v="Sports"/>
    <m/>
    <s v="SMB"/>
    <n v="27"/>
    <s v="South"/>
    <s v="Jun-24"/>
  </r>
  <r>
    <s v="ORD-01863"/>
    <x v="287"/>
    <s v="CUST-0153"/>
    <s v="PROD-055"/>
    <s v="R014"/>
    <n v="4"/>
    <n v="2860"/>
    <n v="14.3"/>
    <n v="9804.08"/>
    <s v="Completed"/>
    <s v="Mumbai"/>
    <s v="Sports"/>
    <m/>
    <s v="Retail"/>
    <n v="35"/>
    <s v="South"/>
    <s v="May-24"/>
  </r>
  <r>
    <s v="ORD-01864"/>
    <x v="180"/>
    <s v="CUST-0251"/>
    <s v="PROD-015"/>
    <s v="R001"/>
    <n v="6"/>
    <n v="2720"/>
    <n v="25.1"/>
    <n v="12223.68"/>
    <s v="Cancelled"/>
    <s v="Mumbai"/>
    <s v="Apparel"/>
    <m/>
    <s v="Retail"/>
    <n v="44"/>
    <m/>
    <m/>
  </r>
  <r>
    <s v="ORD-01865"/>
    <x v="335"/>
    <s v="CUST-0255"/>
    <s v="PROD-031"/>
    <s v="R028"/>
    <n v="3"/>
    <n v="3730"/>
    <n v="24.8"/>
    <n v="8414.8799999999992"/>
    <s v="Completed"/>
    <s v="Chennai"/>
    <s v="Home"/>
    <m/>
    <s v="Corporate"/>
    <n v="51"/>
    <m/>
    <m/>
  </r>
  <r>
    <s v="ORD-01866"/>
    <x v="83"/>
    <s v="CUST-0076"/>
    <s v="PROD-025"/>
    <s v="R002"/>
    <n v="2"/>
    <n v="4060"/>
    <n v="11.3"/>
    <n v="7202.44"/>
    <s v="Completed"/>
    <s v="Mumbai"/>
    <s v="Grocery"/>
    <m/>
    <s v="Retail"/>
    <n v="38"/>
    <s v="West"/>
    <s v="May-24"/>
  </r>
  <r>
    <s v="ORD-01867"/>
    <x v="146"/>
    <s v="CUST-0195"/>
    <s v="PROD-042"/>
    <s v="R018"/>
    <n v="6"/>
    <n v="2290"/>
    <n v="26.8"/>
    <n v="10057.68"/>
    <s v="Refunded"/>
    <s v="Bengaluru"/>
    <s v="Beauty"/>
    <m/>
    <s v="Retail"/>
    <n v="28"/>
    <s v="North"/>
    <s v="Dec-24"/>
  </r>
  <r>
    <s v="ORD-01868"/>
    <x v="196"/>
    <s v="CUST-0164"/>
    <s v="PROD-056"/>
    <s v="R013"/>
    <n v="1"/>
    <n v="6940"/>
    <n v="15.7"/>
    <n v="5850.42"/>
    <s v="Completed"/>
    <s v="Chennai"/>
    <s v="Sports"/>
    <m/>
    <s v="Retail"/>
    <n v="60"/>
    <m/>
    <m/>
  </r>
  <r>
    <s v="ORD-01869"/>
    <x v="235"/>
    <s v="CUST-0239"/>
    <s v="PROD-031"/>
    <s v="R009"/>
    <n v="3"/>
    <n v="3730"/>
    <n v="18.100000000000001"/>
    <n v="9164.61"/>
    <s v="Completed"/>
    <s v="Mumbai"/>
    <s v="Home"/>
    <m/>
    <s v="Retail"/>
    <n v="61"/>
    <m/>
    <m/>
  </r>
  <r>
    <s v="ORD-01870"/>
    <x v="72"/>
    <s v="CUST-0133"/>
    <s v="PROD-031"/>
    <s v="R002"/>
    <n v="8"/>
    <n v="3730"/>
    <n v="12.5"/>
    <n v="26110"/>
    <s v="Completed"/>
    <s v="Chennai"/>
    <s v="Home"/>
    <m/>
    <s v="Retail"/>
    <n v="26"/>
    <s v="South"/>
    <s v="Nov-24"/>
  </r>
  <r>
    <s v="ORD-01871"/>
    <x v="128"/>
    <s v="CUST-0286"/>
    <s v="PROD-023"/>
    <s v="R015"/>
    <n v="9"/>
    <n v="2380"/>
    <n v="8.1"/>
    <n v="19684.98"/>
    <s v="Cancelled"/>
    <s v="Delhi"/>
    <s v="Grocery"/>
    <m/>
    <s v="Retail"/>
    <n v="62"/>
    <m/>
    <m/>
  </r>
  <r>
    <s v="ORD-01872"/>
    <x v="206"/>
    <s v="CUST-0122"/>
    <s v="PROD-040"/>
    <s v="R002"/>
    <n v="6"/>
    <n v="1080"/>
    <n v="8.8000000000000007"/>
    <n v="5909.76"/>
    <s v="Completed"/>
    <s v="Mumbai"/>
    <s v="Home"/>
    <m/>
    <s v="Retail"/>
    <n v="44"/>
    <m/>
    <m/>
  </r>
  <r>
    <s v="ORD-01712"/>
    <x v="24"/>
    <s v="CUST-0285"/>
    <s v="PROD-053"/>
    <s v="R013"/>
    <n v="5"/>
    <n v="470"/>
    <n v="1.3"/>
    <n v="2319.4499999999998"/>
    <s v="Completed"/>
    <s v="Hyderabad"/>
    <s v="Sports"/>
    <m/>
    <s v="Retail"/>
    <n v="22"/>
    <s v="North"/>
    <s v="Jul-24"/>
  </r>
  <r>
    <s v="ORD-01874"/>
    <x v="340"/>
    <s v="CUST-0174"/>
    <s v="PROD-032"/>
    <s v="R026"/>
    <n v="4"/>
    <n v="370"/>
    <n v="13.1"/>
    <n v="1286.1199999999999"/>
    <s v="Completed"/>
    <s v="Pune"/>
    <s v="Home"/>
    <m/>
    <s v="Retail"/>
    <n v="54"/>
    <m/>
    <m/>
  </r>
  <r>
    <s v="ORD-01875"/>
    <x v="25"/>
    <s v="CUST-0115"/>
    <s v="PROD-012"/>
    <s v="R007"/>
    <n v="7"/>
    <n v="3160"/>
    <n v="12.3"/>
    <n v="19399.240000000002"/>
    <s v="Completed"/>
    <s v="Mumbai"/>
    <s v="Apparel"/>
    <m/>
    <s v="SMB"/>
    <n v="65"/>
    <m/>
    <m/>
  </r>
  <r>
    <s v="ORD-01876"/>
    <x v="218"/>
    <s v="CUST-0028"/>
    <s v="PROD-018"/>
    <s v="R024"/>
    <n v="5"/>
    <n v="3560"/>
    <n v="24"/>
    <n v="13528"/>
    <s v="Completed"/>
    <s v="Bengaluru"/>
    <s v="Apparel"/>
    <m/>
    <s v="Retail"/>
    <n v="59"/>
    <m/>
    <m/>
  </r>
  <r>
    <s v="ORD-01877"/>
    <x v="53"/>
    <s v="CUST-0111"/>
    <s v="PROD-033"/>
    <s v="R021"/>
    <n v="6"/>
    <n v="2030"/>
    <n v="20.5"/>
    <n v="9683.1"/>
    <s v="Completed"/>
    <s v="Chennai"/>
    <s v="Home"/>
    <m/>
    <s v="SMB"/>
    <n v="64"/>
    <m/>
    <m/>
  </r>
  <r>
    <s v="ORD-01878"/>
    <x v="116"/>
    <s v="CUST-0240"/>
    <s v="PROD-010"/>
    <s v="R018"/>
    <n v="5"/>
    <n v="2640"/>
    <n v="21.3"/>
    <n v="10388.4"/>
    <s v="Pending"/>
    <s v="Chennai"/>
    <s v="Electronics"/>
    <m/>
    <s v="Corporate"/>
    <n v="35"/>
    <s v="East"/>
    <s v="May-24"/>
  </r>
  <r>
    <s v="ORD-01879"/>
    <x v="98"/>
    <s v="CUST-0222"/>
    <s v="PROD-022"/>
    <s v="R002"/>
    <n v="4"/>
    <n v="2270"/>
    <n v="15.8"/>
    <n v="7645.36"/>
    <s v="Completed"/>
    <s v="Chennai"/>
    <s v="Grocery"/>
    <m/>
    <s v="Retail"/>
    <n v="37"/>
    <s v="East"/>
    <s v="Feb-24"/>
  </r>
  <r>
    <s v="ORD-01880"/>
    <x v="276"/>
    <s v="CUST-0251"/>
    <s v="PROD-032"/>
    <s v="R002"/>
    <n v="1"/>
    <n v="370"/>
    <n v="27"/>
    <n v="270.10000000000002"/>
    <s v="Pending"/>
    <s v="Mumbai"/>
    <s v="Home"/>
    <m/>
    <s v="Retail"/>
    <n v="44"/>
    <m/>
    <m/>
  </r>
  <r>
    <s v="ORD-01881"/>
    <x v="250"/>
    <s v="CUST-0203"/>
    <s v="PROD-048"/>
    <s v="R017"/>
    <n v="9"/>
    <n v="5100"/>
    <n v="2.4"/>
    <n v="44798.400000000001"/>
    <s v="Completed"/>
    <s v="Chennai"/>
    <s v="Beauty"/>
    <m/>
    <s v="SMB"/>
    <n v="55"/>
    <m/>
    <m/>
  </r>
  <r>
    <s v="ORD-01882"/>
    <x v="94"/>
    <s v="CUST-0285"/>
    <s v="PROD-032"/>
    <s v="R023"/>
    <n v="6"/>
    <n v="370"/>
    <n v="18.7"/>
    <n v="1804.86"/>
    <s v="Cancelled"/>
    <s v="Hyderabad"/>
    <s v="Home"/>
    <m/>
    <s v="Retail"/>
    <n v="22"/>
    <s v="East"/>
    <s v="Mar-24"/>
  </r>
  <r>
    <s v="ORD-01883"/>
    <x v="57"/>
    <s v="CUST-0135"/>
    <s v="PROD-030"/>
    <s v="R004"/>
    <n v="6"/>
    <n v="970"/>
    <n v="21.6"/>
    <n v="4562.88"/>
    <s v="Completed"/>
    <s v="Pune"/>
    <s v="Grocery"/>
    <m/>
    <s v="SMB"/>
    <n v="24"/>
    <s v="East"/>
    <s v="Jan-24"/>
  </r>
  <r>
    <s v="ORD-01884"/>
    <x v="81"/>
    <s v="CUST-9967"/>
    <s v="PROD-029"/>
    <s v="R029"/>
    <n v="3"/>
    <n v="2210"/>
    <n v="8.5"/>
    <n v="6066.45"/>
    <s v="Completed"/>
    <s v="Delhi"/>
    <s v="Grocery"/>
    <m/>
    <e v="#N/A"/>
    <e v="#N/A"/>
    <m/>
    <m/>
  </r>
  <r>
    <s v="ORD-01885"/>
    <x v="136"/>
    <s v="CUST-0096"/>
    <s v="PROD-044"/>
    <s v="R002"/>
    <n v="1"/>
    <n v="1650"/>
    <n v="19.7"/>
    <n v="1324.95"/>
    <s v="Completed"/>
    <s v="Delhi"/>
    <s v="Beauty"/>
    <m/>
    <s v="Corporate"/>
    <n v="27"/>
    <s v="West"/>
    <s v="Nov-24"/>
  </r>
  <r>
    <s v="ORD-01886"/>
    <x v="178"/>
    <s v="CUST-0266"/>
    <s v="PROD-056"/>
    <s v="R003"/>
    <n v="5"/>
    <n v="6940"/>
    <n v="7.7"/>
    <n v="32028.1"/>
    <s v="Completed"/>
    <s v="Pune"/>
    <s v="Sports"/>
    <m/>
    <s v="Retail"/>
    <n v="65"/>
    <m/>
    <m/>
  </r>
  <r>
    <s v="ORD-01887"/>
    <x v="40"/>
    <s v="CUST-0059"/>
    <s v="PROD-029"/>
    <s v="R022"/>
    <n v="2"/>
    <n v="2210"/>
    <n v="5.6"/>
    <n v="4172.4799999999996"/>
    <s v="Cancelled"/>
    <s v="Pune"/>
    <s v="Grocery"/>
    <m/>
    <s v="Corporate"/>
    <n v="29"/>
    <s v="North"/>
    <s v="Jul-24"/>
  </r>
  <r>
    <s v="ORD-01888"/>
    <x v="82"/>
    <s v="CUST-0094"/>
    <s v="PROD-002"/>
    <s v="R014"/>
    <n v="9"/>
    <n v="2600"/>
    <n v="3.1"/>
    <n v="22674.6"/>
    <s v="Completed"/>
    <s v="Pune"/>
    <s v="Electronics"/>
    <m/>
    <s v="SMB"/>
    <n v="60"/>
    <m/>
    <m/>
  </r>
  <r>
    <s v="ORD-01889"/>
    <x v="315"/>
    <s v="CUST-0254"/>
    <s v="PROD-059"/>
    <s v="R003"/>
    <n v="7"/>
    <n v="3780"/>
    <n v="13.3"/>
    <n v="22940.82"/>
    <s v="Completed"/>
    <s v="Bengaluru"/>
    <s v="Sports"/>
    <m/>
    <s v="Retail"/>
    <n v="35"/>
    <s v="South"/>
    <s v="Mar-24"/>
  </r>
  <r>
    <s v="ORD-01890"/>
    <x v="356"/>
    <s v="CUST-0022"/>
    <s v="PROD-058"/>
    <s v="R013"/>
    <n v="4"/>
    <n v="2400"/>
    <n v="16.600000000000001"/>
    <n v="8006.4"/>
    <s v="Pending"/>
    <s v="Bengaluru"/>
    <s v="Sports"/>
    <m/>
    <s v="Corporate"/>
    <n v="55"/>
    <m/>
    <m/>
  </r>
  <r>
    <s v="ORD-01891"/>
    <x v="348"/>
    <s v="CUST-0168"/>
    <s v="PROD-005"/>
    <s v="R005"/>
    <n v="10"/>
    <n v="300"/>
    <n v="23.9"/>
    <n v="2283"/>
    <s v="Completed"/>
    <s v="Pune"/>
    <s v="Electronics"/>
    <m/>
    <s v="Retail"/>
    <n v="25"/>
    <s v="South"/>
    <s v="Nov-24"/>
  </r>
  <r>
    <s v="ORD-01892"/>
    <x v="93"/>
    <s v="CUST-0175"/>
    <s v="PROD-028"/>
    <s v="R010"/>
    <n v="1"/>
    <n v="3660"/>
    <n v="1.5"/>
    <n v="3605.1"/>
    <s v="Pending"/>
    <s v="Delhi"/>
    <s v="Grocery"/>
    <m/>
    <s v="Corporate"/>
    <n v="55"/>
    <m/>
    <m/>
  </r>
  <r>
    <s v="ORD-01893"/>
    <x v="166"/>
    <s v="CUST-0193"/>
    <s v="PROD-051"/>
    <s v="R011"/>
    <n v="9"/>
    <n v="3450"/>
    <n v="21.8"/>
    <n v="24281.1"/>
    <s v="Completed"/>
    <s v="Bengaluru"/>
    <s v="Sports"/>
    <m/>
    <s v="Retail"/>
    <n v="42"/>
    <m/>
    <m/>
  </r>
  <r>
    <s v="ORD-01894"/>
    <x v="306"/>
    <s v="CUST-0284"/>
    <s v="PROD-011"/>
    <s v="R007"/>
    <n v="10"/>
    <n v="3450"/>
    <n v="15.7"/>
    <n v="29083.5"/>
    <s v="Cancelled"/>
    <s v="Hyderabad"/>
    <s v="Apparel"/>
    <m/>
    <s v="SMB"/>
    <n v="65"/>
    <m/>
    <m/>
  </r>
  <r>
    <s v="ORD-01895"/>
    <x v="249"/>
    <s v="CUST-0071"/>
    <s v="PROD-026"/>
    <s v="R008"/>
    <n v="2"/>
    <n v="4070"/>
    <n v="10.8"/>
    <n v="7260.88"/>
    <s v="Completed"/>
    <s v="Delhi"/>
    <s v="Grocery"/>
    <m/>
    <s v="Corporate"/>
    <n v="46"/>
    <m/>
    <m/>
  </r>
  <r>
    <s v="ORD-01896"/>
    <x v="332"/>
    <s v="CUST-0102"/>
    <s v="PROD-059"/>
    <s v="R023"/>
    <n v="4"/>
    <n v="3780"/>
    <n v="17.100000000000001"/>
    <n v="12534.48"/>
    <s v="Completed"/>
    <s v="Chennai"/>
    <s v="Sports"/>
    <m/>
    <s v="SMB"/>
    <n v="62"/>
    <m/>
    <m/>
  </r>
  <r>
    <s v="ORD-01897"/>
    <x v="81"/>
    <s v="CUST-0036"/>
    <s v="PROD-021"/>
    <s v="R004"/>
    <n v="1"/>
    <n v="2760"/>
    <n v="2.5"/>
    <n v="2691"/>
    <s v="Cancelled"/>
    <s v="Mumbai"/>
    <s v="Grocery"/>
    <m/>
    <s v="Retail"/>
    <n v="35"/>
    <s v="East"/>
    <s v="Mar-24"/>
  </r>
  <r>
    <s v="ORD-01898"/>
    <x v="293"/>
    <s v="CUST-0273"/>
    <s v="PROD-046"/>
    <s v="R030"/>
    <n v="2"/>
    <n v="4880"/>
    <n v="11"/>
    <n v="8686.4"/>
    <s v="Completed"/>
    <s v="Hyderabad"/>
    <s v="Beauty"/>
    <m/>
    <s v="Corporate"/>
    <n v="32"/>
    <s v="North"/>
    <s v="Nov-24"/>
  </r>
  <r>
    <s v="ORD-01899"/>
    <x v="228"/>
    <s v="CUST-0262"/>
    <s v="PROD-023"/>
    <s v="R022"/>
    <n v="10"/>
    <n v="2380"/>
    <n v="28.3"/>
    <n v="17064.599999999999"/>
    <s v="Completed"/>
    <s v="Mumbai"/>
    <s v="Grocery"/>
    <m/>
    <s v="Retail"/>
    <n v="52"/>
    <m/>
    <m/>
  </r>
  <r>
    <s v="ORD-01900"/>
    <x v="121"/>
    <s v="CUST-0083"/>
    <s v="PROD-042"/>
    <s v="R003"/>
    <n v="3"/>
    <n v="2290"/>
    <n v="11.1"/>
    <n v="6107.43"/>
    <s v="Cancelled"/>
    <s v="Bengaluru"/>
    <s v="Beauty"/>
    <m/>
    <s v="Corporate"/>
    <n v="31"/>
    <s v="East"/>
    <s v="Oct-24"/>
  </r>
  <r>
    <s v="ORD-01901"/>
    <x v="53"/>
    <s v="CUST-0273"/>
    <s v="PROD-021"/>
    <s v="R004"/>
    <n v="6"/>
    <n v="2760"/>
    <n v="16.5"/>
    <n v="13827.6"/>
    <s v="Completed"/>
    <s v="Hyderabad"/>
    <s v="Grocery"/>
    <m/>
    <s v="Corporate"/>
    <n v="32"/>
    <s v="North"/>
    <s v="Jun-24"/>
  </r>
  <r>
    <s v="ORD-01902"/>
    <x v="271"/>
    <s v="CUST-0047"/>
    <s v="PROD-025"/>
    <s v="R027"/>
    <n v="5"/>
    <n v="4060"/>
    <n v="22.5"/>
    <n v="15732.5"/>
    <s v="Completed"/>
    <s v="Pune"/>
    <s v="Grocery"/>
    <m/>
    <s v="Retail"/>
    <n v="49"/>
    <m/>
    <m/>
  </r>
  <r>
    <s v="ORD-01903"/>
    <x v="27"/>
    <s v="CUST-0084"/>
    <s v="PROD-010"/>
    <s v="R006"/>
    <n v="8"/>
    <n v="2640"/>
    <n v="11.8"/>
    <n v="18627.84"/>
    <s v="Completed"/>
    <s v="Chennai"/>
    <s v="Electronics"/>
    <m/>
    <s v="Retail"/>
    <n v="28"/>
    <s v="West"/>
    <s v="Aug-24"/>
  </r>
  <r>
    <s v="ORD-01904"/>
    <x v="119"/>
    <s v="CUST-0093"/>
    <s v="PROD-039"/>
    <s v="R005"/>
    <n v="2"/>
    <n v="4610"/>
    <n v="10.4"/>
    <n v="8261.1200000000008"/>
    <s v="Pending"/>
    <s v="Pune"/>
    <s v="Home"/>
    <m/>
    <s v="Retail"/>
    <n v="36"/>
    <s v="North"/>
    <s v="Mar-24"/>
  </r>
  <r>
    <s v="ORD-01905"/>
    <x v="266"/>
    <s v="CUST-0282"/>
    <s v="PROD-029"/>
    <s v="R028"/>
    <n v="6"/>
    <n v="2210"/>
    <n v="22.5"/>
    <n v="10276.5"/>
    <s v="Cancelled"/>
    <s v="Hyderabad"/>
    <s v="Grocery"/>
    <m/>
    <s v="Corporate"/>
    <n v="29"/>
    <s v="North"/>
    <s v="Jan-24"/>
  </r>
  <r>
    <s v="ORD-01906"/>
    <x v="103"/>
    <s v="CUST-0246"/>
    <s v="PROD-029"/>
    <s v="R011"/>
    <n v="4"/>
    <n v="2210"/>
    <n v="21.5"/>
    <n v="6939.4"/>
    <s v="Pending"/>
    <s v="Delhi"/>
    <s v="Grocery"/>
    <m/>
    <s v="SMB"/>
    <n v="29"/>
    <s v="West"/>
    <s v="Apr-24"/>
  </r>
  <r>
    <s v="ORD-01907"/>
    <x v="169"/>
    <s v="CUST-0243"/>
    <s v="PROD-035"/>
    <s v="R013"/>
    <n v="6"/>
    <n v="1090"/>
    <n v="28.3"/>
    <n v="4689.18"/>
    <s v="Completed"/>
    <s v="Pune"/>
    <s v="Home"/>
    <m/>
    <s v="SMB"/>
    <n v="44"/>
    <m/>
    <m/>
  </r>
  <r>
    <s v="ORD-01908"/>
    <x v="327"/>
    <s v="CUST-0298"/>
    <s v="PROD-032"/>
    <s v="R003"/>
    <n v="9"/>
    <n v="370"/>
    <n v="13.8"/>
    <n v="2870.46"/>
    <s v="Completed"/>
    <s v="Delhi"/>
    <s v="Home"/>
    <m/>
    <s v="Retail"/>
    <n v="44"/>
    <m/>
    <m/>
  </r>
  <r>
    <s v="ORD-01909"/>
    <x v="122"/>
    <s v="CUST-0124"/>
    <s v="PROD-003"/>
    <s v="R025"/>
    <n v="10"/>
    <n v="3570"/>
    <n v="3"/>
    <n v="34629"/>
    <s v="Cancelled"/>
    <s v="Pune"/>
    <s v="Electronics"/>
    <m/>
    <s v="Retail"/>
    <n v="57"/>
    <m/>
    <m/>
  </r>
  <r>
    <s v="ORD-01910"/>
    <x v="89"/>
    <s v="CUST-0070"/>
    <s v="PROD-036"/>
    <s v="R016"/>
    <n v="10"/>
    <n v="3250"/>
    <n v="20.3"/>
    <n v="25902.5"/>
    <s v="Completed"/>
    <s v="Mumbai"/>
    <s v="Home"/>
    <m/>
    <s v="Retail"/>
    <n v="42"/>
    <m/>
    <m/>
  </r>
  <r>
    <s v="ORD-01911"/>
    <x v="295"/>
    <s v="CUST-0054"/>
    <s v="PROD-036"/>
    <s v="R028"/>
    <n v="6"/>
    <n v="3250"/>
    <n v="25.8"/>
    <n v="14469"/>
    <s v="Pending"/>
    <s v="Mumbai"/>
    <s v="Home"/>
    <m/>
    <s v="Corporate"/>
    <n v="62"/>
    <m/>
    <m/>
  </r>
  <r>
    <s v="ORD-01912"/>
    <x v="294"/>
    <s v="CUST-0208"/>
    <s v="PROD-057"/>
    <s v="R024"/>
    <n v="9"/>
    <n v="960"/>
    <n v="29"/>
    <n v="6134.4"/>
    <s v="Completed"/>
    <s v="Mumbai"/>
    <s v="Sports"/>
    <m/>
    <s v="Retail"/>
    <n v="49"/>
    <m/>
    <m/>
  </r>
  <r>
    <s v="ORD-01913"/>
    <x v="275"/>
    <s v="CUST-0181"/>
    <s v="PROD-050"/>
    <s v="R015"/>
    <n v="9"/>
    <n v="6080"/>
    <n v="21"/>
    <n v="43228.800000000003"/>
    <s v="Completed"/>
    <s v="Delhi"/>
    <s v="Beauty"/>
    <m/>
    <s v="SMB"/>
    <n v="38"/>
    <s v="West"/>
    <s v="Nov-24"/>
  </r>
  <r>
    <s v="ORD-01914"/>
    <x v="250"/>
    <s v="CUST-0259"/>
    <s v="PROD-039"/>
    <s v="R020"/>
    <n v="6"/>
    <n v="4610"/>
    <n v="13.5"/>
    <n v="23925.9"/>
    <s v="Completed"/>
    <s v="Mumbai"/>
    <s v="Home"/>
    <m/>
    <s v="Retail"/>
    <n v="34"/>
    <s v="South"/>
    <s v="Aug-24"/>
  </r>
  <r>
    <s v="ORD-01915"/>
    <x v="225"/>
    <s v="CUST-0277"/>
    <s v="PROD-034"/>
    <s v="R021"/>
    <n v="7"/>
    <n v="5080"/>
    <n v="25.4"/>
    <n v="26527.759999999998"/>
    <s v="Completed"/>
    <s v="Chennai"/>
    <s v="Home"/>
    <m/>
    <s v="Corporate"/>
    <n v="34"/>
    <s v="East"/>
    <s v="Mar-24"/>
  </r>
  <r>
    <s v="ORD-01916"/>
    <x v="269"/>
    <s v="CUST-0173"/>
    <s v="PROD-043"/>
    <s v="R017"/>
    <n v="5"/>
    <n v="3350"/>
    <n v="2.2000000000000002"/>
    <n v="16381.5"/>
    <s v="Completed"/>
    <s v="Mumbai"/>
    <s v="Beauty"/>
    <m/>
    <s v="Retail"/>
    <n v="65"/>
    <m/>
    <m/>
  </r>
  <r>
    <s v="ORD-01917"/>
    <x v="77"/>
    <s v="CUST-0091"/>
    <s v="PROD-027"/>
    <s v="R014"/>
    <n v="1"/>
    <n v="3780"/>
    <n v="13.7"/>
    <n v="3262.14"/>
    <s v="Completed"/>
    <s v="Delhi"/>
    <s v="Grocery"/>
    <m/>
    <s v="Retail"/>
    <n v="55"/>
    <m/>
    <m/>
  </r>
  <r>
    <s v="ORD-01918"/>
    <x v="279"/>
    <s v="CUST-0142"/>
    <s v="PROD-046"/>
    <s v="R020"/>
    <n v="4"/>
    <n v="4880"/>
    <n v="11.6"/>
    <n v="17255.68"/>
    <s v="Completed"/>
    <s v="Chennai"/>
    <s v="Beauty"/>
    <m/>
    <s v="Corporate"/>
    <n v="55"/>
    <m/>
    <m/>
  </r>
  <r>
    <s v="ORD-01919"/>
    <x v="217"/>
    <s v="CUST-0011"/>
    <s v="PROD-048"/>
    <s v="R029"/>
    <n v="3"/>
    <n v="5100"/>
    <n v="24.2"/>
    <n v="11597.4"/>
    <s v="Completed"/>
    <s v=" Chennai "/>
    <s v="Beauty"/>
    <m/>
    <s v="Corporate"/>
    <n v="41"/>
    <m/>
    <m/>
  </r>
  <r>
    <s v="ORD-01920"/>
    <x v="287"/>
    <s v="CUST-0074"/>
    <s v="PROD-008"/>
    <s v="R023"/>
    <n v="5"/>
    <n v="2660"/>
    <n v="4.7"/>
    <n v="12674.9"/>
    <s v="Completed"/>
    <s v="Bengaluru"/>
    <s v="Electronics"/>
    <m/>
    <s v="Retail"/>
    <n v="27"/>
    <s v="West"/>
    <s v="Apr-24"/>
  </r>
  <r>
    <s v="ORD-01921"/>
    <x v="328"/>
    <s v="CUST-0131"/>
    <s v="PROD-023"/>
    <s v="R017"/>
    <n v="10"/>
    <n v="2380"/>
    <n v="1"/>
    <n v="23562"/>
    <s v="Completed"/>
    <s v="Delhi"/>
    <s v="Grocery"/>
    <m/>
    <s v="SMB"/>
    <n v="28"/>
    <s v="East"/>
    <s v="Dec-24"/>
  </r>
  <r>
    <s v="ORD-01922"/>
    <x v="223"/>
    <s v="CUST-0093"/>
    <s v="PROD-046"/>
    <s v="R002"/>
    <n v="9"/>
    <n v="4880"/>
    <n v="7.2"/>
    <n v="40757.760000000002"/>
    <s v="Completed"/>
    <s v="Pune"/>
    <s v="Beauty"/>
    <m/>
    <s v="Retail"/>
    <n v="36"/>
    <s v="East"/>
    <s v="Jun-24"/>
  </r>
  <r>
    <s v="ORD-01923"/>
    <x v="91"/>
    <s v="CUST-0229"/>
    <s v="PROD-031"/>
    <s v="R014"/>
    <n v="1"/>
    <n v="3730"/>
    <n v="15.3"/>
    <n v="3159.31"/>
    <s v="Completed"/>
    <s v="Hyderabad"/>
    <s v="Home"/>
    <m/>
    <s v="SMB"/>
    <n v="25"/>
    <s v="North"/>
    <s v="Sep-24"/>
  </r>
  <r>
    <s v="ORD-01924"/>
    <x v="33"/>
    <s v="CUST-0293"/>
    <s v="PROD-059"/>
    <s v="R003"/>
    <n v="10"/>
    <n v="3780"/>
    <n v="2.7"/>
    <n v="36779.4"/>
    <s v="Completed"/>
    <s v="Bengaluru"/>
    <s v="Sports"/>
    <m/>
    <s v="Retail"/>
    <n v="27"/>
    <s v="South"/>
    <s v="Apr-24"/>
  </r>
  <r>
    <s v="ORD-01925"/>
    <x v="257"/>
    <s v="CUST-0105"/>
    <s v="PROD-014"/>
    <s v="R023"/>
    <n v="2"/>
    <n v="3620"/>
    <n v="23"/>
    <n v="5574.8"/>
    <s v="Completed"/>
    <s v="Chennai"/>
    <s v="Apparel"/>
    <m/>
    <s v="SMB"/>
    <n v="51"/>
    <m/>
    <m/>
  </r>
  <r>
    <s v="ORD-01926"/>
    <x v="355"/>
    <s v="CUST-0003"/>
    <s v="PROD-034"/>
    <s v="R021"/>
    <n v="9"/>
    <n v="5080"/>
    <n v="19.899999999999999"/>
    <n v="36621.72"/>
    <s v="Completed"/>
    <s v="Mumbai"/>
    <s v="Home"/>
    <m/>
    <s v="Retail"/>
    <n v="33"/>
    <s v="East"/>
    <s v="Mar-24"/>
  </r>
  <r>
    <s v="ORD-01927"/>
    <x v="230"/>
    <s v="CUST-0092"/>
    <s v="PROD-018"/>
    <s v="R024"/>
    <n v="2"/>
    <n v="3560"/>
    <n v="5.5"/>
    <n v="6728.4"/>
    <s v="Completed"/>
    <s v="Bengaluru"/>
    <s v="Apparel"/>
    <m/>
    <s v="SMB"/>
    <n v="28"/>
    <s v="East"/>
    <s v="Sep-24"/>
  </r>
  <r>
    <s v="ORD-01928"/>
    <x v="134"/>
    <s v="CUST-0050"/>
    <s v="PROD-030"/>
    <s v="R001"/>
    <n v="6"/>
    <n v="970"/>
    <n v="22.5"/>
    <n v="4510.5"/>
    <s v="Refunded"/>
    <s v="Mumbai"/>
    <s v="Grocery"/>
    <m/>
    <s v="Retail"/>
    <n v="37"/>
    <s v="West"/>
    <s v="Sep-24"/>
  </r>
  <r>
    <s v="ORD-01929"/>
    <x v="181"/>
    <s v="CUST-0237"/>
    <s v="PROD-043"/>
    <s v="R014"/>
    <n v="9"/>
    <n v="3350"/>
    <n v="5.0999999999999996"/>
    <n v="28612.35"/>
    <s v="Completed"/>
    <s v="Mumbai"/>
    <s v="Beauty"/>
    <m/>
    <s v="Retail"/>
    <n v="49"/>
    <m/>
    <m/>
  </r>
  <r>
    <s v="ORD-01930"/>
    <x v="283"/>
    <s v="CUST-9905"/>
    <s v="PROD-032"/>
    <s v="R011"/>
    <n v="6"/>
    <n v="370"/>
    <n v="17.8"/>
    <n v="1824.84"/>
    <s v="Completed"/>
    <s v="Mumbai"/>
    <s v="Home"/>
    <m/>
    <e v="#N/A"/>
    <e v="#N/A"/>
    <m/>
    <m/>
  </r>
  <r>
    <s v="ORD-01931"/>
    <x v="13"/>
    <s v="CUST-0175"/>
    <s v="PROD-024"/>
    <s v="R011"/>
    <n v="3"/>
    <n v="2270"/>
    <n v="8.4"/>
    <n v="6237.96"/>
    <s v="Pending"/>
    <s v="Delhi"/>
    <s v="Grocery"/>
    <m/>
    <s v="Corporate"/>
    <n v="55"/>
    <m/>
    <m/>
  </r>
  <r>
    <s v="ORD-01932"/>
    <x v="364"/>
    <s v="CUST-0271"/>
    <s v="PROD-051"/>
    <s v="R021"/>
    <n v="3"/>
    <n v="3450"/>
    <n v="7.2"/>
    <n v="9604.7999999999993"/>
    <s v="Completed"/>
    <s v="Bengaluru"/>
    <s v="Sports"/>
    <m/>
    <s v="Corporate"/>
    <n v="41"/>
    <m/>
    <m/>
  </r>
  <r>
    <s v="ORD-01933"/>
    <x v="142"/>
    <s v="CUST-0129"/>
    <s v="PROD-054"/>
    <s v="R008"/>
    <n v="9"/>
    <n v="1010"/>
    <n v="17.8"/>
    <n v="7471.98"/>
    <s v="Completed"/>
    <s v="Hyderabad"/>
    <s v="Sports"/>
    <m/>
    <s v="Retail"/>
    <n v="29"/>
    <s v="East"/>
    <s v="Jun-24"/>
  </r>
  <r>
    <s v="ORD-01934"/>
    <x v="41"/>
    <s v="CUST-0156"/>
    <s v="PROD-039"/>
    <s v="R003"/>
    <n v="5"/>
    <n v="4610"/>
    <n v="29.8"/>
    <n v="16181.1"/>
    <s v="Cancelled"/>
    <s v="Mumbai"/>
    <s v="Home"/>
    <m/>
    <s v="Retail"/>
    <n v="33"/>
    <s v="North"/>
    <s v="Dec-24"/>
  </r>
  <r>
    <s v="ORD-01935"/>
    <x v="255"/>
    <s v="CUST-0048"/>
    <s v="PROD-032"/>
    <s v="R003"/>
    <n v="6"/>
    <n v="370"/>
    <n v="17.899999999999999"/>
    <n v="1822.62"/>
    <s v="Completed"/>
    <s v="Delhi"/>
    <s v="Home"/>
    <m/>
    <s v="Retail"/>
    <n v="59"/>
    <m/>
    <m/>
  </r>
  <r>
    <s v="ORD-01936"/>
    <x v="279"/>
    <s v="CUST-0224"/>
    <s v="PROD-023"/>
    <s v="R026"/>
    <n v="6"/>
    <n v="2380"/>
    <n v="13.6"/>
    <n v="12337.92"/>
    <s v="Cancelled"/>
    <s v="Chennai"/>
    <s v="Grocery"/>
    <m/>
    <s v="Corporate"/>
    <n v="24"/>
    <s v="North"/>
    <s v="Jul-24"/>
  </r>
  <r>
    <s v="ORD-01937"/>
    <x v="229"/>
    <s v="CUST-0101"/>
    <s v="PROD-049"/>
    <s v="R023"/>
    <n v="6"/>
    <n v="960"/>
    <n v="15"/>
    <n v="4896"/>
    <s v="Pending"/>
    <s v="Hyderabad"/>
    <s v="Beauty"/>
    <m/>
    <s v="SMB"/>
    <n v="40"/>
    <s v="West"/>
    <s v="Mar-24"/>
  </r>
  <r>
    <s v="ORD-01938"/>
    <x v="124"/>
    <s v="CUST-0269"/>
    <s v="PROD-057"/>
    <s v="R002"/>
    <n v="3"/>
    <n v="960"/>
    <n v="12.3"/>
    <n v="2525.7600000000002"/>
    <s v="Completed"/>
    <s v="Pune"/>
    <s v="Sports"/>
    <m/>
    <s v="Retail"/>
    <n v="48"/>
    <m/>
    <m/>
  </r>
  <r>
    <s v="ORD-01939"/>
    <x v="3"/>
    <s v="CUST-0097"/>
    <s v="PROD-016"/>
    <s v="R029"/>
    <n v="7"/>
    <n v="620"/>
    <n v="5.8"/>
    <n v="4088.28"/>
    <s v="Completed"/>
    <s v="Mumbai"/>
    <s v="Apparel"/>
    <m/>
    <s v="Retail"/>
    <n v="65"/>
    <m/>
    <m/>
  </r>
  <r>
    <s v="ORD-01940"/>
    <x v="299"/>
    <s v="CUST-0062"/>
    <s v="PROD-057"/>
    <s v="R020"/>
    <n v="1"/>
    <n v="960"/>
    <n v="4.5999999999999996"/>
    <n v="915.84"/>
    <s v="Completed"/>
    <s v="Pune"/>
    <s v="Sports"/>
    <m/>
    <s v="Retail"/>
    <n v="54"/>
    <m/>
    <m/>
  </r>
  <r>
    <s v="ORD-01941"/>
    <x v="226"/>
    <s v="CUST-0124"/>
    <s v="PROD-047"/>
    <s v="R028"/>
    <n v="4"/>
    <n v="3450"/>
    <n v="13.3"/>
    <n v="11964.6"/>
    <s v="Completed"/>
    <s v="Pune"/>
    <s v="Beauty"/>
    <m/>
    <s v="Retail"/>
    <n v="57"/>
    <m/>
    <m/>
  </r>
  <r>
    <s v="ORD-01942"/>
    <x v="17"/>
    <s v="CUST-0185"/>
    <s v="PROD-015"/>
    <s v="R019"/>
    <n v="10"/>
    <n v="2720"/>
    <n v="3.4"/>
    <n v="26275.200000000001"/>
    <s v="Completed"/>
    <s v="Hyderabad"/>
    <s v="Apparel"/>
    <m/>
    <s v="SMB"/>
    <n v="43"/>
    <m/>
    <m/>
  </r>
  <r>
    <s v="ORD-01943"/>
    <x v="358"/>
    <s v="CUST-0115"/>
    <s v="PROD-047"/>
    <s v="R019"/>
    <n v="1"/>
    <n v="3450"/>
    <n v="29.4"/>
    <n v="2435.6999999999998"/>
    <s v="Completed"/>
    <s v="Mumbai"/>
    <s v="Beauty"/>
    <m/>
    <s v="SMB"/>
    <n v="65"/>
    <m/>
    <m/>
  </r>
  <r>
    <s v="ORD-01944"/>
    <x v="201"/>
    <s v="CUST-0097"/>
    <s v="PROD-044"/>
    <s v="R024"/>
    <n v="5"/>
    <n v="1650"/>
    <n v="29.4"/>
    <n v="5824.5"/>
    <s v="Completed"/>
    <s v="Mumbai"/>
    <s v="Beauty"/>
    <m/>
    <s v="Retail"/>
    <n v="65"/>
    <m/>
    <m/>
  </r>
  <r>
    <s v="ORD-01945"/>
    <x v="167"/>
    <s v="CUST-0221"/>
    <s v="PROD-014"/>
    <s v="R009"/>
    <n v="2"/>
    <n v="3620"/>
    <n v="15.6"/>
    <n v="6110.56"/>
    <s v="Completed"/>
    <s v="Delhi"/>
    <s v="Apparel"/>
    <m/>
    <s v="SMB"/>
    <n v="29"/>
    <s v="West"/>
    <s v="Aug-24"/>
  </r>
  <r>
    <s v="ORD-01946"/>
    <x v="95"/>
    <s v="CUST-0098"/>
    <s v="PROD-005"/>
    <s v="R012"/>
    <n v="3"/>
    <n v="300"/>
    <n v="24.8"/>
    <n v="676.8"/>
    <s v="Completed"/>
    <s v="Delhi"/>
    <s v="Electronics"/>
    <m/>
    <s v="Retail"/>
    <n v="52"/>
    <m/>
    <m/>
  </r>
  <r>
    <s v="ORD-01947"/>
    <x v="200"/>
    <s v="CUST-0203"/>
    <s v="PROD-041"/>
    <s v="R001"/>
    <n v="3"/>
    <n v="1540"/>
    <n v="29.5"/>
    <n v="3257.1"/>
    <s v="Completed"/>
    <s v="Chennai"/>
    <s v="Beauty"/>
    <m/>
    <s v="SMB"/>
    <n v="55"/>
    <m/>
    <m/>
  </r>
  <r>
    <s v="ORD-01948"/>
    <x v="317"/>
    <s v="CUST-0074"/>
    <s v="PROD-024"/>
    <s v="R019"/>
    <n v="10"/>
    <n v="2270"/>
    <n v="5.5"/>
    <n v="21451.5"/>
    <s v="Cancelled"/>
    <s v="Bengaluru"/>
    <s v="Grocery"/>
    <m/>
    <s v="Retail"/>
    <n v="27"/>
    <s v="North"/>
    <s v="Feb-24"/>
  </r>
  <r>
    <s v="ORD-01949"/>
    <x v="154"/>
    <s v="CUST-0217"/>
    <s v="PROD-010"/>
    <s v="R008"/>
    <n v="3"/>
    <n v="2640"/>
    <n v="28.2"/>
    <n v="5686.56"/>
    <s v="Refunded"/>
    <s v="Pune"/>
    <s v="Electronics"/>
    <m/>
    <s v="SMB"/>
    <n v="59"/>
    <m/>
    <m/>
  </r>
  <r>
    <s v="ORD-01950"/>
    <x v="11"/>
    <s v="CUST-0021"/>
    <s v="PROD-010"/>
    <s v="R015"/>
    <n v="10"/>
    <n v="2640"/>
    <n v="25.9"/>
    <n v="19562.400000000001"/>
    <s v="Completed"/>
    <s v="Pune"/>
    <s v="Electronics"/>
    <m/>
    <s v="Retail"/>
    <n v="44"/>
    <m/>
    <m/>
  </r>
  <r>
    <s v="ORD-01951"/>
    <x v="152"/>
    <s v="CUST-0004"/>
    <s v="PROD-007"/>
    <s v="R030"/>
    <n v="2"/>
    <n v="1430"/>
    <n v="5"/>
    <n v="2717"/>
    <s v="Cancelled"/>
    <s v="Delhi"/>
    <s v="Electronics"/>
    <m/>
    <s v="Retail"/>
    <n v="30"/>
    <s v="South"/>
    <s v="Aug-24"/>
  </r>
  <r>
    <s v="ORD-01952"/>
    <x v="221"/>
    <s v="CUST-0080"/>
    <s v="PROD-003"/>
    <s v="R020"/>
    <n v="6"/>
    <n v="3570"/>
    <n v="28.5"/>
    <n v="15315.3"/>
    <s v="Cancelled"/>
    <s v="Pune"/>
    <s v="Electronics"/>
    <m/>
    <s v="SMB"/>
    <n v="30"/>
    <s v="West"/>
    <s v="Sep-24"/>
  </r>
  <r>
    <s v="ORD-01953"/>
    <x v="328"/>
    <s v="CUST-0113"/>
    <s v="PROD-003"/>
    <s v="R024"/>
    <n v="1"/>
    <n v="3570"/>
    <n v="7.7"/>
    <n v="3295.11"/>
    <s v="Completed"/>
    <s v="Delhi"/>
    <s v="Electronics"/>
    <m/>
    <s v="Retail"/>
    <n v="30"/>
    <s v="East"/>
    <s v="Nov-24"/>
  </r>
  <r>
    <s v="ORD-01954"/>
    <x v="312"/>
    <s v="CUST-0023"/>
    <s v="PROD-004"/>
    <s v="R030"/>
    <n v="9"/>
    <n v="3870"/>
    <n v="11.9"/>
    <n v="30685.23"/>
    <s v="Cancelled"/>
    <s v="Chennai"/>
    <s v="Electronics"/>
    <m/>
    <s v="SMB"/>
    <n v="43"/>
    <m/>
    <m/>
  </r>
  <r>
    <s v="ORD-01955"/>
    <x v="50"/>
    <s v="CUST-0136"/>
    <s v="PROD-056"/>
    <s v="R014"/>
    <n v="5"/>
    <n v="6940"/>
    <n v="17.399999999999999"/>
    <n v="28662.2"/>
    <s v="Completed"/>
    <s v="Chennai"/>
    <s v="Sports"/>
    <m/>
    <s v="SMB"/>
    <n v="26"/>
    <s v="West"/>
    <s v="Mar-24"/>
  </r>
  <r>
    <s v="ORD-01956"/>
    <x v="42"/>
    <s v="CUST-0031"/>
    <s v="PROD-032"/>
    <s v="R026"/>
    <n v="6"/>
    <n v="370"/>
    <n v="8.1"/>
    <n v="2040.18"/>
    <s v="Cancelled"/>
    <s v="Hyderabad"/>
    <s v="Home"/>
    <m/>
    <s v="Retail"/>
    <n v="53"/>
    <m/>
    <m/>
  </r>
  <r>
    <s v="ORD-01957"/>
    <x v="0"/>
    <s v="CUST-0175"/>
    <s v="PROD-018"/>
    <s v="R027"/>
    <n v="8"/>
    <n v="3560"/>
    <n v="23.3"/>
    <n v="21844.16"/>
    <s v="Completed"/>
    <s v="Delhi"/>
    <s v="Apparel"/>
    <m/>
    <s v="Corporate"/>
    <n v="55"/>
    <m/>
    <m/>
  </r>
  <r>
    <s v="ORD-01958"/>
    <x v="142"/>
    <s v="CUST-0249"/>
    <s v="PROD-009"/>
    <s v="R028"/>
    <n v="4"/>
    <n v="1220"/>
    <n v="2.7"/>
    <n v="4748.24"/>
    <s v="Completed"/>
    <s v="Mumbai"/>
    <s v="Electronics"/>
    <m/>
    <s v="Retail"/>
    <n v="44"/>
    <m/>
    <m/>
  </r>
  <r>
    <s v="ORD-01959"/>
    <x v="311"/>
    <s v="CUST-0138"/>
    <s v="PROD-026"/>
    <s v="R020"/>
    <n v="10"/>
    <n v="4070"/>
    <n v="11.6"/>
    <n v="35978.800000000003"/>
    <s v="Completed"/>
    <s v="Chennai"/>
    <s v="Grocery"/>
    <m/>
    <s v="Retail"/>
    <n v="24"/>
    <s v="West"/>
    <s v="Dec-24"/>
  </r>
  <r>
    <s v="ORD-01960"/>
    <x v="260"/>
    <s v="CUST-0290"/>
    <s v="PROD-028"/>
    <s v="R019"/>
    <n v="10"/>
    <n v="3660"/>
    <n v="28.8"/>
    <n v="26059.200000000001"/>
    <s v="Completed"/>
    <s v="Delhi"/>
    <s v="Grocery"/>
    <m/>
    <s v="Retail"/>
    <n v="63"/>
    <m/>
    <m/>
  </r>
  <r>
    <s v="ORD-01961"/>
    <x v="121"/>
    <s v="CUST-0151"/>
    <s v="PROD-034"/>
    <s v="R018"/>
    <n v="5"/>
    <n v="5080"/>
    <n v="12.1"/>
    <n v="22326.6"/>
    <s v="Completed"/>
    <s v="Mumbai"/>
    <s v="Home"/>
    <m/>
    <s v="Retail"/>
    <n v="53"/>
    <m/>
    <m/>
  </r>
  <r>
    <s v="ORD-01962"/>
    <x v="200"/>
    <s v="CUST-0290"/>
    <s v="PROD-039"/>
    <s v="R013"/>
    <n v="10"/>
    <n v="4610"/>
    <n v="22.5"/>
    <n v="35727.5"/>
    <s v="Completed"/>
    <s v="Delhi"/>
    <s v="Home"/>
    <m/>
    <s v="Retail"/>
    <n v="63"/>
    <m/>
    <m/>
  </r>
  <r>
    <s v="ORD-01963"/>
    <x v="58"/>
    <s v="CUST-0074"/>
    <s v="PROD-008"/>
    <s v="R007"/>
    <n v="3"/>
    <n v="2660"/>
    <n v="15"/>
    <n v="6783"/>
    <s v="Completed"/>
    <s v="Bengaluru"/>
    <s v="Electronics"/>
    <m/>
    <s v="Retail"/>
    <n v="27"/>
    <s v="South"/>
    <s v="Feb-24"/>
  </r>
  <r>
    <s v="ORD-01964"/>
    <x v="360"/>
    <s v="CUST-0295"/>
    <s v="PROD-012"/>
    <s v="R006"/>
    <n v="5"/>
    <n v="3160"/>
    <n v="1.3"/>
    <n v="15594.6"/>
    <s v="Completed"/>
    <s v="Delhi"/>
    <s v="Apparel"/>
    <m/>
    <s v="SMB"/>
    <n v="48"/>
    <m/>
    <m/>
  </r>
  <r>
    <s v="ORD-01965"/>
    <x v="354"/>
    <s v="CUST-0132"/>
    <s v="PROD-032"/>
    <s v="R004"/>
    <n v="10"/>
    <n v="370"/>
    <n v="29"/>
    <n v="2627"/>
    <s v="Completed"/>
    <s v="Delhi"/>
    <s v="Home"/>
    <m/>
    <s v="Retail"/>
    <n v="41"/>
    <m/>
    <m/>
  </r>
  <r>
    <s v="ORD-01966"/>
    <x v="243"/>
    <s v="CUST-0289"/>
    <s v="PROD-054"/>
    <s v="R008"/>
    <n v="10"/>
    <n v="1010"/>
    <n v="14.1"/>
    <n v="8675.9"/>
    <s v="Refunded"/>
    <s v="Mumbai"/>
    <s v="Sports"/>
    <m/>
    <s v="Retail"/>
    <n v="54"/>
    <m/>
    <m/>
  </r>
  <r>
    <s v="ORD-01967"/>
    <x v="261"/>
    <s v="CUST-0139"/>
    <s v="PROD-018"/>
    <s v="R030"/>
    <n v="3"/>
    <n v="3560"/>
    <n v="23.6"/>
    <n v="8159.52"/>
    <s v="Completed"/>
    <s v="Hyderabad"/>
    <s v="Apparel"/>
    <m/>
    <s v="SMB"/>
    <n v="65"/>
    <m/>
    <m/>
  </r>
  <r>
    <s v="ORD-01968"/>
    <x v="1"/>
    <s v="CUST-0032"/>
    <s v="PROD-009"/>
    <s v="R028"/>
    <n v="9"/>
    <n v="1220"/>
    <n v="16.600000000000001"/>
    <n v="9157.32"/>
    <s v="Completed"/>
    <s v="Hyderabad"/>
    <s v="Electronics"/>
    <m/>
    <s v="Retail"/>
    <n v="28"/>
    <s v="West"/>
    <s v="Oct-24"/>
  </r>
  <r>
    <s v="ORD-01969"/>
    <x v="30"/>
    <s v="CUST-0109"/>
    <s v="PROD-060"/>
    <s v="R008"/>
    <n v="8"/>
    <n v="190"/>
    <n v="22.3"/>
    <n v="1181.04"/>
    <s v="Completed"/>
    <s v="Pune"/>
    <s v="Sports"/>
    <m/>
    <s v="Retail"/>
    <n v="42"/>
    <m/>
    <m/>
  </r>
  <r>
    <s v="ORD-01970"/>
    <x v="290"/>
    <s v="CUST-0224"/>
    <s v="PROD-054"/>
    <s v="R002"/>
    <n v="2"/>
    <n v="1010"/>
    <n v="3.8"/>
    <n v="1943.24"/>
    <s v="Completed"/>
    <s v="Chennai"/>
    <s v="Sports"/>
    <m/>
    <s v="Corporate"/>
    <n v="24"/>
    <s v="North"/>
    <s v="Feb-24"/>
  </r>
  <r>
    <s v="ORD-01971"/>
    <x v="96"/>
    <s v="CUST-0038"/>
    <s v="PROD-002"/>
    <s v="R009"/>
    <n v="4"/>
    <n v="2600"/>
    <n v="29.1"/>
    <n v="7373.6"/>
    <s v="Completed"/>
    <s v="Mumbai"/>
    <s v="Electronics"/>
    <m/>
    <s v="Retail"/>
    <n v="57"/>
    <m/>
    <m/>
  </r>
  <r>
    <s v="ORD-01972"/>
    <x v="25"/>
    <s v="CUST-0132"/>
    <s v="PROD-011"/>
    <s v="R029"/>
    <n v="7"/>
    <n v="3450"/>
    <n v="4"/>
    <n v="23184"/>
    <s v="Completed"/>
    <s v="Delhi"/>
    <s v="Apparel"/>
    <m/>
    <s v="Retail"/>
    <n v="41"/>
    <m/>
    <m/>
  </r>
  <r>
    <s v="ORD-01973"/>
    <x v="288"/>
    <s v="CUST-0226"/>
    <s v="PROD-017"/>
    <s v="R019"/>
    <n v="6"/>
    <n v="2510"/>
    <n v="12.7"/>
    <n v="13147.38"/>
    <s v="Completed"/>
    <s v="Chennai"/>
    <s v="Apparel"/>
    <m/>
    <s v="Corporate"/>
    <n v="52"/>
    <m/>
    <m/>
  </r>
  <r>
    <s v="ORD-01974"/>
    <x v="9"/>
    <s v="CUST-0275"/>
    <s v="PROD-060"/>
    <s v="R027"/>
    <n v="6"/>
    <n v="190"/>
    <n v="20"/>
    <n v="912"/>
    <s v="Cancelled"/>
    <s v="Mumbai"/>
    <s v="Sports"/>
    <m/>
    <s v="Retail"/>
    <n v="36"/>
    <s v="East"/>
    <s v="Jan-24"/>
  </r>
  <r>
    <s v="ORD-01975"/>
    <x v="201"/>
    <s v="CUST-0109"/>
    <s v="PROD-044"/>
    <s v="R029"/>
    <n v="10"/>
    <n v="1650"/>
    <n v="21.5"/>
    <n v="12952.5"/>
    <s v="Completed"/>
    <s v="Pune"/>
    <s v="Beauty"/>
    <m/>
    <s v="Retail"/>
    <n v="42"/>
    <m/>
    <m/>
  </r>
  <r>
    <s v="ORD-01976"/>
    <x v="112"/>
    <s v="CUST-0281"/>
    <s v="PROD-055"/>
    <s v="R009"/>
    <n v="4"/>
    <n v="2860"/>
    <n v="15.2"/>
    <n v="9701.1200000000008"/>
    <s v="Completed"/>
    <s v="Bengaluru"/>
    <s v="Sports"/>
    <m/>
    <s v="Corporate"/>
    <n v="57"/>
    <m/>
    <m/>
  </r>
  <r>
    <s v="ORD-01977"/>
    <x v="55"/>
    <s v="CUST-0174"/>
    <s v="PROD-053"/>
    <s v="R028"/>
    <n v="3"/>
    <n v="470"/>
    <n v="14.2"/>
    <n v="1209.78"/>
    <s v="Completed"/>
    <s v="Pune"/>
    <s v="Sports"/>
    <m/>
    <s v="Retail"/>
    <n v="54"/>
    <m/>
    <m/>
  </r>
  <r>
    <s v="ORD-01978"/>
    <x v="277"/>
    <s v="CUST-0103"/>
    <s v="PROD-055"/>
    <s v="R030"/>
    <n v="2"/>
    <n v="2860"/>
    <n v="17.899999999999999"/>
    <n v="4696.12"/>
    <s v="Completed"/>
    <s v="Hyderabad"/>
    <s v="Sports"/>
    <m/>
    <s v="Corporate"/>
    <n v="54"/>
    <m/>
    <m/>
  </r>
  <r>
    <s v="ORD-01979"/>
    <x v="192"/>
    <s v="CUST-0076"/>
    <s v="PROD-019"/>
    <s v="R018"/>
    <n v="2"/>
    <n v="2480"/>
    <n v="11.5"/>
    <n v="4389.6000000000004"/>
    <s v="Cancelled"/>
    <s v="Mumbai"/>
    <s v="Apparel"/>
    <m/>
    <s v="Retail"/>
    <n v="38"/>
    <s v="West"/>
    <s v="Jun-24"/>
  </r>
  <r>
    <s v="ORD-01980"/>
    <x v="208"/>
    <s v="CUST-0227"/>
    <s v="PROD-033"/>
    <s v="R006"/>
    <n v="10"/>
    <n v="2030"/>
    <n v="29.2"/>
    <n v="14372.4"/>
    <s v="Completed"/>
    <s v="Bengaluru"/>
    <s v="Home"/>
    <m/>
    <s v="SMB"/>
    <n v="44"/>
    <m/>
    <m/>
  </r>
  <r>
    <s v="ORD-01981"/>
    <x v="135"/>
    <s v="CUST-0006"/>
    <s v="PROD-047"/>
    <s v="R012"/>
    <n v="6"/>
    <n v="3450"/>
    <n v="3.5"/>
    <n v="19975.5"/>
    <s v="Refunded"/>
    <s v="Pune"/>
    <s v="Beauty"/>
    <m/>
    <s v="SMB"/>
    <n v="44"/>
    <m/>
    <m/>
  </r>
  <r>
    <s v="ORD-01982"/>
    <x v="320"/>
    <s v="CUST-0231"/>
    <s v="PROD-007"/>
    <s v="R011"/>
    <n v="10"/>
    <n v="1430"/>
    <n v="3.5"/>
    <n v="13799.5"/>
    <s v="Completed"/>
    <s v="Chennai"/>
    <s v="Electronics"/>
    <m/>
    <s v="Retail"/>
    <n v="61"/>
    <m/>
    <m/>
  </r>
  <r>
    <s v="ORD-01983"/>
    <x v="124"/>
    <s v="CUST-0085"/>
    <s v="PROD-020"/>
    <s v="R017"/>
    <n v="1"/>
    <n v="820"/>
    <n v="14.5"/>
    <n v="701.1"/>
    <s v="Cancelled"/>
    <s v="Chennai"/>
    <s v="Apparel"/>
    <m/>
    <s v="Retail"/>
    <n v="26"/>
    <s v="South"/>
    <s v="Mar-24"/>
  </r>
  <r>
    <s v="ORD-01984"/>
    <x v="144"/>
    <s v="CUST-0022"/>
    <s v="PROD-046"/>
    <s v="R023"/>
    <n v="5"/>
    <n v="4880"/>
    <n v="1.8"/>
    <n v="23960.799999999999"/>
    <s v="Completed"/>
    <s v="Bengaluru"/>
    <s v="Beauty"/>
    <m/>
    <s v="Corporate"/>
    <n v="55"/>
    <m/>
    <m/>
  </r>
  <r>
    <s v="ORD-01985"/>
    <x v="217"/>
    <s v="CUST-0275"/>
    <s v="PROD-043"/>
    <s v="R016"/>
    <n v="8"/>
    <n v="3350"/>
    <n v="26.3"/>
    <n v="19751.599999999999"/>
    <s v="Cancelled"/>
    <s v="Mumbai"/>
    <s v="Beauty"/>
    <m/>
    <s v="Retail"/>
    <n v="36"/>
    <s v="East"/>
    <s v="Feb-24"/>
  </r>
  <r>
    <s v="ORD-01986"/>
    <x v="129"/>
    <s v="CUST-0159"/>
    <s v="PROD-019"/>
    <s v="R022"/>
    <n v="9"/>
    <n v="2480"/>
    <n v="24.3"/>
    <n v="16896.240000000002"/>
    <s v="Completed"/>
    <s v="Hyderabad"/>
    <s v="Apparel"/>
    <m/>
    <s v="Retail"/>
    <n v="32"/>
    <s v="South"/>
    <s v="Apr-24"/>
  </r>
  <r>
    <s v="ORD-01987"/>
    <x v="66"/>
    <s v="CUST-0152"/>
    <s v="PROD-039"/>
    <s v="R024"/>
    <n v="9"/>
    <n v="4610"/>
    <n v="10"/>
    <n v="37341"/>
    <s v="Completed"/>
    <s v="Bengaluru"/>
    <s v="Home"/>
    <m/>
    <s v="SMB"/>
    <n v="64"/>
    <m/>
    <m/>
  </r>
  <r>
    <s v="ORD-01988"/>
    <x v="132"/>
    <s v="CUST-0289"/>
    <s v="PROD-027"/>
    <s v="R004"/>
    <n v="1"/>
    <n v="3780"/>
    <n v="2.2000000000000002"/>
    <n v="3696.84"/>
    <s v="Completed"/>
    <s v="Mumbai"/>
    <s v="Grocery"/>
    <m/>
    <s v="Retail"/>
    <n v="54"/>
    <m/>
    <m/>
  </r>
  <r>
    <s v="ORD-01989"/>
    <x v="24"/>
    <s v="CUST-0004"/>
    <s v="PROD-045"/>
    <s v="R026"/>
    <n v="3"/>
    <n v="3020"/>
    <n v="21.4"/>
    <n v="7121.16"/>
    <s v="Cancelled"/>
    <s v="Delhi"/>
    <s v="Beauty"/>
    <m/>
    <s v="Retail"/>
    <n v="53"/>
    <m/>
    <m/>
  </r>
  <r>
    <s v="ORD-01990"/>
    <x v="218"/>
    <s v="CUST-0159"/>
    <s v="PROD-035"/>
    <s v="R006"/>
    <n v="10"/>
    <n v="1090"/>
    <n v="29.2"/>
    <n v="7717.2"/>
    <s v="Cancelled"/>
    <s v="Hyderabad"/>
    <s v="Home"/>
    <m/>
    <s v="Retail"/>
    <n v="32"/>
    <s v="West"/>
    <s v="Apr-24"/>
  </r>
  <r>
    <s v="ORD-01991"/>
    <x v="48"/>
    <s v="CUST-0083"/>
    <s v="PROD-048"/>
    <s v="R013"/>
    <n v="5"/>
    <n v="5100"/>
    <n v="28.4"/>
    <n v="18258"/>
    <s v="Completed"/>
    <s v="Bengaluru"/>
    <s v="Beauty"/>
    <m/>
    <s v="Corporate"/>
    <n v="31"/>
    <s v="North"/>
    <s v="Dec-24"/>
  </r>
  <r>
    <s v="ORD-01992"/>
    <x v="279"/>
    <s v="CUST-0242"/>
    <s v="PROD-046"/>
    <s v="R008"/>
    <n v="6"/>
    <n v="4880"/>
    <n v="16.8"/>
    <n v="24360.959999999999"/>
    <s v="Completed"/>
    <s v="Chennai"/>
    <s v="Beauty"/>
    <m/>
    <s v="SMB"/>
    <n v="59"/>
    <m/>
    <m/>
  </r>
  <r>
    <s v="ORD-01993"/>
    <x v="310"/>
    <s v="CUST-0245"/>
    <s v="PROD-001"/>
    <s v="R027"/>
    <n v="1"/>
    <n v="5330"/>
    <n v="27.5"/>
    <n v="3864.25"/>
    <s v="Completed"/>
    <s v="Hyderabad"/>
    <s v="Electronics"/>
    <m/>
    <s v="Retail"/>
    <n v="65"/>
    <m/>
    <m/>
  </r>
  <r>
    <s v="ORD-01994"/>
    <x v="302"/>
    <s v="CUST-0008"/>
    <s v="PROD-033"/>
    <s v="R029"/>
    <n v="7"/>
    <n v="2030"/>
    <n v="5.3"/>
    <n v="13456.87"/>
    <s v="Cancelled"/>
    <s v="Pune"/>
    <s v="Home"/>
    <m/>
    <s v="SMB"/>
    <n v="39"/>
    <s v="West"/>
    <s v="Jun-24"/>
  </r>
  <r>
    <s v="ORD-01995"/>
    <x v="107"/>
    <s v="CUST-0260"/>
    <s v="PROD-043"/>
    <s v="R024"/>
    <n v="7"/>
    <n v="3350"/>
    <n v="0.4"/>
    <n v="23356.2"/>
    <s v="Completed"/>
    <s v="Bengaluru"/>
    <s v="Beauty"/>
    <m/>
    <s v="Retail"/>
    <n v="42"/>
    <m/>
    <m/>
  </r>
  <r>
    <s v="ORD-01996"/>
    <x v="346"/>
    <s v="CUST-0265"/>
    <s v="PROD-031"/>
    <s v="R015"/>
    <n v="6"/>
    <n v="3730"/>
    <n v="13.8"/>
    <n v="19291.560000000001"/>
    <s v="Completed"/>
    <s v="Chennai"/>
    <s v="Home"/>
    <m/>
    <s v="Retail"/>
    <n v="49"/>
    <m/>
    <m/>
  </r>
  <r>
    <s v="ORD-01997"/>
    <x v="65"/>
    <s v="CUST-0135"/>
    <s v="PROD-006"/>
    <s v="R017"/>
    <n v="6"/>
    <n v="3970"/>
    <n v="5.8"/>
    <n v="22438.44"/>
    <s v="Pending"/>
    <s v="Pune"/>
    <s v="Electronics"/>
    <m/>
    <s v="SMB"/>
    <n v="24"/>
    <s v="South"/>
    <s v="Jan-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d v="2024-09-14T00:00:00"/>
    <s v="CUST-0243"/>
    <s v="PROD-014"/>
    <x v="0"/>
    <n v="8"/>
    <n v="3620"/>
    <n v="15.4"/>
    <n v="24500.16"/>
    <s v="Completed"/>
    <s v="Pune"/>
    <x v="0"/>
    <m/>
    <s v="SMB"/>
    <n v="44"/>
    <x v="0"/>
    <x v="0"/>
  </r>
  <r>
    <s v="ORD-00002"/>
    <d v="2024-02-18T00:00:00"/>
    <s v="CUST-0202"/>
    <s v="PROD-020"/>
    <x v="1"/>
    <n v="2"/>
    <n v="820"/>
    <n v="10.8"/>
    <n v="1462.88"/>
    <s v="Pending"/>
    <s v="Chennai"/>
    <x v="0"/>
    <m/>
    <s v="Retail"/>
    <n v="39"/>
    <x v="1"/>
    <x v="1"/>
  </r>
  <r>
    <s v="ORD-00003"/>
    <d v="2024-03-20T00:00:00"/>
    <s v="CUST-0098"/>
    <s v="PROD-053"/>
    <x v="2"/>
    <n v="8"/>
    <n v="470"/>
    <n v="3.3"/>
    <n v="3635.92"/>
    <s v="Pending"/>
    <s v="Delhi"/>
    <x v="1"/>
    <m/>
    <s v="Retail"/>
    <n v="52"/>
    <x v="0"/>
    <x v="0"/>
  </r>
  <r>
    <s v="ORD-00004"/>
    <d v="2024-05-01T00:00:00"/>
    <s v="CUST-0071"/>
    <s v="PROD-028"/>
    <x v="3"/>
    <n v="1"/>
    <n v="3660"/>
    <n v="15.7"/>
    <n v="3085.38"/>
    <s v="Completed"/>
    <s v="Delhi"/>
    <x v="2"/>
    <m/>
    <s v="Corporate"/>
    <n v="46"/>
    <x v="0"/>
    <x v="0"/>
  </r>
  <r>
    <s v="ORD-00005"/>
    <d v="2024-11-15T00:00:00"/>
    <s v="CUST-0180"/>
    <s v="PROD-012"/>
    <x v="4"/>
    <n v="1"/>
    <n v="3160"/>
    <n v="26"/>
    <n v="2338.4"/>
    <s v="Completed"/>
    <s v="Chennai"/>
    <x v="0"/>
    <m/>
    <s v="Retail"/>
    <n v="36"/>
    <x v="1"/>
    <x v="2"/>
  </r>
  <r>
    <s v="ORD-00006"/>
    <d v="2024-04-24T00:00:00"/>
    <s v="CUST-0275"/>
    <s v="PROD-032"/>
    <x v="5"/>
    <n v="4"/>
    <n v="370"/>
    <n v="29"/>
    <n v="1050.8"/>
    <s v="Completed"/>
    <s v="Mumbai"/>
    <x v="3"/>
    <m/>
    <s v="Retail"/>
    <n v="36"/>
    <x v="1"/>
    <x v="3"/>
  </r>
  <r>
    <s v="ORD-00007"/>
    <d v="2024-06-12T00:00:00"/>
    <s v="CUST-0293"/>
    <s v="PROD-057"/>
    <x v="6"/>
    <n v="3"/>
    <n v="960"/>
    <n v="5.8"/>
    <n v="2712.96"/>
    <s v="Completed"/>
    <s v="Bengaluru"/>
    <x v="1"/>
    <m/>
    <s v="Retail"/>
    <n v="27"/>
    <x v="2"/>
    <x v="4"/>
  </r>
  <r>
    <s v="ORD-00008"/>
    <d v="2024-11-21T00:00:00"/>
    <s v="CUST-0281"/>
    <s v="PROD-007"/>
    <x v="7"/>
    <n v="8"/>
    <n v="1430"/>
    <n v="2.4"/>
    <n v="11165.44"/>
    <s v="Completed"/>
    <s v="Bengaluru"/>
    <x v="4"/>
    <m/>
    <s v="Corporate"/>
    <n v="57"/>
    <x v="0"/>
    <x v="0"/>
  </r>
  <r>
    <s v="ORD-00009"/>
    <d v="2024-09-14T00:00:00"/>
    <s v="CUST-0260"/>
    <s v="PROD-038"/>
    <x v="4"/>
    <n v="3"/>
    <n v="5490"/>
    <n v="14.2"/>
    <n v="14131.26"/>
    <s v="Completed"/>
    <s v="Bengaluru"/>
    <x v="3"/>
    <m/>
    <s v="Retail"/>
    <n v="42"/>
    <x v="0"/>
    <x v="0"/>
  </r>
  <r>
    <s v="ORD-00010"/>
    <d v="2024-04-14T00:00:00"/>
    <s v="CUST-0147"/>
    <s v="PROD-030"/>
    <x v="8"/>
    <n v="3"/>
    <n v="970"/>
    <n v="1.2"/>
    <n v="2875.08"/>
    <s v="Completed"/>
    <s v="Pune"/>
    <x v="2"/>
    <m/>
    <s v="Retail"/>
    <n v="56"/>
    <x v="0"/>
    <x v="0"/>
  </r>
  <r>
    <s v="ORD-00011"/>
    <d v="2024-09-25T00:00:00"/>
    <s v="CUST-0204"/>
    <s v="PROD-024"/>
    <x v="9"/>
    <n v="7"/>
    <n v="2270"/>
    <n v="7.1"/>
    <n v="14761.81"/>
    <s v="Pending"/>
    <s v="Hyderabad"/>
    <x v="2"/>
    <m/>
    <s v="Retail"/>
    <n v="60"/>
    <x v="0"/>
    <x v="0"/>
  </r>
  <r>
    <s v="ORD-00012"/>
    <d v="2024-02-10T00:00:00"/>
    <s v="CUST-0147"/>
    <s v="PROD-010"/>
    <x v="6"/>
    <n v="9"/>
    <n v="2640"/>
    <n v="21.7"/>
    <n v="18604.080000000002"/>
    <s v="Completed"/>
    <s v="Pune"/>
    <x v="4"/>
    <m/>
    <s v="Retail"/>
    <n v="56"/>
    <x v="0"/>
    <x v="0"/>
  </r>
  <r>
    <s v="ORD-00013"/>
    <d v="2024-08-03T00:00:00"/>
    <s v="CUST-0280"/>
    <s v="PROD-002"/>
    <x v="10"/>
    <n v="3"/>
    <n v="2600"/>
    <n v="4.3"/>
    <n v="7464.6"/>
    <s v="Cancelled"/>
    <s v="Delhi"/>
    <x v="4"/>
    <m/>
    <s v="SMB"/>
    <n v="27"/>
    <x v="2"/>
    <x v="5"/>
  </r>
  <r>
    <s v="ORD-00014"/>
    <d v="2024-06-23T00:00:00"/>
    <s v="CUST-0008"/>
    <s v="PROD-036"/>
    <x v="5"/>
    <n v="3"/>
    <n v="3250"/>
    <n v="14.1"/>
    <n v="8375.25"/>
    <s v="Refunded"/>
    <s v="Pune"/>
    <x v="3"/>
    <m/>
    <s v="SMB"/>
    <n v="39"/>
    <x v="1"/>
    <x v="6"/>
  </r>
  <r>
    <s v="ORD-00015"/>
    <d v="2024-03-14T00:00:00"/>
    <s v="CUST-0052"/>
    <s v="PROD-060"/>
    <x v="11"/>
    <n v="1"/>
    <n v="190"/>
    <n v="20.7"/>
    <n v="150.66999999999999"/>
    <s v="Completed"/>
    <s v="Pune"/>
    <x v="1"/>
    <m/>
    <s v="Retail"/>
    <n v="38"/>
    <x v="2"/>
    <x v="7"/>
  </r>
  <r>
    <s v="ORD-00016"/>
    <d v="2024-09-11T00:00:00"/>
    <s v="CUST-0184"/>
    <s v="PROD-058"/>
    <x v="2"/>
    <n v="7"/>
    <n v="2400"/>
    <n v="10.199999999999999"/>
    <n v="15086.4"/>
    <s v="Pending"/>
    <s v="Pune"/>
    <x v="1"/>
    <m/>
    <s v="Retail"/>
    <n v="63"/>
    <x v="0"/>
    <x v="0"/>
  </r>
  <r>
    <s v="ORD-00017"/>
    <d v="2024-08-08T00:00:00"/>
    <s v="CUST-0056"/>
    <s v="PROD-028"/>
    <x v="12"/>
    <n v="4"/>
    <n v="3660"/>
    <n v="2.6"/>
    <n v="14259.36"/>
    <s v="Completed"/>
    <s v="Bengaluru"/>
    <x v="2"/>
    <m/>
    <s v="SMB"/>
    <n v="46"/>
    <x v="0"/>
    <x v="0"/>
  </r>
  <r>
    <s v="ORD-00018"/>
    <d v="2024-12-28T00:00:00"/>
    <s v="CUST-0273"/>
    <s v="PROD-047"/>
    <x v="13"/>
    <n v="8"/>
    <n v="3450"/>
    <n v="18.5"/>
    <n v="22494"/>
    <s v="Completed"/>
    <s v="Hyderabad"/>
    <x v="5"/>
    <m/>
    <s v="Corporate"/>
    <n v="32"/>
    <x v="3"/>
    <x v="6"/>
  </r>
  <r>
    <s v="ORD-00019"/>
    <d v="2024-11-30T00:00:00"/>
    <s v="CUST-0182"/>
    <s v="PROD-051"/>
    <x v="12"/>
    <n v="5"/>
    <n v="3450"/>
    <n v="7.3"/>
    <n v="15990.75"/>
    <s v="Completed"/>
    <s v="Mumbai"/>
    <x v="1"/>
    <m/>
    <s v="Retail"/>
    <n v="54"/>
    <x v="0"/>
    <x v="0"/>
  </r>
  <r>
    <s v="ORD-00020"/>
    <d v="2024-04-12T00:00:00"/>
    <s v="CUST-0265"/>
    <s v="PROD-040"/>
    <x v="12"/>
    <n v="8"/>
    <n v="1080"/>
    <n v="2.2000000000000002"/>
    <n v="8449.92"/>
    <s v="Completed"/>
    <s v="Chennai"/>
    <x v="3"/>
    <m/>
    <s v="Retail"/>
    <n v="49"/>
    <x v="0"/>
    <x v="0"/>
  </r>
  <r>
    <s v="ORD-00021"/>
    <d v="2024-06-27T00:00:00"/>
    <s v="CUST-0159"/>
    <s v="PROD-019"/>
    <x v="3"/>
    <n v="7"/>
    <n v="2480"/>
    <n v="28.7"/>
    <n v="12377.68"/>
    <s v="Completed"/>
    <s v="Hyderabad"/>
    <x v="0"/>
    <m/>
    <s v="Retail"/>
    <n v="32"/>
    <x v="3"/>
    <x v="4"/>
  </r>
  <r>
    <s v="ORD-00022"/>
    <d v="2024-03-03T00:00:00"/>
    <s v="CUST-0259"/>
    <s v="PROD-036"/>
    <x v="14"/>
    <n v="4"/>
    <n v="3250"/>
    <n v="24.6"/>
    <n v="9802"/>
    <s v="Completed"/>
    <s v="Mumbai"/>
    <x v="3"/>
    <m/>
    <s v="Retail"/>
    <n v="34"/>
    <x v="1"/>
    <x v="7"/>
  </r>
  <r>
    <s v="ORD-00023"/>
    <d v="2024-08-26T00:00:00"/>
    <s v="CUST-0107"/>
    <s v="PROD-015"/>
    <x v="14"/>
    <n v="9"/>
    <n v="2720"/>
    <n v="26.2"/>
    <n v="18066.240000000002"/>
    <s v="Completed"/>
    <s v="Pune"/>
    <x v="0"/>
    <m/>
    <s v="Retail"/>
    <n v="50"/>
    <x v="0"/>
    <x v="0"/>
  </r>
  <r>
    <s v="ORD-00024"/>
    <d v="2024-06-29T00:00:00"/>
    <s v="CUST-0101"/>
    <s v="PROD-044"/>
    <x v="11"/>
    <n v="2"/>
    <n v="1650"/>
    <n v="9.4"/>
    <n v="2989.8"/>
    <s v="Completed"/>
    <s v="Hyderabad"/>
    <x v="5"/>
    <m/>
    <s v="SMB"/>
    <n v="40"/>
    <x v="2"/>
    <x v="6"/>
  </r>
  <r>
    <s v="ORD-00025"/>
    <d v="2024-04-12T00:00:00"/>
    <s v="CUST-0142"/>
    <s v="PROD-043"/>
    <x v="12"/>
    <n v="6"/>
    <n v="3350"/>
    <n v="6.1"/>
    <n v="18873.900000000001"/>
    <s v="Pending"/>
    <s v="Chennai"/>
    <x v="5"/>
    <m/>
    <s v="Corporate"/>
    <n v="55"/>
    <x v="0"/>
    <x v="0"/>
  </r>
  <r>
    <s v="ORD-00026"/>
    <d v="2024-10-05T00:00:00"/>
    <s v="CUST-0250"/>
    <s v="PROD-054"/>
    <x v="7"/>
    <n v="2"/>
    <n v="1010"/>
    <n v="16.5"/>
    <n v="1686.7"/>
    <s v="Cancelled"/>
    <s v="Delhi"/>
    <x v="1"/>
    <m/>
    <s v="Retail"/>
    <n v="31"/>
    <x v="3"/>
    <x v="4"/>
  </r>
  <r>
    <s v="ORD-00027"/>
    <d v="2024-04-19T00:00:00"/>
    <s v="CUST-0098"/>
    <s v="PROD-046"/>
    <x v="3"/>
    <n v="5"/>
    <n v="4880"/>
    <n v="23.6"/>
    <n v="18641.599999999999"/>
    <s v="Completed"/>
    <s v="Delhi"/>
    <x v="5"/>
    <m/>
    <s v="Retail"/>
    <n v="52"/>
    <x v="0"/>
    <x v="0"/>
  </r>
  <r>
    <s v="ORD-00028"/>
    <d v="2024-08-13T00:00:00"/>
    <s v="CUST-0143"/>
    <s v="PROD-003"/>
    <x v="15"/>
    <n v="7"/>
    <n v="3570"/>
    <n v="5.8"/>
    <n v="23540.58"/>
    <s v="Cancelled"/>
    <s v="Chennai"/>
    <x v="4"/>
    <m/>
    <s v="SMB"/>
    <n v="52"/>
    <x v="0"/>
    <x v="0"/>
  </r>
  <r>
    <s v="ORD-00029"/>
    <d v="2024-03-12T00:00:00"/>
    <s v="CUST-0086"/>
    <s v="PROD-048"/>
    <x v="16"/>
    <n v="9"/>
    <n v="5100"/>
    <n v="16.7"/>
    <n v="38234.699999999997"/>
    <s v="Completed"/>
    <s v="Hyderabad"/>
    <x v="5"/>
    <m/>
    <s v="Corporate"/>
    <n v="56"/>
    <x v="0"/>
    <x v="0"/>
  </r>
  <r>
    <s v="ORD-00030"/>
    <d v="2024-03-16T00:00:00"/>
    <s v="CUST-0006"/>
    <s v="PROD-055"/>
    <x v="1"/>
    <n v="3"/>
    <n v="2860"/>
    <n v="25.8"/>
    <n v="6366.36"/>
    <s v="Completed"/>
    <s v="Pune"/>
    <x v="1"/>
    <m/>
    <s v="SMB"/>
    <n v="44"/>
    <x v="0"/>
    <x v="0"/>
  </r>
  <r>
    <s v="ORD-00031"/>
    <d v="2024-10-04T00:00:00"/>
    <s v="CUST-0241"/>
    <s v="PROD-030"/>
    <x v="3"/>
    <n v="7"/>
    <n v="970"/>
    <n v="29.8"/>
    <n v="4766.58"/>
    <s v="Completed"/>
    <s v="Pune"/>
    <x v="2"/>
    <m/>
    <s v="Corporate"/>
    <n v="47"/>
    <x v="0"/>
    <x v="0"/>
  </r>
  <r>
    <s v="ORD-00032"/>
    <d v="2024-12-15T00:00:00"/>
    <s v="CUST-0035"/>
    <s v="PROD-021"/>
    <x v="17"/>
    <n v="4"/>
    <n v="2760"/>
    <n v="5.9"/>
    <n v="10388.64"/>
    <s v="Completed"/>
    <s v="Hyderabad"/>
    <x v="2"/>
    <m/>
    <s v="Retail"/>
    <n v="53"/>
    <x v="0"/>
    <x v="0"/>
  </r>
  <r>
    <s v="ORD-00033"/>
    <d v="2024-02-21T00:00:00"/>
    <s v="CUST-0273"/>
    <s v="PROD-037"/>
    <x v="18"/>
    <n v="10"/>
    <n v="660"/>
    <n v="18.3"/>
    <n v="5392.2"/>
    <s v="Pending"/>
    <s v="Hyderabad"/>
    <x v="3"/>
    <m/>
    <s v="Corporate"/>
    <n v="32"/>
    <x v="2"/>
    <x v="8"/>
  </r>
  <r>
    <s v="ORD-00034"/>
    <d v="2024-10-11T00:00:00"/>
    <s v="CUST-0064"/>
    <s v="PROD-036"/>
    <x v="7"/>
    <n v="1"/>
    <n v="3250"/>
    <n v="10.7"/>
    <n v="2902.25"/>
    <s v="Completed"/>
    <s v="Hyderabad"/>
    <x v="3"/>
    <m/>
    <s v="SMB"/>
    <n v="40"/>
    <x v="4"/>
    <x v="5"/>
  </r>
  <r>
    <s v="ORD-00035"/>
    <d v="2024-06-19T00:00:00"/>
    <s v="CUST-0118"/>
    <s v="PROD-048"/>
    <x v="7"/>
    <n v="8"/>
    <n v="5100"/>
    <n v="26.4"/>
    <n v="30028.799999999999"/>
    <s v="Cancelled"/>
    <s v="Hyderabad"/>
    <x v="5"/>
    <m/>
    <s v="Retail"/>
    <n v="26"/>
    <x v="3"/>
    <x v="9"/>
  </r>
  <r>
    <s v="ORD-00036"/>
    <d v="2024-05-30T00:00:00"/>
    <s v="CUST-0013"/>
    <s v="PROD-040"/>
    <x v="13"/>
    <n v="1"/>
    <n v="1080"/>
    <n v="5.0999999999999996"/>
    <n v="1024.92"/>
    <s v="Completed"/>
    <s v="Delhi"/>
    <x v="3"/>
    <m/>
    <s v="Retail"/>
    <n v="41"/>
    <x v="0"/>
    <x v="0"/>
  </r>
  <r>
    <s v="ORD-00037"/>
    <d v="2024-12-20T00:00:00"/>
    <s v="CUST-0177"/>
    <s v="PROD-038"/>
    <x v="18"/>
    <n v="2"/>
    <n v="5490"/>
    <n v="21.1"/>
    <n v="8663.2199999999993"/>
    <s v="Cancelled"/>
    <s v="Mumbai"/>
    <x v="3"/>
    <m/>
    <s v="SMB"/>
    <n v="36"/>
    <x v="3"/>
    <x v="2"/>
  </r>
  <r>
    <s v="ORD-00038"/>
    <d v="2024-07-05T00:00:00"/>
    <s v="CUST-0186"/>
    <s v="PROD-060"/>
    <x v="19"/>
    <n v="7"/>
    <n v="190"/>
    <n v="28.7"/>
    <n v="948.29"/>
    <s v="Completed"/>
    <s v="Bengaluru"/>
    <x v="1"/>
    <m/>
    <s v="Retail"/>
    <n v="42"/>
    <x v="0"/>
    <x v="0"/>
  </r>
  <r>
    <s v="ORD-00039"/>
    <d v="2024-03-04T00:00:00"/>
    <s v="CUST-0069"/>
    <s v="PROD-058"/>
    <x v="15"/>
    <n v="6"/>
    <n v="2400"/>
    <n v="2.7"/>
    <n v="14011.2"/>
    <s v="Completed"/>
    <s v="Chennai"/>
    <x v="1"/>
    <m/>
    <s v="Retail"/>
    <n v="51"/>
    <x v="0"/>
    <x v="0"/>
  </r>
  <r>
    <s v="ORD-00040"/>
    <d v="2024-11-03T00:00:00"/>
    <s v="CUST-0283"/>
    <s v="PROD-044"/>
    <x v="12"/>
    <n v="9"/>
    <n v="1650"/>
    <n v="11.6"/>
    <n v="13127.4"/>
    <s v="Completed"/>
    <s v="Delhi"/>
    <x v="5"/>
    <m/>
    <s v="SMB"/>
    <n v="50"/>
    <x v="0"/>
    <x v="0"/>
  </r>
  <r>
    <s v="ORD-00041"/>
    <d v="2024-11-10T00:00:00"/>
    <s v="CUST-9507"/>
    <s v="PROD-038"/>
    <x v="3"/>
    <n v="4"/>
    <n v="5490"/>
    <n v="12.8"/>
    <n v="19149.12"/>
    <s v="Cancelled"/>
    <s v="Chennai"/>
    <x v="3"/>
    <m/>
    <e v="#N/A"/>
    <e v="#N/A"/>
    <x v="0"/>
    <x v="0"/>
  </r>
  <r>
    <s v="ORD-00042"/>
    <d v="2024-05-20T00:00:00"/>
    <s v="CUST-0053"/>
    <s v="PROD-046"/>
    <x v="2"/>
    <n v="10"/>
    <n v="4880"/>
    <n v="12.7"/>
    <n v="42602.400000000001"/>
    <s v="Completed"/>
    <s v="Delhi"/>
    <x v="5"/>
    <m/>
    <s v="Retail"/>
    <n v="53"/>
    <x v="0"/>
    <x v="0"/>
  </r>
  <r>
    <s v="ORD-00043"/>
    <d v="2024-04-10T00:00:00"/>
    <s v="CUST-0222"/>
    <s v="PROD-031"/>
    <x v="7"/>
    <n v="2"/>
    <n v="3730"/>
    <n v="25.8"/>
    <n v="5535.32"/>
    <s v="Completed"/>
    <s v="Chennai"/>
    <x v="3"/>
    <m/>
    <s v="Retail"/>
    <n v="37"/>
    <x v="4"/>
    <x v="2"/>
  </r>
  <r>
    <s v="ORD-00044"/>
    <d v="2024-04-14T00:00:00"/>
    <s v="CUST-0095"/>
    <s v="PROD-047"/>
    <x v="20"/>
    <n v="4"/>
    <n v="3450"/>
    <n v="20.7"/>
    <n v="10943.4"/>
    <s v="Completed"/>
    <s v="Mumbai"/>
    <x v="5"/>
    <m/>
    <s v="SMB"/>
    <n v="54"/>
    <x v="0"/>
    <x v="0"/>
  </r>
  <r>
    <s v="ORD-00045"/>
    <d v="2024-03-22T00:00:00"/>
    <s v="CUST-0152"/>
    <s v="PROD-019"/>
    <x v="7"/>
    <n v="2"/>
    <n v="2480"/>
    <n v="17.3"/>
    <n v="4101.92"/>
    <s v="Completed"/>
    <s v="Bengaluru"/>
    <x v="0"/>
    <m/>
    <s v="SMB"/>
    <n v="64"/>
    <x v="0"/>
    <x v="0"/>
  </r>
  <r>
    <s v="ORD-00046"/>
    <d v="2024-01-21T00:00:00"/>
    <s v="CUST-0291"/>
    <s v="PROD-027"/>
    <x v="15"/>
    <n v="9"/>
    <n v="3780"/>
    <n v="8.6999999999999993"/>
    <n v="31060.26"/>
    <s v="Pending"/>
    <s v="Pune"/>
    <x v="2"/>
    <m/>
    <s v="SMB"/>
    <n v="29"/>
    <x v="3"/>
    <x v="10"/>
  </r>
  <r>
    <s v="ORD-00047"/>
    <d v="2024-02-18T00:00:00"/>
    <s v="CUST-0112"/>
    <s v="PROD-013"/>
    <x v="21"/>
    <n v="4"/>
    <n v="3640"/>
    <n v="20.7"/>
    <n v="11546.08"/>
    <s v="Completed"/>
    <s v="Hyderabad"/>
    <x v="0"/>
    <m/>
    <s v="Retail"/>
    <n v="64"/>
    <x v="0"/>
    <x v="0"/>
  </r>
  <r>
    <s v="ORD-00048"/>
    <d v="2024-03-19T00:00:00"/>
    <s v="CUST-9800"/>
    <s v="PROD-050"/>
    <x v="11"/>
    <n v="8"/>
    <n v="6080"/>
    <n v="24.4"/>
    <n v="36771.839999999997"/>
    <s v="Completed"/>
    <s v="Pune"/>
    <x v="5"/>
    <m/>
    <e v="#N/A"/>
    <e v="#N/A"/>
    <x v="0"/>
    <x v="0"/>
  </r>
  <r>
    <s v="ORD-00049"/>
    <d v="2024-04-07T00:00:00"/>
    <s v="CUST-0143"/>
    <s v="PROD-030"/>
    <x v="0"/>
    <n v="10"/>
    <n v="970"/>
    <n v="0.6"/>
    <n v="9641.7999999999993"/>
    <s v="Cancelled"/>
    <s v="Chennai"/>
    <x v="2"/>
    <m/>
    <s v="SMB"/>
    <n v="52"/>
    <x v="0"/>
    <x v="0"/>
  </r>
  <r>
    <s v="ORD-00050"/>
    <d v="2024-09-30T00:00:00"/>
    <s v="CUST-0226"/>
    <s v="PROD-022"/>
    <x v="8"/>
    <n v="1"/>
    <n v="2270"/>
    <n v="11.5"/>
    <n v="2008.95"/>
    <s v="Pending"/>
    <s v="Chennai"/>
    <x v="2"/>
    <m/>
    <s v="Corporate"/>
    <n v="52"/>
    <x v="0"/>
    <x v="0"/>
  </r>
  <r>
    <s v="ORD-00051"/>
    <d v="2024-02-01T00:00:00"/>
    <s v="CUST-0234"/>
    <s v="PROD-004"/>
    <x v="12"/>
    <n v="7"/>
    <n v="3870"/>
    <n v="0.3"/>
    <n v="27008.73"/>
    <s v="Cancelled"/>
    <s v="Bengaluru"/>
    <x v="4"/>
    <m/>
    <s v="Retail"/>
    <n v="34"/>
    <x v="2"/>
    <x v="1"/>
  </r>
  <r>
    <s v="ORD-00052"/>
    <d v="2024-08-02T00:00:00"/>
    <s v="CUST-0176"/>
    <s v="PROD-046"/>
    <x v="18"/>
    <n v="1"/>
    <n v="4880"/>
    <n v="23.9"/>
    <n v="3713.68"/>
    <s v="Pending"/>
    <s v="Bengaluru"/>
    <x v="5"/>
    <m/>
    <s v="SMB"/>
    <n v="34"/>
    <x v="3"/>
    <x v="5"/>
  </r>
  <r>
    <s v="ORD-00053"/>
    <d v="2024-11-20T00:00:00"/>
    <s v="CUST-0180"/>
    <s v="PROD-027"/>
    <x v="22"/>
    <n v="5"/>
    <n v="3780"/>
    <n v="18.5"/>
    <n v="15403.5"/>
    <s v="Completed"/>
    <s v="Chennai"/>
    <x v="2"/>
    <m/>
    <s v="Retail"/>
    <n v="36"/>
    <x v="4"/>
    <x v="6"/>
  </r>
  <r>
    <s v="ORD-00054"/>
    <d v="2024-05-16T00:00:00"/>
    <s v="CUST-0088"/>
    <s v="PROD-036"/>
    <x v="16"/>
    <n v="10"/>
    <n v="3250"/>
    <n v="25.5"/>
    <n v="24212.5"/>
    <s v="Completed"/>
    <s v="Chennai"/>
    <x v="3"/>
    <m/>
    <s v="Retail"/>
    <n v="24"/>
    <x v="4"/>
    <x v="3"/>
  </r>
  <r>
    <s v="ORD-00055"/>
    <d v="2024-08-11T00:00:00"/>
    <s v="CUST-0267"/>
    <s v="PROD-013"/>
    <x v="0"/>
    <n v="4"/>
    <n v="3640"/>
    <n v="9.9"/>
    <n v="13118.56"/>
    <s v="Refunded"/>
    <s v="Hyderabad"/>
    <x v="0"/>
    <m/>
    <s v="Retail"/>
    <n v="27"/>
    <x v="3"/>
    <x v="2"/>
  </r>
  <r>
    <s v="ORD-00056"/>
    <d v="2024-12-23T00:00:00"/>
    <s v="CUST-0194"/>
    <s v="PROD-041"/>
    <x v="12"/>
    <n v="4"/>
    <n v="1540"/>
    <n v="28.8"/>
    <n v="4385.92"/>
    <s v="Completed"/>
    <s v="Delhi"/>
    <x v="5"/>
    <m/>
    <s v="SMB"/>
    <n v="55"/>
    <x v="0"/>
    <x v="0"/>
  </r>
  <r>
    <s v="ORD-00057"/>
    <d v="2024-11-20T00:00:00"/>
    <s v="CUST-0261"/>
    <s v="PROD-040"/>
    <x v="21"/>
    <n v="1"/>
    <n v="1080"/>
    <n v="23"/>
    <n v="831.6"/>
    <s v="Cancelled"/>
    <s v="Delhi"/>
    <x v="3"/>
    <m/>
    <s v="Retail"/>
    <n v="54"/>
    <x v="0"/>
    <x v="0"/>
  </r>
  <r>
    <s v="ORD-00058"/>
    <d v="2024-10-08T00:00:00"/>
    <s v="CUST-0031"/>
    <s v="PROD-026"/>
    <x v="0"/>
    <n v="1"/>
    <n v="4070"/>
    <n v="6.7"/>
    <n v="3797.31"/>
    <s v="Completed"/>
    <s v="Hyderabad"/>
    <x v="2"/>
    <m/>
    <s v="Retail"/>
    <n v="53"/>
    <x v="0"/>
    <x v="0"/>
  </r>
  <r>
    <s v="ORD-00059"/>
    <d v="2024-05-05T00:00:00"/>
    <s v="CUST-0175"/>
    <s v="PROD-009"/>
    <x v="14"/>
    <n v="2"/>
    <n v="1220"/>
    <n v="11.7"/>
    <n v="2154.52"/>
    <s v="Cancelled"/>
    <s v="Delhi"/>
    <x v="4"/>
    <m/>
    <s v="Corporate"/>
    <n v="55"/>
    <x v="0"/>
    <x v="0"/>
  </r>
  <r>
    <s v="ORD-00060"/>
    <d v="2024-05-13T00:00:00"/>
    <s v="CUST-0263"/>
    <s v="PROD-039"/>
    <x v="20"/>
    <n v="4"/>
    <n v="4610"/>
    <n v="26.9"/>
    <n v="13479.64"/>
    <s v="Pending"/>
    <s v="Mumbai"/>
    <x v="3"/>
    <m/>
    <s v="Retail"/>
    <n v="40"/>
    <x v="2"/>
    <x v="2"/>
  </r>
  <r>
    <s v="ORD-00061"/>
    <d v="2024-10-24T00:00:00"/>
    <s v="CUST-0203"/>
    <s v="PROD-040"/>
    <x v="23"/>
    <n v="8"/>
    <n v="1080"/>
    <n v="28.4"/>
    <n v="6186.24"/>
    <s v="Completed"/>
    <s v="Chennai"/>
    <x v="3"/>
    <m/>
    <s v="SMB"/>
    <n v="55"/>
    <x v="0"/>
    <x v="0"/>
  </r>
  <r>
    <s v="ORD-00062"/>
    <d v="2024-07-15T00:00:00"/>
    <s v="CUST-0258"/>
    <s v="PROD-045"/>
    <x v="3"/>
    <n v="10"/>
    <n v="3020"/>
    <n v="25.4"/>
    <n v="22529.200000000001"/>
    <s v="Completed"/>
    <s v="Pune"/>
    <x v="5"/>
    <m/>
    <s v="Retail"/>
    <n v="44"/>
    <x v="0"/>
    <x v="0"/>
  </r>
  <r>
    <s v="ORD-00063"/>
    <d v="2024-06-22T00:00:00"/>
    <s v="CUST-0282"/>
    <s v="PROD-008"/>
    <x v="21"/>
    <n v="7"/>
    <n v="2660"/>
    <n v="5.3"/>
    <n v="17633.14"/>
    <s v="Completed"/>
    <s v="Hyderabad"/>
    <x v="4"/>
    <m/>
    <s v="Corporate"/>
    <n v="29"/>
    <x v="1"/>
    <x v="11"/>
  </r>
  <r>
    <s v="ORD-00064"/>
    <d v="2024-11-03T00:00:00"/>
    <s v="CUST-0168"/>
    <s v="PROD-005"/>
    <x v="11"/>
    <n v="9"/>
    <n v="300"/>
    <n v="25.3"/>
    <n v="2016.9"/>
    <s v="Completed"/>
    <s v="Pune"/>
    <x v="4"/>
    <m/>
    <s v="Retail"/>
    <n v="25"/>
    <x v="3"/>
    <x v="7"/>
  </r>
  <r>
    <s v="ORD-00065"/>
    <d v="2024-01-26T00:00:00"/>
    <s v="CUST-0040"/>
    <s v="PROD-010"/>
    <x v="24"/>
    <n v="10"/>
    <n v="2640"/>
    <n v="18.7"/>
    <n v="21463.200000000001"/>
    <s v="Cancelled"/>
    <s v="Chennai"/>
    <x v="4"/>
    <m/>
    <s v="Retail"/>
    <n v="28"/>
    <x v="1"/>
    <x v="3"/>
  </r>
  <r>
    <s v="ORD-00066"/>
    <d v="2024-06-19T00:00:00"/>
    <s v="CUST-0283"/>
    <s v="PROD-020"/>
    <x v="16"/>
    <n v="8"/>
    <n v="820"/>
    <n v="24"/>
    <n v="4985.6000000000004"/>
    <s v="Completed"/>
    <s v="Delhi"/>
    <x v="0"/>
    <m/>
    <s v="SMB"/>
    <n v="50"/>
    <x v="0"/>
    <x v="0"/>
  </r>
  <r>
    <s v="ORD-00067"/>
    <d v="2024-07-26T00:00:00"/>
    <s v="CUST-0202"/>
    <s v="PROD-021"/>
    <x v="8"/>
    <n v="1"/>
    <n v="2760"/>
    <n v="4.8"/>
    <n v="2627.52"/>
    <s v="Completed"/>
    <s v="Chennai"/>
    <x v="2"/>
    <m/>
    <s v="Retail"/>
    <n v="39"/>
    <x v="3"/>
    <x v="7"/>
  </r>
  <r>
    <s v="ORD-00068"/>
    <d v="2024-02-06T00:00:00"/>
    <s v="CUST-0161"/>
    <s v="PROD-014"/>
    <x v="21"/>
    <n v="2"/>
    <n v="3620"/>
    <n v="19.100000000000001"/>
    <n v="5857.16"/>
    <s v="Completed"/>
    <s v="Chennai"/>
    <x v="0"/>
    <m/>
    <s v="Retail"/>
    <n v="38"/>
    <x v="2"/>
    <x v="11"/>
  </r>
  <r>
    <s v="ORD-00069"/>
    <d v="2024-06-16T00:00:00"/>
    <s v="CUST-0033"/>
    <s v="PROD-016"/>
    <x v="5"/>
    <n v="1"/>
    <n v="620"/>
    <n v="1"/>
    <n v="613.79999999999995"/>
    <s v="Completed"/>
    <s v="Delhi"/>
    <x v="0"/>
    <m/>
    <s v="Retail"/>
    <n v="35"/>
    <x v="3"/>
    <x v="5"/>
  </r>
  <r>
    <s v="ORD-00070"/>
    <d v="2024-04-16T00:00:00"/>
    <s v="CUST-0191"/>
    <s v="PROD-033"/>
    <x v="14"/>
    <n v="1"/>
    <n v="2030"/>
    <n v="3.3"/>
    <n v="1963.01"/>
    <s v="Completed"/>
    <s v="Hyderabad"/>
    <x v="3"/>
    <m/>
    <s v="SMB"/>
    <n v="43"/>
    <x v="0"/>
    <x v="0"/>
  </r>
  <r>
    <s v="ORD-00071"/>
    <d v="2024-06-27T00:00:00"/>
    <s v="CUST-0180"/>
    <s v="PROD-012"/>
    <x v="25"/>
    <n v="10"/>
    <n v="3160"/>
    <n v="15.8"/>
    <n v="26607.200000000001"/>
    <s v="Completed"/>
    <s v="Chennai"/>
    <x v="0"/>
    <m/>
    <s v="Retail"/>
    <n v="36"/>
    <x v="2"/>
    <x v="4"/>
  </r>
  <r>
    <s v="ORD-00072"/>
    <d v="2024-02-24T00:00:00"/>
    <s v="CUST-0129"/>
    <s v="PROD-030"/>
    <x v="19"/>
    <n v="5"/>
    <n v="970"/>
    <n v="12.2"/>
    <n v="4258.3"/>
    <s v="Completed"/>
    <s v="Hyderabad"/>
    <x v="2"/>
    <m/>
    <s v="Retail"/>
    <n v="29"/>
    <x v="1"/>
    <x v="7"/>
  </r>
  <r>
    <s v="ORD-00073"/>
    <d v="2024-07-10T00:00:00"/>
    <s v="CUST-0189"/>
    <s v="PROD-043"/>
    <x v="11"/>
    <n v="9"/>
    <n v="3350"/>
    <n v="25.8"/>
    <n v="22371.3"/>
    <s v="Pending"/>
    <s v="Chennai"/>
    <x v="5"/>
    <m/>
    <s v="Retail"/>
    <n v="41"/>
    <x v="0"/>
    <x v="0"/>
  </r>
  <r>
    <s v="ORD-00074"/>
    <d v="2024-10-20T00:00:00"/>
    <s v="CUST-0194"/>
    <s v="PROD-032"/>
    <x v="26"/>
    <n v="1"/>
    <n v="370"/>
    <n v="28.9"/>
    <n v="263.07"/>
    <s v="Completed"/>
    <s v="Delhi"/>
    <x v="3"/>
    <m/>
    <s v="SMB"/>
    <n v="55"/>
    <x v="0"/>
    <x v="0"/>
  </r>
  <r>
    <s v="ORD-00075"/>
    <d v="2024-07-27T00:00:00"/>
    <s v="CUST-0200"/>
    <s v="PROD-030"/>
    <x v="9"/>
    <n v="3"/>
    <n v="970"/>
    <n v="4.3"/>
    <n v="2784.87"/>
    <s v="Cancelled"/>
    <s v="Hyderabad"/>
    <x v="2"/>
    <m/>
    <s v="Corporate"/>
    <n v="46"/>
    <x v="0"/>
    <x v="0"/>
  </r>
  <r>
    <s v="ORD-00076"/>
    <d v="2024-03-24T00:00:00"/>
    <s v="CUST-0008"/>
    <s v="PROD-021"/>
    <x v="24"/>
    <n v="6"/>
    <n v="2760"/>
    <n v="19.899999999999999"/>
    <n v="13264.56"/>
    <s v="Pending"/>
    <s v="Pune"/>
    <x v="2"/>
    <m/>
    <s v="SMB"/>
    <n v="39"/>
    <x v="4"/>
    <x v="11"/>
  </r>
  <r>
    <s v="ORD-00077"/>
    <d v="2024-05-31T00:00:00"/>
    <s v="CUST-0051"/>
    <s v="PROD-021"/>
    <x v="7"/>
    <n v="7"/>
    <n v="2760"/>
    <n v="25.2"/>
    <n v="14451.36"/>
    <s v="Completed"/>
    <s v="Pune"/>
    <x v="2"/>
    <m/>
    <s v="SMB"/>
    <n v="54"/>
    <x v="0"/>
    <x v="0"/>
  </r>
  <r>
    <s v="ORD-00078"/>
    <d v="2024-04-08T00:00:00"/>
    <s v="CUST-0193"/>
    <s v="PROD-009"/>
    <x v="24"/>
    <n v="4"/>
    <n v="1220"/>
    <n v="8.4"/>
    <n v="4470.08"/>
    <s v="Completed"/>
    <s v="Bengaluru"/>
    <x v="4"/>
    <m/>
    <s v="Retail"/>
    <n v="42"/>
    <x v="0"/>
    <x v="0"/>
  </r>
  <r>
    <s v="ORD-00079"/>
    <d v="2024-11-19T00:00:00"/>
    <s v="CUST-0020"/>
    <s v="PROD-002"/>
    <x v="8"/>
    <n v="2"/>
    <n v="2600"/>
    <n v="1.9"/>
    <n v="5101.2"/>
    <s v="Pending"/>
    <s v="Hyderabad"/>
    <x v="4"/>
    <m/>
    <s v="Retail"/>
    <n v="46"/>
    <x v="0"/>
    <x v="0"/>
  </r>
  <r>
    <s v="ORD-00080"/>
    <d v="2024-07-25T00:00:00"/>
    <s v="CUST-0230"/>
    <s v="PROD-026"/>
    <x v="14"/>
    <n v="9"/>
    <n v="4070"/>
    <n v="28.8"/>
    <n v="26080.560000000001"/>
    <s v="Completed"/>
    <s v="Pune"/>
    <x v="2"/>
    <m/>
    <s v="Corporate"/>
    <n v="33"/>
    <x v="2"/>
    <x v="3"/>
  </r>
  <r>
    <s v="ORD-00081"/>
    <d v="2024-08-11T00:00:00"/>
    <s v="CUST-0094"/>
    <s v="PROD-024"/>
    <x v="1"/>
    <n v="2"/>
    <n v="2270"/>
    <n v="18"/>
    <n v="3722.8"/>
    <s v="Refunded"/>
    <s v="Pune"/>
    <x v="2"/>
    <m/>
    <s v="SMB"/>
    <n v="60"/>
    <x v="0"/>
    <x v="0"/>
  </r>
  <r>
    <s v="ORD-00082"/>
    <d v="2024-08-24T00:00:00"/>
    <s v="CUST-0248"/>
    <s v="PROD-012"/>
    <x v="21"/>
    <n v="2"/>
    <n v="3160"/>
    <n v="18.3"/>
    <n v="5163.4399999999996"/>
    <s v="Completed"/>
    <s v="Chennai"/>
    <x v="0"/>
    <m/>
    <s v="SMB"/>
    <n v="57"/>
    <x v="0"/>
    <x v="0"/>
  </r>
  <r>
    <s v="ORD-00083"/>
    <d v="2024-04-20T00:00:00"/>
    <s v="CUST-0082"/>
    <s v="PROD-019"/>
    <x v="0"/>
    <n v="4"/>
    <n v="2480"/>
    <n v="1.1000000000000001"/>
    <n v="9810.8799999999992"/>
    <s v="Pending"/>
    <s v="Hyderabad"/>
    <x v="0"/>
    <m/>
    <s v="SMB"/>
    <n v="36"/>
    <x v="3"/>
    <x v="6"/>
  </r>
  <r>
    <s v="ORD-00084"/>
    <d v="2024-09-12T00:00:00"/>
    <s v="CUST-0078"/>
    <s v="PROD-008"/>
    <x v="17"/>
    <n v="1"/>
    <n v="2660"/>
    <n v="21"/>
    <n v="2101.4"/>
    <s v="Completed"/>
    <s v="Delhi"/>
    <x v="4"/>
    <m/>
    <s v="Retail"/>
    <n v="31"/>
    <x v="1"/>
    <x v="4"/>
  </r>
  <r>
    <s v="ORD-00085"/>
    <d v="2024-05-12T00:00:00"/>
    <s v="CUST-0032"/>
    <s v="PROD-045"/>
    <x v="27"/>
    <n v="5"/>
    <n v="3020"/>
    <n v="22.2"/>
    <n v="11747.8"/>
    <s v="Completed"/>
    <s v="Hyderabad"/>
    <x v="5"/>
    <m/>
    <s v="Retail"/>
    <n v="28"/>
    <x v="2"/>
    <x v="1"/>
  </r>
  <r>
    <s v="ORD-00086"/>
    <d v="2024-06-18T00:00:00"/>
    <s v="CUST-0006"/>
    <s v="PROD-016"/>
    <x v="14"/>
    <n v="9"/>
    <n v="620"/>
    <n v="23.3"/>
    <n v="4279.8599999999997"/>
    <s v="Completed"/>
    <s v="Pune"/>
    <x v="0"/>
    <m/>
    <s v="SMB"/>
    <n v="44"/>
    <x v="0"/>
    <x v="0"/>
  </r>
  <r>
    <s v="ORD-00087"/>
    <d v="2024-11-04T00:00:00"/>
    <s v="CUST-0084"/>
    <s v="PROD-053"/>
    <x v="17"/>
    <n v="2"/>
    <n v="470"/>
    <n v="5.4"/>
    <n v="889.24"/>
    <s v="Completed"/>
    <s v="Chennai"/>
    <x v="1"/>
    <m/>
    <s v="Retail"/>
    <n v="28"/>
    <x v="2"/>
    <x v="7"/>
  </r>
  <r>
    <s v="ORD-00088"/>
    <d v="2024-10-22T00:00:00"/>
    <s v="CUST-0107"/>
    <s v="PROD-007"/>
    <x v="9"/>
    <n v="3"/>
    <n v="1430"/>
    <n v="6.5"/>
    <n v="4011.15"/>
    <s v="Completed"/>
    <s v="Pune"/>
    <x v="4"/>
    <m/>
    <s v="Retail"/>
    <n v="50"/>
    <x v="0"/>
    <x v="0"/>
  </r>
  <r>
    <s v="ORD-00089"/>
    <d v="2024-08-14T00:00:00"/>
    <s v="CUST-0108"/>
    <s v="PROD-016"/>
    <x v="10"/>
    <n v="6"/>
    <n v="620"/>
    <n v="2.6"/>
    <n v="3623.28"/>
    <s v="Completed"/>
    <s v="Bengaluru"/>
    <x v="0"/>
    <m/>
    <s v="Corporate"/>
    <n v="59"/>
    <x v="0"/>
    <x v="0"/>
  </r>
  <r>
    <s v="ORD-00090"/>
    <d v="2024-08-29T00:00:00"/>
    <s v="CUST-0139"/>
    <s v="PROD-003"/>
    <x v="27"/>
    <n v="4"/>
    <n v="3570"/>
    <n v="4.5"/>
    <n v="13637.4"/>
    <s v="Pending"/>
    <s v="Hyderabad"/>
    <x v="4"/>
    <m/>
    <s v="SMB"/>
    <n v="65"/>
    <x v="0"/>
    <x v="0"/>
  </r>
  <r>
    <s v="ORD-00091"/>
    <d v="2024-11-26T00:00:00"/>
    <s v="CUST-0200"/>
    <s v="PROD-022"/>
    <x v="9"/>
    <n v="6"/>
    <n v="2270"/>
    <n v="2"/>
    <n v="13347.6"/>
    <s v="Completed"/>
    <s v="Hyderabad"/>
    <x v="2"/>
    <m/>
    <s v="Corporate"/>
    <n v="46"/>
    <x v="0"/>
    <x v="0"/>
  </r>
  <r>
    <s v="ORD-00092"/>
    <d v="2024-02-06T00:00:00"/>
    <s v="CUST-0208"/>
    <s v="PROD-015"/>
    <x v="2"/>
    <n v="7"/>
    <n v="2720"/>
    <n v="15.4"/>
    <n v="16107.84"/>
    <s v="Completed"/>
    <s v="Mumbai"/>
    <x v="0"/>
    <m/>
    <s v="Retail"/>
    <n v="49"/>
    <x v="0"/>
    <x v="0"/>
  </r>
  <r>
    <s v="ORD-00093"/>
    <d v="2024-03-29T00:00:00"/>
    <s v="CUST-0161"/>
    <s v="PROD-029"/>
    <x v="19"/>
    <n v="9"/>
    <n v="2210"/>
    <n v="12.4"/>
    <n v="17423.64"/>
    <s v="Completed"/>
    <s v="Chennai"/>
    <x v="2"/>
    <m/>
    <s v="Retail"/>
    <n v="38"/>
    <x v="4"/>
    <x v="5"/>
  </r>
  <r>
    <s v="ORD-00094"/>
    <d v="2024-12-22T00:00:00"/>
    <s v="CUST-0042"/>
    <s v="PROD-060"/>
    <x v="17"/>
    <n v="6"/>
    <n v="190"/>
    <n v="19.2"/>
    <n v="921.12"/>
    <s v="Completed"/>
    <s v="Pune"/>
    <x v="1"/>
    <m/>
    <s v="Retail"/>
    <n v="25"/>
    <x v="1"/>
    <x v="10"/>
  </r>
  <r>
    <s v="ORD-00095"/>
    <d v="2024-11-11T00:00:00"/>
    <s v="CUST-0133"/>
    <s v="PROD-048"/>
    <x v="28"/>
    <n v="10"/>
    <n v="5100"/>
    <n v="25.4"/>
    <n v="38046"/>
    <s v="Refunded"/>
    <s v="Chennai"/>
    <x v="5"/>
    <m/>
    <s v="Retail"/>
    <n v="26"/>
    <x v="2"/>
    <x v="8"/>
  </r>
  <r>
    <s v="ORD-00096"/>
    <d v="2024-05-02T00:00:00"/>
    <s v="CUST-0219"/>
    <s v="PROD-054"/>
    <x v="29"/>
    <n v="5"/>
    <n v="1010"/>
    <n v="1.6"/>
    <n v="4969.2"/>
    <s v="Completed"/>
    <s v="Chennai"/>
    <x v="1"/>
    <m/>
    <s v="Corporate"/>
    <n v="38"/>
    <x v="2"/>
    <x v="3"/>
  </r>
  <r>
    <s v="ORD-00097"/>
    <d v="2024-02-06T00:00:00"/>
    <s v="CUST-0031"/>
    <s v="PROD-031"/>
    <x v="5"/>
    <n v="1"/>
    <n v="3730"/>
    <n v="22.7"/>
    <n v="2883.29"/>
    <s v="Completed"/>
    <s v="Hyderabad"/>
    <x v="3"/>
    <m/>
    <s v="Retail"/>
    <n v="53"/>
    <x v="0"/>
    <x v="0"/>
  </r>
  <r>
    <s v="ORD-00098"/>
    <d v="2024-03-22T00:00:00"/>
    <s v="CUST-0189"/>
    <s v="PROD-002"/>
    <x v="8"/>
    <n v="10"/>
    <n v="2600"/>
    <n v="20.7"/>
    <n v="20618"/>
    <s v="Completed"/>
    <s v="Chennai"/>
    <x v="4"/>
    <m/>
    <s v="Retail"/>
    <n v="41"/>
    <x v="0"/>
    <x v="0"/>
  </r>
  <r>
    <s v="ORD-00099"/>
    <d v="2024-06-15T00:00:00"/>
    <s v="CUST-0170"/>
    <s v="PROD-025"/>
    <x v="3"/>
    <n v="4"/>
    <n v="4060"/>
    <n v="13.9"/>
    <n v="13982.64"/>
    <s v="Completed"/>
    <s v="Mumbai"/>
    <x v="2"/>
    <m/>
    <s v="SMB"/>
    <n v="22"/>
    <x v="2"/>
    <x v="10"/>
  </r>
  <r>
    <s v="ORD-00100"/>
    <d v="2024-05-14T00:00:00"/>
    <s v="CUST-0164"/>
    <s v="PROD-050"/>
    <x v="28"/>
    <n v="6"/>
    <n v="6080"/>
    <n v="16.5"/>
    <n v="30460.799999999999"/>
    <s v="Completed"/>
    <s v="Chennai"/>
    <x v="5"/>
    <m/>
    <s v="Retail"/>
    <n v="60"/>
    <x v="0"/>
    <x v="0"/>
  </r>
  <r>
    <s v="ORD-00101"/>
    <d v="2024-09-22T00:00:00"/>
    <s v="CUST-0006"/>
    <s v="PROD-017"/>
    <x v="8"/>
    <n v="6"/>
    <n v="2510"/>
    <n v="11.7"/>
    <n v="13297.98"/>
    <s v="Completed"/>
    <s v="Pune"/>
    <x v="0"/>
    <m/>
    <s v="SMB"/>
    <n v="44"/>
    <x v="0"/>
    <x v="0"/>
  </r>
  <r>
    <s v="ORD-00102"/>
    <d v="2024-08-05T00:00:00"/>
    <s v="CUST-0181"/>
    <s v="PROD-036"/>
    <x v="17"/>
    <n v="5"/>
    <n v="3250"/>
    <n v="18.399999999999999"/>
    <n v="13260"/>
    <s v="Completed"/>
    <s v="Delhi"/>
    <x v="3"/>
    <m/>
    <s v="SMB"/>
    <n v="38"/>
    <x v="2"/>
    <x v="1"/>
  </r>
  <r>
    <s v="ORD-00103"/>
    <d v="2024-02-07T00:00:00"/>
    <s v="CUST-0131"/>
    <s v="PROD-052"/>
    <x v="1"/>
    <n v="4"/>
    <n v="5410"/>
    <n v="9.8000000000000007"/>
    <n v="19519.28"/>
    <s v="Cancelled"/>
    <s v="Delhi"/>
    <x v="1"/>
    <m/>
    <s v="SMB"/>
    <n v="28"/>
    <x v="2"/>
    <x v="6"/>
  </r>
  <r>
    <s v="ORD-00104"/>
    <d v="2024-04-29T00:00:00"/>
    <s v="CUST-0255"/>
    <s v="PROD-003"/>
    <x v="26"/>
    <n v="8"/>
    <n v="3570"/>
    <n v="11.1"/>
    <n v="25389.84"/>
    <s v="Completed"/>
    <s v="Chennai"/>
    <x v="4"/>
    <m/>
    <s v="Corporate"/>
    <n v="51"/>
    <x v="0"/>
    <x v="0"/>
  </r>
  <r>
    <s v="ORD-00105"/>
    <d v="2024-01-06T00:00:00"/>
    <s v="CUST-0170"/>
    <s v="PROD-001"/>
    <x v="11"/>
    <n v="10"/>
    <n v="5330"/>
    <n v="21.2"/>
    <n v="42000.4"/>
    <s v="Completed"/>
    <s v="Mumbai"/>
    <x v="4"/>
    <m/>
    <s v="SMB"/>
    <n v="22"/>
    <x v="3"/>
    <x v="4"/>
  </r>
  <r>
    <s v="ORD-00106"/>
    <d v="2024-12-14T00:00:00"/>
    <s v="CUST-0081"/>
    <s v="PROD-023"/>
    <x v="21"/>
    <n v="4"/>
    <n v="2380"/>
    <n v="26.2"/>
    <n v="7025.76"/>
    <s v="Completed"/>
    <s v="Mumbai"/>
    <x v="2"/>
    <m/>
    <s v="Retail"/>
    <n v="25"/>
    <x v="1"/>
    <x v="12"/>
  </r>
  <r>
    <s v="ORD-00107"/>
    <d v="2024-01-31T00:00:00"/>
    <s v="CUST-0102"/>
    <s v="PROD-054"/>
    <x v="28"/>
    <n v="1"/>
    <n v="1010"/>
    <n v="19.5"/>
    <n v="813.05"/>
    <s v="Cancelled"/>
    <s v="Chennai"/>
    <x v="1"/>
    <m/>
    <s v="SMB"/>
    <n v="62"/>
    <x v="0"/>
    <x v="0"/>
  </r>
  <r>
    <s v="ORD-00108"/>
    <d v="2024-05-02T00:00:00"/>
    <s v="CUST-0070"/>
    <s v="PROD-028"/>
    <x v="5"/>
    <n v="1"/>
    <n v="3660"/>
    <n v="1.3"/>
    <n v="3612.42"/>
    <s v="Completed"/>
    <s v="Mumbai"/>
    <x v="2"/>
    <m/>
    <s v="Retail"/>
    <n v="42"/>
    <x v="0"/>
    <x v="0"/>
  </r>
  <r>
    <s v="ORD-00109"/>
    <d v="2024-10-27T00:00:00"/>
    <s v="CUST-0012"/>
    <s v="PROD-026"/>
    <x v="22"/>
    <n v="2"/>
    <n v="4070"/>
    <n v="29"/>
    <n v="5779.4"/>
    <s v="Cancelled"/>
    <s v="Pune"/>
    <x v="2"/>
    <m/>
    <s v="Retail"/>
    <n v="43"/>
    <x v="0"/>
    <x v="0"/>
  </r>
  <r>
    <s v="ORD-00110"/>
    <d v="2024-05-27T00:00:00"/>
    <s v="CUST-0086"/>
    <s v="PROD-037"/>
    <x v="20"/>
    <n v="6"/>
    <n v="660"/>
    <n v="20.2"/>
    <n v="3160.08"/>
    <s v="Pending"/>
    <s v="Hyderabad"/>
    <x v="3"/>
    <m/>
    <s v="Corporate"/>
    <n v="56"/>
    <x v="0"/>
    <x v="0"/>
  </r>
  <r>
    <s v="ORD-00111"/>
    <d v="2024-07-13T00:00:00"/>
    <s v="CUST-0145"/>
    <s v="PROD-040"/>
    <x v="6"/>
    <n v="3"/>
    <n v="1080"/>
    <n v="29.7"/>
    <n v="2277.7199999999998"/>
    <s v="Completed"/>
    <s v="Bengaluru"/>
    <x v="3"/>
    <m/>
    <s v="SMB"/>
    <n v="44"/>
    <x v="0"/>
    <x v="0"/>
  </r>
  <r>
    <s v="ORD-00112"/>
    <d v="2024-12-03T00:00:00"/>
    <s v="CUST-0287"/>
    <s v="PROD-020"/>
    <x v="3"/>
    <n v="7"/>
    <n v="820"/>
    <n v="13.5"/>
    <n v="4965.1000000000004"/>
    <s v="Cancelled"/>
    <s v="Chennai"/>
    <x v="0"/>
    <m/>
    <s v="SMB"/>
    <n v="53"/>
    <x v="0"/>
    <x v="0"/>
  </r>
  <r>
    <s v="ORD-00113"/>
    <d v="2024-04-12T00:00:00"/>
    <s v="CUST-0280"/>
    <s v="PROD-049"/>
    <x v="28"/>
    <n v="4"/>
    <n v="960"/>
    <n v="26"/>
    <n v="2841.6"/>
    <s v="Completed"/>
    <s v="Delhi"/>
    <x v="5"/>
    <m/>
    <s v="SMB"/>
    <n v="27"/>
    <x v="1"/>
    <x v="8"/>
  </r>
  <r>
    <s v="ORD-00114"/>
    <d v="2024-06-10T00:00:00"/>
    <s v="CUST-0096"/>
    <s v="PROD-002"/>
    <x v="2"/>
    <n v="3"/>
    <n v="2600"/>
    <n v="18.2"/>
    <n v="6380.4"/>
    <s v="Completed"/>
    <s v="Delhi"/>
    <x v="4"/>
    <m/>
    <s v="Corporate"/>
    <n v="27"/>
    <x v="2"/>
    <x v="4"/>
  </r>
  <r>
    <s v="ORD-00115"/>
    <d v="2024-03-19T00:00:00"/>
    <s v="CUST-0184"/>
    <s v="PROD-033"/>
    <x v="20"/>
    <n v="9"/>
    <n v="2030"/>
    <n v="26.1"/>
    <n v="13501.53"/>
    <s v="Completed"/>
    <s v="Pune"/>
    <x v="3"/>
    <m/>
    <s v="Retail"/>
    <n v="63"/>
    <x v="0"/>
    <x v="0"/>
  </r>
  <r>
    <s v="ORD-00116"/>
    <d v="2024-11-01T00:00:00"/>
    <s v="CUST-0025"/>
    <s v="PROD-042"/>
    <x v="8"/>
    <n v="8"/>
    <n v="2290"/>
    <n v="20.8"/>
    <n v="14509.44"/>
    <s v="Completed"/>
    <s v="Bengaluru"/>
    <x v="5"/>
    <m/>
    <s v="Retail"/>
    <n v="23"/>
    <x v="2"/>
    <x v="10"/>
  </r>
  <r>
    <s v="ORD-00117"/>
    <d v="2024-08-27T00:00:00"/>
    <s v="CUST-0149"/>
    <s v="PROD-031"/>
    <x v="20"/>
    <n v="3"/>
    <n v="3730"/>
    <n v="7.9"/>
    <n v="10305.99"/>
    <s v="Completed"/>
    <s v="Hyderabad"/>
    <x v="3"/>
    <m/>
    <s v="Retail"/>
    <n v="44"/>
    <x v="0"/>
    <x v="0"/>
  </r>
  <r>
    <s v="ORD-00118"/>
    <d v="2024-10-31T00:00:00"/>
    <s v="CUST-0018"/>
    <s v="PROD-005"/>
    <x v="2"/>
    <n v="1"/>
    <n v="300"/>
    <n v="16.899999999999999"/>
    <n v="249.3"/>
    <s v="Pending"/>
    <s v="Pune"/>
    <x v="4"/>
    <m/>
    <s v="SMB"/>
    <n v="54"/>
    <x v="0"/>
    <x v="0"/>
  </r>
  <r>
    <s v="ORD-00119"/>
    <d v="2024-05-08T00:00:00"/>
    <s v="CUST-0216"/>
    <s v="PROD-005"/>
    <x v="27"/>
    <n v="3"/>
    <n v="300"/>
    <n v="0.6"/>
    <n v="894.6"/>
    <s v="Completed"/>
    <s v="Mumbai"/>
    <x v="4"/>
    <m/>
    <s v="Retail"/>
    <n v="50"/>
    <x v="0"/>
    <x v="0"/>
  </r>
  <r>
    <s v="ORD-00120"/>
    <d v="2024-02-07T00:00:00"/>
    <s v="CUST-0092"/>
    <s v="PROD-043"/>
    <x v="0"/>
    <n v="6"/>
    <n v="3350"/>
    <n v="2.2999999999999998"/>
    <n v="19637.7"/>
    <s v="Cancelled"/>
    <s v="Bengaluru"/>
    <x v="5"/>
    <m/>
    <s v="SMB"/>
    <n v="28"/>
    <x v="4"/>
    <x v="2"/>
  </r>
  <r>
    <s v="ORD-00121"/>
    <d v="2024-05-04T00:00:00"/>
    <s v="CUST-0056"/>
    <s v="PROD-001"/>
    <x v="11"/>
    <n v="4"/>
    <n v="5330"/>
    <n v="29.3"/>
    <n v="15073.24"/>
    <s v="Completed"/>
    <s v="Bengaluru"/>
    <x v="4"/>
    <m/>
    <s v="SMB"/>
    <n v="46"/>
    <x v="0"/>
    <x v="0"/>
  </r>
  <r>
    <s v="ORD-00122"/>
    <d v="2024-11-18T00:00:00"/>
    <s v="CUST-0113"/>
    <s v="PROD-014"/>
    <x v="25"/>
    <n v="6"/>
    <n v="3620"/>
    <n v="10.8"/>
    <n v="19374.240000000002"/>
    <s v="Completed"/>
    <s v="Delhi"/>
    <x v="0"/>
    <m/>
    <s v="Retail"/>
    <n v="30"/>
    <x v="1"/>
    <x v="2"/>
  </r>
  <r>
    <s v="ORD-00123"/>
    <d v="2024-10-28T00:00:00"/>
    <s v="CUST-0253"/>
    <s v="PROD-014"/>
    <x v="1"/>
    <n v="6"/>
    <n v="3620"/>
    <n v="21.7"/>
    <n v="17006.759999999998"/>
    <s v="Completed"/>
    <s v="Delhi"/>
    <x v="0"/>
    <m/>
    <s v="SMB"/>
    <n v="53"/>
    <x v="0"/>
    <x v="0"/>
  </r>
  <r>
    <s v="ORD-00124"/>
    <d v="2024-03-09T00:00:00"/>
    <s v="CUST-0187"/>
    <s v="PROD-057"/>
    <x v="4"/>
    <n v="8"/>
    <n v="960"/>
    <n v="27.9"/>
    <n v="5537.28"/>
    <s v="Completed"/>
    <s v="Chennai"/>
    <x v="1"/>
    <m/>
    <s v="SMB"/>
    <n v="51"/>
    <x v="0"/>
    <x v="0"/>
  </r>
  <r>
    <s v="ORD-00125"/>
    <d v="2024-12-02T00:00:00"/>
    <s v="CUST-0028"/>
    <s v="PROD-044"/>
    <x v="5"/>
    <n v="5"/>
    <n v="1650"/>
    <n v="4.9000000000000004"/>
    <n v="7845.75"/>
    <s v="Completed"/>
    <s v="Bengaluru"/>
    <x v="5"/>
    <m/>
    <s v="Retail"/>
    <n v="59"/>
    <x v="0"/>
    <x v="0"/>
  </r>
  <r>
    <s v="ORD-00126"/>
    <d v="2024-10-27T00:00:00"/>
    <s v="CUST-0224"/>
    <s v="PROD-049"/>
    <x v="9"/>
    <n v="9"/>
    <n v="960"/>
    <n v="25.1"/>
    <n v="6471.36"/>
    <s v="Refunded"/>
    <s v="Chennai"/>
    <x v="5"/>
    <m/>
    <s v="Corporate"/>
    <n v="24"/>
    <x v="2"/>
    <x v="8"/>
  </r>
  <r>
    <s v="ORD-00127"/>
    <d v="2024-06-10T00:00:00"/>
    <s v="CUST-0150"/>
    <s v="PROD-006"/>
    <x v="11"/>
    <n v="7"/>
    <n v="3970"/>
    <n v="13.8"/>
    <n v="23954.98"/>
    <s v="Pending"/>
    <s v="Pune"/>
    <x v="4"/>
    <m/>
    <s v="SMB"/>
    <n v="53"/>
    <x v="0"/>
    <x v="0"/>
  </r>
  <r>
    <s v="ORD-00128"/>
    <d v="2024-11-16T00:00:00"/>
    <s v="CUST-0129"/>
    <s v="PROD-030"/>
    <x v="1"/>
    <n v="7"/>
    <n v="970"/>
    <n v="21.6"/>
    <n v="5323.36"/>
    <s v="Pending"/>
    <s v="Hyderabad"/>
    <x v="2"/>
    <m/>
    <s v="Retail"/>
    <n v="29"/>
    <x v="1"/>
    <x v="7"/>
  </r>
  <r>
    <s v="ORD-00129"/>
    <d v="2024-09-06T00:00:00"/>
    <s v="CUST-0239"/>
    <s v="PROD-033"/>
    <x v="19"/>
    <n v="10"/>
    <n v="2030"/>
    <n v="1.2"/>
    <n v="20056.400000000001"/>
    <s v="Completed"/>
    <s v="Mumbai"/>
    <x v="3"/>
    <m/>
    <s v="Retail"/>
    <n v="61"/>
    <x v="0"/>
    <x v="0"/>
  </r>
  <r>
    <s v="ORD-00130"/>
    <d v="2024-12-14T00:00:00"/>
    <s v="CUST-0106"/>
    <s v="PROD-024"/>
    <x v="13"/>
    <n v="9"/>
    <n v="2270"/>
    <n v="13.2"/>
    <n v="17733.240000000002"/>
    <s v="Pending"/>
    <s v="Pune"/>
    <x v="2"/>
    <m/>
    <s v="Retail"/>
    <n v="22"/>
    <x v="1"/>
    <x v="1"/>
  </r>
  <r>
    <s v="ORD-00131"/>
    <d v="2024-08-20T00:00:00"/>
    <s v="CUST-0273"/>
    <s v="PROD-046"/>
    <x v="11"/>
    <n v="8"/>
    <n v="4880"/>
    <n v="13.4"/>
    <n v="33808.639999999999"/>
    <s v="Completed"/>
    <s v="Hyderabad"/>
    <x v="5"/>
    <m/>
    <s v="Corporate"/>
    <n v="32"/>
    <x v="3"/>
    <x v="8"/>
  </r>
  <r>
    <s v="ORD-00132"/>
    <d v="2024-02-22T00:00:00"/>
    <s v="CUST-0114"/>
    <s v="PROD-004"/>
    <x v="23"/>
    <n v="10"/>
    <n v="3870"/>
    <n v="23.9"/>
    <n v="29450.7"/>
    <s v="Completed"/>
    <s v="Bengaluru"/>
    <x v="4"/>
    <m/>
    <s v="Corporate"/>
    <n v="42"/>
    <x v="0"/>
    <x v="0"/>
  </r>
  <r>
    <s v="ORD-00133"/>
    <d v="2024-06-20T00:00:00"/>
    <s v="CUST-0146"/>
    <s v="PROD-042"/>
    <x v="25"/>
    <n v="4"/>
    <n v="2290"/>
    <n v="15.2"/>
    <n v="7767.68"/>
    <s v="Completed"/>
    <s v="Hyderabad"/>
    <x v="5"/>
    <m/>
    <s v="Retail"/>
    <n v="22"/>
    <x v="4"/>
    <x v="5"/>
  </r>
  <r>
    <s v="ORD-00134"/>
    <d v="2024-05-31T00:00:00"/>
    <s v="CUST-0298"/>
    <s v="PROD-023"/>
    <x v="16"/>
    <n v="8"/>
    <n v="2380"/>
    <n v="4.2"/>
    <n v="18240.32"/>
    <s v="Completed"/>
    <s v="Delhi"/>
    <x v="2"/>
    <m/>
    <s v="Retail"/>
    <n v="44"/>
    <x v="0"/>
    <x v="0"/>
  </r>
  <r>
    <s v="ORD-00135"/>
    <d v="2024-01-10T00:00:00"/>
    <s v="CUST-0111"/>
    <s v="PROD-029"/>
    <x v="22"/>
    <n v="8"/>
    <n v="2210"/>
    <n v="11.5"/>
    <n v="15646.8"/>
    <s v="Completed"/>
    <s v="Chennai"/>
    <x v="2"/>
    <m/>
    <s v="SMB"/>
    <n v="64"/>
    <x v="0"/>
    <x v="0"/>
  </r>
  <r>
    <s v="ORD-01445"/>
    <d v="2024-03-09T00:00:00"/>
    <s v="CUST-0291"/>
    <s v="PROD-001"/>
    <x v="24"/>
    <n v="4"/>
    <n v="5330"/>
    <n v="22.6"/>
    <n v="16501.68"/>
    <s v="Pending"/>
    <s v="Pune"/>
    <x v="4"/>
    <m/>
    <s v="SMB"/>
    <n v="29"/>
    <x v="4"/>
    <x v="12"/>
  </r>
  <r>
    <s v="ORD-00137"/>
    <d v="2024-09-24T00:00:00"/>
    <s v="CUST-0024"/>
    <s v="PROD-006"/>
    <x v="24"/>
    <n v="8"/>
    <n v="3970"/>
    <n v="21.8"/>
    <n v="24836.32"/>
    <s v="Completed"/>
    <s v="Chennai"/>
    <x v="4"/>
    <m/>
    <s v="SMB"/>
    <n v="64"/>
    <x v="0"/>
    <x v="0"/>
  </r>
  <r>
    <s v="ORD-00138"/>
    <d v="2024-09-11T00:00:00"/>
    <s v="CUST-0210"/>
    <s v="PROD-012"/>
    <x v="16"/>
    <n v="10"/>
    <n v="3160"/>
    <n v="16.100000000000001"/>
    <n v="26512.400000000001"/>
    <s v="Cancelled"/>
    <s v="Pune"/>
    <x v="0"/>
    <m/>
    <s v="Corporate"/>
    <n v="48"/>
    <x v="0"/>
    <x v="0"/>
  </r>
  <r>
    <s v="ORD-00139"/>
    <d v="2024-05-13T00:00:00"/>
    <s v="CUST-0192"/>
    <s v="PROD-060"/>
    <x v="18"/>
    <n v="5"/>
    <n v="190"/>
    <n v="14.8"/>
    <n v="809.4"/>
    <s v="Completed"/>
    <s v="Bengaluru"/>
    <x v="1"/>
    <m/>
    <s v="Retail"/>
    <n v="55"/>
    <x v="0"/>
    <x v="0"/>
  </r>
  <r>
    <s v="ORD-00140"/>
    <d v="2024-02-29T00:00:00"/>
    <s v="CUST-0078"/>
    <s v="PROD-021"/>
    <x v="0"/>
    <n v="6"/>
    <n v="2760"/>
    <n v="19.8"/>
    <n v="13281.12"/>
    <s v="Completed"/>
    <s v="Delhi"/>
    <x v="2"/>
    <m/>
    <s v="Retail"/>
    <n v="31"/>
    <x v="4"/>
    <x v="2"/>
  </r>
  <r>
    <s v="ORD-00141"/>
    <d v="2024-11-08T00:00:00"/>
    <s v="CUST-0070"/>
    <s v="PROD-022"/>
    <x v="7"/>
    <n v="9"/>
    <n v="2270"/>
    <n v="20.8"/>
    <n v="16180.56"/>
    <s v="Cancelled"/>
    <s v="Mumbai"/>
    <x v="2"/>
    <m/>
    <s v="Retail"/>
    <n v="42"/>
    <x v="0"/>
    <x v="0"/>
  </r>
  <r>
    <s v="ORD-00142"/>
    <d v="2024-02-06T00:00:00"/>
    <s v="CUST-0159"/>
    <s v="PROD-052"/>
    <x v="19"/>
    <n v="8"/>
    <n v="5410"/>
    <n v="12.9"/>
    <n v="37696.879999999997"/>
    <s v="Completed"/>
    <s v="Hyderabad"/>
    <x v="1"/>
    <m/>
    <s v="Retail"/>
    <n v="32"/>
    <x v="3"/>
    <x v="3"/>
  </r>
  <r>
    <s v="ORD-00143"/>
    <d v="2024-08-04T00:00:00"/>
    <s v="CUST-0294"/>
    <s v="PROD-024"/>
    <x v="18"/>
    <n v="9"/>
    <n v="2270"/>
    <n v="6.8"/>
    <n v="19040.759999999998"/>
    <s v="Completed"/>
    <s v="Delhi"/>
    <x v="2"/>
    <m/>
    <s v="Corporate"/>
    <n v="31"/>
    <x v="1"/>
    <x v="5"/>
  </r>
  <r>
    <s v="ORD-00144"/>
    <d v="2024-01-18T00:00:00"/>
    <s v="CUST-0280"/>
    <s v="PROD-012"/>
    <x v="19"/>
    <n v="3"/>
    <n v="3160"/>
    <n v="12.8"/>
    <n v="8266.56"/>
    <s v="Completed"/>
    <s v="Delhi"/>
    <x v="0"/>
    <m/>
    <s v="SMB"/>
    <n v="27"/>
    <x v="4"/>
    <x v="6"/>
  </r>
  <r>
    <s v="ORD-00145"/>
    <d v="2024-06-05T00:00:00"/>
    <s v="CUST-0291"/>
    <s v="PROD-025"/>
    <x v="8"/>
    <n v="8"/>
    <n v="4060"/>
    <n v="20.9"/>
    <n v="25691.68"/>
    <s v="Completed"/>
    <s v="Pune"/>
    <x v="2"/>
    <m/>
    <s v="SMB"/>
    <n v="29"/>
    <x v="1"/>
    <x v="12"/>
  </r>
  <r>
    <s v="ORD-00146"/>
    <d v="2024-06-06T00:00:00"/>
    <s v="CUST-9657"/>
    <s v="PROD-020"/>
    <x v="26"/>
    <n v="5"/>
    <n v="820"/>
    <n v="9.1"/>
    <n v="3726.9"/>
    <s v="Refunded"/>
    <s v="Pune"/>
    <x v="0"/>
    <m/>
    <e v="#N/A"/>
    <e v="#N/A"/>
    <x v="0"/>
    <x v="0"/>
  </r>
  <r>
    <s v="ORD-00147"/>
    <d v="2024-09-20T00:00:00"/>
    <s v="CUST-0080"/>
    <s v="PROD-032"/>
    <x v="0"/>
    <n v="5"/>
    <n v="370"/>
    <n v="11.5"/>
    <n v="1637.25"/>
    <s v="Completed"/>
    <s v="Pune"/>
    <x v="3"/>
    <m/>
    <s v="SMB"/>
    <n v="30"/>
    <x v="3"/>
    <x v="7"/>
  </r>
  <r>
    <s v="ORD-00148"/>
    <d v="2024-02-19T00:00:00"/>
    <s v="CUST-0172"/>
    <s v="PROD-034"/>
    <x v="25"/>
    <n v="9"/>
    <n v="5080"/>
    <n v="27.5"/>
    <n v="33147"/>
    <s v="Completed"/>
    <s v="Pune"/>
    <x v="3"/>
    <m/>
    <s v="Retail"/>
    <n v="65"/>
    <x v="0"/>
    <x v="0"/>
  </r>
  <r>
    <s v="ORD-00149"/>
    <d v="2024-05-10T00:00:00"/>
    <s v="CUST-0051"/>
    <s v="PROD-026"/>
    <x v="27"/>
    <n v="6"/>
    <n v="4070"/>
    <n v="12.5"/>
    <n v="21367.5"/>
    <s v="Completed"/>
    <s v="Pune"/>
    <x v="2"/>
    <m/>
    <s v="SMB"/>
    <n v="54"/>
    <x v="0"/>
    <x v="0"/>
  </r>
  <r>
    <s v="ORD-00150"/>
    <d v="2024-02-24T00:00:00"/>
    <s v="CUST-0080"/>
    <s v="PROD-005"/>
    <x v="6"/>
    <n v="5"/>
    <n v="300"/>
    <n v="25.8"/>
    <n v="1113"/>
    <s v="Completed"/>
    <s v="Pune"/>
    <x v="4"/>
    <m/>
    <s v="SMB"/>
    <n v="30"/>
    <x v="4"/>
    <x v="2"/>
  </r>
  <r>
    <s v="ORD-00151"/>
    <d v="2024-01-27T00:00:00"/>
    <s v="CUST-0137"/>
    <s v="PROD-048"/>
    <x v="23"/>
    <n v="7"/>
    <n v="5100"/>
    <n v="28.8"/>
    <n v="25418.400000000001"/>
    <s v="Completed"/>
    <s v="Mumbai"/>
    <x v="5"/>
    <m/>
    <s v="Retail"/>
    <n v="41"/>
    <x v="0"/>
    <x v="0"/>
  </r>
  <r>
    <s v="ORD-00152"/>
    <d v="2024-08-17T00:00:00"/>
    <s v="CUST-0222"/>
    <s v="PROD-038"/>
    <x v="27"/>
    <n v="2"/>
    <n v="5490"/>
    <n v="5.5"/>
    <n v="10376.1"/>
    <s v="Completed"/>
    <s v="Chennai"/>
    <x v="3"/>
    <m/>
    <s v="Retail"/>
    <n v="37"/>
    <x v="4"/>
    <x v="12"/>
  </r>
  <r>
    <s v="ORD-00153"/>
    <d v="2024-10-30T00:00:00"/>
    <s v="CUST-0117"/>
    <s v="PROD-011"/>
    <x v="15"/>
    <n v="2"/>
    <n v="3450"/>
    <n v="1.2"/>
    <n v="6817.2"/>
    <s v="Completed"/>
    <s v="Delhi"/>
    <x v="0"/>
    <m/>
    <s v="SMB"/>
    <n v="34"/>
    <x v="4"/>
    <x v="6"/>
  </r>
  <r>
    <s v="ORD-00154"/>
    <d v="2024-08-26T00:00:00"/>
    <s v="CUST-0104"/>
    <s v="PROD-029"/>
    <x v="25"/>
    <n v="10"/>
    <n v="2210"/>
    <n v="18.8"/>
    <n v="17945.2"/>
    <s v="Completed"/>
    <s v="Hyderabad"/>
    <x v="2"/>
    <m/>
    <s v="Corporate"/>
    <n v="43"/>
    <x v="0"/>
    <x v="0"/>
  </r>
  <r>
    <s v="ORD-00155"/>
    <d v="2024-12-18T00:00:00"/>
    <s v="CUST-0082"/>
    <s v="PROD-036"/>
    <x v="22"/>
    <n v="2"/>
    <n v="3250"/>
    <n v="26.2"/>
    <n v="4797"/>
    <s v="Completed"/>
    <s v="Hyderabad"/>
    <x v="3"/>
    <m/>
    <s v="SMB"/>
    <n v="36"/>
    <x v="1"/>
    <x v="6"/>
  </r>
  <r>
    <s v="ORD-00156"/>
    <d v="2024-01-07T00:00:00"/>
    <s v="CUST-0165"/>
    <s v="PROD-012"/>
    <x v="19"/>
    <n v="5"/>
    <n v="3160"/>
    <n v="0.9"/>
    <n v="15657.8"/>
    <s v="Completed"/>
    <s v="Pune"/>
    <x v="0"/>
    <m/>
    <s v="Retail"/>
    <n v="29"/>
    <x v="4"/>
    <x v="8"/>
  </r>
  <r>
    <s v="ORD-00157"/>
    <d v="2024-06-04T00:00:00"/>
    <s v="CUST-0150"/>
    <s v="PROD-004"/>
    <x v="14"/>
    <n v="4"/>
    <n v="3870"/>
    <n v="29.6"/>
    <n v="10897.92"/>
    <s v="Cancelled"/>
    <s v="Pune"/>
    <x v="4"/>
    <m/>
    <s v="SMB"/>
    <n v="53"/>
    <x v="0"/>
    <x v="0"/>
  </r>
  <r>
    <s v="ORD-00158"/>
    <d v="2024-11-05T00:00:00"/>
    <s v="CUST-0228"/>
    <s v="PROD-059"/>
    <x v="24"/>
    <n v="4"/>
    <n v="3780"/>
    <n v="3.5"/>
    <n v="14590.8"/>
    <s v="Cancelled"/>
    <s v="Pune"/>
    <x v="1"/>
    <m/>
    <s v="Corporate"/>
    <n v="37"/>
    <x v="2"/>
    <x v="7"/>
  </r>
  <r>
    <s v="ORD-00159"/>
    <d v="2024-05-16T00:00:00"/>
    <s v="CUST-0197"/>
    <s v="PROD-045"/>
    <x v="13"/>
    <n v="4"/>
    <n v="3020"/>
    <n v="18.899999999999999"/>
    <n v="9796.8799999999992"/>
    <s v="Completed"/>
    <s v="Bengaluru"/>
    <x v="5"/>
    <m/>
    <s v="Retail"/>
    <n v="55"/>
    <x v="0"/>
    <x v="0"/>
  </r>
  <r>
    <s v="ORD-00160"/>
    <d v="2024-04-27T00:00:00"/>
    <s v="CUST-0009"/>
    <s v="PROD-031"/>
    <x v="15"/>
    <n v="1"/>
    <n v="3730"/>
    <n v="10.8"/>
    <n v="3327.16"/>
    <s v="Refunded"/>
    <s v="Mumbai"/>
    <x v="3"/>
    <m/>
    <s v="Retail"/>
    <n v="61"/>
    <x v="0"/>
    <x v="0"/>
  </r>
  <r>
    <s v="ORD-00161"/>
    <d v="2024-04-12T00:00:00"/>
    <s v="CUST-0139"/>
    <s v="PROD-046"/>
    <x v="26"/>
    <n v="8"/>
    <n v="4880"/>
    <n v="20.3"/>
    <n v="31114.880000000001"/>
    <s v="Completed"/>
    <s v="Hyderabad"/>
    <x v="5"/>
    <m/>
    <s v="SMB"/>
    <n v="65"/>
    <x v="0"/>
    <x v="0"/>
  </r>
  <r>
    <s v="ORD-00162"/>
    <d v="2024-10-14T00:00:00"/>
    <s v="CUST-0184"/>
    <s v="PROD-030"/>
    <x v="17"/>
    <n v="9"/>
    <n v="970"/>
    <n v="18.2"/>
    <n v="7141.14"/>
    <s v="Completed"/>
    <s v="Pune"/>
    <x v="2"/>
    <m/>
    <s v="Retail"/>
    <n v="63"/>
    <x v="0"/>
    <x v="0"/>
  </r>
  <r>
    <s v="ORD-00163"/>
    <d v="2024-05-30T00:00:00"/>
    <s v="CUST-0119"/>
    <s v="PROD-008"/>
    <x v="21"/>
    <n v="8"/>
    <n v="2660"/>
    <n v="17.600000000000001"/>
    <n v="17534.72"/>
    <s v="Completed"/>
    <s v="Bengaluru"/>
    <x v="4"/>
    <m/>
    <s v="SMB"/>
    <n v="43"/>
    <x v="0"/>
    <x v="0"/>
  </r>
  <r>
    <s v="ORD-00164"/>
    <d v="2024-05-02T00:00:00"/>
    <s v="CUST-0280"/>
    <s v="PROD-020"/>
    <x v="15"/>
    <n v="2"/>
    <n v="820"/>
    <n v="18.100000000000001"/>
    <n v="1343.16"/>
    <s v="Cancelled"/>
    <s v="Delhi"/>
    <x v="0"/>
    <m/>
    <s v="SMB"/>
    <n v="27"/>
    <x v="3"/>
    <x v="2"/>
  </r>
  <r>
    <s v="ORD-00165"/>
    <d v="2024-02-27T00:00:00"/>
    <s v="CUST-0240"/>
    <s v="PROD-033"/>
    <x v="18"/>
    <n v="7"/>
    <n v="2030"/>
    <n v="23.7"/>
    <n v="10842.23"/>
    <s v="Pending"/>
    <s v="Chennai"/>
    <x v="3"/>
    <m/>
    <s v="Corporate"/>
    <n v="35"/>
    <x v="4"/>
    <x v="2"/>
  </r>
  <r>
    <s v="ORD-00166"/>
    <d v="2024-08-29T00:00:00"/>
    <s v="CUST-0067"/>
    <s v="PROD-016"/>
    <x v="18"/>
    <n v="5"/>
    <n v="620"/>
    <n v="13.8"/>
    <n v="2672.2"/>
    <s v="Completed"/>
    <s v="Delhi"/>
    <x v="0"/>
    <m/>
    <s v="SMB"/>
    <n v="59"/>
    <x v="0"/>
    <x v="0"/>
  </r>
  <r>
    <s v="ORD-00167"/>
    <d v="2024-07-16T00:00:00"/>
    <s v="CUST-0117"/>
    <s v="PROD-022"/>
    <x v="24"/>
    <n v="7"/>
    <n v="2270"/>
    <n v="5.5"/>
    <n v="15016.05"/>
    <s v="Completed"/>
    <s v="Delhi"/>
    <x v="2"/>
    <m/>
    <s v="SMB"/>
    <n v="34"/>
    <x v="4"/>
    <x v="6"/>
  </r>
  <r>
    <s v="ORD-00168"/>
    <d v="2024-06-14T00:00:00"/>
    <s v="CUST-0101"/>
    <s v="PROD-053"/>
    <x v="29"/>
    <n v="1"/>
    <n v="470"/>
    <n v="13.7"/>
    <n v="405.61"/>
    <s v="Pending"/>
    <s v="Hyderabad"/>
    <x v="1"/>
    <m/>
    <s v="SMB"/>
    <n v="40"/>
    <x v="3"/>
    <x v="11"/>
  </r>
  <r>
    <s v="ORD-00169"/>
    <d v="2024-11-05T00:00:00"/>
    <s v="CUST-0184"/>
    <s v="PROD-001"/>
    <x v="0"/>
    <n v="6"/>
    <n v="5330"/>
    <n v="17.899999999999999"/>
    <n v="26255.58"/>
    <s v="Completed"/>
    <s v="Pune"/>
    <x v="4"/>
    <m/>
    <s v="Retail"/>
    <n v="63"/>
    <x v="0"/>
    <x v="0"/>
  </r>
  <r>
    <s v="ORD-00170"/>
    <d v="2024-01-03T00:00:00"/>
    <s v="CUST-0087"/>
    <s v="PROD-050"/>
    <x v="25"/>
    <n v="1"/>
    <n v="6080"/>
    <n v="25.5"/>
    <n v="4529.6000000000004"/>
    <s v="Completed"/>
    <s v="Pune"/>
    <x v="5"/>
    <m/>
    <s v="SMB"/>
    <n v="49"/>
    <x v="0"/>
    <x v="0"/>
  </r>
  <r>
    <s v="ORD-00171"/>
    <d v="2024-02-23T00:00:00"/>
    <s v="CUST-0261"/>
    <s v="PROD-027"/>
    <x v="24"/>
    <n v="5"/>
    <n v="3780"/>
    <n v="28.6"/>
    <n v="13494.6"/>
    <s v="Completed"/>
    <s v="Delhi"/>
    <x v="2"/>
    <m/>
    <s v="Retail"/>
    <n v="54"/>
    <x v="0"/>
    <x v="0"/>
  </r>
  <r>
    <s v="ORD-00172"/>
    <d v="2024-04-09T00:00:00"/>
    <s v="CUST-0027"/>
    <s v="PROD-016"/>
    <x v="9"/>
    <n v="5"/>
    <n v="620"/>
    <n v="6.9"/>
    <n v="2886.1"/>
    <s v="Cancelled"/>
    <s v="Hyderabad"/>
    <x v="0"/>
    <m/>
    <s v="Corporate"/>
    <n v="52"/>
    <x v="0"/>
    <x v="0"/>
  </r>
  <r>
    <s v="ORD-00173"/>
    <d v="2024-05-07T00:00:00"/>
    <s v="CUST-0210"/>
    <s v="PROD-017"/>
    <x v="28"/>
    <n v="8"/>
    <n v="2510"/>
    <n v="0.7"/>
    <n v="19939.439999999999"/>
    <s v="Completed"/>
    <s v="Pune"/>
    <x v="0"/>
    <m/>
    <s v="Corporate"/>
    <n v="48"/>
    <x v="0"/>
    <x v="0"/>
  </r>
  <r>
    <s v="ORD-00174"/>
    <d v="2024-01-15T00:00:00"/>
    <s v="CUST-0163"/>
    <s v="PROD-015"/>
    <x v="16"/>
    <n v="1"/>
    <n v="2720"/>
    <n v="13.7"/>
    <n v="2347.36"/>
    <s v="Completed"/>
    <s v="Pune"/>
    <x v="0"/>
    <m/>
    <s v="Retail"/>
    <n v="49"/>
    <x v="0"/>
    <x v="0"/>
  </r>
  <r>
    <s v="ORD-00175"/>
    <d v="2024-09-11T00:00:00"/>
    <s v="CUST-0059"/>
    <s v="PROD-053"/>
    <x v="26"/>
    <n v="9"/>
    <n v="470"/>
    <n v="23.6"/>
    <n v="3231.72"/>
    <s v="Completed"/>
    <s v="Pune"/>
    <x v="1"/>
    <m/>
    <s v="Corporate"/>
    <n v="29"/>
    <x v="3"/>
    <x v="12"/>
  </r>
  <r>
    <s v="ORD-00176"/>
    <d v="2024-12-07T00:00:00"/>
    <s v="CUST-0020"/>
    <s v="PROD-036"/>
    <x v="26"/>
    <n v="10"/>
    <n v="3250"/>
    <n v="21"/>
    <n v="25675"/>
    <s v="Cancelled"/>
    <s v="Hyderabad"/>
    <x v="3"/>
    <m/>
    <s v="Retail"/>
    <n v="46"/>
    <x v="0"/>
    <x v="0"/>
  </r>
  <r>
    <s v="ORD-00177"/>
    <d v="2024-12-23T00:00:00"/>
    <s v="CUST-0048"/>
    <s v="PROD-034"/>
    <x v="8"/>
    <n v="6"/>
    <n v="5080"/>
    <n v="16.8"/>
    <n v="25359.360000000001"/>
    <s v="Pending"/>
    <s v="Delhi"/>
    <x v="3"/>
    <m/>
    <s v="Retail"/>
    <n v="59"/>
    <x v="0"/>
    <x v="0"/>
  </r>
  <r>
    <s v="ORD-00178"/>
    <d v="2024-01-21T00:00:00"/>
    <s v="CUST-0172"/>
    <s v="PROD-003"/>
    <x v="27"/>
    <n v="2"/>
    <n v="3570"/>
    <n v="6.7"/>
    <n v="6661.62"/>
    <s v="Cancelled"/>
    <s v="Pune"/>
    <x v="4"/>
    <m/>
    <s v="Retail"/>
    <n v="65"/>
    <x v="0"/>
    <x v="0"/>
  </r>
  <r>
    <s v="ORD-00179"/>
    <d v="2024-03-31T00:00:00"/>
    <s v="CUST-0124"/>
    <s v="PROD-013"/>
    <x v="27"/>
    <n v="4"/>
    <n v="3640"/>
    <n v="18.399999999999999"/>
    <n v="11880.96"/>
    <s v="Completed"/>
    <s v="Pune"/>
    <x v="0"/>
    <m/>
    <s v="Retail"/>
    <n v="57"/>
    <x v="0"/>
    <x v="0"/>
  </r>
  <r>
    <s v="ORD-00180"/>
    <d v="2024-08-20T00:00:00"/>
    <s v="CUST-0184"/>
    <s v="PROD-026"/>
    <x v="19"/>
    <n v="8"/>
    <n v="4070"/>
    <n v="6.6"/>
    <n v="30411.040000000001"/>
    <s v="Completed"/>
    <s v="Pune"/>
    <x v="2"/>
    <m/>
    <s v="Retail"/>
    <n v="63"/>
    <x v="0"/>
    <x v="0"/>
  </r>
  <r>
    <s v="ORD-00181"/>
    <d v="2024-04-10T00:00:00"/>
    <s v="CUST-0259"/>
    <s v="PROD-011"/>
    <x v="27"/>
    <n v="6"/>
    <n v="3450"/>
    <n v="14.4"/>
    <n v="17719.2"/>
    <s v="Pending"/>
    <s v="Mumbai"/>
    <x v="0"/>
    <m/>
    <s v="Retail"/>
    <n v="34"/>
    <x v="1"/>
    <x v="6"/>
  </r>
  <r>
    <s v="ORD-00182"/>
    <d v="2024-05-31T00:00:00"/>
    <s v="CUST-0204"/>
    <s v="PROD-034"/>
    <x v="20"/>
    <n v="7"/>
    <n v="5080"/>
    <n v="25.4"/>
    <n v="26527.759999999998"/>
    <s v="Pending"/>
    <s v="Hyderabad"/>
    <x v="3"/>
    <m/>
    <s v="Retail"/>
    <n v="60"/>
    <x v="0"/>
    <x v="0"/>
  </r>
  <r>
    <s v="ORD-00183"/>
    <d v="2024-02-11T00:00:00"/>
    <s v="CUST-0032"/>
    <s v="PROD-021"/>
    <x v="8"/>
    <n v="10"/>
    <n v="2760"/>
    <n v="20.100000000000001"/>
    <n v="22052.400000000001"/>
    <s v="Completed"/>
    <s v="Hyderabad"/>
    <x v="2"/>
    <m/>
    <s v="Retail"/>
    <n v="28"/>
    <x v="2"/>
    <x v="2"/>
  </r>
  <r>
    <s v="ORD-00184"/>
    <d v="2024-06-13T00:00:00"/>
    <s v="CUST-0239"/>
    <s v="PROD-044"/>
    <x v="29"/>
    <n v="6"/>
    <n v="1650"/>
    <n v="11.3"/>
    <n v="8781.2999999999993"/>
    <s v="Pending"/>
    <s v="Mumbai"/>
    <x v="5"/>
    <m/>
    <s v="Retail"/>
    <n v="61"/>
    <x v="0"/>
    <x v="0"/>
  </r>
  <r>
    <s v="ORD-00185"/>
    <d v="2024-01-04T00:00:00"/>
    <s v="CUST-0191"/>
    <s v="PROD-004"/>
    <x v="0"/>
    <n v="9"/>
    <n v="3870"/>
    <n v="27.5"/>
    <n v="25251.75"/>
    <s v="Completed"/>
    <s v="Hyderabad"/>
    <x v="4"/>
    <m/>
    <s v="SMB"/>
    <n v="43"/>
    <x v="0"/>
    <x v="0"/>
  </r>
  <r>
    <s v="ORD-00186"/>
    <d v="2024-08-28T00:00:00"/>
    <s v="CUST-0284"/>
    <s v="PROD-035"/>
    <x v="24"/>
    <n v="2"/>
    <n v="1090"/>
    <n v="18.7"/>
    <n v="1772.34"/>
    <s v="Refunded"/>
    <s v="Hyderabad"/>
    <x v="3"/>
    <m/>
    <s v="SMB"/>
    <n v="65"/>
    <x v="0"/>
    <x v="0"/>
  </r>
  <r>
    <s v="ORD-00187"/>
    <d v="2024-09-29T00:00:00"/>
    <s v="CUST-0274"/>
    <s v="PROD-049"/>
    <x v="5"/>
    <n v="4"/>
    <n v="960"/>
    <n v="23.4"/>
    <n v="2941.44"/>
    <s v="Completed"/>
    <s v="Bengaluru"/>
    <x v="5"/>
    <m/>
    <s v="Corporate"/>
    <n v="36"/>
    <x v="3"/>
    <x v="6"/>
  </r>
  <r>
    <s v="ORD-00188"/>
    <d v="2024-09-04T00:00:00"/>
    <s v="CUST-0234"/>
    <s v="PROD-043"/>
    <x v="13"/>
    <n v="3"/>
    <n v="3350"/>
    <n v="17.899999999999999"/>
    <n v="8251.0499999999993"/>
    <s v="Completed"/>
    <s v="Bengaluru"/>
    <x v="5"/>
    <m/>
    <s v="Retail"/>
    <n v="34"/>
    <x v="2"/>
    <x v="1"/>
  </r>
  <r>
    <s v="ORD-00189"/>
    <d v="2024-11-09T00:00:00"/>
    <s v="CUST-0264"/>
    <s v="PROD-022"/>
    <x v="1"/>
    <n v="4"/>
    <n v="2270"/>
    <n v="29"/>
    <n v="6446.8"/>
    <s v="Completed"/>
    <s v="Pune"/>
    <x v="2"/>
    <m/>
    <s v="Retail"/>
    <n v="59"/>
    <x v="0"/>
    <x v="0"/>
  </r>
  <r>
    <s v="ORD-00190"/>
    <d v="2024-06-17T00:00:00"/>
    <s v="CUST-0192"/>
    <s v="PROD-039"/>
    <x v="12"/>
    <n v="9"/>
    <n v="4610"/>
    <n v="28.3"/>
    <n v="29748.33"/>
    <s v="Pending"/>
    <s v="Bengaluru"/>
    <x v="3"/>
    <m/>
    <s v="Retail"/>
    <n v="55"/>
    <x v="0"/>
    <x v="0"/>
  </r>
  <r>
    <s v="ORD-00191"/>
    <d v="2024-09-03T00:00:00"/>
    <s v="CUST-0041"/>
    <s v="PROD-012"/>
    <x v="18"/>
    <n v="3"/>
    <n v="3160"/>
    <n v="7.3"/>
    <n v="8787.9599999999991"/>
    <s v="Completed"/>
    <s v="Bengaluru"/>
    <x v="0"/>
    <m/>
    <s v="SMB"/>
    <n v="26"/>
    <x v="3"/>
    <x v="7"/>
  </r>
  <r>
    <s v="ORD-00192"/>
    <d v="2024-10-08T00:00:00"/>
    <s v="CUST-0043"/>
    <s v="PROD-022"/>
    <x v="10"/>
    <n v="8"/>
    <n v="2270"/>
    <n v="15.6"/>
    <n v="15327.04"/>
    <s v="Completed"/>
    <s v="Hyderabad"/>
    <x v="2"/>
    <m/>
    <s v="Retail"/>
    <n v="61"/>
    <x v="0"/>
    <x v="0"/>
  </r>
  <r>
    <s v="ORD-00193"/>
    <d v="2024-07-10T00:00:00"/>
    <s v="CUST-0147"/>
    <s v="PROD-045"/>
    <x v="8"/>
    <n v="8"/>
    <n v="3020"/>
    <n v="16.3"/>
    <n v="20221.919999999998"/>
    <s v="Cancelled"/>
    <s v="Pune"/>
    <x v="5"/>
    <m/>
    <s v="Retail"/>
    <n v="56"/>
    <x v="0"/>
    <x v="0"/>
  </r>
  <r>
    <s v="ORD-00194"/>
    <d v="2024-11-21T00:00:00"/>
    <s v="CUST-0056"/>
    <s v="PROD-056"/>
    <x v="14"/>
    <n v="7"/>
    <n v="6940"/>
    <n v="8.5"/>
    <n v="44450.7"/>
    <s v="Completed"/>
    <s v="Bengaluru"/>
    <x v="1"/>
    <m/>
    <s v="SMB"/>
    <n v="46"/>
    <x v="0"/>
    <x v="0"/>
  </r>
  <r>
    <s v="ORD-00195"/>
    <d v="2024-09-11T00:00:00"/>
    <s v="CUST-0059"/>
    <s v="PROD-041"/>
    <x v="27"/>
    <n v="8"/>
    <n v="1540"/>
    <n v="21"/>
    <n v="9732.7999999999993"/>
    <s v="Completed"/>
    <s v="Pune"/>
    <x v="5"/>
    <m/>
    <s v="Corporate"/>
    <n v="29"/>
    <x v="2"/>
    <x v="3"/>
  </r>
  <r>
    <s v="ORD-00196"/>
    <d v="2024-03-29T00:00:00"/>
    <s v="CUST-0047"/>
    <s v="PROD-019"/>
    <x v="20"/>
    <n v="6"/>
    <n v="2480"/>
    <n v="27.9"/>
    <n v="10728.48"/>
    <s v="Completed"/>
    <s v="Pune"/>
    <x v="0"/>
    <m/>
    <s v="Retail"/>
    <n v="49"/>
    <x v="0"/>
    <x v="0"/>
  </r>
  <r>
    <s v="ORD-00197"/>
    <d v="2024-01-29T00:00:00"/>
    <s v="CUST-0162"/>
    <s v="PROD-060"/>
    <x v="24"/>
    <n v="4"/>
    <n v="190"/>
    <n v="21.5"/>
    <n v="596.6"/>
    <s v="Completed"/>
    <s v="Mumbai"/>
    <x v="1"/>
    <m/>
    <s v="Corporate"/>
    <n v="35"/>
    <x v="2"/>
    <x v="10"/>
  </r>
  <r>
    <s v="ORD-00198"/>
    <d v="2024-03-04T00:00:00"/>
    <s v="CUST-0121"/>
    <s v="PROD-055"/>
    <x v="2"/>
    <n v="1"/>
    <n v="2860"/>
    <n v="15.3"/>
    <n v="2422.42"/>
    <s v="Completed"/>
    <s v="Delhi"/>
    <x v="1"/>
    <m/>
    <s v="SMB"/>
    <n v="55"/>
    <x v="0"/>
    <x v="0"/>
  </r>
  <r>
    <s v="ORD-00199"/>
    <d v="2024-02-28T00:00:00"/>
    <s v="CUST-0075"/>
    <s v="PROD-017"/>
    <x v="15"/>
    <n v="4"/>
    <n v="2510"/>
    <n v="10.1"/>
    <n v="9025.9599999999991"/>
    <s v="Refunded"/>
    <s v="Mumbai"/>
    <x v="0"/>
    <m/>
    <s v="Corporate"/>
    <n v="55"/>
    <x v="0"/>
    <x v="0"/>
  </r>
  <r>
    <s v="ORD-00200"/>
    <d v="2024-10-22T00:00:00"/>
    <s v="CUST-0025"/>
    <s v="PROD-003"/>
    <x v="11"/>
    <n v="2"/>
    <n v="3570"/>
    <n v="11.6"/>
    <n v="6311.76"/>
    <s v="Pending"/>
    <s v="Bengaluru"/>
    <x v="4"/>
    <m/>
    <s v="Retail"/>
    <n v="23"/>
    <x v="4"/>
    <x v="5"/>
  </r>
  <r>
    <s v="ORD-00201"/>
    <d v="2024-02-22T00:00:00"/>
    <s v="CUST-0048"/>
    <s v="PROD-031"/>
    <x v="29"/>
    <n v="7"/>
    <n v="3730"/>
    <n v="2.5"/>
    <n v="25457.25"/>
    <s v="Cancelled"/>
    <s v="Delhi"/>
    <x v="3"/>
    <m/>
    <s v="Retail"/>
    <n v="59"/>
    <x v="0"/>
    <x v="0"/>
  </r>
  <r>
    <s v="ORD-00202"/>
    <d v="2024-07-19T00:00:00"/>
    <s v="CUST-0251"/>
    <s v="PROD-032"/>
    <x v="14"/>
    <n v="6"/>
    <n v="370"/>
    <n v="9.9"/>
    <n v="2000.22"/>
    <s v="Completed"/>
    <s v="Mumbai"/>
    <x v="3"/>
    <m/>
    <s v="Retail"/>
    <n v="44"/>
    <x v="0"/>
    <x v="0"/>
  </r>
  <r>
    <s v="ORD-00203"/>
    <d v="2024-07-17T00:00:00"/>
    <s v="CUST-0125"/>
    <s v="PROD-008"/>
    <x v="2"/>
    <n v="4"/>
    <n v="2660"/>
    <n v="29.7"/>
    <n v="7479.92"/>
    <s v="Completed"/>
    <s v="Delhi"/>
    <x v="4"/>
    <m/>
    <s v="Retail"/>
    <n v="45"/>
    <x v="0"/>
    <x v="0"/>
  </r>
  <r>
    <s v="ORD-00204"/>
    <d v="2024-09-03T00:00:00"/>
    <s v="CUST-0025"/>
    <s v="PROD-021"/>
    <x v="15"/>
    <n v="6"/>
    <n v="2760"/>
    <n v="0.9"/>
    <n v="16410.96"/>
    <s v="Completed"/>
    <s v="Bengaluru"/>
    <x v="2"/>
    <m/>
    <s v="Retail"/>
    <n v="23"/>
    <x v="4"/>
    <x v="11"/>
  </r>
  <r>
    <s v="ORD-00205"/>
    <d v="2024-10-26T00:00:00"/>
    <s v="CUST-0068"/>
    <s v="PROD-043"/>
    <x v="18"/>
    <n v="6"/>
    <n v="3350"/>
    <n v="17.899999999999999"/>
    <n v="16502.099999999999"/>
    <s v="Completed"/>
    <s v="Delhi"/>
    <x v="5"/>
    <m/>
    <s v="SMB"/>
    <n v="48"/>
    <x v="0"/>
    <x v="0"/>
  </r>
  <r>
    <s v="ORD-00206"/>
    <d v="2024-01-28T00:00:00"/>
    <s v="CUST-0080"/>
    <s v="PROD-005"/>
    <x v="21"/>
    <n v="8"/>
    <n v="300"/>
    <n v="20.6"/>
    <n v="1905.6"/>
    <s v="Refunded"/>
    <s v="Pune"/>
    <x v="4"/>
    <m/>
    <s v="SMB"/>
    <n v="30"/>
    <x v="4"/>
    <x v="9"/>
  </r>
  <r>
    <s v="ORD-00207"/>
    <d v="2024-08-23T00:00:00"/>
    <s v="CUST-0251"/>
    <s v="PROD-015"/>
    <x v="25"/>
    <n v="5"/>
    <n v="2720"/>
    <n v="17.100000000000001"/>
    <n v="11274.4"/>
    <s v="Pending"/>
    <s v="Mumbai"/>
    <x v="0"/>
    <m/>
    <s v="Retail"/>
    <n v="44"/>
    <x v="0"/>
    <x v="0"/>
  </r>
  <r>
    <s v="ORD-00208"/>
    <d v="2024-10-07T00:00:00"/>
    <s v="CUST-0077"/>
    <s v="PROD-004"/>
    <x v="15"/>
    <n v="1"/>
    <n v="3870"/>
    <n v="23.5"/>
    <n v="2960.55"/>
    <s v="Pending"/>
    <s v="Hyderabad"/>
    <x v="4"/>
    <m/>
    <s v="SMB"/>
    <n v="48"/>
    <x v="0"/>
    <x v="0"/>
  </r>
  <r>
    <s v="ORD-00209"/>
    <d v="2024-12-11T00:00:00"/>
    <s v="CUST-0232"/>
    <s v="PROD-031"/>
    <x v="27"/>
    <n v="3"/>
    <n v="3730"/>
    <n v="0.7"/>
    <n v="11111.67"/>
    <s v="Pending"/>
    <s v="Hyderabad"/>
    <x v="3"/>
    <m/>
    <s v="Retail"/>
    <n v="38"/>
    <x v="4"/>
    <x v="9"/>
  </r>
  <r>
    <s v="ORD-00210"/>
    <d v="2024-01-24T00:00:00"/>
    <s v="CUST-0277"/>
    <s v="PROD-019"/>
    <x v="27"/>
    <n v="8"/>
    <n v="2480"/>
    <n v="18.2"/>
    <n v="16229.12"/>
    <s v="Cancelled"/>
    <s v="Chennai"/>
    <x v="0"/>
    <m/>
    <s v="Corporate"/>
    <n v="34"/>
    <x v="4"/>
    <x v="8"/>
  </r>
  <r>
    <s v="ORD-00211"/>
    <d v="2024-03-23T00:00:00"/>
    <s v="CUST-0149"/>
    <s v="PROD-057"/>
    <x v="7"/>
    <n v="2"/>
    <n v="960"/>
    <n v="2.2000000000000002"/>
    <n v="1877.76"/>
    <s v="Completed"/>
    <s v="Hyderabad"/>
    <x v="1"/>
    <m/>
    <s v="Retail"/>
    <n v="44"/>
    <x v="0"/>
    <x v="0"/>
  </r>
  <r>
    <s v="ORD-00212"/>
    <d v="2024-02-13T00:00:00"/>
    <s v="CUST-0178"/>
    <s v="PROD-046"/>
    <x v="26"/>
    <n v="8"/>
    <n v="4880"/>
    <n v="11.9"/>
    <n v="34394.239999999998"/>
    <s v="Completed"/>
    <s v="Hyderabad"/>
    <x v="5"/>
    <m/>
    <s v="Retail"/>
    <n v="25"/>
    <x v="3"/>
    <x v="10"/>
  </r>
  <r>
    <s v="ORD-00213"/>
    <d v="2024-12-30T00:00:00"/>
    <s v="CUST-0246"/>
    <s v="PROD-014"/>
    <x v="14"/>
    <n v="2"/>
    <n v="3620"/>
    <n v="1.1000000000000001"/>
    <n v="7160.36"/>
    <s v="Pending"/>
    <s v="Delhi"/>
    <x v="0"/>
    <m/>
    <s v="SMB"/>
    <n v="29"/>
    <x v="3"/>
    <x v="5"/>
  </r>
  <r>
    <s v="ORD-00214"/>
    <d v="2024-10-08T00:00:00"/>
    <s v="CUST-0033"/>
    <s v="PROD-006"/>
    <x v="4"/>
    <n v="8"/>
    <n v="3970"/>
    <n v="18.100000000000001"/>
    <n v="26011.439999999999"/>
    <s v="Completed"/>
    <s v="Delhi"/>
    <x v="4"/>
    <m/>
    <s v="Retail"/>
    <n v="35"/>
    <x v="2"/>
    <x v="8"/>
  </r>
  <r>
    <s v="ORD-00215"/>
    <d v="2024-08-30T00:00:00"/>
    <s v="CUST-0159"/>
    <s v="PROD-022"/>
    <x v="17"/>
    <n v="8"/>
    <n v="2270"/>
    <n v="19.600000000000001"/>
    <n v="14600.64"/>
    <s v="Completed"/>
    <s v="Hyderabad"/>
    <x v="2"/>
    <m/>
    <s v="Retail"/>
    <n v="32"/>
    <x v="1"/>
    <x v="9"/>
  </r>
  <r>
    <s v="ORD-00216"/>
    <d v="2024-12-13T00:00:00"/>
    <s v="CUST-0175"/>
    <s v="PROD-027"/>
    <x v="22"/>
    <n v="1"/>
    <n v="3780"/>
    <n v="22.6"/>
    <n v="2925.72"/>
    <s v="Completed"/>
    <s v="Delhi"/>
    <x v="2"/>
    <m/>
    <s v="Corporate"/>
    <n v="55"/>
    <x v="0"/>
    <x v="0"/>
  </r>
  <r>
    <s v="ORD-00217"/>
    <d v="2024-12-27T00:00:00"/>
    <s v="CUST-0079"/>
    <s v="PROD-026"/>
    <x v="24"/>
    <n v="9"/>
    <n v="4070"/>
    <n v="28.2"/>
    <n v="26300.34"/>
    <s v="Completed"/>
    <s v="Mumbai"/>
    <x v="2"/>
    <m/>
    <s v="Corporate"/>
    <n v="60"/>
    <x v="0"/>
    <x v="0"/>
  </r>
  <r>
    <s v="ORD-00218"/>
    <d v="2024-05-12T00:00:00"/>
    <s v="CUST-0173"/>
    <s v="PROD-008"/>
    <x v="3"/>
    <n v="9"/>
    <n v="2660"/>
    <n v="13.1"/>
    <n v="20803.86"/>
    <s v="Pending"/>
    <s v="Mumbai"/>
    <x v="4"/>
    <m/>
    <s v="Retail"/>
    <n v="65"/>
    <x v="0"/>
    <x v="0"/>
  </r>
  <r>
    <s v="ORD-00219"/>
    <d v="2024-04-18T00:00:00"/>
    <s v="CUST-0050"/>
    <s v="PROD-003"/>
    <x v="10"/>
    <n v="4"/>
    <n v="3570"/>
    <n v="1.5"/>
    <n v="14065.8"/>
    <s v="Cancelled"/>
    <s v="Mumbai"/>
    <x v="4"/>
    <m/>
    <s v="Retail"/>
    <n v="37"/>
    <x v="1"/>
    <x v="2"/>
  </r>
  <r>
    <s v="ORD-00220"/>
    <d v="2024-08-27T00:00:00"/>
    <s v="CUST-0097"/>
    <s v="PROD-049"/>
    <x v="19"/>
    <n v="2"/>
    <n v="960"/>
    <n v="18.600000000000001"/>
    <n v="1562.88"/>
    <s v="Completed"/>
    <s v="Mumbai"/>
    <x v="5"/>
    <m/>
    <s v="Retail"/>
    <n v="65"/>
    <x v="0"/>
    <x v="0"/>
  </r>
  <r>
    <s v="ORD-00221"/>
    <d v="2024-09-11T00:00:00"/>
    <s v="CUST-0026"/>
    <s v="PROD-047"/>
    <x v="26"/>
    <n v="2"/>
    <n v="3450"/>
    <n v="3.7"/>
    <n v="6644.7"/>
    <s v="Completed"/>
    <s v="Pune"/>
    <x v="5"/>
    <m/>
    <s v="Retail"/>
    <n v="62"/>
    <x v="0"/>
    <x v="0"/>
  </r>
  <r>
    <s v="ORD-00222"/>
    <d v="2024-11-12T00:00:00"/>
    <s v="CUST-0185"/>
    <s v="PROD-048"/>
    <x v="0"/>
    <n v="6"/>
    <n v="5100"/>
    <n v="1.2"/>
    <n v="30232.799999999999"/>
    <s v="Completed"/>
    <s v="Hyderabad"/>
    <x v="5"/>
    <m/>
    <s v="SMB"/>
    <n v="43"/>
    <x v="0"/>
    <x v="0"/>
  </r>
  <r>
    <s v="ORD-00223"/>
    <d v="2024-11-18T00:00:00"/>
    <s v="CUST-0135"/>
    <s v="PROD-005"/>
    <x v="1"/>
    <n v="9"/>
    <n v="300"/>
    <n v="25.4"/>
    <n v="2014.2"/>
    <s v="Cancelled"/>
    <s v="Pune"/>
    <x v="4"/>
    <m/>
    <s v="SMB"/>
    <n v="24"/>
    <x v="1"/>
    <x v="3"/>
  </r>
  <r>
    <s v="ORD-00224"/>
    <d v="2024-04-23T00:00:00"/>
    <s v="CUST-0010"/>
    <s v="PROD-046"/>
    <x v="16"/>
    <n v="7"/>
    <n v="4880"/>
    <n v="16.899999999999999"/>
    <n v="28386.959999999999"/>
    <s v="Pending"/>
    <s v="Mumbai"/>
    <x v="5"/>
    <m/>
    <s v="SMB"/>
    <n v="61"/>
    <x v="0"/>
    <x v="0"/>
  </r>
  <r>
    <s v="ORD-00225"/>
    <d v="2024-07-31T00:00:00"/>
    <s v="CUST-0271"/>
    <s v="PROD-036"/>
    <x v="12"/>
    <n v="9"/>
    <n v="3250"/>
    <n v="10.8"/>
    <n v="26091"/>
    <s v="Cancelled"/>
    <s v="Bengaluru"/>
    <x v="3"/>
    <m/>
    <s v="Corporate"/>
    <n v="41"/>
    <x v="0"/>
    <x v="0"/>
  </r>
  <r>
    <s v="ORD-00226"/>
    <d v="2024-01-07T00:00:00"/>
    <s v="CUST-0172"/>
    <s v="PROD-047"/>
    <x v="3"/>
    <n v="3"/>
    <n v="3450"/>
    <n v="5.4"/>
    <n v="9791.1"/>
    <s v="Pending"/>
    <s v="Pune"/>
    <x v="5"/>
    <m/>
    <s v="Retail"/>
    <n v="65"/>
    <x v="0"/>
    <x v="0"/>
  </r>
  <r>
    <s v="ORD-00227"/>
    <d v="2024-02-24T00:00:00"/>
    <s v="CUST-0296"/>
    <s v="PROD-050"/>
    <x v="13"/>
    <n v="5"/>
    <n v="6080"/>
    <n v="18"/>
    <n v="24928"/>
    <s v="Completed"/>
    <s v="Delhi"/>
    <x v="5"/>
    <m/>
    <s v="Corporate"/>
    <n v="47"/>
    <x v="0"/>
    <x v="0"/>
  </r>
  <r>
    <s v="ORD-00228"/>
    <d v="2024-07-14T00:00:00"/>
    <s v="CUST-0080"/>
    <s v="PROD-050"/>
    <x v="24"/>
    <n v="7"/>
    <n v="6080"/>
    <n v="9.1999999999999993"/>
    <n v="38644.480000000003"/>
    <s v="Completed"/>
    <s v="Pune"/>
    <x v="5"/>
    <m/>
    <s v="SMB"/>
    <n v="30"/>
    <x v="3"/>
    <x v="5"/>
  </r>
  <r>
    <s v="ORD-00229"/>
    <d v="2024-10-20T00:00:00"/>
    <s v="CUST-0232"/>
    <s v="PROD-024"/>
    <x v="2"/>
    <n v="5"/>
    <n v="2270"/>
    <n v="0.4"/>
    <n v="11304.6"/>
    <s v="Cancelled"/>
    <s v="Hyderabad"/>
    <x v="2"/>
    <m/>
    <s v="Retail"/>
    <n v="38"/>
    <x v="3"/>
    <x v="11"/>
  </r>
  <r>
    <s v="ORD-00230"/>
    <d v="2024-03-22T00:00:00"/>
    <s v="CUST-0070"/>
    <s v="PROD-046"/>
    <x v="29"/>
    <n v="10"/>
    <n v="4880"/>
    <n v="24.5"/>
    <n v="36844"/>
    <s v="Refunded"/>
    <s v="Mumbai"/>
    <x v="5"/>
    <m/>
    <s v="Retail"/>
    <n v="42"/>
    <x v="0"/>
    <x v="0"/>
  </r>
  <r>
    <s v="ORD-00231"/>
    <d v="2024-01-02T00:00:00"/>
    <s v="CUST-0142"/>
    <s v="PROD-023"/>
    <x v="25"/>
    <n v="2"/>
    <n v="2380"/>
    <n v="2.2999999999999998"/>
    <n v="4650.5200000000004"/>
    <s v="Completed"/>
    <s v="Chennai"/>
    <x v="2"/>
    <m/>
    <s v="Corporate"/>
    <n v="55"/>
    <x v="0"/>
    <x v="0"/>
  </r>
  <r>
    <s v="ORD-00232"/>
    <d v="2024-07-25T00:00:00"/>
    <s v="CUST-0161"/>
    <s v="PROD-054"/>
    <x v="5"/>
    <n v="1"/>
    <n v="1010"/>
    <n v="29.9"/>
    <n v="708.01"/>
    <s v="Completed"/>
    <s v="Chennai"/>
    <x v="1"/>
    <m/>
    <s v="Retail"/>
    <n v="38"/>
    <x v="1"/>
    <x v="12"/>
  </r>
  <r>
    <s v="ORD-00233"/>
    <d v="2024-12-17T00:00:00"/>
    <s v="CUST-0020"/>
    <s v="PROD-056"/>
    <x v="20"/>
    <n v="7"/>
    <n v="6940"/>
    <n v="25.8"/>
    <n v="36046.36"/>
    <s v="Completed"/>
    <s v="Hyderabad"/>
    <x v="1"/>
    <m/>
    <s v="Retail"/>
    <n v="46"/>
    <x v="0"/>
    <x v="0"/>
  </r>
  <r>
    <s v="ORD-00234"/>
    <d v="2024-09-07T00:00:00"/>
    <s v="CUST-0173"/>
    <s v="PROD-042"/>
    <x v="6"/>
    <n v="6"/>
    <n v="2290"/>
    <n v="25.9"/>
    <n v="10181.34"/>
    <s v="Pending"/>
    <s v="Mumbai"/>
    <x v="5"/>
    <m/>
    <s v="Retail"/>
    <n v="65"/>
    <x v="0"/>
    <x v="0"/>
  </r>
  <r>
    <s v="ORD-00235"/>
    <d v="2024-08-04T00:00:00"/>
    <s v="CUST-0280"/>
    <s v="PROD-032"/>
    <x v="2"/>
    <n v="2"/>
    <n v="370"/>
    <n v="3.9"/>
    <n v="711.14"/>
    <s v="Completed"/>
    <s v="Delhi"/>
    <x v="3"/>
    <m/>
    <s v="SMB"/>
    <n v="27"/>
    <x v="2"/>
    <x v="1"/>
  </r>
  <r>
    <s v="ORD-00236"/>
    <d v="2024-03-02T00:00:00"/>
    <s v="CUST-0073"/>
    <s v="PROD-022"/>
    <x v="16"/>
    <n v="1"/>
    <n v="2270"/>
    <n v="25.3"/>
    <n v="1695.69"/>
    <s v="Completed"/>
    <s v="Pune"/>
    <x v="2"/>
    <m/>
    <s v="Corporate"/>
    <n v="40"/>
    <x v="4"/>
    <x v="6"/>
  </r>
  <r>
    <s v="ORD-00237"/>
    <d v="2024-02-22T00:00:00"/>
    <s v="CUST-0242"/>
    <s v="PROD-050"/>
    <x v="25"/>
    <n v="4"/>
    <n v="6080"/>
    <n v="28.8"/>
    <n v="17315.84"/>
    <s v="Pending"/>
    <s v="Chennai"/>
    <x v="5"/>
    <m/>
    <s v="SMB"/>
    <n v="59"/>
    <x v="0"/>
    <x v="0"/>
  </r>
  <r>
    <s v="ORD-00238"/>
    <d v="2024-04-07T00:00:00"/>
    <s v="CUST-0234"/>
    <s v="PROD-001"/>
    <x v="26"/>
    <n v="2"/>
    <n v="5330"/>
    <n v="23.8"/>
    <n v="8122.92"/>
    <s v="Pending"/>
    <s v="Bengaluru"/>
    <x v="4"/>
    <m/>
    <s v="Retail"/>
    <n v="34"/>
    <x v="1"/>
    <x v="5"/>
  </r>
  <r>
    <s v="ORD-00239"/>
    <d v="2024-02-22T00:00:00"/>
    <s v="CUST-0085"/>
    <s v="PROD-026"/>
    <x v="6"/>
    <n v="2"/>
    <n v="4070"/>
    <n v="4.3"/>
    <n v="7789.98"/>
    <s v="Completed"/>
    <s v="Chennai"/>
    <x v="2"/>
    <m/>
    <s v="Retail"/>
    <n v="26"/>
    <x v="3"/>
    <x v="4"/>
  </r>
  <r>
    <s v="ORD-00240"/>
    <d v="2024-07-07T00:00:00"/>
    <s v="CUST-0228"/>
    <s v="PROD-005"/>
    <x v="10"/>
    <n v="6"/>
    <n v="300"/>
    <n v="17.399999999999999"/>
    <n v="1486.8"/>
    <s v="Cancelled"/>
    <s v="Pune"/>
    <x v="4"/>
    <m/>
    <s v="Corporate"/>
    <n v="37"/>
    <x v="2"/>
    <x v="5"/>
  </r>
  <r>
    <s v="ORD-00241"/>
    <d v="2024-07-15T00:00:00"/>
    <s v="CUST-0147"/>
    <s v="PROD-046"/>
    <x v="2"/>
    <n v="1"/>
    <n v="4880"/>
    <n v="17.5"/>
    <n v="4026"/>
    <s v="Completed"/>
    <s v="Pune"/>
    <x v="5"/>
    <m/>
    <s v="Retail"/>
    <n v="56"/>
    <x v="0"/>
    <x v="0"/>
  </r>
  <r>
    <s v="ORD-00242"/>
    <d v="2024-02-04T00:00:00"/>
    <s v="CUST-0171"/>
    <s v="PROD-055"/>
    <x v="28"/>
    <n v="3"/>
    <n v="2860"/>
    <n v="20.100000000000001"/>
    <n v="6855.42"/>
    <s v="Completed"/>
    <s v="Chennai"/>
    <x v="1"/>
    <m/>
    <s v="Corporate"/>
    <n v="30"/>
    <x v="4"/>
    <x v="11"/>
  </r>
  <r>
    <s v="ORD-00243"/>
    <d v="2024-12-01T00:00:00"/>
    <s v="CUST-0051"/>
    <s v="PROD-041"/>
    <x v="25"/>
    <n v="3"/>
    <n v="1540"/>
    <n v="20.9"/>
    <n v="3654.42"/>
    <s v="Completed"/>
    <s v="Pune"/>
    <x v="5"/>
    <m/>
    <s v="SMB"/>
    <n v="54"/>
    <x v="0"/>
    <x v="0"/>
  </r>
  <r>
    <s v="ORD-00244"/>
    <d v="2024-10-11T00:00:00"/>
    <s v="CUST-0285"/>
    <s v="PROD-010"/>
    <x v="9"/>
    <n v="10"/>
    <n v="2640"/>
    <n v="11.2"/>
    <n v="23443.200000000001"/>
    <s v="Pending"/>
    <s v="Hyderabad"/>
    <x v="4"/>
    <m/>
    <s v="Retail"/>
    <n v="22"/>
    <x v="1"/>
    <x v="8"/>
  </r>
  <r>
    <s v="ORD-00245"/>
    <d v="2024-01-26T00:00:00"/>
    <s v="CUST-0114"/>
    <s v="PROD-012"/>
    <x v="22"/>
    <n v="1"/>
    <n v="3160"/>
    <n v="11.5"/>
    <n v="2796.6"/>
    <s v="Completed"/>
    <s v="Bengaluru"/>
    <x v="0"/>
    <m/>
    <s v="Corporate"/>
    <n v="42"/>
    <x v="0"/>
    <x v="0"/>
  </r>
  <r>
    <s v="ORD-00246"/>
    <d v="2024-12-24T00:00:00"/>
    <s v="CUST-0295"/>
    <s v="PROD-040"/>
    <x v="0"/>
    <n v="4"/>
    <n v="1080"/>
    <n v="20.7"/>
    <n v="3425.76"/>
    <s v="Pending"/>
    <s v="Delhi"/>
    <x v="3"/>
    <m/>
    <s v="SMB"/>
    <n v="48"/>
    <x v="0"/>
    <x v="0"/>
  </r>
  <r>
    <s v="ORD-00247"/>
    <d v="2024-10-20T00:00:00"/>
    <s v="CUST-0218"/>
    <s v="PROD-054"/>
    <x v="22"/>
    <n v="4"/>
    <n v="1010"/>
    <n v="29.5"/>
    <n v="2848.2"/>
    <s v="Pending"/>
    <s v="Mumbai"/>
    <x v="1"/>
    <m/>
    <s v="Retail"/>
    <n v="39"/>
    <x v="1"/>
    <x v="8"/>
  </r>
  <r>
    <s v="ORD-00248"/>
    <d v="2024-09-10T00:00:00"/>
    <s v="CUST-0090"/>
    <s v="PROD-002"/>
    <x v="28"/>
    <n v="7"/>
    <n v="2600"/>
    <n v="6.6"/>
    <n v="16998.8"/>
    <s v="Completed"/>
    <s v="Bengaluru"/>
    <x v="4"/>
    <m/>
    <s v="Corporate"/>
    <n v="26"/>
    <x v="4"/>
    <x v="9"/>
  </r>
  <r>
    <s v="ORD-00249"/>
    <d v="2024-04-13T00:00:00"/>
    <s v="CUST-0194"/>
    <s v="PROD-017"/>
    <x v="18"/>
    <n v="4"/>
    <n v="2510"/>
    <n v="1"/>
    <n v="9939.6"/>
    <s v="Completed"/>
    <s v="Delhi"/>
    <x v="0"/>
    <m/>
    <s v="SMB"/>
    <n v="55"/>
    <x v="0"/>
    <x v="0"/>
  </r>
  <r>
    <s v="ORD-00250"/>
    <d v="2024-12-10T00:00:00"/>
    <s v="CUST-0231"/>
    <s v="PROD-026"/>
    <x v="24"/>
    <n v="9"/>
    <n v="4070"/>
    <n v="6.7"/>
    <n v="34175.79"/>
    <s v="Cancelled"/>
    <s v="Chennai"/>
    <x v="2"/>
    <m/>
    <s v="Retail"/>
    <n v="61"/>
    <x v="0"/>
    <x v="0"/>
  </r>
  <r>
    <s v="ORD-00251"/>
    <d v="2024-11-16T00:00:00"/>
    <s v="CUST-0055"/>
    <s v="PROD-020"/>
    <x v="9"/>
    <n v="6"/>
    <n v="820"/>
    <n v="14"/>
    <n v="4231.2"/>
    <s v="Completed"/>
    <s v="Bengaluru"/>
    <x v="0"/>
    <m/>
    <s v="Retail"/>
    <n v="34"/>
    <x v="3"/>
    <x v="8"/>
  </r>
  <r>
    <s v="ORD-00252"/>
    <d v="2024-07-22T00:00:00"/>
    <s v="CUST-0262"/>
    <s v="PROD-030"/>
    <x v="1"/>
    <n v="2"/>
    <n v="970"/>
    <n v="23.8"/>
    <n v="1478.28"/>
    <s v="Completed"/>
    <s v="Mumbai"/>
    <x v="2"/>
    <m/>
    <s v="Retail"/>
    <n v="52"/>
    <x v="0"/>
    <x v="0"/>
  </r>
  <r>
    <s v="ORD-00253"/>
    <d v="2024-02-15T00:00:00"/>
    <s v="CUST-0155"/>
    <s v="PROD-026"/>
    <x v="27"/>
    <n v="4"/>
    <n v="4070"/>
    <n v="19"/>
    <n v="13186.8"/>
    <s v="Pending"/>
    <s v="Pune"/>
    <x v="2"/>
    <m/>
    <s v="Corporate"/>
    <n v="40"/>
    <x v="1"/>
    <x v="11"/>
  </r>
  <r>
    <s v="ORD-00254"/>
    <d v="2024-02-11T00:00:00"/>
    <s v="CUST-0169"/>
    <s v="PROD-047"/>
    <x v="21"/>
    <n v="3"/>
    <n v="3450"/>
    <n v="4.4000000000000004"/>
    <n v="9894.6"/>
    <s v="Cancelled"/>
    <s v="Bengaluru"/>
    <x v="5"/>
    <m/>
    <s v="SMB"/>
    <n v="42"/>
    <x v="0"/>
    <x v="0"/>
  </r>
  <r>
    <s v="ORD-00255"/>
    <d v="2024-08-07T00:00:00"/>
    <s v="CUST-0208"/>
    <s v="PROD-027"/>
    <x v="9"/>
    <n v="5"/>
    <n v="3780"/>
    <n v="13.5"/>
    <n v="16348.5"/>
    <s v="Completed"/>
    <s v="Mumbai"/>
    <x v="2"/>
    <m/>
    <s v="Retail"/>
    <n v="49"/>
    <x v="0"/>
    <x v="0"/>
  </r>
  <r>
    <s v="ORD-00256"/>
    <d v="2024-10-30T00:00:00"/>
    <s v="CUST-0249"/>
    <s v="PROD-057"/>
    <x v="10"/>
    <n v="1"/>
    <n v="960"/>
    <n v="29.2"/>
    <n v="679.68"/>
    <s v="Completed"/>
    <s v="Mumbai"/>
    <x v="1"/>
    <m/>
    <s v="Retail"/>
    <n v="44"/>
    <x v="0"/>
    <x v="0"/>
  </r>
  <r>
    <s v="ORD-00257"/>
    <d v="2024-01-30T00:00:00"/>
    <s v="CUST-0151"/>
    <s v="PROD-003"/>
    <x v="24"/>
    <n v="10"/>
    <n v="3570"/>
    <n v="10.7"/>
    <n v="31880.1"/>
    <s v="Completed"/>
    <s v="Mumbai"/>
    <x v="4"/>
    <m/>
    <s v="Retail"/>
    <n v="53"/>
    <x v="0"/>
    <x v="0"/>
  </r>
  <r>
    <s v="ORD-00258"/>
    <d v="2024-08-07T00:00:00"/>
    <s v="CUST-0115"/>
    <s v="PROD-003"/>
    <x v="6"/>
    <n v="7"/>
    <n v="3570"/>
    <n v="12.2"/>
    <n v="21941.22"/>
    <s v="Completed"/>
    <s v="Mumbai"/>
    <x v="4"/>
    <m/>
    <s v="SMB"/>
    <n v="65"/>
    <x v="0"/>
    <x v="0"/>
  </r>
  <r>
    <s v="ORD-00259"/>
    <d v="2024-10-10T00:00:00"/>
    <s v="CUST-0041"/>
    <s v="PROD-040"/>
    <x v="2"/>
    <n v="6"/>
    <n v="1080"/>
    <n v="19.8"/>
    <n v="5196.96"/>
    <s v="Completed"/>
    <s v="Bengaluru"/>
    <x v="3"/>
    <m/>
    <s v="SMB"/>
    <n v="26"/>
    <x v="2"/>
    <x v="6"/>
  </r>
  <r>
    <s v="ORD-00260"/>
    <d v="2024-12-23T00:00:00"/>
    <s v="CUST-0101"/>
    <s v="PROD-011"/>
    <x v="9"/>
    <n v="8"/>
    <n v="3450"/>
    <n v="19"/>
    <n v="22356"/>
    <s v="Completed"/>
    <s v="Hyderabad"/>
    <x v="0"/>
    <m/>
    <s v="SMB"/>
    <n v="40"/>
    <x v="4"/>
    <x v="9"/>
  </r>
  <r>
    <s v="ORD-00261"/>
    <d v="2024-03-20T00:00:00"/>
    <s v="CUST-0198"/>
    <s v="PROD-008"/>
    <x v="12"/>
    <n v="4"/>
    <n v="2660"/>
    <n v="18.8"/>
    <n v="8639.68"/>
    <s v="Pending"/>
    <s v="Chennai"/>
    <x v="4"/>
    <m/>
    <s v="Corporate"/>
    <n v="22"/>
    <x v="4"/>
    <x v="8"/>
  </r>
  <r>
    <s v="ORD-00262"/>
    <d v="2024-08-18T00:00:00"/>
    <s v="CUST-0200"/>
    <s v="PROD-058"/>
    <x v="18"/>
    <n v="4"/>
    <n v="2400"/>
    <n v="5.6"/>
    <n v="9062.4"/>
    <s v="Completed"/>
    <s v="Hyderabad"/>
    <x v="1"/>
    <m/>
    <s v="Corporate"/>
    <n v="46"/>
    <x v="0"/>
    <x v="0"/>
  </r>
  <r>
    <s v="ORD-00263"/>
    <d v="2024-08-09T00:00:00"/>
    <s v="CUST-0110"/>
    <s v="PROD-002"/>
    <x v="11"/>
    <n v="10"/>
    <n v="2600"/>
    <n v="24.7"/>
    <n v="19578"/>
    <s v="Completed"/>
    <s v="Pune"/>
    <x v="4"/>
    <m/>
    <s v="Corporate"/>
    <n v="31"/>
    <x v="4"/>
    <x v="6"/>
  </r>
  <r>
    <s v="ORD-00264"/>
    <d v="2024-08-09T00:00:00"/>
    <s v="CUST-0134"/>
    <s v="PROD-025"/>
    <x v="10"/>
    <n v="3"/>
    <n v="4060"/>
    <n v="6.9"/>
    <n v="11339.58"/>
    <s v="Completed"/>
    <s v="Delhi"/>
    <x v="2"/>
    <m/>
    <s v="Retail"/>
    <n v="40"/>
    <x v="1"/>
    <x v="6"/>
  </r>
  <r>
    <s v="ORD-00265"/>
    <d v="2024-06-22T00:00:00"/>
    <s v="CUST-0141"/>
    <s v="PROD-038"/>
    <x v="12"/>
    <n v="6"/>
    <n v="5490"/>
    <n v="8.4"/>
    <n v="30173.040000000001"/>
    <s v="Completed"/>
    <s v="Hyderabad"/>
    <x v="3"/>
    <m/>
    <s v="Corporate"/>
    <n v="22"/>
    <x v="1"/>
    <x v="6"/>
  </r>
  <r>
    <s v="ORD-00266"/>
    <d v="2024-04-25T00:00:00"/>
    <s v="CUST-0163"/>
    <s v="PROD-032"/>
    <x v="26"/>
    <n v="6"/>
    <n v="370"/>
    <n v="15.1"/>
    <n v="1884.78"/>
    <s v="Completed"/>
    <s v="Pune"/>
    <x v="3"/>
    <m/>
    <s v="Retail"/>
    <n v="49"/>
    <x v="0"/>
    <x v="0"/>
  </r>
  <r>
    <s v="ORD-00267"/>
    <d v="2024-04-23T00:00:00"/>
    <s v="CUST-0181"/>
    <s v="PROD-016"/>
    <x v="12"/>
    <n v="5"/>
    <n v="620"/>
    <n v="13.1"/>
    <n v="2693.9"/>
    <s v="Cancelled"/>
    <s v="Delhi"/>
    <x v="0"/>
    <m/>
    <s v="SMB"/>
    <n v="38"/>
    <x v="3"/>
    <x v="4"/>
  </r>
  <r>
    <s v="ORD-00268"/>
    <d v="2024-02-10T00:00:00"/>
    <s v="CUST-0133"/>
    <s v="PROD-036"/>
    <x v="20"/>
    <n v="9"/>
    <n v="3250"/>
    <n v="16.5"/>
    <n v="24423.75"/>
    <s v="Completed"/>
    <s v="Chennai"/>
    <x v="3"/>
    <m/>
    <s v="Retail"/>
    <n v="26"/>
    <x v="3"/>
    <x v="4"/>
  </r>
  <r>
    <s v="ORD-00269"/>
    <d v="2024-01-08T00:00:00"/>
    <s v="CUST-0095"/>
    <s v="PROD-050"/>
    <x v="23"/>
    <n v="1"/>
    <n v="6080"/>
    <n v="0.1"/>
    <n v="6073.92"/>
    <s v="Completed"/>
    <s v="Mumbai"/>
    <x v="5"/>
    <m/>
    <s v="SMB"/>
    <n v="54"/>
    <x v="0"/>
    <x v="0"/>
  </r>
  <r>
    <s v="ORD-00270"/>
    <d v="2024-04-04T00:00:00"/>
    <s v="CUST-0171"/>
    <s v="PROD-013"/>
    <x v="2"/>
    <n v="8"/>
    <n v="3640"/>
    <n v="13.5"/>
    <n v="25188.799999999999"/>
    <s v="Completed"/>
    <s v="Chennai"/>
    <x v="0"/>
    <m/>
    <s v="Corporate"/>
    <n v="30"/>
    <x v="4"/>
    <x v="12"/>
  </r>
  <r>
    <s v="ORD-00271"/>
    <d v="2024-06-29T00:00:00"/>
    <s v="CUST-0238"/>
    <s v="PROD-012"/>
    <x v="1"/>
    <n v="9"/>
    <n v="3160"/>
    <n v="29.7"/>
    <n v="19993.32"/>
    <s v="Completed"/>
    <s v="Delhi"/>
    <x v="0"/>
    <m/>
    <s v="Retail"/>
    <n v="49"/>
    <x v="0"/>
    <x v="0"/>
  </r>
  <r>
    <s v="ORD-00272"/>
    <d v="2024-05-16T00:00:00"/>
    <s v="CUST-0185"/>
    <s v="PROD-004"/>
    <x v="0"/>
    <n v="2"/>
    <n v="3870"/>
    <n v="18.100000000000001"/>
    <n v="6339.06"/>
    <s v="Cancelled"/>
    <s v="Hyderabad"/>
    <x v="4"/>
    <m/>
    <s v="SMB"/>
    <n v="43"/>
    <x v="0"/>
    <x v="0"/>
  </r>
  <r>
    <s v="ORD-00273"/>
    <d v="2024-05-18T00:00:00"/>
    <s v="CUST-0167"/>
    <s v="PROD-037"/>
    <x v="14"/>
    <n v="3"/>
    <n v="660"/>
    <n v="9.1999999999999993"/>
    <n v="1797.84"/>
    <s v="Completed"/>
    <s v="Delhi"/>
    <x v="3"/>
    <m/>
    <s v="Retail"/>
    <n v="43"/>
    <x v="0"/>
    <x v="0"/>
  </r>
  <r>
    <s v="ORD-00274"/>
    <d v="2024-05-06T00:00:00"/>
    <s v="CUST-0224"/>
    <s v="PROD-025"/>
    <x v="22"/>
    <n v="4"/>
    <n v="4060"/>
    <n v="28"/>
    <n v="11692.8"/>
    <s v="Completed"/>
    <s v="Chennai"/>
    <x v="2"/>
    <m/>
    <s v="Corporate"/>
    <n v="24"/>
    <x v="2"/>
    <x v="2"/>
  </r>
  <r>
    <s v="ORD-00275"/>
    <d v="2024-03-09T00:00:00"/>
    <s v="CUST-0181"/>
    <s v="PROD-034"/>
    <x v="29"/>
    <n v="2"/>
    <n v="5080"/>
    <n v="7.7"/>
    <n v="9377.68"/>
    <s v="Refunded"/>
    <s v="Delhi"/>
    <x v="3"/>
    <m/>
    <s v="SMB"/>
    <n v="38"/>
    <x v="4"/>
    <x v="2"/>
  </r>
  <r>
    <s v="ORD-00276"/>
    <d v="2024-01-05T00:00:00"/>
    <s v="CUST-0020"/>
    <s v="PROD-003"/>
    <x v="1"/>
    <n v="3"/>
    <n v="3570"/>
    <n v="9.5"/>
    <n v="9692.5499999999993"/>
    <s v="Completed"/>
    <s v="Hyderabad"/>
    <x v="4"/>
    <m/>
    <s v="Retail"/>
    <n v="46"/>
    <x v="0"/>
    <x v="0"/>
  </r>
  <r>
    <s v="ORD-00277"/>
    <d v="2024-06-17T00:00:00"/>
    <s v="CUST-0183"/>
    <s v="PROD-016"/>
    <x v="16"/>
    <n v="2"/>
    <n v="620"/>
    <n v="29.5"/>
    <n v="874.2"/>
    <s v="Completed"/>
    <s v="Mumbai"/>
    <x v="0"/>
    <m/>
    <s v="SMB"/>
    <n v="27"/>
    <x v="1"/>
    <x v="12"/>
  </r>
  <r>
    <s v="ORD-00278"/>
    <d v="2024-12-12T00:00:00"/>
    <s v="CUST-0028"/>
    <s v="PROD-011"/>
    <x v="22"/>
    <n v="3"/>
    <n v="3450"/>
    <n v="3"/>
    <n v="10039.5"/>
    <s v="Completed"/>
    <s v="Bengaluru"/>
    <x v="0"/>
    <m/>
    <s v="Retail"/>
    <n v="59"/>
    <x v="0"/>
    <x v="0"/>
  </r>
  <r>
    <s v="ORD-00279"/>
    <d v="2024-04-26T00:00:00"/>
    <s v="CUST-0121"/>
    <s v="PROD-048"/>
    <x v="3"/>
    <n v="7"/>
    <n v="5100"/>
    <n v="4.3"/>
    <n v="34164.9"/>
    <s v="Completed"/>
    <s v="Delhi"/>
    <x v="5"/>
    <m/>
    <s v="SMB"/>
    <n v="55"/>
    <x v="0"/>
    <x v="0"/>
  </r>
  <r>
    <s v="ORD-00280"/>
    <d v="2024-09-06T00:00:00"/>
    <s v="CUST-0192"/>
    <s v="PROD-004"/>
    <x v="11"/>
    <n v="9"/>
    <n v="3870"/>
    <n v="4.8"/>
    <n v="33158.160000000003"/>
    <s v="Completed"/>
    <s v="Bengaluru"/>
    <x v="4"/>
    <m/>
    <s v="Retail"/>
    <n v="55"/>
    <x v="0"/>
    <x v="0"/>
  </r>
  <r>
    <s v="ORD-00281"/>
    <d v="2024-12-07T00:00:00"/>
    <s v="CUST-0155"/>
    <s v="PROD-009"/>
    <x v="20"/>
    <n v="5"/>
    <n v="1220"/>
    <n v="4"/>
    <n v="5856"/>
    <s v="Cancelled"/>
    <s v="Pune"/>
    <x v="4"/>
    <m/>
    <s v="Corporate"/>
    <n v="40"/>
    <x v="1"/>
    <x v="1"/>
  </r>
  <r>
    <s v="ORD-00282"/>
    <d v="2024-02-16T00:00:00"/>
    <s v="CUST-0159"/>
    <s v="PROD-038"/>
    <x v="12"/>
    <n v="5"/>
    <n v="5490"/>
    <n v="19.8"/>
    <n v="22014.9"/>
    <s v="Completed"/>
    <s v="Hyderabad"/>
    <x v="3"/>
    <m/>
    <s v="Retail"/>
    <n v="32"/>
    <x v="2"/>
    <x v="8"/>
  </r>
  <r>
    <s v="ORD-00283"/>
    <d v="2024-08-25T00:00:00"/>
    <s v="CUST-0025"/>
    <s v="PROD-044"/>
    <x v="19"/>
    <n v="1"/>
    <n v="1650"/>
    <n v="26.2"/>
    <n v="1217.7"/>
    <s v="Completed"/>
    <s v="Bengaluru"/>
    <x v="5"/>
    <m/>
    <s v="Retail"/>
    <n v="23"/>
    <x v="3"/>
    <x v="5"/>
  </r>
  <r>
    <s v="ORD-00284"/>
    <d v="2024-06-17T00:00:00"/>
    <s v="CUST-0297"/>
    <s v="PROD-008"/>
    <x v="11"/>
    <n v="1"/>
    <n v="2660"/>
    <n v="21"/>
    <n v="2101.4"/>
    <s v="Completed"/>
    <s v="Hyderabad"/>
    <x v="4"/>
    <m/>
    <s v="Retail"/>
    <n v="50"/>
    <x v="0"/>
    <x v="0"/>
  </r>
  <r>
    <s v="ORD-00285"/>
    <d v="2024-03-24T00:00:00"/>
    <s v="CUST-0108"/>
    <s v="PROD-029"/>
    <x v="11"/>
    <n v="6"/>
    <n v="2210"/>
    <n v="9.8000000000000007"/>
    <n v="11960.52"/>
    <s v="Pending"/>
    <s v="Bengaluru"/>
    <x v="2"/>
    <m/>
    <s v="Corporate"/>
    <n v="59"/>
    <x v="0"/>
    <x v="0"/>
  </r>
  <r>
    <s v="ORD-00286"/>
    <d v="2024-01-19T00:00:00"/>
    <s v="CUST-0121"/>
    <s v="PROD-002"/>
    <x v="19"/>
    <n v="9"/>
    <n v="2600"/>
    <n v="15.7"/>
    <n v="19726.2"/>
    <s v="Completed"/>
    <s v="Delhi"/>
    <x v="4"/>
    <m/>
    <s v="SMB"/>
    <n v="55"/>
    <x v="0"/>
    <x v="0"/>
  </r>
  <r>
    <s v="ORD-00287"/>
    <d v="2024-01-23T00:00:00"/>
    <s v="CUST-0160"/>
    <s v="PROD-045"/>
    <x v="5"/>
    <n v="3"/>
    <n v="3020"/>
    <n v="22.6"/>
    <n v="7012.44"/>
    <s v="Completed"/>
    <s v="Hyderabad"/>
    <x v="5"/>
    <m/>
    <s v="Retail"/>
    <n v="27"/>
    <x v="1"/>
    <x v="12"/>
  </r>
  <r>
    <s v="ORD-00288"/>
    <d v="2024-06-16T00:00:00"/>
    <s v="CUST-0230"/>
    <s v="PROD-032"/>
    <x v="1"/>
    <n v="6"/>
    <n v="370"/>
    <n v="12.4"/>
    <n v="1944.72"/>
    <s v="Completed"/>
    <s v="Pune"/>
    <x v="3"/>
    <m/>
    <s v="Corporate"/>
    <n v="33"/>
    <x v="2"/>
    <x v="12"/>
  </r>
  <r>
    <s v="ORD-00289"/>
    <d v="2024-01-21T00:00:00"/>
    <s v="CUST-0151"/>
    <s v="PROD-001"/>
    <x v="3"/>
    <n v="8"/>
    <n v="5330"/>
    <n v="16.2"/>
    <n v="35732.32"/>
    <s v="Completed"/>
    <s v="Mumbai"/>
    <x v="4"/>
    <m/>
    <s v="Retail"/>
    <n v="53"/>
    <x v="0"/>
    <x v="0"/>
  </r>
  <r>
    <s v="ORD-00290"/>
    <d v="2024-07-27T00:00:00"/>
    <s v="CUST-0222"/>
    <s v="PROD-018"/>
    <x v="14"/>
    <n v="4"/>
    <n v="3560"/>
    <n v="10.5"/>
    <n v="12744.8"/>
    <s v="Completed"/>
    <s v="Chennai"/>
    <x v="0"/>
    <m/>
    <s v="Retail"/>
    <n v="37"/>
    <x v="1"/>
    <x v="12"/>
  </r>
  <r>
    <s v="ORD-00291"/>
    <d v="2024-04-07T00:00:00"/>
    <s v="CUST-0055"/>
    <s v="PROD-054"/>
    <x v="14"/>
    <n v="10"/>
    <n v="1010"/>
    <n v="10.8"/>
    <n v="9009.2000000000007"/>
    <s v="Completed"/>
    <s v="Bengaluru"/>
    <x v="1"/>
    <m/>
    <s v="Retail"/>
    <n v="34"/>
    <x v="2"/>
    <x v="11"/>
  </r>
  <r>
    <s v="ORD-00292"/>
    <d v="2024-11-23T00:00:00"/>
    <s v="CUST-0011"/>
    <s v="PROD-056"/>
    <x v="3"/>
    <n v="8"/>
    <n v="6940"/>
    <n v="3.2"/>
    <n v="53743.360000000001"/>
    <s v="Cancelled"/>
    <s v="Chennai"/>
    <x v="1"/>
    <m/>
    <s v="Corporate"/>
    <n v="41"/>
    <x v="0"/>
    <x v="0"/>
  </r>
  <r>
    <s v="ORD-00335"/>
    <d v="2024-11-21T00:00:00"/>
    <s v="CUST-0020"/>
    <s v="PROD-012"/>
    <x v="15"/>
    <n v="7"/>
    <n v="3160"/>
    <n v="3.6"/>
    <n v="21323.68"/>
    <s v="Completed"/>
    <s v="Hyderabad"/>
    <x v="0"/>
    <m/>
    <s v="Retail"/>
    <n v="46"/>
    <x v="0"/>
    <x v="0"/>
  </r>
  <r>
    <s v="ORD-00294"/>
    <d v="2024-12-14T00:00:00"/>
    <s v="CUST-0163"/>
    <s v="PROD-028"/>
    <x v="4"/>
    <n v="2"/>
    <n v="3660"/>
    <n v="30"/>
    <n v="5124"/>
    <s v="Pending"/>
    <s v="Pune"/>
    <x v="2"/>
    <m/>
    <s v="Retail"/>
    <n v="49"/>
    <x v="0"/>
    <x v="0"/>
  </r>
  <r>
    <s v="ORD-00295"/>
    <d v="2024-04-19T00:00:00"/>
    <s v="CUST-0081"/>
    <s v="PROD-024"/>
    <x v="1"/>
    <n v="1"/>
    <n v="2270"/>
    <n v="4.8"/>
    <n v="2161.04"/>
    <s v="Cancelled"/>
    <s v="Mumbai"/>
    <x v="2"/>
    <m/>
    <s v="Retail"/>
    <n v="25"/>
    <x v="1"/>
    <x v="8"/>
  </r>
  <r>
    <s v="ORD-00296"/>
    <d v="2024-04-23T00:00:00"/>
    <s v="CUST-0053"/>
    <s v="PROD-059"/>
    <x v="5"/>
    <n v="8"/>
    <n v="3780"/>
    <n v="13"/>
    <n v="26308.799999999999"/>
    <s v="Completed"/>
    <s v="Delhi"/>
    <x v="1"/>
    <m/>
    <s v="Retail"/>
    <n v="53"/>
    <x v="0"/>
    <x v="0"/>
  </r>
  <r>
    <s v="ORD-01770"/>
    <d v="2024-09-02T00:00:00"/>
    <s v="CUST-0115"/>
    <s v="PROD-013"/>
    <x v="27"/>
    <n v="1"/>
    <n v="3640"/>
    <n v="15.3"/>
    <n v="3083.08"/>
    <s v="Pending"/>
    <s v="Mumbai"/>
    <x v="0"/>
    <m/>
    <s v="SMB"/>
    <n v="65"/>
    <x v="0"/>
    <x v="0"/>
  </r>
  <r>
    <s v="ORD-00298"/>
    <d v="2024-07-02T00:00:00"/>
    <s v="CUST-0166"/>
    <s v="PROD-009"/>
    <x v="18"/>
    <n v="8"/>
    <n v="1220"/>
    <n v="28.2"/>
    <n v="7007.68"/>
    <s v="Completed"/>
    <s v="Hyderabad"/>
    <x v="4"/>
    <m/>
    <s v="Retail"/>
    <n v="31"/>
    <x v="4"/>
    <x v="1"/>
  </r>
  <r>
    <s v="ORD-00299"/>
    <d v="2024-11-28T00:00:00"/>
    <s v="CUST-0263"/>
    <s v="PROD-017"/>
    <x v="14"/>
    <n v="3"/>
    <n v="2510"/>
    <n v="17.399999999999999"/>
    <n v="6219.78"/>
    <s v="Completed"/>
    <s v="Mumbai"/>
    <x v="0"/>
    <m/>
    <s v="Retail"/>
    <n v="40"/>
    <x v="4"/>
    <x v="11"/>
  </r>
  <r>
    <s v="ORD-00300"/>
    <d v="2024-12-09T00:00:00"/>
    <s v="CUST-0010"/>
    <s v="PROD-040"/>
    <x v="10"/>
    <n v="1"/>
    <n v="1080"/>
    <n v="13.9"/>
    <n v="929.88"/>
    <s v="Completed"/>
    <s v="Mumbai"/>
    <x v="3"/>
    <m/>
    <s v="SMB"/>
    <n v="61"/>
    <x v="0"/>
    <x v="0"/>
  </r>
  <r>
    <s v="ORD-00301"/>
    <d v="2024-04-13T00:00:00"/>
    <s v="CUST-0036"/>
    <s v="PROD-033"/>
    <x v="29"/>
    <n v="7"/>
    <n v="2030"/>
    <n v="29.2"/>
    <n v="10060.68"/>
    <s v="Completed"/>
    <s v="Mumbai"/>
    <x v="3"/>
    <m/>
    <s v="Retail"/>
    <n v="35"/>
    <x v="1"/>
    <x v="8"/>
  </r>
  <r>
    <s v="ORD-00302"/>
    <d v="2024-05-03T00:00:00"/>
    <s v="CUST-0259"/>
    <s v="PROD-059"/>
    <x v="16"/>
    <n v="6"/>
    <n v="3780"/>
    <n v="20.9"/>
    <n v="17939.88"/>
    <s v="Refunded"/>
    <s v="Mumbai"/>
    <x v="1"/>
    <m/>
    <s v="Retail"/>
    <n v="34"/>
    <x v="4"/>
    <x v="4"/>
  </r>
  <r>
    <s v="ORD-00303"/>
    <d v="2024-12-27T00:00:00"/>
    <s v="CUST-0247"/>
    <s v="PROD-012"/>
    <x v="29"/>
    <n v="1"/>
    <n v="3160"/>
    <n v="10.7"/>
    <n v="2821.88"/>
    <s v="Completed"/>
    <s v="Pune"/>
    <x v="0"/>
    <m/>
    <s v="SMB"/>
    <n v="35"/>
    <x v="3"/>
    <x v="2"/>
  </r>
  <r>
    <s v="ORD-00881"/>
    <d v="2024-09-29T00:00:00"/>
    <s v="CUST-0191"/>
    <s v="PROD-046"/>
    <x v="9"/>
    <n v="5"/>
    <n v="4880"/>
    <n v="11.4"/>
    <n v="21618.400000000001"/>
    <s v="Completed"/>
    <s v="Hyderabad"/>
    <x v="5"/>
    <m/>
    <s v="SMB"/>
    <n v="43"/>
    <x v="0"/>
    <x v="0"/>
  </r>
  <r>
    <s v="ORD-00305"/>
    <d v="2024-12-07T00:00:00"/>
    <s v="CUST-0167"/>
    <s v="PROD-031"/>
    <x v="18"/>
    <n v="9"/>
    <n v="3730"/>
    <n v="10"/>
    <n v="30213"/>
    <s v="Completed"/>
    <s v="Delhi"/>
    <x v="3"/>
    <m/>
    <s v="Retail"/>
    <n v="43"/>
    <x v="0"/>
    <x v="0"/>
  </r>
  <r>
    <s v="ORD-00306"/>
    <d v="2024-01-18T00:00:00"/>
    <s v="CUST-0196"/>
    <s v="PROD-034"/>
    <x v="10"/>
    <n v="5"/>
    <n v="5080"/>
    <n v="15.3"/>
    <n v="21513.8"/>
    <s v="Completed"/>
    <s v="Chennai"/>
    <x v="3"/>
    <m/>
    <s v="Retail"/>
    <n v="26"/>
    <x v="4"/>
    <x v="8"/>
  </r>
  <r>
    <s v="ORD-00307"/>
    <d v="2024-04-21T00:00:00"/>
    <s v="CUST-0182"/>
    <s v="PROD-042"/>
    <x v="22"/>
    <n v="9"/>
    <n v="2290"/>
    <n v="3.3"/>
    <n v="19929.87"/>
    <s v="Pending"/>
    <s v="Mumbai"/>
    <x v="5"/>
    <m/>
    <s v="Retail"/>
    <n v="54"/>
    <x v="0"/>
    <x v="0"/>
  </r>
  <r>
    <s v="ORD-00308"/>
    <d v="2024-09-19T00:00:00"/>
    <s v="CUST-0246"/>
    <s v="PROD-008"/>
    <x v="9"/>
    <n v="5"/>
    <n v="2660"/>
    <n v="8.3000000000000007"/>
    <n v="12196.1"/>
    <s v="Completed"/>
    <s v="Delhi"/>
    <x v="4"/>
    <m/>
    <s v="SMB"/>
    <n v="29"/>
    <x v="4"/>
    <x v="4"/>
  </r>
  <r>
    <s v="ORD-00309"/>
    <d v="2024-08-25T00:00:00"/>
    <s v="CUST-0132"/>
    <s v="PROD-027"/>
    <x v="5"/>
    <n v="6"/>
    <n v="3780"/>
    <n v="28.3"/>
    <n v="16261.56"/>
    <s v="Completed"/>
    <s v="Delhi"/>
    <x v="2"/>
    <m/>
    <s v="Retail"/>
    <n v="41"/>
    <x v="0"/>
    <x v="0"/>
  </r>
  <r>
    <s v="ORD-00310"/>
    <d v="2024-01-09T00:00:00"/>
    <s v="CUST-0153"/>
    <s v="PROD-021"/>
    <x v="8"/>
    <n v="5"/>
    <n v="2760"/>
    <n v="4.9000000000000004"/>
    <n v="13123.8"/>
    <s v="Completed"/>
    <s v="Mumbai"/>
    <x v="2"/>
    <m/>
    <s v="Retail"/>
    <n v="35"/>
    <x v="2"/>
    <x v="6"/>
  </r>
  <r>
    <s v="ORD-00311"/>
    <d v="2024-03-17T00:00:00"/>
    <s v="CUST-0139"/>
    <s v="PROD-041"/>
    <x v="3"/>
    <n v="8"/>
    <n v="1540"/>
    <n v="29.4"/>
    <n v="8697.92"/>
    <s v="Cancelled"/>
    <s v="Hyderabad"/>
    <x v="5"/>
    <m/>
    <s v="SMB"/>
    <n v="65"/>
    <x v="0"/>
    <x v="0"/>
  </r>
  <r>
    <s v="ORD-00312"/>
    <d v="2024-03-23T00:00:00"/>
    <s v="CUST-0256"/>
    <s v="PROD-046"/>
    <x v="24"/>
    <n v="1"/>
    <n v="4880"/>
    <n v="18.100000000000001"/>
    <n v="3996.72"/>
    <s v="Completed"/>
    <s v="Hyderabad"/>
    <x v="5"/>
    <m/>
    <s v="Retail"/>
    <n v="28"/>
    <x v="1"/>
    <x v="10"/>
  </r>
  <r>
    <s v="ORD-00313"/>
    <d v="2024-10-27T00:00:00"/>
    <s v="CUST-0027"/>
    <s v="PROD-024"/>
    <x v="15"/>
    <n v="8"/>
    <n v="2270"/>
    <n v="19.8"/>
    <n v="14564.32"/>
    <s v="Pending"/>
    <s v="Hyderabad"/>
    <x v="2"/>
    <m/>
    <s v="Corporate"/>
    <n v="52"/>
    <x v="0"/>
    <x v="0"/>
  </r>
  <r>
    <s v="ORD-00314"/>
    <d v="2024-08-04T00:00:00"/>
    <s v="CUST-0151"/>
    <s v="PROD-019"/>
    <x v="9"/>
    <n v="10"/>
    <n v="2480"/>
    <n v="24.4"/>
    <n v="18748.8"/>
    <s v="Pending"/>
    <s v="Mumbai"/>
    <x v="0"/>
    <m/>
    <s v="Retail"/>
    <n v="53"/>
    <x v="0"/>
    <x v="0"/>
  </r>
  <r>
    <s v="ORD-00315"/>
    <d v="2024-07-08T00:00:00"/>
    <s v="CUST-0204"/>
    <s v="PROD-045"/>
    <x v="2"/>
    <n v="8"/>
    <n v="3020"/>
    <n v="15.2"/>
    <n v="20487.68"/>
    <s v="Pending"/>
    <s v="Hyderabad"/>
    <x v="5"/>
    <m/>
    <s v="Retail"/>
    <n v="60"/>
    <x v="0"/>
    <x v="0"/>
  </r>
  <r>
    <s v="ORD-00316"/>
    <d v="2024-08-13T00:00:00"/>
    <s v="CUST-0084"/>
    <s v="PROD-041"/>
    <x v="7"/>
    <n v="10"/>
    <n v="1540"/>
    <n v="0.6"/>
    <n v="15307.6"/>
    <s v="Completed"/>
    <s v="Chennai"/>
    <x v="5"/>
    <m/>
    <s v="Retail"/>
    <n v="28"/>
    <x v="4"/>
    <x v="11"/>
  </r>
  <r>
    <s v="ORD-00317"/>
    <d v="2024-12-06T00:00:00"/>
    <s v="CUST-0048"/>
    <s v="PROD-012"/>
    <x v="19"/>
    <n v="7"/>
    <n v="3160"/>
    <n v="8.9"/>
    <n v="20151.32"/>
    <s v="Completed"/>
    <s v="Delhi"/>
    <x v="0"/>
    <m/>
    <s v="Retail"/>
    <n v="59"/>
    <x v="0"/>
    <x v="0"/>
  </r>
  <r>
    <s v="ORD-00318"/>
    <d v="2024-10-27T00:00:00"/>
    <s v="CUST-0013"/>
    <s v="PROD-054"/>
    <x v="22"/>
    <n v="6"/>
    <n v="1010"/>
    <n v="12.9"/>
    <n v="5278.26"/>
    <s v="Completed"/>
    <s v="Delhi"/>
    <x v="1"/>
    <m/>
    <s v="Retail"/>
    <n v="41"/>
    <x v="0"/>
    <x v="0"/>
  </r>
  <r>
    <s v="ORD-00319"/>
    <d v="2024-06-07T00:00:00"/>
    <s v="CUST-0245"/>
    <s v="PROD-039"/>
    <x v="16"/>
    <n v="4"/>
    <n v="4610"/>
    <n v="18.2"/>
    <n v="15083.92"/>
    <s v="Completed"/>
    <s v="Hyderabad"/>
    <x v="3"/>
    <m/>
    <s v="Retail"/>
    <n v="65"/>
    <x v="0"/>
    <x v="0"/>
  </r>
  <r>
    <s v="ORD-00320"/>
    <d v="2024-02-21T00:00:00"/>
    <s v="CUST-0031"/>
    <s v="PROD-025"/>
    <x v="20"/>
    <n v="6"/>
    <n v="4060"/>
    <n v="24.3"/>
    <n v="18440.52"/>
    <s v="Completed"/>
    <s v="Hyderabad"/>
    <x v="2"/>
    <m/>
    <s v="Retail"/>
    <n v="53"/>
    <x v="0"/>
    <x v="0"/>
  </r>
  <r>
    <s v="ORD-00321"/>
    <d v="2024-08-05T00:00:00"/>
    <s v="CUST-0212"/>
    <s v="PROD-016"/>
    <x v="19"/>
    <n v="5"/>
    <n v="620"/>
    <n v="10.7"/>
    <n v="2768.3"/>
    <s v="Refunded"/>
    <s v="Chennai"/>
    <x v="0"/>
    <m/>
    <s v="SMB"/>
    <n v="46"/>
    <x v="0"/>
    <x v="0"/>
  </r>
  <r>
    <s v="ORD-00322"/>
    <d v="2024-08-09T00:00:00"/>
    <s v="CUST-0104"/>
    <s v="PROD-018"/>
    <x v="11"/>
    <n v="3"/>
    <n v="3560"/>
    <n v="4.0999999999999996"/>
    <n v="10242.120000000001"/>
    <s v="Completed"/>
    <s v="Hyderabad"/>
    <x v="0"/>
    <m/>
    <s v="Corporate"/>
    <n v="43"/>
    <x v="0"/>
    <x v="0"/>
  </r>
  <r>
    <s v="ORD-00323"/>
    <d v="2024-07-27T00:00:00"/>
    <s v="CUST-0157"/>
    <s v="PROD-058"/>
    <x v="27"/>
    <n v="2"/>
    <n v="2400"/>
    <n v="13"/>
    <n v="4176"/>
    <s v="Completed"/>
    <s v="Pune"/>
    <x v="1"/>
    <m/>
    <s v="Corporate"/>
    <n v="52"/>
    <x v="0"/>
    <x v="0"/>
  </r>
  <r>
    <s v="ORD-00324"/>
    <d v="2024-04-25T00:00:00"/>
    <s v="CUST-0004"/>
    <s v="PROD-056"/>
    <x v="3"/>
    <n v="9"/>
    <n v="6940"/>
    <n v="26.2"/>
    <n v="46095.48"/>
    <s v="Completed"/>
    <s v="Delhi"/>
    <x v="1"/>
    <m/>
    <s v="Retail"/>
    <n v="53"/>
    <x v="0"/>
    <x v="0"/>
  </r>
  <r>
    <s v="ORD-00325"/>
    <d v="2024-04-03T00:00:00"/>
    <s v="CUST-0003"/>
    <s v="PROD-023"/>
    <x v="5"/>
    <n v="9"/>
    <n v="2380"/>
    <n v="22.7"/>
    <n v="16557.66"/>
    <s v="Completed"/>
    <s v="Mumbai"/>
    <x v="2"/>
    <m/>
    <s v="Retail"/>
    <n v="33"/>
    <x v="1"/>
    <x v="4"/>
  </r>
  <r>
    <s v="ORD-00326"/>
    <d v="2024-09-07T00:00:00"/>
    <s v="CUST-0175"/>
    <s v="PROD-014"/>
    <x v="8"/>
    <n v="6"/>
    <n v="3620"/>
    <n v="9.1999999999999993"/>
    <n v="19721.759999999998"/>
    <s v="Completed"/>
    <s v="Delhi"/>
    <x v="0"/>
    <m/>
    <s v="Corporate"/>
    <n v="55"/>
    <x v="0"/>
    <x v="0"/>
  </r>
  <r>
    <s v="ORD-00327"/>
    <d v="2024-05-10T00:00:00"/>
    <s v="CUST-0104"/>
    <s v="PROD-050"/>
    <x v="10"/>
    <n v="1"/>
    <n v="6080"/>
    <n v="29.4"/>
    <n v="4292.4799999999996"/>
    <s v="Cancelled"/>
    <s v="Hyderabad"/>
    <x v="5"/>
    <m/>
    <s v="Corporate"/>
    <n v="43"/>
    <x v="0"/>
    <x v="0"/>
  </r>
  <r>
    <s v="ORD-00328"/>
    <d v="2024-02-21T00:00:00"/>
    <s v="CUST-0196"/>
    <s v="PROD-020"/>
    <x v="26"/>
    <n v="6"/>
    <n v="820"/>
    <n v="29.1"/>
    <n v="3488.28"/>
    <s v="Completed"/>
    <s v="Chennai"/>
    <x v="0"/>
    <m/>
    <s v="Retail"/>
    <n v="26"/>
    <x v="1"/>
    <x v="2"/>
  </r>
  <r>
    <s v="ORD-00329"/>
    <d v="2024-12-20T00:00:00"/>
    <s v="CUST-0299"/>
    <s v="PROD-045"/>
    <x v="6"/>
    <n v="9"/>
    <n v="3020"/>
    <n v="7.9"/>
    <n v="25032.78"/>
    <s v="Completed"/>
    <s v="Mumbai"/>
    <x v="5"/>
    <m/>
    <s v="Corporate"/>
    <n v="51"/>
    <x v="0"/>
    <x v="0"/>
  </r>
  <r>
    <s v="ORD-00330"/>
    <d v="2024-12-19T00:00:00"/>
    <s v="CUST-0066"/>
    <s v="PROD-004"/>
    <x v="20"/>
    <n v="8"/>
    <n v="3870"/>
    <n v="11.9"/>
    <n v="27275.759999999998"/>
    <s v="Completed"/>
    <s v="Delhi"/>
    <x v="4"/>
    <m/>
    <s v="Retail"/>
    <n v="24"/>
    <x v="2"/>
    <x v="8"/>
  </r>
  <r>
    <s v="ORD-00331"/>
    <d v="2024-08-24T00:00:00"/>
    <s v="CUST-0080"/>
    <s v="PROD-047"/>
    <x v="14"/>
    <n v="6"/>
    <n v="3450"/>
    <n v="13.9"/>
    <n v="17822.7"/>
    <s v="Completed"/>
    <s v="Pune"/>
    <x v="5"/>
    <m/>
    <s v="SMB"/>
    <n v="30"/>
    <x v="2"/>
    <x v="8"/>
  </r>
  <r>
    <s v="ORD-00332"/>
    <d v="2024-12-29T00:00:00"/>
    <s v="CUST-0138"/>
    <s v="PROD-048"/>
    <x v="4"/>
    <n v="9"/>
    <n v="5100"/>
    <n v="2.1"/>
    <n v="44936.1"/>
    <s v="Completed"/>
    <s v="Chennai"/>
    <x v="5"/>
    <m/>
    <s v="Retail"/>
    <n v="24"/>
    <x v="2"/>
    <x v="6"/>
  </r>
  <r>
    <s v="ORD-00333"/>
    <d v="2024-08-14T00:00:00"/>
    <s v="CUST-0253"/>
    <s v="PROD-026"/>
    <x v="4"/>
    <n v="2"/>
    <n v="4070"/>
    <n v="28.6"/>
    <n v="5811.96"/>
    <s v="Completed"/>
    <s v="Delhi"/>
    <x v="2"/>
    <m/>
    <s v="SMB"/>
    <n v="53"/>
    <x v="0"/>
    <x v="0"/>
  </r>
  <r>
    <s v="ORD-00334"/>
    <d v="2024-02-17T00:00:00"/>
    <s v="CUST-0247"/>
    <s v="PROD-001"/>
    <x v="0"/>
    <n v="9"/>
    <n v="5330"/>
    <n v="6.2"/>
    <n v="44995.86"/>
    <s v="Completed"/>
    <s v="Pune"/>
    <x v="4"/>
    <m/>
    <s v="SMB"/>
    <n v="35"/>
    <x v="1"/>
    <x v="6"/>
  </r>
  <r>
    <s v="ORD-00335"/>
    <d v="2024-01-28T00:00:00"/>
    <s v="CUST-0269"/>
    <s v="PROD-024"/>
    <x v="16"/>
    <n v="6"/>
    <n v="2270"/>
    <n v="23.7"/>
    <n v="10392.06"/>
    <s v="Completed"/>
    <s v="Pune"/>
    <x v="2"/>
    <m/>
    <s v="Retail"/>
    <n v="48"/>
    <x v="0"/>
    <x v="0"/>
  </r>
  <r>
    <s v="ORD-00336"/>
    <d v="2024-11-22T00:00:00"/>
    <s v="CUST-0008"/>
    <s v="PROD-017"/>
    <x v="6"/>
    <n v="5"/>
    <n v="2510"/>
    <n v="25"/>
    <n v="9412.5"/>
    <s v="Completed"/>
    <s v="Pune"/>
    <x v="0"/>
    <m/>
    <s v="SMB"/>
    <n v="39"/>
    <x v="3"/>
    <x v="12"/>
  </r>
  <r>
    <s v="ORD-00337"/>
    <d v="2024-02-13T00:00:00"/>
    <s v="CUST-0134"/>
    <s v="PROD-023"/>
    <x v="7"/>
    <n v="9"/>
    <n v="2380"/>
    <n v="16.8"/>
    <n v="17821.439999999999"/>
    <s v="Completed"/>
    <s v="Delhi"/>
    <x v="2"/>
    <m/>
    <s v="Retail"/>
    <n v="40"/>
    <x v="2"/>
    <x v="3"/>
  </r>
  <r>
    <s v="ORD-00338"/>
    <d v="2024-05-08T00:00:00"/>
    <s v="CUST-0016"/>
    <s v="PROD-011"/>
    <x v="4"/>
    <n v="1"/>
    <n v="3450"/>
    <n v="1.5"/>
    <n v="3398.25"/>
    <s v="Refunded"/>
    <s v="Delhi"/>
    <x v="0"/>
    <m/>
    <s v="SMB"/>
    <n v="26"/>
    <x v="3"/>
    <x v="5"/>
  </r>
  <r>
    <s v="ORD-00339"/>
    <d v="2024-01-04T00:00:00"/>
    <s v="CUST-0281"/>
    <s v="PROD-003"/>
    <x v="25"/>
    <n v="5"/>
    <n v="3570"/>
    <n v="12.8"/>
    <n v="15565.2"/>
    <s v="Completed"/>
    <s v="Bengaluru"/>
    <x v="4"/>
    <m/>
    <s v="Corporate"/>
    <n v="57"/>
    <x v="0"/>
    <x v="0"/>
  </r>
  <r>
    <s v="ORD-00340"/>
    <d v="2024-10-25T00:00:00"/>
    <s v="CUST-0267"/>
    <s v="PROD-001"/>
    <x v="20"/>
    <n v="3"/>
    <n v="5330"/>
    <n v="16.2"/>
    <n v="13399.62"/>
    <s v="Completed"/>
    <s v="Hyderabad"/>
    <x v="4"/>
    <m/>
    <s v="Retail"/>
    <n v="27"/>
    <x v="1"/>
    <x v="12"/>
  </r>
  <r>
    <s v="ORD-00341"/>
    <d v="2024-02-19T00:00:00"/>
    <s v="CUST-0279"/>
    <s v="PROD-028"/>
    <x v="28"/>
    <n v="3"/>
    <n v="3660"/>
    <n v="25.3"/>
    <n v="8202.06"/>
    <s v="Completed"/>
    <s v="Mumbai"/>
    <x v="2"/>
    <m/>
    <s v="Retail"/>
    <n v="56"/>
    <x v="0"/>
    <x v="0"/>
  </r>
  <r>
    <s v="ORD-00342"/>
    <d v="2024-11-04T00:00:00"/>
    <s v="CUST-0036"/>
    <s v="PROD-054"/>
    <x v="15"/>
    <n v="2"/>
    <n v="1010"/>
    <n v="29.2"/>
    <n v="1430.16"/>
    <s v="Completed"/>
    <s v="Mumbai"/>
    <x v="1"/>
    <m/>
    <s v="Retail"/>
    <n v="35"/>
    <x v="2"/>
    <x v="5"/>
  </r>
  <r>
    <s v="ORD-00343"/>
    <d v="2024-08-02T00:00:00"/>
    <s v="CUST-0295"/>
    <s v="PROD-040"/>
    <x v="15"/>
    <n v="1"/>
    <n v="1080"/>
    <n v="1.8"/>
    <n v="1060.56"/>
    <s v="Completed"/>
    <s v="Delhi"/>
    <x v="3"/>
    <m/>
    <s v="SMB"/>
    <n v="48"/>
    <x v="0"/>
    <x v="0"/>
  </r>
  <r>
    <s v="ORD-00344"/>
    <d v="2024-05-02T00:00:00"/>
    <s v="CUST-0106"/>
    <s v="PROD-051"/>
    <x v="9"/>
    <n v="8"/>
    <n v="3450"/>
    <n v="20.399999999999999"/>
    <n v="21969.599999999999"/>
    <s v="Completed"/>
    <s v="Pune"/>
    <x v="1"/>
    <m/>
    <s v="Retail"/>
    <n v="22"/>
    <x v="4"/>
    <x v="6"/>
  </r>
  <r>
    <s v="ORD-00593"/>
    <d v="2024-09-18T00:00:00"/>
    <s v="CUST-0070"/>
    <s v="PROD-056"/>
    <x v="15"/>
    <n v="8"/>
    <n v="6940"/>
    <n v="19.399999999999999"/>
    <n v="44749.120000000003"/>
    <s v="Completed"/>
    <s v="Mumbai"/>
    <x v="1"/>
    <m/>
    <s v="Retail"/>
    <n v="42"/>
    <x v="0"/>
    <x v="0"/>
  </r>
  <r>
    <s v="ORD-00346"/>
    <d v="2024-05-22T00:00:00"/>
    <s v="CUST-0062"/>
    <s v="PROD-041"/>
    <x v="11"/>
    <n v="2"/>
    <n v="1540"/>
    <n v="9.3000000000000007"/>
    <n v="2793.56"/>
    <s v="Completed"/>
    <s v="Pune"/>
    <x v="5"/>
    <m/>
    <s v="Retail"/>
    <n v="54"/>
    <x v="0"/>
    <x v="0"/>
  </r>
  <r>
    <s v="ORD-00347"/>
    <d v="2024-06-03T00:00:00"/>
    <s v="CUST-0241"/>
    <s v="PROD-010"/>
    <x v="15"/>
    <n v="4"/>
    <n v="2640"/>
    <n v="23.2"/>
    <n v="8110.08"/>
    <s v="Refunded"/>
    <s v="Pune"/>
    <x v="4"/>
    <m/>
    <s v="Corporate"/>
    <n v="47"/>
    <x v="0"/>
    <x v="0"/>
  </r>
  <r>
    <s v="ORD-00348"/>
    <d v="2024-11-30T00:00:00"/>
    <s v="CUST-0001"/>
    <s v="PROD-052"/>
    <x v="6"/>
    <n v="6"/>
    <n v="5410"/>
    <n v="29.4"/>
    <n v="22916.76"/>
    <s v="Completed"/>
    <s v="Pune"/>
    <x v="1"/>
    <m/>
    <s v="Retail"/>
    <n v="36"/>
    <x v="4"/>
    <x v="7"/>
  </r>
  <r>
    <s v="ORD-00349"/>
    <d v="2024-06-16T00:00:00"/>
    <s v="CUST-0181"/>
    <s v="PROD-003"/>
    <x v="28"/>
    <n v="1"/>
    <n v="3570"/>
    <n v="4.3"/>
    <n v="3416.49"/>
    <s v="Completed"/>
    <s v="Delhi"/>
    <x v="4"/>
    <m/>
    <s v="SMB"/>
    <n v="38"/>
    <x v="2"/>
    <x v="3"/>
  </r>
  <r>
    <s v="ORD-00350"/>
    <d v="2024-08-16T00:00:00"/>
    <s v="CUST-0044"/>
    <s v="PROD-032"/>
    <x v="8"/>
    <n v="2"/>
    <n v="370"/>
    <n v="7.2"/>
    <n v="686.72"/>
    <s v="Completed"/>
    <s v="Hyderabad"/>
    <x v="3"/>
    <m/>
    <s v="SMB"/>
    <n v="29"/>
    <x v="2"/>
    <x v="7"/>
  </r>
  <r>
    <s v="ORD-00351"/>
    <d v="2024-01-23T00:00:00"/>
    <s v="CUST-0218"/>
    <s v="PROD-017"/>
    <x v="21"/>
    <n v="1"/>
    <n v="2510"/>
    <n v="2.4"/>
    <n v="2449.7600000000002"/>
    <s v="Completed"/>
    <s v="Mumbai"/>
    <x v="0"/>
    <m/>
    <s v="Retail"/>
    <n v="39"/>
    <x v="2"/>
    <x v="6"/>
  </r>
  <r>
    <s v="ORD-00352"/>
    <d v="2024-07-07T00:00:00"/>
    <s v="CUST-0061"/>
    <s v="PROD-013"/>
    <x v="24"/>
    <n v="8"/>
    <n v="3640"/>
    <n v="28.7"/>
    <n v="20762.560000000001"/>
    <s v="Pending"/>
    <s v="Hyderabad"/>
    <x v="0"/>
    <m/>
    <s v="Retail"/>
    <n v="64"/>
    <x v="0"/>
    <x v="0"/>
  </r>
  <r>
    <s v="ORD-00353"/>
    <d v="2024-08-16T00:00:00"/>
    <s v="CUST-0143"/>
    <s v="PROD-044"/>
    <x v="20"/>
    <n v="5"/>
    <n v="1650"/>
    <n v="13.4"/>
    <n v="7144.5"/>
    <s v="Pending"/>
    <s v="Chennai"/>
    <x v="5"/>
    <m/>
    <s v="SMB"/>
    <n v="52"/>
    <x v="0"/>
    <x v="0"/>
  </r>
  <r>
    <s v="ORD-00354"/>
    <d v="2024-03-09T00:00:00"/>
    <s v="CUST-0164"/>
    <s v="PROD-049"/>
    <x v="6"/>
    <n v="9"/>
    <n v="960"/>
    <n v="28.6"/>
    <n v="6168.96"/>
    <s v="Pending"/>
    <s v="Chennai"/>
    <x v="5"/>
    <m/>
    <s v="Retail"/>
    <n v="60"/>
    <x v="0"/>
    <x v="0"/>
  </r>
  <r>
    <s v="ORD-00355"/>
    <d v="2024-07-13T00:00:00"/>
    <s v="CUST-0152"/>
    <s v="PROD-027"/>
    <x v="13"/>
    <n v="4"/>
    <n v="3780"/>
    <n v="25.3"/>
    <n v="11294.64"/>
    <s v="Completed"/>
    <s v="Bengaluru"/>
    <x v="2"/>
    <m/>
    <s v="SMB"/>
    <n v="64"/>
    <x v="0"/>
    <x v="0"/>
  </r>
  <r>
    <s v="ORD-00356"/>
    <d v="2024-09-09T00:00:00"/>
    <s v="CUST-0143"/>
    <s v="PROD-044"/>
    <x v="2"/>
    <n v="4"/>
    <n v="1650"/>
    <n v="13.7"/>
    <n v="5695.8"/>
    <s v="Cancelled"/>
    <s v="Chennai"/>
    <x v="5"/>
    <m/>
    <s v="SMB"/>
    <n v="52"/>
    <x v="0"/>
    <x v="0"/>
  </r>
  <r>
    <s v="ORD-00357"/>
    <d v="2024-10-15T00:00:00"/>
    <s v="CUST-0232"/>
    <s v="PROD-014"/>
    <x v="27"/>
    <n v="6"/>
    <n v="3620"/>
    <n v="21.3"/>
    <n v="17093.64"/>
    <s v="Pending"/>
    <s v="Hyderabad"/>
    <x v="0"/>
    <m/>
    <s v="Retail"/>
    <n v="38"/>
    <x v="4"/>
    <x v="1"/>
  </r>
  <r>
    <s v="ORD-00358"/>
    <d v="2024-01-21T00:00:00"/>
    <s v="CUST-0067"/>
    <s v="PROD-022"/>
    <x v="14"/>
    <n v="10"/>
    <n v="2270"/>
    <n v="17.7"/>
    <n v="18682.099999999999"/>
    <s v="Completed"/>
    <s v="Delhi"/>
    <x v="2"/>
    <m/>
    <s v="SMB"/>
    <n v="59"/>
    <x v="0"/>
    <x v="0"/>
  </r>
  <r>
    <s v="ORD-00359"/>
    <d v="2024-06-04T00:00:00"/>
    <s v="CUST-0292"/>
    <s v="PROD-041"/>
    <x v="22"/>
    <n v="9"/>
    <n v="1540"/>
    <n v="10.7"/>
    <n v="12376.98"/>
    <s v="Completed"/>
    <s v="Bengaluru"/>
    <x v="5"/>
    <m/>
    <s v="Retail"/>
    <n v="32"/>
    <x v="2"/>
    <x v="12"/>
  </r>
  <r>
    <s v="ORD-00360"/>
    <d v="2024-11-11T00:00:00"/>
    <s v="CUST-0118"/>
    <s v="PROD-055"/>
    <x v="13"/>
    <n v="9"/>
    <n v="2860"/>
    <n v="12.9"/>
    <n v="22419.54"/>
    <s v="Completed"/>
    <s v="Hyderabad"/>
    <x v="1"/>
    <m/>
    <s v="Retail"/>
    <n v="26"/>
    <x v="4"/>
    <x v="7"/>
  </r>
  <r>
    <s v="ORD-00361"/>
    <d v="2024-03-28T00:00:00"/>
    <s v="CUST-0212"/>
    <s v="PROD-029"/>
    <x v="29"/>
    <n v="5"/>
    <n v="2210"/>
    <n v="5.0999999999999996"/>
    <n v="10486.45"/>
    <s v="Completed"/>
    <s v="Chennai"/>
    <x v="2"/>
    <m/>
    <s v="SMB"/>
    <n v="46"/>
    <x v="0"/>
    <x v="0"/>
  </r>
  <r>
    <s v="ORD-00362"/>
    <d v="2024-10-26T00:00:00"/>
    <s v="CUST-0287"/>
    <s v="PROD-009"/>
    <x v="20"/>
    <n v="1"/>
    <n v="1220"/>
    <n v="16.100000000000001"/>
    <n v="1023.58"/>
    <s v="Completed"/>
    <s v="Chennai"/>
    <x v="4"/>
    <m/>
    <s v="SMB"/>
    <n v="53"/>
    <x v="0"/>
    <x v="0"/>
  </r>
  <r>
    <s v="ORD-00363"/>
    <d v="2024-09-26T00:00:00"/>
    <s v="CUST-0030"/>
    <s v="PROD-003"/>
    <x v="3"/>
    <n v="2"/>
    <n v="3570"/>
    <n v="1.1000000000000001"/>
    <n v="7061.46"/>
    <s v="Completed"/>
    <s v="Bengaluru"/>
    <x v="4"/>
    <m/>
    <s v="Corporate"/>
    <n v="43"/>
    <x v="0"/>
    <x v="0"/>
  </r>
  <r>
    <s v="ORD-00364"/>
    <d v="2024-01-17T00:00:00"/>
    <s v="CUST-0270"/>
    <s v="PROD-011"/>
    <x v="29"/>
    <n v="10"/>
    <n v="3450"/>
    <n v="12.6"/>
    <n v="30153"/>
    <s v="Completed"/>
    <s v="Bengaluru"/>
    <x v="0"/>
    <m/>
    <s v="Retail"/>
    <n v="29"/>
    <x v="1"/>
    <x v="1"/>
  </r>
  <r>
    <s v="ORD-00365"/>
    <d v="2024-09-28T00:00:00"/>
    <s v="CUST-0001"/>
    <s v="PROD-029"/>
    <x v="13"/>
    <n v="4"/>
    <n v="2210"/>
    <n v="5.4"/>
    <n v="8362.64"/>
    <s v="Completed"/>
    <s v="Pune"/>
    <x v="2"/>
    <m/>
    <s v="Retail"/>
    <n v="36"/>
    <x v="4"/>
    <x v="12"/>
  </r>
  <r>
    <s v="ORD-00366"/>
    <d v="2024-07-03T00:00:00"/>
    <s v="CUST-0215"/>
    <s v="PROD-035"/>
    <x v="2"/>
    <n v="6"/>
    <n v="1090"/>
    <n v="2.9"/>
    <n v="6350.34"/>
    <s v="Cancelled"/>
    <s v="Hyderabad"/>
    <x v="3"/>
    <m/>
    <s v="Retail"/>
    <n v="52"/>
    <x v="0"/>
    <x v="0"/>
  </r>
  <r>
    <s v="ORD-00367"/>
    <d v="2024-03-13T00:00:00"/>
    <s v="CUST-0225"/>
    <s v="PROD-041"/>
    <x v="21"/>
    <n v="8"/>
    <n v="1540"/>
    <n v="17.899999999999999"/>
    <n v="10114.719999999999"/>
    <s v="Pending"/>
    <s v="Chennai"/>
    <x v="5"/>
    <m/>
    <s v="SMB"/>
    <n v="26"/>
    <x v="4"/>
    <x v="11"/>
  </r>
  <r>
    <s v="ORD-00368"/>
    <d v="2024-03-20T00:00:00"/>
    <s v="CUST-0163"/>
    <s v="PROD-002"/>
    <x v="8"/>
    <n v="9"/>
    <n v="2600"/>
    <n v="4.0999999999999996"/>
    <n v="22440.6"/>
    <s v="Completed"/>
    <s v="Pune"/>
    <x v="4"/>
    <m/>
    <s v="Retail"/>
    <n v="49"/>
    <x v="0"/>
    <x v="0"/>
  </r>
  <r>
    <s v="ORD-00369"/>
    <d v="2024-11-27T00:00:00"/>
    <s v="CUST-0196"/>
    <s v="PROD-060"/>
    <x v="0"/>
    <n v="2"/>
    <n v="190"/>
    <n v="4.8"/>
    <n v="361.76"/>
    <s v="Completed"/>
    <s v="Chennai"/>
    <x v="1"/>
    <m/>
    <s v="Retail"/>
    <n v="26"/>
    <x v="2"/>
    <x v="10"/>
  </r>
  <r>
    <s v="ORD-00370"/>
    <d v="2024-05-29T00:00:00"/>
    <s v="CUST-0002"/>
    <s v="PROD-019"/>
    <x v="2"/>
    <n v="9"/>
    <n v="2480"/>
    <n v="28.3"/>
    <n v="16003.44"/>
    <s v="Completed"/>
    <s v="Pune"/>
    <x v="0"/>
    <m/>
    <s v="Corporate"/>
    <n v="42"/>
    <x v="0"/>
    <x v="0"/>
  </r>
  <r>
    <s v="ORD-00371"/>
    <d v="2024-05-30T00:00:00"/>
    <s v="CUST-0057"/>
    <s v="PROD-042"/>
    <x v="3"/>
    <n v="7"/>
    <n v="2290"/>
    <n v="25"/>
    <n v="12022.5"/>
    <s v="Cancelled"/>
    <s v="Pune"/>
    <x v="5"/>
    <m/>
    <s v="Retail"/>
    <n v="35"/>
    <x v="4"/>
    <x v="2"/>
  </r>
  <r>
    <s v="ORD-00372"/>
    <d v="2024-10-02T00:00:00"/>
    <s v="CUST-0112"/>
    <s v="PROD-041"/>
    <x v="15"/>
    <n v="9"/>
    <n v="1540"/>
    <n v="23.3"/>
    <n v="10630.62"/>
    <s v="Completed"/>
    <s v="Hyderabad"/>
    <x v="5"/>
    <m/>
    <s v="Retail"/>
    <n v="64"/>
    <x v="0"/>
    <x v="0"/>
  </r>
  <r>
    <s v="ORD-00373"/>
    <d v="2024-12-27T00:00:00"/>
    <s v="CUST-0131"/>
    <s v="PROD-034"/>
    <x v="5"/>
    <n v="2"/>
    <n v="5080"/>
    <n v="2.5"/>
    <n v="9906"/>
    <s v="Cancelled"/>
    <s v="Delhi"/>
    <x v="3"/>
    <m/>
    <s v="SMB"/>
    <n v="28"/>
    <x v="4"/>
    <x v="9"/>
  </r>
  <r>
    <s v="ORD-00374"/>
    <d v="2024-02-09T00:00:00"/>
    <s v="CUST-0124"/>
    <s v="PROD-017"/>
    <x v="29"/>
    <n v="4"/>
    <n v="2510"/>
    <n v="23.6"/>
    <n v="7670.56"/>
    <s v="Completed"/>
    <s v="Pune"/>
    <x v="0"/>
    <m/>
    <s v="Retail"/>
    <n v="57"/>
    <x v="0"/>
    <x v="0"/>
  </r>
  <r>
    <s v="ORD-00375"/>
    <d v="2024-02-10T00:00:00"/>
    <s v="CUST-0131"/>
    <s v="PROD-042"/>
    <x v="23"/>
    <n v="5"/>
    <n v="2290"/>
    <n v="17"/>
    <n v="9503.5"/>
    <s v="Completed"/>
    <s v="Delhi"/>
    <x v="5"/>
    <m/>
    <s v="SMB"/>
    <n v="28"/>
    <x v="4"/>
    <x v="5"/>
  </r>
  <r>
    <s v="ORD-00376"/>
    <d v="2024-02-18T00:00:00"/>
    <s v="CUST-0084"/>
    <s v="PROD-053"/>
    <x v="3"/>
    <n v="8"/>
    <n v="470"/>
    <n v="9.3000000000000007"/>
    <n v="3410.32"/>
    <s v="Completed"/>
    <s v="Chennai"/>
    <x v="1"/>
    <m/>
    <s v="Retail"/>
    <n v="28"/>
    <x v="4"/>
    <x v="5"/>
  </r>
  <r>
    <s v="ORD-00377"/>
    <d v="2024-09-29T00:00:00"/>
    <s v="CUST-0082"/>
    <s v="PROD-048"/>
    <x v="18"/>
    <n v="8"/>
    <n v="5100"/>
    <n v="4.5999999999999996"/>
    <n v="38923.199999999997"/>
    <s v="Completed"/>
    <s v="Hyderabad"/>
    <x v="5"/>
    <m/>
    <s v="SMB"/>
    <n v="36"/>
    <x v="1"/>
    <x v="5"/>
  </r>
  <r>
    <s v="ORD-00378"/>
    <d v="2024-01-05T00:00:00"/>
    <s v="CUST-0242"/>
    <s v="PROD-001"/>
    <x v="9"/>
    <n v="7"/>
    <n v="5330"/>
    <n v="2.5"/>
    <n v="36377.25"/>
    <s v="Completed"/>
    <s v="Chennai"/>
    <x v="4"/>
    <m/>
    <s v="SMB"/>
    <n v="59"/>
    <x v="0"/>
    <x v="0"/>
  </r>
  <r>
    <s v="ORD-00379"/>
    <d v="2024-03-13T00:00:00"/>
    <s v="CUST-0074"/>
    <s v="PROD-033"/>
    <x v="8"/>
    <n v="10"/>
    <n v="2030"/>
    <n v="8.5"/>
    <n v="18574.5"/>
    <s v="Completed"/>
    <s v="Bengaluru"/>
    <x v="3"/>
    <m/>
    <s v="Retail"/>
    <n v="27"/>
    <x v="4"/>
    <x v="12"/>
  </r>
  <r>
    <s v="ORD-00380"/>
    <d v="2024-09-25T00:00:00"/>
    <s v="CUST-0221"/>
    <s v="PROD-034"/>
    <x v="11"/>
    <n v="8"/>
    <n v="5080"/>
    <n v="9.6"/>
    <n v="36738.559999999998"/>
    <s v="Cancelled"/>
    <s v="Delhi"/>
    <x v="3"/>
    <m/>
    <s v="SMB"/>
    <n v="29"/>
    <x v="2"/>
    <x v="10"/>
  </r>
  <r>
    <s v="ORD-00381"/>
    <d v="2024-03-27T00:00:00"/>
    <s v="CUST-0101"/>
    <s v="PROD-023"/>
    <x v="2"/>
    <n v="1"/>
    <n v="2380"/>
    <n v="11.6"/>
    <n v="2103.92"/>
    <s v="Pending"/>
    <s v="Hyderabad"/>
    <x v="2"/>
    <m/>
    <s v="SMB"/>
    <n v="40"/>
    <x v="1"/>
    <x v="1"/>
  </r>
  <r>
    <s v="ORD-00382"/>
    <d v="2024-10-25T00:00:00"/>
    <s v="CUST-0203"/>
    <s v="PROD-041"/>
    <x v="28"/>
    <n v="8"/>
    <n v="1540"/>
    <n v="27.8"/>
    <n v="8895.0400000000009"/>
    <s v="Completed"/>
    <s v="Chennai"/>
    <x v="5"/>
    <m/>
    <s v="SMB"/>
    <n v="55"/>
    <x v="0"/>
    <x v="0"/>
  </r>
  <r>
    <s v="ORD-00383"/>
    <d v="2024-10-26T00:00:00"/>
    <s v="CUST-0209"/>
    <s v="PROD-024"/>
    <x v="6"/>
    <n v="1"/>
    <n v="2270"/>
    <n v="6.5"/>
    <n v="2122.4499999999998"/>
    <s v="Pending"/>
    <s v="Pune"/>
    <x v="2"/>
    <m/>
    <s v="Retail"/>
    <n v="31"/>
    <x v="2"/>
    <x v="9"/>
  </r>
  <r>
    <s v="ORD-00384"/>
    <d v="2024-07-30T00:00:00"/>
    <s v="CUST-0094"/>
    <s v="PROD-019"/>
    <x v="8"/>
    <n v="6"/>
    <n v="2480"/>
    <n v="25.9"/>
    <n v="11026.08"/>
    <s v="Completed"/>
    <s v="Pune"/>
    <x v="0"/>
    <m/>
    <s v="SMB"/>
    <n v="60"/>
    <x v="0"/>
    <x v="0"/>
  </r>
  <r>
    <s v="ORD-00385"/>
    <d v="2024-11-12T00:00:00"/>
    <s v="CUST-0248"/>
    <s v="PROD-018"/>
    <x v="7"/>
    <n v="3"/>
    <n v="3560"/>
    <n v="0.4"/>
    <n v="10637.28"/>
    <s v="Refunded"/>
    <s v="Chennai"/>
    <x v="0"/>
    <m/>
    <s v="SMB"/>
    <n v="57"/>
    <x v="0"/>
    <x v="0"/>
  </r>
  <r>
    <s v="ORD-00386"/>
    <d v="2024-05-10T00:00:00"/>
    <s v="CUST-0297"/>
    <s v="PROD-008"/>
    <x v="3"/>
    <n v="4"/>
    <n v="2660"/>
    <n v="19.7"/>
    <n v="8543.92"/>
    <s v="Cancelled"/>
    <s v="Hyderabad"/>
    <x v="4"/>
    <m/>
    <s v="Retail"/>
    <n v="50"/>
    <x v="0"/>
    <x v="0"/>
  </r>
  <r>
    <s v="ORD-00387"/>
    <d v="2024-04-04T00:00:00"/>
    <s v="CUST-0107"/>
    <s v="PROD-009"/>
    <x v="22"/>
    <n v="10"/>
    <n v="1220"/>
    <n v="10.1"/>
    <n v="10967.8"/>
    <s v="Cancelled"/>
    <s v="Pune"/>
    <x v="4"/>
    <m/>
    <s v="Retail"/>
    <n v="50"/>
    <x v="0"/>
    <x v="0"/>
  </r>
  <r>
    <s v="ORD-00388"/>
    <d v="2024-10-19T00:00:00"/>
    <s v="CUST-0247"/>
    <s v="PROD-002"/>
    <x v="2"/>
    <n v="8"/>
    <n v="2600"/>
    <n v="26.7"/>
    <n v="15246.4"/>
    <s v="Completed"/>
    <s v="Pune"/>
    <x v="4"/>
    <m/>
    <s v="SMB"/>
    <n v="35"/>
    <x v="4"/>
    <x v="4"/>
  </r>
  <r>
    <s v="ORD-00389"/>
    <d v="2024-05-28T00:00:00"/>
    <s v="CUST-0047"/>
    <s v="PROD-011"/>
    <x v="16"/>
    <n v="10"/>
    <n v="3450"/>
    <n v="20.399999999999999"/>
    <n v="27462"/>
    <s v="Completed"/>
    <s v="Pune"/>
    <x v="0"/>
    <m/>
    <s v="Retail"/>
    <n v="49"/>
    <x v="0"/>
    <x v="0"/>
  </r>
  <r>
    <s v="ORD-00390"/>
    <d v="2024-05-28T00:00:00"/>
    <s v="CUST-0118"/>
    <s v="PROD-056"/>
    <x v="7"/>
    <n v="1"/>
    <n v="6940"/>
    <n v="9.6999999999999993"/>
    <n v="6266.82"/>
    <s v="Completed"/>
    <s v="Hyderabad"/>
    <x v="1"/>
    <m/>
    <s v="Retail"/>
    <n v="26"/>
    <x v="3"/>
    <x v="2"/>
  </r>
  <r>
    <s v="ORD-00391"/>
    <d v="2024-03-07T00:00:00"/>
    <s v="CUST-0019"/>
    <s v="PROD-043"/>
    <x v="3"/>
    <n v="10"/>
    <n v="3350"/>
    <n v="3.2"/>
    <n v="32428"/>
    <s v="Completed"/>
    <s v="Chennai"/>
    <x v="5"/>
    <m/>
    <s v="Retail"/>
    <n v="22"/>
    <x v="3"/>
    <x v="2"/>
  </r>
  <r>
    <s v="ORD-00392"/>
    <d v="2024-04-05T00:00:00"/>
    <s v="CUST-0290"/>
    <s v="PROD-041"/>
    <x v="17"/>
    <n v="7"/>
    <n v="1540"/>
    <n v="0.5"/>
    <n v="10726.1"/>
    <s v="Completed"/>
    <s v="Delhi"/>
    <x v="5"/>
    <m/>
    <s v="Retail"/>
    <n v="63"/>
    <x v="0"/>
    <x v="0"/>
  </r>
  <r>
    <s v="ORD-00393"/>
    <d v="2024-12-29T00:00:00"/>
    <s v="CUST-9557"/>
    <s v="PROD-014"/>
    <x v="17"/>
    <n v="10"/>
    <n v="3620"/>
    <n v="22"/>
    <n v="28236"/>
    <s v="Completed"/>
    <s v="Pune"/>
    <x v="0"/>
    <m/>
    <e v="#N/A"/>
    <e v="#N/A"/>
    <x v="0"/>
    <x v="0"/>
  </r>
  <r>
    <s v="ORD-00394"/>
    <d v="2024-12-03T00:00:00"/>
    <s v="CUST-0291"/>
    <s v="PROD-053"/>
    <x v="17"/>
    <n v="2"/>
    <n v="470"/>
    <n v="26.5"/>
    <n v="690.9"/>
    <s v="Pending"/>
    <s v="Pune"/>
    <x v="1"/>
    <m/>
    <s v="SMB"/>
    <n v="29"/>
    <x v="2"/>
    <x v="8"/>
  </r>
  <r>
    <s v="ORD-00395"/>
    <d v="2024-02-01T00:00:00"/>
    <s v="CUST-0045"/>
    <s v="PROD-028"/>
    <x v="9"/>
    <n v="6"/>
    <n v="3660"/>
    <n v="1.5"/>
    <n v="21630.6"/>
    <s v="Completed"/>
    <s v="Chennai"/>
    <x v="2"/>
    <m/>
    <s v="SMB"/>
    <n v="39"/>
    <x v="2"/>
    <x v="8"/>
  </r>
  <r>
    <s v="ORD-00396"/>
    <d v="2024-05-20T00:00:00"/>
    <s v="CUST-0281"/>
    <s v="PROD-056"/>
    <x v="21"/>
    <n v="10"/>
    <n v="6940"/>
    <n v="1.9"/>
    <n v="68081.399999999994"/>
    <s v="Completed"/>
    <s v="Bengaluru"/>
    <x v="1"/>
    <m/>
    <s v="Corporate"/>
    <n v="57"/>
    <x v="0"/>
    <x v="0"/>
  </r>
  <r>
    <s v="ORD-00397"/>
    <d v="2024-04-15T00:00:00"/>
    <s v="CUST-0073"/>
    <s v="PROD-042"/>
    <x v="1"/>
    <n v="8"/>
    <n v="2290"/>
    <n v="27.9"/>
    <n v="13208.72"/>
    <s v="Completed"/>
    <s v="Pune"/>
    <x v="5"/>
    <m/>
    <s v="Corporate"/>
    <n v="40"/>
    <x v="3"/>
    <x v="2"/>
  </r>
  <r>
    <s v="ORD-00398"/>
    <d v="2024-10-08T00:00:00"/>
    <s v="CUST-0043"/>
    <s v="PROD-012"/>
    <x v="6"/>
    <n v="9"/>
    <n v="3160"/>
    <n v="10.199999999999999"/>
    <n v="25539.119999999999"/>
    <s v="Completed"/>
    <s v="Hyderabad"/>
    <x v="0"/>
    <m/>
    <s v="Retail"/>
    <n v="61"/>
    <x v="0"/>
    <x v="0"/>
  </r>
  <r>
    <s v="ORD-00399"/>
    <d v="2024-01-16T00:00:00"/>
    <s v="CUST-0154"/>
    <s v="PROD-034"/>
    <x v="8"/>
    <n v="6"/>
    <n v="5080"/>
    <n v="25.4"/>
    <n v="22738.080000000002"/>
    <s v="Completed"/>
    <s v="Pune"/>
    <x v="3"/>
    <m/>
    <s v="Retail"/>
    <n v="36"/>
    <x v="2"/>
    <x v="9"/>
  </r>
  <r>
    <s v="ORD-00400"/>
    <d v="2024-11-24T00:00:00"/>
    <s v="CUST-0061"/>
    <s v="PROD-021"/>
    <x v="27"/>
    <n v="6"/>
    <n v="2760"/>
    <n v="21.3"/>
    <n v="13032.72"/>
    <s v="Completed"/>
    <s v="Hyderabad"/>
    <x v="2"/>
    <m/>
    <s v="Retail"/>
    <n v="64"/>
    <x v="0"/>
    <x v="0"/>
  </r>
  <r>
    <s v="ORD-00401"/>
    <d v="2024-06-19T00:00:00"/>
    <s v="CUST-9654"/>
    <s v="PROD-009"/>
    <x v="27"/>
    <n v="5"/>
    <n v="1220"/>
    <n v="7.6"/>
    <n v="5636.4"/>
    <s v="Completed"/>
    <s v="Mumbai"/>
    <x v="4"/>
    <m/>
    <e v="#N/A"/>
    <e v="#N/A"/>
    <x v="0"/>
    <x v="0"/>
  </r>
  <r>
    <s v="ORD-00402"/>
    <d v="2024-11-26T00:00:00"/>
    <s v="CUST-0189"/>
    <s v="PROD-046"/>
    <x v="8"/>
    <n v="5"/>
    <n v="4880"/>
    <n v="8.5"/>
    <n v="22326"/>
    <s v="Completed"/>
    <s v="Chennai"/>
    <x v="5"/>
    <m/>
    <s v="Retail"/>
    <n v="41"/>
    <x v="0"/>
    <x v="0"/>
  </r>
  <r>
    <s v="ORD-00403"/>
    <d v="2024-10-31T00:00:00"/>
    <s v="CUST-0152"/>
    <s v="PROD-026"/>
    <x v="24"/>
    <n v="7"/>
    <n v="4070"/>
    <n v="28"/>
    <n v="20512.8"/>
    <s v="Completed"/>
    <s v="Bengaluru"/>
    <x v="2"/>
    <m/>
    <s v="SMB"/>
    <n v="64"/>
    <x v="0"/>
    <x v="0"/>
  </r>
  <r>
    <s v="ORD-00404"/>
    <d v="2024-08-02T00:00:00"/>
    <s v="CUST-0284"/>
    <s v="PROD-006"/>
    <x v="8"/>
    <n v="2"/>
    <n v="3970"/>
    <n v="14"/>
    <n v="6828.4"/>
    <s v="Completed"/>
    <s v="Hyderabad"/>
    <x v="4"/>
    <m/>
    <s v="SMB"/>
    <n v="65"/>
    <x v="0"/>
    <x v="0"/>
  </r>
  <r>
    <s v="ORD-00405"/>
    <d v="2024-02-27T00:00:00"/>
    <s v="CUST-0175"/>
    <s v="PROD-008"/>
    <x v="26"/>
    <n v="9"/>
    <n v="2660"/>
    <n v="10.1"/>
    <n v="21522.06"/>
    <s v="Completed"/>
    <s v="Delhi"/>
    <x v="4"/>
    <m/>
    <s v="Corporate"/>
    <n v="55"/>
    <x v="0"/>
    <x v="0"/>
  </r>
  <r>
    <s v="ORD-00406"/>
    <d v="2024-04-25T00:00:00"/>
    <s v="CUST-0093"/>
    <s v="PROD-055"/>
    <x v="24"/>
    <n v="9"/>
    <n v="2860"/>
    <n v="10.1"/>
    <n v="23140.26"/>
    <s v="Refunded"/>
    <s v="Pune"/>
    <x v="1"/>
    <m/>
    <s v="Retail"/>
    <n v="36"/>
    <x v="3"/>
    <x v="5"/>
  </r>
  <r>
    <s v="ORD-00407"/>
    <d v="2024-10-26T00:00:00"/>
    <s v="CUST-0033"/>
    <s v="PROD-009"/>
    <x v="0"/>
    <n v="7"/>
    <n v="1220"/>
    <n v="23.5"/>
    <n v="6533.1"/>
    <s v="Refunded"/>
    <s v="Delhi"/>
    <x v="4"/>
    <m/>
    <s v="Retail"/>
    <n v="35"/>
    <x v="3"/>
    <x v="4"/>
  </r>
  <r>
    <s v="ORD-00408"/>
    <d v="2024-10-19T00:00:00"/>
    <s v="CUST-0294"/>
    <s v="PROD-022"/>
    <x v="17"/>
    <n v="1"/>
    <n v="2270"/>
    <n v="5.8"/>
    <n v="2138.34"/>
    <s v="Cancelled"/>
    <s v="Delhi"/>
    <x v="2"/>
    <m/>
    <s v="Corporate"/>
    <n v="31"/>
    <x v="1"/>
    <x v="9"/>
  </r>
  <r>
    <s v="ORD-00409"/>
    <d v="2024-10-16T00:00:00"/>
    <s v="CUST-0115"/>
    <s v="PROD-037"/>
    <x v="25"/>
    <n v="2"/>
    <n v="660"/>
    <n v="2.2999999999999998"/>
    <n v="1289.6400000000001"/>
    <s v="Completed"/>
    <s v="Mumbai"/>
    <x v="3"/>
    <m/>
    <s v="SMB"/>
    <n v="65"/>
    <x v="0"/>
    <x v="0"/>
  </r>
  <r>
    <s v="ORD-00410"/>
    <d v="2024-05-29T00:00:00"/>
    <s v="CUST-0219"/>
    <s v="PROD-012"/>
    <x v="2"/>
    <n v="1"/>
    <n v="3160"/>
    <n v="5.6"/>
    <n v="2983.04"/>
    <s v="Completed"/>
    <s v="Chennai"/>
    <x v="0"/>
    <m/>
    <s v="Corporate"/>
    <n v="38"/>
    <x v="1"/>
    <x v="9"/>
  </r>
  <r>
    <s v="ORD-00411"/>
    <d v="2024-04-26T00:00:00"/>
    <s v="CUST-0180"/>
    <s v="PROD-002"/>
    <x v="22"/>
    <n v="1"/>
    <n v="2600"/>
    <n v="1"/>
    <n v="2574"/>
    <s v="Completed"/>
    <s v="Chennai"/>
    <x v="4"/>
    <m/>
    <s v="Retail"/>
    <n v="36"/>
    <x v="4"/>
    <x v="2"/>
  </r>
  <r>
    <s v="ORD-00412"/>
    <d v="2024-08-11T00:00:00"/>
    <s v="CUST-0148"/>
    <s v="PROD-039"/>
    <x v="2"/>
    <n v="4"/>
    <n v="4610"/>
    <n v="18.7"/>
    <n v="14991.72"/>
    <s v="Completed"/>
    <s v="Chennai"/>
    <x v="3"/>
    <m/>
    <s v="Retail"/>
    <n v="32"/>
    <x v="4"/>
    <x v="4"/>
  </r>
  <r>
    <s v="ORD-00413"/>
    <d v="2024-04-30T00:00:00"/>
    <s v="CUST-0026"/>
    <s v="PROD-013"/>
    <x v="26"/>
    <n v="3"/>
    <n v="3640"/>
    <n v="9.6999999999999993"/>
    <n v="9860.76"/>
    <s v="Cancelled"/>
    <s v="Pune"/>
    <x v="0"/>
    <m/>
    <s v="Retail"/>
    <n v="62"/>
    <x v="0"/>
    <x v="0"/>
  </r>
  <r>
    <s v="ORD-00414"/>
    <d v="2024-06-05T00:00:00"/>
    <s v="CUST-0246"/>
    <s v="PROD-015"/>
    <x v="10"/>
    <n v="6"/>
    <n v="2720"/>
    <n v="13"/>
    <n v="14198.4"/>
    <s v="Pending"/>
    <s v="Delhi"/>
    <x v="0"/>
    <m/>
    <s v="SMB"/>
    <n v="29"/>
    <x v="3"/>
    <x v="4"/>
  </r>
  <r>
    <s v="ORD-00415"/>
    <d v="2024-12-18T00:00:00"/>
    <s v="CUST-0125"/>
    <s v="PROD-059"/>
    <x v="4"/>
    <n v="5"/>
    <n v="3780"/>
    <n v="15.2"/>
    <n v="16027.2"/>
    <s v="Completed"/>
    <s v="Delhi"/>
    <x v="1"/>
    <m/>
    <s v="Retail"/>
    <n v="45"/>
    <x v="0"/>
    <x v="0"/>
  </r>
  <r>
    <s v="ORD-00416"/>
    <d v="2024-04-25T00:00:00"/>
    <s v="CUST-0190"/>
    <s v="PROD-035"/>
    <x v="14"/>
    <n v="9"/>
    <n v="1090"/>
    <n v="28.5"/>
    <n v="7014.15"/>
    <s v="Completed"/>
    <s v="Hyderabad"/>
    <x v="3"/>
    <m/>
    <s v="Retail"/>
    <n v="52"/>
    <x v="0"/>
    <x v="0"/>
  </r>
  <r>
    <s v="ORD-00417"/>
    <d v="2024-10-16T00:00:00"/>
    <s v="CUST-0085"/>
    <s v="PROD-035"/>
    <x v="8"/>
    <n v="6"/>
    <n v="1090"/>
    <n v="28.7"/>
    <n v="4663.0200000000004"/>
    <s v="Completed"/>
    <s v="Chennai"/>
    <x v="3"/>
    <m/>
    <s v="Retail"/>
    <n v="26"/>
    <x v="2"/>
    <x v="4"/>
  </r>
  <r>
    <s v="ORD-00418"/>
    <d v="2024-03-15T00:00:00"/>
    <s v="CUST-0249"/>
    <s v="PROD-017"/>
    <x v="14"/>
    <n v="5"/>
    <n v="2510"/>
    <n v="25"/>
    <n v="9412.5"/>
    <s v="Completed"/>
    <s v="Mumbai"/>
    <x v="0"/>
    <m/>
    <s v="Retail"/>
    <n v="44"/>
    <x v="0"/>
    <x v="0"/>
  </r>
  <r>
    <s v="ORD-00419"/>
    <d v="2024-10-12T00:00:00"/>
    <s v="CUST-0012"/>
    <s v="PROD-006"/>
    <x v="9"/>
    <n v="5"/>
    <n v="3970"/>
    <n v="26"/>
    <n v="14689"/>
    <s v="Completed"/>
    <s v="Pune"/>
    <x v="4"/>
    <m/>
    <s v="Retail"/>
    <n v="43"/>
    <x v="0"/>
    <x v="0"/>
  </r>
  <r>
    <s v="ORD-00420"/>
    <d v="2024-02-11T00:00:00"/>
    <s v="CUST-0251"/>
    <s v="PROD-026"/>
    <x v="19"/>
    <n v="9"/>
    <n v="4070"/>
    <n v="15.7"/>
    <n v="30879.09"/>
    <s v="Completed"/>
    <s v="Mumbai"/>
    <x v="2"/>
    <m/>
    <s v="Retail"/>
    <n v="44"/>
    <x v="0"/>
    <x v="0"/>
  </r>
  <r>
    <s v="ORD-00421"/>
    <d v="2024-05-06T00:00:00"/>
    <s v="CUST-0088"/>
    <s v="PROD-038"/>
    <x v="10"/>
    <n v="6"/>
    <n v="5490"/>
    <n v="8.5"/>
    <n v="30140.1"/>
    <s v="Refunded"/>
    <s v="Chennai"/>
    <x v="3"/>
    <m/>
    <s v="Retail"/>
    <n v="24"/>
    <x v="1"/>
    <x v="5"/>
  </r>
  <r>
    <s v="ORD-00422"/>
    <d v="2024-11-19T00:00:00"/>
    <s v="CUST-0037"/>
    <s v="PROD-054"/>
    <x v="24"/>
    <n v="9"/>
    <n v="1010"/>
    <n v="3.6"/>
    <n v="8762.76"/>
    <s v="Completed"/>
    <s v="Bengaluru"/>
    <x v="1"/>
    <m/>
    <s v="Retail"/>
    <n v="52"/>
    <x v="0"/>
    <x v="0"/>
  </r>
  <r>
    <s v="ORD-00423"/>
    <d v="2024-12-05T00:00:00"/>
    <s v="CUST-0039"/>
    <s v="PROD-028"/>
    <x v="4"/>
    <n v="6"/>
    <n v="3660"/>
    <n v="10.8"/>
    <n v="19588.32"/>
    <s v="Completed"/>
    <s v="Bengaluru"/>
    <x v="2"/>
    <m/>
    <s v="Retail"/>
    <n v="37"/>
    <x v="3"/>
    <x v="3"/>
  </r>
  <r>
    <s v="ORD-00424"/>
    <d v="2024-08-20T00:00:00"/>
    <s v="CUST-0106"/>
    <s v="PROD-047"/>
    <x v="29"/>
    <n v="6"/>
    <n v="3450"/>
    <n v="10.7"/>
    <n v="18485.099999999999"/>
    <s v="Completed"/>
    <s v="Pune"/>
    <x v="5"/>
    <m/>
    <s v="Retail"/>
    <n v="22"/>
    <x v="1"/>
    <x v="8"/>
  </r>
  <r>
    <s v="ORD-00425"/>
    <d v="2024-03-28T00:00:00"/>
    <s v="CUST-0222"/>
    <s v="PROD-026"/>
    <x v="23"/>
    <n v="10"/>
    <n v="4070"/>
    <n v="23.4"/>
    <n v="31176.2"/>
    <s v="Refunded"/>
    <s v="Chennai"/>
    <x v="2"/>
    <m/>
    <s v="Retail"/>
    <n v="37"/>
    <x v="4"/>
    <x v="6"/>
  </r>
  <r>
    <s v="ORD-00426"/>
    <d v="2024-06-11T00:00:00"/>
    <s v="CUST-0130"/>
    <s v="PROD-003"/>
    <x v="5"/>
    <n v="9"/>
    <n v="3570"/>
    <n v="15.2"/>
    <n v="27246.240000000002"/>
    <s v="Completed"/>
    <s v="Bengaluru"/>
    <x v="4"/>
    <m/>
    <s v="Corporate"/>
    <n v="41"/>
    <x v="0"/>
    <x v="0"/>
  </r>
  <r>
    <s v="ORD-00427"/>
    <d v="2024-09-27T00:00:00"/>
    <s v="CUST-0281"/>
    <s v="PROD-056"/>
    <x v="1"/>
    <n v="10"/>
    <n v="6940"/>
    <n v="21.8"/>
    <n v="54270.8"/>
    <s v="Pending"/>
    <s v="Bengaluru"/>
    <x v="1"/>
    <m/>
    <s v="Corporate"/>
    <n v="57"/>
    <x v="0"/>
    <x v="0"/>
  </r>
  <r>
    <s v="ORD-00428"/>
    <d v="2024-07-16T00:00:00"/>
    <s v="CUST-0094"/>
    <s v="PROD-044"/>
    <x v="2"/>
    <n v="9"/>
    <n v="1650"/>
    <n v="24.3"/>
    <n v="11241.45"/>
    <s v="Completed"/>
    <s v="Pune"/>
    <x v="5"/>
    <m/>
    <s v="SMB"/>
    <n v="60"/>
    <x v="0"/>
    <x v="0"/>
  </r>
  <r>
    <s v="ORD-00429"/>
    <d v="2024-11-28T00:00:00"/>
    <s v="CUST-0271"/>
    <s v="PROD-007"/>
    <x v="2"/>
    <n v="10"/>
    <n v="1430"/>
    <n v="25.2"/>
    <n v="10696.4"/>
    <s v="Completed"/>
    <s v="Bengaluru"/>
    <x v="4"/>
    <m/>
    <s v="Corporate"/>
    <n v="41"/>
    <x v="0"/>
    <x v="0"/>
  </r>
  <r>
    <s v="ORD-00430"/>
    <d v="2024-07-07T00:00:00"/>
    <s v="CUST-0110"/>
    <s v="PROD-025"/>
    <x v="9"/>
    <n v="4"/>
    <n v="4060"/>
    <n v="1.6"/>
    <n v="15980.16"/>
    <s v="Completed"/>
    <s v="Pune"/>
    <x v="2"/>
    <m/>
    <s v="Corporate"/>
    <n v="31"/>
    <x v="4"/>
    <x v="3"/>
  </r>
  <r>
    <s v="ORD-00431"/>
    <d v="2024-05-08T00:00:00"/>
    <s v="CUST-0262"/>
    <s v="PROD-032"/>
    <x v="1"/>
    <n v="9"/>
    <n v="370"/>
    <n v="17"/>
    <n v="2763.9"/>
    <s v="Completed"/>
    <s v="Mumbai"/>
    <x v="3"/>
    <m/>
    <s v="Retail"/>
    <n v="52"/>
    <x v="0"/>
    <x v="0"/>
  </r>
  <r>
    <s v="ORD-00432"/>
    <d v="2024-01-31T00:00:00"/>
    <s v="CUST-0157"/>
    <s v="PROD-041"/>
    <x v="9"/>
    <n v="1"/>
    <n v="1540"/>
    <n v="24"/>
    <n v="1170.4000000000001"/>
    <s v="Cancelled"/>
    <s v="Pune"/>
    <x v="5"/>
    <m/>
    <s v="Corporate"/>
    <n v="52"/>
    <x v="0"/>
    <x v="0"/>
  </r>
  <r>
    <s v="ORD-00433"/>
    <d v="2024-03-31T00:00:00"/>
    <s v="CUST-0135"/>
    <s v="PROD-002"/>
    <x v="5"/>
    <n v="9"/>
    <n v="2600"/>
    <n v="7.7"/>
    <n v="21598.2"/>
    <s v="Completed"/>
    <s v="Pune"/>
    <x v="4"/>
    <m/>
    <s v="SMB"/>
    <n v="24"/>
    <x v="4"/>
    <x v="12"/>
  </r>
  <r>
    <s v="ORD-00434"/>
    <d v="2024-07-24T00:00:00"/>
    <s v="CUST-0136"/>
    <s v="PROD-017"/>
    <x v="15"/>
    <n v="8"/>
    <n v="2510"/>
    <n v="3.7"/>
    <n v="19337.04"/>
    <s v="Completed"/>
    <s v="Chennai"/>
    <x v="0"/>
    <m/>
    <s v="SMB"/>
    <n v="26"/>
    <x v="2"/>
    <x v="10"/>
  </r>
  <r>
    <s v="ORD-00435"/>
    <d v="2024-08-06T00:00:00"/>
    <s v="CUST-0110"/>
    <s v="PROD-001"/>
    <x v="11"/>
    <n v="6"/>
    <n v="5330"/>
    <n v="8.4"/>
    <n v="29293.68"/>
    <s v="Completed"/>
    <s v="Pune"/>
    <x v="4"/>
    <m/>
    <s v="Corporate"/>
    <n v="31"/>
    <x v="4"/>
    <x v="11"/>
  </r>
  <r>
    <s v="ORD-00436"/>
    <d v="2024-08-18T00:00:00"/>
    <s v="CUST-0192"/>
    <s v="PROD-034"/>
    <x v="2"/>
    <n v="5"/>
    <n v="5080"/>
    <n v="10.3"/>
    <n v="22783.8"/>
    <s v="Completed"/>
    <s v="Bengaluru"/>
    <x v="3"/>
    <m/>
    <s v="Retail"/>
    <n v="55"/>
    <x v="0"/>
    <x v="0"/>
  </r>
  <r>
    <s v="ORD-00437"/>
    <d v="2024-03-30T00:00:00"/>
    <s v="CUST-0169"/>
    <s v="PROD-026"/>
    <x v="5"/>
    <n v="3"/>
    <n v="4070"/>
    <n v="23.7"/>
    <n v="9316.23"/>
    <s v="Completed"/>
    <s v="Bengaluru"/>
    <x v="2"/>
    <m/>
    <s v="SMB"/>
    <n v="42"/>
    <x v="0"/>
    <x v="0"/>
  </r>
  <r>
    <s v="ORD-00438"/>
    <d v="2024-08-07T00:00:00"/>
    <s v="CUST-0086"/>
    <s v="PROD-016"/>
    <x v="22"/>
    <n v="4"/>
    <n v="620"/>
    <n v="18.8"/>
    <n v="2013.76"/>
    <s v="Completed"/>
    <s v="Hyderabad"/>
    <x v="0"/>
    <m/>
    <s v="Corporate"/>
    <n v="56"/>
    <x v="0"/>
    <x v="0"/>
  </r>
  <r>
    <s v="ORD-00439"/>
    <d v="2024-12-02T00:00:00"/>
    <s v="CUST-0217"/>
    <s v="PROD-010"/>
    <x v="21"/>
    <n v="10"/>
    <n v="2640"/>
    <n v="12.7"/>
    <n v="23047.200000000001"/>
    <s v="Completed"/>
    <s v="Pune"/>
    <x v="4"/>
    <m/>
    <s v="SMB"/>
    <n v="59"/>
    <x v="0"/>
    <x v="0"/>
  </r>
  <r>
    <s v="ORD-00440"/>
    <d v="2024-02-04T00:00:00"/>
    <s v="CUST-0119"/>
    <s v="PROD-026"/>
    <x v="14"/>
    <n v="2"/>
    <n v="4070"/>
    <n v="29"/>
    <n v="5779.4"/>
    <s v="Completed"/>
    <s v="Bengaluru"/>
    <x v="2"/>
    <m/>
    <s v="SMB"/>
    <n v="43"/>
    <x v="0"/>
    <x v="0"/>
  </r>
  <r>
    <s v="ORD-00441"/>
    <d v="2024-09-26T00:00:00"/>
    <s v="CUST-0011"/>
    <s v="PROD-054"/>
    <x v="0"/>
    <n v="8"/>
    <n v="1010"/>
    <n v="25.4"/>
    <n v="6027.68"/>
    <s v="Completed"/>
    <s v="Chennai"/>
    <x v="1"/>
    <m/>
    <s v="Corporate"/>
    <n v="41"/>
    <x v="0"/>
    <x v="0"/>
  </r>
  <r>
    <s v="ORD-00442"/>
    <d v="2024-12-03T00:00:00"/>
    <s v="CUST-0059"/>
    <s v="PROD-036"/>
    <x v="1"/>
    <n v="8"/>
    <n v="3250"/>
    <n v="5.4"/>
    <n v="24596"/>
    <s v="Completed"/>
    <s v="Pune"/>
    <x v="3"/>
    <m/>
    <s v="Corporate"/>
    <n v="29"/>
    <x v="1"/>
    <x v="1"/>
  </r>
  <r>
    <s v="ORD-00443"/>
    <d v="2024-06-17T00:00:00"/>
    <s v="CUST-0210"/>
    <s v="PROD-007"/>
    <x v="18"/>
    <n v="7"/>
    <n v="1430"/>
    <n v="19.3"/>
    <n v="8078.07"/>
    <s v="Completed"/>
    <s v="Pune"/>
    <x v="4"/>
    <m/>
    <s v="Corporate"/>
    <n v="48"/>
    <x v="0"/>
    <x v="0"/>
  </r>
  <r>
    <s v="ORD-00444"/>
    <d v="2024-11-01T00:00:00"/>
    <s v="CUST-0145"/>
    <s v="PROD-045"/>
    <x v="26"/>
    <n v="9"/>
    <n v="3020"/>
    <n v="15"/>
    <n v="23103"/>
    <s v="Completed"/>
    <s v="Bengaluru"/>
    <x v="5"/>
    <m/>
    <s v="SMB"/>
    <n v="44"/>
    <x v="0"/>
    <x v="0"/>
  </r>
  <r>
    <s v="ORD-00445"/>
    <d v="2024-02-02T00:00:00"/>
    <s v="CUST-9626"/>
    <s v="PROD-008"/>
    <x v="25"/>
    <n v="2"/>
    <n v="2660"/>
    <n v="21.4"/>
    <n v="4181.5200000000004"/>
    <s v="Completed"/>
    <s v="Chennai"/>
    <x v="4"/>
    <m/>
    <e v="#N/A"/>
    <e v="#N/A"/>
    <x v="0"/>
    <x v="0"/>
  </r>
  <r>
    <s v="ORD-00446"/>
    <d v="2024-07-17T00:00:00"/>
    <s v="CUST-0250"/>
    <s v="PROD-003"/>
    <x v="7"/>
    <n v="10"/>
    <n v="3570"/>
    <n v="20.3"/>
    <n v="28452.9"/>
    <s v="Completed"/>
    <s v="Delhi"/>
    <x v="4"/>
    <m/>
    <s v="Retail"/>
    <n v="31"/>
    <x v="1"/>
    <x v="5"/>
  </r>
  <r>
    <s v="ORD-00447"/>
    <d v="2024-02-08T00:00:00"/>
    <s v="CUST-0241"/>
    <s v="PROD-043"/>
    <x v="9"/>
    <n v="4"/>
    <n v="3350"/>
    <n v="28.1"/>
    <n v="9634.6"/>
    <s v="Completed"/>
    <s v="Pune"/>
    <x v="5"/>
    <m/>
    <s v="Corporate"/>
    <n v="47"/>
    <x v="0"/>
    <x v="0"/>
  </r>
  <r>
    <s v="ORD-00448"/>
    <d v="2024-02-14T00:00:00"/>
    <s v="CUST-0071"/>
    <s v="PROD-019"/>
    <x v="13"/>
    <n v="1"/>
    <n v="2480"/>
    <n v="13.5"/>
    <n v="2145.1999999999998"/>
    <s v="Completed"/>
    <s v="Delhi"/>
    <x v="0"/>
    <m/>
    <s v="Corporate"/>
    <n v="46"/>
    <x v="0"/>
    <x v="0"/>
  </r>
  <r>
    <s v="ORD-00449"/>
    <d v="2024-12-23T00:00:00"/>
    <s v="CUST-0017"/>
    <s v="PROD-052"/>
    <x v="15"/>
    <n v="10"/>
    <n v="5410"/>
    <n v="26.1"/>
    <n v="39979.9"/>
    <s v="Completed"/>
    <s v="Delhi"/>
    <x v="1"/>
    <m/>
    <s v="SMB"/>
    <n v="38"/>
    <x v="3"/>
    <x v="5"/>
  </r>
  <r>
    <s v="ORD-00450"/>
    <d v="2024-10-21T00:00:00"/>
    <s v="CUST-0007"/>
    <s v="PROD-037"/>
    <x v="12"/>
    <n v="2"/>
    <n v="660"/>
    <n v="5"/>
    <n v="1254"/>
    <s v="Completed"/>
    <s v="Bengaluru"/>
    <x v="3"/>
    <m/>
    <s v="Retail"/>
    <n v="47"/>
    <x v="0"/>
    <x v="0"/>
  </r>
  <r>
    <s v="ORD-00451"/>
    <d v="2024-12-21T00:00:00"/>
    <s v="CUST-0054"/>
    <s v="PROD-054"/>
    <x v="0"/>
    <n v="10"/>
    <n v="1010"/>
    <n v="10"/>
    <n v="9090"/>
    <s v="Completed"/>
    <s v="Mumbai"/>
    <x v="1"/>
    <m/>
    <s v="Corporate"/>
    <n v="62"/>
    <x v="0"/>
    <x v="0"/>
  </r>
  <r>
    <s v="ORD-00452"/>
    <d v="2024-07-23T00:00:00"/>
    <s v="CUST-0038"/>
    <s v="PROD-042"/>
    <x v="19"/>
    <n v="3"/>
    <n v="2290"/>
    <n v="8.9"/>
    <n v="6258.57"/>
    <s v="Completed"/>
    <s v="Mumbai"/>
    <x v="5"/>
    <m/>
    <s v="Retail"/>
    <n v="57"/>
    <x v="0"/>
    <x v="0"/>
  </r>
  <r>
    <s v="ORD-00453"/>
    <d v="2024-03-18T00:00:00"/>
    <s v="CUST-0066"/>
    <s v="PROD-047"/>
    <x v="19"/>
    <n v="9"/>
    <n v="3450"/>
    <n v="24.3"/>
    <n v="23504.85"/>
    <s v="Completed"/>
    <s v="Delhi"/>
    <x v="5"/>
    <m/>
    <s v="Retail"/>
    <n v="24"/>
    <x v="1"/>
    <x v="11"/>
  </r>
  <r>
    <s v="ORD-00454"/>
    <d v="2024-04-07T00:00:00"/>
    <s v="CUST-0161"/>
    <s v="PROD-013"/>
    <x v="11"/>
    <n v="10"/>
    <n v="3640"/>
    <n v="21.4"/>
    <n v="28610.400000000001"/>
    <s v="Cancelled"/>
    <s v="Chennai"/>
    <x v="0"/>
    <m/>
    <s v="Retail"/>
    <n v="38"/>
    <x v="1"/>
    <x v="10"/>
  </r>
  <r>
    <s v="ORD-00455"/>
    <d v="2024-02-14T00:00:00"/>
    <s v="CUST-0072"/>
    <s v="PROD-023"/>
    <x v="15"/>
    <n v="5"/>
    <n v="2380"/>
    <n v="12.2"/>
    <n v="10448.200000000001"/>
    <s v="Completed"/>
    <s v="Mumbai"/>
    <x v="2"/>
    <m/>
    <s v="Corporate"/>
    <n v="62"/>
    <x v="0"/>
    <x v="0"/>
  </r>
  <r>
    <s v="ORD-00456"/>
    <d v="2024-08-01T00:00:00"/>
    <s v="CUST-0232"/>
    <s v="PROD-052"/>
    <x v="21"/>
    <n v="10"/>
    <n v="5410"/>
    <n v="29.8"/>
    <n v="37978.199999999997"/>
    <s v="Completed"/>
    <s v="Hyderabad"/>
    <x v="1"/>
    <m/>
    <s v="Retail"/>
    <n v="38"/>
    <x v="4"/>
    <x v="5"/>
  </r>
  <r>
    <s v="ORD-00457"/>
    <d v="2024-03-24T00:00:00"/>
    <s v="CUST-0054"/>
    <s v="PROD-044"/>
    <x v="13"/>
    <n v="3"/>
    <n v="1650"/>
    <n v="9.4"/>
    <n v="4484.7"/>
    <s v="Cancelled"/>
    <s v="Mumbai"/>
    <x v="5"/>
    <m/>
    <s v="Corporate"/>
    <n v="62"/>
    <x v="0"/>
    <x v="0"/>
  </r>
  <r>
    <s v="ORD-00458"/>
    <d v="2024-04-01T00:00:00"/>
    <s v="CUST-0214"/>
    <s v="PROD-002"/>
    <x v="24"/>
    <n v="7"/>
    <n v="2600"/>
    <n v="19.899999999999999"/>
    <n v="14578.2"/>
    <s v="Pending"/>
    <s v="Mumbai"/>
    <x v="4"/>
    <m/>
    <s v="Retail"/>
    <n v="22"/>
    <x v="3"/>
    <x v="10"/>
  </r>
  <r>
    <s v="ORD-00135"/>
    <d v="2024-07-01T00:00:00"/>
    <s v="CUST-0236"/>
    <s v="PROD-039"/>
    <x v="25"/>
    <n v="4"/>
    <n v="4610"/>
    <n v="13.2"/>
    <n v="16005.92"/>
    <s v="Completed"/>
    <s v="Hyderabad"/>
    <x v="3"/>
    <m/>
    <s v="SMB"/>
    <n v="28"/>
    <x v="3"/>
    <x v="4"/>
  </r>
  <r>
    <s v="ORD-00460"/>
    <d v="2024-03-10T00:00:00"/>
    <s v="CUST-0031"/>
    <s v="PROD-039"/>
    <x v="13"/>
    <n v="9"/>
    <n v="4610"/>
    <n v="25.8"/>
    <n v="30785.58"/>
    <s v="Completed"/>
    <s v="Hyderabad"/>
    <x v="3"/>
    <m/>
    <s v="Retail"/>
    <n v="53"/>
    <x v="0"/>
    <x v="0"/>
  </r>
  <r>
    <s v="ORD-00461"/>
    <d v="2024-09-15T00:00:00"/>
    <s v="CUST-0123"/>
    <s v="PROD-005"/>
    <x v="2"/>
    <n v="5"/>
    <n v="300"/>
    <n v="11.8"/>
    <n v="1323"/>
    <s v="Completed"/>
    <s v="Chennai"/>
    <x v="4"/>
    <m/>
    <s v="Corporate"/>
    <n v="44"/>
    <x v="0"/>
    <x v="0"/>
  </r>
  <r>
    <s v="ORD-00462"/>
    <d v="2024-07-12T00:00:00"/>
    <s v="CUST-0019"/>
    <s v="PROD-011"/>
    <x v="16"/>
    <n v="3"/>
    <n v="3450"/>
    <n v="14.2"/>
    <n v="8880.2999999999993"/>
    <s v="Completed"/>
    <s v="Chennai"/>
    <x v="0"/>
    <m/>
    <s v="Retail"/>
    <n v="22"/>
    <x v="4"/>
    <x v="1"/>
  </r>
  <r>
    <s v="ORD-00463"/>
    <d v="2024-08-19T00:00:00"/>
    <s v="CUST-0171"/>
    <s v="PROD-015"/>
    <x v="8"/>
    <n v="2"/>
    <n v="2720"/>
    <n v="14.6"/>
    <n v="4645.76"/>
    <s v="Cancelled"/>
    <s v="Chennai"/>
    <x v="0"/>
    <m/>
    <s v="Corporate"/>
    <n v="30"/>
    <x v="3"/>
    <x v="11"/>
  </r>
  <r>
    <s v="ORD-00464"/>
    <d v="2024-11-30T00:00:00"/>
    <s v="CUST-0166"/>
    <s v="PROD-008"/>
    <x v="21"/>
    <n v="7"/>
    <n v="2660"/>
    <n v="27.4"/>
    <n v="13518.12"/>
    <s v="Cancelled"/>
    <s v="Hyderabad"/>
    <x v="4"/>
    <m/>
    <s v="Retail"/>
    <n v="31"/>
    <x v="2"/>
    <x v="6"/>
  </r>
  <r>
    <s v="ORD-00465"/>
    <d v="2024-01-11T00:00:00"/>
    <s v="CUST-0151"/>
    <s v="PROD-051"/>
    <x v="1"/>
    <n v="8"/>
    <n v="3450"/>
    <n v="20.399999999999999"/>
    <n v="21969.599999999999"/>
    <s v="Completed"/>
    <s v="Mumbai"/>
    <x v="1"/>
    <m/>
    <s v="Retail"/>
    <n v="53"/>
    <x v="0"/>
    <x v="0"/>
  </r>
  <r>
    <s v="ORD-00466"/>
    <d v="2024-05-15T00:00:00"/>
    <s v="CUST-0027"/>
    <s v="PROD-052"/>
    <x v="29"/>
    <n v="2"/>
    <n v="5410"/>
    <n v="7.2"/>
    <n v="10040.959999999999"/>
    <s v="Completed"/>
    <s v="Hyderabad"/>
    <x v="1"/>
    <m/>
    <s v="Corporate"/>
    <n v="52"/>
    <x v="0"/>
    <x v="0"/>
  </r>
  <r>
    <s v="ORD-00467"/>
    <d v="2024-01-24T00:00:00"/>
    <s v="CUST-0171"/>
    <s v="PROD-004"/>
    <x v="22"/>
    <n v="3"/>
    <n v="3870"/>
    <n v="4.2"/>
    <n v="11122.38"/>
    <s v="Completed"/>
    <s v="Chennai"/>
    <x v="4"/>
    <m/>
    <s v="Corporate"/>
    <n v="30"/>
    <x v="4"/>
    <x v="2"/>
  </r>
  <r>
    <s v="ORD-00468"/>
    <d v="2024-02-06T00:00:00"/>
    <s v="CUST-0094"/>
    <s v="PROD-024"/>
    <x v="1"/>
    <n v="10"/>
    <n v="2270"/>
    <n v="17.3"/>
    <n v="18772.900000000001"/>
    <s v="Completed"/>
    <s v="Pune"/>
    <x v="2"/>
    <m/>
    <s v="SMB"/>
    <n v="60"/>
    <x v="0"/>
    <x v="0"/>
  </r>
  <r>
    <s v="ORD-00469"/>
    <d v="2024-04-12T00:00:00"/>
    <s v="CUST-0223"/>
    <s v="PROD-001"/>
    <x v="5"/>
    <n v="1"/>
    <n v="5330"/>
    <n v="24.2"/>
    <n v="4040.14"/>
    <s v="Completed"/>
    <s v="Bengaluru"/>
    <x v="4"/>
    <m/>
    <s v="Retail"/>
    <n v="46"/>
    <x v="0"/>
    <x v="0"/>
  </r>
  <r>
    <s v="ORD-00470"/>
    <d v="2024-05-02T00:00:00"/>
    <s v="CUST-0281"/>
    <s v="PROD-043"/>
    <x v="15"/>
    <n v="2"/>
    <n v="3350"/>
    <n v="23.4"/>
    <n v="5132.2"/>
    <s v="Completed"/>
    <s v="Bengaluru"/>
    <x v="5"/>
    <m/>
    <s v="Corporate"/>
    <n v="57"/>
    <x v="0"/>
    <x v="0"/>
  </r>
  <r>
    <s v="ORD-00471"/>
    <d v="2024-04-11T00:00:00"/>
    <s v="CUST-0148"/>
    <s v="PROD-045"/>
    <x v="3"/>
    <n v="7"/>
    <n v="3020"/>
    <n v="23.7"/>
    <n v="16129.82"/>
    <s v="Completed"/>
    <s v="Chennai"/>
    <x v="5"/>
    <m/>
    <s v="Retail"/>
    <n v="32"/>
    <x v="4"/>
    <x v="2"/>
  </r>
  <r>
    <s v="ORD-00472"/>
    <d v="2024-08-31T00:00:00"/>
    <s v="CUST-0010"/>
    <s v="PROD-012"/>
    <x v="16"/>
    <n v="7"/>
    <n v="3160"/>
    <n v="22.8"/>
    <n v="17076.64"/>
    <s v="Completed"/>
    <s v="Mumbai"/>
    <x v="0"/>
    <m/>
    <s v="SMB"/>
    <n v="61"/>
    <x v="0"/>
    <x v="0"/>
  </r>
  <r>
    <s v="ORD-00473"/>
    <d v="2024-09-06T00:00:00"/>
    <s v="CUST-0254"/>
    <s v="PROD-053"/>
    <x v="16"/>
    <n v="2"/>
    <n v="470"/>
    <n v="28.8"/>
    <n v="669.28"/>
    <s v="Cancelled"/>
    <s v="Bengaluru"/>
    <x v="1"/>
    <m/>
    <s v="Retail"/>
    <n v="35"/>
    <x v="3"/>
    <x v="6"/>
  </r>
  <r>
    <s v="ORD-00474"/>
    <d v="2024-06-11T00:00:00"/>
    <s v="CUST-0126"/>
    <s v="PROD-036"/>
    <x v="13"/>
    <n v="2"/>
    <n v="3250"/>
    <n v="24.7"/>
    <n v="4894.5"/>
    <s v="Completed"/>
    <s v="Mumbai"/>
    <x v="3"/>
    <m/>
    <s v="Retail"/>
    <n v="37"/>
    <x v="3"/>
    <x v="1"/>
  </r>
  <r>
    <s v="ORD-00475"/>
    <d v="2024-12-05T00:00:00"/>
    <s v="CUST-0018"/>
    <s v="PROD-054"/>
    <x v="12"/>
    <n v="2"/>
    <n v="1010"/>
    <n v="5.2"/>
    <n v="1914.96"/>
    <s v="Cancelled"/>
    <s v="Pune"/>
    <x v="1"/>
    <m/>
    <s v="SMB"/>
    <n v="54"/>
    <x v="0"/>
    <x v="0"/>
  </r>
  <r>
    <s v="ORD-00476"/>
    <d v="2024-10-23T00:00:00"/>
    <s v="CUST-0089"/>
    <s v="PROD-005"/>
    <x v="19"/>
    <n v="9"/>
    <n v="300"/>
    <n v="7.9"/>
    <n v="2486.6999999999998"/>
    <s v="Completed"/>
    <s v="Mumbai"/>
    <x v="4"/>
    <m/>
    <s v="SMB"/>
    <n v="43"/>
    <x v="0"/>
    <x v="0"/>
  </r>
  <r>
    <s v="ORD-00477"/>
    <d v="2024-06-26T00:00:00"/>
    <s v="CUST-0157"/>
    <s v="PROD-048"/>
    <x v="3"/>
    <n v="10"/>
    <n v="5100"/>
    <n v="26.3"/>
    <n v="37587"/>
    <s v="Pending"/>
    <s v="Pune"/>
    <x v="5"/>
    <m/>
    <s v="Corporate"/>
    <n v="52"/>
    <x v="0"/>
    <x v="0"/>
  </r>
  <r>
    <s v="ORD-00478"/>
    <d v="2024-09-17T00:00:00"/>
    <s v="CUST-0201"/>
    <s v="PROD-043"/>
    <x v="8"/>
    <n v="1"/>
    <n v="3350"/>
    <n v="8.5"/>
    <n v="3065.25"/>
    <s v="Cancelled"/>
    <s v="Hyderabad"/>
    <x v="5"/>
    <m/>
    <s v="Retail"/>
    <n v="31"/>
    <x v="1"/>
    <x v="7"/>
  </r>
  <r>
    <s v="ORD-01195"/>
    <d v="2024-09-19T00:00:00"/>
    <s v="CUST-0091"/>
    <s v="PROD-036"/>
    <x v="24"/>
    <n v="2"/>
    <n v="3250"/>
    <n v="25.7"/>
    <n v="4829.5"/>
    <s v="Refunded"/>
    <s v="Delhi"/>
    <x v="3"/>
    <m/>
    <s v="Retail"/>
    <n v="55"/>
    <x v="0"/>
    <x v="0"/>
  </r>
  <r>
    <s v="ORD-00480"/>
    <d v="2024-03-01T00:00:00"/>
    <s v="CUST-0052"/>
    <s v="PROD-028"/>
    <x v="4"/>
    <n v="10"/>
    <n v="3660"/>
    <n v="12"/>
    <n v="32208"/>
    <s v="Completed"/>
    <s v="Pune"/>
    <x v="2"/>
    <m/>
    <s v="Retail"/>
    <n v="38"/>
    <x v="3"/>
    <x v="1"/>
  </r>
  <r>
    <s v="ORD-00481"/>
    <d v="2024-08-17T00:00:00"/>
    <s v="CUST-0069"/>
    <s v="PROD-058"/>
    <x v="18"/>
    <n v="1"/>
    <n v="2400"/>
    <n v="24.5"/>
    <n v="1812"/>
    <s v="Completed"/>
    <s v="Chennai"/>
    <x v="1"/>
    <m/>
    <s v="Retail"/>
    <n v="51"/>
    <x v="0"/>
    <x v="0"/>
  </r>
  <r>
    <s v="ORD-00482"/>
    <d v="2024-07-23T00:00:00"/>
    <s v="CUST-0294"/>
    <s v="PROD-035"/>
    <x v="9"/>
    <n v="1"/>
    <n v="1090"/>
    <n v="18.399999999999999"/>
    <n v="889.44"/>
    <s v="Completed"/>
    <s v="Delhi"/>
    <x v="3"/>
    <m/>
    <s v="Corporate"/>
    <n v="31"/>
    <x v="4"/>
    <x v="6"/>
  </r>
  <r>
    <s v="ORD-00483"/>
    <d v="2024-04-22T00:00:00"/>
    <s v="CUST-0019"/>
    <s v="PROD-059"/>
    <x v="15"/>
    <n v="6"/>
    <n v="3780"/>
    <n v="15.9"/>
    <n v="19073.88"/>
    <s v="Completed"/>
    <s v="Chennai"/>
    <x v="1"/>
    <m/>
    <s v="Retail"/>
    <n v="22"/>
    <x v="4"/>
    <x v="11"/>
  </r>
  <r>
    <s v="ORD-00484"/>
    <d v="2024-02-08T00:00:00"/>
    <s v="CUST-0087"/>
    <s v="PROD-043"/>
    <x v="7"/>
    <n v="3"/>
    <n v="3350"/>
    <n v="18.8"/>
    <n v="8160.6"/>
    <s v="Refunded"/>
    <s v="Pune"/>
    <x v="5"/>
    <m/>
    <s v="SMB"/>
    <n v="49"/>
    <x v="0"/>
    <x v="0"/>
  </r>
  <r>
    <s v="ORD-00485"/>
    <d v="2024-02-01T00:00:00"/>
    <s v="CUST-0281"/>
    <s v="PROD-040"/>
    <x v="14"/>
    <n v="3"/>
    <n v="1080"/>
    <n v="3.4"/>
    <n v="3129.84"/>
    <s v="Completed"/>
    <s v="Bengaluru"/>
    <x v="3"/>
    <m/>
    <s v="Corporate"/>
    <n v="57"/>
    <x v="0"/>
    <x v="0"/>
  </r>
  <r>
    <s v="ORD-00486"/>
    <d v="2024-08-15T00:00:00"/>
    <s v="CUST-0248"/>
    <s v="PROD-026"/>
    <x v="24"/>
    <n v="6"/>
    <n v="4070"/>
    <n v="27.7"/>
    <n v="17655.66"/>
    <s v="Pending"/>
    <s v="Chennai"/>
    <x v="2"/>
    <m/>
    <s v="SMB"/>
    <n v="57"/>
    <x v="0"/>
    <x v="0"/>
  </r>
  <r>
    <s v="ORD-00487"/>
    <d v="2024-08-10T00:00:00"/>
    <s v="CUST-0019"/>
    <s v="PROD-041"/>
    <x v="17"/>
    <n v="5"/>
    <n v="1540"/>
    <n v="24.9"/>
    <n v="5782.7"/>
    <s v="Completed"/>
    <s v="Chennai"/>
    <x v="5"/>
    <m/>
    <s v="Retail"/>
    <n v="22"/>
    <x v="3"/>
    <x v="6"/>
  </r>
  <r>
    <s v="ORD-00488"/>
    <d v="2024-07-24T00:00:00"/>
    <s v="CUST-0092"/>
    <s v="PROD-021"/>
    <x v="8"/>
    <n v="6"/>
    <n v="2760"/>
    <n v="29.9"/>
    <n v="11608.56"/>
    <s v="Completed"/>
    <s v="Bengaluru"/>
    <x v="2"/>
    <m/>
    <s v="SMB"/>
    <n v="28"/>
    <x v="2"/>
    <x v="6"/>
  </r>
  <r>
    <s v="ORD-00489"/>
    <d v="2024-12-13T00:00:00"/>
    <s v="CUST-0195"/>
    <s v="PROD-006"/>
    <x v="24"/>
    <n v="8"/>
    <n v="3970"/>
    <n v="23.7"/>
    <n v="24232.880000000001"/>
    <s v="Completed"/>
    <s v="Bengaluru"/>
    <x v="4"/>
    <m/>
    <s v="Retail"/>
    <n v="28"/>
    <x v="2"/>
    <x v="11"/>
  </r>
  <r>
    <s v="ORD-00490"/>
    <d v="2024-09-27T00:00:00"/>
    <s v="CUST-0126"/>
    <s v="PROD-011"/>
    <x v="13"/>
    <n v="1"/>
    <n v="3450"/>
    <n v="7.4"/>
    <n v="3194.7"/>
    <s v="Completed"/>
    <s v="Mumbai"/>
    <x v="0"/>
    <m/>
    <s v="Retail"/>
    <n v="37"/>
    <x v="3"/>
    <x v="8"/>
  </r>
  <r>
    <s v="ORD-00491"/>
    <d v="2024-01-17T00:00:00"/>
    <s v="CUST-0274"/>
    <s v="PROD-018"/>
    <x v="1"/>
    <n v="3"/>
    <n v="3560"/>
    <n v="15.2"/>
    <n v="9056.64"/>
    <s v="Completed"/>
    <s v="Bengaluru"/>
    <x v="0"/>
    <m/>
    <s v="Corporate"/>
    <n v="36"/>
    <x v="3"/>
    <x v="1"/>
  </r>
  <r>
    <s v="ORD-00492"/>
    <d v="2024-05-16T00:00:00"/>
    <s v="CUST-0059"/>
    <s v="PROD-003"/>
    <x v="14"/>
    <n v="4"/>
    <n v="3570"/>
    <n v="18.899999999999999"/>
    <n v="11581.08"/>
    <s v="Completed"/>
    <s v="Pune"/>
    <x v="4"/>
    <m/>
    <s v="Corporate"/>
    <n v="29"/>
    <x v="1"/>
    <x v="12"/>
  </r>
  <r>
    <s v="ORD-00493"/>
    <d v="2024-06-29T00:00:00"/>
    <s v="CUST-0264"/>
    <s v="PROD-057"/>
    <x v="5"/>
    <n v="9"/>
    <n v="960"/>
    <n v="14"/>
    <n v="7430.4"/>
    <s v="Refunded"/>
    <s v="Pune"/>
    <x v="1"/>
    <m/>
    <s v="Retail"/>
    <n v="59"/>
    <x v="0"/>
    <x v="0"/>
  </r>
  <r>
    <s v="ORD-00494"/>
    <d v="2024-04-24T00:00:00"/>
    <s v="CUST-0157"/>
    <s v="PROD-047"/>
    <x v="29"/>
    <n v="9"/>
    <n v="3450"/>
    <n v="6"/>
    <n v="29187"/>
    <s v="Cancelled"/>
    <s v="Pune"/>
    <x v="5"/>
    <m/>
    <s v="Corporate"/>
    <n v="52"/>
    <x v="0"/>
    <x v="0"/>
  </r>
  <r>
    <s v="ORD-00495"/>
    <d v="2024-06-14T00:00:00"/>
    <s v="CUST-0028"/>
    <s v="PROD-043"/>
    <x v="27"/>
    <n v="7"/>
    <n v="3350"/>
    <n v="14"/>
    <n v="20167"/>
    <s v="Cancelled"/>
    <s v="Bengaluru"/>
    <x v="5"/>
    <m/>
    <s v="Retail"/>
    <n v="59"/>
    <x v="0"/>
    <x v="0"/>
  </r>
  <r>
    <s v="ORD-00496"/>
    <d v="2024-01-07T00:00:00"/>
    <s v="CUST-0033"/>
    <s v="PROD-049"/>
    <x v="10"/>
    <n v="6"/>
    <n v="960"/>
    <n v="10.1"/>
    <n v="5178.24"/>
    <s v="Completed"/>
    <s v="Delhi"/>
    <x v="5"/>
    <m/>
    <s v="Retail"/>
    <n v="35"/>
    <x v="4"/>
    <x v="7"/>
  </r>
  <r>
    <s v="ORD-00497"/>
    <d v="2024-02-15T00:00:00"/>
    <s v="CUST-0280"/>
    <s v="PROD-005"/>
    <x v="29"/>
    <n v="7"/>
    <n v="300"/>
    <n v="21.9"/>
    <n v="1640.1"/>
    <s v="Completed"/>
    <s v="Delhi"/>
    <x v="4"/>
    <m/>
    <s v="SMB"/>
    <n v="27"/>
    <x v="1"/>
    <x v="12"/>
  </r>
  <r>
    <s v="ORD-00498"/>
    <d v="2024-04-07T00:00:00"/>
    <s v="CUST-0232"/>
    <s v="PROD-023"/>
    <x v="7"/>
    <n v="2"/>
    <n v="2380"/>
    <n v="6.8"/>
    <n v="4436.32"/>
    <s v="Completed"/>
    <s v="Hyderabad"/>
    <x v="2"/>
    <m/>
    <s v="Retail"/>
    <n v="38"/>
    <x v="4"/>
    <x v="5"/>
  </r>
  <r>
    <s v="ORD-00499"/>
    <d v="2024-01-07T00:00:00"/>
    <s v="CUST-0270"/>
    <s v="PROD-057"/>
    <x v="6"/>
    <n v="5"/>
    <n v="960"/>
    <n v="15"/>
    <n v="4080"/>
    <s v="Cancelled"/>
    <s v="Bengaluru"/>
    <x v="1"/>
    <m/>
    <s v="Retail"/>
    <n v="29"/>
    <x v="3"/>
    <x v="4"/>
  </r>
  <r>
    <s v="ORD-00500"/>
    <d v="2024-10-12T00:00:00"/>
    <s v="CUST-0203"/>
    <s v="PROD-059"/>
    <x v="27"/>
    <n v="10"/>
    <n v="3780"/>
    <n v="24.1"/>
    <n v="28690.2"/>
    <s v="Refunded"/>
    <s v="Chennai"/>
    <x v="1"/>
    <m/>
    <s v="SMB"/>
    <n v="55"/>
    <x v="0"/>
    <x v="0"/>
  </r>
  <r>
    <s v="ORD-00501"/>
    <d v="2024-03-04T00:00:00"/>
    <s v="CUST-0069"/>
    <s v="PROD-041"/>
    <x v="16"/>
    <n v="4"/>
    <n v="1540"/>
    <n v="14.2"/>
    <n v="5285.28"/>
    <s v="Cancelled"/>
    <s v="Chennai"/>
    <x v="5"/>
    <m/>
    <s v="Retail"/>
    <n v="51"/>
    <x v="0"/>
    <x v="0"/>
  </r>
  <r>
    <s v="ORD-00502"/>
    <d v="2024-06-20T00:00:00"/>
    <s v="CUST-0037"/>
    <s v="PROD-017"/>
    <x v="1"/>
    <n v="10"/>
    <n v="2510"/>
    <n v="20.8"/>
    <n v="19879.2"/>
    <s v="Completed"/>
    <s v="Bengaluru"/>
    <x v="0"/>
    <m/>
    <s v="Retail"/>
    <n v="52"/>
    <x v="0"/>
    <x v="0"/>
  </r>
  <r>
    <s v="ORD-00503"/>
    <d v="2024-03-23T00:00:00"/>
    <s v="CUST-0149"/>
    <s v="PROD-025"/>
    <x v="2"/>
    <n v="9"/>
    <n v="4060"/>
    <n v="27.1"/>
    <n v="26637.66"/>
    <s v="Completed"/>
    <s v="Hyderabad"/>
    <x v="2"/>
    <m/>
    <s v="Retail"/>
    <n v="44"/>
    <x v="0"/>
    <x v="0"/>
  </r>
  <r>
    <s v="ORD-00504"/>
    <d v="2024-12-12T00:00:00"/>
    <s v="CUST-0131"/>
    <s v="PROD-058"/>
    <x v="5"/>
    <n v="4"/>
    <n v="2400"/>
    <n v="19.100000000000001"/>
    <n v="7766.4"/>
    <s v="Completed"/>
    <s v="Delhi"/>
    <x v="1"/>
    <m/>
    <s v="SMB"/>
    <n v="28"/>
    <x v="4"/>
    <x v="10"/>
  </r>
  <r>
    <s v="ORD-00505"/>
    <d v="2024-08-21T00:00:00"/>
    <s v="CUST-0071"/>
    <s v="PROD-046"/>
    <x v="24"/>
    <n v="8"/>
    <n v="4880"/>
    <n v="9.1999999999999993"/>
    <n v="35448.32"/>
    <s v="Cancelled"/>
    <s v="Delhi"/>
    <x v="5"/>
    <m/>
    <s v="Corporate"/>
    <n v="46"/>
    <x v="0"/>
    <x v="0"/>
  </r>
  <r>
    <s v="ORD-00506"/>
    <d v="2024-10-21T00:00:00"/>
    <s v="CUST-0249"/>
    <s v="PROD-048"/>
    <x v="7"/>
    <n v="9"/>
    <n v="5100"/>
    <n v="11.1"/>
    <n v="40805.1"/>
    <s v="Cancelled"/>
    <s v="Mumbai"/>
    <x v="5"/>
    <m/>
    <s v="Retail"/>
    <n v="44"/>
    <x v="0"/>
    <x v="0"/>
  </r>
  <r>
    <s v="ORD-00507"/>
    <d v="2024-12-11T00:00:00"/>
    <s v="CUST-0181"/>
    <s v="PROD-005"/>
    <x v="8"/>
    <n v="4"/>
    <n v="300"/>
    <n v="16.7"/>
    <n v="999.6"/>
    <s v="Completed"/>
    <s v="Delhi"/>
    <x v="4"/>
    <m/>
    <s v="SMB"/>
    <n v="38"/>
    <x v="3"/>
    <x v="9"/>
  </r>
  <r>
    <s v="ORD-00508"/>
    <d v="2024-05-31T00:00:00"/>
    <s v="CUST-0085"/>
    <s v="PROD-019"/>
    <x v="2"/>
    <n v="6"/>
    <n v="2480"/>
    <n v="3.3"/>
    <n v="14388.96"/>
    <s v="Completed"/>
    <s v="Chennai"/>
    <x v="0"/>
    <m/>
    <s v="Retail"/>
    <n v="26"/>
    <x v="2"/>
    <x v="8"/>
  </r>
  <r>
    <s v="ORD-00509"/>
    <d v="2024-10-04T00:00:00"/>
    <s v="CUST-0180"/>
    <s v="PROD-044"/>
    <x v="12"/>
    <n v="10"/>
    <n v="1650"/>
    <n v="22.9"/>
    <n v="12721.5"/>
    <s v="Refunded"/>
    <s v="Chennai"/>
    <x v="5"/>
    <m/>
    <s v="Retail"/>
    <n v="36"/>
    <x v="4"/>
    <x v="2"/>
  </r>
  <r>
    <s v="ORD-00510"/>
    <d v="2024-01-28T00:00:00"/>
    <s v="CUST-0103"/>
    <s v="PROD-029"/>
    <x v="27"/>
    <n v="3"/>
    <n v="2210"/>
    <n v="11.1"/>
    <n v="5894.07"/>
    <s v="Completed"/>
    <s v="Hyderabad"/>
    <x v="2"/>
    <m/>
    <s v="Corporate"/>
    <n v="54"/>
    <x v="0"/>
    <x v="0"/>
  </r>
  <r>
    <s v="ORD-00511"/>
    <d v="2024-04-24T00:00:00"/>
    <s v="CUST-0174"/>
    <s v="PROD-019"/>
    <x v="1"/>
    <n v="10"/>
    <n v="2480"/>
    <n v="13"/>
    <n v="21576"/>
    <s v="Pending"/>
    <s v="Pune"/>
    <x v="0"/>
    <m/>
    <s v="Retail"/>
    <n v="54"/>
    <x v="0"/>
    <x v="0"/>
  </r>
  <r>
    <s v="ORD-00512"/>
    <d v="2024-12-03T00:00:00"/>
    <s v="CUST-0071"/>
    <s v="PROD-001"/>
    <x v="12"/>
    <n v="10"/>
    <n v="5330"/>
    <n v="0.7"/>
    <n v="52926.9"/>
    <s v="Completed"/>
    <s v="Delhi"/>
    <x v="4"/>
    <m/>
    <s v="Corporate"/>
    <n v="46"/>
    <x v="0"/>
    <x v="0"/>
  </r>
  <r>
    <s v="ORD-00513"/>
    <d v="2024-11-16T00:00:00"/>
    <s v="CUST-0266"/>
    <s v="PROD-026"/>
    <x v="27"/>
    <n v="9"/>
    <n v="4070"/>
    <n v="15.6"/>
    <n v="30915.72"/>
    <s v="Completed"/>
    <s v="Pune"/>
    <x v="2"/>
    <m/>
    <s v="Retail"/>
    <n v="65"/>
    <x v="0"/>
    <x v="0"/>
  </r>
  <r>
    <s v="ORD-00514"/>
    <d v="2024-11-17T00:00:00"/>
    <s v="CUST-0148"/>
    <s v="PROD-015"/>
    <x v="19"/>
    <n v="5"/>
    <n v="2720"/>
    <n v="10.3"/>
    <n v="12199.2"/>
    <s v="Cancelled"/>
    <s v="Chennai"/>
    <x v="0"/>
    <m/>
    <s v="Retail"/>
    <n v="32"/>
    <x v="4"/>
    <x v="3"/>
  </r>
  <r>
    <s v="ORD-00515"/>
    <d v="2024-07-11T00:00:00"/>
    <s v="CUST-0030"/>
    <s v="PROD-055"/>
    <x v="20"/>
    <n v="6"/>
    <n v="2860"/>
    <n v="28.9"/>
    <n v="12200.76"/>
    <s v="Completed"/>
    <s v="Bengaluru"/>
    <x v="1"/>
    <m/>
    <s v="Corporate"/>
    <n v="43"/>
    <x v="0"/>
    <x v="0"/>
  </r>
  <r>
    <s v="ORD-00516"/>
    <d v="2024-12-30T00:00:00"/>
    <s v="CUST-0128"/>
    <s v="PROD-014"/>
    <x v="27"/>
    <n v="5"/>
    <n v="3620"/>
    <n v="18.2"/>
    <n v="14805.8"/>
    <s v="Completed"/>
    <s v="Hyderabad"/>
    <x v="0"/>
    <m/>
    <s v="Retail"/>
    <n v="35"/>
    <x v="2"/>
    <x v="11"/>
  </r>
  <r>
    <s v="ORD-00517"/>
    <d v="2024-05-20T00:00:00"/>
    <s v="CUST-0056"/>
    <s v="PROD-044"/>
    <x v="26"/>
    <n v="3"/>
    <n v="1650"/>
    <n v="10.7"/>
    <n v="4420.3500000000004"/>
    <s v="Completed"/>
    <s v="Bengaluru"/>
    <x v="5"/>
    <m/>
    <s v="SMB"/>
    <n v="46"/>
    <x v="0"/>
    <x v="0"/>
  </r>
  <r>
    <s v="ORD-00518"/>
    <d v="2024-07-22T00:00:00"/>
    <s v="CUST-0178"/>
    <s v="PROD-060"/>
    <x v="20"/>
    <n v="8"/>
    <n v="190"/>
    <n v="18"/>
    <n v="1246.4000000000001"/>
    <s v="Pending"/>
    <s v="Hyderabad"/>
    <x v="1"/>
    <m/>
    <s v="Retail"/>
    <n v="25"/>
    <x v="3"/>
    <x v="2"/>
  </r>
  <r>
    <s v="ORD-00519"/>
    <d v="2024-05-31T00:00:00"/>
    <s v="CUST-0237"/>
    <s v="PROD-042"/>
    <x v="20"/>
    <n v="7"/>
    <n v="2290"/>
    <n v="12.5"/>
    <n v="14026.25"/>
    <s v="Completed"/>
    <s v="Mumbai"/>
    <x v="5"/>
    <m/>
    <s v="Retail"/>
    <n v="49"/>
    <x v="0"/>
    <x v="0"/>
  </r>
  <r>
    <s v="ORD-00520"/>
    <d v="2024-12-12T00:00:00"/>
    <s v="CUST-0143"/>
    <s v="PROD-001"/>
    <x v="21"/>
    <n v="2"/>
    <n v="5330"/>
    <n v="26.5"/>
    <n v="7835.1"/>
    <s v="Completed"/>
    <s v="Chennai"/>
    <x v="4"/>
    <m/>
    <s v="SMB"/>
    <n v="52"/>
    <x v="0"/>
    <x v="0"/>
  </r>
  <r>
    <s v="ORD-00521"/>
    <d v="2024-07-03T00:00:00"/>
    <s v="CUST-0233"/>
    <s v="PROD-001"/>
    <x v="15"/>
    <n v="4"/>
    <n v="5330"/>
    <n v="25.6"/>
    <n v="15862.08"/>
    <s v="Completed"/>
    <s v="Mumbai"/>
    <x v="4"/>
    <m/>
    <s v="SMB"/>
    <n v="65"/>
    <x v="0"/>
    <x v="0"/>
  </r>
  <r>
    <s v="ORD-00522"/>
    <d v="2024-10-01T00:00:00"/>
    <s v="CUST-0161"/>
    <s v="PROD-034"/>
    <x v="3"/>
    <n v="4"/>
    <n v="5080"/>
    <n v="28.6"/>
    <n v="14508.48"/>
    <s v="Completed"/>
    <s v="Chennai"/>
    <x v="3"/>
    <m/>
    <s v="Retail"/>
    <n v="38"/>
    <x v="4"/>
    <x v="11"/>
  </r>
  <r>
    <s v="ORD-00523"/>
    <d v="2024-04-10T00:00:00"/>
    <s v="CUST-0087"/>
    <s v="PROD-032"/>
    <x v="25"/>
    <n v="4"/>
    <n v="370"/>
    <n v="12.6"/>
    <n v="1293.52"/>
    <s v="Pending"/>
    <s v="Pune"/>
    <x v="3"/>
    <m/>
    <s v="SMB"/>
    <n v="49"/>
    <x v="0"/>
    <x v="0"/>
  </r>
  <r>
    <s v="ORD-00524"/>
    <d v="2024-09-26T00:00:00"/>
    <s v="CUST-0235"/>
    <s v="PROD-053"/>
    <x v="22"/>
    <n v="9"/>
    <n v="470"/>
    <n v="3.6"/>
    <n v="4077.72"/>
    <s v="Completed"/>
    <s v="Chennai"/>
    <x v="1"/>
    <m/>
    <s v="Retail"/>
    <n v="31"/>
    <x v="1"/>
    <x v="4"/>
  </r>
  <r>
    <s v="ORD-00525"/>
    <d v="2024-12-08T00:00:00"/>
    <s v="CUST-0183"/>
    <s v="PROD-052"/>
    <x v="28"/>
    <n v="4"/>
    <n v="5410"/>
    <n v="11.3"/>
    <n v="19194.68"/>
    <s v="Refunded"/>
    <s v="Mumbai"/>
    <x v="1"/>
    <m/>
    <s v="SMB"/>
    <n v="27"/>
    <x v="4"/>
    <x v="1"/>
  </r>
  <r>
    <s v="ORD-00526"/>
    <d v="2024-01-20T00:00:00"/>
    <s v="CUST-0199"/>
    <s v="PROD-014"/>
    <x v="0"/>
    <n v="10"/>
    <n v="3620"/>
    <n v="2.5"/>
    <n v="35295"/>
    <s v="Completed"/>
    <s v="Hyderabad"/>
    <x v="0"/>
    <m/>
    <s v="SMB"/>
    <n v="31"/>
    <x v="2"/>
    <x v="8"/>
  </r>
  <r>
    <s v="ORD-00527"/>
    <d v="2024-03-29T00:00:00"/>
    <s v="CUST-0034"/>
    <s v="PROD-021"/>
    <x v="14"/>
    <n v="1"/>
    <n v="2760"/>
    <n v="22.2"/>
    <n v="2147.2800000000002"/>
    <s v="Completed"/>
    <s v="Delhi"/>
    <x v="2"/>
    <m/>
    <s v="Retail"/>
    <n v="47"/>
    <x v="0"/>
    <x v="0"/>
  </r>
  <r>
    <s v="ORD-00528"/>
    <d v="2024-09-14T00:00:00"/>
    <s v="CUST-0206"/>
    <s v="PROD-047"/>
    <x v="19"/>
    <n v="7"/>
    <n v="3450"/>
    <n v="8.6"/>
    <n v="22073.1"/>
    <s v="Completed"/>
    <s v="Mumbai"/>
    <x v="5"/>
    <m/>
    <s v="Retail"/>
    <n v="40"/>
    <x v="2"/>
    <x v="10"/>
  </r>
  <r>
    <s v="ORD-00529"/>
    <d v="2024-05-06T00:00:00"/>
    <s v="CUST-0246"/>
    <s v="PROD-028"/>
    <x v="8"/>
    <n v="6"/>
    <n v="3660"/>
    <n v="10.6"/>
    <n v="19632.240000000002"/>
    <s v="Completed"/>
    <s v="Delhi"/>
    <x v="2"/>
    <m/>
    <s v="SMB"/>
    <n v="29"/>
    <x v="1"/>
    <x v="1"/>
  </r>
  <r>
    <s v="ORD-00530"/>
    <d v="2024-08-28T00:00:00"/>
    <s v="CUST-0075"/>
    <s v="PROD-003"/>
    <x v="8"/>
    <n v="10"/>
    <n v="3570"/>
    <n v="1.2"/>
    <n v="35271.599999999999"/>
    <s v="Completed"/>
    <s v="Mumbai"/>
    <x v="4"/>
    <m/>
    <s v="Corporate"/>
    <n v="55"/>
    <x v="0"/>
    <x v="0"/>
  </r>
  <r>
    <s v="ORD-00531"/>
    <d v="2024-09-07T00:00:00"/>
    <s v="CUST-0298"/>
    <s v="PROD-035"/>
    <x v="18"/>
    <n v="8"/>
    <n v="1090"/>
    <n v="13.2"/>
    <n v="7568.96"/>
    <s v="Refunded"/>
    <s v="Delhi"/>
    <x v="3"/>
    <m/>
    <s v="Retail"/>
    <n v="44"/>
    <x v="0"/>
    <x v="0"/>
  </r>
  <r>
    <s v="ORD-00532"/>
    <d v="2024-01-29T00:00:00"/>
    <s v="CUST-0165"/>
    <s v="PROD-014"/>
    <x v="26"/>
    <n v="8"/>
    <n v="3620"/>
    <n v="29"/>
    <n v="20561.599999999999"/>
    <s v="Completed"/>
    <s v="Pune"/>
    <x v="0"/>
    <m/>
    <s v="Retail"/>
    <n v="29"/>
    <x v="4"/>
    <x v="1"/>
  </r>
  <r>
    <s v="ORD-00533"/>
    <d v="2024-09-13T00:00:00"/>
    <s v="CUST-0033"/>
    <s v="PROD-046"/>
    <x v="9"/>
    <n v="7"/>
    <n v="4880"/>
    <n v="25.6"/>
    <n v="25415.040000000001"/>
    <s v="Refunded"/>
    <s v="Delhi"/>
    <x v="5"/>
    <m/>
    <s v="Retail"/>
    <n v="35"/>
    <x v="3"/>
    <x v="12"/>
  </r>
  <r>
    <s v="ORD-00534"/>
    <d v="2024-05-22T00:00:00"/>
    <s v="CUST-0205"/>
    <s v="PROD-053"/>
    <x v="8"/>
    <n v="2"/>
    <n v="470"/>
    <n v="9.6999999999999993"/>
    <n v="848.82"/>
    <s v="Completed"/>
    <s v="Pune"/>
    <x v="1"/>
    <m/>
    <s v="Corporate"/>
    <n v="29"/>
    <x v="4"/>
    <x v="1"/>
  </r>
  <r>
    <s v="ORD-00535"/>
    <d v="2024-09-04T00:00:00"/>
    <s v="CUST-0037"/>
    <s v="PROD-042"/>
    <x v="24"/>
    <n v="6"/>
    <n v="2290"/>
    <n v="8.9"/>
    <n v="12517.14"/>
    <s v="Completed"/>
    <s v="Bengaluru"/>
    <x v="5"/>
    <m/>
    <s v="Retail"/>
    <n v="52"/>
    <x v="0"/>
    <x v="0"/>
  </r>
  <r>
    <s v="ORD-00536"/>
    <d v="2024-06-25T00:00:00"/>
    <s v="CUST-0228"/>
    <s v="PROD-023"/>
    <x v="9"/>
    <n v="3"/>
    <n v="2380"/>
    <n v="2.7"/>
    <n v="6947.22"/>
    <s v="Pending"/>
    <s v="Pune"/>
    <x v="2"/>
    <m/>
    <s v="Corporate"/>
    <n v="37"/>
    <x v="3"/>
    <x v="1"/>
  </r>
  <r>
    <s v="ORD-00537"/>
    <d v="2024-07-12T00:00:00"/>
    <s v="CUST-0279"/>
    <s v="PROD-023"/>
    <x v="4"/>
    <n v="9"/>
    <n v="2380"/>
    <n v="20.100000000000001"/>
    <n v="17114.580000000002"/>
    <s v="Completed"/>
    <s v="Mumbai"/>
    <x v="2"/>
    <m/>
    <s v="Retail"/>
    <n v="56"/>
    <x v="0"/>
    <x v="0"/>
  </r>
  <r>
    <s v="ORD-00538"/>
    <d v="2024-01-12T00:00:00"/>
    <s v="CUST-0271"/>
    <s v="PROD-052"/>
    <x v="2"/>
    <n v="8"/>
    <n v="5410"/>
    <n v="11.2"/>
    <n v="38432.639999999999"/>
    <s v="Completed"/>
    <s v="Bengaluru"/>
    <x v="1"/>
    <m/>
    <s v="Corporate"/>
    <n v="41"/>
    <x v="0"/>
    <x v="0"/>
  </r>
  <r>
    <s v="ORD-00539"/>
    <d v="2024-11-09T00:00:00"/>
    <s v="CUST-0127"/>
    <s v="PROD-007"/>
    <x v="4"/>
    <n v="1"/>
    <n v="1430"/>
    <n v="19.600000000000001"/>
    <n v="1149.72"/>
    <s v="Completed"/>
    <s v="Bengaluru"/>
    <x v="4"/>
    <m/>
    <s v="SMB"/>
    <n v="36"/>
    <x v="4"/>
    <x v="12"/>
  </r>
  <r>
    <s v="ORD-00540"/>
    <d v="2024-05-09T00:00:00"/>
    <s v="CUST-0007"/>
    <s v="PROD-058"/>
    <x v="28"/>
    <n v="9"/>
    <n v="2400"/>
    <n v="5"/>
    <n v="20520"/>
    <s v="Completed"/>
    <s v="Bengaluru"/>
    <x v="1"/>
    <m/>
    <s v="Retail"/>
    <n v="47"/>
    <x v="0"/>
    <x v="0"/>
  </r>
  <r>
    <s v="ORD-00541"/>
    <d v="2024-07-20T00:00:00"/>
    <s v="CUST-0005"/>
    <s v="PROD-027"/>
    <x v="19"/>
    <n v="1"/>
    <n v="3780"/>
    <n v="4.7"/>
    <n v="3602.34"/>
    <s v="Completed"/>
    <s v="Chennai"/>
    <x v="2"/>
    <m/>
    <s v="Corporate"/>
    <n v="52"/>
    <x v="0"/>
    <x v="0"/>
  </r>
  <r>
    <s v="ORD-00542"/>
    <d v="2024-10-27T00:00:00"/>
    <s v="CUST-0072"/>
    <s v="PROD-016"/>
    <x v="7"/>
    <n v="2"/>
    <n v="620"/>
    <n v="8"/>
    <n v="1140.8"/>
    <s v="Completed"/>
    <s v="Mumbai"/>
    <x v="0"/>
    <m/>
    <s v="Corporate"/>
    <n v="62"/>
    <x v="0"/>
    <x v="0"/>
  </r>
  <r>
    <s v="ORD-00543"/>
    <d v="2024-03-28T00:00:00"/>
    <s v="CUST-0167"/>
    <s v="PROD-060"/>
    <x v="0"/>
    <n v="3"/>
    <n v="190"/>
    <n v="17.899999999999999"/>
    <n v="467.97"/>
    <s v="Pending"/>
    <s v="Delhi"/>
    <x v="1"/>
    <m/>
    <s v="Retail"/>
    <n v="43"/>
    <x v="0"/>
    <x v="0"/>
  </r>
  <r>
    <s v="ORD-00544"/>
    <d v="2024-02-10T00:00:00"/>
    <s v="CUST-0244"/>
    <s v="PROD-014"/>
    <x v="7"/>
    <n v="2"/>
    <n v="3620"/>
    <n v="15.5"/>
    <n v="6117.8"/>
    <s v="Completed"/>
    <s v="Bengaluru"/>
    <x v="0"/>
    <m/>
    <s v="Retail"/>
    <n v="61"/>
    <x v="0"/>
    <x v="0"/>
  </r>
  <r>
    <s v="ORD-00545"/>
    <d v="2024-11-14T00:00:00"/>
    <s v="CUST-0086"/>
    <s v="PROD-055"/>
    <x v="26"/>
    <n v="5"/>
    <n v="2860"/>
    <n v="26.8"/>
    <n v="10467.6"/>
    <s v="Completed"/>
    <s v="Hyderabad"/>
    <x v="1"/>
    <m/>
    <s v="Corporate"/>
    <n v="56"/>
    <x v="0"/>
    <x v="0"/>
  </r>
  <r>
    <s v="ORD-00546"/>
    <d v="2024-12-12T00:00:00"/>
    <s v="CUST-0091"/>
    <s v="PROD-058"/>
    <x v="12"/>
    <n v="6"/>
    <n v="2400"/>
    <n v="19.2"/>
    <n v="11635.2"/>
    <s v="Cancelled"/>
    <s v="Delhi"/>
    <x v="1"/>
    <m/>
    <s v="Retail"/>
    <n v="55"/>
    <x v="0"/>
    <x v="0"/>
  </r>
  <r>
    <s v="ORD-00547"/>
    <d v="2024-09-11T00:00:00"/>
    <s v="CUST-0169"/>
    <s v="PROD-034"/>
    <x v="18"/>
    <n v="7"/>
    <n v="5080"/>
    <n v="16.600000000000001"/>
    <n v="29657.040000000001"/>
    <s v="Pending"/>
    <s v="Bengaluru"/>
    <x v="3"/>
    <m/>
    <s v="SMB"/>
    <n v="42"/>
    <x v="0"/>
    <x v="0"/>
  </r>
  <r>
    <s v="ORD-00548"/>
    <d v="2024-05-24T00:00:00"/>
    <s v="CUST-0273"/>
    <s v="PROD-034"/>
    <x v="15"/>
    <n v="10"/>
    <n v="5080"/>
    <n v="24.6"/>
    <n v="38303.199999999997"/>
    <s v="Completed"/>
    <s v="Hyderabad"/>
    <x v="3"/>
    <m/>
    <s v="Corporate"/>
    <n v="32"/>
    <x v="4"/>
    <x v="1"/>
  </r>
  <r>
    <s v="ORD-00549"/>
    <d v="2024-08-28T00:00:00"/>
    <s v="CUST-0233"/>
    <s v="PROD-057"/>
    <x v="4"/>
    <n v="7"/>
    <n v="960"/>
    <n v="16.600000000000001"/>
    <n v="5604.48"/>
    <s v="Completed"/>
    <s v="Mumbai"/>
    <x v="1"/>
    <m/>
    <s v="SMB"/>
    <n v="65"/>
    <x v="0"/>
    <x v="0"/>
  </r>
  <r>
    <s v="ORD-00550"/>
    <d v="2024-10-03T00:00:00"/>
    <s v="CUST-0175"/>
    <s v="PROD-028"/>
    <x v="8"/>
    <n v="3"/>
    <n v="3660"/>
    <n v="3.2"/>
    <n v="10628.64"/>
    <s v="Pending"/>
    <s v="Delhi"/>
    <x v="2"/>
    <m/>
    <s v="Corporate"/>
    <n v="55"/>
    <x v="0"/>
    <x v="0"/>
  </r>
  <r>
    <s v="ORD-00551"/>
    <d v="2024-10-07T00:00:00"/>
    <s v="CUST-0241"/>
    <s v="PROD-010"/>
    <x v="18"/>
    <n v="6"/>
    <n v="2640"/>
    <n v="26.3"/>
    <n v="11674.08"/>
    <s v="Completed"/>
    <s v="Pune"/>
    <x v="4"/>
    <m/>
    <s v="Corporate"/>
    <n v="47"/>
    <x v="0"/>
    <x v="0"/>
  </r>
  <r>
    <s v="ORD-00552"/>
    <d v="2024-09-27T00:00:00"/>
    <s v="CUST-0024"/>
    <s v="PROD-009"/>
    <x v="18"/>
    <n v="6"/>
    <n v="1220"/>
    <n v="22.3"/>
    <n v="5687.64"/>
    <s v="Cancelled"/>
    <s v="Chennai"/>
    <x v="4"/>
    <m/>
    <s v="SMB"/>
    <n v="64"/>
    <x v="0"/>
    <x v="0"/>
  </r>
  <r>
    <s v="ORD-00553"/>
    <d v="2024-02-23T00:00:00"/>
    <s v="CUST-0252"/>
    <s v="PROD-005"/>
    <x v="22"/>
    <n v="1"/>
    <n v="300"/>
    <n v="0.7"/>
    <n v="297.89999999999998"/>
    <s v="Completed"/>
    <s v="Bengaluru"/>
    <x v="4"/>
    <m/>
    <s v="Retail"/>
    <n v="27"/>
    <x v="4"/>
    <x v="1"/>
  </r>
  <r>
    <s v="ORD-00554"/>
    <d v="2024-03-19T00:00:00"/>
    <s v="CUST-0245"/>
    <s v="PROD-054"/>
    <x v="16"/>
    <n v="2"/>
    <n v="1010"/>
    <n v="28"/>
    <n v="1454.4"/>
    <s v="Completed"/>
    <s v="Hyderabad"/>
    <x v="1"/>
    <m/>
    <s v="Retail"/>
    <n v="65"/>
    <x v="0"/>
    <x v="0"/>
  </r>
  <r>
    <s v="ORD-00555"/>
    <d v="2024-04-25T00:00:00"/>
    <s v="CUST-0046"/>
    <s v="PROD-002"/>
    <x v="23"/>
    <n v="5"/>
    <n v="2600"/>
    <n v="0.8"/>
    <n v="12896"/>
    <s v="Cancelled"/>
    <s v="Delhi"/>
    <x v="4"/>
    <m/>
    <s v="SMB"/>
    <n v="45"/>
    <x v="0"/>
    <x v="0"/>
  </r>
  <r>
    <s v="ORD-00556"/>
    <d v="2024-02-15T00:00:00"/>
    <s v="CUST-0050"/>
    <s v="PROD-056"/>
    <x v="17"/>
    <n v="3"/>
    <n v="6940"/>
    <n v="10.7"/>
    <n v="18592.259999999998"/>
    <s v="Cancelled"/>
    <s v="Mumbai"/>
    <x v="1"/>
    <m/>
    <s v="Retail"/>
    <n v="37"/>
    <x v="4"/>
    <x v="4"/>
  </r>
  <r>
    <s v="ORD-00557"/>
    <d v="2024-10-06T00:00:00"/>
    <s v="CUST-0227"/>
    <s v="PROD-032"/>
    <x v="23"/>
    <n v="1"/>
    <n v="370"/>
    <n v="10.3"/>
    <n v="331.89"/>
    <s v="Refunded"/>
    <s v="Bengaluru"/>
    <x v="3"/>
    <m/>
    <s v="SMB"/>
    <n v="44"/>
    <x v="0"/>
    <x v="0"/>
  </r>
  <r>
    <s v="ORD-00558"/>
    <d v="2024-03-06T00:00:00"/>
    <s v="CUST-0218"/>
    <s v="PROD-027"/>
    <x v="20"/>
    <n v="2"/>
    <n v="3780"/>
    <n v="29.4"/>
    <n v="5337.36"/>
    <s v="Completed"/>
    <s v="Mumbai"/>
    <x v="2"/>
    <m/>
    <s v="Retail"/>
    <n v="39"/>
    <x v="4"/>
    <x v="9"/>
  </r>
  <r>
    <s v="ORD-00559"/>
    <d v="2024-05-20T00:00:00"/>
    <s v="CUST-0087"/>
    <s v="PROD-030"/>
    <x v="24"/>
    <n v="5"/>
    <n v="970"/>
    <n v="14.6"/>
    <n v="4141.8999999999996"/>
    <s v="Completed"/>
    <s v="Pune"/>
    <x v="2"/>
    <m/>
    <s v="SMB"/>
    <n v="49"/>
    <x v="0"/>
    <x v="0"/>
  </r>
  <r>
    <s v="ORD-00560"/>
    <d v="2024-11-08T00:00:00"/>
    <s v="CUST-0209"/>
    <s v="PROD-022"/>
    <x v="25"/>
    <n v="3"/>
    <n v="2270"/>
    <n v="6.5"/>
    <n v="6367.35"/>
    <s v="Completed"/>
    <s v="Pune"/>
    <x v="2"/>
    <m/>
    <s v="Retail"/>
    <n v="31"/>
    <x v="3"/>
    <x v="2"/>
  </r>
  <r>
    <s v="ORD-00561"/>
    <d v="2024-06-24T00:00:00"/>
    <s v="CUST-0212"/>
    <s v="PROD-041"/>
    <x v="20"/>
    <n v="10"/>
    <n v="1540"/>
    <n v="16.5"/>
    <n v="12859"/>
    <s v="Completed"/>
    <s v="Chennai"/>
    <x v="5"/>
    <m/>
    <s v="SMB"/>
    <n v="46"/>
    <x v="0"/>
    <x v="0"/>
  </r>
  <r>
    <s v="ORD-00562"/>
    <d v="2024-12-23T00:00:00"/>
    <s v="CUST-0180"/>
    <s v="PROD-021"/>
    <x v="21"/>
    <n v="4"/>
    <n v="2760"/>
    <n v="19.8"/>
    <n v="8854.08"/>
    <s v="Completed"/>
    <s v="Chennai"/>
    <x v="2"/>
    <m/>
    <s v="Retail"/>
    <n v="36"/>
    <x v="2"/>
    <x v="7"/>
  </r>
  <r>
    <s v="ORD-00563"/>
    <d v="2024-02-10T00:00:00"/>
    <s v="CUST-0025"/>
    <s v="PROD-024"/>
    <x v="14"/>
    <n v="3"/>
    <n v="2270"/>
    <n v="29.5"/>
    <n v="4801.05"/>
    <s v="Refunded"/>
    <s v="Bengaluru"/>
    <x v="2"/>
    <m/>
    <s v="Retail"/>
    <n v="23"/>
    <x v="3"/>
    <x v="8"/>
  </r>
  <r>
    <s v="ORD-00564"/>
    <d v="2024-05-06T00:00:00"/>
    <s v="CUST-0271"/>
    <s v="PROD-045"/>
    <x v="15"/>
    <n v="8"/>
    <n v="3020"/>
    <n v="1.2"/>
    <n v="23870.080000000002"/>
    <s v="Completed"/>
    <s v="Bengaluru"/>
    <x v="5"/>
    <m/>
    <s v="Corporate"/>
    <n v="41"/>
    <x v="0"/>
    <x v="0"/>
  </r>
  <r>
    <s v="ORD-00565"/>
    <d v="2024-07-17T00:00:00"/>
    <s v="CUST-0026"/>
    <s v="PROD-023"/>
    <x v="26"/>
    <n v="6"/>
    <n v="2380"/>
    <n v="20.399999999999999"/>
    <n v="11366.88"/>
    <s v="Completed"/>
    <s v="Pune"/>
    <x v="2"/>
    <m/>
    <s v="Retail"/>
    <n v="62"/>
    <x v="0"/>
    <x v="0"/>
  </r>
  <r>
    <s v="ORD-00566"/>
    <d v="2024-06-27T00:00:00"/>
    <s v="CUST-0058"/>
    <s v="PROD-056"/>
    <x v="8"/>
    <n v="1"/>
    <n v="6940"/>
    <n v="15"/>
    <n v="5899"/>
    <s v="Cancelled"/>
    <s v="Bengaluru"/>
    <x v="1"/>
    <m/>
    <s v="SMB"/>
    <n v="49"/>
    <x v="0"/>
    <x v="0"/>
  </r>
  <r>
    <s v="ORD-00567"/>
    <d v="2024-12-28T00:00:00"/>
    <s v="CUST-0033"/>
    <s v="PROD-008"/>
    <x v="9"/>
    <n v="1"/>
    <n v="2660"/>
    <n v="11.6"/>
    <n v="2351.44"/>
    <s v="Completed"/>
    <s v="Delhi"/>
    <x v="4"/>
    <m/>
    <s v="Retail"/>
    <n v="35"/>
    <x v="2"/>
    <x v="7"/>
  </r>
  <r>
    <s v="ORD-00568"/>
    <d v="2024-09-13T00:00:00"/>
    <s v="CUST-0057"/>
    <s v="PROD-030"/>
    <x v="22"/>
    <n v="4"/>
    <n v="970"/>
    <n v="11.6"/>
    <n v="3429.92"/>
    <s v="Completed"/>
    <s v="Pune"/>
    <x v="2"/>
    <m/>
    <s v="Retail"/>
    <n v="35"/>
    <x v="4"/>
    <x v="8"/>
  </r>
  <r>
    <s v="ORD-00569"/>
    <d v="2024-12-06T00:00:00"/>
    <s v="CUST-0231"/>
    <s v="PROD-022"/>
    <x v="25"/>
    <n v="7"/>
    <n v="2270"/>
    <n v="27.9"/>
    <n v="11456.69"/>
    <s v="Completed"/>
    <s v="Chennai"/>
    <x v="2"/>
    <m/>
    <s v="Retail"/>
    <n v="61"/>
    <x v="0"/>
    <x v="0"/>
  </r>
  <r>
    <s v="ORD-00570"/>
    <d v="2024-01-13T00:00:00"/>
    <s v="CUST-0031"/>
    <s v="PROD-054"/>
    <x v="29"/>
    <n v="8"/>
    <n v="1010"/>
    <n v="13.7"/>
    <n v="6973.04"/>
    <s v="Cancelled"/>
    <s v="Hyderabad"/>
    <x v="1"/>
    <m/>
    <s v="Retail"/>
    <n v="53"/>
    <x v="0"/>
    <x v="0"/>
  </r>
  <r>
    <s v="ORD-00571"/>
    <d v="2024-02-08T00:00:00"/>
    <s v="CUST-0228"/>
    <s v="PROD-023"/>
    <x v="19"/>
    <n v="8"/>
    <n v="2380"/>
    <n v="15.3"/>
    <n v="16126.88"/>
    <s v="Cancelled"/>
    <s v="Pune"/>
    <x v="2"/>
    <m/>
    <s v="Corporate"/>
    <n v="37"/>
    <x v="4"/>
    <x v="12"/>
  </r>
  <r>
    <s v="ORD-00572"/>
    <d v="2024-12-07T00:00:00"/>
    <s v="CUST-0127"/>
    <s v="PROD-053"/>
    <x v="26"/>
    <n v="10"/>
    <n v="470"/>
    <n v="2.1"/>
    <n v="4601.3"/>
    <s v="Completed"/>
    <s v="Bengaluru"/>
    <x v="1"/>
    <m/>
    <s v="SMB"/>
    <n v="36"/>
    <x v="1"/>
    <x v="5"/>
  </r>
  <r>
    <s v="ORD-00573"/>
    <d v="2024-07-07T00:00:00"/>
    <s v="CUST-0117"/>
    <s v="PROD-048"/>
    <x v="5"/>
    <n v="5"/>
    <n v="5100"/>
    <n v="9.6999999999999993"/>
    <n v="23026.5"/>
    <s v="Completed"/>
    <s v="Delhi"/>
    <x v="5"/>
    <m/>
    <s v="SMB"/>
    <n v="34"/>
    <x v="3"/>
    <x v="8"/>
  </r>
  <r>
    <s v="ORD-00574"/>
    <d v="2024-04-20T00:00:00"/>
    <s v="CUST-0159"/>
    <s v="PROD-049"/>
    <x v="17"/>
    <n v="9"/>
    <n v="960"/>
    <n v="17.7"/>
    <n v="7110.72"/>
    <s v="Completed"/>
    <s v="Hyderabad"/>
    <x v="5"/>
    <m/>
    <s v="Retail"/>
    <n v="32"/>
    <x v="2"/>
    <x v="11"/>
  </r>
  <r>
    <s v="ORD-00575"/>
    <d v="2024-07-05T00:00:00"/>
    <s v="CUST-0064"/>
    <s v="PROD-026"/>
    <x v="0"/>
    <n v="2"/>
    <n v="4070"/>
    <n v="2.1"/>
    <n v="7969.06"/>
    <s v="Completed"/>
    <s v="Hyderabad"/>
    <x v="2"/>
    <m/>
    <s v="SMB"/>
    <n v="40"/>
    <x v="2"/>
    <x v="4"/>
  </r>
  <r>
    <s v="ORD-00576"/>
    <d v="2024-03-07T00:00:00"/>
    <s v="CUST-0272"/>
    <s v="PROD-031"/>
    <x v="13"/>
    <n v="5"/>
    <n v="3730"/>
    <n v="16.5"/>
    <n v="15572.75"/>
    <s v="Completed"/>
    <s v="Mumbai"/>
    <x v="3"/>
    <m/>
    <s v="SMB"/>
    <n v="47"/>
    <x v="0"/>
    <x v="0"/>
  </r>
  <r>
    <s v="ORD-00577"/>
    <d v="2024-10-24T00:00:00"/>
    <s v="CUST-0071"/>
    <s v="PROD-055"/>
    <x v="24"/>
    <n v="1"/>
    <n v="2860"/>
    <n v="10.4"/>
    <n v="2562.56"/>
    <s v="Cancelled"/>
    <s v="Delhi"/>
    <x v="1"/>
    <m/>
    <s v="Corporate"/>
    <n v="46"/>
    <x v="0"/>
    <x v="0"/>
  </r>
  <r>
    <s v="ORD-00578"/>
    <d v="2024-08-03T00:00:00"/>
    <s v="CUST-0045"/>
    <s v="PROD-046"/>
    <x v="26"/>
    <n v="4"/>
    <n v="4880"/>
    <n v="27.5"/>
    <n v="14152"/>
    <s v="Pending"/>
    <s v="Chennai"/>
    <x v="5"/>
    <m/>
    <s v="SMB"/>
    <n v="39"/>
    <x v="3"/>
    <x v="9"/>
  </r>
  <r>
    <s v="ORD-00579"/>
    <d v="2024-06-27T00:00:00"/>
    <s v="CUST-0148"/>
    <s v="PROD-022"/>
    <x v="24"/>
    <n v="3"/>
    <n v="2270"/>
    <n v="6.7"/>
    <n v="6353.73"/>
    <s v="Completed"/>
    <s v="Chennai"/>
    <x v="2"/>
    <m/>
    <s v="Retail"/>
    <n v="32"/>
    <x v="3"/>
    <x v="6"/>
  </r>
  <r>
    <s v="ORD-00580"/>
    <d v="2024-10-24T00:00:00"/>
    <s v="CUST-0097"/>
    <s v="PROD-025"/>
    <x v="0"/>
    <n v="10"/>
    <n v="4060"/>
    <n v="3.6"/>
    <n v="39138.400000000001"/>
    <s v="Pending"/>
    <s v="Mumbai"/>
    <x v="2"/>
    <m/>
    <s v="Retail"/>
    <n v="65"/>
    <x v="0"/>
    <x v="0"/>
  </r>
  <r>
    <s v="ORD-00581"/>
    <d v="2024-05-21T00:00:00"/>
    <s v="CUST-0151"/>
    <s v="PROD-010"/>
    <x v="10"/>
    <n v="8"/>
    <n v="2640"/>
    <n v="28.8"/>
    <n v="15037.44"/>
    <s v="Completed"/>
    <s v="Mumbai"/>
    <x v="4"/>
    <m/>
    <s v="Retail"/>
    <n v="53"/>
    <x v="0"/>
    <x v="0"/>
  </r>
  <r>
    <s v="ORD-00582"/>
    <d v="2024-07-04T00:00:00"/>
    <s v="CUST-0048"/>
    <s v="PROD-031"/>
    <x v="27"/>
    <n v="6"/>
    <n v="3730"/>
    <n v="21.9"/>
    <n v="17478.78"/>
    <s v="Completed"/>
    <s v="Delhi"/>
    <x v="3"/>
    <m/>
    <s v="Retail"/>
    <n v="59"/>
    <x v="0"/>
    <x v="0"/>
  </r>
  <r>
    <s v="ORD-00583"/>
    <d v="2024-05-31T00:00:00"/>
    <s v="CUST-0048"/>
    <s v="PROD-001"/>
    <x v="3"/>
    <n v="9"/>
    <n v="5330"/>
    <n v="29.4"/>
    <n v="33866.82"/>
    <s v="Cancelled"/>
    <s v="Delhi"/>
    <x v="4"/>
    <m/>
    <s v="Retail"/>
    <n v="59"/>
    <x v="0"/>
    <x v="0"/>
  </r>
  <r>
    <s v="ORD-00584"/>
    <d v="2024-01-31T00:00:00"/>
    <s v="CUST-0156"/>
    <s v="PROD-011"/>
    <x v="28"/>
    <n v="1"/>
    <n v="3450"/>
    <n v="23.3"/>
    <n v="2646.15"/>
    <s v="Completed"/>
    <s v="Mumbai"/>
    <x v="0"/>
    <m/>
    <s v="Retail"/>
    <n v="33"/>
    <x v="1"/>
    <x v="2"/>
  </r>
  <r>
    <s v="ORD-00585"/>
    <d v="2024-09-09T00:00:00"/>
    <s v="CUST-0022"/>
    <s v="PROD-050"/>
    <x v="21"/>
    <n v="3"/>
    <n v="6080"/>
    <n v="14.5"/>
    <n v="15595.2"/>
    <s v="Completed"/>
    <s v="Bengaluru"/>
    <x v="5"/>
    <m/>
    <s v="Corporate"/>
    <n v="55"/>
    <x v="0"/>
    <x v="0"/>
  </r>
  <r>
    <s v="ORD-00586"/>
    <d v="2024-11-13T00:00:00"/>
    <s v="CUST-0193"/>
    <s v="PROD-031"/>
    <x v="25"/>
    <n v="4"/>
    <n v="3730"/>
    <n v="3.4"/>
    <n v="14412.72"/>
    <s v="Cancelled"/>
    <s v="Bengaluru"/>
    <x v="3"/>
    <m/>
    <s v="Retail"/>
    <n v="42"/>
    <x v="0"/>
    <x v="0"/>
  </r>
  <r>
    <s v="ORD-00587"/>
    <d v="2024-07-18T00:00:00"/>
    <s v="CUST-0189"/>
    <s v="PROD-008"/>
    <x v="24"/>
    <n v="10"/>
    <n v="2660"/>
    <n v="2.1"/>
    <n v="26041.4"/>
    <s v="Completed"/>
    <s v="Chennai"/>
    <x v="4"/>
    <m/>
    <s v="Retail"/>
    <n v="41"/>
    <x v="0"/>
    <x v="0"/>
  </r>
  <r>
    <s v="ORD-00588"/>
    <d v="2024-03-22T00:00:00"/>
    <s v="CUST-0101"/>
    <s v="PROD-029"/>
    <x v="13"/>
    <n v="7"/>
    <n v="2210"/>
    <n v="17.100000000000001"/>
    <n v="12824.63"/>
    <s v="Completed"/>
    <s v="Hyderabad"/>
    <x v="2"/>
    <m/>
    <s v="SMB"/>
    <n v="40"/>
    <x v="3"/>
    <x v="11"/>
  </r>
  <r>
    <s v="ORD-00589"/>
    <d v="2024-11-11T00:00:00"/>
    <s v="CUST-0006"/>
    <s v="PROD-059"/>
    <x v="22"/>
    <n v="6"/>
    <n v="3780"/>
    <n v="12.7"/>
    <n v="19799.64"/>
    <s v="Completed"/>
    <s v="Pune"/>
    <x v="1"/>
    <m/>
    <s v="SMB"/>
    <n v="44"/>
    <x v="0"/>
    <x v="0"/>
  </r>
  <r>
    <s v="ORD-00590"/>
    <d v="2024-04-30T00:00:00"/>
    <s v="CUST-0235"/>
    <s v="PROD-038"/>
    <x v="20"/>
    <n v="4"/>
    <n v="5490"/>
    <n v="26.9"/>
    <n v="16052.76"/>
    <s v="Completed"/>
    <s v="Chennai"/>
    <x v="3"/>
    <m/>
    <s v="Retail"/>
    <n v="31"/>
    <x v="4"/>
    <x v="3"/>
  </r>
  <r>
    <s v="ORD-00591"/>
    <d v="2024-02-29T00:00:00"/>
    <s v="CUST-0045"/>
    <s v="PROD-008"/>
    <x v="22"/>
    <n v="9"/>
    <n v="2660"/>
    <n v="21.9"/>
    <n v="18697.14"/>
    <s v="Completed"/>
    <s v="Chennai"/>
    <x v="4"/>
    <m/>
    <s v="SMB"/>
    <n v="39"/>
    <x v="2"/>
    <x v="4"/>
  </r>
  <r>
    <s v="ORD-00592"/>
    <d v="2024-10-07T00:00:00"/>
    <s v="CUST-0028"/>
    <s v="PROD-056"/>
    <x v="8"/>
    <n v="9"/>
    <n v="6940"/>
    <n v="8"/>
    <n v="57463.199999999997"/>
    <s v="Completed"/>
    <s v="Bengaluru"/>
    <x v="1"/>
    <m/>
    <s v="Retail"/>
    <n v="59"/>
    <x v="0"/>
    <x v="0"/>
  </r>
  <r>
    <s v="ORD-00593"/>
    <d v="2024-04-20T00:00:00"/>
    <s v="CUST-0241"/>
    <s v="PROD-004"/>
    <x v="3"/>
    <n v="1"/>
    <n v="3870"/>
    <n v="22.6"/>
    <n v="2995.38"/>
    <s v="Completed"/>
    <s v="Pune"/>
    <x v="4"/>
    <m/>
    <s v="Corporate"/>
    <n v="47"/>
    <x v="0"/>
    <x v="0"/>
  </r>
  <r>
    <s v="ORD-00594"/>
    <d v="2024-07-30T00:00:00"/>
    <s v="CUST-0278"/>
    <s v="PROD-035"/>
    <x v="4"/>
    <n v="3"/>
    <n v="1090"/>
    <n v="28.1"/>
    <n v="2351.13"/>
    <s v="Completed"/>
    <s v="Hyderabad"/>
    <x v="3"/>
    <m/>
    <s v="Retail"/>
    <n v="41"/>
    <x v="0"/>
    <x v="0"/>
  </r>
  <r>
    <s v="ORD-00595"/>
    <d v="2024-08-20T00:00:00"/>
    <s v="CUST-0009"/>
    <s v="PROD-002"/>
    <x v="19"/>
    <n v="2"/>
    <n v="2600"/>
    <n v="5.6"/>
    <n v="4908.8"/>
    <s v="Completed"/>
    <s v="Mumbai"/>
    <x v="4"/>
    <m/>
    <s v="Retail"/>
    <n v="61"/>
    <x v="0"/>
    <x v="0"/>
  </r>
  <r>
    <s v="ORD-00596"/>
    <d v="2024-05-13T00:00:00"/>
    <s v="CUST-0217"/>
    <s v="PROD-057"/>
    <x v="16"/>
    <n v="4"/>
    <n v="960"/>
    <n v="21.7"/>
    <n v="3006.72"/>
    <s v="Completed"/>
    <s v="Pune"/>
    <x v="1"/>
    <m/>
    <s v="SMB"/>
    <n v="59"/>
    <x v="0"/>
    <x v="0"/>
  </r>
  <r>
    <s v="ORD-00597"/>
    <d v="2024-08-29T00:00:00"/>
    <s v="CUST-0289"/>
    <s v="PROD-032"/>
    <x v="17"/>
    <n v="6"/>
    <n v="370"/>
    <n v="22.5"/>
    <n v="1720.5"/>
    <s v="Completed"/>
    <s v="Mumbai"/>
    <x v="3"/>
    <m/>
    <s v="Retail"/>
    <n v="54"/>
    <x v="0"/>
    <x v="0"/>
  </r>
  <r>
    <s v="ORD-00598"/>
    <d v="2024-12-23T00:00:00"/>
    <s v="CUST-0176"/>
    <s v="PROD-034"/>
    <x v="3"/>
    <n v="5"/>
    <n v="5080"/>
    <n v="23.8"/>
    <n v="19354.8"/>
    <s v="Completed"/>
    <s v="Bengaluru"/>
    <x v="3"/>
    <m/>
    <s v="SMB"/>
    <n v="34"/>
    <x v="2"/>
    <x v="6"/>
  </r>
  <r>
    <s v="ORD-00599"/>
    <d v="2024-03-24T00:00:00"/>
    <s v="CUST-0026"/>
    <s v="PROD-041"/>
    <x v="11"/>
    <n v="5"/>
    <n v="1540"/>
    <n v="6.1"/>
    <n v="7230.3"/>
    <s v="Completed"/>
    <s v="Pune"/>
    <x v="5"/>
    <m/>
    <s v="Retail"/>
    <n v="62"/>
    <x v="0"/>
    <x v="0"/>
  </r>
  <r>
    <s v="ORD-00600"/>
    <d v="2024-02-20T00:00:00"/>
    <s v="CUST-0213"/>
    <s v="PROD-024"/>
    <x v="15"/>
    <n v="7"/>
    <n v="2270"/>
    <n v="0.4"/>
    <n v="15826.44"/>
    <s v="Completed"/>
    <s v="Mumbai"/>
    <x v="2"/>
    <m/>
    <s v="Retail"/>
    <n v="37"/>
    <x v="1"/>
    <x v="10"/>
  </r>
  <r>
    <s v="ORD-00601"/>
    <d v="2024-05-29T00:00:00"/>
    <s v="CUST-0190"/>
    <s v="PROD-057"/>
    <x v="15"/>
    <n v="2"/>
    <n v="960"/>
    <n v="3.7"/>
    <n v="1848.96"/>
    <s v="Completed"/>
    <s v="Hyderabad"/>
    <x v="1"/>
    <m/>
    <s v="Retail"/>
    <n v="52"/>
    <x v="0"/>
    <x v="0"/>
  </r>
  <r>
    <s v="ORD-00602"/>
    <d v="2024-04-28T00:00:00"/>
    <s v="CUST-0150"/>
    <s v="PROD-007"/>
    <x v="28"/>
    <n v="6"/>
    <n v="1430"/>
    <n v="2"/>
    <n v="8408.4"/>
    <s v="Pending"/>
    <s v="Pune"/>
    <x v="4"/>
    <m/>
    <s v="SMB"/>
    <n v="53"/>
    <x v="0"/>
    <x v="0"/>
  </r>
  <r>
    <s v="ORD-00603"/>
    <d v="2024-10-23T00:00:00"/>
    <s v="CUST-0129"/>
    <s v="PROD-047"/>
    <x v="3"/>
    <n v="10"/>
    <n v="3450"/>
    <n v="19.100000000000001"/>
    <n v="27910.5"/>
    <s v="Completed"/>
    <s v="Hyderabad"/>
    <x v="5"/>
    <m/>
    <s v="Retail"/>
    <n v="29"/>
    <x v="2"/>
    <x v="4"/>
  </r>
  <r>
    <s v="ORD-00604"/>
    <d v="2024-04-30T00:00:00"/>
    <s v="CUST-0080"/>
    <s v="PROD-009"/>
    <x v="17"/>
    <n v="8"/>
    <n v="1220"/>
    <n v="16.899999999999999"/>
    <n v="8110.56"/>
    <s v="Completed"/>
    <s v="Pune"/>
    <x v="4"/>
    <m/>
    <s v="SMB"/>
    <n v="30"/>
    <x v="1"/>
    <x v="9"/>
  </r>
  <r>
    <s v="ORD-00605"/>
    <d v="2024-05-27T00:00:00"/>
    <s v="CUST-0034"/>
    <s v="PROD-021"/>
    <x v="16"/>
    <n v="9"/>
    <n v="2760"/>
    <n v="16.899999999999999"/>
    <n v="20642.04"/>
    <s v="Completed"/>
    <s v="Delhi"/>
    <x v="2"/>
    <m/>
    <s v="Retail"/>
    <n v="47"/>
    <x v="0"/>
    <x v="0"/>
  </r>
  <r>
    <s v="ORD-00606"/>
    <d v="2024-10-28T00:00:00"/>
    <s v="CUST-0179"/>
    <s v="PROD-043"/>
    <x v="21"/>
    <n v="6"/>
    <n v="3350"/>
    <n v="11.8"/>
    <n v="17728.2"/>
    <s v="Pending"/>
    <s v="Mumbai"/>
    <x v="5"/>
    <m/>
    <s v="SMB"/>
    <n v="54"/>
    <x v="0"/>
    <x v="0"/>
  </r>
  <r>
    <s v="ORD-00607"/>
    <d v="2024-10-05T00:00:00"/>
    <s v="CUST-0176"/>
    <s v="PROD-048"/>
    <x v="22"/>
    <n v="6"/>
    <n v="5100"/>
    <n v="13.2"/>
    <n v="26560.799999999999"/>
    <s v="Completed"/>
    <s v="Bengaluru"/>
    <x v="5"/>
    <m/>
    <s v="SMB"/>
    <n v="34"/>
    <x v="3"/>
    <x v="9"/>
  </r>
  <r>
    <s v="ORD-00608"/>
    <d v="2024-07-01T00:00:00"/>
    <s v="CUST-0144"/>
    <s v="PROD-010"/>
    <x v="28"/>
    <n v="6"/>
    <n v="2640"/>
    <n v="26.2"/>
    <n v="11689.92"/>
    <s v="Completed"/>
    <s v="Chennai"/>
    <x v="4"/>
    <m/>
    <s v="Retail"/>
    <n v="49"/>
    <x v="0"/>
    <x v="0"/>
  </r>
  <r>
    <s v="ORD-00609"/>
    <d v="2024-08-20T00:00:00"/>
    <s v="CUST-0218"/>
    <s v="PROD-028"/>
    <x v="29"/>
    <n v="1"/>
    <n v="3660"/>
    <n v="19.7"/>
    <n v="2938.98"/>
    <s v="Completed"/>
    <s v="Mumbai"/>
    <x v="2"/>
    <m/>
    <s v="Retail"/>
    <n v="39"/>
    <x v="2"/>
    <x v="11"/>
  </r>
  <r>
    <s v="ORD-00610"/>
    <d v="2024-06-25T00:00:00"/>
    <s v="CUST-0249"/>
    <s v="PROD-032"/>
    <x v="28"/>
    <n v="5"/>
    <n v="370"/>
    <n v="21.7"/>
    <n v="1448.55"/>
    <s v="Completed"/>
    <s v="Mumbai"/>
    <x v="3"/>
    <m/>
    <s v="Retail"/>
    <n v="44"/>
    <x v="0"/>
    <x v="0"/>
  </r>
  <r>
    <s v="ORD-00611"/>
    <d v="2024-02-14T00:00:00"/>
    <s v="CUST-0092"/>
    <s v="PROD-016"/>
    <x v="5"/>
    <n v="5"/>
    <n v="620"/>
    <n v="10.199999999999999"/>
    <n v="2783.8"/>
    <s v="Completed"/>
    <s v="Bengaluru"/>
    <x v="0"/>
    <m/>
    <s v="SMB"/>
    <n v="28"/>
    <x v="2"/>
    <x v="7"/>
  </r>
  <r>
    <s v="ORD-00612"/>
    <d v="2024-04-10T00:00:00"/>
    <s v="CUST-0245"/>
    <s v="PROD-053"/>
    <x v="26"/>
    <n v="8"/>
    <n v="470"/>
    <n v="2.4"/>
    <n v="3669.76"/>
    <s v="Completed"/>
    <s v="Hyderabad"/>
    <x v="1"/>
    <m/>
    <s v="Retail"/>
    <n v="65"/>
    <x v="0"/>
    <x v="0"/>
  </r>
  <r>
    <s v="ORD-00613"/>
    <d v="2024-11-14T00:00:00"/>
    <s v="CUST-0134"/>
    <s v="PROD-042"/>
    <x v="1"/>
    <n v="3"/>
    <n v="2290"/>
    <n v="20.8"/>
    <n v="5441.04"/>
    <s v="Completed"/>
    <s v="Delhi"/>
    <x v="5"/>
    <m/>
    <s v="Retail"/>
    <n v="40"/>
    <x v="3"/>
    <x v="4"/>
  </r>
  <r>
    <s v="ORD-00614"/>
    <d v="2024-01-06T00:00:00"/>
    <s v="CUST-0063"/>
    <s v="PROD-057"/>
    <x v="6"/>
    <n v="4"/>
    <n v="960"/>
    <n v="28.8"/>
    <n v="2734.08"/>
    <s v="Pending"/>
    <s v="Mumbai"/>
    <x v="1"/>
    <m/>
    <s v="SMB"/>
    <n v="53"/>
    <x v="0"/>
    <x v="0"/>
  </r>
  <r>
    <s v="ORD-00615"/>
    <d v="2024-09-23T00:00:00"/>
    <s v="CUST-0172"/>
    <s v="PROD-028"/>
    <x v="9"/>
    <n v="5"/>
    <n v="3660"/>
    <n v="11.9"/>
    <n v="16122.3"/>
    <s v="Pending"/>
    <s v="Pune"/>
    <x v="2"/>
    <m/>
    <s v="Retail"/>
    <n v="65"/>
    <x v="0"/>
    <x v="0"/>
  </r>
  <r>
    <s v="ORD-00616"/>
    <d v="2024-07-14T00:00:00"/>
    <s v="CUST-0139"/>
    <s v="PROD-003"/>
    <x v="7"/>
    <n v="5"/>
    <n v="3570"/>
    <n v="12.4"/>
    <n v="15636.6"/>
    <s v="Completed"/>
    <s v="Hyderabad"/>
    <x v="4"/>
    <m/>
    <s v="SMB"/>
    <n v="65"/>
    <x v="0"/>
    <x v="0"/>
  </r>
  <r>
    <s v="ORD-00617"/>
    <d v="2024-01-16T00:00:00"/>
    <s v="CUST-0275"/>
    <s v="PROD-033"/>
    <x v="21"/>
    <n v="9"/>
    <n v="2030"/>
    <n v="23.4"/>
    <n v="13994.82"/>
    <s v="Completed"/>
    <s v="Mumbai"/>
    <x v="3"/>
    <m/>
    <s v="Retail"/>
    <n v="36"/>
    <x v="3"/>
    <x v="11"/>
  </r>
  <r>
    <s v="ORD-00618"/>
    <d v="2024-02-06T00:00:00"/>
    <s v="CUST-0006"/>
    <s v="PROD-015"/>
    <x v="6"/>
    <n v="7"/>
    <n v="2720"/>
    <n v="11.2"/>
    <n v="16907.52"/>
    <s v="Refunded"/>
    <s v="Pune"/>
    <x v="0"/>
    <m/>
    <s v="SMB"/>
    <n v="44"/>
    <x v="0"/>
    <x v="0"/>
  </r>
  <r>
    <s v="ORD-00619"/>
    <d v="2024-12-01T00:00:00"/>
    <s v="CUST-0279"/>
    <s v="PROD-003"/>
    <x v="4"/>
    <n v="2"/>
    <n v="3570"/>
    <n v="6.1"/>
    <n v="6704.46"/>
    <s v="Cancelled"/>
    <s v="Mumbai"/>
    <x v="4"/>
    <m/>
    <s v="Retail"/>
    <n v="56"/>
    <x v="0"/>
    <x v="0"/>
  </r>
  <r>
    <s v="ORD-00620"/>
    <d v="2024-10-09T00:00:00"/>
    <s v="CUST-0093"/>
    <s v="PROD-058"/>
    <x v="19"/>
    <n v="5"/>
    <n v="2400"/>
    <n v="16.100000000000001"/>
    <n v="10068"/>
    <s v="Completed"/>
    <s v="Pune"/>
    <x v="1"/>
    <m/>
    <s v="Retail"/>
    <n v="36"/>
    <x v="1"/>
    <x v="8"/>
  </r>
  <r>
    <s v="ORD-00621"/>
    <d v="2024-10-27T00:00:00"/>
    <s v="CUST-0063"/>
    <s v="PROD-024"/>
    <x v="25"/>
    <n v="4"/>
    <n v="2270"/>
    <n v="27.5"/>
    <n v="6583"/>
    <s v="Pending"/>
    <s v="Mumbai"/>
    <x v="2"/>
    <m/>
    <s v="SMB"/>
    <n v="53"/>
    <x v="0"/>
    <x v="0"/>
  </r>
  <r>
    <s v="ORD-00622"/>
    <d v="2024-08-05T00:00:00"/>
    <s v="CUST-0071"/>
    <s v="PROD-030"/>
    <x v="27"/>
    <n v="1"/>
    <n v="970"/>
    <n v="12.7"/>
    <n v="846.81"/>
    <s v="Completed"/>
    <s v="Delhi"/>
    <x v="2"/>
    <m/>
    <s v="Corporate"/>
    <n v="46"/>
    <x v="0"/>
    <x v="0"/>
  </r>
  <r>
    <s v="ORD-00623"/>
    <d v="2024-01-16T00:00:00"/>
    <s v="CUST-0119"/>
    <s v="PROD-056"/>
    <x v="26"/>
    <n v="5"/>
    <n v="6940"/>
    <n v="16.2"/>
    <n v="29078.6"/>
    <s v="Completed"/>
    <s v="Bengaluru"/>
    <x v="1"/>
    <m/>
    <s v="SMB"/>
    <n v="43"/>
    <x v="0"/>
    <x v="0"/>
  </r>
  <r>
    <s v="ORD-00624"/>
    <d v="2024-10-21T00:00:00"/>
    <s v="CUST-0035"/>
    <s v="PROD-056"/>
    <x v="18"/>
    <n v="4"/>
    <n v="6940"/>
    <n v="15.1"/>
    <n v="23568.240000000002"/>
    <s v="Completed"/>
    <s v="Hyderabad"/>
    <x v="1"/>
    <m/>
    <s v="Retail"/>
    <n v="53"/>
    <x v="0"/>
    <x v="0"/>
  </r>
  <r>
    <s v="ORD-00625"/>
    <d v="2024-10-22T00:00:00"/>
    <s v="CUST-0042"/>
    <s v="PROD-054"/>
    <x v="3"/>
    <n v="1"/>
    <n v="1010"/>
    <n v="1.7"/>
    <n v="992.83"/>
    <s v="Completed"/>
    <s v="Pune"/>
    <x v="1"/>
    <m/>
    <s v="Retail"/>
    <n v="25"/>
    <x v="4"/>
    <x v="9"/>
  </r>
  <r>
    <s v="ORD-00626"/>
    <d v="2024-11-13T00:00:00"/>
    <s v="CUST-0033"/>
    <s v="PROD-004"/>
    <x v="0"/>
    <n v="6"/>
    <n v="3870"/>
    <n v="12.2"/>
    <n v="20387.16"/>
    <s v="Completed"/>
    <s v="Delhi"/>
    <x v="4"/>
    <m/>
    <s v="Retail"/>
    <n v="35"/>
    <x v="1"/>
    <x v="9"/>
  </r>
  <r>
    <s v="ORD-00627"/>
    <d v="2024-01-25T00:00:00"/>
    <s v="CUST-0077"/>
    <s v="PROD-048"/>
    <x v="23"/>
    <n v="9"/>
    <n v="5100"/>
    <n v="26.4"/>
    <n v="33782.400000000001"/>
    <s v="Completed"/>
    <s v="Hyderabad"/>
    <x v="5"/>
    <m/>
    <s v="SMB"/>
    <n v="48"/>
    <x v="0"/>
    <x v="0"/>
  </r>
  <r>
    <s v="ORD-00628"/>
    <d v="2024-06-08T00:00:00"/>
    <s v="CUST-0266"/>
    <s v="PROD-012"/>
    <x v="4"/>
    <n v="2"/>
    <n v="3160"/>
    <n v="13.4"/>
    <n v="5473.12"/>
    <s v="Refunded"/>
    <s v="Pune"/>
    <x v="0"/>
    <m/>
    <s v="Retail"/>
    <n v="65"/>
    <x v="0"/>
    <x v="0"/>
  </r>
  <r>
    <s v="ORD-00629"/>
    <d v="2024-09-19T00:00:00"/>
    <s v="CUST-0272"/>
    <s v="PROD-029"/>
    <x v="23"/>
    <n v="8"/>
    <n v="2210"/>
    <n v="26"/>
    <n v="13083.2"/>
    <s v="Completed"/>
    <s v="Mumbai"/>
    <x v="2"/>
    <m/>
    <s v="SMB"/>
    <n v="47"/>
    <x v="0"/>
    <x v="0"/>
  </r>
  <r>
    <s v="ORD-00630"/>
    <d v="2024-10-02T00:00:00"/>
    <s v="CUST-0253"/>
    <s v="PROD-018"/>
    <x v="17"/>
    <n v="5"/>
    <n v="3560"/>
    <n v="15"/>
    <n v="15130"/>
    <s v="Completed"/>
    <s v="Delhi"/>
    <x v="0"/>
    <m/>
    <s v="SMB"/>
    <n v="53"/>
    <x v="0"/>
    <x v="0"/>
  </r>
  <r>
    <s v="ORD-00631"/>
    <d v="2024-12-07T00:00:00"/>
    <s v="CUST-0252"/>
    <s v="PROD-016"/>
    <x v="9"/>
    <n v="10"/>
    <n v="620"/>
    <n v="15.8"/>
    <n v="5220.3999999999996"/>
    <s v="Refunded"/>
    <s v="Bengaluru"/>
    <x v="0"/>
    <m/>
    <s v="Retail"/>
    <n v="27"/>
    <x v="2"/>
    <x v="9"/>
  </r>
  <r>
    <s v="ORD-00632"/>
    <d v="2024-10-23T00:00:00"/>
    <s v="CUST-0097"/>
    <s v="PROD-021"/>
    <x v="25"/>
    <n v="3"/>
    <n v="2760"/>
    <n v="1.9"/>
    <n v="8122.68"/>
    <s v="Cancelled"/>
    <s v="Mumbai"/>
    <x v="2"/>
    <m/>
    <s v="Retail"/>
    <n v="65"/>
    <x v="0"/>
    <x v="0"/>
  </r>
  <r>
    <s v="ORD-00633"/>
    <d v="2024-12-08T00:00:00"/>
    <s v="CUST-0283"/>
    <s v="PROD-054"/>
    <x v="1"/>
    <n v="10"/>
    <n v="1010"/>
    <n v="28.9"/>
    <n v="7181.1"/>
    <s v="Completed"/>
    <s v="Delhi"/>
    <x v="1"/>
    <m/>
    <s v="SMB"/>
    <n v="50"/>
    <x v="0"/>
    <x v="0"/>
  </r>
  <r>
    <s v="ORD-00634"/>
    <d v="2024-03-01T00:00:00"/>
    <s v="CUST-0064"/>
    <s v="PROD-013"/>
    <x v="25"/>
    <n v="1"/>
    <n v="3640"/>
    <n v="9.6999999999999993"/>
    <n v="3286.92"/>
    <s v="Completed"/>
    <s v="Hyderabad"/>
    <x v="0"/>
    <m/>
    <s v="SMB"/>
    <n v="40"/>
    <x v="1"/>
    <x v="8"/>
  </r>
  <r>
    <s v="ORD-00635"/>
    <d v="2024-07-16T00:00:00"/>
    <s v="CUST-0143"/>
    <s v="PROD-020"/>
    <x v="9"/>
    <n v="1"/>
    <n v="820"/>
    <n v="15"/>
    <n v="697"/>
    <s v="Completed"/>
    <s v="Chennai"/>
    <x v="0"/>
    <m/>
    <s v="SMB"/>
    <n v="52"/>
    <x v="0"/>
    <x v="0"/>
  </r>
  <r>
    <s v="ORD-00636"/>
    <d v="2024-02-20T00:00:00"/>
    <s v="CUST-0265"/>
    <s v="PROD-013"/>
    <x v="23"/>
    <n v="4"/>
    <n v="3640"/>
    <n v="17"/>
    <n v="12084.8"/>
    <s v="Completed"/>
    <s v="Chennai"/>
    <x v="0"/>
    <m/>
    <s v="Retail"/>
    <n v="49"/>
    <x v="0"/>
    <x v="0"/>
  </r>
  <r>
    <s v="ORD-00637"/>
    <d v="2024-05-13T00:00:00"/>
    <s v="CUST-0158"/>
    <s v="PROD-023"/>
    <x v="25"/>
    <n v="7"/>
    <n v="2380"/>
    <n v="25.5"/>
    <n v="12411.7"/>
    <s v="Completed"/>
    <s v="Pune"/>
    <x v="2"/>
    <m/>
    <s v="Corporate"/>
    <n v="42"/>
    <x v="0"/>
    <x v="0"/>
  </r>
  <r>
    <s v="ORD-00638"/>
    <d v="2024-11-02T00:00:00"/>
    <s v="CUST-0154"/>
    <s v="PROD-037"/>
    <x v="4"/>
    <n v="1"/>
    <n v="660"/>
    <n v="2.5"/>
    <n v="643.5"/>
    <s v="Completed"/>
    <s v="Pune"/>
    <x v="3"/>
    <m/>
    <s v="Retail"/>
    <n v="36"/>
    <x v="1"/>
    <x v="2"/>
  </r>
  <r>
    <s v="ORD-00639"/>
    <d v="2024-03-02T00:00:00"/>
    <s v="CUST-0057"/>
    <s v="PROD-004"/>
    <x v="16"/>
    <n v="7"/>
    <n v="3870"/>
    <n v="20.3"/>
    <n v="21590.73"/>
    <s v="Pending"/>
    <s v="Pune"/>
    <x v="4"/>
    <m/>
    <s v="Retail"/>
    <n v="35"/>
    <x v="1"/>
    <x v="3"/>
  </r>
  <r>
    <s v="ORD-00640"/>
    <d v="2024-09-07T00:00:00"/>
    <s v="CUST-0088"/>
    <s v="PROD-032"/>
    <x v="29"/>
    <n v="10"/>
    <n v="370"/>
    <n v="1.3"/>
    <n v="3651.9"/>
    <s v="Refunded"/>
    <s v="Chennai"/>
    <x v="3"/>
    <m/>
    <s v="Retail"/>
    <n v="24"/>
    <x v="3"/>
    <x v="10"/>
  </r>
  <r>
    <s v="ORD-00641"/>
    <d v="2024-03-14T00:00:00"/>
    <s v="CUST-0064"/>
    <s v="PROD-014"/>
    <x v="26"/>
    <n v="1"/>
    <n v="3620"/>
    <n v="1.4"/>
    <n v="3569.32"/>
    <s v="Completed"/>
    <s v="Hyderabad"/>
    <x v="0"/>
    <m/>
    <s v="SMB"/>
    <n v="40"/>
    <x v="4"/>
    <x v="1"/>
  </r>
  <r>
    <s v="ORD-00642"/>
    <d v="2024-10-09T00:00:00"/>
    <s v="CUST-0192"/>
    <s v="PROD-008"/>
    <x v="1"/>
    <n v="10"/>
    <n v="2660"/>
    <n v="20.2"/>
    <n v="21226.799999999999"/>
    <s v="Completed"/>
    <s v="Bengaluru"/>
    <x v="4"/>
    <m/>
    <s v="Retail"/>
    <n v="55"/>
    <x v="0"/>
    <x v="0"/>
  </r>
  <r>
    <s v="ORD-00643"/>
    <d v="2024-11-18T00:00:00"/>
    <s v="CUST-0175"/>
    <s v="PROD-051"/>
    <x v="15"/>
    <n v="10"/>
    <n v="3450"/>
    <n v="25.1"/>
    <n v="25840.5"/>
    <s v="Completed"/>
    <s v="Delhi"/>
    <x v="1"/>
    <m/>
    <s v="Corporate"/>
    <n v="55"/>
    <x v="0"/>
    <x v="0"/>
  </r>
  <r>
    <s v="ORD-00644"/>
    <d v="2024-12-03T00:00:00"/>
    <s v="CUST-0083"/>
    <s v="PROD-025"/>
    <x v="22"/>
    <n v="3"/>
    <n v="4060"/>
    <n v="2.5"/>
    <n v="11875.5"/>
    <s v="Refunded"/>
    <s v="Bengaluru"/>
    <x v="2"/>
    <m/>
    <s v="Corporate"/>
    <n v="31"/>
    <x v="4"/>
    <x v="3"/>
  </r>
  <r>
    <s v="ORD-00645"/>
    <d v="2024-01-03T00:00:00"/>
    <s v="CUST-0142"/>
    <s v="PROD-057"/>
    <x v="13"/>
    <n v="3"/>
    <n v="960"/>
    <n v="6.6"/>
    <n v="2689.92"/>
    <s v="Cancelled"/>
    <s v="Chennai"/>
    <x v="1"/>
    <m/>
    <s v="Corporate"/>
    <n v="55"/>
    <x v="0"/>
    <x v="0"/>
  </r>
  <r>
    <s v="ORD-00646"/>
    <d v="2024-05-06T00:00:00"/>
    <s v="CUST-0185"/>
    <s v="PROD-008"/>
    <x v="4"/>
    <n v="4"/>
    <n v="2660"/>
    <n v="16.899999999999999"/>
    <n v="8841.84"/>
    <s v="Completed"/>
    <s v="Hyderabad"/>
    <x v="4"/>
    <m/>
    <s v="SMB"/>
    <n v="43"/>
    <x v="0"/>
    <x v="0"/>
  </r>
  <r>
    <s v="ORD-00647"/>
    <d v="2024-03-18T00:00:00"/>
    <s v="CUST-0284"/>
    <s v="PROD-024"/>
    <x v="26"/>
    <n v="6"/>
    <n v="2270"/>
    <n v="16.7"/>
    <n v="11345.46"/>
    <s v="Completed"/>
    <s v="Hyderabad"/>
    <x v="2"/>
    <m/>
    <s v="SMB"/>
    <n v="65"/>
    <x v="0"/>
    <x v="0"/>
  </r>
  <r>
    <s v="ORD-00648"/>
    <d v="2024-09-14T00:00:00"/>
    <s v="CUST-0092"/>
    <s v="PROD-027"/>
    <x v="5"/>
    <n v="5"/>
    <n v="3780"/>
    <n v="21.5"/>
    <n v="14836.5"/>
    <s v="Completed"/>
    <s v="Bengaluru"/>
    <x v="2"/>
    <m/>
    <s v="SMB"/>
    <n v="28"/>
    <x v="3"/>
    <x v="10"/>
  </r>
  <r>
    <s v="ORD-00649"/>
    <d v="2024-08-01T00:00:00"/>
    <s v="CUST-0091"/>
    <s v="PROD-037"/>
    <x v="7"/>
    <n v="10"/>
    <n v="660"/>
    <n v="18.8"/>
    <n v="5359.2"/>
    <s v="Completed"/>
    <s v="Delhi"/>
    <x v="3"/>
    <m/>
    <s v="Retail"/>
    <n v="55"/>
    <x v="0"/>
    <x v="0"/>
  </r>
  <r>
    <s v="ORD-00650"/>
    <d v="2024-05-01T00:00:00"/>
    <s v="CUST-0155"/>
    <s v="PROD-031"/>
    <x v="6"/>
    <n v="10"/>
    <n v="3730"/>
    <n v="15.1"/>
    <n v="31667.7"/>
    <s v="Completed"/>
    <s v="Pune"/>
    <x v="3"/>
    <m/>
    <s v="Corporate"/>
    <n v="40"/>
    <x v="3"/>
    <x v="6"/>
  </r>
  <r>
    <s v="ORD-00651"/>
    <d v="2024-09-24T00:00:00"/>
    <s v="CUST-0280"/>
    <s v="PROD-025"/>
    <x v="13"/>
    <n v="6"/>
    <n v="4060"/>
    <n v="20.100000000000001"/>
    <n v="19463.64"/>
    <s v="Pending"/>
    <s v="Delhi"/>
    <x v="2"/>
    <m/>
    <s v="SMB"/>
    <n v="27"/>
    <x v="2"/>
    <x v="2"/>
  </r>
  <r>
    <s v="ORD-00652"/>
    <d v="2024-08-21T00:00:00"/>
    <s v="CUST-0127"/>
    <s v="PROD-024"/>
    <x v="11"/>
    <n v="2"/>
    <n v="2270"/>
    <n v="17.7"/>
    <n v="3736.42"/>
    <s v="Completed"/>
    <s v="Bengaluru"/>
    <x v="2"/>
    <m/>
    <s v="SMB"/>
    <n v="36"/>
    <x v="3"/>
    <x v="1"/>
  </r>
  <r>
    <s v="ORD-00653"/>
    <d v="2024-11-14T00:00:00"/>
    <s v="CUST-0077"/>
    <s v="PROD-003"/>
    <x v="8"/>
    <n v="9"/>
    <n v="3570"/>
    <n v="29.9"/>
    <n v="22523.13"/>
    <s v="Completed"/>
    <s v="Hyderabad"/>
    <x v="4"/>
    <m/>
    <s v="SMB"/>
    <n v="48"/>
    <x v="0"/>
    <x v="0"/>
  </r>
  <r>
    <s v="ORD-00654"/>
    <d v="2024-08-17T00:00:00"/>
    <s v="CUST-0190"/>
    <s v="PROD-029"/>
    <x v="10"/>
    <n v="7"/>
    <n v="2210"/>
    <n v="25"/>
    <n v="11602.5"/>
    <s v="Completed"/>
    <s v="Hyderabad"/>
    <x v="2"/>
    <m/>
    <s v="Retail"/>
    <n v="52"/>
    <x v="0"/>
    <x v="0"/>
  </r>
  <r>
    <s v="ORD-00655"/>
    <d v="2024-03-30T00:00:00"/>
    <s v="CUST-0089"/>
    <s v="PROD-057"/>
    <x v="17"/>
    <n v="2"/>
    <n v="960"/>
    <n v="8.1999999999999993"/>
    <n v="1762.56"/>
    <s v="Cancelled"/>
    <s v="Mumbai"/>
    <x v="1"/>
    <m/>
    <s v="SMB"/>
    <n v="43"/>
    <x v="0"/>
    <x v="0"/>
  </r>
  <r>
    <s v="ORD-00656"/>
    <d v="2024-04-19T00:00:00"/>
    <s v="CUST-0141"/>
    <s v="PROD-059"/>
    <x v="17"/>
    <n v="9"/>
    <n v="3780"/>
    <n v="28.4"/>
    <n v="24358.32"/>
    <s v="Pending"/>
    <s v="Hyderabad"/>
    <x v="1"/>
    <m/>
    <s v="Corporate"/>
    <n v="22"/>
    <x v="2"/>
    <x v="10"/>
  </r>
  <r>
    <s v="ORD-00657"/>
    <d v="2024-10-16T00:00:00"/>
    <s v="CUST-0123"/>
    <s v="PROD-048"/>
    <x v="2"/>
    <n v="2"/>
    <n v="5100"/>
    <n v="8.6"/>
    <n v="9322.7999999999993"/>
    <s v="Completed"/>
    <s v="Chennai"/>
    <x v="5"/>
    <m/>
    <s v="Corporate"/>
    <n v="44"/>
    <x v="0"/>
    <x v="0"/>
  </r>
  <r>
    <s v="ORD-00658"/>
    <d v="2024-05-02T00:00:00"/>
    <s v="CUST-0041"/>
    <s v="PROD-019"/>
    <x v="13"/>
    <n v="4"/>
    <n v="2480"/>
    <n v="16.600000000000001"/>
    <n v="8273.2800000000007"/>
    <s v="Completed"/>
    <s v="Bengaluru"/>
    <x v="0"/>
    <m/>
    <s v="SMB"/>
    <n v="26"/>
    <x v="4"/>
    <x v="9"/>
  </r>
  <r>
    <s v="ORD-00659"/>
    <d v="2024-05-31T00:00:00"/>
    <s v="CUST-0257"/>
    <s v="PROD-040"/>
    <x v="26"/>
    <n v="10"/>
    <n v="1080"/>
    <n v="14.5"/>
    <n v="9234"/>
    <s v="Completed"/>
    <s v="Mumbai"/>
    <x v="3"/>
    <m/>
    <s v="Corporate"/>
    <n v="46"/>
    <x v="0"/>
    <x v="0"/>
  </r>
  <r>
    <s v="ORD-00660"/>
    <d v="2024-03-26T00:00:00"/>
    <s v="CUST-0134"/>
    <s v="PROD-002"/>
    <x v="20"/>
    <n v="7"/>
    <n v="2600"/>
    <n v="21"/>
    <n v="14378"/>
    <s v="Completed"/>
    <s v="Delhi"/>
    <x v="4"/>
    <m/>
    <s v="Retail"/>
    <n v="40"/>
    <x v="3"/>
    <x v="2"/>
  </r>
  <r>
    <s v="ORD-00661"/>
    <d v="2024-11-26T00:00:00"/>
    <s v="CUST-0180"/>
    <s v="PROD-002"/>
    <x v="15"/>
    <n v="7"/>
    <n v="2600"/>
    <n v="6.7"/>
    <n v="16980.599999999999"/>
    <s v="Pending"/>
    <s v="Chennai"/>
    <x v="4"/>
    <m/>
    <s v="Retail"/>
    <n v="36"/>
    <x v="2"/>
    <x v="10"/>
  </r>
  <r>
    <s v="ORD-00662"/>
    <d v="2024-04-21T00:00:00"/>
    <s v="CUST-0283"/>
    <s v="PROD-020"/>
    <x v="12"/>
    <n v="8"/>
    <n v="820"/>
    <n v="17.8"/>
    <n v="5392.32"/>
    <s v="Pending"/>
    <s v="Delhi"/>
    <x v="0"/>
    <m/>
    <s v="SMB"/>
    <n v="50"/>
    <x v="0"/>
    <x v="0"/>
  </r>
  <r>
    <s v="ORD-00663"/>
    <d v="2024-08-28T00:00:00"/>
    <s v="CUST-0047"/>
    <s v="PROD-057"/>
    <x v="18"/>
    <n v="3"/>
    <n v="960"/>
    <n v="17.8"/>
    <n v="2367.36"/>
    <s v="Completed"/>
    <s v="Pune"/>
    <x v="1"/>
    <m/>
    <s v="Retail"/>
    <n v="49"/>
    <x v="0"/>
    <x v="0"/>
  </r>
  <r>
    <s v="ORD-00664"/>
    <d v="2024-01-10T00:00:00"/>
    <s v="CUST-0175"/>
    <s v="PROD-041"/>
    <x v="12"/>
    <n v="2"/>
    <n v="1540"/>
    <n v="1.8"/>
    <n v="3024.56"/>
    <s v="Cancelled"/>
    <s v="Delhi"/>
    <x v="5"/>
    <m/>
    <s v="Corporate"/>
    <n v="55"/>
    <x v="0"/>
    <x v="0"/>
  </r>
  <r>
    <s v="ORD-00665"/>
    <d v="2024-11-26T00:00:00"/>
    <s v="CUST-0227"/>
    <s v="PROD-056"/>
    <x v="14"/>
    <n v="5"/>
    <n v="6940"/>
    <n v="2.9"/>
    <n v="33693.699999999997"/>
    <s v="Completed"/>
    <s v="Bengaluru"/>
    <x v="1"/>
    <m/>
    <s v="SMB"/>
    <n v="44"/>
    <x v="0"/>
    <x v="0"/>
  </r>
  <r>
    <s v="ORD-00666"/>
    <d v="2024-08-27T00:00:00"/>
    <s v="CUST-0287"/>
    <s v="PROD-041"/>
    <x v="22"/>
    <n v="5"/>
    <n v="1540"/>
    <n v="28.8"/>
    <n v="5482.4"/>
    <s v="Completed"/>
    <s v="Chennai"/>
    <x v="5"/>
    <m/>
    <s v="SMB"/>
    <n v="53"/>
    <x v="0"/>
    <x v="0"/>
  </r>
  <r>
    <s v="ORD-00667"/>
    <d v="2024-02-04T00:00:00"/>
    <s v="CUST-0004"/>
    <s v="PROD-031"/>
    <x v="27"/>
    <n v="8"/>
    <n v="3730"/>
    <n v="21.1"/>
    <n v="23543.759999999998"/>
    <s v="Completed"/>
    <s v="Delhi"/>
    <x v="3"/>
    <m/>
    <s v="Retail"/>
    <n v="53"/>
    <x v="0"/>
    <x v="0"/>
  </r>
  <r>
    <s v="ORD-00668"/>
    <d v="2024-12-09T00:00:00"/>
    <s v="CUST-0234"/>
    <s v="PROD-021"/>
    <x v="12"/>
    <n v="7"/>
    <n v="2760"/>
    <n v="1.2"/>
    <n v="19088.16"/>
    <s v="Cancelled"/>
    <s v="Bengaluru"/>
    <x v="2"/>
    <m/>
    <s v="Retail"/>
    <n v="34"/>
    <x v="4"/>
    <x v="5"/>
  </r>
  <r>
    <s v="ORD-00669"/>
    <d v="2024-05-19T00:00:00"/>
    <s v="CUST-0255"/>
    <s v="PROD-006"/>
    <x v="16"/>
    <n v="3"/>
    <n v="3970"/>
    <n v="18.3"/>
    <n v="9730.4699999999993"/>
    <s v="Completed"/>
    <s v="Chennai"/>
    <x v="4"/>
    <m/>
    <s v="Corporate"/>
    <n v="51"/>
    <x v="0"/>
    <x v="0"/>
  </r>
  <r>
    <s v="ORD-00670"/>
    <d v="2024-04-11T00:00:00"/>
    <s v="CUST-0092"/>
    <s v="PROD-027"/>
    <x v="12"/>
    <n v="4"/>
    <n v="3780"/>
    <n v="24.6"/>
    <n v="11400.48"/>
    <s v="Completed"/>
    <s v="Bengaluru"/>
    <x v="2"/>
    <m/>
    <s v="SMB"/>
    <n v="28"/>
    <x v="3"/>
    <x v="2"/>
  </r>
  <r>
    <s v="ORD-00671"/>
    <d v="2024-01-04T00:00:00"/>
    <s v="CUST-0037"/>
    <s v="PROD-015"/>
    <x v="4"/>
    <n v="10"/>
    <n v="2720"/>
    <n v="12.8"/>
    <n v="23718.400000000001"/>
    <s v="Completed"/>
    <s v="Bengaluru"/>
    <x v="0"/>
    <m/>
    <s v="Retail"/>
    <n v="52"/>
    <x v="0"/>
    <x v="0"/>
  </r>
  <r>
    <s v="ORD-00672"/>
    <d v="2024-03-20T00:00:00"/>
    <s v="CUST-0208"/>
    <s v="PROD-006"/>
    <x v="21"/>
    <n v="5"/>
    <n v="3970"/>
    <n v="5.9"/>
    <n v="18678.849999999999"/>
    <s v="Completed"/>
    <s v="Mumbai"/>
    <x v="4"/>
    <m/>
    <s v="Retail"/>
    <n v="49"/>
    <x v="0"/>
    <x v="0"/>
  </r>
  <r>
    <s v="ORD-00673"/>
    <d v="2024-11-05T00:00:00"/>
    <s v="CUST-0008"/>
    <s v="PROD-020"/>
    <x v="23"/>
    <n v="3"/>
    <n v="820"/>
    <n v="19.399999999999999"/>
    <n v="1982.76"/>
    <s v="Completed"/>
    <s v="Pune"/>
    <x v="0"/>
    <m/>
    <s v="SMB"/>
    <n v="39"/>
    <x v="3"/>
    <x v="10"/>
  </r>
  <r>
    <s v="ORD-00674"/>
    <d v="2024-06-28T00:00:00"/>
    <s v="CUST-0050"/>
    <s v="PROD-016"/>
    <x v="9"/>
    <n v="7"/>
    <n v="620"/>
    <n v="9.9"/>
    <n v="3910.34"/>
    <s v="Completed"/>
    <s v="Mumbai"/>
    <x v="0"/>
    <m/>
    <s v="Retail"/>
    <n v="37"/>
    <x v="4"/>
    <x v="3"/>
  </r>
  <r>
    <s v="ORD-00675"/>
    <d v="2024-01-27T00:00:00"/>
    <s v="CUST-0166"/>
    <s v="PROD-042"/>
    <x v="28"/>
    <n v="8"/>
    <n v="2290"/>
    <n v="18.3"/>
    <n v="14967.44"/>
    <s v="Completed"/>
    <s v="Hyderabad"/>
    <x v="5"/>
    <m/>
    <s v="Retail"/>
    <n v="31"/>
    <x v="4"/>
    <x v="7"/>
  </r>
  <r>
    <s v="ORD-00676"/>
    <d v="2024-03-13T00:00:00"/>
    <s v="CUST-0271"/>
    <s v="PROD-030"/>
    <x v="5"/>
    <n v="3"/>
    <n v="970"/>
    <n v="18.399999999999999"/>
    <n v="2374.56"/>
    <s v="Completed"/>
    <s v="Bengaluru"/>
    <x v="2"/>
    <m/>
    <s v="Corporate"/>
    <n v="41"/>
    <x v="0"/>
    <x v="0"/>
  </r>
  <r>
    <s v="ORD-00677"/>
    <d v="2024-05-07T00:00:00"/>
    <s v="CUST-0034"/>
    <s v="PROD-032"/>
    <x v="2"/>
    <n v="2"/>
    <n v="370"/>
    <n v="8.9"/>
    <n v="674.14"/>
    <s v="Completed"/>
    <s v="Delhi"/>
    <x v="3"/>
    <m/>
    <s v="Retail"/>
    <n v="47"/>
    <x v="0"/>
    <x v="0"/>
  </r>
  <r>
    <s v="ORD-00678"/>
    <d v="2024-12-06T00:00:00"/>
    <s v="CUST-0016"/>
    <s v="PROD-007"/>
    <x v="0"/>
    <n v="1"/>
    <n v="1430"/>
    <n v="5.9"/>
    <n v="1345.63"/>
    <s v="Cancelled"/>
    <s v="Delhi"/>
    <x v="4"/>
    <m/>
    <s v="SMB"/>
    <n v="26"/>
    <x v="4"/>
    <x v="2"/>
  </r>
  <r>
    <s v="ORD-00679"/>
    <d v="2024-07-21T00:00:00"/>
    <s v="CUST-0039"/>
    <s v="PROD-058"/>
    <x v="14"/>
    <n v="2"/>
    <n v="2400"/>
    <n v="29.1"/>
    <n v="3403.2"/>
    <s v="Completed"/>
    <s v="Bengaluru"/>
    <x v="1"/>
    <m/>
    <s v="Retail"/>
    <n v="37"/>
    <x v="1"/>
    <x v="8"/>
  </r>
  <r>
    <s v="ORD-00680"/>
    <d v="2024-02-15T00:00:00"/>
    <s v="CUST-0253"/>
    <s v="PROD-007"/>
    <x v="23"/>
    <n v="9"/>
    <n v="1430"/>
    <n v="6"/>
    <n v="12097.8"/>
    <s v="Completed"/>
    <s v="Delhi"/>
    <x v="4"/>
    <m/>
    <s v="SMB"/>
    <n v="53"/>
    <x v="0"/>
    <x v="0"/>
  </r>
  <r>
    <s v="ORD-00681"/>
    <d v="2024-08-06T00:00:00"/>
    <s v="CUST-0295"/>
    <s v="PROD-015"/>
    <x v="0"/>
    <n v="8"/>
    <n v="2720"/>
    <n v="25.7"/>
    <n v="16167.68"/>
    <s v="Completed"/>
    <s v="Delhi"/>
    <x v="0"/>
    <m/>
    <s v="SMB"/>
    <n v="48"/>
    <x v="0"/>
    <x v="0"/>
  </r>
  <r>
    <s v="ORD-00682"/>
    <d v="2024-10-07T00:00:00"/>
    <s v="CUST-0138"/>
    <s v="PROD-056"/>
    <x v="28"/>
    <n v="6"/>
    <n v="6940"/>
    <n v="25.7"/>
    <n v="30938.52"/>
    <s v="Completed"/>
    <s v="Chennai"/>
    <x v="1"/>
    <m/>
    <s v="Retail"/>
    <n v="24"/>
    <x v="1"/>
    <x v="6"/>
  </r>
  <r>
    <s v="ORD-00683"/>
    <d v="2024-06-29T00:00:00"/>
    <s v="CUST-0002"/>
    <s v="PROD-014"/>
    <x v="0"/>
    <n v="3"/>
    <n v="3620"/>
    <n v="29.7"/>
    <n v="7634.58"/>
    <s v="Completed"/>
    <s v="Pune"/>
    <x v="0"/>
    <m/>
    <s v="Corporate"/>
    <n v="42"/>
    <x v="0"/>
    <x v="0"/>
  </r>
  <r>
    <s v="ORD-00684"/>
    <d v="2024-11-19T00:00:00"/>
    <s v="CUST-0287"/>
    <s v="PROD-010"/>
    <x v="5"/>
    <n v="8"/>
    <n v="2640"/>
    <n v="24.4"/>
    <n v="15966.72"/>
    <s v="Completed"/>
    <s v="Chennai"/>
    <x v="4"/>
    <m/>
    <s v="SMB"/>
    <n v="53"/>
    <x v="0"/>
    <x v="0"/>
  </r>
  <r>
    <s v="ORD-00685"/>
    <d v="2024-02-27T00:00:00"/>
    <s v="CUST-0279"/>
    <s v="PROD-038"/>
    <x v="3"/>
    <n v="3"/>
    <n v="5490"/>
    <n v="13.5"/>
    <n v="14246.55"/>
    <s v="Completed"/>
    <s v="Mumbai"/>
    <x v="3"/>
    <m/>
    <s v="Retail"/>
    <n v="56"/>
    <x v="0"/>
    <x v="0"/>
  </r>
  <r>
    <s v="ORD-00686"/>
    <d v="2024-05-01T00:00:00"/>
    <s v="CUST-0008"/>
    <s v="PROD-034"/>
    <x v="21"/>
    <n v="3"/>
    <n v="5080"/>
    <n v="9.3000000000000007"/>
    <n v="13822.68"/>
    <s v="Completed"/>
    <s v="Pune"/>
    <x v="3"/>
    <m/>
    <s v="SMB"/>
    <n v="39"/>
    <x v="1"/>
    <x v="5"/>
  </r>
  <r>
    <s v="ORD-00687"/>
    <d v="2024-08-11T00:00:00"/>
    <s v="CUST-0092"/>
    <s v="PROD-042"/>
    <x v="14"/>
    <n v="4"/>
    <n v="2290"/>
    <n v="24.4"/>
    <n v="6924.96"/>
    <s v="Completed"/>
    <s v="Bengaluru"/>
    <x v="5"/>
    <m/>
    <s v="SMB"/>
    <n v="28"/>
    <x v="3"/>
    <x v="2"/>
  </r>
  <r>
    <s v="ORD-00688"/>
    <d v="2024-06-20T00:00:00"/>
    <s v="CUST-0106"/>
    <s v="PROD-033"/>
    <x v="23"/>
    <n v="10"/>
    <n v="2030"/>
    <n v="13.6"/>
    <n v="17539.2"/>
    <s v="Pending"/>
    <s v="Pune"/>
    <x v="3"/>
    <m/>
    <s v="Retail"/>
    <n v="22"/>
    <x v="2"/>
    <x v="6"/>
  </r>
  <r>
    <s v="ORD-00689"/>
    <d v="2024-11-11T00:00:00"/>
    <s v="CUST-0010"/>
    <s v="PROD-007"/>
    <x v="27"/>
    <n v="10"/>
    <n v="1430"/>
    <n v="16.100000000000001"/>
    <n v="11997.7"/>
    <s v="Cancelled"/>
    <s v="Mumbai"/>
    <x v="4"/>
    <m/>
    <s v="SMB"/>
    <n v="61"/>
    <x v="0"/>
    <x v="0"/>
  </r>
  <r>
    <s v="ORD-00690"/>
    <d v="2024-03-06T00:00:00"/>
    <s v="CUST-0179"/>
    <s v="PROD-027"/>
    <x v="18"/>
    <n v="1"/>
    <n v="3780"/>
    <n v="22.7"/>
    <n v="2921.94"/>
    <s v="Completed"/>
    <s v="Mumbai"/>
    <x v="2"/>
    <m/>
    <s v="SMB"/>
    <n v="54"/>
    <x v="0"/>
    <x v="0"/>
  </r>
  <r>
    <s v="ORD-00691"/>
    <d v="2024-05-31T00:00:00"/>
    <s v="CUST-0216"/>
    <s v="PROD-012"/>
    <x v="13"/>
    <n v="10"/>
    <n v="3160"/>
    <n v="13.4"/>
    <n v="27365.599999999999"/>
    <s v="Completed"/>
    <s v="Mumbai"/>
    <x v="0"/>
    <m/>
    <s v="Retail"/>
    <n v="50"/>
    <x v="0"/>
    <x v="0"/>
  </r>
  <r>
    <s v="ORD-00692"/>
    <d v="2024-05-10T00:00:00"/>
    <s v="CUST-0172"/>
    <s v="PROD-007"/>
    <x v="11"/>
    <n v="2"/>
    <n v="1430"/>
    <n v="7.4"/>
    <n v="2648.36"/>
    <s v="Completed"/>
    <s v="Pune"/>
    <x v="4"/>
    <m/>
    <s v="Retail"/>
    <n v="65"/>
    <x v="0"/>
    <x v="0"/>
  </r>
  <r>
    <s v="ORD-00693"/>
    <d v="2024-12-14T00:00:00"/>
    <s v="CUST-0152"/>
    <s v="PROD-012"/>
    <x v="3"/>
    <n v="5"/>
    <n v="3160"/>
    <n v="3.6"/>
    <n v="15231.2"/>
    <s v="Pending"/>
    <s v="Bengaluru"/>
    <x v="0"/>
    <m/>
    <s v="SMB"/>
    <n v="64"/>
    <x v="0"/>
    <x v="0"/>
  </r>
  <r>
    <s v="ORD-00694"/>
    <d v="2024-08-17T00:00:00"/>
    <s v="CUST-0154"/>
    <s v="PROD-042"/>
    <x v="10"/>
    <n v="2"/>
    <n v="2290"/>
    <n v="28.2"/>
    <n v="3288.44"/>
    <s v="Completed"/>
    <s v="Pune"/>
    <x v="5"/>
    <m/>
    <s v="Retail"/>
    <n v="36"/>
    <x v="1"/>
    <x v="8"/>
  </r>
  <r>
    <s v="ORD-00695"/>
    <d v="2024-03-15T00:00:00"/>
    <s v="CUST-0001"/>
    <s v="PROD-011"/>
    <x v="15"/>
    <n v="5"/>
    <n v="3450"/>
    <n v="18.100000000000001"/>
    <n v="14127.75"/>
    <s v="Cancelled"/>
    <s v="Pune"/>
    <x v="0"/>
    <m/>
    <s v="Retail"/>
    <n v="36"/>
    <x v="1"/>
    <x v="6"/>
  </r>
  <r>
    <s v="ORD-00696"/>
    <d v="2024-05-27T00:00:00"/>
    <s v="CUST-0069"/>
    <s v="PROD-018"/>
    <x v="19"/>
    <n v="1"/>
    <n v="3560"/>
    <n v="18.7"/>
    <n v="2894.28"/>
    <s v="Completed"/>
    <s v="Chennai"/>
    <x v="0"/>
    <m/>
    <s v="Retail"/>
    <n v="51"/>
    <x v="0"/>
    <x v="0"/>
  </r>
  <r>
    <s v="ORD-00697"/>
    <d v="2024-05-14T00:00:00"/>
    <s v="CUST-0200"/>
    <s v="PROD-058"/>
    <x v="18"/>
    <n v="9"/>
    <n v="2400"/>
    <n v="18.5"/>
    <n v="17604"/>
    <s v="Completed"/>
    <s v="Hyderabad"/>
    <x v="1"/>
    <m/>
    <s v="Corporate"/>
    <n v="46"/>
    <x v="0"/>
    <x v="0"/>
  </r>
  <r>
    <s v="ORD-00698"/>
    <d v="2024-05-03T00:00:00"/>
    <s v="CUST-0164"/>
    <s v="PROD-004"/>
    <x v="12"/>
    <n v="9"/>
    <n v="3870"/>
    <n v="6.9"/>
    <n v="32426.73"/>
    <s v="Refunded"/>
    <s v="Chennai"/>
    <x v="4"/>
    <m/>
    <s v="Retail"/>
    <n v="60"/>
    <x v="0"/>
    <x v="0"/>
  </r>
  <r>
    <s v="ORD-00699"/>
    <d v="2024-11-24T00:00:00"/>
    <s v="CUST-0004"/>
    <s v="PROD-028"/>
    <x v="24"/>
    <n v="5"/>
    <n v="3660"/>
    <n v="11.7"/>
    <n v="16158.9"/>
    <s v="Completed"/>
    <s v="Delhi"/>
    <x v="2"/>
    <m/>
    <s v="Retail"/>
    <n v="53"/>
    <x v="0"/>
    <x v="0"/>
  </r>
  <r>
    <s v="ORD-00700"/>
    <d v="2024-02-24T00:00:00"/>
    <s v="CUST-0224"/>
    <s v="PROD-040"/>
    <x v="14"/>
    <n v="4"/>
    <n v="1080"/>
    <n v="17.5"/>
    <n v="3564"/>
    <s v="Completed"/>
    <s v="Chennai"/>
    <x v="3"/>
    <m/>
    <s v="Corporate"/>
    <n v="24"/>
    <x v="3"/>
    <x v="3"/>
  </r>
  <r>
    <s v="ORD-01185"/>
    <d v="2024-01-06T00:00:00"/>
    <s v="CUST-0037"/>
    <s v="PROD-059"/>
    <x v="3"/>
    <n v="6"/>
    <n v="3780"/>
    <n v="27.8"/>
    <n v="16374.96"/>
    <s v="Completed"/>
    <s v="Bengaluru"/>
    <x v="1"/>
    <m/>
    <s v="Retail"/>
    <n v="52"/>
    <x v="0"/>
    <x v="0"/>
  </r>
  <r>
    <s v="ORD-00702"/>
    <d v="2024-08-17T00:00:00"/>
    <s v="CUST-0179"/>
    <s v="PROD-019"/>
    <x v="24"/>
    <n v="8"/>
    <n v="2480"/>
    <n v="15.7"/>
    <n v="16725.12"/>
    <s v="Pending"/>
    <s v="Mumbai"/>
    <x v="0"/>
    <m/>
    <s v="SMB"/>
    <n v="54"/>
    <x v="0"/>
    <x v="0"/>
  </r>
  <r>
    <s v="ORD-00703"/>
    <d v="2024-04-27T00:00:00"/>
    <s v="CUST-0018"/>
    <s v="PROD-054"/>
    <x v="2"/>
    <n v="10"/>
    <n v="1010"/>
    <n v="0.1"/>
    <n v="10089.9"/>
    <s v="Pending"/>
    <s v="Pune"/>
    <x v="1"/>
    <m/>
    <s v="SMB"/>
    <n v="54"/>
    <x v="0"/>
    <x v="0"/>
  </r>
  <r>
    <s v="ORD-00704"/>
    <d v="2024-04-24T00:00:00"/>
    <s v="CUST-0184"/>
    <s v="PROD-053"/>
    <x v="15"/>
    <n v="3"/>
    <n v="470"/>
    <n v="1.1000000000000001"/>
    <n v="1394.49"/>
    <s v="Completed"/>
    <s v="Pune"/>
    <x v="1"/>
    <m/>
    <s v="Retail"/>
    <n v="63"/>
    <x v="0"/>
    <x v="0"/>
  </r>
  <r>
    <s v="ORD-00705"/>
    <d v="2024-07-01T00:00:00"/>
    <s v="CUST-0066"/>
    <s v="PROD-024"/>
    <x v="7"/>
    <n v="4"/>
    <n v="2270"/>
    <n v="17.100000000000001"/>
    <n v="7527.32"/>
    <s v="Completed"/>
    <s v="Delhi"/>
    <x v="2"/>
    <m/>
    <s v="Retail"/>
    <n v="24"/>
    <x v="4"/>
    <x v="4"/>
  </r>
  <r>
    <s v="ORD-00706"/>
    <d v="2024-10-23T00:00:00"/>
    <s v="CUST-0053"/>
    <s v="PROD-021"/>
    <x v="9"/>
    <n v="7"/>
    <n v="2760"/>
    <n v="17.100000000000001"/>
    <n v="16016.28"/>
    <s v="Completed"/>
    <s v="Delhi"/>
    <x v="2"/>
    <m/>
    <s v="Retail"/>
    <n v="53"/>
    <x v="0"/>
    <x v="0"/>
  </r>
  <r>
    <s v="ORD-00707"/>
    <d v="2024-08-26T00:00:00"/>
    <s v="CUST-0278"/>
    <s v="PROD-051"/>
    <x v="4"/>
    <n v="6"/>
    <n v="3450"/>
    <n v="6.6"/>
    <n v="19333.8"/>
    <s v="Refunded"/>
    <s v="Hyderabad"/>
    <x v="1"/>
    <m/>
    <s v="Retail"/>
    <n v="41"/>
    <x v="0"/>
    <x v="0"/>
  </r>
  <r>
    <s v="ORD-00708"/>
    <d v="2024-12-04T00:00:00"/>
    <s v="CUST-0285"/>
    <s v="PROD-028"/>
    <x v="0"/>
    <n v="8"/>
    <n v="3660"/>
    <n v="7.2"/>
    <n v="27171.84"/>
    <s v="Completed"/>
    <s v="Hyderabad"/>
    <x v="2"/>
    <m/>
    <s v="Retail"/>
    <n v="22"/>
    <x v="1"/>
    <x v="6"/>
  </r>
  <r>
    <s v="ORD-00709"/>
    <d v="2024-09-16T00:00:00"/>
    <s v="CUST-0060"/>
    <s v="PROD-009"/>
    <x v="14"/>
    <n v="4"/>
    <n v="1220"/>
    <n v="24.3"/>
    <n v="3694.16"/>
    <s v="Cancelled"/>
    <s v="Pune"/>
    <x v="4"/>
    <m/>
    <s v="Retail"/>
    <n v="39"/>
    <x v="1"/>
    <x v="8"/>
  </r>
  <r>
    <s v="ORD-00710"/>
    <d v="2024-11-14T00:00:00"/>
    <s v="CUST-0236"/>
    <s v="PROD-052"/>
    <x v="0"/>
    <n v="2"/>
    <n v="5410"/>
    <n v="0.9"/>
    <n v="10722.62"/>
    <s v="Pending"/>
    <s v="Hyderabad"/>
    <x v="1"/>
    <m/>
    <s v="SMB"/>
    <n v="28"/>
    <x v="2"/>
    <x v="1"/>
  </r>
  <r>
    <s v="ORD-00711"/>
    <d v="2024-01-31T00:00:00"/>
    <s v="CUST-0106"/>
    <s v="PROD-033"/>
    <x v="18"/>
    <n v="5"/>
    <n v="2030"/>
    <n v="25.2"/>
    <n v="7592.2"/>
    <s v="Completed"/>
    <s v="Pune"/>
    <x v="3"/>
    <m/>
    <s v="Retail"/>
    <n v="22"/>
    <x v="1"/>
    <x v="3"/>
  </r>
  <r>
    <s v="ORD-00712"/>
    <d v="2024-03-12T00:00:00"/>
    <s v="CUST-0085"/>
    <s v="PROD-009"/>
    <x v="27"/>
    <n v="5"/>
    <n v="1220"/>
    <n v="2.6"/>
    <n v="5941.4"/>
    <s v="Completed"/>
    <s v="Chennai"/>
    <x v="4"/>
    <m/>
    <s v="Retail"/>
    <n v="26"/>
    <x v="4"/>
    <x v="12"/>
  </r>
  <r>
    <s v="ORD-00713"/>
    <d v="2024-11-04T00:00:00"/>
    <s v="CUST-0075"/>
    <s v="PROD-008"/>
    <x v="3"/>
    <n v="4"/>
    <n v="2660"/>
    <n v="19.100000000000001"/>
    <n v="8607.76"/>
    <s v="Refunded"/>
    <s v="Mumbai"/>
    <x v="4"/>
    <m/>
    <s v="Corporate"/>
    <n v="55"/>
    <x v="0"/>
    <x v="0"/>
  </r>
  <r>
    <s v="ORD-00714"/>
    <d v="2024-02-29T00:00:00"/>
    <s v="CUST-0169"/>
    <s v="PROD-026"/>
    <x v="29"/>
    <n v="3"/>
    <n v="4070"/>
    <n v="25.2"/>
    <n v="9133.08"/>
    <s v="Completed"/>
    <s v="Bengaluru"/>
    <x v="2"/>
    <m/>
    <s v="SMB"/>
    <n v="42"/>
    <x v="0"/>
    <x v="0"/>
  </r>
  <r>
    <s v="ORD-00715"/>
    <d v="2024-06-18T00:00:00"/>
    <s v="CUST-0166"/>
    <s v="PROD-049"/>
    <x v="2"/>
    <n v="10"/>
    <n v="960"/>
    <n v="0.3"/>
    <n v="9571.2000000000007"/>
    <s v="Completed"/>
    <s v="Hyderabad"/>
    <x v="5"/>
    <m/>
    <s v="Retail"/>
    <n v="31"/>
    <x v="4"/>
    <x v="5"/>
  </r>
  <r>
    <s v="ORD-00716"/>
    <d v="2024-05-19T00:00:00"/>
    <s v="CUST-0065"/>
    <s v="PROD-031"/>
    <x v="20"/>
    <n v="2"/>
    <n v="3730"/>
    <n v="29.9"/>
    <n v="5229.46"/>
    <s v="Completed"/>
    <s v="Chennai"/>
    <x v="3"/>
    <m/>
    <s v="Corporate"/>
    <n v="49"/>
    <x v="0"/>
    <x v="0"/>
  </r>
  <r>
    <s v="ORD-00717"/>
    <d v="2024-10-27T00:00:00"/>
    <s v="CUST-0102"/>
    <s v="PROD-057"/>
    <x v="10"/>
    <n v="9"/>
    <n v="960"/>
    <n v="1.9"/>
    <n v="8475.84"/>
    <s v="Completed"/>
    <s v="Chennai"/>
    <x v="1"/>
    <m/>
    <s v="SMB"/>
    <n v="62"/>
    <x v="0"/>
    <x v="0"/>
  </r>
  <r>
    <s v="ORD-00718"/>
    <d v="2024-06-11T00:00:00"/>
    <s v="CUST-0052"/>
    <s v="PROD-011"/>
    <x v="10"/>
    <n v="2"/>
    <n v="3450"/>
    <n v="22.9"/>
    <n v="5319.9"/>
    <s v="Pending"/>
    <s v="Pune"/>
    <x v="0"/>
    <m/>
    <s v="Retail"/>
    <n v="38"/>
    <x v="1"/>
    <x v="9"/>
  </r>
  <r>
    <s v="ORD-00719"/>
    <d v="2024-11-20T00:00:00"/>
    <s v="CUST-0130"/>
    <s v="PROD-052"/>
    <x v="9"/>
    <n v="3"/>
    <n v="5410"/>
    <n v="15.5"/>
    <n v="13714.35"/>
    <s v="Completed"/>
    <s v="Bengaluru"/>
    <x v="1"/>
    <m/>
    <s v="Corporate"/>
    <n v="41"/>
    <x v="0"/>
    <x v="0"/>
  </r>
  <r>
    <s v="ORD-00720"/>
    <d v="2024-06-05T00:00:00"/>
    <s v="CUST-0284"/>
    <s v="PROD-043"/>
    <x v="7"/>
    <n v="8"/>
    <n v="3350"/>
    <n v="18.399999999999999"/>
    <n v="21868.799999999999"/>
    <s v="Completed"/>
    <s v="Hyderabad"/>
    <x v="5"/>
    <m/>
    <s v="SMB"/>
    <n v="65"/>
    <x v="0"/>
    <x v="0"/>
  </r>
  <r>
    <s v="ORD-00721"/>
    <d v="2024-11-15T00:00:00"/>
    <s v="CUST-0053"/>
    <s v="PROD-015"/>
    <x v="4"/>
    <n v="5"/>
    <n v="2720"/>
    <n v="17.3"/>
    <n v="11247.2"/>
    <s v="Cancelled"/>
    <s v="Delhi"/>
    <x v="0"/>
    <m/>
    <s v="Retail"/>
    <n v="53"/>
    <x v="0"/>
    <x v="0"/>
  </r>
  <r>
    <s v="ORD-00722"/>
    <d v="2024-04-21T00:00:00"/>
    <s v="CUST-0293"/>
    <s v="PROD-028"/>
    <x v="21"/>
    <n v="8"/>
    <n v="3660"/>
    <n v="28.8"/>
    <n v="20847.36"/>
    <s v="Completed"/>
    <s v="Bengaluru"/>
    <x v="2"/>
    <m/>
    <s v="Retail"/>
    <n v="27"/>
    <x v="1"/>
    <x v="3"/>
  </r>
  <r>
    <s v="ORD-00723"/>
    <d v="2024-08-26T00:00:00"/>
    <s v="CUST-0242"/>
    <s v="PROD-005"/>
    <x v="22"/>
    <n v="6"/>
    <n v="300"/>
    <n v="23.9"/>
    <n v="1369.8"/>
    <s v="Cancelled"/>
    <s v="Chennai"/>
    <x v="4"/>
    <m/>
    <s v="SMB"/>
    <n v="59"/>
    <x v="0"/>
    <x v="0"/>
  </r>
  <r>
    <s v="ORD-00724"/>
    <d v="2024-09-13T00:00:00"/>
    <s v="CUST-0226"/>
    <s v="PROD-042"/>
    <x v="17"/>
    <n v="3"/>
    <n v="2290"/>
    <n v="2.4"/>
    <n v="6705.12"/>
    <s v="Completed"/>
    <s v="Chennai"/>
    <x v="5"/>
    <m/>
    <s v="Corporate"/>
    <n v="52"/>
    <x v="0"/>
    <x v="0"/>
  </r>
  <r>
    <s v="ORD-00725"/>
    <d v="2024-04-21T00:00:00"/>
    <s v="CUST-0005"/>
    <s v="PROD-046"/>
    <x v="2"/>
    <n v="6"/>
    <n v="4880"/>
    <n v="11.1"/>
    <n v="26029.919999999998"/>
    <s v="Pending"/>
    <s v="Chennai"/>
    <x v="5"/>
    <m/>
    <s v="Corporate"/>
    <n v="52"/>
    <x v="0"/>
    <x v="0"/>
  </r>
  <r>
    <s v="ORD-00726"/>
    <d v="2024-09-27T00:00:00"/>
    <s v="CUST-0211"/>
    <s v="PROD-005"/>
    <x v="0"/>
    <n v="5"/>
    <n v="300"/>
    <n v="19.399999999999999"/>
    <n v="1209"/>
    <s v="Completed"/>
    <s v="Bengaluru"/>
    <x v="4"/>
    <m/>
    <s v="Retail"/>
    <n v="36"/>
    <x v="4"/>
    <x v="4"/>
  </r>
  <r>
    <s v="ORD-00727"/>
    <d v="2024-12-09T00:00:00"/>
    <s v="CUST-0229"/>
    <s v="PROD-008"/>
    <x v="14"/>
    <n v="3"/>
    <n v="2660"/>
    <n v="28.5"/>
    <n v="5705.7"/>
    <s v="Pending"/>
    <s v="Hyderabad"/>
    <x v="4"/>
    <m/>
    <s v="SMB"/>
    <n v="25"/>
    <x v="1"/>
    <x v="1"/>
  </r>
  <r>
    <s v="ORD-00728"/>
    <d v="2024-05-22T00:00:00"/>
    <s v="CUST-0037"/>
    <s v="PROD-035"/>
    <x v="6"/>
    <n v="7"/>
    <n v="1090"/>
    <n v="10.3"/>
    <n v="6844.11"/>
    <s v="Completed"/>
    <s v="Bengaluru"/>
    <x v="3"/>
    <m/>
    <s v="Retail"/>
    <n v="52"/>
    <x v="0"/>
    <x v="0"/>
  </r>
  <r>
    <s v="ORD-00729"/>
    <d v="2024-02-28T00:00:00"/>
    <s v="CUST-0059"/>
    <s v="PROD-007"/>
    <x v="27"/>
    <n v="9"/>
    <n v="1430"/>
    <n v="12.1"/>
    <n v="11312.73"/>
    <s v="Cancelled"/>
    <s v="Pune"/>
    <x v="4"/>
    <m/>
    <s v="Corporate"/>
    <n v="29"/>
    <x v="2"/>
    <x v="2"/>
  </r>
  <r>
    <s v="ORD-00730"/>
    <d v="2024-02-22T00:00:00"/>
    <s v="CUST-0222"/>
    <s v="PROD-010"/>
    <x v="1"/>
    <n v="5"/>
    <n v="2640"/>
    <n v="26.8"/>
    <n v="9662.4"/>
    <s v="Completed"/>
    <s v="Chennai"/>
    <x v="4"/>
    <m/>
    <s v="Retail"/>
    <n v="37"/>
    <x v="4"/>
    <x v="5"/>
  </r>
  <r>
    <s v="ORD-00731"/>
    <d v="2024-07-25T00:00:00"/>
    <s v="CUST-0157"/>
    <s v="PROD-015"/>
    <x v="19"/>
    <n v="8"/>
    <n v="2720"/>
    <n v="17.5"/>
    <n v="17952"/>
    <s v="Completed"/>
    <s v="Pune"/>
    <x v="0"/>
    <m/>
    <s v="Corporate"/>
    <n v="52"/>
    <x v="0"/>
    <x v="0"/>
  </r>
  <r>
    <s v="ORD-00732"/>
    <d v="2024-08-16T00:00:00"/>
    <s v="CUST-0027"/>
    <s v="PROD-013"/>
    <x v="29"/>
    <n v="9"/>
    <n v="3640"/>
    <n v="3.6"/>
    <n v="31580.639999999999"/>
    <s v="Completed"/>
    <s v="Hyderabad"/>
    <x v="0"/>
    <m/>
    <s v="Corporate"/>
    <n v="52"/>
    <x v="0"/>
    <x v="0"/>
  </r>
  <r>
    <s v="ORD-00733"/>
    <d v="2024-09-19T00:00:00"/>
    <s v="CUST-9846"/>
    <s v="PROD-050"/>
    <x v="13"/>
    <n v="7"/>
    <n v="6080"/>
    <n v="23.6"/>
    <n v="32515.84"/>
    <s v="Completed"/>
    <s v="Mumbai"/>
    <x v="5"/>
    <m/>
    <e v="#N/A"/>
    <e v="#N/A"/>
    <x v="0"/>
    <x v="0"/>
  </r>
  <r>
    <s v="ORD-00734"/>
    <d v="2024-10-19T00:00:00"/>
    <s v="CUST-0011"/>
    <s v="PROD-001"/>
    <x v="15"/>
    <n v="7"/>
    <n v="5330"/>
    <n v="19.7"/>
    <n v="29959.93"/>
    <s v="Cancelled"/>
    <s v="Chennai"/>
    <x v="4"/>
    <m/>
    <s v="Corporate"/>
    <n v="41"/>
    <x v="0"/>
    <x v="0"/>
  </r>
  <r>
    <s v="ORD-00735"/>
    <d v="2024-10-28T00:00:00"/>
    <s v="CUST-0043"/>
    <s v="PROD-039"/>
    <x v="6"/>
    <n v="5"/>
    <n v="4610"/>
    <n v="3.6"/>
    <n v="22220.2"/>
    <s v="Completed"/>
    <s v="Hyderabad"/>
    <x v="3"/>
    <m/>
    <s v="Retail"/>
    <n v="61"/>
    <x v="0"/>
    <x v="0"/>
  </r>
  <r>
    <s v="ORD-00736"/>
    <d v="2024-01-11T00:00:00"/>
    <s v="CUST-0154"/>
    <s v="PROD-001"/>
    <x v="14"/>
    <n v="9"/>
    <n v="5330"/>
    <n v="22.9"/>
    <n v="36984.870000000003"/>
    <s v="Completed"/>
    <s v="Pune"/>
    <x v="4"/>
    <m/>
    <s v="Retail"/>
    <n v="36"/>
    <x v="2"/>
    <x v="9"/>
  </r>
  <r>
    <s v="ORD-00737"/>
    <d v="2024-05-28T00:00:00"/>
    <s v="CUST-0163"/>
    <s v="PROD-050"/>
    <x v="26"/>
    <n v="5"/>
    <n v="6080"/>
    <n v="6"/>
    <n v="28576"/>
    <s v="Refunded"/>
    <s v="Pune"/>
    <x v="5"/>
    <m/>
    <s v="Retail"/>
    <n v="49"/>
    <x v="0"/>
    <x v="0"/>
  </r>
  <r>
    <s v="ORD-00738"/>
    <d v="2024-01-08T00:00:00"/>
    <s v="CUST-0299"/>
    <s v="PROD-013"/>
    <x v="21"/>
    <n v="7"/>
    <n v="3640"/>
    <n v="5.5"/>
    <n v="24078.6"/>
    <s v="Completed"/>
    <s v="Mumbai"/>
    <x v="0"/>
    <m/>
    <s v="Corporate"/>
    <n v="51"/>
    <x v="0"/>
    <x v="0"/>
  </r>
  <r>
    <s v="ORD-00739"/>
    <d v="2024-02-14T00:00:00"/>
    <s v="CUST-0240"/>
    <s v="PROD-008"/>
    <x v="22"/>
    <n v="1"/>
    <n v="2660"/>
    <n v="6.1"/>
    <n v="2497.7399999999998"/>
    <s v="Cancelled"/>
    <s v="Chennai"/>
    <x v="4"/>
    <m/>
    <s v="Corporate"/>
    <n v="35"/>
    <x v="3"/>
    <x v="12"/>
  </r>
  <r>
    <s v="ORD-00740"/>
    <d v="2024-01-09T00:00:00"/>
    <s v="CUST-0291"/>
    <s v="PROD-043"/>
    <x v="15"/>
    <n v="8"/>
    <n v="3350"/>
    <n v="19.5"/>
    <n v="21574"/>
    <s v="Completed"/>
    <s v="Pune"/>
    <x v="5"/>
    <m/>
    <s v="SMB"/>
    <n v="29"/>
    <x v="4"/>
    <x v="5"/>
  </r>
  <r>
    <s v="ORD-00741"/>
    <d v="2024-12-22T00:00:00"/>
    <s v="CUST-0243"/>
    <s v="PROD-039"/>
    <x v="7"/>
    <n v="4"/>
    <n v="4610"/>
    <n v="24"/>
    <n v="14014.4"/>
    <s v="Completed"/>
    <s v="Pune"/>
    <x v="3"/>
    <m/>
    <s v="SMB"/>
    <n v="44"/>
    <x v="0"/>
    <x v="0"/>
  </r>
  <r>
    <s v="ORD-00742"/>
    <d v="2024-01-02T00:00:00"/>
    <s v="CUST-0073"/>
    <s v="PROD-055"/>
    <x v="2"/>
    <n v="7"/>
    <n v="2860"/>
    <n v="23.2"/>
    <n v="15375.36"/>
    <s v="Completed"/>
    <s v="Pune"/>
    <x v="1"/>
    <m/>
    <s v="Corporate"/>
    <n v="40"/>
    <x v="3"/>
    <x v="8"/>
  </r>
  <r>
    <s v="ORD-00743"/>
    <d v="2024-12-18T00:00:00"/>
    <s v="CUST-0154"/>
    <s v="PROD-043"/>
    <x v="22"/>
    <n v="7"/>
    <n v="3350"/>
    <n v="10.6"/>
    <n v="20964.3"/>
    <s v="Pending"/>
    <s v="Pune"/>
    <x v="5"/>
    <m/>
    <s v="Retail"/>
    <n v="36"/>
    <x v="4"/>
    <x v="12"/>
  </r>
  <r>
    <s v="ORD-00744"/>
    <d v="2024-10-24T00:00:00"/>
    <s v="CUST-0084"/>
    <s v="PROD-029"/>
    <x v="8"/>
    <n v="5"/>
    <n v="2210"/>
    <n v="12.1"/>
    <n v="9712.9500000000007"/>
    <s v="Completed"/>
    <s v="Chennai"/>
    <x v="2"/>
    <m/>
    <s v="Retail"/>
    <n v="28"/>
    <x v="4"/>
    <x v="8"/>
  </r>
  <r>
    <s v="ORD-00745"/>
    <d v="2024-02-07T00:00:00"/>
    <s v="CUST-0228"/>
    <s v="PROD-047"/>
    <x v="22"/>
    <n v="1"/>
    <n v="3450"/>
    <n v="19.100000000000001"/>
    <n v="2791.05"/>
    <s v="Pending"/>
    <s v="Pune"/>
    <x v="5"/>
    <m/>
    <s v="Corporate"/>
    <n v="37"/>
    <x v="2"/>
    <x v="9"/>
  </r>
  <r>
    <s v="ORD-00746"/>
    <d v="2024-10-22T00:00:00"/>
    <s v="CUST-0232"/>
    <s v="PROD-048"/>
    <x v="8"/>
    <n v="5"/>
    <n v="5100"/>
    <n v="2.8"/>
    <n v="24786"/>
    <s v="Completed"/>
    <s v="Hyderabad"/>
    <x v="5"/>
    <m/>
    <s v="Retail"/>
    <n v="38"/>
    <x v="4"/>
    <x v="5"/>
  </r>
  <r>
    <s v="ORD-00747"/>
    <d v="2024-05-11T00:00:00"/>
    <s v="CUST-0129"/>
    <s v="PROD-048"/>
    <x v="11"/>
    <n v="9"/>
    <n v="5100"/>
    <n v="24.4"/>
    <n v="34700.400000000001"/>
    <s v="Completed"/>
    <s v="Hyderabad"/>
    <x v="5"/>
    <m/>
    <s v="Retail"/>
    <n v="29"/>
    <x v="2"/>
    <x v="9"/>
  </r>
  <r>
    <s v="ORD-00748"/>
    <d v="2024-10-03T00:00:00"/>
    <s v="CUST-0189"/>
    <s v="PROD-037"/>
    <x v="3"/>
    <n v="9"/>
    <n v="660"/>
    <n v="19.8"/>
    <n v="4763.88"/>
    <s v="Completed"/>
    <s v="Chennai"/>
    <x v="3"/>
    <m/>
    <s v="Retail"/>
    <n v="41"/>
    <x v="0"/>
    <x v="0"/>
  </r>
  <r>
    <s v="ORD-00749"/>
    <d v="2024-09-14T00:00:00"/>
    <s v="CUST-0122"/>
    <s v="PROD-026"/>
    <x v="3"/>
    <n v="3"/>
    <n v="4070"/>
    <n v="27.1"/>
    <n v="8901.09"/>
    <s v="Completed"/>
    <s v="Mumbai"/>
    <x v="2"/>
    <m/>
    <s v="Retail"/>
    <n v="44"/>
    <x v="0"/>
    <x v="0"/>
  </r>
  <r>
    <s v="ORD-00750"/>
    <d v="2024-07-31T00:00:00"/>
    <s v="CUST-0170"/>
    <s v="PROD-017"/>
    <x v="0"/>
    <n v="2"/>
    <n v="2510"/>
    <n v="29.1"/>
    <n v="3559.18"/>
    <s v="Completed"/>
    <s v="Mumbai"/>
    <x v="0"/>
    <m/>
    <s v="SMB"/>
    <n v="22"/>
    <x v="1"/>
    <x v="1"/>
  </r>
  <r>
    <s v="ORD-00751"/>
    <d v="2024-06-06T00:00:00"/>
    <s v="CUST-0291"/>
    <s v="PROD-036"/>
    <x v="14"/>
    <n v="4"/>
    <n v="3250"/>
    <n v="21.1"/>
    <n v="10257"/>
    <s v="Completed"/>
    <s v="Pune"/>
    <x v="3"/>
    <m/>
    <s v="SMB"/>
    <n v="29"/>
    <x v="1"/>
    <x v="11"/>
  </r>
  <r>
    <s v="ORD-00752"/>
    <d v="2024-11-04T00:00:00"/>
    <s v="CUST-0090"/>
    <s v="PROD-032"/>
    <x v="1"/>
    <n v="3"/>
    <n v="370"/>
    <n v="7.7"/>
    <n v="1024.53"/>
    <s v="Completed"/>
    <s v="Bengaluru"/>
    <x v="3"/>
    <m/>
    <s v="Corporate"/>
    <n v="26"/>
    <x v="2"/>
    <x v="7"/>
  </r>
  <r>
    <s v="ORD-00753"/>
    <d v="2024-07-06T00:00:00"/>
    <s v="CUST-0205"/>
    <s v="PROD-020"/>
    <x v="3"/>
    <n v="10"/>
    <n v="820"/>
    <n v="3.5"/>
    <n v="7913"/>
    <s v="Completed"/>
    <s v="Pune"/>
    <x v="0"/>
    <m/>
    <s v="Corporate"/>
    <n v="29"/>
    <x v="1"/>
    <x v="3"/>
  </r>
  <r>
    <s v="ORD-00754"/>
    <d v="2024-08-27T00:00:00"/>
    <s v="CUST-0192"/>
    <s v="PROD-026"/>
    <x v="20"/>
    <n v="4"/>
    <n v="4070"/>
    <n v="23.8"/>
    <n v="12405.36"/>
    <s v="Completed"/>
    <s v="Bengaluru"/>
    <x v="2"/>
    <m/>
    <s v="Retail"/>
    <n v="55"/>
    <x v="0"/>
    <x v="0"/>
  </r>
  <r>
    <s v="ORD-00755"/>
    <d v="2024-03-05T00:00:00"/>
    <s v="CUST-0270"/>
    <s v="PROD-023"/>
    <x v="23"/>
    <n v="1"/>
    <n v="2380"/>
    <n v="19.600000000000001"/>
    <n v="1913.52"/>
    <s v="Cancelled"/>
    <s v="Bengaluru"/>
    <x v="2"/>
    <m/>
    <s v="Retail"/>
    <n v="29"/>
    <x v="2"/>
    <x v="6"/>
  </r>
  <r>
    <s v="ORD-00756"/>
    <d v="2024-09-18T00:00:00"/>
    <s v="CUST-0266"/>
    <s v="PROD-038"/>
    <x v="14"/>
    <n v="3"/>
    <n v="5490"/>
    <n v="2.5"/>
    <n v="16058.25"/>
    <s v="Completed"/>
    <s v="Pune"/>
    <x v="3"/>
    <m/>
    <s v="Retail"/>
    <n v="65"/>
    <x v="0"/>
    <x v="0"/>
  </r>
  <r>
    <s v="ORD-00757"/>
    <d v="2024-07-19T00:00:00"/>
    <s v="CUST-0208"/>
    <s v="PROD-013"/>
    <x v="28"/>
    <n v="3"/>
    <n v="3640"/>
    <n v="23.3"/>
    <n v="8375.64"/>
    <s v="Completed"/>
    <s v="Mumbai"/>
    <x v="0"/>
    <m/>
    <s v="Retail"/>
    <n v="49"/>
    <x v="0"/>
    <x v="0"/>
  </r>
  <r>
    <s v="ORD-00758"/>
    <d v="2024-04-06T00:00:00"/>
    <s v="CUST-0224"/>
    <s v="PROD-039"/>
    <x v="26"/>
    <n v="2"/>
    <n v="4610"/>
    <n v="5"/>
    <n v="8759"/>
    <s v="Pending"/>
    <s v="Chennai"/>
    <x v="3"/>
    <m/>
    <s v="Corporate"/>
    <n v="24"/>
    <x v="2"/>
    <x v="11"/>
  </r>
  <r>
    <s v="ORD-00759"/>
    <d v="2024-03-18T00:00:00"/>
    <s v="CUST-0264"/>
    <s v="PROD-058"/>
    <x v="19"/>
    <n v="8"/>
    <n v="2400"/>
    <n v="10"/>
    <n v="17280"/>
    <s v="Pending"/>
    <s v="Pune"/>
    <x v="1"/>
    <m/>
    <s v="Retail"/>
    <n v="59"/>
    <x v="0"/>
    <x v="0"/>
  </r>
  <r>
    <s v="ORD-00760"/>
    <d v="2024-11-01T00:00:00"/>
    <s v="CUST-0113"/>
    <s v="PROD-043"/>
    <x v="25"/>
    <n v="7"/>
    <n v="3350"/>
    <n v="23.7"/>
    <n v="17892.349999999999"/>
    <s v="Completed"/>
    <s v="Delhi"/>
    <x v="5"/>
    <m/>
    <s v="Retail"/>
    <n v="30"/>
    <x v="1"/>
    <x v="10"/>
  </r>
  <r>
    <s v="ORD-00761"/>
    <d v="2024-11-15T00:00:00"/>
    <s v="CUST-0160"/>
    <s v="PROD-013"/>
    <x v="27"/>
    <n v="4"/>
    <n v="3640"/>
    <n v="9.3000000000000007"/>
    <n v="13205.92"/>
    <s v="Cancelled"/>
    <s v="Hyderabad"/>
    <x v="0"/>
    <m/>
    <s v="Retail"/>
    <n v="27"/>
    <x v="1"/>
    <x v="3"/>
  </r>
  <r>
    <s v="ORD-00762"/>
    <d v="2024-10-14T00:00:00"/>
    <s v="CUST-0109"/>
    <s v="PROD-013"/>
    <x v="8"/>
    <n v="9"/>
    <n v="3640"/>
    <n v="13.1"/>
    <n v="28468.44"/>
    <s v="Pending"/>
    <s v="Pune"/>
    <x v="0"/>
    <m/>
    <s v="Retail"/>
    <n v="42"/>
    <x v="0"/>
    <x v="0"/>
  </r>
  <r>
    <s v="ORD-00763"/>
    <d v="2024-12-08T00:00:00"/>
    <s v="CUST-0107"/>
    <s v="PROD-033"/>
    <x v="2"/>
    <n v="2"/>
    <n v="2030"/>
    <n v="12.2"/>
    <n v="3564.68"/>
    <s v="Completed"/>
    <s v="Pune"/>
    <x v="3"/>
    <m/>
    <s v="Retail"/>
    <n v="50"/>
    <x v="0"/>
    <x v="0"/>
  </r>
  <r>
    <s v="ORD-00764"/>
    <d v="2024-06-28T00:00:00"/>
    <s v="CUST-0120"/>
    <s v="PROD-012"/>
    <x v="25"/>
    <n v="4"/>
    <n v="3160"/>
    <n v="7.5"/>
    <n v="11692"/>
    <s v="Completed"/>
    <s v="Mumbai"/>
    <x v="0"/>
    <m/>
    <s v="Retail"/>
    <n v="29"/>
    <x v="4"/>
    <x v="8"/>
  </r>
  <r>
    <s v="ORD-00765"/>
    <d v="2024-02-05T00:00:00"/>
    <s v="CUST-0225"/>
    <s v="PROD-026"/>
    <x v="20"/>
    <n v="10"/>
    <n v="4070"/>
    <n v="8.3000000000000007"/>
    <n v="37321.9"/>
    <s v="Completed"/>
    <s v="Chennai"/>
    <x v="2"/>
    <m/>
    <s v="SMB"/>
    <n v="26"/>
    <x v="1"/>
    <x v="7"/>
  </r>
  <r>
    <s v="ORD-00766"/>
    <d v="2024-02-21T00:00:00"/>
    <s v="CUST-0134"/>
    <s v="PROD-025"/>
    <x v="6"/>
    <n v="8"/>
    <n v="4060"/>
    <n v="8.5"/>
    <n v="29719.200000000001"/>
    <s v="Completed"/>
    <s v="Delhi"/>
    <x v="2"/>
    <m/>
    <s v="Retail"/>
    <n v="40"/>
    <x v="2"/>
    <x v="5"/>
  </r>
  <r>
    <s v="ORD-00767"/>
    <d v="2024-02-12T00:00:00"/>
    <s v="CUST-0279"/>
    <s v="PROD-057"/>
    <x v="26"/>
    <n v="8"/>
    <n v="960"/>
    <n v="8.6999999999999993"/>
    <n v="7011.84"/>
    <s v="Completed"/>
    <s v="Mumbai"/>
    <x v="1"/>
    <m/>
    <s v="Retail"/>
    <n v="56"/>
    <x v="0"/>
    <x v="0"/>
  </r>
  <r>
    <s v="ORD-00768"/>
    <d v="2024-01-15T00:00:00"/>
    <s v="CUST-0247"/>
    <s v="PROD-022"/>
    <x v="28"/>
    <n v="2"/>
    <n v="2270"/>
    <n v="10.199999999999999"/>
    <n v="4076.92"/>
    <s v="Completed"/>
    <s v="Pune"/>
    <x v="2"/>
    <m/>
    <s v="SMB"/>
    <n v="35"/>
    <x v="3"/>
    <x v="5"/>
  </r>
  <r>
    <s v="ORD-00769"/>
    <d v="2024-01-05T00:00:00"/>
    <s v="CUST-0129"/>
    <s v="PROD-027"/>
    <x v="0"/>
    <n v="1"/>
    <n v="3780"/>
    <n v="15.3"/>
    <n v="3201.66"/>
    <s v="Cancelled"/>
    <s v="Hyderabad"/>
    <x v="2"/>
    <m/>
    <s v="Retail"/>
    <n v="29"/>
    <x v="2"/>
    <x v="12"/>
  </r>
  <r>
    <s v="ORD-00770"/>
    <d v="2024-07-16T00:00:00"/>
    <s v="CUST-0038"/>
    <s v="PROD-042"/>
    <x v="8"/>
    <n v="10"/>
    <n v="2290"/>
    <n v="2.4"/>
    <n v="22350.400000000001"/>
    <s v="Pending"/>
    <s v="Mumbai"/>
    <x v="5"/>
    <m/>
    <s v="Retail"/>
    <n v="57"/>
    <x v="0"/>
    <x v="0"/>
  </r>
  <r>
    <s v="ORD-00771"/>
    <d v="2024-05-04T00:00:00"/>
    <s v="CUST-0109"/>
    <s v="PROD-043"/>
    <x v="21"/>
    <n v="5"/>
    <n v="3350"/>
    <n v="18.5"/>
    <n v="13651.25"/>
    <s v="Cancelled"/>
    <s v="Pune"/>
    <x v="5"/>
    <m/>
    <s v="Retail"/>
    <n v="42"/>
    <x v="0"/>
    <x v="0"/>
  </r>
  <r>
    <s v="ORD-00772"/>
    <d v="2024-02-25T00:00:00"/>
    <s v="CUST-0051"/>
    <s v="PROD-017"/>
    <x v="13"/>
    <n v="7"/>
    <n v="2510"/>
    <n v="4.2"/>
    <n v="16832.060000000001"/>
    <s v="Cancelled"/>
    <s v="Pune"/>
    <x v="0"/>
    <m/>
    <s v="SMB"/>
    <n v="54"/>
    <x v="0"/>
    <x v="0"/>
  </r>
  <r>
    <s v="ORD-00773"/>
    <d v="2024-12-26T00:00:00"/>
    <s v="CUST-0265"/>
    <s v="PROD-002"/>
    <x v="26"/>
    <n v="1"/>
    <n v="2600"/>
    <n v="2.2000000000000002"/>
    <n v="2542.8000000000002"/>
    <s v="Completed"/>
    <s v="Chennai"/>
    <x v="4"/>
    <m/>
    <s v="Retail"/>
    <n v="49"/>
    <x v="0"/>
    <x v="0"/>
  </r>
  <r>
    <s v="ORD-00774"/>
    <d v="2024-06-24T00:00:00"/>
    <s v="CUST-0192"/>
    <s v="PROD-053"/>
    <x v="11"/>
    <n v="8"/>
    <n v="470"/>
    <n v="25.2"/>
    <n v="2812.48"/>
    <s v="Completed"/>
    <s v="Bengaluru"/>
    <x v="1"/>
    <m/>
    <s v="Retail"/>
    <n v="55"/>
    <x v="0"/>
    <x v="0"/>
  </r>
  <r>
    <s v="ORD-00775"/>
    <d v="2024-09-23T00:00:00"/>
    <s v="CUST-0241"/>
    <s v="PROD-040"/>
    <x v="27"/>
    <n v="6"/>
    <n v="1080"/>
    <n v="25"/>
    <n v="4860"/>
    <s v="Completed"/>
    <s v="Pune"/>
    <x v="3"/>
    <m/>
    <s v="Corporate"/>
    <n v="47"/>
    <x v="0"/>
    <x v="0"/>
  </r>
  <r>
    <s v="ORD-00776"/>
    <d v="2024-12-19T00:00:00"/>
    <s v="CUST-0243"/>
    <s v="PROD-054"/>
    <x v="7"/>
    <n v="2"/>
    <n v="1010"/>
    <n v="16.100000000000001"/>
    <n v="1694.78"/>
    <s v="Completed"/>
    <s v="Pune"/>
    <x v="1"/>
    <m/>
    <s v="SMB"/>
    <n v="44"/>
    <x v="0"/>
    <x v="0"/>
  </r>
  <r>
    <s v="ORD-00777"/>
    <d v="2024-05-06T00:00:00"/>
    <s v="CUST-0016"/>
    <s v="PROD-004"/>
    <x v="25"/>
    <n v="6"/>
    <n v="3870"/>
    <n v="22.4"/>
    <n v="18018.72"/>
    <s v="Cancelled"/>
    <s v="Delhi"/>
    <x v="4"/>
    <m/>
    <s v="SMB"/>
    <n v="26"/>
    <x v="3"/>
    <x v="8"/>
  </r>
  <r>
    <s v="ORD-00778"/>
    <d v="2024-12-29T00:00:00"/>
    <s v="CUST-0249"/>
    <s v="PROD-033"/>
    <x v="28"/>
    <n v="3"/>
    <n v="2030"/>
    <n v="18.5"/>
    <n v="4963.3500000000004"/>
    <s v="Completed"/>
    <s v="Mumbai"/>
    <x v="3"/>
    <m/>
    <s v="Retail"/>
    <n v="44"/>
    <x v="0"/>
    <x v="0"/>
  </r>
  <r>
    <s v="ORD-00779"/>
    <d v="2024-09-05T00:00:00"/>
    <s v="CUST-0021"/>
    <s v="PROD-040"/>
    <x v="28"/>
    <n v="7"/>
    <n v="1080"/>
    <n v="6.8"/>
    <n v="7045.92"/>
    <s v="Pending"/>
    <s v="Pune"/>
    <x v="3"/>
    <m/>
    <s v="Retail"/>
    <n v="44"/>
    <x v="0"/>
    <x v="0"/>
  </r>
  <r>
    <s v="ORD-00780"/>
    <d v="2024-11-13T00:00:00"/>
    <s v="CUST-0255"/>
    <s v="PROD-035"/>
    <x v="18"/>
    <n v="1"/>
    <n v="1090"/>
    <n v="20.6"/>
    <n v="865.46"/>
    <s v="Completed"/>
    <s v="Chennai"/>
    <x v="3"/>
    <m/>
    <s v="Corporate"/>
    <n v="51"/>
    <x v="0"/>
    <x v="0"/>
  </r>
  <r>
    <s v="ORD-00781"/>
    <d v="2024-08-24T00:00:00"/>
    <s v="CUST-0084"/>
    <s v="PROD-032"/>
    <x v="23"/>
    <n v="8"/>
    <n v="370"/>
    <n v="1.7"/>
    <n v="2909.68"/>
    <s v="Completed"/>
    <s v="Chennai"/>
    <x v="3"/>
    <m/>
    <s v="Retail"/>
    <n v="28"/>
    <x v="4"/>
    <x v="3"/>
  </r>
  <r>
    <s v="ORD-00782"/>
    <d v="2024-11-29T00:00:00"/>
    <s v="CUST-0289"/>
    <s v="PROD-018"/>
    <x v="26"/>
    <n v="7"/>
    <n v="3560"/>
    <n v="28.7"/>
    <n v="17767.96"/>
    <s v="Completed"/>
    <s v="Mumbai"/>
    <x v="0"/>
    <m/>
    <s v="Retail"/>
    <n v="54"/>
    <x v="0"/>
    <x v="0"/>
  </r>
  <r>
    <s v="ORD-00783"/>
    <d v="2024-06-01T00:00:00"/>
    <s v="CUST-0026"/>
    <s v="PROD-050"/>
    <x v="29"/>
    <n v="9"/>
    <n v="6080"/>
    <n v="16.3"/>
    <n v="45800.639999999999"/>
    <s v="Cancelled"/>
    <s v="Pune"/>
    <x v="5"/>
    <m/>
    <s v="Retail"/>
    <n v="62"/>
    <x v="0"/>
    <x v="0"/>
  </r>
  <r>
    <s v="ORD-00784"/>
    <d v="2024-08-01T00:00:00"/>
    <s v="CUST-0273"/>
    <s v="PROD-051"/>
    <x v="15"/>
    <n v="2"/>
    <n v="3450"/>
    <n v="17.600000000000001"/>
    <n v="5685.6"/>
    <s v="Pending"/>
    <s v="Hyderabad"/>
    <x v="1"/>
    <m/>
    <s v="Corporate"/>
    <n v="32"/>
    <x v="4"/>
    <x v="7"/>
  </r>
  <r>
    <s v="ORD-00785"/>
    <d v="2024-04-19T00:00:00"/>
    <s v="CUST-0069"/>
    <s v="PROD-034"/>
    <x v="18"/>
    <n v="1"/>
    <n v="5080"/>
    <n v="5.9"/>
    <n v="4780.28"/>
    <s v="Completed"/>
    <s v="Chennai"/>
    <x v="3"/>
    <m/>
    <s v="Retail"/>
    <n v="51"/>
    <x v="0"/>
    <x v="0"/>
  </r>
  <r>
    <s v="ORD-00786"/>
    <d v="2024-03-13T00:00:00"/>
    <s v="CUST-0236"/>
    <s v="PROD-011"/>
    <x v="12"/>
    <n v="7"/>
    <n v="3450"/>
    <n v="17.399999999999999"/>
    <n v="19947.900000000001"/>
    <s v="Completed"/>
    <s v="Hyderabad"/>
    <x v="0"/>
    <m/>
    <s v="SMB"/>
    <n v="28"/>
    <x v="4"/>
    <x v="4"/>
  </r>
  <r>
    <s v="ORD-00787"/>
    <d v="2024-04-21T00:00:00"/>
    <s v="CUST-0060"/>
    <s v="PROD-024"/>
    <x v="18"/>
    <n v="8"/>
    <n v="2270"/>
    <n v="24.7"/>
    <n v="13674.48"/>
    <s v="Completed"/>
    <s v="Pune"/>
    <x v="2"/>
    <m/>
    <s v="Retail"/>
    <n v="39"/>
    <x v="3"/>
    <x v="10"/>
  </r>
  <r>
    <s v="ORD-00788"/>
    <d v="2024-11-03T00:00:00"/>
    <s v="CUST-0243"/>
    <s v="PROD-012"/>
    <x v="12"/>
    <n v="3"/>
    <n v="3160"/>
    <n v="1.5"/>
    <n v="9337.7999999999993"/>
    <s v="Pending"/>
    <s v="Pune"/>
    <x v="0"/>
    <m/>
    <s v="SMB"/>
    <n v="44"/>
    <x v="0"/>
    <x v="0"/>
  </r>
  <r>
    <s v="ORD-00789"/>
    <d v="2024-04-07T00:00:00"/>
    <s v="CUST-0188"/>
    <s v="PROD-043"/>
    <x v="20"/>
    <n v="6"/>
    <n v="3350"/>
    <n v="0.9"/>
    <n v="19919.099999999999"/>
    <s v="Pending"/>
    <s v="Bengaluru"/>
    <x v="5"/>
    <m/>
    <s v="Retail"/>
    <n v="54"/>
    <x v="0"/>
    <x v="0"/>
  </r>
  <r>
    <s v="ORD-00790"/>
    <d v="2024-08-02T00:00:00"/>
    <s v="CUST-0174"/>
    <s v="PROD-044"/>
    <x v="20"/>
    <n v="7"/>
    <n v="1650"/>
    <n v="5.6"/>
    <n v="10903.2"/>
    <s v="Refunded"/>
    <s v="Pune"/>
    <x v="5"/>
    <m/>
    <s v="Retail"/>
    <n v="54"/>
    <x v="0"/>
    <x v="0"/>
  </r>
  <r>
    <s v="ORD-00791"/>
    <d v="2024-04-20T00:00:00"/>
    <s v="CUST-0016"/>
    <s v="PROD-038"/>
    <x v="11"/>
    <n v="1"/>
    <n v="5490"/>
    <n v="5.8"/>
    <n v="5171.58"/>
    <s v="Completed"/>
    <s v="Delhi"/>
    <x v="3"/>
    <m/>
    <s v="SMB"/>
    <n v="26"/>
    <x v="2"/>
    <x v="6"/>
  </r>
  <r>
    <s v="ORD-00792"/>
    <d v="2024-04-23T00:00:00"/>
    <s v="CUST-0184"/>
    <s v="PROD-040"/>
    <x v="6"/>
    <n v="3"/>
    <n v="1080"/>
    <n v="20.9"/>
    <n v="2562.84"/>
    <s v="Completed"/>
    <s v="Pune"/>
    <x v="3"/>
    <m/>
    <s v="Retail"/>
    <n v="63"/>
    <x v="0"/>
    <x v="0"/>
  </r>
  <r>
    <s v="ORD-00793"/>
    <d v="2024-05-22T00:00:00"/>
    <s v="CUST-9568"/>
    <s v="PROD-027"/>
    <x v="26"/>
    <n v="10"/>
    <n v="3780"/>
    <n v="5.5"/>
    <n v="35721"/>
    <s v="Completed"/>
    <s v="Hyderabad"/>
    <x v="2"/>
    <m/>
    <e v="#N/A"/>
    <e v="#N/A"/>
    <x v="0"/>
    <x v="0"/>
  </r>
  <r>
    <s v="ORD-00794"/>
    <d v="2024-09-23T00:00:00"/>
    <s v="CUST-0118"/>
    <s v="PROD-033"/>
    <x v="14"/>
    <n v="2"/>
    <n v="2030"/>
    <n v="2"/>
    <n v="3978.8"/>
    <s v="Pending"/>
    <s v="Hyderabad"/>
    <x v="3"/>
    <m/>
    <s v="Retail"/>
    <n v="26"/>
    <x v="3"/>
    <x v="2"/>
  </r>
  <r>
    <s v="ORD-00795"/>
    <d v="2024-10-17T00:00:00"/>
    <s v="CUST-0271"/>
    <s v="PROD-041"/>
    <x v="7"/>
    <n v="8"/>
    <n v="1540"/>
    <n v="9"/>
    <n v="11211.2"/>
    <s v="Cancelled"/>
    <s v="Bengaluru"/>
    <x v="5"/>
    <m/>
    <s v="Corporate"/>
    <n v="41"/>
    <x v="0"/>
    <x v="0"/>
  </r>
  <r>
    <s v="ORD-00796"/>
    <d v="2024-11-05T00:00:00"/>
    <s v="CUST-0147"/>
    <s v="PROD-036"/>
    <x v="15"/>
    <n v="9"/>
    <n v="3250"/>
    <n v="20.5"/>
    <n v="23253.75"/>
    <s v="Completed"/>
    <s v="Pune"/>
    <x v="3"/>
    <m/>
    <s v="Retail"/>
    <n v="56"/>
    <x v="0"/>
    <x v="0"/>
  </r>
  <r>
    <s v="ORD-00797"/>
    <d v="2024-02-22T00:00:00"/>
    <s v="CUST-0253"/>
    <s v="PROD-047"/>
    <x v="1"/>
    <n v="3"/>
    <n v="3450"/>
    <n v="17.899999999999999"/>
    <n v="8497.35"/>
    <s v="Completed"/>
    <s v="Delhi"/>
    <x v="5"/>
    <m/>
    <s v="SMB"/>
    <n v="53"/>
    <x v="0"/>
    <x v="0"/>
  </r>
  <r>
    <s v="ORD-00798"/>
    <d v="2024-07-31T00:00:00"/>
    <s v="CUST-0224"/>
    <s v="PROD-038"/>
    <x v="4"/>
    <n v="5"/>
    <n v="5490"/>
    <n v="7.9"/>
    <n v="25281.45"/>
    <s v="Completed"/>
    <s v="Chennai"/>
    <x v="3"/>
    <m/>
    <s v="Corporate"/>
    <n v="24"/>
    <x v="1"/>
    <x v="5"/>
  </r>
  <r>
    <s v="ORD-00799"/>
    <d v="2024-01-15T00:00:00"/>
    <s v="CUST-0134"/>
    <s v="PROD-032"/>
    <x v="20"/>
    <n v="3"/>
    <n v="370"/>
    <n v="13.4"/>
    <n v="961.26"/>
    <s v="Completed"/>
    <s v="Delhi"/>
    <x v="3"/>
    <m/>
    <s v="Retail"/>
    <n v="40"/>
    <x v="1"/>
    <x v="11"/>
  </r>
  <r>
    <s v="ORD-00800"/>
    <d v="2024-05-01T00:00:00"/>
    <s v="CUST-0287"/>
    <s v="PROD-001"/>
    <x v="18"/>
    <n v="7"/>
    <n v="5330"/>
    <n v="29.7"/>
    <n v="26228.93"/>
    <s v="Pending"/>
    <s v="Chennai"/>
    <x v="4"/>
    <m/>
    <s v="SMB"/>
    <n v="53"/>
    <x v="0"/>
    <x v="0"/>
  </r>
  <r>
    <s v="ORD-00801"/>
    <d v="2024-03-17T00:00:00"/>
    <s v="CUST-0144"/>
    <s v="PROD-051"/>
    <x v="29"/>
    <n v="8"/>
    <n v="3450"/>
    <n v="23.7"/>
    <n v="21058.799999999999"/>
    <s v="Completed"/>
    <s v="Chennai"/>
    <x v="1"/>
    <m/>
    <s v="Retail"/>
    <n v="49"/>
    <x v="0"/>
    <x v="0"/>
  </r>
  <r>
    <s v="ORD-00802"/>
    <d v="2024-01-25T00:00:00"/>
    <s v="CUST-0255"/>
    <s v="PROD-011"/>
    <x v="28"/>
    <n v="8"/>
    <n v="3450"/>
    <n v="5.4"/>
    <n v="26109.599999999999"/>
    <s v="Completed"/>
    <s v="Chennai"/>
    <x v="0"/>
    <m/>
    <s v="Corporate"/>
    <n v="51"/>
    <x v="0"/>
    <x v="0"/>
  </r>
  <r>
    <s v="ORD-00803"/>
    <d v="2024-12-26T00:00:00"/>
    <s v="CUST-0054"/>
    <s v="PROD-050"/>
    <x v="20"/>
    <n v="1"/>
    <n v="6080"/>
    <n v="22.3"/>
    <n v="4724.16"/>
    <s v="Completed"/>
    <s v="Mumbai"/>
    <x v="5"/>
    <m/>
    <s v="Corporate"/>
    <n v="62"/>
    <x v="0"/>
    <x v="0"/>
  </r>
  <r>
    <s v="ORD-00804"/>
    <d v="2024-11-01T00:00:00"/>
    <s v="CUST-0283"/>
    <s v="PROD-017"/>
    <x v="23"/>
    <n v="9"/>
    <n v="2510"/>
    <n v="27.4"/>
    <n v="16400.34"/>
    <s v="Completed"/>
    <s v="Delhi"/>
    <x v="0"/>
    <m/>
    <s v="SMB"/>
    <n v="50"/>
    <x v="0"/>
    <x v="0"/>
  </r>
  <r>
    <s v="ORD-00805"/>
    <d v="2024-04-10T00:00:00"/>
    <s v="CUST-0182"/>
    <s v="PROD-054"/>
    <x v="27"/>
    <n v="10"/>
    <n v="1010"/>
    <n v="28.4"/>
    <n v="7231.6"/>
    <s v="Completed"/>
    <s v="Mumbai"/>
    <x v="1"/>
    <m/>
    <s v="Retail"/>
    <n v="54"/>
    <x v="0"/>
    <x v="0"/>
  </r>
  <r>
    <s v="ORD-00806"/>
    <d v="2024-04-19T00:00:00"/>
    <s v="CUST-0289"/>
    <s v="PROD-018"/>
    <x v="12"/>
    <n v="1"/>
    <n v="3560"/>
    <n v="26"/>
    <n v="2634.4"/>
    <s v="Completed"/>
    <s v="Mumbai"/>
    <x v="0"/>
    <m/>
    <s v="Retail"/>
    <n v="54"/>
    <x v="0"/>
    <x v="0"/>
  </r>
  <r>
    <s v="ORD-00807"/>
    <d v="2024-04-15T00:00:00"/>
    <s v="CUST-0104"/>
    <s v="PROD-045"/>
    <x v="3"/>
    <n v="8"/>
    <n v="3020"/>
    <n v="6.9"/>
    <n v="22492.959999999999"/>
    <s v="Completed"/>
    <s v="Hyderabad"/>
    <x v="5"/>
    <m/>
    <s v="Corporate"/>
    <n v="43"/>
    <x v="0"/>
    <x v="0"/>
  </r>
  <r>
    <s v="ORD-00808"/>
    <d v="2024-01-10T00:00:00"/>
    <s v="CUST-0085"/>
    <s v="PROD-026"/>
    <x v="21"/>
    <n v="1"/>
    <n v="4070"/>
    <n v="8.1999999999999993"/>
    <n v="3736.26"/>
    <s v="Completed"/>
    <s v="Chennai"/>
    <x v="2"/>
    <m/>
    <s v="Retail"/>
    <n v="26"/>
    <x v="1"/>
    <x v="4"/>
  </r>
  <r>
    <s v="ORD-00809"/>
    <d v="2024-02-25T00:00:00"/>
    <s v="CUST-0120"/>
    <s v="PROD-032"/>
    <x v="16"/>
    <n v="9"/>
    <n v="370"/>
    <n v="19.8"/>
    <n v="2670.66"/>
    <s v="Completed"/>
    <s v="Mumbai"/>
    <x v="3"/>
    <m/>
    <s v="Retail"/>
    <n v="29"/>
    <x v="3"/>
    <x v="12"/>
  </r>
  <r>
    <s v="ORD-00810"/>
    <d v="2024-09-09T00:00:00"/>
    <s v="CUST-0236"/>
    <s v="PROD-030"/>
    <x v="16"/>
    <n v="6"/>
    <n v="970"/>
    <n v="16.2"/>
    <n v="4877.16"/>
    <s v="Completed"/>
    <s v="Hyderabad"/>
    <x v="2"/>
    <m/>
    <s v="SMB"/>
    <n v="28"/>
    <x v="3"/>
    <x v="5"/>
  </r>
  <r>
    <s v="ORD-00811"/>
    <d v="2024-12-07T00:00:00"/>
    <s v="CUST-0094"/>
    <s v="PROD-015"/>
    <x v="7"/>
    <n v="10"/>
    <n v="2720"/>
    <n v="3"/>
    <n v="26384"/>
    <s v="Pending"/>
    <s v="Pune"/>
    <x v="0"/>
    <m/>
    <s v="SMB"/>
    <n v="60"/>
    <x v="0"/>
    <x v="0"/>
  </r>
  <r>
    <s v="ORD-00812"/>
    <d v="2024-01-02T00:00:00"/>
    <s v="CUST-0030"/>
    <s v="PROD-058"/>
    <x v="2"/>
    <n v="7"/>
    <n v="2400"/>
    <n v="29.4"/>
    <n v="11860.8"/>
    <s v="Completed"/>
    <s v="Bengaluru"/>
    <x v="1"/>
    <m/>
    <s v="Corporate"/>
    <n v="43"/>
    <x v="0"/>
    <x v="0"/>
  </r>
  <r>
    <s v="ORD-00813"/>
    <d v="2024-09-29T00:00:00"/>
    <s v="CUST-0172"/>
    <s v="PROD-018"/>
    <x v="27"/>
    <n v="8"/>
    <n v="3560"/>
    <n v="21.7"/>
    <n v="22299.84"/>
    <s v="Completed"/>
    <s v="Pune"/>
    <x v="0"/>
    <m/>
    <s v="Retail"/>
    <n v="65"/>
    <x v="0"/>
    <x v="0"/>
  </r>
  <r>
    <s v="ORD-00814"/>
    <d v="2024-04-03T00:00:00"/>
    <s v="CUST-0221"/>
    <s v="PROD-026"/>
    <x v="15"/>
    <n v="7"/>
    <n v="4070"/>
    <n v="10.5"/>
    <n v="25498.55"/>
    <s v="Completed"/>
    <s v="Delhi"/>
    <x v="2"/>
    <m/>
    <s v="SMB"/>
    <n v="29"/>
    <x v="4"/>
    <x v="1"/>
  </r>
  <r>
    <s v="ORD-01052"/>
    <d v="2024-01-08T00:00:00"/>
    <s v="CUST-0151"/>
    <s v="PROD-052"/>
    <x v="4"/>
    <n v="3"/>
    <n v="5410"/>
    <n v="0.2"/>
    <n v="16197.54"/>
    <s v="Completed"/>
    <s v="Mumbai"/>
    <x v="1"/>
    <m/>
    <s v="Retail"/>
    <n v="53"/>
    <x v="0"/>
    <x v="0"/>
  </r>
  <r>
    <s v="ORD-00816"/>
    <d v="2024-12-25T00:00:00"/>
    <s v="CUST-0068"/>
    <s v="PROD-021"/>
    <x v="8"/>
    <n v="4"/>
    <n v="2760"/>
    <n v="27.5"/>
    <n v="8004"/>
    <s v="Cancelled"/>
    <s v="Delhi"/>
    <x v="2"/>
    <m/>
    <s v="SMB"/>
    <n v="48"/>
    <x v="0"/>
    <x v="0"/>
  </r>
  <r>
    <s v="ORD-01136"/>
    <d v="2024-07-01T00:00:00"/>
    <s v="CUST-0165"/>
    <s v="PROD-034"/>
    <x v="22"/>
    <n v="3"/>
    <n v="5080"/>
    <n v="27.2"/>
    <n v="11094.72"/>
    <s v="Completed"/>
    <s v="Pune"/>
    <x v="3"/>
    <m/>
    <s v="Retail"/>
    <n v="29"/>
    <x v="2"/>
    <x v="8"/>
  </r>
  <r>
    <s v="ORD-00818"/>
    <d v="2024-04-09T00:00:00"/>
    <s v="CUST-0060"/>
    <s v="PROD-035"/>
    <x v="21"/>
    <n v="5"/>
    <n v="1090"/>
    <n v="3.3"/>
    <n v="5270.15"/>
    <s v="Completed"/>
    <s v="Pune"/>
    <x v="3"/>
    <m/>
    <s v="Retail"/>
    <n v="39"/>
    <x v="4"/>
    <x v="11"/>
  </r>
  <r>
    <s v="ORD-00819"/>
    <d v="2024-02-06T00:00:00"/>
    <s v="CUST-0130"/>
    <s v="PROD-023"/>
    <x v="20"/>
    <n v="10"/>
    <n v="2380"/>
    <n v="7"/>
    <n v="22134"/>
    <s v="Completed"/>
    <s v="Bengaluru"/>
    <x v="2"/>
    <m/>
    <s v="Corporate"/>
    <n v="41"/>
    <x v="0"/>
    <x v="0"/>
  </r>
  <r>
    <s v="ORD-00820"/>
    <d v="2024-07-17T00:00:00"/>
    <s v="CUST-0023"/>
    <s v="PROD-012"/>
    <x v="17"/>
    <n v="5"/>
    <n v="3160"/>
    <n v="25.6"/>
    <n v="11755.2"/>
    <s v="Completed"/>
    <s v="Chennai"/>
    <x v="0"/>
    <m/>
    <s v="SMB"/>
    <n v="43"/>
    <x v="0"/>
    <x v="0"/>
  </r>
  <r>
    <s v="ORD-00821"/>
    <d v="2024-03-11T00:00:00"/>
    <s v="CUST-0089"/>
    <s v="PROD-058"/>
    <x v="20"/>
    <n v="9"/>
    <n v="2400"/>
    <n v="8.4"/>
    <n v="19785.599999999999"/>
    <s v="Completed"/>
    <s v="Mumbai"/>
    <x v="1"/>
    <m/>
    <s v="SMB"/>
    <n v="43"/>
    <x v="0"/>
    <x v="0"/>
  </r>
  <r>
    <s v="ORD-00822"/>
    <d v="2024-06-06T00:00:00"/>
    <s v="CUST-0300"/>
    <s v="PROD-002"/>
    <x v="16"/>
    <n v="4"/>
    <n v="2600"/>
    <n v="4.2"/>
    <n v="9963.2000000000007"/>
    <s v="Completed"/>
    <s v="Mumbai"/>
    <x v="4"/>
    <m/>
    <s v="Retail"/>
    <n v="38"/>
    <x v="2"/>
    <x v="10"/>
  </r>
  <r>
    <s v="ORD-00823"/>
    <d v="2024-04-27T00:00:00"/>
    <s v="CUST-9578"/>
    <s v="PROD-024"/>
    <x v="12"/>
    <n v="5"/>
    <n v="2270"/>
    <n v="0.1"/>
    <n v="11338.65"/>
    <s v="Completed"/>
    <s v="Mumbai"/>
    <x v="2"/>
    <m/>
    <e v="#N/A"/>
    <e v="#N/A"/>
    <x v="0"/>
    <x v="0"/>
  </r>
  <r>
    <s v="ORD-00824"/>
    <d v="2024-06-22T00:00:00"/>
    <s v="CUST-0130"/>
    <s v="PROD-038"/>
    <x v="16"/>
    <n v="7"/>
    <n v="5490"/>
    <n v="14.9"/>
    <n v="32703.93"/>
    <s v="Completed"/>
    <s v="Bengaluru"/>
    <x v="3"/>
    <m/>
    <s v="Corporate"/>
    <n v="41"/>
    <x v="0"/>
    <x v="0"/>
  </r>
  <r>
    <s v="ORD-00825"/>
    <d v="2024-05-03T00:00:00"/>
    <s v="CUST-0247"/>
    <s v="PROD-004"/>
    <x v="18"/>
    <n v="5"/>
    <n v="3870"/>
    <n v="13.3"/>
    <n v="16776.45"/>
    <s v="Cancelled"/>
    <s v="Pune"/>
    <x v="4"/>
    <m/>
    <s v="SMB"/>
    <n v="35"/>
    <x v="3"/>
    <x v="7"/>
  </r>
  <r>
    <s v="ORD-00826"/>
    <d v="2024-03-21T00:00:00"/>
    <s v="CUST-0256"/>
    <s v="PROD-049"/>
    <x v="6"/>
    <n v="2"/>
    <n v="960"/>
    <n v="17.5"/>
    <n v="1584"/>
    <s v="Completed"/>
    <s v="Hyderabad"/>
    <x v="5"/>
    <m/>
    <s v="Retail"/>
    <n v="28"/>
    <x v="4"/>
    <x v="2"/>
  </r>
  <r>
    <s v="ORD-00827"/>
    <d v="2024-04-23T00:00:00"/>
    <s v="CUST-0213"/>
    <s v="PROD-046"/>
    <x v="19"/>
    <n v="4"/>
    <n v="4880"/>
    <n v="12.2"/>
    <n v="17138.560000000001"/>
    <s v="Cancelled"/>
    <s v="Mumbai"/>
    <x v="5"/>
    <m/>
    <s v="Retail"/>
    <n v="37"/>
    <x v="2"/>
    <x v="10"/>
  </r>
  <r>
    <s v="ORD-00828"/>
    <d v="2024-05-07T00:00:00"/>
    <s v="CUST-0183"/>
    <s v="PROD-058"/>
    <x v="4"/>
    <n v="5"/>
    <n v="2400"/>
    <n v="15"/>
    <n v="10200"/>
    <s v="Completed"/>
    <s v="Mumbai"/>
    <x v="1"/>
    <m/>
    <s v="SMB"/>
    <n v="27"/>
    <x v="1"/>
    <x v="4"/>
  </r>
  <r>
    <s v="ORD-00829"/>
    <d v="2024-08-18T00:00:00"/>
    <s v="CUST-0051"/>
    <s v="PROD-016"/>
    <x v="15"/>
    <n v="9"/>
    <n v="620"/>
    <n v="20.399999999999999"/>
    <n v="4441.68"/>
    <s v="Pending"/>
    <s v="Pune"/>
    <x v="0"/>
    <m/>
    <s v="SMB"/>
    <n v="54"/>
    <x v="0"/>
    <x v="0"/>
  </r>
  <r>
    <s v="ORD-00830"/>
    <d v="2024-08-09T00:00:00"/>
    <s v="CUST-0001"/>
    <s v="PROD-039"/>
    <x v="22"/>
    <n v="1"/>
    <n v="4610"/>
    <n v="1.8"/>
    <n v="4527.0200000000004"/>
    <s v="Pending"/>
    <s v="Pune"/>
    <x v="3"/>
    <m/>
    <s v="Retail"/>
    <n v="36"/>
    <x v="4"/>
    <x v="6"/>
  </r>
  <r>
    <s v="ORD-00831"/>
    <d v="2024-07-27T00:00:00"/>
    <s v="CUST-0105"/>
    <s v="PROD-039"/>
    <x v="2"/>
    <n v="7"/>
    <n v="4610"/>
    <n v="27"/>
    <n v="23557.1"/>
    <s v="Completed"/>
    <s v="Chennai"/>
    <x v="3"/>
    <m/>
    <s v="SMB"/>
    <n v="51"/>
    <x v="0"/>
    <x v="0"/>
  </r>
  <r>
    <s v="ORD-00832"/>
    <d v="2024-11-12T00:00:00"/>
    <s v="CUST-0199"/>
    <s v="PROD-030"/>
    <x v="20"/>
    <n v="6"/>
    <n v="970"/>
    <n v="4.7"/>
    <n v="5546.46"/>
    <s v="Cancelled"/>
    <s v="Hyderabad"/>
    <x v="2"/>
    <m/>
    <s v="SMB"/>
    <n v="31"/>
    <x v="4"/>
    <x v="11"/>
  </r>
  <r>
    <s v="ORD-00833"/>
    <d v="2024-03-11T00:00:00"/>
    <s v="CUST-0240"/>
    <s v="PROD-007"/>
    <x v="17"/>
    <n v="8"/>
    <n v="1430"/>
    <n v="8.6999999999999993"/>
    <n v="10444.719999999999"/>
    <s v="Completed"/>
    <s v="Chennai"/>
    <x v="4"/>
    <m/>
    <s v="Corporate"/>
    <n v="35"/>
    <x v="2"/>
    <x v="3"/>
  </r>
  <r>
    <s v="ORD-00834"/>
    <d v="2024-02-26T00:00:00"/>
    <s v="CUST-0283"/>
    <s v="PROD-027"/>
    <x v="23"/>
    <n v="5"/>
    <n v="3780"/>
    <n v="2.9"/>
    <n v="18351.900000000001"/>
    <s v="Completed"/>
    <s v="Delhi"/>
    <x v="2"/>
    <m/>
    <s v="SMB"/>
    <n v="50"/>
    <x v="0"/>
    <x v="0"/>
  </r>
  <r>
    <s v="ORD-00835"/>
    <d v="2024-08-28T00:00:00"/>
    <s v="CUST-0284"/>
    <s v="PROD-041"/>
    <x v="12"/>
    <n v="2"/>
    <n v="1540"/>
    <n v="12.7"/>
    <n v="2688.84"/>
    <s v="Completed"/>
    <s v="Hyderabad"/>
    <x v="5"/>
    <m/>
    <s v="SMB"/>
    <n v="65"/>
    <x v="0"/>
    <x v="0"/>
  </r>
  <r>
    <s v="ORD-00836"/>
    <d v="2024-07-19T00:00:00"/>
    <s v="CUST-0060"/>
    <s v="PROD-040"/>
    <x v="16"/>
    <n v="9"/>
    <n v="1080"/>
    <n v="11.2"/>
    <n v="8631.36"/>
    <s v="Cancelled"/>
    <s v="Pune"/>
    <x v="3"/>
    <m/>
    <s v="Retail"/>
    <n v="39"/>
    <x v="3"/>
    <x v="6"/>
  </r>
  <r>
    <s v="ORD-00837"/>
    <d v="2024-03-17T00:00:00"/>
    <s v="CUST-0266"/>
    <s v="PROD-058"/>
    <x v="0"/>
    <n v="3"/>
    <n v="2400"/>
    <n v="28.6"/>
    <n v="5140.8"/>
    <s v="Completed"/>
    <s v="Pune"/>
    <x v="1"/>
    <m/>
    <s v="Retail"/>
    <n v="65"/>
    <x v="0"/>
    <x v="0"/>
  </r>
  <r>
    <s v="ORD-00838"/>
    <d v="2024-06-05T00:00:00"/>
    <s v="CUST-0056"/>
    <s v="PROD-040"/>
    <x v="26"/>
    <n v="5"/>
    <n v="1080"/>
    <n v="18.3"/>
    <n v="4411.8"/>
    <s v="Completed"/>
    <s v="Bengaluru"/>
    <x v="3"/>
    <m/>
    <s v="SMB"/>
    <n v="46"/>
    <x v="0"/>
    <x v="0"/>
  </r>
  <r>
    <s v="ORD-00839"/>
    <d v="2024-11-14T00:00:00"/>
    <s v="CUST-0187"/>
    <s v="PROD-024"/>
    <x v="28"/>
    <n v="7"/>
    <n v="2270"/>
    <n v="1.7"/>
    <n v="15619.87"/>
    <s v="Cancelled"/>
    <s v="Chennai"/>
    <x v="2"/>
    <m/>
    <s v="SMB"/>
    <n v="51"/>
    <x v="0"/>
    <x v="0"/>
  </r>
  <r>
    <s v="ORD-00840"/>
    <d v="2024-05-26T00:00:00"/>
    <s v="CUST-0183"/>
    <s v="PROD-028"/>
    <x v="17"/>
    <n v="8"/>
    <n v="3660"/>
    <n v="19.100000000000001"/>
    <n v="23687.52"/>
    <s v="Cancelled"/>
    <s v="Mumbai"/>
    <x v="2"/>
    <m/>
    <s v="SMB"/>
    <n v="27"/>
    <x v="2"/>
    <x v="3"/>
  </r>
  <r>
    <s v="ORD-00841"/>
    <d v="2024-07-04T00:00:00"/>
    <s v="CUST-0068"/>
    <s v="PROD-036"/>
    <x v="11"/>
    <n v="5"/>
    <n v="3250"/>
    <n v="12.9"/>
    <n v="14153.75"/>
    <s v="Completed"/>
    <s v="Delhi"/>
    <x v="3"/>
    <m/>
    <s v="SMB"/>
    <n v="48"/>
    <x v="0"/>
    <x v="0"/>
  </r>
  <r>
    <s v="ORD-00842"/>
    <d v="2024-02-06T00:00:00"/>
    <s v="CUST-0135"/>
    <s v="PROD-044"/>
    <x v="27"/>
    <n v="4"/>
    <n v="1650"/>
    <n v="4.0999999999999996"/>
    <n v="6329.4"/>
    <s v="Completed"/>
    <s v="Pune"/>
    <x v="5"/>
    <m/>
    <s v="SMB"/>
    <n v="24"/>
    <x v="1"/>
    <x v="11"/>
  </r>
  <r>
    <s v="ORD-00843"/>
    <d v="2024-11-28T00:00:00"/>
    <s v="CUST-0191"/>
    <s v="PROD-034"/>
    <x v="11"/>
    <n v="6"/>
    <n v="5080"/>
    <n v="3"/>
    <n v="29565.599999999999"/>
    <s v="Completed"/>
    <s v="Hyderabad"/>
    <x v="3"/>
    <m/>
    <s v="SMB"/>
    <n v="43"/>
    <x v="0"/>
    <x v="0"/>
  </r>
  <r>
    <s v="ORD-00844"/>
    <d v="2024-11-18T00:00:00"/>
    <s v="CUST-0244"/>
    <s v="PROD-051"/>
    <x v="28"/>
    <n v="8"/>
    <n v="3450"/>
    <n v="20.9"/>
    <n v="21831.599999999999"/>
    <s v="Completed"/>
    <s v="Bengaluru"/>
    <x v="1"/>
    <m/>
    <s v="Retail"/>
    <n v="61"/>
    <x v="0"/>
    <x v="0"/>
  </r>
  <r>
    <s v="ORD-00845"/>
    <d v="2024-05-17T00:00:00"/>
    <s v="CUST-0189"/>
    <s v="PROD-043"/>
    <x v="26"/>
    <n v="6"/>
    <n v="3350"/>
    <n v="24.8"/>
    <n v="15115.2"/>
    <s v="Completed"/>
    <s v="Chennai"/>
    <x v="5"/>
    <m/>
    <s v="Retail"/>
    <n v="41"/>
    <x v="0"/>
    <x v="0"/>
  </r>
  <r>
    <s v="ORD-00846"/>
    <d v="2024-06-08T00:00:00"/>
    <s v="CUST-0166"/>
    <s v="PROD-029"/>
    <x v="28"/>
    <n v="10"/>
    <n v="2210"/>
    <n v="4.2"/>
    <n v="21171.8"/>
    <s v="Completed"/>
    <s v="Hyderabad"/>
    <x v="2"/>
    <m/>
    <s v="Retail"/>
    <n v="31"/>
    <x v="3"/>
    <x v="2"/>
  </r>
  <r>
    <s v="ORD-00847"/>
    <d v="2024-06-01T00:00:00"/>
    <s v="CUST-0167"/>
    <s v="PROD-046"/>
    <x v="3"/>
    <n v="10"/>
    <n v="4880"/>
    <n v="0.7"/>
    <n v="48458.400000000001"/>
    <s v="Completed"/>
    <s v="Delhi"/>
    <x v="5"/>
    <m/>
    <s v="Retail"/>
    <n v="43"/>
    <x v="0"/>
    <x v="0"/>
  </r>
  <r>
    <s v="ORD-00848"/>
    <d v="2024-03-18T00:00:00"/>
    <s v="CUST-0265"/>
    <s v="PROD-055"/>
    <x v="10"/>
    <n v="7"/>
    <n v="2860"/>
    <n v="28.1"/>
    <n v="14394.38"/>
    <s v="Pending"/>
    <s v="Chennai"/>
    <x v="1"/>
    <m/>
    <s v="Retail"/>
    <n v="49"/>
    <x v="0"/>
    <x v="0"/>
  </r>
  <r>
    <s v="ORD-00849"/>
    <d v="2024-10-16T00:00:00"/>
    <s v="CUST-0172"/>
    <s v="PROD-030"/>
    <x v="1"/>
    <n v="3"/>
    <n v="970"/>
    <n v="28.3"/>
    <n v="2086.4699999999998"/>
    <s v="Completed"/>
    <s v="Pune"/>
    <x v="2"/>
    <m/>
    <s v="Retail"/>
    <n v="65"/>
    <x v="0"/>
    <x v="0"/>
  </r>
  <r>
    <s v="ORD-00850"/>
    <d v="2024-07-21T00:00:00"/>
    <s v="CUST-0205"/>
    <s v="PROD-022"/>
    <x v="4"/>
    <n v="1"/>
    <n v="2270"/>
    <n v="15.1"/>
    <n v="1927.23"/>
    <s v="Completed"/>
    <s v="Pune"/>
    <x v="2"/>
    <m/>
    <s v="Corporate"/>
    <n v="29"/>
    <x v="1"/>
    <x v="9"/>
  </r>
  <r>
    <s v="ORD-00851"/>
    <d v="2024-02-02T00:00:00"/>
    <s v="CUST-0102"/>
    <s v="PROD-018"/>
    <x v="15"/>
    <n v="5"/>
    <n v="3560"/>
    <n v="11.5"/>
    <n v="15753"/>
    <s v="Completed"/>
    <s v="Chennai"/>
    <x v="0"/>
    <m/>
    <s v="SMB"/>
    <n v="62"/>
    <x v="0"/>
    <x v="0"/>
  </r>
  <r>
    <s v="ORD-00852"/>
    <d v="2024-05-07T00:00:00"/>
    <s v="CUST-0142"/>
    <s v="PROD-052"/>
    <x v="9"/>
    <n v="2"/>
    <n v="5410"/>
    <n v="14.8"/>
    <n v="9218.64"/>
    <s v="Pending"/>
    <s v="Chennai"/>
    <x v="1"/>
    <m/>
    <s v="Corporate"/>
    <n v="55"/>
    <x v="0"/>
    <x v="0"/>
  </r>
  <r>
    <s v="ORD-00853"/>
    <d v="2024-12-30T00:00:00"/>
    <s v="CUST-0195"/>
    <s v="PROD-019"/>
    <x v="3"/>
    <n v="2"/>
    <n v="2480"/>
    <n v="27.2"/>
    <n v="3610.88"/>
    <s v="Completed"/>
    <s v="Bengaluru"/>
    <x v="0"/>
    <m/>
    <s v="Retail"/>
    <n v="28"/>
    <x v="4"/>
    <x v="2"/>
  </r>
  <r>
    <s v="ORD-00854"/>
    <d v="2024-02-28T00:00:00"/>
    <s v="CUST-0125"/>
    <s v="PROD-020"/>
    <x v="2"/>
    <n v="6"/>
    <n v="820"/>
    <n v="6.6"/>
    <n v="4595.28"/>
    <s v="Completed"/>
    <s v="Delhi"/>
    <x v="0"/>
    <m/>
    <s v="Retail"/>
    <n v="45"/>
    <x v="0"/>
    <x v="0"/>
  </r>
  <r>
    <s v="ORD-00855"/>
    <d v="2024-05-22T00:00:00"/>
    <s v="CUST-0234"/>
    <s v="PROD-001"/>
    <x v="15"/>
    <n v="10"/>
    <n v="5330"/>
    <n v="16.100000000000001"/>
    <n v="44718.7"/>
    <s v="Completed"/>
    <s v="Bengaluru"/>
    <x v="4"/>
    <m/>
    <s v="Retail"/>
    <n v="34"/>
    <x v="4"/>
    <x v="5"/>
  </r>
  <r>
    <s v="ORD-00856"/>
    <d v="2024-05-26T00:00:00"/>
    <s v="CUST-0061"/>
    <s v="PROD-047"/>
    <x v="10"/>
    <n v="2"/>
    <n v="3450"/>
    <n v="11.3"/>
    <n v="6120.3"/>
    <s v="Pending"/>
    <s v="Hyderabad"/>
    <x v="5"/>
    <m/>
    <s v="Retail"/>
    <n v="64"/>
    <x v="0"/>
    <x v="0"/>
  </r>
  <r>
    <s v="ORD-00857"/>
    <d v="2024-07-13T00:00:00"/>
    <s v="CUST-0189"/>
    <s v="PROD-049"/>
    <x v="12"/>
    <n v="7"/>
    <n v="960"/>
    <n v="17.100000000000001"/>
    <n v="5570.88"/>
    <s v="Completed"/>
    <s v="Chennai"/>
    <x v="5"/>
    <m/>
    <s v="Retail"/>
    <n v="41"/>
    <x v="0"/>
    <x v="0"/>
  </r>
  <r>
    <s v="ORD-00858"/>
    <d v="2024-11-27T00:00:00"/>
    <s v="CUST-0191"/>
    <s v="PROD-011"/>
    <x v="11"/>
    <n v="5"/>
    <n v="3450"/>
    <n v="22.9"/>
    <n v="13299.75"/>
    <s v="Completed"/>
    <s v="Hyderabad"/>
    <x v="0"/>
    <m/>
    <s v="SMB"/>
    <n v="43"/>
    <x v="0"/>
    <x v="0"/>
  </r>
  <r>
    <s v="ORD-00859"/>
    <d v="2024-12-08T00:00:00"/>
    <s v="CUST-0217"/>
    <s v="PROD-009"/>
    <x v="4"/>
    <n v="5"/>
    <n v="1220"/>
    <n v="0.3"/>
    <n v="6081.7"/>
    <s v="Completed"/>
    <s v="Pune"/>
    <x v="4"/>
    <m/>
    <s v="SMB"/>
    <n v="59"/>
    <x v="0"/>
    <x v="0"/>
  </r>
  <r>
    <s v="ORD-00860"/>
    <d v="2024-01-17T00:00:00"/>
    <s v="CUST-0060"/>
    <s v="PROD-001"/>
    <x v="0"/>
    <n v="5"/>
    <n v="5330"/>
    <n v="29"/>
    <n v="18921.5"/>
    <s v="Completed"/>
    <s v="Pune"/>
    <x v="4"/>
    <m/>
    <s v="Retail"/>
    <n v="39"/>
    <x v="1"/>
    <x v="8"/>
  </r>
  <r>
    <s v="ORD-00861"/>
    <d v="2024-12-15T00:00:00"/>
    <s v="CUST-0270"/>
    <s v="PROD-003"/>
    <x v="8"/>
    <n v="3"/>
    <n v="3570"/>
    <n v="20"/>
    <n v="8568"/>
    <s v="Cancelled"/>
    <s v="Bengaluru"/>
    <x v="4"/>
    <m/>
    <s v="Retail"/>
    <n v="29"/>
    <x v="1"/>
    <x v="12"/>
  </r>
  <r>
    <s v="ORD-00862"/>
    <d v="2024-04-14T00:00:00"/>
    <s v="CUST-0279"/>
    <s v="PROD-029"/>
    <x v="17"/>
    <n v="9"/>
    <n v="2210"/>
    <n v="12.4"/>
    <n v="17423.64"/>
    <s v="Completed"/>
    <s v="Mumbai"/>
    <x v="2"/>
    <m/>
    <s v="Retail"/>
    <n v="56"/>
    <x v="0"/>
    <x v="0"/>
  </r>
  <r>
    <s v="ORD-00863"/>
    <d v="2024-01-11T00:00:00"/>
    <s v="CUST-0008"/>
    <s v="PROD-059"/>
    <x v="20"/>
    <n v="5"/>
    <n v="3780"/>
    <n v="3.9"/>
    <n v="18162.900000000001"/>
    <s v="Completed"/>
    <s v="Pune"/>
    <x v="1"/>
    <m/>
    <s v="SMB"/>
    <n v="39"/>
    <x v="2"/>
    <x v="4"/>
  </r>
  <r>
    <s v="ORD-00864"/>
    <d v="2024-11-30T00:00:00"/>
    <s v="CUST-0259"/>
    <s v="PROD-010"/>
    <x v="4"/>
    <n v="10"/>
    <n v="2640"/>
    <n v="17.8"/>
    <n v="21700.799999999999"/>
    <s v="Refunded"/>
    <s v="Mumbai"/>
    <x v="4"/>
    <m/>
    <s v="Retail"/>
    <n v="34"/>
    <x v="2"/>
    <x v="12"/>
  </r>
  <r>
    <s v="ORD-00865"/>
    <d v="2024-03-01T00:00:00"/>
    <s v="CUST-0169"/>
    <s v="PROD-005"/>
    <x v="6"/>
    <n v="5"/>
    <n v="300"/>
    <n v="12.9"/>
    <n v="1306.5"/>
    <s v="Completed"/>
    <s v="Bengaluru"/>
    <x v="4"/>
    <m/>
    <s v="SMB"/>
    <n v="42"/>
    <x v="0"/>
    <x v="0"/>
  </r>
  <r>
    <s v="ORD-00866"/>
    <d v="2024-10-23T00:00:00"/>
    <s v="CUST-0191"/>
    <s v="PROD-058"/>
    <x v="22"/>
    <n v="2"/>
    <n v="2400"/>
    <n v="17.100000000000001"/>
    <n v="3979.2"/>
    <s v="Pending"/>
    <s v="Hyderabad"/>
    <x v="1"/>
    <m/>
    <s v="SMB"/>
    <n v="43"/>
    <x v="0"/>
    <x v="0"/>
  </r>
  <r>
    <s v="ORD-00867"/>
    <d v="2024-10-18T00:00:00"/>
    <s v="CUST-0129"/>
    <s v="PROD-040"/>
    <x v="17"/>
    <n v="5"/>
    <n v="1080"/>
    <n v="15.7"/>
    <n v="4552.2"/>
    <s v="Pending"/>
    <s v="Hyderabad"/>
    <x v="3"/>
    <m/>
    <s v="Retail"/>
    <n v="29"/>
    <x v="4"/>
    <x v="9"/>
  </r>
  <r>
    <s v="ORD-00868"/>
    <d v="2024-08-24T00:00:00"/>
    <s v="CUST-0066"/>
    <s v="PROD-036"/>
    <x v="11"/>
    <n v="1"/>
    <n v="3250"/>
    <n v="14.7"/>
    <n v="2772.25"/>
    <s v="Completed"/>
    <s v="Delhi"/>
    <x v="3"/>
    <m/>
    <s v="Retail"/>
    <n v="24"/>
    <x v="2"/>
    <x v="9"/>
  </r>
  <r>
    <s v="ORD-00869"/>
    <d v="2024-04-18T00:00:00"/>
    <s v="CUST-0114"/>
    <s v="PROD-032"/>
    <x v="13"/>
    <n v="7"/>
    <n v="370"/>
    <n v="6"/>
    <n v="2434.6"/>
    <s v="Cancelled"/>
    <s v="Bengaluru"/>
    <x v="3"/>
    <m/>
    <s v="Corporate"/>
    <n v="42"/>
    <x v="0"/>
    <x v="0"/>
  </r>
  <r>
    <s v="ORD-00870"/>
    <d v="2024-02-15T00:00:00"/>
    <s v="CUST-9833"/>
    <s v="PROD-038"/>
    <x v="20"/>
    <n v="7"/>
    <n v="5490"/>
    <n v="10.199999999999999"/>
    <n v="34510.14"/>
    <s v="Completed"/>
    <s v="Pune"/>
    <x v="3"/>
    <m/>
    <e v="#N/A"/>
    <e v="#N/A"/>
    <x v="0"/>
    <x v="0"/>
  </r>
  <r>
    <s v="ORD-00871"/>
    <d v="2024-07-09T00:00:00"/>
    <s v="CUST-0076"/>
    <s v="PROD-006"/>
    <x v="8"/>
    <n v="3"/>
    <n v="3970"/>
    <n v="2.4"/>
    <n v="11624.16"/>
    <s v="Completed"/>
    <s v="Mumbai"/>
    <x v="4"/>
    <m/>
    <s v="Retail"/>
    <n v="38"/>
    <x v="2"/>
    <x v="5"/>
  </r>
  <r>
    <s v="ORD-00872"/>
    <d v="2024-10-18T00:00:00"/>
    <s v="CUST-0215"/>
    <s v="PROD-009"/>
    <x v="0"/>
    <n v="4"/>
    <n v="1220"/>
    <n v="25.3"/>
    <n v="3645.36"/>
    <s v="Completed"/>
    <s v="Hyderabad"/>
    <x v="4"/>
    <m/>
    <s v="Retail"/>
    <n v="52"/>
    <x v="0"/>
    <x v="0"/>
  </r>
  <r>
    <s v="ORD-00873"/>
    <d v="2024-04-27T00:00:00"/>
    <s v="CUST-0061"/>
    <s v="PROD-012"/>
    <x v="17"/>
    <n v="3"/>
    <n v="3160"/>
    <n v="19.8"/>
    <n v="7602.96"/>
    <s v="Completed"/>
    <s v="Hyderabad"/>
    <x v="0"/>
    <m/>
    <s v="Retail"/>
    <n v="64"/>
    <x v="0"/>
    <x v="0"/>
  </r>
  <r>
    <s v="ORD-00874"/>
    <d v="2024-05-18T00:00:00"/>
    <s v="CUST-0249"/>
    <s v="PROD-005"/>
    <x v="4"/>
    <n v="1"/>
    <n v="300"/>
    <n v="24.5"/>
    <n v="226.5"/>
    <s v="Completed"/>
    <s v="Mumbai"/>
    <x v="4"/>
    <m/>
    <s v="Retail"/>
    <n v="44"/>
    <x v="0"/>
    <x v="0"/>
  </r>
  <r>
    <s v="ORD-00875"/>
    <d v="2024-12-28T00:00:00"/>
    <s v="CUST-0105"/>
    <s v="PROD-047"/>
    <x v="20"/>
    <n v="5"/>
    <n v="3450"/>
    <n v="13.4"/>
    <n v="14938.5"/>
    <s v="Pending"/>
    <s v="Chennai"/>
    <x v="5"/>
    <m/>
    <s v="SMB"/>
    <n v="51"/>
    <x v="0"/>
    <x v="0"/>
  </r>
  <r>
    <s v="ORD-00876"/>
    <d v="2024-04-15T00:00:00"/>
    <s v="CUST-0161"/>
    <s v="PROD-014"/>
    <x v="28"/>
    <n v="7"/>
    <n v="3620"/>
    <n v="19.2"/>
    <n v="20474.72"/>
    <s v="Completed"/>
    <s v="Chennai"/>
    <x v="0"/>
    <m/>
    <s v="Retail"/>
    <n v="38"/>
    <x v="2"/>
    <x v="8"/>
  </r>
  <r>
    <s v="ORD-00877"/>
    <d v="2024-08-01T00:00:00"/>
    <s v="CUST-0275"/>
    <s v="PROD-024"/>
    <x v="9"/>
    <n v="10"/>
    <n v="2270"/>
    <n v="20.5"/>
    <n v="18046.5"/>
    <s v="Completed"/>
    <s v="Mumbai"/>
    <x v="2"/>
    <m/>
    <s v="Retail"/>
    <n v="36"/>
    <x v="2"/>
    <x v="4"/>
  </r>
  <r>
    <s v="ORD-00878"/>
    <d v="2024-04-04T00:00:00"/>
    <s v="CUST-0049"/>
    <s v="PROD-015"/>
    <x v="6"/>
    <n v="5"/>
    <n v="2720"/>
    <n v="29.3"/>
    <n v="9615.2000000000007"/>
    <s v="Completed"/>
    <s v="Mumbai"/>
    <x v="0"/>
    <m/>
    <s v="Corporate"/>
    <n v="42"/>
    <x v="0"/>
    <x v="0"/>
  </r>
  <r>
    <s v="ORD-00879"/>
    <d v="2024-07-26T00:00:00"/>
    <s v="CUST-0235"/>
    <s v="PROD-027"/>
    <x v="24"/>
    <n v="9"/>
    <n v="3780"/>
    <n v="2.2999999999999998"/>
    <n v="33237.54"/>
    <s v="Completed"/>
    <s v="Chennai"/>
    <x v="2"/>
    <m/>
    <s v="Retail"/>
    <n v="31"/>
    <x v="2"/>
    <x v="4"/>
  </r>
  <r>
    <s v="ORD-00880"/>
    <d v="2024-12-10T00:00:00"/>
    <s v="CUST-0220"/>
    <s v="PROD-025"/>
    <x v="2"/>
    <n v="9"/>
    <n v="4060"/>
    <n v="11.5"/>
    <n v="32337.9"/>
    <s v="Completed"/>
    <s v="Chennai"/>
    <x v="2"/>
    <m/>
    <s v="Retail"/>
    <n v="34"/>
    <x v="3"/>
    <x v="11"/>
  </r>
  <r>
    <s v="ORD-00881"/>
    <d v="2024-08-13T00:00:00"/>
    <s v="CUST-0298"/>
    <s v="PROD-021"/>
    <x v="27"/>
    <n v="10"/>
    <n v="2760"/>
    <n v="3.9"/>
    <n v="26523.599999999999"/>
    <s v="Refunded"/>
    <s v="Delhi"/>
    <x v="2"/>
    <m/>
    <s v="Retail"/>
    <n v="44"/>
    <x v="0"/>
    <x v="0"/>
  </r>
  <r>
    <s v="ORD-00882"/>
    <d v="2024-10-28T00:00:00"/>
    <s v="CUST-0222"/>
    <s v="PROD-040"/>
    <x v="13"/>
    <n v="10"/>
    <n v="1080"/>
    <n v="21.4"/>
    <n v="8488.7999999999993"/>
    <s v="Completed"/>
    <s v="Chennai"/>
    <x v="3"/>
    <m/>
    <s v="Retail"/>
    <n v="37"/>
    <x v="4"/>
    <x v="6"/>
  </r>
  <r>
    <s v="ORD-00883"/>
    <d v="2024-07-24T00:00:00"/>
    <s v="CUST-0049"/>
    <s v="PROD-034"/>
    <x v="12"/>
    <n v="6"/>
    <n v="5080"/>
    <n v="29.8"/>
    <n v="21396.959999999999"/>
    <s v="Pending"/>
    <s v="Mumbai"/>
    <x v="3"/>
    <m/>
    <s v="Corporate"/>
    <n v="42"/>
    <x v="0"/>
    <x v="0"/>
  </r>
  <r>
    <s v="ORD-00884"/>
    <d v="2024-01-02T00:00:00"/>
    <s v="CUST-0147"/>
    <s v="PROD-046"/>
    <x v="14"/>
    <n v="1"/>
    <n v="4880"/>
    <n v="28.2"/>
    <n v="3503.84"/>
    <s v="Completed"/>
    <s v="Pune"/>
    <x v="5"/>
    <m/>
    <s v="Retail"/>
    <n v="56"/>
    <x v="0"/>
    <x v="0"/>
  </r>
  <r>
    <s v="ORD-00885"/>
    <d v="2024-09-27T00:00:00"/>
    <s v="CUST-0177"/>
    <s v="PROD-022"/>
    <x v="28"/>
    <n v="1"/>
    <n v="2270"/>
    <n v="27.8"/>
    <n v="1638.94"/>
    <s v="Completed"/>
    <s v="Mumbai"/>
    <x v="2"/>
    <m/>
    <s v="SMB"/>
    <n v="36"/>
    <x v="2"/>
    <x v="12"/>
  </r>
  <r>
    <s v="ORD-00886"/>
    <d v="2024-12-12T00:00:00"/>
    <s v="CUST-0121"/>
    <s v="PROD-006"/>
    <x v="7"/>
    <n v="9"/>
    <n v="3970"/>
    <n v="7"/>
    <n v="33228.9"/>
    <s v="Completed"/>
    <s v="Delhi"/>
    <x v="4"/>
    <m/>
    <s v="SMB"/>
    <n v="55"/>
    <x v="0"/>
    <x v="0"/>
  </r>
  <r>
    <s v="ORD-00887"/>
    <d v="2024-04-26T00:00:00"/>
    <s v="CUST-0262"/>
    <s v="PROD-048"/>
    <x v="11"/>
    <n v="9"/>
    <n v="5100"/>
    <n v="9.6999999999999993"/>
    <n v="41447.699999999997"/>
    <s v="Completed"/>
    <s v="Mumbai"/>
    <x v="5"/>
    <m/>
    <s v="Retail"/>
    <n v="52"/>
    <x v="0"/>
    <x v="0"/>
  </r>
  <r>
    <s v="ORD-00888"/>
    <d v="2024-07-25T00:00:00"/>
    <s v="CUST-0246"/>
    <s v="PROD-060"/>
    <x v="1"/>
    <n v="8"/>
    <n v="190"/>
    <n v="10.199999999999999"/>
    <n v="1364.96"/>
    <s v="Completed"/>
    <s v="Delhi"/>
    <x v="1"/>
    <m/>
    <s v="SMB"/>
    <n v="29"/>
    <x v="1"/>
    <x v="4"/>
  </r>
  <r>
    <s v="ORD-00889"/>
    <d v="2024-12-23T00:00:00"/>
    <s v="CUST-0070"/>
    <s v="PROD-050"/>
    <x v="17"/>
    <n v="1"/>
    <n v="6080"/>
    <n v="5.6"/>
    <n v="5739.52"/>
    <s v="Completed"/>
    <s v="Mumbai"/>
    <x v="5"/>
    <m/>
    <s v="Retail"/>
    <n v="42"/>
    <x v="0"/>
    <x v="0"/>
  </r>
  <r>
    <s v="ORD-00890"/>
    <d v="2024-07-11T00:00:00"/>
    <s v="CUST-0218"/>
    <s v="PROD-057"/>
    <x v="16"/>
    <n v="6"/>
    <n v="960"/>
    <n v="1.9"/>
    <n v="5650.56"/>
    <s v="Completed"/>
    <s v="Mumbai"/>
    <x v="1"/>
    <m/>
    <s v="Retail"/>
    <n v="39"/>
    <x v="2"/>
    <x v="8"/>
  </r>
  <r>
    <s v="ORD-00891"/>
    <d v="2024-01-25T00:00:00"/>
    <s v="CUST-0068"/>
    <s v="PROD-041"/>
    <x v="10"/>
    <n v="7"/>
    <n v="1540"/>
    <n v="7.1"/>
    <n v="10014.620000000001"/>
    <s v="Completed"/>
    <s v="Delhi"/>
    <x v="5"/>
    <m/>
    <s v="SMB"/>
    <n v="48"/>
    <x v="0"/>
    <x v="0"/>
  </r>
  <r>
    <s v="ORD-00892"/>
    <d v="2024-02-06T00:00:00"/>
    <s v="CUST-0261"/>
    <s v="PROD-005"/>
    <x v="23"/>
    <n v="10"/>
    <n v="300"/>
    <n v="12.8"/>
    <n v="2616"/>
    <s v="Cancelled"/>
    <s v="Delhi"/>
    <x v="4"/>
    <m/>
    <s v="Retail"/>
    <n v="54"/>
    <x v="0"/>
    <x v="0"/>
  </r>
  <r>
    <s v="ORD-00893"/>
    <d v="2024-06-13T00:00:00"/>
    <s v="CUST-0077"/>
    <s v="PROD-046"/>
    <x v="23"/>
    <n v="4"/>
    <n v="4880"/>
    <n v="26.5"/>
    <n v="14347.2"/>
    <s v="Completed"/>
    <s v="Hyderabad"/>
    <x v="5"/>
    <m/>
    <s v="SMB"/>
    <n v="48"/>
    <x v="0"/>
    <x v="0"/>
  </r>
  <r>
    <s v="ORD-00894"/>
    <d v="2024-10-24T00:00:00"/>
    <s v="CUST-0188"/>
    <s v="PROD-032"/>
    <x v="11"/>
    <n v="2"/>
    <n v="370"/>
    <n v="26.5"/>
    <n v="543.9"/>
    <s v="Completed"/>
    <s v="Bengaluru"/>
    <x v="3"/>
    <m/>
    <s v="Retail"/>
    <n v="54"/>
    <x v="0"/>
    <x v="0"/>
  </r>
  <r>
    <s v="ORD-00895"/>
    <d v="2024-10-28T00:00:00"/>
    <s v="CUST-0145"/>
    <s v="PROD-039"/>
    <x v="25"/>
    <n v="3"/>
    <n v="4610"/>
    <n v="29.7"/>
    <n v="9722.49"/>
    <s v="Completed"/>
    <s v="Bengaluru"/>
    <x v="3"/>
    <m/>
    <s v="SMB"/>
    <n v="44"/>
    <x v="0"/>
    <x v="0"/>
  </r>
  <r>
    <s v="ORD-00896"/>
    <d v="2024-09-04T00:00:00"/>
    <s v="CUST-0036"/>
    <s v="PROD-002"/>
    <x v="22"/>
    <n v="5"/>
    <n v="2600"/>
    <n v="21.4"/>
    <n v="10218"/>
    <s v="Completed"/>
    <s v="Mumbai"/>
    <x v="4"/>
    <m/>
    <s v="Retail"/>
    <n v="35"/>
    <x v="1"/>
    <x v="9"/>
  </r>
  <r>
    <s v="ORD-00600"/>
    <d v="2024-05-24T00:00:00"/>
    <s v="CUST-0269"/>
    <s v="PROD-009"/>
    <x v="5"/>
    <n v="10"/>
    <n v="1220"/>
    <n v="24.3"/>
    <n v="9235.4"/>
    <s v="Completed"/>
    <s v="Pune"/>
    <x v="4"/>
    <m/>
    <s v="Retail"/>
    <n v="48"/>
    <x v="0"/>
    <x v="0"/>
  </r>
  <r>
    <s v="ORD-00898"/>
    <d v="2024-12-20T00:00:00"/>
    <s v="CUST-9607"/>
    <s v="PROD-007"/>
    <x v="15"/>
    <n v="10"/>
    <n v="1430"/>
    <n v="5.0999999999999996"/>
    <n v="13570.7"/>
    <s v="Cancelled"/>
    <s v="Chennai"/>
    <x v="4"/>
    <m/>
    <e v="#N/A"/>
    <e v="#N/A"/>
    <x v="0"/>
    <x v="0"/>
  </r>
  <r>
    <s v="ORD-00899"/>
    <d v="2024-07-05T00:00:00"/>
    <s v="CUST-0189"/>
    <s v="PROD-046"/>
    <x v="14"/>
    <n v="10"/>
    <n v="4880"/>
    <n v="25.5"/>
    <n v="36356"/>
    <s v="Cancelled"/>
    <s v="Chennai"/>
    <x v="5"/>
    <m/>
    <s v="Retail"/>
    <n v="41"/>
    <x v="0"/>
    <x v="0"/>
  </r>
  <r>
    <s v="ORD-00900"/>
    <d v="2024-08-14T00:00:00"/>
    <s v="CUST-0199"/>
    <s v="PROD-050"/>
    <x v="8"/>
    <n v="6"/>
    <n v="6080"/>
    <n v="21.6"/>
    <n v="28600.32"/>
    <s v="Completed"/>
    <s v="Hyderabad"/>
    <x v="5"/>
    <m/>
    <s v="SMB"/>
    <n v="31"/>
    <x v="2"/>
    <x v="11"/>
  </r>
  <r>
    <s v="ORD-00901"/>
    <d v="2024-01-28T00:00:00"/>
    <s v="CUST-0277"/>
    <s v="PROD-045"/>
    <x v="22"/>
    <n v="3"/>
    <n v="3020"/>
    <n v="20.7"/>
    <n v="7184.58"/>
    <s v="Completed"/>
    <s v="Chennai"/>
    <x v="5"/>
    <m/>
    <s v="Corporate"/>
    <n v="34"/>
    <x v="2"/>
    <x v="6"/>
  </r>
  <r>
    <s v="ORD-00902"/>
    <d v="2024-06-02T00:00:00"/>
    <s v="CUST-0108"/>
    <s v="PROD-015"/>
    <x v="22"/>
    <n v="9"/>
    <n v="2720"/>
    <n v="21.4"/>
    <n v="19241.28"/>
    <s v="Completed"/>
    <s v="Bengaluru"/>
    <x v="0"/>
    <m/>
    <s v="Corporate"/>
    <n v="59"/>
    <x v="0"/>
    <x v="0"/>
  </r>
  <r>
    <s v="ORD-00903"/>
    <d v="2024-05-05T00:00:00"/>
    <s v="CUST-0203"/>
    <s v="PROD-003"/>
    <x v="5"/>
    <n v="10"/>
    <n v="3570"/>
    <n v="4.4000000000000004"/>
    <n v="34129.199999999997"/>
    <s v="Completed"/>
    <s v="Chennai"/>
    <x v="4"/>
    <m/>
    <s v="SMB"/>
    <n v="55"/>
    <x v="0"/>
    <x v="0"/>
  </r>
  <r>
    <s v="ORD-00904"/>
    <d v="2024-01-18T00:00:00"/>
    <s v="CUST-0272"/>
    <s v="PROD-040"/>
    <x v="2"/>
    <n v="8"/>
    <n v="1080"/>
    <n v="23.8"/>
    <n v="6583.68"/>
    <s v="Completed"/>
    <s v="Mumbai"/>
    <x v="3"/>
    <m/>
    <s v="SMB"/>
    <n v="47"/>
    <x v="0"/>
    <x v="0"/>
  </r>
  <r>
    <s v="ORD-00905"/>
    <d v="2024-03-16T00:00:00"/>
    <s v="CUST-0039"/>
    <s v="PROD-035"/>
    <x v="23"/>
    <n v="8"/>
    <n v="1090"/>
    <n v="17.5"/>
    <n v="7194"/>
    <s v="Completed"/>
    <s v="Bengaluru"/>
    <x v="3"/>
    <m/>
    <s v="Retail"/>
    <n v="37"/>
    <x v="4"/>
    <x v="12"/>
  </r>
  <r>
    <s v="ORD-00906"/>
    <d v="2024-11-19T00:00:00"/>
    <s v="CUST-0105"/>
    <s v="PROD-018"/>
    <x v="28"/>
    <n v="7"/>
    <n v="3560"/>
    <n v="11.1"/>
    <n v="22153.88"/>
    <s v="Completed"/>
    <s v="Chennai"/>
    <x v="0"/>
    <m/>
    <s v="SMB"/>
    <n v="51"/>
    <x v="0"/>
    <x v="0"/>
  </r>
  <r>
    <s v="ORD-00907"/>
    <d v="2024-07-26T00:00:00"/>
    <s v="CUST-0095"/>
    <s v="PROD-060"/>
    <x v="24"/>
    <n v="6"/>
    <n v="190"/>
    <n v="17.100000000000001"/>
    <n v="945.06"/>
    <s v="Cancelled"/>
    <s v="Mumbai"/>
    <x v="1"/>
    <m/>
    <s v="SMB"/>
    <n v="54"/>
    <x v="0"/>
    <x v="0"/>
  </r>
  <r>
    <s v="ORD-00908"/>
    <d v="2024-03-05T00:00:00"/>
    <s v="CUST-0138"/>
    <s v="PROD-025"/>
    <x v="5"/>
    <n v="7"/>
    <n v="4060"/>
    <n v="0.6"/>
    <n v="28249.48"/>
    <s v="Completed"/>
    <s v="Chennai"/>
    <x v="2"/>
    <m/>
    <s v="Retail"/>
    <n v="24"/>
    <x v="3"/>
    <x v="11"/>
  </r>
  <r>
    <s v="ORD-00909"/>
    <d v="2024-02-24T00:00:00"/>
    <s v="CUST-0155"/>
    <s v="PROD-039"/>
    <x v="13"/>
    <n v="4"/>
    <n v="4610"/>
    <n v="1.9"/>
    <n v="18089.64"/>
    <s v="Pending"/>
    <s v="Pune"/>
    <x v="3"/>
    <m/>
    <s v="Corporate"/>
    <n v="40"/>
    <x v="2"/>
    <x v="10"/>
  </r>
  <r>
    <s v="ORD-00910"/>
    <d v="2024-12-14T00:00:00"/>
    <s v="CUST-0198"/>
    <s v="PROD-026"/>
    <x v="16"/>
    <n v="4"/>
    <n v="4070"/>
    <n v="26.8"/>
    <n v="11916.96"/>
    <s v="Completed"/>
    <s v="Chennai"/>
    <x v="2"/>
    <m/>
    <s v="Corporate"/>
    <n v="22"/>
    <x v="3"/>
    <x v="5"/>
  </r>
  <r>
    <s v="ORD-00911"/>
    <d v="2024-12-07T00:00:00"/>
    <s v="CUST-0267"/>
    <s v="PROD-014"/>
    <x v="10"/>
    <n v="4"/>
    <n v="3620"/>
    <n v="11.7"/>
    <n v="12785.84"/>
    <s v="Completed"/>
    <s v="Hyderabad"/>
    <x v="0"/>
    <m/>
    <s v="Retail"/>
    <n v="27"/>
    <x v="3"/>
    <x v="8"/>
  </r>
  <r>
    <s v="ORD-00912"/>
    <d v="2024-05-18T00:00:00"/>
    <s v="CUST-0248"/>
    <s v="PROD-006"/>
    <x v="14"/>
    <n v="3"/>
    <n v="3970"/>
    <n v="24.7"/>
    <n v="8968.23"/>
    <s v="Completed"/>
    <s v="Chennai"/>
    <x v="4"/>
    <m/>
    <s v="SMB"/>
    <n v="57"/>
    <x v="0"/>
    <x v="0"/>
  </r>
  <r>
    <s v="ORD-00913"/>
    <d v="2024-03-04T00:00:00"/>
    <s v="CUST-0114"/>
    <s v="PROD-030"/>
    <x v="8"/>
    <n v="4"/>
    <n v="970"/>
    <n v="0.4"/>
    <n v="3864.48"/>
    <s v="Completed"/>
    <s v="Bengaluru"/>
    <x v="2"/>
    <m/>
    <s v="Corporate"/>
    <n v="42"/>
    <x v="0"/>
    <x v="0"/>
  </r>
  <r>
    <s v="ORD-00914"/>
    <d v="2024-03-28T00:00:00"/>
    <s v="CUST-0129"/>
    <s v="PROD-057"/>
    <x v="12"/>
    <n v="2"/>
    <n v="960"/>
    <n v="1.4"/>
    <n v="1893.12"/>
    <s v="Completed"/>
    <s v="Hyderabad"/>
    <x v="1"/>
    <m/>
    <s v="Retail"/>
    <n v="29"/>
    <x v="2"/>
    <x v="10"/>
  </r>
  <r>
    <s v="ORD-00915"/>
    <d v="2024-03-24T00:00:00"/>
    <s v="CUST-0182"/>
    <s v="PROD-005"/>
    <x v="29"/>
    <n v="7"/>
    <n v="300"/>
    <n v="20.399999999999999"/>
    <n v="1671.6"/>
    <s v="Completed"/>
    <s v="Mumbai"/>
    <x v="4"/>
    <m/>
    <s v="Retail"/>
    <n v="54"/>
    <x v="0"/>
    <x v="0"/>
  </r>
  <r>
    <s v="ORD-00916"/>
    <d v="2024-04-15T00:00:00"/>
    <s v="CUST-0020"/>
    <s v="PROD-002"/>
    <x v="2"/>
    <n v="8"/>
    <n v="2600"/>
    <n v="2.2000000000000002"/>
    <n v="20342.400000000001"/>
    <s v="Cancelled"/>
    <s v="Hyderabad"/>
    <x v="4"/>
    <m/>
    <s v="Retail"/>
    <n v="46"/>
    <x v="0"/>
    <x v="0"/>
  </r>
  <r>
    <s v="ORD-00917"/>
    <d v="2024-10-06T00:00:00"/>
    <s v="CUST-0163"/>
    <s v="PROD-032"/>
    <x v="4"/>
    <n v="2"/>
    <n v="370"/>
    <n v="17.7"/>
    <n v="609.02"/>
    <s v="Completed"/>
    <s v="Pune"/>
    <x v="3"/>
    <m/>
    <s v="Retail"/>
    <n v="49"/>
    <x v="0"/>
    <x v="0"/>
  </r>
  <r>
    <s v="ORD-00918"/>
    <d v="2024-06-12T00:00:00"/>
    <s v="CUST-0142"/>
    <s v="PROD-047"/>
    <x v="17"/>
    <n v="4"/>
    <n v="3450"/>
    <n v="9.8000000000000007"/>
    <n v="12447.6"/>
    <s v="Cancelled"/>
    <s v="Chennai"/>
    <x v="5"/>
    <m/>
    <s v="Corporate"/>
    <n v="55"/>
    <x v="0"/>
    <x v="0"/>
  </r>
  <r>
    <s v="ORD-00919"/>
    <d v="2024-07-13T00:00:00"/>
    <s v="CUST-0221"/>
    <s v="PROD-019"/>
    <x v="16"/>
    <n v="1"/>
    <n v="2480"/>
    <n v="5.8"/>
    <n v="2336.16"/>
    <s v="Completed"/>
    <s v="Delhi"/>
    <x v="0"/>
    <m/>
    <s v="SMB"/>
    <n v="29"/>
    <x v="2"/>
    <x v="7"/>
  </r>
  <r>
    <s v="ORD-00920"/>
    <d v="2024-02-07T00:00:00"/>
    <s v="CUST-0079"/>
    <s v="PROD-028"/>
    <x v="7"/>
    <n v="5"/>
    <n v="3660"/>
    <n v="4.7"/>
    <n v="17439.900000000001"/>
    <s v="Pending"/>
    <s v="Mumbai"/>
    <x v="2"/>
    <m/>
    <s v="Corporate"/>
    <n v="60"/>
    <x v="0"/>
    <x v="0"/>
  </r>
  <r>
    <s v="ORD-00921"/>
    <d v="2024-01-24T00:00:00"/>
    <s v="CUST-0133"/>
    <s v="PROD-044"/>
    <x v="12"/>
    <n v="7"/>
    <n v="1650"/>
    <n v="8.6"/>
    <n v="10556.7"/>
    <s v="Completed"/>
    <s v="Chennai"/>
    <x v="5"/>
    <m/>
    <s v="Retail"/>
    <n v="26"/>
    <x v="3"/>
    <x v="5"/>
  </r>
  <r>
    <s v="ORD-00922"/>
    <d v="2024-06-30T00:00:00"/>
    <s v="CUST-0086"/>
    <s v="PROD-060"/>
    <x v="5"/>
    <n v="6"/>
    <n v="190"/>
    <n v="14.6"/>
    <n v="973.56"/>
    <s v="Completed"/>
    <s v="Hyderabad"/>
    <x v="1"/>
    <m/>
    <s v="Corporate"/>
    <n v="56"/>
    <x v="0"/>
    <x v="0"/>
  </r>
  <r>
    <s v="ORD-00923"/>
    <d v="2024-09-11T00:00:00"/>
    <s v="CUST-0155"/>
    <s v="PROD-022"/>
    <x v="19"/>
    <n v="5"/>
    <n v="2270"/>
    <n v="5.9"/>
    <n v="10680.35"/>
    <s v="Completed"/>
    <s v="Pune"/>
    <x v="2"/>
    <m/>
    <s v="Corporate"/>
    <n v="40"/>
    <x v="2"/>
    <x v="7"/>
  </r>
  <r>
    <s v="ORD-00924"/>
    <d v="2024-11-29T00:00:00"/>
    <s v="CUST-0244"/>
    <s v="PROD-024"/>
    <x v="23"/>
    <n v="1"/>
    <n v="2270"/>
    <n v="14.9"/>
    <n v="1931.77"/>
    <s v="Completed"/>
    <s v="Bengaluru"/>
    <x v="2"/>
    <m/>
    <s v="Retail"/>
    <n v="61"/>
    <x v="0"/>
    <x v="0"/>
  </r>
  <r>
    <s v="ORD-00925"/>
    <d v="2024-10-14T00:00:00"/>
    <s v="CUST-0262"/>
    <s v="PROD-011"/>
    <x v="26"/>
    <n v="4"/>
    <n v="3450"/>
    <n v="11.7"/>
    <n v="12185.4"/>
    <s v="Cancelled"/>
    <s v="Mumbai"/>
    <x v="0"/>
    <m/>
    <s v="Retail"/>
    <n v="52"/>
    <x v="0"/>
    <x v="0"/>
  </r>
  <r>
    <s v="ORD-00926"/>
    <d v="2024-02-01T00:00:00"/>
    <s v="CUST-0251"/>
    <s v="PROD-045"/>
    <x v="8"/>
    <n v="7"/>
    <n v="3020"/>
    <n v="18.8"/>
    <n v="17165.68"/>
    <s v="Completed"/>
    <s v="Mumbai"/>
    <x v="5"/>
    <m/>
    <s v="Retail"/>
    <n v="44"/>
    <x v="0"/>
    <x v="0"/>
  </r>
  <r>
    <s v="ORD-00927"/>
    <d v="2024-11-17T00:00:00"/>
    <s v="CUST-0007"/>
    <s v="PROD-033"/>
    <x v="29"/>
    <n v="4"/>
    <n v="2030"/>
    <n v="25.7"/>
    <n v="6033.16"/>
    <s v="Completed"/>
    <s v="Bengaluru"/>
    <x v="3"/>
    <m/>
    <s v="Retail"/>
    <n v="47"/>
    <x v="0"/>
    <x v="0"/>
  </r>
  <r>
    <s v="ORD-00928"/>
    <d v="2024-03-11T00:00:00"/>
    <s v="CUST-0161"/>
    <s v="PROD-011"/>
    <x v="2"/>
    <n v="4"/>
    <n v="3450"/>
    <n v="3.9"/>
    <n v="13261.8"/>
    <s v="Completed"/>
    <s v="Chennai"/>
    <x v="0"/>
    <m/>
    <s v="Retail"/>
    <n v="38"/>
    <x v="4"/>
    <x v="3"/>
  </r>
  <r>
    <s v="ORD-00929"/>
    <d v="2024-02-25T00:00:00"/>
    <s v="CUST-0251"/>
    <s v="PROD-049"/>
    <x v="8"/>
    <n v="5"/>
    <n v="960"/>
    <n v="8"/>
    <n v="4416"/>
    <s v="Completed"/>
    <s v="Mumbai"/>
    <x v="5"/>
    <m/>
    <s v="Retail"/>
    <n v="44"/>
    <x v="0"/>
    <x v="0"/>
  </r>
  <r>
    <s v="ORD-00930"/>
    <d v="2024-09-15T00:00:00"/>
    <s v="CUST-0098"/>
    <s v="PROD-006"/>
    <x v="19"/>
    <n v="7"/>
    <n v="3970"/>
    <n v="11.7"/>
    <n v="24538.57"/>
    <s v="Completed"/>
    <s v="Delhi"/>
    <x v="4"/>
    <m/>
    <s v="Retail"/>
    <n v="52"/>
    <x v="0"/>
    <x v="0"/>
  </r>
  <r>
    <s v="ORD-00931"/>
    <d v="2024-09-19T00:00:00"/>
    <s v="CUST-0200"/>
    <s v="PROD-052"/>
    <x v="17"/>
    <n v="3"/>
    <n v="5410"/>
    <n v="10"/>
    <n v="14607"/>
    <s v="Completed"/>
    <s v="Hyderabad"/>
    <x v="1"/>
    <m/>
    <s v="Corporate"/>
    <n v="46"/>
    <x v="0"/>
    <x v="0"/>
  </r>
  <r>
    <s v="ORD-00932"/>
    <d v="2024-05-16T00:00:00"/>
    <s v="CUST-0228"/>
    <s v="PROD-003"/>
    <x v="0"/>
    <n v="8"/>
    <n v="3570"/>
    <n v="8.5"/>
    <n v="26132.400000000001"/>
    <s v="Completed"/>
    <s v="Pune"/>
    <x v="4"/>
    <m/>
    <s v="Corporate"/>
    <n v="37"/>
    <x v="2"/>
    <x v="1"/>
  </r>
  <r>
    <s v="ORD-00933"/>
    <d v="2024-08-13T00:00:00"/>
    <s v="CUST-0095"/>
    <s v="PROD-002"/>
    <x v="2"/>
    <n v="7"/>
    <n v="2600"/>
    <n v="27.1"/>
    <n v="13267.8"/>
    <s v="Completed"/>
    <s v="Mumbai"/>
    <x v="4"/>
    <m/>
    <s v="SMB"/>
    <n v="54"/>
    <x v="0"/>
    <x v="0"/>
  </r>
  <r>
    <s v="ORD-00934"/>
    <d v="2024-05-30T00:00:00"/>
    <s v="CUST-0175"/>
    <s v="PROD-053"/>
    <x v="17"/>
    <n v="6"/>
    <n v="470"/>
    <n v="2.4"/>
    <n v="2752.32"/>
    <s v="Pending"/>
    <s v="Delhi"/>
    <x v="1"/>
    <m/>
    <s v="Corporate"/>
    <n v="55"/>
    <x v="0"/>
    <x v="0"/>
  </r>
  <r>
    <s v="ORD-00935"/>
    <d v="2024-03-20T00:00:00"/>
    <s v="CUST-0270"/>
    <s v="PROD-053"/>
    <x v="5"/>
    <n v="3"/>
    <n v="470"/>
    <n v="6.3"/>
    <n v="1321.17"/>
    <s v="Completed"/>
    <s v="Bengaluru"/>
    <x v="1"/>
    <m/>
    <s v="Retail"/>
    <n v="29"/>
    <x v="2"/>
    <x v="2"/>
  </r>
  <r>
    <s v="ORD-00936"/>
    <d v="2024-09-05T00:00:00"/>
    <s v="CUST-0105"/>
    <s v="PROD-059"/>
    <x v="10"/>
    <n v="3"/>
    <n v="3780"/>
    <n v="19.399999999999999"/>
    <n v="9140.0400000000009"/>
    <s v="Pending"/>
    <s v="Chennai"/>
    <x v="1"/>
    <m/>
    <s v="SMB"/>
    <n v="51"/>
    <x v="0"/>
    <x v="0"/>
  </r>
  <r>
    <s v="ORD-00937"/>
    <d v="2024-04-10T00:00:00"/>
    <s v="CUST-0147"/>
    <s v="PROD-056"/>
    <x v="7"/>
    <n v="5"/>
    <n v="6940"/>
    <n v="12.6"/>
    <n v="30327.8"/>
    <s v="Completed"/>
    <s v="Pune"/>
    <x v="1"/>
    <m/>
    <s v="Retail"/>
    <n v="56"/>
    <x v="0"/>
    <x v="0"/>
  </r>
  <r>
    <s v="ORD-00938"/>
    <d v="2024-04-04T00:00:00"/>
    <s v="CUST-0106"/>
    <s v="PROD-004"/>
    <x v="14"/>
    <n v="2"/>
    <n v="3870"/>
    <n v="10.5"/>
    <n v="6927.3"/>
    <s v="Completed"/>
    <s v="Pune"/>
    <x v="4"/>
    <m/>
    <s v="Retail"/>
    <n v="22"/>
    <x v="3"/>
    <x v="4"/>
  </r>
  <r>
    <s v="ORD-00939"/>
    <d v="2024-08-12T00:00:00"/>
    <s v="CUST-0130"/>
    <s v="PROD-052"/>
    <x v="2"/>
    <n v="8"/>
    <n v="5410"/>
    <n v="28.4"/>
    <n v="30988.48"/>
    <s v="Pending"/>
    <s v="Bengaluru"/>
    <x v="1"/>
    <m/>
    <s v="Corporate"/>
    <n v="41"/>
    <x v="0"/>
    <x v="0"/>
  </r>
  <r>
    <s v="ORD-00940"/>
    <d v="2024-11-22T00:00:00"/>
    <s v="CUST-0241"/>
    <s v="PROD-006"/>
    <x v="14"/>
    <n v="7"/>
    <n v="3970"/>
    <n v="12.3"/>
    <n v="24371.83"/>
    <s v="Completed"/>
    <s v="Pune"/>
    <x v="4"/>
    <m/>
    <s v="Corporate"/>
    <n v="47"/>
    <x v="0"/>
    <x v="0"/>
  </r>
  <r>
    <s v="ORD-00941"/>
    <d v="2024-11-14T00:00:00"/>
    <s v="CUST-0151"/>
    <s v="PROD-056"/>
    <x v="19"/>
    <n v="5"/>
    <n v="6940"/>
    <n v="1.5"/>
    <n v="34179.5"/>
    <s v="Completed"/>
    <s v="Mumbai"/>
    <x v="1"/>
    <m/>
    <s v="Retail"/>
    <n v="53"/>
    <x v="0"/>
    <x v="0"/>
  </r>
  <r>
    <s v="ORD-00942"/>
    <d v="2024-09-06T00:00:00"/>
    <s v="CUST-0022"/>
    <s v="PROD-012"/>
    <x v="3"/>
    <n v="7"/>
    <n v="3160"/>
    <n v="2.4"/>
    <n v="21589.119999999999"/>
    <s v="Refunded"/>
    <s v="Bengaluru"/>
    <x v="0"/>
    <m/>
    <s v="Corporate"/>
    <n v="55"/>
    <x v="0"/>
    <x v="0"/>
  </r>
  <r>
    <s v="ORD-00943"/>
    <d v="2024-07-24T00:00:00"/>
    <s v="CUST-0030"/>
    <s v="PROD-020"/>
    <x v="6"/>
    <n v="2"/>
    <n v="820"/>
    <n v="8.1"/>
    <n v="1507.16"/>
    <s v="Completed"/>
    <s v="Bengaluru"/>
    <x v="0"/>
    <m/>
    <s v="Corporate"/>
    <n v="43"/>
    <x v="0"/>
    <x v="0"/>
  </r>
  <r>
    <s v="ORD-00944"/>
    <d v="2024-10-02T00:00:00"/>
    <s v="CUST-0176"/>
    <s v="PROD-041"/>
    <x v="14"/>
    <n v="2"/>
    <n v="1540"/>
    <n v="17.7"/>
    <n v="2534.84"/>
    <s v="Completed"/>
    <s v="Bengaluru"/>
    <x v="5"/>
    <m/>
    <s v="SMB"/>
    <n v="34"/>
    <x v="2"/>
    <x v="11"/>
  </r>
  <r>
    <s v="ORD-00945"/>
    <d v="2024-06-08T00:00:00"/>
    <s v="CUST-0270"/>
    <s v="PROD-004"/>
    <x v="19"/>
    <n v="10"/>
    <n v="3870"/>
    <n v="12.2"/>
    <n v="33978.6"/>
    <s v="Refunded"/>
    <s v="Bengaluru"/>
    <x v="4"/>
    <m/>
    <s v="Retail"/>
    <n v="29"/>
    <x v="2"/>
    <x v="9"/>
  </r>
  <r>
    <s v="ORD-00946"/>
    <d v="2024-07-15T00:00:00"/>
    <s v="CUST-0216"/>
    <s v="PROD-008"/>
    <x v="25"/>
    <n v="7"/>
    <n v="2660"/>
    <n v="4.7"/>
    <n v="17744.86"/>
    <s v="Completed"/>
    <s v="Mumbai"/>
    <x v="4"/>
    <m/>
    <s v="Retail"/>
    <n v="50"/>
    <x v="0"/>
    <x v="0"/>
  </r>
  <r>
    <s v="ORD-00947"/>
    <d v="2024-05-19T00:00:00"/>
    <s v="CUST-0187"/>
    <s v="PROD-003"/>
    <x v="18"/>
    <n v="4"/>
    <n v="3570"/>
    <n v="19.3"/>
    <n v="11523.96"/>
    <s v="Completed"/>
    <s v="Chennai"/>
    <x v="4"/>
    <m/>
    <s v="SMB"/>
    <n v="51"/>
    <x v="0"/>
    <x v="0"/>
  </r>
  <r>
    <s v="ORD-00948"/>
    <d v="2024-04-11T00:00:00"/>
    <s v="CUST-0143"/>
    <s v="PROD-033"/>
    <x v="25"/>
    <n v="2"/>
    <n v="2030"/>
    <n v="2.6"/>
    <n v="3954.44"/>
    <s v="Completed"/>
    <s v="Chennai"/>
    <x v="3"/>
    <m/>
    <s v="SMB"/>
    <n v="52"/>
    <x v="0"/>
    <x v="0"/>
  </r>
  <r>
    <s v="ORD-00949"/>
    <d v="2024-05-15T00:00:00"/>
    <s v="CUST-0104"/>
    <s v="PROD-012"/>
    <x v="22"/>
    <n v="6"/>
    <n v="3160"/>
    <n v="25.8"/>
    <n v="14068.32"/>
    <s v="Completed"/>
    <s v="Hyderabad"/>
    <x v="0"/>
    <m/>
    <s v="Corporate"/>
    <n v="43"/>
    <x v="0"/>
    <x v="0"/>
  </r>
  <r>
    <s v="ORD-00950"/>
    <d v="2024-10-26T00:00:00"/>
    <s v="CUST-0121"/>
    <s v="PROD-034"/>
    <x v="2"/>
    <n v="4"/>
    <n v="5080"/>
    <n v="2"/>
    <n v="19913.599999999999"/>
    <s v="Completed"/>
    <s v=" Delhi "/>
    <x v="3"/>
    <m/>
    <s v="SMB"/>
    <n v="55"/>
    <x v="0"/>
    <x v="0"/>
  </r>
  <r>
    <s v="ORD-00951"/>
    <d v="2024-02-05T00:00:00"/>
    <s v="CUST-0228"/>
    <s v="PROD-047"/>
    <x v="9"/>
    <n v="6"/>
    <n v="3450"/>
    <n v="1.8"/>
    <n v="20327.400000000001"/>
    <s v="Cancelled"/>
    <s v="Pune"/>
    <x v="5"/>
    <m/>
    <s v="Corporate"/>
    <n v="37"/>
    <x v="4"/>
    <x v="9"/>
  </r>
  <r>
    <s v="ORD-00952"/>
    <d v="2024-10-10T00:00:00"/>
    <s v="CUST-0218"/>
    <s v="PROD-051"/>
    <x v="29"/>
    <n v="3"/>
    <n v="3450"/>
    <n v="4.7"/>
    <n v="9863.5499999999993"/>
    <s v="Pending"/>
    <s v="Mumbai"/>
    <x v="1"/>
    <m/>
    <s v="Retail"/>
    <n v="39"/>
    <x v="4"/>
    <x v="5"/>
  </r>
  <r>
    <s v="ORD-00953"/>
    <d v="2024-03-16T00:00:00"/>
    <s v="CUST-0118"/>
    <s v="PROD-001"/>
    <x v="28"/>
    <n v="7"/>
    <n v="5330"/>
    <n v="16.399999999999999"/>
    <n v="31191.16"/>
    <s v="Completed"/>
    <s v="Hyderabad"/>
    <x v="4"/>
    <m/>
    <s v="Retail"/>
    <n v="26"/>
    <x v="4"/>
    <x v="9"/>
  </r>
  <r>
    <s v="ORD-00954"/>
    <d v="2024-08-18T00:00:00"/>
    <s v="CUST-0262"/>
    <s v="PROD-029"/>
    <x v="11"/>
    <n v="6"/>
    <n v="2210"/>
    <n v="13.1"/>
    <n v="11522.94"/>
    <s v="Completed"/>
    <s v="Mumbai"/>
    <x v="2"/>
    <m/>
    <s v="Retail"/>
    <n v="52"/>
    <x v="0"/>
    <x v="0"/>
  </r>
  <r>
    <s v="ORD-00955"/>
    <d v="2024-10-14T00:00:00"/>
    <s v="CUST-0137"/>
    <s v="PROD-040"/>
    <x v="17"/>
    <n v="8"/>
    <n v="1080"/>
    <n v="8.6999999999999993"/>
    <n v="7888.32"/>
    <s v="Completed"/>
    <s v="Mumbai"/>
    <x v="3"/>
    <m/>
    <s v="Retail"/>
    <n v="41"/>
    <x v="0"/>
    <x v="0"/>
  </r>
  <r>
    <s v="ORD-00956"/>
    <d v="2024-07-22T00:00:00"/>
    <s v="CUST-0145"/>
    <s v="PROD-014"/>
    <x v="15"/>
    <n v="5"/>
    <n v="3620"/>
    <n v="16.100000000000001"/>
    <n v="15185.9"/>
    <s v="Completed"/>
    <s v="Bengaluru"/>
    <x v="0"/>
    <m/>
    <s v="SMB"/>
    <n v="44"/>
    <x v="0"/>
    <x v="0"/>
  </r>
  <r>
    <s v="ORD-00957"/>
    <d v="2024-07-10T00:00:00"/>
    <s v="CUST-0275"/>
    <s v="PROD-018"/>
    <x v="23"/>
    <n v="7"/>
    <n v="3560"/>
    <n v="8.5"/>
    <n v="22801.8"/>
    <s v="Completed"/>
    <s v="Mumbai"/>
    <x v="0"/>
    <m/>
    <s v="Retail"/>
    <n v="36"/>
    <x v="4"/>
    <x v="11"/>
  </r>
  <r>
    <s v="ORD-00958"/>
    <d v="2024-07-23T00:00:00"/>
    <s v="CUST-0189"/>
    <s v="PROD-033"/>
    <x v="5"/>
    <n v="8"/>
    <n v="2030"/>
    <n v="18.100000000000001"/>
    <n v="13300.56"/>
    <s v="Completed"/>
    <s v="Chennai"/>
    <x v="3"/>
    <m/>
    <s v="Retail"/>
    <n v="41"/>
    <x v="0"/>
    <x v="0"/>
  </r>
  <r>
    <s v="ORD-00959"/>
    <d v="2024-02-28T00:00:00"/>
    <s v="CUST-0105"/>
    <s v="PROD-044"/>
    <x v="23"/>
    <n v="10"/>
    <n v="1650"/>
    <n v="7.1"/>
    <n v="15328.5"/>
    <s v="Completed"/>
    <s v="Chennai"/>
    <x v="5"/>
    <m/>
    <s v="SMB"/>
    <n v="51"/>
    <x v="0"/>
    <x v="0"/>
  </r>
  <r>
    <s v="ORD-00960"/>
    <d v="2024-08-13T00:00:00"/>
    <s v="CUST-0284"/>
    <s v="PROD-021"/>
    <x v="21"/>
    <n v="4"/>
    <n v="2760"/>
    <n v="17.600000000000001"/>
    <n v="9096.9599999999991"/>
    <s v="Cancelled"/>
    <s v="Hyderabad"/>
    <x v="2"/>
    <m/>
    <s v="SMB"/>
    <n v="65"/>
    <x v="0"/>
    <x v="0"/>
  </r>
  <r>
    <s v="ORD-00961"/>
    <d v="2024-06-17T00:00:00"/>
    <s v="CUST-0296"/>
    <s v="PROD-006"/>
    <x v="18"/>
    <n v="4"/>
    <n v="3970"/>
    <n v="4.3"/>
    <n v="15197.16"/>
    <s v="Completed"/>
    <s v="Delhi"/>
    <x v="4"/>
    <m/>
    <s v="Corporate"/>
    <n v="47"/>
    <x v="0"/>
    <x v="0"/>
  </r>
  <r>
    <s v="ORD-00962"/>
    <d v="2024-08-05T00:00:00"/>
    <s v="CUST-0087"/>
    <s v="PROD-050"/>
    <x v="9"/>
    <n v="2"/>
    <n v="6080"/>
    <n v="23.8"/>
    <n v="9265.92"/>
    <s v="Completed"/>
    <s v="Pune"/>
    <x v="5"/>
    <m/>
    <s v="SMB"/>
    <n v="49"/>
    <x v="0"/>
    <x v="0"/>
  </r>
  <r>
    <s v="ORD-00963"/>
    <d v="2024-11-06T00:00:00"/>
    <s v="CUST-0012"/>
    <s v="PROD-024"/>
    <x v="10"/>
    <n v="4"/>
    <n v="2270"/>
    <n v="28.9"/>
    <n v="6455.88"/>
    <s v="Completed"/>
    <s v="Pune"/>
    <x v="2"/>
    <m/>
    <s v="Retail"/>
    <n v="43"/>
    <x v="0"/>
    <x v="0"/>
  </r>
  <r>
    <s v="ORD-00964"/>
    <d v="2024-05-29T00:00:00"/>
    <s v="CUST-0241"/>
    <s v="PROD-006"/>
    <x v="10"/>
    <n v="10"/>
    <n v="3970"/>
    <n v="26.2"/>
    <n v="29298.6"/>
    <s v="Completed"/>
    <s v="Pune"/>
    <x v="4"/>
    <m/>
    <s v="Corporate"/>
    <n v="47"/>
    <x v="0"/>
    <x v="0"/>
  </r>
  <r>
    <s v="ORD-00965"/>
    <d v="2024-03-27T00:00:00"/>
    <s v="CUST-0133"/>
    <s v="PROD-048"/>
    <x v="22"/>
    <n v="4"/>
    <n v="5100"/>
    <n v="2.1"/>
    <n v="19971.599999999999"/>
    <s v="Completed"/>
    <s v="Chennai"/>
    <x v="5"/>
    <m/>
    <s v="Retail"/>
    <n v="26"/>
    <x v="1"/>
    <x v="2"/>
  </r>
  <r>
    <s v="ORD-00966"/>
    <d v="2024-05-16T00:00:00"/>
    <s v="CUST-0230"/>
    <s v="PROD-045"/>
    <x v="6"/>
    <n v="5"/>
    <n v="3020"/>
    <n v="17.3"/>
    <n v="12487.7"/>
    <s v="Completed"/>
    <s v="Pune"/>
    <x v="5"/>
    <m/>
    <s v="Corporate"/>
    <n v="33"/>
    <x v="4"/>
    <x v="10"/>
  </r>
  <r>
    <s v="ORD-00967"/>
    <d v="2024-08-17T00:00:00"/>
    <s v="CUST-0126"/>
    <s v="PROD-057"/>
    <x v="29"/>
    <n v="8"/>
    <n v="960"/>
    <n v="1.3"/>
    <n v="7580.16"/>
    <s v="Cancelled"/>
    <s v="Mumbai"/>
    <x v="1"/>
    <m/>
    <s v="Retail"/>
    <n v="37"/>
    <x v="2"/>
    <x v="2"/>
  </r>
  <r>
    <s v="ORD-00968"/>
    <d v="2024-11-16T00:00:00"/>
    <s v="CUST-0233"/>
    <s v="PROD-019"/>
    <x v="4"/>
    <n v="9"/>
    <n v="2480"/>
    <n v="15.6"/>
    <n v="18838.080000000002"/>
    <s v="Completed"/>
    <s v="Mumbai"/>
    <x v="0"/>
    <m/>
    <s v="SMB"/>
    <n v="65"/>
    <x v="0"/>
    <x v="0"/>
  </r>
  <r>
    <s v="ORD-00969"/>
    <d v="2024-10-01T00:00:00"/>
    <s v="CUST-9555"/>
    <s v="PROD-030"/>
    <x v="27"/>
    <n v="1"/>
    <n v="970"/>
    <n v="24.9"/>
    <n v="728.47"/>
    <s v="Completed"/>
    <s v="Bengaluru"/>
    <x v="2"/>
    <m/>
    <e v="#N/A"/>
    <e v="#N/A"/>
    <x v="0"/>
    <x v="0"/>
  </r>
  <r>
    <s v="ORD-00970"/>
    <d v="2024-11-10T00:00:00"/>
    <s v="CUST-0150"/>
    <s v="PROD-023"/>
    <x v="24"/>
    <n v="4"/>
    <n v="2380"/>
    <n v="9.5"/>
    <n v="8615.6"/>
    <s v="Cancelled"/>
    <s v="Pune"/>
    <x v="2"/>
    <m/>
    <s v="SMB"/>
    <n v="53"/>
    <x v="0"/>
    <x v="0"/>
  </r>
  <r>
    <s v="ORD-00971"/>
    <d v="2024-05-11T00:00:00"/>
    <s v="CUST-0204"/>
    <s v="PROD-052"/>
    <x v="1"/>
    <n v="4"/>
    <n v="5410"/>
    <n v="18.7"/>
    <n v="17593.32"/>
    <s v="Completed"/>
    <s v="Hyderabad"/>
    <x v="1"/>
    <m/>
    <s v="Retail"/>
    <n v="60"/>
    <x v="0"/>
    <x v="0"/>
  </r>
  <r>
    <s v="ORD-00972"/>
    <d v="2024-10-08T00:00:00"/>
    <s v="CUST-0040"/>
    <s v="PROD-034"/>
    <x v="24"/>
    <n v="7"/>
    <n v="5080"/>
    <n v="6.5"/>
    <n v="33248.6"/>
    <s v="Completed"/>
    <s v="Chennai"/>
    <x v="3"/>
    <m/>
    <s v="Retail"/>
    <n v="28"/>
    <x v="1"/>
    <x v="2"/>
  </r>
  <r>
    <s v="ORD-00973"/>
    <d v="2024-02-17T00:00:00"/>
    <s v="CUST-0060"/>
    <s v="PROD-007"/>
    <x v="5"/>
    <n v="5"/>
    <n v="1430"/>
    <n v="19.8"/>
    <n v="5734.3"/>
    <s v="Completed"/>
    <s v="Pune"/>
    <x v="4"/>
    <m/>
    <s v="Retail"/>
    <n v="39"/>
    <x v="3"/>
    <x v="9"/>
  </r>
  <r>
    <s v="ORD-00974"/>
    <d v="2024-11-15T00:00:00"/>
    <s v="CUST-0017"/>
    <s v="PROD-037"/>
    <x v="23"/>
    <n v="7"/>
    <n v="660"/>
    <n v="17.3"/>
    <n v="3820.74"/>
    <s v="Completed"/>
    <s v="Delhi"/>
    <x v="3"/>
    <m/>
    <s v="SMB"/>
    <n v="38"/>
    <x v="2"/>
    <x v="5"/>
  </r>
  <r>
    <s v="ORD-00975"/>
    <d v="2024-08-01T00:00:00"/>
    <s v="CUST-0093"/>
    <s v="PROD-041"/>
    <x v="10"/>
    <n v="10"/>
    <n v="1540"/>
    <n v="17.5"/>
    <n v="12705"/>
    <s v="Completed"/>
    <s v="Pune"/>
    <x v="5"/>
    <m/>
    <s v="Retail"/>
    <n v="36"/>
    <x v="4"/>
    <x v="3"/>
  </r>
  <r>
    <s v="ORD-01662"/>
    <d v="2024-03-07T00:00:00"/>
    <s v="CUST-0068"/>
    <s v="PROD-029"/>
    <x v="11"/>
    <n v="10"/>
    <n v="2210"/>
    <n v="24.1"/>
    <n v="16773.900000000001"/>
    <s v="Pending"/>
    <s v="Delhi"/>
    <x v="2"/>
    <m/>
    <s v="SMB"/>
    <n v="48"/>
    <x v="0"/>
    <x v="0"/>
  </r>
  <r>
    <s v="ORD-00977"/>
    <d v="2024-08-15T00:00:00"/>
    <s v="CUST-0251"/>
    <s v="PROD-057"/>
    <x v="24"/>
    <n v="4"/>
    <n v="960"/>
    <n v="13.4"/>
    <n v="3325.44"/>
    <s v="Completed"/>
    <s v="Mumbai"/>
    <x v="1"/>
    <m/>
    <s v="Retail"/>
    <n v="44"/>
    <x v="0"/>
    <x v="0"/>
  </r>
  <r>
    <s v="ORD-00978"/>
    <d v="2024-12-02T00:00:00"/>
    <s v="CUST-0076"/>
    <s v="PROD-047"/>
    <x v="24"/>
    <n v="8"/>
    <n v="3450"/>
    <n v="3.7"/>
    <n v="26578.799999999999"/>
    <s v="Completed"/>
    <s v="Mumbai"/>
    <x v="5"/>
    <m/>
    <s v="Retail"/>
    <n v="38"/>
    <x v="3"/>
    <x v="6"/>
  </r>
  <r>
    <s v="ORD-00979"/>
    <d v="2024-07-08T00:00:00"/>
    <s v="CUST-9927"/>
    <s v="PROD-033"/>
    <x v="1"/>
    <n v="6"/>
    <n v="2030"/>
    <n v="9.5"/>
    <n v="11022.9"/>
    <s v="Completed"/>
    <s v="Mumbai"/>
    <x v="3"/>
    <m/>
    <e v="#N/A"/>
    <e v="#N/A"/>
    <x v="0"/>
    <x v="0"/>
  </r>
  <r>
    <s v="ORD-00980"/>
    <d v="2024-04-17T00:00:00"/>
    <s v="CUST-0135"/>
    <s v="PROD-011"/>
    <x v="18"/>
    <n v="7"/>
    <n v="3450"/>
    <n v="28.2"/>
    <n v="17339.7"/>
    <s v="Completed"/>
    <s v="Pune"/>
    <x v="0"/>
    <m/>
    <s v="SMB"/>
    <n v="24"/>
    <x v="1"/>
    <x v="11"/>
  </r>
  <r>
    <s v="ORD-00981"/>
    <d v="2024-08-27T00:00:00"/>
    <s v="CUST-0163"/>
    <s v="PROD-027"/>
    <x v="23"/>
    <n v="7"/>
    <n v="3780"/>
    <n v="15.1"/>
    <n v="22464.54"/>
    <s v="Completed"/>
    <s v="Pune"/>
    <x v="2"/>
    <m/>
    <s v="Retail"/>
    <n v="49"/>
    <x v="0"/>
    <x v="0"/>
  </r>
  <r>
    <s v="ORD-00947"/>
    <d v="2024-05-05T00:00:00"/>
    <s v="CUST-0107"/>
    <s v="PROD-021"/>
    <x v="25"/>
    <n v="4"/>
    <n v="2760"/>
    <n v="14.8"/>
    <n v="9406.08"/>
    <s v="Completed"/>
    <s v="Pune"/>
    <x v="2"/>
    <m/>
    <s v="Retail"/>
    <n v="50"/>
    <x v="0"/>
    <x v="0"/>
  </r>
  <r>
    <s v="ORD-00983"/>
    <d v="2024-02-05T00:00:00"/>
    <s v="CUST-0209"/>
    <s v="PROD-041"/>
    <x v="20"/>
    <n v="4"/>
    <n v="1540"/>
    <n v="13.9"/>
    <n v="5303.76"/>
    <s v="Completed"/>
    <s v="Pune"/>
    <x v="5"/>
    <m/>
    <s v="Retail"/>
    <n v="31"/>
    <x v="1"/>
    <x v="2"/>
  </r>
  <r>
    <s v="ORD-00984"/>
    <d v="2024-05-26T00:00:00"/>
    <s v="CUST-0074"/>
    <s v="PROD-031"/>
    <x v="0"/>
    <n v="2"/>
    <n v="3730"/>
    <n v="15.7"/>
    <n v="6288.78"/>
    <s v="Cancelled"/>
    <s v="Bengaluru"/>
    <x v="3"/>
    <m/>
    <s v="Retail"/>
    <n v="27"/>
    <x v="2"/>
    <x v="5"/>
  </r>
  <r>
    <s v="ORD-00985"/>
    <d v="2024-10-12T00:00:00"/>
    <s v="CUST-0037"/>
    <s v="PROD-031"/>
    <x v="28"/>
    <n v="4"/>
    <n v="3730"/>
    <n v="2.1"/>
    <n v="14606.68"/>
    <s v="Completed"/>
    <s v="Bengaluru"/>
    <x v="3"/>
    <m/>
    <s v="Retail"/>
    <n v="52"/>
    <x v="0"/>
    <x v="0"/>
  </r>
  <r>
    <s v="ORD-00986"/>
    <d v="2024-06-14T00:00:00"/>
    <s v="CUST-0026"/>
    <s v="PROD-012"/>
    <x v="22"/>
    <n v="1"/>
    <n v="3160"/>
    <n v="29.8"/>
    <n v="2218.3200000000002"/>
    <s v="Completed"/>
    <s v="Pune"/>
    <x v="0"/>
    <m/>
    <s v="Retail"/>
    <n v="62"/>
    <x v="0"/>
    <x v="0"/>
  </r>
  <r>
    <s v="ORD-00987"/>
    <d v="2024-09-09T00:00:00"/>
    <s v="CUST-0151"/>
    <s v="PROD-042"/>
    <x v="24"/>
    <n v="9"/>
    <n v="2290"/>
    <n v="8.3000000000000007"/>
    <n v="18899.37"/>
    <s v="Pending"/>
    <s v="Mumbai"/>
    <x v="5"/>
    <m/>
    <s v="Retail"/>
    <n v="53"/>
    <x v="0"/>
    <x v="0"/>
  </r>
  <r>
    <s v="ORD-00988"/>
    <d v="2024-12-06T00:00:00"/>
    <s v="CUST-0210"/>
    <s v="PROD-004"/>
    <x v="22"/>
    <n v="2"/>
    <n v="3870"/>
    <n v="5.2"/>
    <n v="7337.52"/>
    <s v="Completed"/>
    <s v="Pune"/>
    <x v="4"/>
    <m/>
    <s v="Corporate"/>
    <n v="48"/>
    <x v="0"/>
    <x v="0"/>
  </r>
  <r>
    <s v="ORD-00989"/>
    <d v="2024-06-22T00:00:00"/>
    <s v="CUST-0192"/>
    <s v="PROD-003"/>
    <x v="0"/>
    <n v="5"/>
    <n v="3570"/>
    <n v="19.899999999999999"/>
    <n v="14297.85"/>
    <s v="Completed"/>
    <s v="Bengaluru"/>
    <x v="4"/>
    <m/>
    <s v="Retail"/>
    <n v="55"/>
    <x v="0"/>
    <x v="0"/>
  </r>
  <r>
    <s v="ORD-00990"/>
    <d v="2024-02-20T00:00:00"/>
    <s v="CUST-0161"/>
    <s v="PROD-054"/>
    <x v="19"/>
    <n v="5"/>
    <n v="1010"/>
    <n v="2.2000000000000002"/>
    <n v="4938.8999999999996"/>
    <s v="Completed"/>
    <s v="Chennai"/>
    <x v="1"/>
    <m/>
    <s v="Retail"/>
    <n v="38"/>
    <x v="1"/>
    <x v="7"/>
  </r>
  <r>
    <s v="ORD-00991"/>
    <d v="2024-01-18T00:00:00"/>
    <s v="CUST-0255"/>
    <s v="PROD-042"/>
    <x v="10"/>
    <n v="10"/>
    <n v="2290"/>
    <n v="16.8"/>
    <n v="19052.8"/>
    <s v="Cancelled"/>
    <s v="Chennai"/>
    <x v="5"/>
    <m/>
    <s v="Corporate"/>
    <n v="51"/>
    <x v="0"/>
    <x v="0"/>
  </r>
  <r>
    <s v="ORD-00992"/>
    <d v="2024-07-20T00:00:00"/>
    <s v="CUST-0027"/>
    <s v="PROD-039"/>
    <x v="7"/>
    <n v="3"/>
    <n v="4610"/>
    <n v="13.2"/>
    <n v="12004.44"/>
    <s v="Pending"/>
    <s v="Hyderabad"/>
    <x v="3"/>
    <m/>
    <s v="Corporate"/>
    <n v="52"/>
    <x v="0"/>
    <x v="0"/>
  </r>
  <r>
    <s v="ORD-00993"/>
    <d v="2024-03-05T00:00:00"/>
    <s v="CUST-0228"/>
    <s v="PROD-017"/>
    <x v="11"/>
    <n v="1"/>
    <n v="2510"/>
    <n v="16.899999999999999"/>
    <n v="2085.81"/>
    <s v="Completed"/>
    <s v="Pune"/>
    <x v="0"/>
    <m/>
    <s v="Corporate"/>
    <n v="37"/>
    <x v="3"/>
    <x v="11"/>
  </r>
  <r>
    <s v="ORD-00994"/>
    <d v="2024-03-16T00:00:00"/>
    <s v="CUST-0183"/>
    <s v="PROD-045"/>
    <x v="18"/>
    <n v="1"/>
    <n v="3020"/>
    <n v="26.7"/>
    <n v="2213.66"/>
    <s v="Completed"/>
    <s v="Mumbai"/>
    <x v="5"/>
    <m/>
    <s v="SMB"/>
    <n v="27"/>
    <x v="1"/>
    <x v="10"/>
  </r>
  <r>
    <s v="ORD-00995"/>
    <d v="2024-01-22T00:00:00"/>
    <s v="CUST-0026"/>
    <s v="PROD-060"/>
    <x v="27"/>
    <n v="6"/>
    <n v="190"/>
    <n v="7.1"/>
    <n v="1059.06"/>
    <s v="Completed"/>
    <s v="Pune"/>
    <x v="1"/>
    <m/>
    <s v="Retail"/>
    <n v="62"/>
    <x v="0"/>
    <x v="0"/>
  </r>
  <r>
    <s v="ORD-00996"/>
    <d v="2024-08-25T00:00:00"/>
    <s v="CUST-0211"/>
    <s v="PROD-033"/>
    <x v="25"/>
    <n v="6"/>
    <n v="2030"/>
    <n v="13.5"/>
    <n v="10535.7"/>
    <s v="Cancelled"/>
    <s v="Bengaluru"/>
    <x v="3"/>
    <m/>
    <s v="Retail"/>
    <n v="36"/>
    <x v="4"/>
    <x v="12"/>
  </r>
  <r>
    <s v="ORD-00997"/>
    <d v="2024-09-12T00:00:00"/>
    <s v="CUST-0190"/>
    <s v="PROD-036"/>
    <x v="27"/>
    <n v="10"/>
    <n v="3250"/>
    <n v="8.6999999999999993"/>
    <n v="29672.5"/>
    <s v="Completed"/>
    <s v="Hyderabad"/>
    <x v="3"/>
    <m/>
    <s v="Retail"/>
    <n v="52"/>
    <x v="0"/>
    <x v="0"/>
  </r>
  <r>
    <s v="ORD-00998"/>
    <d v="2024-01-08T00:00:00"/>
    <s v="CUST-0172"/>
    <s v="PROD-033"/>
    <x v="20"/>
    <n v="9"/>
    <n v="2030"/>
    <n v="29.3"/>
    <n v="12916.89"/>
    <s v="Completed"/>
    <s v="Pune"/>
    <x v="3"/>
    <m/>
    <s v="Retail"/>
    <n v="65"/>
    <x v="0"/>
    <x v="0"/>
  </r>
  <r>
    <s v="ORD-00999"/>
    <d v="2024-03-29T00:00:00"/>
    <s v="CUST-0272"/>
    <s v="PROD-023"/>
    <x v="5"/>
    <n v="1"/>
    <n v="2380"/>
    <n v="12.9"/>
    <n v="2072.98"/>
    <s v="Completed"/>
    <s v="Mumbai"/>
    <x v="2"/>
    <m/>
    <s v="SMB"/>
    <n v="47"/>
    <x v="0"/>
    <x v="0"/>
  </r>
  <r>
    <s v="ORD-01000"/>
    <d v="2024-08-17T00:00:00"/>
    <s v="CUST-0232"/>
    <s v="PROD-011"/>
    <x v="6"/>
    <n v="10"/>
    <n v="3450"/>
    <n v="18.5"/>
    <n v="28117.5"/>
    <s v="Completed"/>
    <s v="Hyderabad"/>
    <x v="0"/>
    <m/>
    <s v="Retail"/>
    <n v="38"/>
    <x v="2"/>
    <x v="10"/>
  </r>
  <r>
    <s v="ORD-01001"/>
    <d v="2024-07-27T00:00:00"/>
    <s v="CUST-0282"/>
    <s v="PROD-012"/>
    <x v="25"/>
    <n v="10"/>
    <n v="3160"/>
    <n v="26.3"/>
    <n v="23289.200000000001"/>
    <s v="Completed"/>
    <s v="Hyderabad"/>
    <x v="0"/>
    <m/>
    <s v="Corporate"/>
    <n v="29"/>
    <x v="2"/>
    <x v="6"/>
  </r>
  <r>
    <s v="ORD-01002"/>
    <d v="2024-08-27T00:00:00"/>
    <s v="CUST-0164"/>
    <s v="PROD-038"/>
    <x v="17"/>
    <n v="10"/>
    <n v="5490"/>
    <n v="22.7"/>
    <n v="42437.7"/>
    <s v="Completed"/>
    <s v="Chennai"/>
    <x v="3"/>
    <m/>
    <s v="Retail"/>
    <n v="60"/>
    <x v="0"/>
    <x v="0"/>
  </r>
  <r>
    <s v="ORD-01003"/>
    <d v="2024-09-28T00:00:00"/>
    <s v="CUST-0212"/>
    <s v="PROD-055"/>
    <x v="3"/>
    <n v="8"/>
    <n v="2860"/>
    <n v="14.3"/>
    <n v="19608.16"/>
    <s v="Completed"/>
    <s v="Chennai"/>
    <x v="1"/>
    <m/>
    <s v="SMB"/>
    <n v="46"/>
    <x v="0"/>
    <x v="0"/>
  </r>
  <r>
    <s v="ORD-01004"/>
    <d v="2024-05-04T00:00:00"/>
    <s v="CUST-0234"/>
    <s v="PROD-049"/>
    <x v="23"/>
    <n v="1"/>
    <n v="960"/>
    <n v="11.9"/>
    <n v="845.76"/>
    <s v="Completed"/>
    <s v="Bengaluru"/>
    <x v="5"/>
    <m/>
    <s v="Retail"/>
    <n v="34"/>
    <x v="1"/>
    <x v="1"/>
  </r>
  <r>
    <s v="ORD-01005"/>
    <d v="2024-05-18T00:00:00"/>
    <s v="CUST-0292"/>
    <s v="PROD-040"/>
    <x v="0"/>
    <n v="3"/>
    <n v="1080"/>
    <n v="26"/>
    <n v="2397.6"/>
    <s v="Completed"/>
    <s v="Bengaluru"/>
    <x v="3"/>
    <m/>
    <s v="Retail"/>
    <n v="32"/>
    <x v="4"/>
    <x v="2"/>
  </r>
  <r>
    <s v="ORD-01006"/>
    <d v="2024-10-20T00:00:00"/>
    <s v="CUST-0018"/>
    <s v="PROD-055"/>
    <x v="19"/>
    <n v="10"/>
    <n v="2860"/>
    <n v="13.1"/>
    <n v="24853.4"/>
    <s v="Refunded"/>
    <s v="Pune"/>
    <x v="1"/>
    <m/>
    <s v="SMB"/>
    <n v="54"/>
    <x v="0"/>
    <x v="0"/>
  </r>
  <r>
    <s v="ORD-01007"/>
    <d v="2024-12-04T00:00:00"/>
    <s v="CUST-0220"/>
    <s v="PROD-013"/>
    <x v="19"/>
    <n v="3"/>
    <n v="3640"/>
    <n v="18.2"/>
    <n v="8932.56"/>
    <s v="Completed"/>
    <s v="Chennai"/>
    <x v="0"/>
    <m/>
    <s v="Retail"/>
    <n v="34"/>
    <x v="1"/>
    <x v="9"/>
  </r>
  <r>
    <s v="ORD-01008"/>
    <d v="2024-04-23T00:00:00"/>
    <s v="CUST-0064"/>
    <s v="PROD-015"/>
    <x v="26"/>
    <n v="3"/>
    <n v="2720"/>
    <n v="3.6"/>
    <n v="7866.24"/>
    <s v="Completed"/>
    <s v="Hyderabad"/>
    <x v="0"/>
    <m/>
    <s v="SMB"/>
    <n v="40"/>
    <x v="1"/>
    <x v="8"/>
  </r>
  <r>
    <s v="ORD-01009"/>
    <d v="2024-12-04T00:00:00"/>
    <s v="CUST-0077"/>
    <s v="PROD-024"/>
    <x v="4"/>
    <n v="4"/>
    <n v="2270"/>
    <n v="18.399999999999999"/>
    <n v="7409.28"/>
    <s v="Completed"/>
    <s v="Hyderabad"/>
    <x v="2"/>
    <m/>
    <s v="SMB"/>
    <n v="48"/>
    <x v="0"/>
    <x v="0"/>
  </r>
  <r>
    <s v="ORD-01010"/>
    <d v="2024-07-10T00:00:00"/>
    <s v="CUST-0229"/>
    <s v="PROD-009"/>
    <x v="20"/>
    <n v="5"/>
    <n v="1220"/>
    <n v="13.9"/>
    <n v="5252.1"/>
    <s v="Completed"/>
    <s v="Hyderabad"/>
    <x v="4"/>
    <m/>
    <s v="SMB"/>
    <n v="25"/>
    <x v="1"/>
    <x v="8"/>
  </r>
  <r>
    <s v="ORD-01011"/>
    <d v="2024-08-26T00:00:00"/>
    <s v="CUST-0129"/>
    <s v="PROD-010"/>
    <x v="15"/>
    <n v="8"/>
    <n v="2640"/>
    <n v="17.3"/>
    <n v="17466.240000000002"/>
    <s v="Completed"/>
    <s v="Hyderabad"/>
    <x v="4"/>
    <m/>
    <s v="Retail"/>
    <n v="29"/>
    <x v="2"/>
    <x v="11"/>
  </r>
  <r>
    <s v="ORD-01012"/>
    <d v="2024-07-27T00:00:00"/>
    <s v="CUST-0145"/>
    <s v="PROD-030"/>
    <x v="15"/>
    <n v="1"/>
    <n v="970"/>
    <n v="28"/>
    <n v="698.4"/>
    <s v="Cancelled"/>
    <s v="Bengaluru"/>
    <x v="2"/>
    <m/>
    <s v="SMB"/>
    <n v="44"/>
    <x v="0"/>
    <x v="0"/>
  </r>
  <r>
    <s v="ORD-01013"/>
    <d v="2024-03-07T00:00:00"/>
    <s v="CUST-0258"/>
    <s v="PROD-031"/>
    <x v="5"/>
    <n v="8"/>
    <n v="3730"/>
    <n v="2.1"/>
    <n v="29213.360000000001"/>
    <s v="Refunded"/>
    <s v="Pune"/>
    <x v="3"/>
    <m/>
    <s v="Retail"/>
    <n v="44"/>
    <x v="0"/>
    <x v="0"/>
  </r>
  <r>
    <s v="ORD-01014"/>
    <d v="2024-11-02T00:00:00"/>
    <s v="CUST-0209"/>
    <s v="PROD-030"/>
    <x v="6"/>
    <n v="7"/>
    <n v="970"/>
    <n v="25.5"/>
    <n v="5058.55"/>
    <s v="Completed"/>
    <s v="Pune"/>
    <x v="2"/>
    <m/>
    <s v="Retail"/>
    <n v="31"/>
    <x v="2"/>
    <x v="10"/>
  </r>
  <r>
    <s v="ORD-01015"/>
    <d v="2024-01-27T00:00:00"/>
    <s v="CUST-0131"/>
    <s v="PROD-003"/>
    <x v="24"/>
    <n v="6"/>
    <n v="3570"/>
    <n v="9.9"/>
    <n v="19299.419999999998"/>
    <s v="Completed"/>
    <s v="Delhi"/>
    <x v="4"/>
    <m/>
    <s v="SMB"/>
    <n v="28"/>
    <x v="2"/>
    <x v="3"/>
  </r>
  <r>
    <s v="ORD-01016"/>
    <d v="2024-08-20T00:00:00"/>
    <s v="CUST-0276"/>
    <s v="PROD-030"/>
    <x v="29"/>
    <n v="6"/>
    <n v="970"/>
    <n v="19.600000000000001"/>
    <n v="4679.28"/>
    <s v="Completed"/>
    <s v="Chennai"/>
    <x v="2"/>
    <m/>
    <s v="Retail"/>
    <n v="26"/>
    <x v="3"/>
    <x v="12"/>
  </r>
  <r>
    <s v="ORD-01017"/>
    <d v="2024-09-19T00:00:00"/>
    <s v="CUST-0283"/>
    <s v="PROD-059"/>
    <x v="23"/>
    <n v="8"/>
    <n v="3780"/>
    <n v="26.5"/>
    <n v="22226.400000000001"/>
    <s v="Completed"/>
    <s v="Delhi"/>
    <x v="1"/>
    <m/>
    <s v="SMB"/>
    <n v="50"/>
    <x v="0"/>
    <x v="0"/>
  </r>
  <r>
    <s v="ORD-01018"/>
    <d v="2024-08-24T00:00:00"/>
    <s v="CUST-0195"/>
    <s v="PROD-058"/>
    <x v="23"/>
    <n v="6"/>
    <n v="2400"/>
    <n v="1.4"/>
    <n v="14198.4"/>
    <s v="Completed"/>
    <s v="Bengaluru"/>
    <x v="1"/>
    <m/>
    <s v="Retail"/>
    <n v="28"/>
    <x v="4"/>
    <x v="1"/>
  </r>
  <r>
    <s v="ORD-01019"/>
    <d v="2024-07-13T00:00:00"/>
    <s v="CUST-0181"/>
    <s v="PROD-036"/>
    <x v="13"/>
    <n v="10"/>
    <n v="3250"/>
    <n v="19.3"/>
    <n v="26227.5"/>
    <s v="Completed"/>
    <s v="Delhi"/>
    <x v="3"/>
    <m/>
    <s v="SMB"/>
    <n v="38"/>
    <x v="4"/>
    <x v="6"/>
  </r>
  <r>
    <s v="ORD-01020"/>
    <d v="2024-02-14T00:00:00"/>
    <s v="CUST-0149"/>
    <s v="PROD-021"/>
    <x v="2"/>
    <n v="7"/>
    <n v="2760"/>
    <n v="23.6"/>
    <n v="14760.48"/>
    <s v="Pending"/>
    <s v="Hyderabad"/>
    <x v="2"/>
    <m/>
    <s v="Retail"/>
    <n v="44"/>
    <x v="0"/>
    <x v="0"/>
  </r>
  <r>
    <s v="ORD-01021"/>
    <d v="2024-06-20T00:00:00"/>
    <s v="CUST-0152"/>
    <s v="PROD-003"/>
    <x v="19"/>
    <n v="3"/>
    <n v="3570"/>
    <n v="26.3"/>
    <n v="7893.27"/>
    <s v="Completed"/>
    <s v="Bengaluru"/>
    <x v="4"/>
    <m/>
    <s v="SMB"/>
    <n v="64"/>
    <x v="0"/>
    <x v="0"/>
  </r>
  <r>
    <s v="ORD-01022"/>
    <d v="2024-04-10T00:00:00"/>
    <s v="CUST-0085"/>
    <s v="PROD-027"/>
    <x v="15"/>
    <n v="4"/>
    <n v="3780"/>
    <n v="10.1"/>
    <n v="13592.88"/>
    <s v="Completed"/>
    <s v="Chennai"/>
    <x v="2"/>
    <m/>
    <s v="Retail"/>
    <n v="26"/>
    <x v="1"/>
    <x v="7"/>
  </r>
  <r>
    <s v="ORD-01023"/>
    <d v="2024-11-04T00:00:00"/>
    <s v="CUST-0231"/>
    <s v="PROD-007"/>
    <x v="7"/>
    <n v="10"/>
    <n v="1430"/>
    <n v="3.7"/>
    <n v="13770.9"/>
    <s v="Completed"/>
    <s v="Chennai"/>
    <x v="4"/>
    <m/>
    <s v="Retail"/>
    <n v="61"/>
    <x v="0"/>
    <x v="0"/>
  </r>
  <r>
    <s v="ORD-01024"/>
    <d v="2024-04-29T00:00:00"/>
    <s v="CUST-0044"/>
    <s v="PROD-022"/>
    <x v="23"/>
    <n v="6"/>
    <n v="2270"/>
    <n v="7.9"/>
    <n v="12544.02"/>
    <s v="Refunded"/>
    <s v="Hyderabad"/>
    <x v="2"/>
    <m/>
    <s v="SMB"/>
    <n v="29"/>
    <x v="3"/>
    <x v="3"/>
  </r>
  <r>
    <s v="ORD-01025"/>
    <d v="2024-04-24T00:00:00"/>
    <s v="CUST-0027"/>
    <s v="PROD-054"/>
    <x v="22"/>
    <n v="1"/>
    <n v="1010"/>
    <n v="6.9"/>
    <n v="940.31"/>
    <s v="Pending"/>
    <s v="Hyderabad"/>
    <x v="1"/>
    <m/>
    <s v="Corporate"/>
    <n v="52"/>
    <x v="0"/>
    <x v="0"/>
  </r>
  <r>
    <s v="ORD-01026"/>
    <d v="2024-04-29T00:00:00"/>
    <s v="CUST-0101"/>
    <s v="PROD-055"/>
    <x v="2"/>
    <n v="2"/>
    <n v="2860"/>
    <n v="20.100000000000001"/>
    <n v="4570.28"/>
    <s v="Completed"/>
    <s v="Hyderabad"/>
    <x v="1"/>
    <m/>
    <s v="SMB"/>
    <n v="40"/>
    <x v="4"/>
    <x v="4"/>
  </r>
  <r>
    <s v="ORD-01027"/>
    <d v="2024-06-18T00:00:00"/>
    <s v="CUST-0123"/>
    <s v="PROD-002"/>
    <x v="7"/>
    <n v="9"/>
    <n v="2600"/>
    <n v="15.9"/>
    <n v="19679.400000000001"/>
    <s v="Cancelled"/>
    <s v="Chennai"/>
    <x v="4"/>
    <m/>
    <s v="Corporate"/>
    <n v="44"/>
    <x v="0"/>
    <x v="0"/>
  </r>
  <r>
    <s v="ORD-01028"/>
    <d v="2024-04-27T00:00:00"/>
    <s v="CUST-0124"/>
    <s v="PROD-053"/>
    <x v="6"/>
    <n v="10"/>
    <n v="470"/>
    <n v="23.1"/>
    <n v="3614.3"/>
    <s v="Pending"/>
    <s v="Pune"/>
    <x v="1"/>
    <m/>
    <s v="Retail"/>
    <n v="57"/>
    <x v="0"/>
    <x v="0"/>
  </r>
  <r>
    <s v="ORD-01029"/>
    <d v="2024-07-22T00:00:00"/>
    <s v="CUST-0159"/>
    <s v="PROD-037"/>
    <x v="22"/>
    <n v="10"/>
    <n v="660"/>
    <n v="9.4"/>
    <n v="5979.6"/>
    <s v="Completed"/>
    <s v="Hyderabad"/>
    <x v="3"/>
    <m/>
    <s v="Retail"/>
    <n v="32"/>
    <x v="2"/>
    <x v="4"/>
  </r>
  <r>
    <s v="ORD-01030"/>
    <d v="2024-01-16T00:00:00"/>
    <s v="CUST-0087"/>
    <s v="PROD-009"/>
    <x v="12"/>
    <n v="5"/>
    <n v="1220"/>
    <n v="23.3"/>
    <n v="4678.7"/>
    <s v="Completed"/>
    <s v="Pune"/>
    <x v="4"/>
    <m/>
    <s v="SMB"/>
    <n v="49"/>
    <x v="0"/>
    <x v="0"/>
  </r>
  <r>
    <s v="ORD-01031"/>
    <d v="2024-01-03T00:00:00"/>
    <s v="CUST-0295"/>
    <s v="PROD-036"/>
    <x v="23"/>
    <n v="9"/>
    <n v="3250"/>
    <n v="19.600000000000001"/>
    <n v="23517"/>
    <s v="Pending"/>
    <s v="Delhi"/>
    <x v="3"/>
    <m/>
    <s v="SMB"/>
    <n v="48"/>
    <x v="0"/>
    <x v="0"/>
  </r>
  <r>
    <s v="ORD-01032"/>
    <d v="2024-09-07T00:00:00"/>
    <s v="CUST-0211"/>
    <s v="PROD-016"/>
    <x v="26"/>
    <n v="7"/>
    <n v="620"/>
    <n v="29"/>
    <n v="3081.4"/>
    <s v="Completed"/>
    <s v="Bengaluru"/>
    <x v="0"/>
    <m/>
    <s v="Retail"/>
    <n v="36"/>
    <x v="4"/>
    <x v="12"/>
  </r>
  <r>
    <s v="ORD-01033"/>
    <d v="2024-06-10T00:00:00"/>
    <s v="CUST-0265"/>
    <s v="PROD-026"/>
    <x v="3"/>
    <n v="9"/>
    <n v="4070"/>
    <n v="16.2"/>
    <n v="30695.94"/>
    <s v="Completed"/>
    <s v="Chennai"/>
    <x v="2"/>
    <m/>
    <s v="Retail"/>
    <n v="49"/>
    <x v="0"/>
    <x v="0"/>
  </r>
  <r>
    <s v="ORD-01034"/>
    <d v="2024-02-29T00:00:00"/>
    <s v="CUST-0252"/>
    <s v="PROD-012"/>
    <x v="0"/>
    <n v="8"/>
    <n v="3160"/>
    <n v="23.8"/>
    <n v="19263.36"/>
    <s v="Completed"/>
    <s v="Bengaluru"/>
    <x v="0"/>
    <m/>
    <s v="Retail"/>
    <n v="27"/>
    <x v="1"/>
    <x v="7"/>
  </r>
  <r>
    <s v="ORD-01035"/>
    <d v="2024-05-10T00:00:00"/>
    <s v="CUST-0180"/>
    <s v="PROD-029"/>
    <x v="24"/>
    <n v="3"/>
    <n v="2210"/>
    <n v="29.7"/>
    <n v="4660.8900000000003"/>
    <s v="Completed"/>
    <s v="Chennai"/>
    <x v="2"/>
    <m/>
    <s v="Retail"/>
    <n v="36"/>
    <x v="1"/>
    <x v="5"/>
  </r>
  <r>
    <s v="ORD-01036"/>
    <d v="2024-03-10T00:00:00"/>
    <s v="CUST-0231"/>
    <s v="PROD-053"/>
    <x v="5"/>
    <n v="9"/>
    <n v="470"/>
    <n v="27.1"/>
    <n v="3083.67"/>
    <s v="Completed"/>
    <s v="Chennai"/>
    <x v="1"/>
    <m/>
    <s v="Retail"/>
    <n v="61"/>
    <x v="0"/>
    <x v="0"/>
  </r>
  <r>
    <s v="ORD-01037"/>
    <d v="2024-11-26T00:00:00"/>
    <s v="CUST-0161"/>
    <s v="PROD-032"/>
    <x v="16"/>
    <n v="6"/>
    <n v="370"/>
    <n v="5.4"/>
    <n v="2100.12"/>
    <s v="Completed"/>
    <s v="Chennai"/>
    <x v="3"/>
    <m/>
    <s v="Retail"/>
    <n v="38"/>
    <x v="2"/>
    <x v="10"/>
  </r>
  <r>
    <s v="ORD-01038"/>
    <d v="2024-07-23T00:00:00"/>
    <s v="CUST-0249"/>
    <s v="PROD-059"/>
    <x v="26"/>
    <n v="10"/>
    <n v="3780"/>
    <n v="21.5"/>
    <n v="29673"/>
    <s v="Pending"/>
    <s v="Mumbai"/>
    <x v="1"/>
    <m/>
    <s v="Retail"/>
    <n v="44"/>
    <x v="0"/>
    <x v="0"/>
  </r>
  <r>
    <s v="ORD-01039"/>
    <d v="2024-10-13T00:00:00"/>
    <s v="CUST-0048"/>
    <s v="PROD-056"/>
    <x v="18"/>
    <n v="4"/>
    <n v="6940"/>
    <n v="3.9"/>
    <n v="26677.360000000001"/>
    <s v="Cancelled"/>
    <s v="Delhi"/>
    <x v="1"/>
    <m/>
    <s v="Retail"/>
    <n v="59"/>
    <x v="0"/>
    <x v="0"/>
  </r>
  <r>
    <s v="ORD-01040"/>
    <d v="2024-07-03T00:00:00"/>
    <s v="CUST-0068"/>
    <s v="PROD-031"/>
    <x v="24"/>
    <n v="3"/>
    <n v="3730"/>
    <n v="20.7"/>
    <n v="8873.67"/>
    <s v="Completed"/>
    <s v="Delhi"/>
    <x v="3"/>
    <m/>
    <s v="SMB"/>
    <n v="48"/>
    <x v="0"/>
    <x v="0"/>
  </r>
  <r>
    <s v="ORD-01041"/>
    <d v="2024-01-09T00:00:00"/>
    <s v="CUST-0213"/>
    <s v="PROD-034"/>
    <x v="5"/>
    <n v="8"/>
    <n v="5080"/>
    <n v="6.2"/>
    <n v="38120.32"/>
    <s v="Completed"/>
    <s v="Mumbai"/>
    <x v="3"/>
    <m/>
    <s v="Retail"/>
    <n v="37"/>
    <x v="3"/>
    <x v="11"/>
  </r>
  <r>
    <s v="ORD-01042"/>
    <d v="2024-06-12T00:00:00"/>
    <s v="CUST-0159"/>
    <s v="PROD-052"/>
    <x v="19"/>
    <n v="5"/>
    <n v="5410"/>
    <n v="5.2"/>
    <n v="25643.4"/>
    <s v="Completed"/>
    <s v="Hyderabad"/>
    <x v="1"/>
    <m/>
    <s v="Retail"/>
    <n v="32"/>
    <x v="2"/>
    <x v="12"/>
  </r>
  <r>
    <s v="ORD-01043"/>
    <d v="2024-04-22T00:00:00"/>
    <s v="CUST-0298"/>
    <s v="PROD-015"/>
    <x v="17"/>
    <n v="6"/>
    <n v="2720"/>
    <n v="29.8"/>
    <n v="11456.64"/>
    <s v="Pending"/>
    <s v="Delhi"/>
    <x v="0"/>
    <m/>
    <s v="Retail"/>
    <n v="44"/>
    <x v="0"/>
    <x v="0"/>
  </r>
  <r>
    <s v="ORD-01044"/>
    <d v="2024-06-25T00:00:00"/>
    <s v="CUST-0145"/>
    <s v="PROD-009"/>
    <x v="9"/>
    <n v="1"/>
    <n v="1220"/>
    <n v="22.6"/>
    <n v="944.28"/>
    <s v="Completed"/>
    <s v="Bengaluru"/>
    <x v="4"/>
    <m/>
    <s v="SMB"/>
    <n v="44"/>
    <x v="0"/>
    <x v="0"/>
  </r>
  <r>
    <s v="ORD-01045"/>
    <d v="2024-12-14T00:00:00"/>
    <s v="CUST-0015"/>
    <s v="PROD-046"/>
    <x v="4"/>
    <n v="10"/>
    <n v="4880"/>
    <n v="7.3"/>
    <n v="45237.599999999999"/>
    <s v="Completed"/>
    <s v="Chennai"/>
    <x v="5"/>
    <m/>
    <s v="Retail"/>
    <n v="31"/>
    <x v="4"/>
    <x v="7"/>
  </r>
  <r>
    <s v="ORD-01046"/>
    <d v="2024-06-07T00:00:00"/>
    <s v="CUST-0054"/>
    <s v="PROD-022"/>
    <x v="13"/>
    <n v="10"/>
    <n v="2270"/>
    <n v="1.6"/>
    <n v="22336.799999999999"/>
    <s v="Completed"/>
    <s v="Mumbai"/>
    <x v="2"/>
    <m/>
    <s v="Corporate"/>
    <n v="62"/>
    <x v="0"/>
    <x v="0"/>
  </r>
  <r>
    <s v="ORD-01047"/>
    <d v="2024-10-24T00:00:00"/>
    <s v="CUST-0150"/>
    <s v="PROD-030"/>
    <x v="11"/>
    <n v="8"/>
    <n v="970"/>
    <n v="13.1"/>
    <n v="6743.44"/>
    <s v="Completed"/>
    <s v="Pune"/>
    <x v="2"/>
    <m/>
    <s v="SMB"/>
    <n v="53"/>
    <x v="0"/>
    <x v="0"/>
  </r>
  <r>
    <s v="ORD-01048"/>
    <d v="2024-12-20T00:00:00"/>
    <s v="CUST-0096"/>
    <s v="PROD-023"/>
    <x v="27"/>
    <n v="7"/>
    <n v="2380"/>
    <n v="10.6"/>
    <n v="14894.04"/>
    <s v="Cancelled"/>
    <s v="Delhi"/>
    <x v="2"/>
    <m/>
    <s v="Corporate"/>
    <n v="27"/>
    <x v="1"/>
    <x v="9"/>
  </r>
  <r>
    <s v="ORD-01049"/>
    <d v="2024-07-15T00:00:00"/>
    <s v="CUST-0288"/>
    <s v="PROD-014"/>
    <x v="29"/>
    <n v="6"/>
    <n v="3620"/>
    <n v="21.3"/>
    <n v="17093.64"/>
    <s v="Cancelled"/>
    <s v="Hyderabad"/>
    <x v="0"/>
    <m/>
    <s v="Corporate"/>
    <n v="25"/>
    <x v="4"/>
    <x v="8"/>
  </r>
  <r>
    <s v="ORD-01050"/>
    <d v="2024-09-20T00:00:00"/>
    <s v="CUST-0048"/>
    <s v="PROD-026"/>
    <x v="28"/>
    <n v="3"/>
    <n v="4070"/>
    <n v="8.1999999999999993"/>
    <n v="11208.78"/>
    <s v="Cancelled"/>
    <s v="Delhi"/>
    <x v="2"/>
    <m/>
    <s v="Retail"/>
    <n v="59"/>
    <x v="0"/>
    <x v="0"/>
  </r>
  <r>
    <s v="ORD-01051"/>
    <d v="2024-10-13T00:00:00"/>
    <s v="CUST-0104"/>
    <s v="PROD-048"/>
    <x v="17"/>
    <n v="8"/>
    <n v="5100"/>
    <n v="26.9"/>
    <n v="29824.799999999999"/>
    <s v="Completed"/>
    <s v="Hyderabad"/>
    <x v="5"/>
    <m/>
    <s v="Corporate"/>
    <n v="43"/>
    <x v="0"/>
    <x v="0"/>
  </r>
  <r>
    <s v="ORD-01052"/>
    <d v="2024-01-05T00:00:00"/>
    <s v="CUST-0054"/>
    <s v="PROD-045"/>
    <x v="21"/>
    <n v="3"/>
    <n v="3020"/>
    <n v="18.5"/>
    <n v="7383.9"/>
    <s v="Cancelled"/>
    <s v="Mumbai"/>
    <x v="5"/>
    <m/>
    <s v="Corporate"/>
    <n v="62"/>
    <x v="0"/>
    <x v="0"/>
  </r>
  <r>
    <s v="ORD-01053"/>
    <d v="2024-09-29T00:00:00"/>
    <s v="CUST-0158"/>
    <s v="PROD-049"/>
    <x v="25"/>
    <n v="8"/>
    <n v="960"/>
    <n v="7.1"/>
    <n v="7134.72"/>
    <s v="Completed"/>
    <s v="Pune"/>
    <x v="5"/>
    <m/>
    <s v="Corporate"/>
    <n v="42"/>
    <x v="0"/>
    <x v="0"/>
  </r>
  <r>
    <s v="ORD-01054"/>
    <d v="2024-04-01T00:00:00"/>
    <s v="CUST-0231"/>
    <s v="PROD-034"/>
    <x v="15"/>
    <n v="8"/>
    <n v="5080"/>
    <n v="6.2"/>
    <n v="38120.32"/>
    <s v="Completed"/>
    <s v="Chennai"/>
    <x v="3"/>
    <m/>
    <s v="Retail"/>
    <n v="61"/>
    <x v="0"/>
    <x v="0"/>
  </r>
  <r>
    <s v="ORD-01055"/>
    <d v="2024-05-24T00:00:00"/>
    <s v="CUST-0277"/>
    <s v="PROD-050"/>
    <x v="9"/>
    <n v="6"/>
    <n v="6080"/>
    <n v="25.8"/>
    <n v="27068.16"/>
    <s v="Completed"/>
    <s v="Chennai"/>
    <x v="5"/>
    <m/>
    <s v="Corporate"/>
    <n v="34"/>
    <x v="4"/>
    <x v="4"/>
  </r>
  <r>
    <s v="ORD-01056"/>
    <d v="2024-09-09T00:00:00"/>
    <s v="CUST-0232"/>
    <s v="PROD-041"/>
    <x v="9"/>
    <n v="5"/>
    <n v="1540"/>
    <n v="24.6"/>
    <n v="5805.8"/>
    <s v="Completed"/>
    <s v="Hyderabad"/>
    <x v="5"/>
    <m/>
    <s v="Retail"/>
    <n v="38"/>
    <x v="4"/>
    <x v="2"/>
  </r>
  <r>
    <s v="ORD-01057"/>
    <d v="2024-04-22T00:00:00"/>
    <s v="CUST-0074"/>
    <s v="PROD-054"/>
    <x v="6"/>
    <n v="4"/>
    <n v="1010"/>
    <n v="2.9"/>
    <n v="3922.84"/>
    <s v="Pending"/>
    <s v="Bengaluru"/>
    <x v="1"/>
    <m/>
    <s v="Retail"/>
    <n v="27"/>
    <x v="4"/>
    <x v="1"/>
  </r>
  <r>
    <s v="ORD-01058"/>
    <d v="2024-10-21T00:00:00"/>
    <s v="CUST-0068"/>
    <s v="PROD-049"/>
    <x v="17"/>
    <n v="5"/>
    <n v="960"/>
    <n v="11.4"/>
    <n v="4252.8"/>
    <s v="Completed"/>
    <s v="Delhi"/>
    <x v="5"/>
    <m/>
    <s v="SMB"/>
    <n v="48"/>
    <x v="0"/>
    <x v="0"/>
  </r>
  <r>
    <s v="ORD-01059"/>
    <d v="2024-08-20T00:00:00"/>
    <s v="CUST-0152"/>
    <s v="PROD-041"/>
    <x v="9"/>
    <n v="1"/>
    <n v="1540"/>
    <n v="5.6"/>
    <n v="1453.76"/>
    <s v="Completed"/>
    <s v="Bengaluru"/>
    <x v="5"/>
    <m/>
    <s v="SMB"/>
    <n v="64"/>
    <x v="0"/>
    <x v="0"/>
  </r>
  <r>
    <s v="ORD-01060"/>
    <d v="2024-04-15T00:00:00"/>
    <s v="CUST-0046"/>
    <s v="PROD-043"/>
    <x v="7"/>
    <n v="9"/>
    <n v="3350"/>
    <n v="2.1"/>
    <n v="29516.85"/>
    <s v="Completed"/>
    <s v="Delhi"/>
    <x v="5"/>
    <m/>
    <s v="SMB"/>
    <n v="45"/>
    <x v="0"/>
    <x v="0"/>
  </r>
  <r>
    <s v="ORD-01061"/>
    <d v="2024-02-14T00:00:00"/>
    <s v="CUST-0201"/>
    <s v="PROD-051"/>
    <x v="13"/>
    <n v="7"/>
    <n v="3450"/>
    <n v="4.7"/>
    <n v="23014.95"/>
    <s v="Completed"/>
    <s v="Hyderabad"/>
    <x v="1"/>
    <m/>
    <s v="Retail"/>
    <n v="31"/>
    <x v="3"/>
    <x v="4"/>
  </r>
  <r>
    <s v="ORD-01062"/>
    <d v="2024-10-29T00:00:00"/>
    <s v="CUST-0191"/>
    <s v="PROD-057"/>
    <x v="7"/>
    <n v="10"/>
    <n v="960"/>
    <n v="17.899999999999999"/>
    <n v="7881.6"/>
    <s v="Completed"/>
    <s v="Hyderabad"/>
    <x v="1"/>
    <m/>
    <s v="SMB"/>
    <n v="43"/>
    <x v="0"/>
    <x v="0"/>
  </r>
  <r>
    <s v="ORD-01063"/>
    <d v="2024-11-21T00:00:00"/>
    <s v="CUST-0192"/>
    <s v="PROD-013"/>
    <x v="2"/>
    <n v="1"/>
    <n v="3640"/>
    <n v="8.8000000000000007"/>
    <n v="3319.68"/>
    <s v="Completed"/>
    <s v="Bengaluru"/>
    <x v="0"/>
    <m/>
    <s v="Retail"/>
    <n v="55"/>
    <x v="0"/>
    <x v="0"/>
  </r>
  <r>
    <s v="ORD-01064"/>
    <d v="2024-03-27T00:00:00"/>
    <s v="CUST-0074"/>
    <s v="PROD-029"/>
    <x v="21"/>
    <n v="1"/>
    <n v="2210"/>
    <n v="10.7"/>
    <n v="1973.53"/>
    <s v="Completed"/>
    <s v="Bengaluru"/>
    <x v="2"/>
    <m/>
    <s v="Retail"/>
    <n v="27"/>
    <x v="4"/>
    <x v="3"/>
  </r>
  <r>
    <s v="ORD-01065"/>
    <d v="2024-01-27T00:00:00"/>
    <s v="CUST-0071"/>
    <s v="PROD-031"/>
    <x v="1"/>
    <n v="2"/>
    <n v="3730"/>
    <n v="13.9"/>
    <n v="6423.06"/>
    <s v="Completed"/>
    <s v="Delhi"/>
    <x v="3"/>
    <m/>
    <s v="Corporate"/>
    <n v="46"/>
    <x v="0"/>
    <x v="0"/>
  </r>
  <r>
    <s v="ORD-01066"/>
    <d v="2024-09-07T00:00:00"/>
    <s v="CUST-0210"/>
    <s v="PROD-052"/>
    <x v="9"/>
    <n v="7"/>
    <n v="5410"/>
    <n v="23.6"/>
    <n v="28932.68"/>
    <s v="Completed"/>
    <s v="Pune"/>
    <x v="1"/>
    <m/>
    <s v="Corporate"/>
    <n v="48"/>
    <x v="0"/>
    <x v="0"/>
  </r>
  <r>
    <s v="ORD-01067"/>
    <d v="2024-11-22T00:00:00"/>
    <s v="CUST-0054"/>
    <s v="PROD-027"/>
    <x v="26"/>
    <n v="7"/>
    <n v="3780"/>
    <n v="8.5"/>
    <n v="24210.9"/>
    <s v="Cancelled"/>
    <s v="Mumbai"/>
    <x v="2"/>
    <m/>
    <s v="Corporate"/>
    <n v="62"/>
    <x v="0"/>
    <x v="0"/>
  </r>
  <r>
    <s v="ORD-01068"/>
    <d v="2024-09-20T00:00:00"/>
    <s v="CUST-0194"/>
    <s v="PROD-039"/>
    <x v="29"/>
    <n v="9"/>
    <n v="4610"/>
    <n v="26.6"/>
    <n v="30453.66"/>
    <s v="Completed"/>
    <s v="Delhi"/>
    <x v="3"/>
    <m/>
    <s v="SMB"/>
    <n v="55"/>
    <x v="0"/>
    <x v="0"/>
  </r>
  <r>
    <s v="ORD-01069"/>
    <d v="2024-03-22T00:00:00"/>
    <s v="CUST-0231"/>
    <s v="PROD-010"/>
    <x v="5"/>
    <n v="5"/>
    <n v="2640"/>
    <n v="1.5"/>
    <n v="13002"/>
    <s v="Completed"/>
    <s v="Chennai"/>
    <x v="4"/>
    <m/>
    <s v="Retail"/>
    <n v="61"/>
    <x v="0"/>
    <x v="0"/>
  </r>
  <r>
    <s v="ORD-01070"/>
    <d v="2024-08-11T00:00:00"/>
    <s v="CUST-0053"/>
    <s v="PROD-014"/>
    <x v="9"/>
    <n v="3"/>
    <n v="3620"/>
    <n v="3.1"/>
    <n v="10523.34"/>
    <s v="Completed"/>
    <s v="Delhi"/>
    <x v="0"/>
    <m/>
    <s v="Retail"/>
    <n v="53"/>
    <x v="0"/>
    <x v="0"/>
  </r>
  <r>
    <s v="ORD-01071"/>
    <d v="2024-08-26T00:00:00"/>
    <s v="CUST-0290"/>
    <s v="PROD-053"/>
    <x v="26"/>
    <n v="5"/>
    <n v="470"/>
    <n v="10.6"/>
    <n v="2100.9"/>
    <s v="Cancelled"/>
    <s v="Delhi"/>
    <x v="1"/>
    <m/>
    <s v="Retail"/>
    <n v="63"/>
    <x v="0"/>
    <x v="0"/>
  </r>
  <r>
    <s v="ORD-01072"/>
    <d v="2024-06-20T00:00:00"/>
    <s v="CUST-0261"/>
    <s v="PROD-001"/>
    <x v="18"/>
    <n v="7"/>
    <n v="5330"/>
    <n v="25"/>
    <n v="27982.5"/>
    <s v="Cancelled"/>
    <s v="Delhi"/>
    <x v="4"/>
    <m/>
    <s v="Retail"/>
    <n v="54"/>
    <x v="0"/>
    <x v="0"/>
  </r>
  <r>
    <s v="ORD-01073"/>
    <d v="2024-01-01T00:00:00"/>
    <s v="CUST-0045"/>
    <s v="PROD-050"/>
    <x v="2"/>
    <n v="1"/>
    <n v="6080"/>
    <n v="27.8"/>
    <n v="4389.76"/>
    <s v="Completed"/>
    <s v="Chennai"/>
    <x v="5"/>
    <m/>
    <s v="SMB"/>
    <n v="39"/>
    <x v="4"/>
    <x v="7"/>
  </r>
  <r>
    <s v="ORD-01074"/>
    <d v="2024-02-25T00:00:00"/>
    <s v="CUST-0064"/>
    <s v="PROD-043"/>
    <x v="6"/>
    <n v="6"/>
    <n v="3350"/>
    <n v="12"/>
    <n v="17688"/>
    <s v="Completed"/>
    <s v="Hyderabad"/>
    <x v="5"/>
    <m/>
    <s v="SMB"/>
    <n v="40"/>
    <x v="4"/>
    <x v="12"/>
  </r>
  <r>
    <s v="ORD-01075"/>
    <d v="2024-10-27T00:00:00"/>
    <s v="CUST-9754"/>
    <s v="PROD-056"/>
    <x v="28"/>
    <n v="6"/>
    <n v="6940"/>
    <n v="20"/>
    <n v="33312"/>
    <s v="Completed"/>
    <s v="Chennai"/>
    <x v="1"/>
    <m/>
    <e v="#N/A"/>
    <e v="#N/A"/>
    <x v="0"/>
    <x v="0"/>
  </r>
  <r>
    <s v="ORD-01076"/>
    <d v="2024-12-10T00:00:00"/>
    <s v="CUST-0200"/>
    <s v="PROD-032"/>
    <x v="0"/>
    <n v="1"/>
    <n v="370"/>
    <n v="10"/>
    <n v="333"/>
    <s v="Completed"/>
    <s v="Hyderabad"/>
    <x v="3"/>
    <m/>
    <s v="Corporate"/>
    <n v="46"/>
    <x v="0"/>
    <x v="0"/>
  </r>
  <r>
    <s v="ORD-01077"/>
    <d v="2024-05-20T00:00:00"/>
    <s v="CUST-0058"/>
    <s v="PROD-038"/>
    <x v="16"/>
    <n v="2"/>
    <n v="5490"/>
    <n v="27.9"/>
    <n v="7916.58"/>
    <s v="Completed"/>
    <s v="Bengaluru"/>
    <x v="3"/>
    <m/>
    <s v="SMB"/>
    <n v="49"/>
    <x v="0"/>
    <x v="0"/>
  </r>
  <r>
    <s v="ORD-01078"/>
    <d v="2024-07-06T00:00:00"/>
    <s v="CUST-0156"/>
    <s v="PROD-028"/>
    <x v="18"/>
    <n v="5"/>
    <n v="3660"/>
    <n v="4.5999999999999996"/>
    <n v="17458.2"/>
    <s v="Completed"/>
    <s v="Mumbai"/>
    <x v="2"/>
    <m/>
    <s v="Retail"/>
    <n v="33"/>
    <x v="3"/>
    <x v="2"/>
  </r>
  <r>
    <s v="ORD-01079"/>
    <d v="2024-09-28T00:00:00"/>
    <s v="CUST-0107"/>
    <s v="PROD-005"/>
    <x v="20"/>
    <n v="6"/>
    <n v="300"/>
    <n v="9"/>
    <n v="1638"/>
    <s v="Completed"/>
    <s v="Pune"/>
    <x v="4"/>
    <m/>
    <s v="Retail"/>
    <n v="50"/>
    <x v="0"/>
    <x v="0"/>
  </r>
  <r>
    <s v="ORD-01080"/>
    <d v="2024-08-19T00:00:00"/>
    <s v="CUST-0184"/>
    <s v="PROD-005"/>
    <x v="27"/>
    <n v="3"/>
    <n v="300"/>
    <n v="19.2"/>
    <n v="727.2"/>
    <s v="Completed"/>
    <s v="Pune"/>
    <x v="4"/>
    <m/>
    <s v="Retail"/>
    <n v="63"/>
    <x v="0"/>
    <x v="0"/>
  </r>
  <r>
    <s v="ORD-01081"/>
    <d v="2024-09-02T00:00:00"/>
    <s v="CUST-0202"/>
    <s v="PROD-049"/>
    <x v="2"/>
    <n v="6"/>
    <n v="960"/>
    <n v="29.3"/>
    <n v="4072.32"/>
    <s v="Cancelled"/>
    <s v="Chennai"/>
    <x v="5"/>
    <m/>
    <s v="Retail"/>
    <n v="39"/>
    <x v="4"/>
    <x v="6"/>
  </r>
  <r>
    <s v="ORD-01082"/>
    <d v="2024-04-01T00:00:00"/>
    <s v="CUST-0137"/>
    <s v="PROD-022"/>
    <x v="5"/>
    <n v="1"/>
    <n v="2270"/>
    <n v="12.4"/>
    <n v="1988.52"/>
    <s v="Completed"/>
    <s v="Mumbai"/>
    <x v="2"/>
    <m/>
    <s v="Retail"/>
    <n v="41"/>
    <x v="0"/>
    <x v="0"/>
  </r>
  <r>
    <s v="ORD-01083"/>
    <d v="2024-09-06T00:00:00"/>
    <s v="CUST-0108"/>
    <s v="PROD-033"/>
    <x v="28"/>
    <n v="10"/>
    <n v="2030"/>
    <n v="4"/>
    <n v="19488"/>
    <s v="Completed"/>
    <s v="Bengaluru"/>
    <x v="3"/>
    <m/>
    <s v="Corporate"/>
    <n v="59"/>
    <x v="0"/>
    <x v="0"/>
  </r>
  <r>
    <s v="ORD-01084"/>
    <d v="2024-11-13T00:00:00"/>
    <s v="CUST-0126"/>
    <s v="PROD-040"/>
    <x v="13"/>
    <n v="9"/>
    <n v="1080"/>
    <n v="19.2"/>
    <n v="7853.76"/>
    <s v="Pending"/>
    <s v="Mumbai"/>
    <x v="3"/>
    <m/>
    <s v="Retail"/>
    <n v="37"/>
    <x v="2"/>
    <x v="1"/>
  </r>
  <r>
    <s v="ORD-01085"/>
    <d v="2024-06-20T00:00:00"/>
    <s v="CUST-0107"/>
    <s v="PROD-055"/>
    <x v="5"/>
    <n v="5"/>
    <n v="2860"/>
    <n v="25"/>
    <n v="10725"/>
    <s v="Pending"/>
    <s v="Pune"/>
    <x v="1"/>
    <m/>
    <s v="Retail"/>
    <n v="50"/>
    <x v="0"/>
    <x v="0"/>
  </r>
  <r>
    <s v="ORD-01086"/>
    <d v="2024-10-23T00:00:00"/>
    <s v="CUST-0071"/>
    <s v="PROD-024"/>
    <x v="27"/>
    <n v="6"/>
    <n v="2270"/>
    <n v="9.3000000000000007"/>
    <n v="12353.34"/>
    <s v="Completed"/>
    <s v="Delhi"/>
    <x v="2"/>
    <m/>
    <s v="Corporate"/>
    <n v="46"/>
    <x v="0"/>
    <x v="0"/>
  </r>
  <r>
    <s v="ORD-01087"/>
    <d v="2024-02-06T00:00:00"/>
    <s v="CUST-0238"/>
    <s v="PROD-015"/>
    <x v="6"/>
    <n v="1"/>
    <n v="2720"/>
    <n v="15.2"/>
    <n v="2306.56"/>
    <s v="Completed"/>
    <s v="Delhi"/>
    <x v="0"/>
    <m/>
    <s v="Retail"/>
    <n v="49"/>
    <x v="0"/>
    <x v="0"/>
  </r>
  <r>
    <s v="ORD-01088"/>
    <d v="2024-12-12T00:00:00"/>
    <s v="CUST-0022"/>
    <s v="PROD-004"/>
    <x v="1"/>
    <n v="10"/>
    <n v="3870"/>
    <n v="4.9000000000000004"/>
    <n v="36803.699999999997"/>
    <s v="Cancelled"/>
    <s v="Bengaluru"/>
    <x v="4"/>
    <m/>
    <s v="Corporate"/>
    <n v="55"/>
    <x v="0"/>
    <x v="0"/>
  </r>
  <r>
    <s v="ORD-01089"/>
    <d v="2024-02-10T00:00:00"/>
    <s v="CUST-0100"/>
    <s v="PROD-011"/>
    <x v="7"/>
    <n v="8"/>
    <n v="3450"/>
    <n v="20.6"/>
    <n v="21914.400000000001"/>
    <s v="Completed"/>
    <s v="Hyderabad"/>
    <x v="0"/>
    <m/>
    <s v="Corporate"/>
    <n v="60"/>
    <x v="0"/>
    <x v="0"/>
  </r>
  <r>
    <s v="ORD-01090"/>
    <d v="2024-04-24T00:00:00"/>
    <s v="CUST-0263"/>
    <s v="PROD-053"/>
    <x v="25"/>
    <n v="1"/>
    <n v="470"/>
    <n v="5.4"/>
    <n v="444.62"/>
    <s v="Refunded"/>
    <s v="Mumbai"/>
    <x v="1"/>
    <m/>
    <s v="Retail"/>
    <n v="40"/>
    <x v="3"/>
    <x v="5"/>
  </r>
  <r>
    <s v="ORD-01091"/>
    <d v="2024-04-23T00:00:00"/>
    <s v="CUST-0032"/>
    <s v="PROD-006"/>
    <x v="18"/>
    <n v="5"/>
    <n v="3970"/>
    <n v="5.8"/>
    <n v="18698.7"/>
    <s v="Completed"/>
    <s v="Hyderabad"/>
    <x v="4"/>
    <m/>
    <s v="Retail"/>
    <n v="28"/>
    <x v="1"/>
    <x v="4"/>
  </r>
  <r>
    <s v="ORD-01092"/>
    <d v="2024-06-26T00:00:00"/>
    <s v="CUST-0227"/>
    <s v="PROD-048"/>
    <x v="27"/>
    <n v="2"/>
    <n v="5100"/>
    <n v="19.899999999999999"/>
    <n v="8170.2"/>
    <s v="Completed"/>
    <s v="Bengaluru"/>
    <x v="5"/>
    <m/>
    <s v="SMB"/>
    <n v="44"/>
    <x v="0"/>
    <x v="0"/>
  </r>
  <r>
    <s v="ORD-01093"/>
    <d v="2024-12-30T00:00:00"/>
    <s v="CUST-0124"/>
    <s v="PROD-047"/>
    <x v="19"/>
    <n v="6"/>
    <n v="3450"/>
    <n v="13"/>
    <n v="18009"/>
    <s v="Completed"/>
    <s v="Pune"/>
    <x v="5"/>
    <m/>
    <s v="Retail"/>
    <n v="57"/>
    <x v="0"/>
    <x v="0"/>
  </r>
  <r>
    <s v="ORD-01094"/>
    <d v="2024-12-27T00:00:00"/>
    <s v="CUST-0276"/>
    <s v="PROD-031"/>
    <x v="27"/>
    <n v="9"/>
    <n v="3730"/>
    <n v="15.5"/>
    <n v="28366.65"/>
    <s v="Completed"/>
    <s v="Chennai"/>
    <x v="3"/>
    <m/>
    <s v="Retail"/>
    <n v="26"/>
    <x v="1"/>
    <x v="8"/>
  </r>
  <r>
    <s v="ORD-01095"/>
    <d v="2024-05-28T00:00:00"/>
    <s v="CUST-0100"/>
    <s v="PROD-049"/>
    <x v="16"/>
    <n v="5"/>
    <n v="960"/>
    <n v="9.3000000000000007"/>
    <n v="4353.6000000000004"/>
    <s v="Completed"/>
    <s v="Hyderabad"/>
    <x v="5"/>
    <m/>
    <s v="Corporate"/>
    <n v="60"/>
    <x v="0"/>
    <x v="0"/>
  </r>
  <r>
    <s v="ORD-01096"/>
    <d v="2024-08-07T00:00:00"/>
    <s v="CUST-0221"/>
    <s v="PROD-034"/>
    <x v="4"/>
    <n v="3"/>
    <n v="5080"/>
    <n v="17.399999999999999"/>
    <n v="12588.24"/>
    <s v="Cancelled"/>
    <s v="Delhi"/>
    <x v="3"/>
    <m/>
    <s v="SMB"/>
    <n v="29"/>
    <x v="3"/>
    <x v="2"/>
  </r>
  <r>
    <s v="ORD-01097"/>
    <d v="2024-01-09T00:00:00"/>
    <s v="CUST-0266"/>
    <s v="PROD-004"/>
    <x v="11"/>
    <n v="4"/>
    <n v="3870"/>
    <n v="20.5"/>
    <n v="12306.6"/>
    <s v="Pending"/>
    <s v="Pune"/>
    <x v="4"/>
    <m/>
    <s v="Retail"/>
    <n v="65"/>
    <x v="0"/>
    <x v="0"/>
  </r>
  <r>
    <s v="ORD-01098"/>
    <d v="2024-08-24T00:00:00"/>
    <s v="CUST-0210"/>
    <s v="PROD-059"/>
    <x v="6"/>
    <n v="1"/>
    <n v="3780"/>
    <n v="21.5"/>
    <n v="2967.3"/>
    <s v="Completed"/>
    <s v="Pune"/>
    <x v="1"/>
    <m/>
    <s v="Corporate"/>
    <n v="48"/>
    <x v="0"/>
    <x v="0"/>
  </r>
  <r>
    <s v="ORD-01099"/>
    <d v="2024-11-26T00:00:00"/>
    <s v="CUST-0293"/>
    <s v="PROD-004"/>
    <x v="21"/>
    <n v="3"/>
    <n v="3870"/>
    <n v="21.9"/>
    <n v="9067.41"/>
    <s v="Pending"/>
    <s v="Bengaluru"/>
    <x v="4"/>
    <m/>
    <s v="Retail"/>
    <n v="27"/>
    <x v="2"/>
    <x v="6"/>
  </r>
  <r>
    <s v="ORD-01100"/>
    <d v="2024-06-20T00:00:00"/>
    <s v="CUST-0291"/>
    <s v="PROD-033"/>
    <x v="18"/>
    <n v="4"/>
    <n v="2030"/>
    <n v="23.4"/>
    <n v="6219.92"/>
    <s v="Completed"/>
    <s v="Pune"/>
    <x v="3"/>
    <m/>
    <s v="SMB"/>
    <n v="29"/>
    <x v="3"/>
    <x v="3"/>
  </r>
  <r>
    <s v="ORD-01101"/>
    <d v="2024-04-25T00:00:00"/>
    <s v="CUST-0295"/>
    <s v="PROD-029"/>
    <x v="11"/>
    <n v="6"/>
    <n v="2210"/>
    <n v="9.1"/>
    <n v="12053.34"/>
    <s v="Completed"/>
    <s v="Delhi"/>
    <x v="2"/>
    <m/>
    <s v="SMB"/>
    <n v="48"/>
    <x v="0"/>
    <x v="0"/>
  </r>
  <r>
    <s v="ORD-01102"/>
    <d v="2024-12-01T00:00:00"/>
    <s v="CUST-0123"/>
    <s v="PROD-041"/>
    <x v="21"/>
    <n v="5"/>
    <n v="1540"/>
    <n v="18.100000000000001"/>
    <n v="6306.3"/>
    <s v="Completed"/>
    <s v="Chennai"/>
    <x v="5"/>
    <m/>
    <s v="Corporate"/>
    <n v="44"/>
    <x v="0"/>
    <x v="0"/>
  </r>
  <r>
    <s v="ORD-01103"/>
    <d v="2024-04-11T00:00:00"/>
    <s v="CUST-0167"/>
    <s v="PROD-054"/>
    <x v="23"/>
    <n v="1"/>
    <n v="1010"/>
    <n v="7.3"/>
    <n v="936.27"/>
    <s v="Completed"/>
    <s v="Delhi"/>
    <x v="1"/>
    <m/>
    <s v="Retail"/>
    <n v="43"/>
    <x v="0"/>
    <x v="0"/>
  </r>
  <r>
    <s v="ORD-01104"/>
    <d v="2024-03-09T00:00:00"/>
    <s v="CUST-0247"/>
    <s v="PROD-001"/>
    <x v="15"/>
    <n v="10"/>
    <n v="5330"/>
    <n v="27.3"/>
    <n v="38749.1"/>
    <s v="Completed"/>
    <s v="Pune"/>
    <x v="4"/>
    <m/>
    <s v="SMB"/>
    <n v="35"/>
    <x v="4"/>
    <x v="4"/>
  </r>
  <r>
    <s v="ORD-01105"/>
    <d v="2024-09-13T00:00:00"/>
    <s v="CUST-0224"/>
    <s v="PROD-003"/>
    <x v="24"/>
    <n v="7"/>
    <n v="3570"/>
    <n v="24.3"/>
    <n v="18917.43"/>
    <s v="Completed"/>
    <s v="Chennai"/>
    <x v="4"/>
    <m/>
    <s v="Corporate"/>
    <n v="24"/>
    <x v="4"/>
    <x v="10"/>
  </r>
  <r>
    <s v="ORD-01106"/>
    <d v="2024-10-04T00:00:00"/>
    <s v="CUST-0102"/>
    <s v="PROD-043"/>
    <x v="21"/>
    <n v="1"/>
    <n v="3350"/>
    <n v="14.9"/>
    <n v="2850.85"/>
    <s v="Completed"/>
    <s v="Chennai"/>
    <x v="5"/>
    <m/>
    <s v="SMB"/>
    <n v="62"/>
    <x v="0"/>
    <x v="0"/>
  </r>
  <r>
    <s v="ORD-01107"/>
    <d v="2024-09-06T00:00:00"/>
    <s v="CUST-0151"/>
    <s v="PROD-017"/>
    <x v="12"/>
    <n v="2"/>
    <n v="2510"/>
    <n v="10.6"/>
    <n v="4487.88"/>
    <s v="Completed"/>
    <s v="Mumbai"/>
    <x v="0"/>
    <m/>
    <s v="Retail"/>
    <n v="53"/>
    <x v="0"/>
    <x v="0"/>
  </r>
  <r>
    <s v="ORD-01108"/>
    <d v="2024-03-18T00:00:00"/>
    <s v="CUST-0182"/>
    <s v="PROD-030"/>
    <x v="5"/>
    <n v="5"/>
    <n v="970"/>
    <n v="6.8"/>
    <n v="4520.2"/>
    <s v="Pending"/>
    <s v="Mumbai"/>
    <x v="2"/>
    <m/>
    <s v="Retail"/>
    <n v="54"/>
    <x v="0"/>
    <x v="0"/>
  </r>
  <r>
    <s v="ORD-01109"/>
    <d v="2024-08-15T00:00:00"/>
    <s v="CUST-0152"/>
    <s v="PROD-027"/>
    <x v="25"/>
    <n v="5"/>
    <n v="3780"/>
    <n v="16.600000000000001"/>
    <n v="15762.6"/>
    <s v="Completed"/>
    <s v="Bengaluru"/>
    <x v="2"/>
    <m/>
    <s v="SMB"/>
    <n v="64"/>
    <x v="0"/>
    <x v="0"/>
  </r>
  <r>
    <s v="ORD-01110"/>
    <d v="2024-03-28T00:00:00"/>
    <s v="CUST-0247"/>
    <s v="PROD-017"/>
    <x v="0"/>
    <n v="3"/>
    <n v="2510"/>
    <n v="24.9"/>
    <n v="5655.03"/>
    <s v="Cancelled"/>
    <s v="Pune"/>
    <x v="0"/>
    <m/>
    <s v="SMB"/>
    <n v="35"/>
    <x v="1"/>
    <x v="6"/>
  </r>
  <r>
    <s v="ORD-01111"/>
    <d v="2024-09-13T00:00:00"/>
    <s v="CUST-0220"/>
    <s v="PROD-033"/>
    <x v="4"/>
    <n v="3"/>
    <n v="2030"/>
    <n v="3.8"/>
    <n v="5858.58"/>
    <s v="Completed"/>
    <s v="Chennai"/>
    <x v="3"/>
    <m/>
    <s v="Retail"/>
    <n v="34"/>
    <x v="1"/>
    <x v="10"/>
  </r>
  <r>
    <s v="ORD-01112"/>
    <d v="2024-07-05T00:00:00"/>
    <s v="CUST-0206"/>
    <s v="PROD-060"/>
    <x v="2"/>
    <n v="9"/>
    <n v="190"/>
    <n v="5.4"/>
    <n v="1617.66"/>
    <s v="Completed"/>
    <s v="Mumbai"/>
    <x v="1"/>
    <m/>
    <s v="Retail"/>
    <n v="40"/>
    <x v="1"/>
    <x v="1"/>
  </r>
  <r>
    <s v="ORD-01113"/>
    <d v="2024-02-16T00:00:00"/>
    <s v="CUST-0219"/>
    <s v="PROD-029"/>
    <x v="16"/>
    <n v="6"/>
    <n v="2210"/>
    <n v="29.4"/>
    <n v="9361.56"/>
    <s v="Completed"/>
    <s v="Chennai"/>
    <x v="2"/>
    <m/>
    <s v="Corporate"/>
    <n v="38"/>
    <x v="4"/>
    <x v="11"/>
  </r>
  <r>
    <s v="ORD-01114"/>
    <d v="2024-09-11T00:00:00"/>
    <s v="CUST-0298"/>
    <s v="PROD-013"/>
    <x v="1"/>
    <n v="4"/>
    <n v="3640"/>
    <n v="0.6"/>
    <n v="14472.64"/>
    <s v="Completed"/>
    <s v="Delhi"/>
    <x v="0"/>
    <m/>
    <s v="Retail"/>
    <n v="44"/>
    <x v="0"/>
    <x v="0"/>
  </r>
  <r>
    <s v="ORD-01115"/>
    <d v="2024-11-30T00:00:00"/>
    <s v="CUST-0254"/>
    <s v="PROD-009"/>
    <x v="18"/>
    <n v="9"/>
    <n v="1220"/>
    <n v="24.1"/>
    <n v="8333.82"/>
    <s v="Completed"/>
    <s v="Bengaluru"/>
    <x v="4"/>
    <m/>
    <s v="Retail"/>
    <n v="35"/>
    <x v="1"/>
    <x v="1"/>
  </r>
  <r>
    <s v="ORD-01116"/>
    <d v="2024-04-20T00:00:00"/>
    <s v="CUST-0085"/>
    <s v="PROD-056"/>
    <x v="18"/>
    <n v="2"/>
    <n v="6940"/>
    <n v="27"/>
    <n v="10132.4"/>
    <s v="Completed"/>
    <s v="Chennai"/>
    <x v="1"/>
    <m/>
    <s v="Retail"/>
    <n v="26"/>
    <x v="4"/>
    <x v="3"/>
  </r>
  <r>
    <s v="ORD-01117"/>
    <d v="2024-11-08T00:00:00"/>
    <s v="CUST-0181"/>
    <s v="PROD-055"/>
    <x v="9"/>
    <n v="6"/>
    <n v="2860"/>
    <n v="6.6"/>
    <n v="16027.44"/>
    <s v="Completed"/>
    <s v="Delhi"/>
    <x v="1"/>
    <m/>
    <s v="SMB"/>
    <n v="38"/>
    <x v="4"/>
    <x v="4"/>
  </r>
  <r>
    <s v="ORD-01118"/>
    <d v="2024-09-10T00:00:00"/>
    <s v="CUST-0143"/>
    <s v="PROD-015"/>
    <x v="26"/>
    <n v="5"/>
    <n v="2720"/>
    <n v="21.4"/>
    <n v="10689.6"/>
    <s v="Completed"/>
    <s v="Chennai"/>
    <x v="0"/>
    <m/>
    <s v="SMB"/>
    <n v="52"/>
    <x v="0"/>
    <x v="0"/>
  </r>
  <r>
    <s v="ORD-01119"/>
    <d v="2024-06-02T00:00:00"/>
    <s v="CUST-0263"/>
    <s v="PROD-020"/>
    <x v="3"/>
    <n v="5"/>
    <n v="820"/>
    <n v="28.6"/>
    <n v="2927.4"/>
    <s v="Completed"/>
    <s v="Mumbai"/>
    <x v="0"/>
    <m/>
    <s v="Retail"/>
    <n v="40"/>
    <x v="3"/>
    <x v="1"/>
  </r>
  <r>
    <s v="ORD-01120"/>
    <d v="2024-07-16T00:00:00"/>
    <s v="CUST-0105"/>
    <s v="PROD-042"/>
    <x v="24"/>
    <n v="6"/>
    <n v="2290"/>
    <n v="18.8"/>
    <n v="11156.88"/>
    <s v="Completed"/>
    <s v="Chennai"/>
    <x v="5"/>
    <m/>
    <s v="SMB"/>
    <n v="51"/>
    <x v="0"/>
    <x v="0"/>
  </r>
  <r>
    <s v="ORD-01121"/>
    <d v="2024-04-12T00:00:00"/>
    <s v="CUST-0256"/>
    <s v="PROD-047"/>
    <x v="13"/>
    <n v="6"/>
    <n v="3450"/>
    <n v="28.4"/>
    <n v="14821.2"/>
    <s v="Completed"/>
    <s v="Hyderabad"/>
    <x v="5"/>
    <m/>
    <s v="Retail"/>
    <n v="28"/>
    <x v="3"/>
    <x v="11"/>
  </r>
  <r>
    <s v="ORD-01122"/>
    <d v="2024-02-18T00:00:00"/>
    <s v="CUST-0260"/>
    <s v="PROD-033"/>
    <x v="25"/>
    <n v="10"/>
    <n v="2030"/>
    <n v="8"/>
    <n v="18676"/>
    <s v="Completed"/>
    <s v="Bengaluru"/>
    <x v="3"/>
    <m/>
    <s v="Retail"/>
    <n v="42"/>
    <x v="0"/>
    <x v="0"/>
  </r>
  <r>
    <s v="ORD-01123"/>
    <d v="2024-03-27T00:00:00"/>
    <s v="CUST-0233"/>
    <s v="PROD-058"/>
    <x v="24"/>
    <n v="1"/>
    <n v="2400"/>
    <n v="9.6999999999999993"/>
    <n v="2167.1999999999998"/>
    <s v="Completed"/>
    <s v="Mumbai"/>
    <x v="1"/>
    <m/>
    <s v="SMB"/>
    <n v="65"/>
    <x v="0"/>
    <x v="0"/>
  </r>
  <r>
    <s v="ORD-01124"/>
    <d v="2024-03-18T00:00:00"/>
    <s v="CUST-0183"/>
    <s v="PROD-033"/>
    <x v="2"/>
    <n v="4"/>
    <n v="2030"/>
    <n v="24.8"/>
    <n v="6106.24"/>
    <s v="Pending"/>
    <s v="Mumbai"/>
    <x v="3"/>
    <m/>
    <s v="SMB"/>
    <n v="27"/>
    <x v="3"/>
    <x v="10"/>
  </r>
  <r>
    <s v="ORD-01125"/>
    <d v="2024-08-09T00:00:00"/>
    <s v="CUST-0142"/>
    <s v="PROD-025"/>
    <x v="25"/>
    <n v="5"/>
    <n v="4060"/>
    <n v="9.1"/>
    <n v="18452.7"/>
    <s v="Pending"/>
    <s v="Chennai"/>
    <x v="2"/>
    <m/>
    <s v="Corporate"/>
    <n v="55"/>
    <x v="0"/>
    <x v="0"/>
  </r>
  <r>
    <s v="ORD-01126"/>
    <d v="2024-05-26T00:00:00"/>
    <s v="CUST-0150"/>
    <s v="PROD-033"/>
    <x v="22"/>
    <n v="9"/>
    <n v="2030"/>
    <n v="15.9"/>
    <n v="15365.07"/>
    <s v="Pending"/>
    <s v="Pune"/>
    <x v="3"/>
    <m/>
    <s v="SMB"/>
    <n v="53"/>
    <x v="0"/>
    <x v="0"/>
  </r>
  <r>
    <s v="ORD-01127"/>
    <d v="2024-08-25T00:00:00"/>
    <s v="CUST-0001"/>
    <s v="PROD-043"/>
    <x v="2"/>
    <n v="1"/>
    <n v="3350"/>
    <n v="23.2"/>
    <n v="2572.8000000000002"/>
    <s v="Refunded"/>
    <s v="Pune"/>
    <x v="5"/>
    <m/>
    <s v="Retail"/>
    <n v="36"/>
    <x v="4"/>
    <x v="2"/>
  </r>
  <r>
    <s v="ORD-01128"/>
    <d v="2024-12-08T00:00:00"/>
    <s v="CUST-0104"/>
    <s v="PROD-037"/>
    <x v="3"/>
    <n v="4"/>
    <n v="660"/>
    <n v="27.1"/>
    <n v="1924.56"/>
    <s v="Completed"/>
    <s v="Hyderabad"/>
    <x v="3"/>
    <m/>
    <s v="Corporate"/>
    <n v="43"/>
    <x v="0"/>
    <x v="0"/>
  </r>
  <r>
    <s v="ORD-01129"/>
    <d v="2024-05-29T00:00:00"/>
    <s v="CUST-0261"/>
    <s v="PROD-045"/>
    <x v="2"/>
    <n v="3"/>
    <n v="3020"/>
    <n v="7.2"/>
    <n v="8407.68"/>
    <s v="Completed"/>
    <s v="Delhi"/>
    <x v="5"/>
    <m/>
    <s v="Retail"/>
    <n v="54"/>
    <x v="0"/>
    <x v="0"/>
  </r>
  <r>
    <s v="ORD-01130"/>
    <d v="2024-04-27T00:00:00"/>
    <s v="CUST-0010"/>
    <s v="PROD-008"/>
    <x v="3"/>
    <n v="3"/>
    <n v="2660"/>
    <n v="0.2"/>
    <n v="7964.04"/>
    <s v="Completed"/>
    <s v="Mumbai"/>
    <x v="4"/>
    <m/>
    <s v="SMB"/>
    <n v="61"/>
    <x v="0"/>
    <x v="0"/>
  </r>
  <r>
    <s v="ORD-01131"/>
    <d v="2024-12-24T00:00:00"/>
    <s v="CUST-0237"/>
    <s v="PROD-054"/>
    <x v="3"/>
    <n v="4"/>
    <n v="1010"/>
    <n v="3.1"/>
    <n v="3914.76"/>
    <s v="Completed"/>
    <s v="Mumbai"/>
    <x v="1"/>
    <m/>
    <s v="Retail"/>
    <n v="49"/>
    <x v="0"/>
    <x v="0"/>
  </r>
  <r>
    <s v="ORD-01132"/>
    <d v="2024-03-29T00:00:00"/>
    <s v="CUST-0128"/>
    <s v="PROD-038"/>
    <x v="21"/>
    <n v="5"/>
    <n v="5490"/>
    <n v="3.6"/>
    <n v="26461.8"/>
    <s v="Completed"/>
    <s v="Hyderabad"/>
    <x v="3"/>
    <m/>
    <s v="Retail"/>
    <n v="35"/>
    <x v="1"/>
    <x v="8"/>
  </r>
  <r>
    <s v="ORD-01133"/>
    <d v="2024-01-31T00:00:00"/>
    <s v="CUST-0182"/>
    <s v="PROD-058"/>
    <x v="7"/>
    <n v="1"/>
    <n v="2400"/>
    <n v="24.3"/>
    <n v="1816.8"/>
    <s v="Completed"/>
    <s v="Mumbai"/>
    <x v="1"/>
    <m/>
    <s v="Retail"/>
    <n v="54"/>
    <x v="0"/>
    <x v="0"/>
  </r>
  <r>
    <s v="ORD-01134"/>
    <d v="2024-08-28T00:00:00"/>
    <s v="CUST-0131"/>
    <s v="PROD-037"/>
    <x v="18"/>
    <n v="8"/>
    <n v="660"/>
    <n v="19.8"/>
    <n v="4234.5600000000004"/>
    <s v="Completed"/>
    <s v="Delhi"/>
    <x v="3"/>
    <m/>
    <s v="SMB"/>
    <n v="28"/>
    <x v="3"/>
    <x v="12"/>
  </r>
  <r>
    <s v="ORD-01135"/>
    <d v="2024-07-31T00:00:00"/>
    <s v="CUST-0023"/>
    <s v="PROD-001"/>
    <x v="29"/>
    <n v="9"/>
    <n v="5330"/>
    <n v="16.5"/>
    <n v="40054.949999999997"/>
    <s v="Completed"/>
    <s v="Chennai"/>
    <x v="4"/>
    <m/>
    <s v="SMB"/>
    <n v="43"/>
    <x v="0"/>
    <x v="0"/>
  </r>
  <r>
    <s v="ORD-01136"/>
    <d v="2024-08-12T00:00:00"/>
    <s v="CUST-0171"/>
    <s v="PROD-002"/>
    <x v="0"/>
    <n v="5"/>
    <n v="2600"/>
    <n v="0.3"/>
    <n v="12961"/>
    <s v="Completed"/>
    <s v="Chennai"/>
    <x v="4"/>
    <m/>
    <s v="Corporate"/>
    <n v="30"/>
    <x v="4"/>
    <x v="11"/>
  </r>
  <r>
    <s v="ORD-01137"/>
    <d v="2024-06-19T00:00:00"/>
    <s v="CUST-0116"/>
    <s v="PROD-034"/>
    <x v="26"/>
    <n v="4"/>
    <n v="5080"/>
    <n v="13.8"/>
    <n v="17515.84"/>
    <s v="Pending"/>
    <s v="Bengaluru"/>
    <x v="3"/>
    <m/>
    <s v="Retail"/>
    <n v="53"/>
    <x v="0"/>
    <x v="0"/>
  </r>
  <r>
    <s v="ORD-01138"/>
    <d v="2024-11-01T00:00:00"/>
    <s v="CUST-0021"/>
    <s v="PROD-023"/>
    <x v="25"/>
    <n v="7"/>
    <n v="2380"/>
    <n v="15.5"/>
    <n v="14077.7"/>
    <s v="Completed"/>
    <s v="Pune"/>
    <x v="2"/>
    <m/>
    <s v="Retail"/>
    <n v="44"/>
    <x v="0"/>
    <x v="0"/>
  </r>
  <r>
    <s v="ORD-01139"/>
    <d v="2024-12-22T00:00:00"/>
    <s v="CUST-0234"/>
    <s v="PROD-046"/>
    <x v="3"/>
    <n v="3"/>
    <n v="4880"/>
    <n v="6.1"/>
    <n v="13746.96"/>
    <s v="Completed"/>
    <s v="Bengaluru"/>
    <x v="5"/>
    <m/>
    <s v="Retail"/>
    <n v="34"/>
    <x v="1"/>
    <x v="3"/>
  </r>
  <r>
    <s v="ORD-01140"/>
    <d v="2024-03-04T00:00:00"/>
    <s v="CUST-0225"/>
    <s v="PROD-043"/>
    <x v="18"/>
    <n v="2"/>
    <n v="3350"/>
    <n v="17.2"/>
    <n v="5547.6"/>
    <s v="Completed"/>
    <s v="Chennai"/>
    <x v="5"/>
    <m/>
    <s v="SMB"/>
    <n v="26"/>
    <x v="1"/>
    <x v="8"/>
  </r>
  <r>
    <s v="ORD-01141"/>
    <d v="2024-02-09T00:00:00"/>
    <s v="CUST-0268"/>
    <s v="PROD-030"/>
    <x v="6"/>
    <n v="5"/>
    <n v="970"/>
    <n v="23.6"/>
    <n v="3705.4"/>
    <s v="Completed"/>
    <s v="Chennai"/>
    <x v="2"/>
    <m/>
    <s v="Retail"/>
    <n v="35"/>
    <x v="4"/>
    <x v="10"/>
  </r>
  <r>
    <s v="ORD-01142"/>
    <d v="2024-12-06T00:00:00"/>
    <s v="CUST-0248"/>
    <s v="PROD-005"/>
    <x v="24"/>
    <n v="5"/>
    <n v="300"/>
    <n v="3.8"/>
    <n v="1443"/>
    <s v="Completed"/>
    <s v="Chennai"/>
    <x v="4"/>
    <m/>
    <s v="SMB"/>
    <n v="57"/>
    <x v="0"/>
    <x v="0"/>
  </r>
  <r>
    <s v="ORD-01143"/>
    <d v="2024-03-07T00:00:00"/>
    <s v="CUST-0026"/>
    <s v="PROD-006"/>
    <x v="1"/>
    <n v="9"/>
    <n v="3970"/>
    <n v="0.8"/>
    <n v="35444.160000000003"/>
    <s v="Completed"/>
    <s v="Pune"/>
    <x v="4"/>
    <m/>
    <s v="Retail"/>
    <n v="62"/>
    <x v="0"/>
    <x v="0"/>
  </r>
  <r>
    <s v="ORD-01144"/>
    <d v="2024-05-28T00:00:00"/>
    <s v="CUST-0257"/>
    <s v="PROD-015"/>
    <x v="22"/>
    <n v="4"/>
    <n v="2720"/>
    <n v="12.7"/>
    <n v="9498.24"/>
    <s v="Completed"/>
    <s v="Mumbai"/>
    <x v="0"/>
    <m/>
    <s v="Corporate"/>
    <n v="46"/>
    <x v="0"/>
    <x v="0"/>
  </r>
  <r>
    <s v="ORD-01145"/>
    <d v="2024-04-30T00:00:00"/>
    <s v="CUST-0258"/>
    <s v="PROD-016"/>
    <x v="13"/>
    <n v="3"/>
    <n v="620"/>
    <n v="5.5"/>
    <n v="1757.7"/>
    <s v="Completed"/>
    <s v="Pune"/>
    <x v="0"/>
    <m/>
    <s v="Retail"/>
    <n v="44"/>
    <x v="0"/>
    <x v="0"/>
  </r>
  <r>
    <s v="ORD-01146"/>
    <d v="2024-07-06T00:00:00"/>
    <s v="CUST-0142"/>
    <s v="PROD-041"/>
    <x v="6"/>
    <n v="2"/>
    <n v="1540"/>
    <n v="2.2000000000000002"/>
    <n v="3012.24"/>
    <s v="Pending"/>
    <s v="Chennai"/>
    <x v="5"/>
    <m/>
    <s v="Corporate"/>
    <n v="55"/>
    <x v="0"/>
    <x v="0"/>
  </r>
  <r>
    <s v="ORD-01147"/>
    <d v="2024-08-30T00:00:00"/>
    <s v="CUST-0020"/>
    <s v="PROD-042"/>
    <x v="17"/>
    <n v="1"/>
    <n v="2290"/>
    <n v="24.4"/>
    <n v="1731.24"/>
    <s v="Cancelled"/>
    <s v="Hyderabad"/>
    <x v="5"/>
    <m/>
    <s v="Retail"/>
    <n v="46"/>
    <x v="0"/>
    <x v="0"/>
  </r>
  <r>
    <s v="ORD-01148"/>
    <d v="2024-01-22T00:00:00"/>
    <s v="CUST-0016"/>
    <s v="PROD-015"/>
    <x v="26"/>
    <n v="8"/>
    <n v="2720"/>
    <n v="1.7"/>
    <n v="21390.080000000002"/>
    <s v="Completed"/>
    <s v="Delhi"/>
    <x v="0"/>
    <m/>
    <s v="SMB"/>
    <n v="26"/>
    <x v="2"/>
    <x v="6"/>
  </r>
  <r>
    <s v="ORD-01149"/>
    <d v="2024-04-08T00:00:00"/>
    <s v="CUST-0288"/>
    <s v="PROD-025"/>
    <x v="12"/>
    <n v="4"/>
    <n v="4060"/>
    <n v="19.600000000000001"/>
    <n v="13056.96"/>
    <s v="Cancelled"/>
    <s v="Hyderabad"/>
    <x v="2"/>
    <m/>
    <s v="Corporate"/>
    <n v="25"/>
    <x v="3"/>
    <x v="12"/>
  </r>
  <r>
    <s v="ORD-01150"/>
    <d v="2024-03-19T00:00:00"/>
    <s v="CUST-0133"/>
    <s v="PROD-003"/>
    <x v="29"/>
    <n v="8"/>
    <n v="3570"/>
    <n v="10.8"/>
    <n v="25475.52"/>
    <s v="Completed"/>
    <s v="Chennai"/>
    <x v="4"/>
    <m/>
    <s v="Retail"/>
    <n v="26"/>
    <x v="3"/>
    <x v="4"/>
  </r>
  <r>
    <s v="ORD-01151"/>
    <d v="2024-02-02T00:00:00"/>
    <s v="CUST-0192"/>
    <s v="PROD-051"/>
    <x v="10"/>
    <n v="10"/>
    <n v="3450"/>
    <n v="13.5"/>
    <n v="29842.5"/>
    <s v="Pending"/>
    <s v="Bengaluru"/>
    <x v="1"/>
    <m/>
    <s v="Retail"/>
    <n v="55"/>
    <x v="0"/>
    <x v="0"/>
  </r>
  <r>
    <s v="ORD-01152"/>
    <d v="2024-06-26T00:00:00"/>
    <s v="CUST-0298"/>
    <s v="PROD-010"/>
    <x v="0"/>
    <n v="10"/>
    <n v="2640"/>
    <n v="29.8"/>
    <n v="18532.8"/>
    <s v="Completed"/>
    <s v="Delhi"/>
    <x v="4"/>
    <m/>
    <s v="Retail"/>
    <n v="44"/>
    <x v="0"/>
    <x v="0"/>
  </r>
  <r>
    <s v="ORD-01153"/>
    <d v="2024-11-23T00:00:00"/>
    <s v="CUST-0088"/>
    <s v="PROD-032"/>
    <x v="18"/>
    <n v="3"/>
    <n v="370"/>
    <n v="25.5"/>
    <n v="826.95"/>
    <s v="Completed"/>
    <s v="Chennai"/>
    <x v="3"/>
    <m/>
    <s v="Retail"/>
    <n v="24"/>
    <x v="1"/>
    <x v="7"/>
  </r>
  <r>
    <s v="ORD-01154"/>
    <d v="2024-12-01T00:00:00"/>
    <s v="CUST-0274"/>
    <s v="PROD-009"/>
    <x v="14"/>
    <n v="3"/>
    <n v="1220"/>
    <n v="7.7"/>
    <n v="3378.18"/>
    <s v="Pending"/>
    <s v="Bengaluru"/>
    <x v="4"/>
    <m/>
    <s v="Corporate"/>
    <n v="36"/>
    <x v="4"/>
    <x v="3"/>
  </r>
  <r>
    <s v="ORD-01155"/>
    <d v="2024-07-26T00:00:00"/>
    <s v="CUST-0165"/>
    <s v="PROD-010"/>
    <x v="24"/>
    <n v="1"/>
    <n v="2640"/>
    <n v="23.6"/>
    <n v="2016.96"/>
    <s v="Completed"/>
    <s v="Pune"/>
    <x v="4"/>
    <m/>
    <s v="Retail"/>
    <n v="29"/>
    <x v="2"/>
    <x v="8"/>
  </r>
  <r>
    <s v="ORD-01156"/>
    <d v="2024-09-28T00:00:00"/>
    <s v="CUST-0275"/>
    <s v="PROD-048"/>
    <x v="23"/>
    <n v="9"/>
    <n v="5100"/>
    <n v="9.5"/>
    <n v="41539.5"/>
    <s v="Completed"/>
    <s v="Mumbai"/>
    <x v="5"/>
    <m/>
    <s v="Retail"/>
    <n v="36"/>
    <x v="3"/>
    <x v="11"/>
  </r>
  <r>
    <s v="ORD-01157"/>
    <d v="2024-05-23T00:00:00"/>
    <s v="CUST-0225"/>
    <s v="PROD-050"/>
    <x v="4"/>
    <n v="7"/>
    <n v="6080"/>
    <n v="17.5"/>
    <n v="35112"/>
    <s v="Completed"/>
    <s v="Chennai"/>
    <x v="5"/>
    <m/>
    <s v="SMB"/>
    <n v="26"/>
    <x v="4"/>
    <x v="1"/>
  </r>
  <r>
    <s v="ORD-01158"/>
    <d v="2024-11-06T00:00:00"/>
    <s v="CUST-0059"/>
    <s v="PROD-005"/>
    <x v="17"/>
    <n v="1"/>
    <n v="300"/>
    <n v="26.9"/>
    <n v="219.3"/>
    <s v="Completed"/>
    <s v="Pune"/>
    <x v="4"/>
    <m/>
    <s v="Corporate"/>
    <n v="29"/>
    <x v="1"/>
    <x v="2"/>
  </r>
  <r>
    <s v="ORD-01159"/>
    <d v="2024-12-24T00:00:00"/>
    <s v="CUST-0149"/>
    <s v="PROD-045"/>
    <x v="16"/>
    <n v="6"/>
    <n v="3020"/>
    <n v="28.5"/>
    <n v="12955.8"/>
    <s v="Completed"/>
    <s v="Hyderabad"/>
    <x v="5"/>
    <m/>
    <s v="Retail"/>
    <n v="44"/>
    <x v="0"/>
    <x v="0"/>
  </r>
  <r>
    <s v="ORD-01160"/>
    <d v="2024-01-03T00:00:00"/>
    <s v="CUST-0283"/>
    <s v="PROD-005"/>
    <x v="26"/>
    <n v="8"/>
    <n v="300"/>
    <n v="1.2"/>
    <n v="2371.1999999999998"/>
    <s v="Completed"/>
    <s v="Delhi"/>
    <x v="4"/>
    <m/>
    <s v="SMB"/>
    <n v="50"/>
    <x v="0"/>
    <x v="0"/>
  </r>
  <r>
    <s v="ORD-01161"/>
    <d v="2024-08-19T00:00:00"/>
    <s v="CUST-0039"/>
    <s v="PROD-043"/>
    <x v="23"/>
    <n v="9"/>
    <n v="3350"/>
    <n v="0.6"/>
    <n v="29969.1"/>
    <s v="Refunded"/>
    <s v="Bengaluru"/>
    <x v="5"/>
    <m/>
    <s v="Retail"/>
    <n v="37"/>
    <x v="3"/>
    <x v="12"/>
  </r>
  <r>
    <s v="ORD-01162"/>
    <d v="2024-07-06T00:00:00"/>
    <s v="CUST-0046"/>
    <s v="PROD-026"/>
    <x v="6"/>
    <n v="4"/>
    <n v="4070"/>
    <n v="10.1"/>
    <n v="14635.72"/>
    <s v="Completed"/>
    <s v="Delhi"/>
    <x v="2"/>
    <m/>
    <s v="SMB"/>
    <n v="45"/>
    <x v="0"/>
    <x v="0"/>
  </r>
  <r>
    <s v="ORD-01163"/>
    <d v="2024-11-18T00:00:00"/>
    <s v="CUST-0105"/>
    <s v="PROD-059"/>
    <x v="6"/>
    <n v="9"/>
    <n v="3780"/>
    <n v="27.8"/>
    <n v="24562.44"/>
    <s v="Cancelled"/>
    <s v="Chennai"/>
    <x v="1"/>
    <m/>
    <s v="SMB"/>
    <n v="51"/>
    <x v="0"/>
    <x v="0"/>
  </r>
  <r>
    <s v="ORD-01164"/>
    <d v="2024-04-25T00:00:00"/>
    <s v="CUST-0006"/>
    <s v="PROD-040"/>
    <x v="14"/>
    <n v="6"/>
    <n v="1080"/>
    <n v="17.5"/>
    <n v="5346"/>
    <s v="Completed"/>
    <s v="Pune"/>
    <x v="3"/>
    <m/>
    <s v="SMB"/>
    <n v="44"/>
    <x v="0"/>
    <x v="0"/>
  </r>
  <r>
    <s v="ORD-01165"/>
    <d v="2024-11-07T00:00:00"/>
    <s v="CUST-0192"/>
    <s v="PROD-002"/>
    <x v="12"/>
    <n v="3"/>
    <n v="2600"/>
    <n v="1.9"/>
    <n v="7651.8"/>
    <s v="Completed"/>
    <s v="Bengaluru"/>
    <x v="4"/>
    <m/>
    <s v="Retail"/>
    <n v="55"/>
    <x v="0"/>
    <x v="0"/>
  </r>
  <r>
    <s v="ORD-01166"/>
    <d v="2024-03-24T00:00:00"/>
    <s v="CUST-0290"/>
    <s v="PROD-015"/>
    <x v="4"/>
    <n v="5"/>
    <n v="2720"/>
    <n v="1.8"/>
    <n v="13355.2"/>
    <s v="Cancelled"/>
    <s v="Delhi"/>
    <x v="0"/>
    <m/>
    <s v="Retail"/>
    <n v="63"/>
    <x v="0"/>
    <x v="0"/>
  </r>
  <r>
    <s v="ORD-01167"/>
    <d v="2024-07-12T00:00:00"/>
    <s v="CUST-0287"/>
    <s v="PROD-028"/>
    <x v="27"/>
    <n v="8"/>
    <n v="3660"/>
    <n v="29.5"/>
    <n v="20642.400000000001"/>
    <s v="Completed"/>
    <s v="Chennai"/>
    <x v="2"/>
    <m/>
    <s v="SMB"/>
    <n v="53"/>
    <x v="0"/>
    <x v="0"/>
  </r>
  <r>
    <s v="ORD-01168"/>
    <d v="2024-10-02T00:00:00"/>
    <s v="CUST-0025"/>
    <s v="PROD-044"/>
    <x v="1"/>
    <n v="9"/>
    <n v="1650"/>
    <n v="19.8"/>
    <n v="11909.7"/>
    <s v="Refunded"/>
    <s v="Bengaluru"/>
    <x v="5"/>
    <m/>
    <s v="Retail"/>
    <n v="23"/>
    <x v="4"/>
    <x v="11"/>
  </r>
  <r>
    <s v="ORD-01169"/>
    <d v="2024-07-29T00:00:00"/>
    <s v="CUST-0139"/>
    <s v="PROD-055"/>
    <x v="7"/>
    <n v="3"/>
    <n v="2860"/>
    <n v="22.7"/>
    <n v="6632.34"/>
    <s v="Completed"/>
    <s v="Hyderabad"/>
    <x v="1"/>
    <m/>
    <s v="SMB"/>
    <n v="65"/>
    <x v="0"/>
    <x v="0"/>
  </r>
  <r>
    <s v="ORD-01170"/>
    <d v="2024-05-17T00:00:00"/>
    <s v="CUST-0278"/>
    <s v="PROD-051"/>
    <x v="5"/>
    <n v="4"/>
    <n v="3450"/>
    <n v="9.1999999999999993"/>
    <n v="12530.4"/>
    <s v="Completed"/>
    <s v="Hyderabad"/>
    <x v="1"/>
    <m/>
    <s v="Retail"/>
    <n v="41"/>
    <x v="0"/>
    <x v="0"/>
  </r>
  <r>
    <s v="ORD-01171"/>
    <d v="2024-04-23T00:00:00"/>
    <s v="CUST-0258"/>
    <s v="PROD-033"/>
    <x v="11"/>
    <n v="4"/>
    <n v="2030"/>
    <n v="17.100000000000001"/>
    <n v="6731.48"/>
    <s v="Completed"/>
    <s v="Pune"/>
    <x v="3"/>
    <m/>
    <s v="Retail"/>
    <n v="44"/>
    <x v="0"/>
    <x v="0"/>
  </r>
  <r>
    <s v="ORD-01172"/>
    <d v="2024-04-19T00:00:00"/>
    <s v="CUST-0106"/>
    <s v="PROD-022"/>
    <x v="29"/>
    <n v="4"/>
    <n v="2270"/>
    <n v="27.3"/>
    <n v="6601.16"/>
    <s v="Completed"/>
    <s v="Pune"/>
    <x v="2"/>
    <m/>
    <s v="Retail"/>
    <n v="22"/>
    <x v="1"/>
    <x v="4"/>
  </r>
  <r>
    <s v="ORD-01173"/>
    <d v="2024-03-22T00:00:00"/>
    <s v="CUST-0009"/>
    <s v="PROD-034"/>
    <x v="22"/>
    <n v="9"/>
    <n v="5080"/>
    <n v="10.9"/>
    <n v="40736.519999999997"/>
    <s v="Completed"/>
    <s v="Mumbai"/>
    <x v="3"/>
    <m/>
    <s v="Retail"/>
    <n v="61"/>
    <x v="0"/>
    <x v="0"/>
  </r>
  <r>
    <s v="ORD-01174"/>
    <d v="2024-11-06T00:00:00"/>
    <s v="CUST-0209"/>
    <s v="PROD-026"/>
    <x v="20"/>
    <n v="8"/>
    <n v="4070"/>
    <n v="17.7"/>
    <n v="26796.880000000001"/>
    <s v="Completed"/>
    <s v="Pune"/>
    <x v="2"/>
    <m/>
    <s v="Retail"/>
    <n v="31"/>
    <x v="4"/>
    <x v="10"/>
  </r>
  <r>
    <s v="ORD-01175"/>
    <d v="2024-03-21T00:00:00"/>
    <s v="CUST-0111"/>
    <s v="PROD-041"/>
    <x v="1"/>
    <n v="1"/>
    <n v="1540"/>
    <n v="0.9"/>
    <n v="1526.14"/>
    <s v="Completed"/>
    <s v="Chennai"/>
    <x v="5"/>
    <m/>
    <s v="SMB"/>
    <n v="64"/>
    <x v="0"/>
    <x v="0"/>
  </r>
  <r>
    <s v="ORD-01176"/>
    <d v="2024-05-04T00:00:00"/>
    <s v="CUST-0014"/>
    <s v="PROD-048"/>
    <x v="6"/>
    <n v="10"/>
    <n v="5100"/>
    <n v="3"/>
    <n v="49470"/>
    <s v="Completed"/>
    <s v="Bengaluru"/>
    <x v="5"/>
    <m/>
    <s v="Retail"/>
    <n v="48"/>
    <x v="0"/>
    <x v="0"/>
  </r>
  <r>
    <s v="ORD-01177"/>
    <d v="2024-12-30T00:00:00"/>
    <s v="CUST-0073"/>
    <s v="PROD-014"/>
    <x v="3"/>
    <n v="6"/>
    <n v="3620"/>
    <n v="20.2"/>
    <n v="17332.560000000001"/>
    <s v="Completed"/>
    <s v="Pune"/>
    <x v="0"/>
    <m/>
    <s v="Corporate"/>
    <n v="40"/>
    <x v="2"/>
    <x v="2"/>
  </r>
  <r>
    <s v="ORD-01178"/>
    <d v="2024-02-02T00:00:00"/>
    <s v="CUST-0147"/>
    <s v="PROD-046"/>
    <x v="11"/>
    <n v="7"/>
    <n v="4880"/>
    <n v="5"/>
    <n v="32452"/>
    <s v="Completed"/>
    <s v="Pune"/>
    <x v="5"/>
    <m/>
    <s v="Retail"/>
    <n v="56"/>
    <x v="0"/>
    <x v="0"/>
  </r>
  <r>
    <s v="ORD-01179"/>
    <d v="2024-06-29T00:00:00"/>
    <s v="CUST-0006"/>
    <s v="PROD-010"/>
    <x v="6"/>
    <n v="1"/>
    <n v="2640"/>
    <n v="4.0999999999999996"/>
    <n v="2531.7600000000002"/>
    <s v="Completed"/>
    <s v="Pune"/>
    <x v="4"/>
    <m/>
    <s v="SMB"/>
    <n v="44"/>
    <x v="0"/>
    <x v="0"/>
  </r>
  <r>
    <s v="ORD-01180"/>
    <d v="2024-08-04T00:00:00"/>
    <s v="CUST-0031"/>
    <s v="PROD-026"/>
    <x v="16"/>
    <n v="9"/>
    <n v="4070"/>
    <n v="4.4000000000000004"/>
    <n v="35018.28"/>
    <s v="Completed"/>
    <s v="Hyderabad"/>
    <x v="2"/>
    <m/>
    <s v="Retail"/>
    <n v="53"/>
    <x v="0"/>
    <x v="0"/>
  </r>
  <r>
    <s v="ORD-01181"/>
    <d v="2024-11-21T00:00:00"/>
    <s v="CUST-0084"/>
    <s v="PROD-003"/>
    <x v="5"/>
    <n v="9"/>
    <n v="3570"/>
    <n v="24.8"/>
    <n v="24161.759999999998"/>
    <s v="Completed"/>
    <s v="Chennai"/>
    <x v="4"/>
    <m/>
    <s v="Retail"/>
    <n v="28"/>
    <x v="3"/>
    <x v="6"/>
  </r>
  <r>
    <s v="ORD-01182"/>
    <d v="2024-06-27T00:00:00"/>
    <s v="CUST-0203"/>
    <s v="PROD-043"/>
    <x v="1"/>
    <n v="10"/>
    <n v="3350"/>
    <n v="25.1"/>
    <n v="25091.5"/>
    <s v="Cancelled"/>
    <s v="Chennai"/>
    <x v="5"/>
    <m/>
    <s v="SMB"/>
    <n v="55"/>
    <x v="0"/>
    <x v="0"/>
  </r>
  <r>
    <s v="ORD-01183"/>
    <d v="2024-01-16T00:00:00"/>
    <s v="CUST-0138"/>
    <s v="PROD-059"/>
    <x v="5"/>
    <n v="3"/>
    <n v="3780"/>
    <n v="3.8"/>
    <n v="10909.08"/>
    <s v="Completed"/>
    <s v="Chennai"/>
    <x v="1"/>
    <m/>
    <s v="Retail"/>
    <n v="24"/>
    <x v="1"/>
    <x v="7"/>
  </r>
  <r>
    <s v="ORD-01184"/>
    <d v="2024-12-25T00:00:00"/>
    <s v="CUST-0157"/>
    <s v="PROD-003"/>
    <x v="4"/>
    <n v="4"/>
    <n v="3570"/>
    <n v="0.9"/>
    <n v="14151.48"/>
    <s v="Pending"/>
    <s v="Pune"/>
    <x v="4"/>
    <m/>
    <s v="Corporate"/>
    <n v="52"/>
    <x v="0"/>
    <x v="0"/>
  </r>
  <r>
    <s v="ORD-01185"/>
    <d v="2024-05-24T00:00:00"/>
    <s v="CUST-0298"/>
    <s v="PROD-055"/>
    <x v="6"/>
    <n v="5"/>
    <n v="2860"/>
    <n v="20.100000000000001"/>
    <n v="11425.7"/>
    <s v="Completed"/>
    <s v="Delhi"/>
    <x v="1"/>
    <m/>
    <s v="Retail"/>
    <n v="44"/>
    <x v="0"/>
    <x v="0"/>
  </r>
  <r>
    <s v="ORD-01186"/>
    <d v="2024-08-14T00:00:00"/>
    <s v="CUST-0132"/>
    <s v="PROD-016"/>
    <x v="11"/>
    <n v="1"/>
    <n v="620"/>
    <n v="1.1000000000000001"/>
    <n v="613.17999999999995"/>
    <s v="Cancelled"/>
    <s v="Delhi"/>
    <x v="0"/>
    <m/>
    <s v="Retail"/>
    <n v="41"/>
    <x v="0"/>
    <x v="0"/>
  </r>
  <r>
    <s v="ORD-01187"/>
    <d v="2024-05-20T00:00:00"/>
    <s v="CUST-0006"/>
    <s v="PROD-003"/>
    <x v="27"/>
    <n v="1"/>
    <n v="3570"/>
    <n v="11.1"/>
    <n v="3173.73"/>
    <s v="Cancelled"/>
    <s v="Pune"/>
    <x v="4"/>
    <m/>
    <s v="SMB"/>
    <n v="44"/>
    <x v="0"/>
    <x v="0"/>
  </r>
  <r>
    <s v="ORD-01188"/>
    <d v="2024-09-16T00:00:00"/>
    <s v="CUST-0011"/>
    <s v="PROD-001"/>
    <x v="27"/>
    <n v="1"/>
    <n v="5330"/>
    <n v="3.5"/>
    <n v="5143.45"/>
    <s v="Completed"/>
    <s v="Chennai"/>
    <x v="4"/>
    <m/>
    <s v="Corporate"/>
    <n v="41"/>
    <x v="0"/>
    <x v="0"/>
  </r>
  <r>
    <s v="ORD-01189"/>
    <d v="2024-02-26T00:00:00"/>
    <s v="CUST-0170"/>
    <s v="PROD-052"/>
    <x v="26"/>
    <n v="7"/>
    <n v="5410"/>
    <n v="26.2"/>
    <n v="27948.06"/>
    <s v="Completed"/>
    <s v="Mumbai"/>
    <x v="1"/>
    <m/>
    <s v="SMB"/>
    <n v="22"/>
    <x v="4"/>
    <x v="1"/>
  </r>
  <r>
    <s v="ORD-01190"/>
    <d v="2024-03-23T00:00:00"/>
    <s v="CUST-0109"/>
    <s v="PROD-034"/>
    <x v="29"/>
    <n v="10"/>
    <n v="5080"/>
    <n v="3.7"/>
    <n v="48920.4"/>
    <s v="Pending"/>
    <s v="Pune"/>
    <x v="3"/>
    <m/>
    <s v="Retail"/>
    <n v="42"/>
    <x v="0"/>
    <x v="0"/>
  </r>
  <r>
    <s v="ORD-01191"/>
    <d v="2024-03-19T00:00:00"/>
    <s v="CUST-0066"/>
    <s v="PROD-003"/>
    <x v="1"/>
    <n v="9"/>
    <n v="3570"/>
    <n v="5.6"/>
    <n v="30330.720000000001"/>
    <s v="Completed"/>
    <s v="Delhi"/>
    <x v="4"/>
    <m/>
    <s v="Retail"/>
    <n v="24"/>
    <x v="4"/>
    <x v="10"/>
  </r>
  <r>
    <s v="ORD-01192"/>
    <d v="2024-12-30T00:00:00"/>
    <s v="CUST-0055"/>
    <s v="PROD-030"/>
    <x v="24"/>
    <n v="9"/>
    <n v="970"/>
    <n v="19.5"/>
    <n v="7027.65"/>
    <s v="Completed"/>
    <s v="Bengaluru"/>
    <x v="2"/>
    <m/>
    <s v="Retail"/>
    <n v="34"/>
    <x v="1"/>
    <x v="10"/>
  </r>
  <r>
    <s v="ORD-01193"/>
    <d v="2024-03-06T00:00:00"/>
    <s v="CUST-0298"/>
    <s v="PROD-005"/>
    <x v="18"/>
    <n v="10"/>
    <n v="300"/>
    <n v="23"/>
    <n v="2310"/>
    <s v="Cancelled"/>
    <s v="Delhi"/>
    <x v="4"/>
    <m/>
    <s v="Retail"/>
    <n v="44"/>
    <x v="0"/>
    <x v="0"/>
  </r>
  <r>
    <s v="ORD-01194"/>
    <d v="2024-07-06T00:00:00"/>
    <s v="CUST-0024"/>
    <s v="PROD-050"/>
    <x v="11"/>
    <n v="10"/>
    <n v="6080"/>
    <n v="3.9"/>
    <n v="58428.800000000003"/>
    <s v="Completed"/>
    <s v="Chennai"/>
    <x v="5"/>
    <m/>
    <s v="SMB"/>
    <n v="64"/>
    <x v="0"/>
    <x v="0"/>
  </r>
  <r>
    <s v="ORD-01195"/>
    <d v="2024-09-04T00:00:00"/>
    <s v="CUST-0008"/>
    <s v="PROD-048"/>
    <x v="23"/>
    <n v="2"/>
    <n v="5100"/>
    <n v="11"/>
    <n v="9078"/>
    <s v="Completed"/>
    <s v="Pune"/>
    <x v="5"/>
    <m/>
    <s v="SMB"/>
    <n v="39"/>
    <x v="1"/>
    <x v="11"/>
  </r>
  <r>
    <s v="ORD-01196"/>
    <d v="2024-04-12T00:00:00"/>
    <s v="CUST-0070"/>
    <s v="PROD-011"/>
    <x v="7"/>
    <n v="9"/>
    <n v="3450"/>
    <n v="23.7"/>
    <n v="23691.15"/>
    <s v="Completed"/>
    <s v="Mumbai"/>
    <x v="0"/>
    <m/>
    <s v="Retail"/>
    <n v="42"/>
    <x v="0"/>
    <x v="0"/>
  </r>
  <r>
    <s v="ORD-01197"/>
    <d v="2024-02-13T00:00:00"/>
    <s v="CUST-0270"/>
    <s v="PROD-019"/>
    <x v="23"/>
    <n v="5"/>
    <n v="2480"/>
    <n v="20.399999999999999"/>
    <n v="9870.4"/>
    <s v="Completed"/>
    <s v="Bengaluru"/>
    <x v="0"/>
    <m/>
    <s v="Retail"/>
    <n v="29"/>
    <x v="3"/>
    <x v="4"/>
  </r>
  <r>
    <s v="ORD-01198"/>
    <d v="2024-02-12T00:00:00"/>
    <s v="CUST-0175"/>
    <s v="PROD-060"/>
    <x v="9"/>
    <n v="4"/>
    <n v="190"/>
    <n v="2.6"/>
    <n v="740.24"/>
    <s v="Completed"/>
    <s v="Delhi"/>
    <x v="1"/>
    <m/>
    <s v="Corporate"/>
    <n v="55"/>
    <x v="0"/>
    <x v="0"/>
  </r>
  <r>
    <s v="ORD-01199"/>
    <d v="2024-01-09T00:00:00"/>
    <s v="CUST-0227"/>
    <s v="PROD-022"/>
    <x v="16"/>
    <n v="4"/>
    <n v="2270"/>
    <n v="8.1"/>
    <n v="8344.52"/>
    <s v="Pending"/>
    <s v="Bengaluru"/>
    <x v="2"/>
    <m/>
    <s v="SMB"/>
    <n v="44"/>
    <x v="0"/>
    <x v="0"/>
  </r>
  <r>
    <s v="ORD-01200"/>
    <d v="2024-04-18T00:00:00"/>
    <s v="CUST-0041"/>
    <s v="PROD-017"/>
    <x v="8"/>
    <n v="7"/>
    <n v="2510"/>
    <n v="25.5"/>
    <n v="13089.65"/>
    <s v="Completed"/>
    <s v="Bengaluru"/>
    <x v="0"/>
    <m/>
    <s v="SMB"/>
    <n v="26"/>
    <x v="3"/>
    <x v="12"/>
  </r>
  <r>
    <s v="ORD-01201"/>
    <d v="2024-05-11T00:00:00"/>
    <s v="CUST-0147"/>
    <s v="PROD-059"/>
    <x v="10"/>
    <n v="3"/>
    <n v="3780"/>
    <n v="16.8"/>
    <n v="9434.8799999999992"/>
    <s v="Completed"/>
    <s v="Pune"/>
    <x v="1"/>
    <m/>
    <s v="Retail"/>
    <n v="56"/>
    <x v="0"/>
    <x v="0"/>
  </r>
  <r>
    <s v="ORD-01202"/>
    <d v="2024-08-14T00:00:00"/>
    <s v="CUST-0185"/>
    <s v="PROD-003"/>
    <x v="9"/>
    <n v="7"/>
    <n v="3570"/>
    <n v="23.7"/>
    <n v="19067.37"/>
    <s v="Completed"/>
    <s v="Hyderabad"/>
    <x v="4"/>
    <m/>
    <s v="SMB"/>
    <n v="43"/>
    <x v="0"/>
    <x v="0"/>
  </r>
  <r>
    <s v="ORD-01203"/>
    <d v="2024-09-24T00:00:00"/>
    <s v="CUST-0210"/>
    <s v="PROD-037"/>
    <x v="23"/>
    <n v="4"/>
    <n v="660"/>
    <n v="3.6"/>
    <n v="2544.96"/>
    <s v="Completed"/>
    <s v="Pune"/>
    <x v="3"/>
    <m/>
    <s v="Corporate"/>
    <n v="48"/>
    <x v="0"/>
    <x v="0"/>
  </r>
  <r>
    <s v="ORD-01204"/>
    <d v="2024-07-28T00:00:00"/>
    <s v="CUST-0289"/>
    <s v="PROD-030"/>
    <x v="9"/>
    <n v="7"/>
    <n v="970"/>
    <n v="23.7"/>
    <n v="5180.7700000000004"/>
    <s v="Completed"/>
    <s v="Mumbai"/>
    <x v="2"/>
    <m/>
    <s v="Retail"/>
    <n v="54"/>
    <x v="0"/>
    <x v="0"/>
  </r>
  <r>
    <s v="ORD-01205"/>
    <d v="2024-02-16T00:00:00"/>
    <s v="CUST-0017"/>
    <s v="PROD-024"/>
    <x v="3"/>
    <n v="8"/>
    <n v="2270"/>
    <n v="6.8"/>
    <n v="16925.12"/>
    <s v="Completed"/>
    <s v="Delhi"/>
    <x v="2"/>
    <m/>
    <s v="SMB"/>
    <n v="38"/>
    <x v="4"/>
    <x v="11"/>
  </r>
  <r>
    <s v="ORD-01206"/>
    <d v="2024-10-20T00:00:00"/>
    <s v="CUST-0115"/>
    <s v="PROD-058"/>
    <x v="27"/>
    <n v="1"/>
    <n v="2400"/>
    <n v="26.5"/>
    <n v="1764"/>
    <s v="Completed"/>
    <s v="Mumbai"/>
    <x v="1"/>
    <m/>
    <s v="SMB"/>
    <n v="65"/>
    <x v="0"/>
    <x v="0"/>
  </r>
  <r>
    <s v="ORD-01207"/>
    <d v="2024-08-21T00:00:00"/>
    <s v="CUST-0183"/>
    <s v="PROD-034"/>
    <x v="9"/>
    <n v="5"/>
    <n v="5080"/>
    <n v="29.6"/>
    <n v="17881.599999999999"/>
    <s v="Completed"/>
    <s v="Mumbai"/>
    <x v="3"/>
    <m/>
    <s v="SMB"/>
    <n v="27"/>
    <x v="4"/>
    <x v="9"/>
  </r>
  <r>
    <s v="ORD-01208"/>
    <d v="2024-02-29T00:00:00"/>
    <s v="CUST-0193"/>
    <s v="PROD-043"/>
    <x v="2"/>
    <n v="9"/>
    <n v="3350"/>
    <n v="6.2"/>
    <n v="28280.7"/>
    <s v="Completed"/>
    <s v="Bengaluru"/>
    <x v="5"/>
    <m/>
    <s v="Retail"/>
    <n v="42"/>
    <x v="0"/>
    <x v="0"/>
  </r>
  <r>
    <s v="ORD-01209"/>
    <d v="2024-09-25T00:00:00"/>
    <s v="CUST-0019"/>
    <s v="PROD-041"/>
    <x v="19"/>
    <n v="4"/>
    <n v="1540"/>
    <n v="22.2"/>
    <n v="4792.4799999999996"/>
    <s v="Completed"/>
    <s v="Chennai"/>
    <x v="5"/>
    <m/>
    <s v="Retail"/>
    <n v="22"/>
    <x v="4"/>
    <x v="5"/>
  </r>
  <r>
    <s v="ORD-01210"/>
    <d v="2024-05-19T00:00:00"/>
    <s v="CUST-0097"/>
    <s v="PROD-034"/>
    <x v="25"/>
    <n v="10"/>
    <n v="5080"/>
    <n v="11.8"/>
    <n v="44805.599999999999"/>
    <s v="Completed"/>
    <s v="Mumbai"/>
    <x v="3"/>
    <m/>
    <s v="Retail"/>
    <n v="65"/>
    <x v="0"/>
    <x v="0"/>
  </r>
  <r>
    <s v="ORD-01211"/>
    <d v="2024-01-05T00:00:00"/>
    <s v="CUST-0237"/>
    <s v="PROD-018"/>
    <x v="27"/>
    <n v="9"/>
    <n v="3560"/>
    <n v="15.9"/>
    <n v="26945.64"/>
    <s v="Completed"/>
    <s v="Mumbai"/>
    <x v="0"/>
    <m/>
    <s v="Retail"/>
    <n v="49"/>
    <x v="0"/>
    <x v="0"/>
  </r>
  <r>
    <s v="ORD-01212"/>
    <d v="2024-12-03T00:00:00"/>
    <s v="CUST-0252"/>
    <s v="PROD-040"/>
    <x v="18"/>
    <n v="2"/>
    <n v="1080"/>
    <n v="21.1"/>
    <n v="1704.24"/>
    <s v="Completed"/>
    <s v="Bengaluru"/>
    <x v="3"/>
    <m/>
    <s v="Retail"/>
    <n v="27"/>
    <x v="4"/>
    <x v="12"/>
  </r>
  <r>
    <s v="ORD-01213"/>
    <d v="2024-01-19T00:00:00"/>
    <s v="CUST-0216"/>
    <s v="PROD-023"/>
    <x v="26"/>
    <n v="5"/>
    <n v="2380"/>
    <n v="20.5"/>
    <n v="9460.5"/>
    <s v="Completed"/>
    <s v="Mumbai"/>
    <x v="2"/>
    <m/>
    <s v="Retail"/>
    <n v="50"/>
    <x v="0"/>
    <x v="0"/>
  </r>
  <r>
    <s v="ORD-01214"/>
    <d v="2024-07-25T00:00:00"/>
    <s v="CUST-0248"/>
    <s v="PROD-019"/>
    <x v="5"/>
    <n v="9"/>
    <n v="2480"/>
    <n v="1.2"/>
    <n v="22052.16"/>
    <s v="Completed"/>
    <s v="Chennai"/>
    <x v="0"/>
    <m/>
    <s v="SMB"/>
    <n v="57"/>
    <x v="0"/>
    <x v="0"/>
  </r>
  <r>
    <s v="ORD-01215"/>
    <d v="2024-02-26T00:00:00"/>
    <s v="CUST-0044"/>
    <s v="PROD-042"/>
    <x v="27"/>
    <n v="9"/>
    <n v="2290"/>
    <n v="0.9"/>
    <n v="20424.509999999998"/>
    <s v="Completed"/>
    <s v="Hyderabad"/>
    <x v="5"/>
    <m/>
    <s v="SMB"/>
    <n v="29"/>
    <x v="2"/>
    <x v="11"/>
  </r>
  <r>
    <s v="ORD-01216"/>
    <d v="2024-03-31T00:00:00"/>
    <s v="CUST-0251"/>
    <s v="PROD-011"/>
    <x v="23"/>
    <n v="3"/>
    <n v="3450"/>
    <n v="29.5"/>
    <n v="7296.75"/>
    <s v="Completed"/>
    <s v="Mumbai"/>
    <x v="0"/>
    <m/>
    <s v="Retail"/>
    <n v="44"/>
    <x v="0"/>
    <x v="0"/>
  </r>
  <r>
    <s v="ORD-01217"/>
    <d v="2024-10-04T00:00:00"/>
    <s v="CUST-0280"/>
    <s v="PROD-047"/>
    <x v="6"/>
    <n v="9"/>
    <n v="3450"/>
    <n v="19.399999999999999"/>
    <n v="25026.3"/>
    <s v="Completed"/>
    <s v="Delhi"/>
    <x v="5"/>
    <m/>
    <s v="SMB"/>
    <n v="27"/>
    <x v="4"/>
    <x v="10"/>
  </r>
  <r>
    <s v="ORD-01218"/>
    <d v="2024-08-12T00:00:00"/>
    <s v="CUST-0108"/>
    <s v="PROD-002"/>
    <x v="14"/>
    <n v="2"/>
    <n v="2600"/>
    <n v="20.2"/>
    <n v="4149.6000000000004"/>
    <s v="Cancelled"/>
    <s v="Bengaluru"/>
    <x v="4"/>
    <m/>
    <s v="Corporate"/>
    <n v="59"/>
    <x v="0"/>
    <x v="0"/>
  </r>
  <r>
    <s v="ORD-01219"/>
    <d v="2024-08-15T00:00:00"/>
    <s v="CUST-0058"/>
    <s v="PROD-021"/>
    <x v="5"/>
    <n v="1"/>
    <n v="2760"/>
    <n v="9.5"/>
    <n v="2497.8000000000002"/>
    <s v="Completed"/>
    <s v="Bengaluru"/>
    <x v="2"/>
    <m/>
    <s v="SMB"/>
    <n v="49"/>
    <x v="0"/>
    <x v="0"/>
  </r>
  <r>
    <s v="ORD-01220"/>
    <d v="2024-10-28T00:00:00"/>
    <s v="CUST-0090"/>
    <s v="PROD-039"/>
    <x v="11"/>
    <n v="4"/>
    <n v="4610"/>
    <n v="14.8"/>
    <n v="15710.88"/>
    <s v="Completed"/>
    <s v="Bengaluru"/>
    <x v="3"/>
    <m/>
    <s v="Corporate"/>
    <n v="26"/>
    <x v="2"/>
    <x v="6"/>
  </r>
  <r>
    <s v="ORD-01221"/>
    <d v="2024-08-28T00:00:00"/>
    <s v="CUST-0204"/>
    <s v="PROD-019"/>
    <x v="6"/>
    <n v="3"/>
    <n v="2480"/>
    <n v="3.7"/>
    <n v="7164.72"/>
    <s v="Completed"/>
    <s v="Hyderabad"/>
    <x v="0"/>
    <m/>
    <s v="Retail"/>
    <n v="60"/>
    <x v="0"/>
    <x v="0"/>
  </r>
  <r>
    <s v="ORD-01222"/>
    <d v="2024-11-14T00:00:00"/>
    <s v="CUST-0044"/>
    <s v="PROD-056"/>
    <x v="23"/>
    <n v="5"/>
    <n v="6940"/>
    <n v="0.3"/>
    <n v="34595.9"/>
    <s v="Completed"/>
    <s v="Hyderabad"/>
    <x v="1"/>
    <m/>
    <s v="SMB"/>
    <n v="29"/>
    <x v="2"/>
    <x v="6"/>
  </r>
  <r>
    <s v="ORD-01223"/>
    <d v="2024-09-25T00:00:00"/>
    <s v="CUST-0068"/>
    <s v="PROD-022"/>
    <x v="12"/>
    <n v="8"/>
    <n v="2270"/>
    <n v="15.6"/>
    <n v="15327.04"/>
    <s v="Pending"/>
    <s v="Delhi"/>
    <x v="2"/>
    <m/>
    <s v="SMB"/>
    <n v="48"/>
    <x v="0"/>
    <x v="0"/>
  </r>
  <r>
    <s v="ORD-01224"/>
    <d v="2024-05-19T00:00:00"/>
    <s v="CUST-0127"/>
    <s v="PROD-048"/>
    <x v="14"/>
    <n v="5"/>
    <n v="5100"/>
    <n v="9.5"/>
    <n v="23077.5"/>
    <s v="Completed"/>
    <s v="Bengaluru"/>
    <x v="5"/>
    <m/>
    <s v="SMB"/>
    <n v="36"/>
    <x v="3"/>
    <x v="1"/>
  </r>
  <r>
    <s v="ORD-01225"/>
    <d v="2024-10-29T00:00:00"/>
    <s v="CUST-0191"/>
    <s v="PROD-036"/>
    <x v="23"/>
    <n v="5"/>
    <n v="3250"/>
    <n v="8.1"/>
    <n v="14933.75"/>
    <s v="Completed"/>
    <s v="Hyderabad"/>
    <x v="3"/>
    <m/>
    <s v="SMB"/>
    <n v="43"/>
    <x v="0"/>
    <x v="0"/>
  </r>
  <r>
    <s v="ORD-01226"/>
    <d v="2024-11-13T00:00:00"/>
    <s v="CUST-0028"/>
    <s v="PROD-006"/>
    <x v="11"/>
    <n v="6"/>
    <n v="3970"/>
    <n v="18.8"/>
    <n v="19341.84"/>
    <s v="Pending"/>
    <s v="Bengaluru"/>
    <x v="4"/>
    <m/>
    <s v="Retail"/>
    <n v="59"/>
    <x v="0"/>
    <x v="0"/>
  </r>
  <r>
    <s v="ORD-01227"/>
    <d v="2024-09-11T00:00:00"/>
    <s v="CUST-0027"/>
    <s v="PROD-001"/>
    <x v="5"/>
    <n v="4"/>
    <n v="5330"/>
    <n v="19.7"/>
    <n v="17119.96"/>
    <s v="Completed"/>
    <s v="Hyderabad"/>
    <x v="4"/>
    <m/>
    <s v="Corporate"/>
    <n v="52"/>
    <x v="0"/>
    <x v="0"/>
  </r>
  <r>
    <s v="ORD-01228"/>
    <d v="2024-11-11T00:00:00"/>
    <s v="CUST-0193"/>
    <s v="PROD-008"/>
    <x v="10"/>
    <n v="7"/>
    <n v="2660"/>
    <n v="8.5"/>
    <n v="17037.3"/>
    <s v="Completed"/>
    <s v="Bengaluru"/>
    <x v="4"/>
    <m/>
    <s v="Retail"/>
    <n v="42"/>
    <x v="0"/>
    <x v="0"/>
  </r>
  <r>
    <s v="ORD-01229"/>
    <d v="2024-05-10T00:00:00"/>
    <s v="CUST-0202"/>
    <s v="PROD-012"/>
    <x v="20"/>
    <n v="5"/>
    <n v="3160"/>
    <n v="13.4"/>
    <n v="13682.8"/>
    <s v="Pending"/>
    <s v="Chennai"/>
    <x v="0"/>
    <m/>
    <s v="Retail"/>
    <n v="39"/>
    <x v="1"/>
    <x v="3"/>
  </r>
  <r>
    <s v="ORD-01230"/>
    <d v="2024-12-08T00:00:00"/>
    <s v="CUST-0230"/>
    <s v="PROD-054"/>
    <x v="7"/>
    <n v="10"/>
    <n v="1010"/>
    <n v="14"/>
    <n v="8686"/>
    <s v="Completed"/>
    <s v="Pune"/>
    <x v="1"/>
    <m/>
    <s v="Corporate"/>
    <n v="33"/>
    <x v="2"/>
    <x v="2"/>
  </r>
  <r>
    <s v="ORD-01231"/>
    <d v="2024-03-25T00:00:00"/>
    <s v="CUST-0280"/>
    <s v="PROD-041"/>
    <x v="11"/>
    <n v="3"/>
    <n v="1540"/>
    <n v="13.7"/>
    <n v="3987.06"/>
    <s v="Pending"/>
    <s v="Delhi"/>
    <x v="5"/>
    <m/>
    <s v="SMB"/>
    <n v="27"/>
    <x v="3"/>
    <x v="8"/>
  </r>
  <r>
    <s v="ORD-01232"/>
    <d v="2024-01-22T00:00:00"/>
    <s v="CUST-0196"/>
    <s v="PROD-048"/>
    <x v="18"/>
    <n v="10"/>
    <n v="5100"/>
    <n v="13.8"/>
    <n v="43962"/>
    <s v="Completed"/>
    <s v="Chennai"/>
    <x v="5"/>
    <m/>
    <s v="Retail"/>
    <n v="26"/>
    <x v="1"/>
    <x v="10"/>
  </r>
  <r>
    <s v="ORD-01233"/>
    <d v="2024-06-14T00:00:00"/>
    <s v="CUST-0019"/>
    <s v="PROD-007"/>
    <x v="14"/>
    <n v="3"/>
    <n v="1430"/>
    <n v="1.5"/>
    <n v="4225.6499999999996"/>
    <s v="Completed"/>
    <s v="Chennai"/>
    <x v="4"/>
    <m/>
    <s v="Retail"/>
    <n v="22"/>
    <x v="4"/>
    <x v="12"/>
  </r>
  <r>
    <s v="ORD-01234"/>
    <d v="2024-11-24T00:00:00"/>
    <s v="CUST-0201"/>
    <s v="PROD-038"/>
    <x v="22"/>
    <n v="8"/>
    <n v="5490"/>
    <n v="23.2"/>
    <n v="33730.559999999998"/>
    <s v="Completed"/>
    <s v="Hyderabad"/>
    <x v="3"/>
    <m/>
    <s v="Retail"/>
    <n v="31"/>
    <x v="2"/>
    <x v="7"/>
  </r>
  <r>
    <s v="ORD-01235"/>
    <d v="2024-07-22T00:00:00"/>
    <s v="CUST-0146"/>
    <s v="PROD-044"/>
    <x v="4"/>
    <n v="6"/>
    <n v="1650"/>
    <n v="16.8"/>
    <n v="8236.7999999999993"/>
    <s v="Completed"/>
    <s v="Hyderabad"/>
    <x v="5"/>
    <m/>
    <s v="Retail"/>
    <n v="22"/>
    <x v="4"/>
    <x v="3"/>
  </r>
  <r>
    <s v="ORD-01236"/>
    <d v="2024-06-17T00:00:00"/>
    <s v="CUST-0199"/>
    <s v="PROD-045"/>
    <x v="26"/>
    <n v="3"/>
    <n v="3020"/>
    <n v="14.5"/>
    <n v="7746.3"/>
    <s v="Completed"/>
    <s v="Hyderabad"/>
    <x v="5"/>
    <m/>
    <s v="SMB"/>
    <n v="31"/>
    <x v="1"/>
    <x v="11"/>
  </r>
  <r>
    <s v="ORD-01237"/>
    <d v="2024-05-26T00:00:00"/>
    <s v="CUST-0099"/>
    <s v="PROD-041"/>
    <x v="11"/>
    <n v="5"/>
    <n v="1540"/>
    <n v="27.2"/>
    <n v="5605.6"/>
    <s v="Completed"/>
    <s v="Bengaluru"/>
    <x v="5"/>
    <m/>
    <s v="SMB"/>
    <n v="54"/>
    <x v="0"/>
    <x v="0"/>
  </r>
  <r>
    <s v="ORD-00372"/>
    <d v="2024-01-16T00:00:00"/>
    <s v="CUST-0094"/>
    <s v="PROD-056"/>
    <x v="12"/>
    <n v="4"/>
    <n v="6940"/>
    <n v="3.2"/>
    <n v="26871.68"/>
    <s v="Completed"/>
    <s v="Pune"/>
    <x v="1"/>
    <m/>
    <s v="SMB"/>
    <n v="60"/>
    <x v="0"/>
    <x v="0"/>
  </r>
  <r>
    <s v="ORD-01239"/>
    <d v="2024-08-13T00:00:00"/>
    <s v="CUST-0275"/>
    <s v="PROD-048"/>
    <x v="21"/>
    <n v="2"/>
    <n v="5100"/>
    <n v="18.100000000000001"/>
    <n v="8353.7999999999993"/>
    <s v="Completed"/>
    <s v="Mumbai"/>
    <x v="5"/>
    <m/>
    <s v="Retail"/>
    <n v="36"/>
    <x v="3"/>
    <x v="12"/>
  </r>
  <r>
    <s v="ORD-01240"/>
    <d v="2024-10-10T00:00:00"/>
    <s v="CUST-0230"/>
    <s v="PROD-001"/>
    <x v="29"/>
    <n v="6"/>
    <n v="5330"/>
    <n v="0.3"/>
    <n v="31884.06"/>
    <s v="Pending"/>
    <s v="Pune"/>
    <x v="4"/>
    <m/>
    <s v="Corporate"/>
    <n v="33"/>
    <x v="3"/>
    <x v="6"/>
  </r>
  <r>
    <s v="ORD-01241"/>
    <d v="2024-06-06T00:00:00"/>
    <s v="CUST-0227"/>
    <s v="PROD-057"/>
    <x v="20"/>
    <n v="5"/>
    <n v="960"/>
    <n v="16.600000000000001"/>
    <n v="4003.2"/>
    <s v="Completed"/>
    <s v="Bengaluru"/>
    <x v="1"/>
    <m/>
    <s v="SMB"/>
    <n v="44"/>
    <x v="0"/>
    <x v="0"/>
  </r>
  <r>
    <s v="ORD-01365"/>
    <d v="2024-07-08T00:00:00"/>
    <s v="CUST-0200"/>
    <s v="PROD-014"/>
    <x v="24"/>
    <n v="7"/>
    <n v="3620"/>
    <n v="5.4"/>
    <n v="23971.64"/>
    <s v="Completed"/>
    <s v="Hyderabad"/>
    <x v="0"/>
    <m/>
    <s v="Corporate"/>
    <n v="46"/>
    <x v="0"/>
    <x v="0"/>
  </r>
  <r>
    <s v="ORD-01243"/>
    <d v="2024-03-17T00:00:00"/>
    <s v="CUST-0268"/>
    <s v="PROD-002"/>
    <x v="3"/>
    <n v="6"/>
    <n v="2600"/>
    <n v="25.9"/>
    <n v="11559.6"/>
    <s v="Completed"/>
    <s v="Chennai"/>
    <x v="4"/>
    <m/>
    <s v="Retail"/>
    <n v="35"/>
    <x v="3"/>
    <x v="11"/>
  </r>
  <r>
    <s v="ORD-01244"/>
    <d v="2024-01-07T00:00:00"/>
    <s v="CUST-0163"/>
    <s v="PROD-008"/>
    <x v="22"/>
    <n v="7"/>
    <n v="2660"/>
    <n v="20.2"/>
    <n v="14858.76"/>
    <s v="Completed"/>
    <s v="Pune"/>
    <x v="4"/>
    <m/>
    <s v="Retail"/>
    <n v="49"/>
    <x v="0"/>
    <x v="0"/>
  </r>
  <r>
    <s v="ORD-01245"/>
    <d v="2024-06-29T00:00:00"/>
    <s v="CUST-0233"/>
    <s v="PROD-019"/>
    <x v="24"/>
    <n v="9"/>
    <n v="2480"/>
    <n v="14.7"/>
    <n v="19038.96"/>
    <s v="Completed"/>
    <s v="Mumbai"/>
    <x v="0"/>
    <m/>
    <s v="SMB"/>
    <n v="65"/>
    <x v="0"/>
    <x v="0"/>
  </r>
  <r>
    <s v="ORD-01246"/>
    <d v="2024-10-03T00:00:00"/>
    <s v="CUST-0181"/>
    <s v="PROD-008"/>
    <x v="15"/>
    <n v="4"/>
    <n v="2660"/>
    <n v="8.9"/>
    <n v="9693.0400000000009"/>
    <s v="Completed"/>
    <s v="Delhi"/>
    <x v="4"/>
    <m/>
    <s v="SMB"/>
    <n v="38"/>
    <x v="3"/>
    <x v="7"/>
  </r>
  <r>
    <s v="ORD-01247"/>
    <d v="2024-09-05T00:00:00"/>
    <s v="CUST-0254"/>
    <s v="PROD-001"/>
    <x v="9"/>
    <n v="1"/>
    <n v="5330"/>
    <n v="26.8"/>
    <n v="3901.56"/>
    <s v="Completed"/>
    <s v="Bengaluru"/>
    <x v="4"/>
    <m/>
    <s v="Retail"/>
    <n v="35"/>
    <x v="4"/>
    <x v="9"/>
  </r>
  <r>
    <s v="ORD-01248"/>
    <d v="2024-09-09T00:00:00"/>
    <s v="CUST-0116"/>
    <s v="PROD-051"/>
    <x v="28"/>
    <n v="6"/>
    <n v="3450"/>
    <n v="19.2"/>
    <n v="16725.599999999999"/>
    <s v="Pending"/>
    <s v="Bengaluru"/>
    <x v="1"/>
    <m/>
    <s v="Retail"/>
    <n v="53"/>
    <x v="0"/>
    <x v="0"/>
  </r>
  <r>
    <s v="ORD-01249"/>
    <d v="2024-02-12T00:00:00"/>
    <s v="CUST-0259"/>
    <s v="PROD-060"/>
    <x v="5"/>
    <n v="10"/>
    <n v="190"/>
    <n v="18.100000000000001"/>
    <n v="1556.1"/>
    <s v="Completed"/>
    <s v="Mumbai"/>
    <x v="1"/>
    <m/>
    <s v="Retail"/>
    <n v="34"/>
    <x v="2"/>
    <x v="1"/>
  </r>
  <r>
    <s v="ORD-01250"/>
    <d v="2024-10-19T00:00:00"/>
    <s v="CUST-0198"/>
    <s v="PROD-006"/>
    <x v="18"/>
    <n v="9"/>
    <n v="3970"/>
    <n v="18.2"/>
    <n v="29227.14"/>
    <s v="Pending"/>
    <s v="Chennai"/>
    <x v="4"/>
    <m/>
    <s v="Corporate"/>
    <n v="22"/>
    <x v="2"/>
    <x v="5"/>
  </r>
  <r>
    <s v="ORD-01251"/>
    <d v="2024-04-22T00:00:00"/>
    <s v="CUST-0204"/>
    <s v="PROD-039"/>
    <x v="25"/>
    <n v="4"/>
    <n v="4610"/>
    <n v="15.1"/>
    <n v="15655.56"/>
    <s v="Cancelled"/>
    <s v="Hyderabad"/>
    <x v="3"/>
    <m/>
    <s v="Retail"/>
    <n v="60"/>
    <x v="0"/>
    <x v="0"/>
  </r>
  <r>
    <s v="ORD-01252"/>
    <d v="2024-07-03T00:00:00"/>
    <s v="CUST-0216"/>
    <s v="PROD-016"/>
    <x v="5"/>
    <n v="2"/>
    <n v="620"/>
    <n v="3.3"/>
    <n v="1199.08"/>
    <s v="Completed"/>
    <s v="Mumbai"/>
    <x v="0"/>
    <m/>
    <s v="Retail"/>
    <n v="50"/>
    <x v="0"/>
    <x v="0"/>
  </r>
  <r>
    <s v="ORD-01253"/>
    <d v="2024-07-08T00:00:00"/>
    <s v="CUST-0030"/>
    <s v="PROD-041"/>
    <x v="5"/>
    <n v="7"/>
    <n v="1540"/>
    <n v="27.5"/>
    <n v="7815.5"/>
    <s v="Completed"/>
    <s v="Bengaluru"/>
    <x v="5"/>
    <m/>
    <s v="Corporate"/>
    <n v="43"/>
    <x v="0"/>
    <x v="0"/>
  </r>
  <r>
    <s v="ORD-01254"/>
    <d v="2024-07-07T00:00:00"/>
    <s v="CUST-0019"/>
    <s v="PROD-053"/>
    <x v="21"/>
    <n v="10"/>
    <n v="470"/>
    <n v="3.9"/>
    <n v="4516.7"/>
    <s v="Completed"/>
    <s v="Chennai"/>
    <x v="1"/>
    <m/>
    <s v="Retail"/>
    <n v="22"/>
    <x v="2"/>
    <x v="11"/>
  </r>
  <r>
    <s v="ORD-01255"/>
    <d v="2024-11-07T00:00:00"/>
    <s v="CUST-0034"/>
    <s v="PROD-046"/>
    <x v="25"/>
    <n v="5"/>
    <n v="4880"/>
    <n v="27.4"/>
    <n v="17714.400000000001"/>
    <s v="Completed"/>
    <s v="Delhi"/>
    <x v="5"/>
    <m/>
    <s v="Retail"/>
    <n v="47"/>
    <x v="0"/>
    <x v="0"/>
  </r>
  <r>
    <s v="ORD-01256"/>
    <d v="2024-09-13T00:00:00"/>
    <s v="CUST-0063"/>
    <s v="PROD-052"/>
    <x v="20"/>
    <n v="1"/>
    <n v="5410"/>
    <n v="8.3000000000000007"/>
    <n v="4960.97"/>
    <s v="Completed"/>
    <s v="Mumbai"/>
    <x v="1"/>
    <m/>
    <s v="SMB"/>
    <n v="53"/>
    <x v="0"/>
    <x v="0"/>
  </r>
  <r>
    <s v="ORD-01257"/>
    <d v="2024-07-09T00:00:00"/>
    <s v="CUST-0203"/>
    <s v="PROD-004"/>
    <x v="24"/>
    <n v="8"/>
    <n v="3870"/>
    <n v="9.3000000000000007"/>
    <n v="28080.720000000001"/>
    <s v="Pending"/>
    <s v="Chennai"/>
    <x v="4"/>
    <m/>
    <s v="SMB"/>
    <n v="55"/>
    <x v="0"/>
    <x v="0"/>
  </r>
  <r>
    <s v="ORD-01258"/>
    <d v="2024-06-14T00:00:00"/>
    <s v="CUST-0016"/>
    <s v="PROD-010"/>
    <x v="21"/>
    <n v="10"/>
    <n v="2640"/>
    <n v="19.899999999999999"/>
    <n v="21146.400000000001"/>
    <s v="Completed"/>
    <s v="Delhi"/>
    <x v="4"/>
    <m/>
    <s v="SMB"/>
    <n v="26"/>
    <x v="3"/>
    <x v="11"/>
  </r>
  <r>
    <s v="ORD-01259"/>
    <d v="2024-08-04T00:00:00"/>
    <s v="CUST-0198"/>
    <s v="PROD-034"/>
    <x v="0"/>
    <n v="1"/>
    <n v="5080"/>
    <n v="8.6"/>
    <n v="4643.12"/>
    <s v="Completed"/>
    <s v="Chennai"/>
    <x v="3"/>
    <m/>
    <s v="Corporate"/>
    <n v="22"/>
    <x v="3"/>
    <x v="7"/>
  </r>
  <r>
    <s v="ORD-01260"/>
    <d v="2024-04-17T00:00:00"/>
    <s v="CUST-0212"/>
    <s v="PROD-036"/>
    <x v="26"/>
    <n v="9"/>
    <n v="3250"/>
    <n v="18.2"/>
    <n v="23926.5"/>
    <s v="Pending"/>
    <s v="Chennai"/>
    <x v="3"/>
    <m/>
    <s v="SMB"/>
    <n v="46"/>
    <x v="0"/>
    <x v="0"/>
  </r>
  <r>
    <s v="ORD-01261"/>
    <d v="2024-11-11T00:00:00"/>
    <s v="CUST-0265"/>
    <s v="PROD-006"/>
    <x v="25"/>
    <n v="8"/>
    <n v="3970"/>
    <n v="22.4"/>
    <n v="24645.759999999998"/>
    <s v="Completed"/>
    <s v="Chennai"/>
    <x v="4"/>
    <m/>
    <s v="Retail"/>
    <n v="49"/>
    <x v="0"/>
    <x v="0"/>
  </r>
  <r>
    <s v="ORD-01262"/>
    <d v="2024-04-25T00:00:00"/>
    <s v="CUST-0165"/>
    <s v="PROD-037"/>
    <x v="21"/>
    <n v="3"/>
    <n v="660"/>
    <n v="3.1"/>
    <n v="1918.62"/>
    <s v="Completed"/>
    <s v="Pune"/>
    <x v="3"/>
    <m/>
    <s v="Retail"/>
    <n v="29"/>
    <x v="1"/>
    <x v="3"/>
  </r>
  <r>
    <s v="ORD-01263"/>
    <d v="2024-03-06T00:00:00"/>
    <s v="CUST-0109"/>
    <s v="PROD-002"/>
    <x v="24"/>
    <n v="7"/>
    <n v="2600"/>
    <n v="15.4"/>
    <n v="15397.2"/>
    <s v="Completed"/>
    <s v="Pune"/>
    <x v="4"/>
    <m/>
    <s v="Retail"/>
    <n v="42"/>
    <x v="0"/>
    <x v="0"/>
  </r>
  <r>
    <s v="ORD-01264"/>
    <d v="2024-09-30T00:00:00"/>
    <s v="CUST-0155"/>
    <s v="PROD-037"/>
    <x v="15"/>
    <n v="9"/>
    <n v="660"/>
    <n v="23.7"/>
    <n v="4532.22"/>
    <s v="Completed"/>
    <s v="Pune"/>
    <x v="3"/>
    <m/>
    <s v="Corporate"/>
    <n v="40"/>
    <x v="3"/>
    <x v="10"/>
  </r>
  <r>
    <s v="ORD-01265"/>
    <d v="2024-04-13T00:00:00"/>
    <s v="CUST-0194"/>
    <s v="PROD-023"/>
    <x v="13"/>
    <n v="3"/>
    <n v="2380"/>
    <n v="19.5"/>
    <n v="5747.7"/>
    <s v="Cancelled"/>
    <s v="Delhi"/>
    <x v="2"/>
    <m/>
    <s v="SMB"/>
    <n v="55"/>
    <x v="0"/>
    <x v="0"/>
  </r>
  <r>
    <s v="ORD-01266"/>
    <d v="2024-11-28T00:00:00"/>
    <s v="CUST-0084"/>
    <s v="PROD-044"/>
    <x v="9"/>
    <n v="9"/>
    <n v="1650"/>
    <n v="2.5"/>
    <n v="14478.75"/>
    <s v="Completed"/>
    <s v="Chennai"/>
    <x v="5"/>
    <m/>
    <s v="Retail"/>
    <n v="28"/>
    <x v="3"/>
    <x v="4"/>
  </r>
  <r>
    <s v="ORD-01267"/>
    <d v="2024-12-24T00:00:00"/>
    <s v="CUST-9684"/>
    <s v="PROD-010"/>
    <x v="3"/>
    <n v="8"/>
    <n v="2640"/>
    <n v="24.4"/>
    <n v="15966.72"/>
    <s v="Completed"/>
    <s v="Mumbai"/>
    <x v="4"/>
    <m/>
    <e v="#N/A"/>
    <e v="#N/A"/>
    <x v="0"/>
    <x v="0"/>
  </r>
  <r>
    <s v="ORD-01268"/>
    <d v="2024-03-19T00:00:00"/>
    <s v="CUST-0218"/>
    <s v="PROD-023"/>
    <x v="22"/>
    <n v="8"/>
    <n v="2380"/>
    <n v="24.2"/>
    <n v="14432.32"/>
    <s v="Completed"/>
    <s v="Mumbai"/>
    <x v="2"/>
    <m/>
    <s v="Retail"/>
    <n v="39"/>
    <x v="1"/>
    <x v="8"/>
  </r>
  <r>
    <s v="ORD-01269"/>
    <d v="2024-03-22T00:00:00"/>
    <s v="CUST-0194"/>
    <s v="PROD-029"/>
    <x v="0"/>
    <n v="10"/>
    <n v="2210"/>
    <n v="3.6"/>
    <n v="21304.400000000001"/>
    <s v="Completed"/>
    <s v="Delhi"/>
    <x v="2"/>
    <m/>
    <s v="SMB"/>
    <n v="55"/>
    <x v="0"/>
    <x v="0"/>
  </r>
  <r>
    <s v="ORD-01270"/>
    <d v="2024-04-09T00:00:00"/>
    <s v="CUST-0037"/>
    <s v="PROD-050"/>
    <x v="26"/>
    <n v="9"/>
    <n v="6080"/>
    <n v="17.2"/>
    <n v="45308.160000000003"/>
    <s v="Pending"/>
    <s v="Bengaluru"/>
    <x v="5"/>
    <m/>
    <s v="Retail"/>
    <n v="52"/>
    <x v="0"/>
    <x v="0"/>
  </r>
  <r>
    <s v="ORD-01271"/>
    <d v="2024-02-10T00:00:00"/>
    <s v="CUST-0245"/>
    <s v="PROD-054"/>
    <x v="24"/>
    <n v="8"/>
    <n v="1010"/>
    <n v="12.3"/>
    <n v="7086.16"/>
    <s v="Completed"/>
    <s v="Hyderabad"/>
    <x v="1"/>
    <m/>
    <s v="Retail"/>
    <n v="65"/>
    <x v="0"/>
    <x v="0"/>
  </r>
  <r>
    <s v="ORD-01272"/>
    <d v="2024-10-17T00:00:00"/>
    <s v="CUST-0266"/>
    <s v="PROD-028"/>
    <x v="23"/>
    <n v="8"/>
    <n v="3660"/>
    <n v="8.4"/>
    <n v="26820.48"/>
    <s v="Completed"/>
    <s v="Pune"/>
    <x v="2"/>
    <m/>
    <s v="Retail"/>
    <n v="65"/>
    <x v="0"/>
    <x v="0"/>
  </r>
  <r>
    <s v="ORD-01273"/>
    <d v="2024-05-31T00:00:00"/>
    <s v="CUST-0058"/>
    <s v="PROD-039"/>
    <x v="20"/>
    <n v="8"/>
    <n v="4610"/>
    <n v="15.4"/>
    <n v="31200.48"/>
    <s v="Cancelled"/>
    <s v="Bengaluru"/>
    <x v="3"/>
    <m/>
    <s v="SMB"/>
    <n v="49"/>
    <x v="0"/>
    <x v="0"/>
  </r>
  <r>
    <s v="ORD-01274"/>
    <d v="2024-08-21T00:00:00"/>
    <s v="CUST-0058"/>
    <s v="PROD-048"/>
    <x v="3"/>
    <n v="9"/>
    <n v="5100"/>
    <n v="25.2"/>
    <n v="34333.199999999997"/>
    <s v="Cancelled"/>
    <s v="Bengaluru"/>
    <x v="5"/>
    <m/>
    <s v="SMB"/>
    <n v="49"/>
    <x v="0"/>
    <x v="0"/>
  </r>
  <r>
    <s v="ORD-01275"/>
    <d v="2024-03-26T00:00:00"/>
    <s v="CUST-0028"/>
    <s v="PROD-045"/>
    <x v="7"/>
    <n v="5"/>
    <n v="3020"/>
    <n v="23"/>
    <n v="11627"/>
    <s v="Completed"/>
    <s v="Bengaluru"/>
    <x v="5"/>
    <m/>
    <s v="Retail"/>
    <n v="59"/>
    <x v="0"/>
    <x v="0"/>
  </r>
  <r>
    <s v="ORD-01276"/>
    <d v="2024-05-01T00:00:00"/>
    <s v="CUST-0262"/>
    <s v="PROD-059"/>
    <x v="15"/>
    <n v="8"/>
    <n v="3780"/>
    <n v="17.100000000000001"/>
    <n v="25068.959999999999"/>
    <s v="Completed"/>
    <s v="Mumbai"/>
    <x v="1"/>
    <m/>
    <s v="Retail"/>
    <n v="52"/>
    <x v="0"/>
    <x v="0"/>
  </r>
  <r>
    <s v="ORD-01277"/>
    <d v="2024-05-25T00:00:00"/>
    <s v="CUST-0241"/>
    <s v="PROD-029"/>
    <x v="19"/>
    <n v="10"/>
    <n v="2210"/>
    <n v="8.5"/>
    <n v="20221.5"/>
    <s v="Completed"/>
    <s v="Pune"/>
    <x v="2"/>
    <m/>
    <s v="Corporate"/>
    <n v="47"/>
    <x v="0"/>
    <x v="0"/>
  </r>
  <r>
    <s v="ORD-01278"/>
    <d v="2024-11-08T00:00:00"/>
    <s v="CUST-0109"/>
    <s v="PROD-029"/>
    <x v="15"/>
    <n v="4"/>
    <n v="2210"/>
    <n v="3.1"/>
    <n v="8565.9599999999991"/>
    <s v="Completed"/>
    <s v="Pune"/>
    <x v="2"/>
    <m/>
    <s v="Retail"/>
    <n v="42"/>
    <x v="0"/>
    <x v="0"/>
  </r>
  <r>
    <s v="ORD-01279"/>
    <d v="2024-09-05T00:00:00"/>
    <s v="CUST-0228"/>
    <s v="PROD-044"/>
    <x v="15"/>
    <n v="1"/>
    <n v="1650"/>
    <n v="10"/>
    <n v="1485"/>
    <s v="Completed"/>
    <s v="Pune"/>
    <x v="5"/>
    <m/>
    <s v="Corporate"/>
    <n v="37"/>
    <x v="4"/>
    <x v="3"/>
  </r>
  <r>
    <s v="ORD-01280"/>
    <d v="2024-11-01T00:00:00"/>
    <s v="CUST-0239"/>
    <s v="PROD-060"/>
    <x v="1"/>
    <n v="6"/>
    <n v="190"/>
    <n v="3.5"/>
    <n v="1100.0999999999999"/>
    <s v="Cancelled"/>
    <s v="Mumbai"/>
    <x v="1"/>
    <m/>
    <s v="Retail"/>
    <n v="61"/>
    <x v="0"/>
    <x v="0"/>
  </r>
  <r>
    <s v="ORD-01281"/>
    <d v="2024-10-24T00:00:00"/>
    <s v="CUST-0092"/>
    <s v="PROD-055"/>
    <x v="28"/>
    <n v="8"/>
    <n v="2860"/>
    <n v="14.7"/>
    <n v="19516.64"/>
    <s v="Completed"/>
    <s v="Bengaluru"/>
    <x v="1"/>
    <m/>
    <s v="SMB"/>
    <n v="28"/>
    <x v="1"/>
    <x v="3"/>
  </r>
  <r>
    <s v="ORD-01282"/>
    <d v="2024-06-05T00:00:00"/>
    <s v="CUST-0283"/>
    <s v="PROD-005"/>
    <x v="14"/>
    <n v="9"/>
    <n v="300"/>
    <n v="19.5"/>
    <n v="2173.5"/>
    <s v="Completed"/>
    <s v="Delhi"/>
    <x v="4"/>
    <m/>
    <s v="SMB"/>
    <n v="50"/>
    <x v="0"/>
    <x v="0"/>
  </r>
  <r>
    <s v="ORD-01283"/>
    <d v="2024-11-12T00:00:00"/>
    <s v="CUST-0206"/>
    <s v="PROD-049"/>
    <x v="0"/>
    <n v="10"/>
    <n v="960"/>
    <n v="9.6999999999999993"/>
    <n v="8668.7999999999993"/>
    <s v="Completed"/>
    <s v="Mumbai"/>
    <x v="5"/>
    <m/>
    <s v="Retail"/>
    <n v="40"/>
    <x v="2"/>
    <x v="7"/>
  </r>
  <r>
    <s v="ORD-01284"/>
    <d v="2024-05-09T00:00:00"/>
    <s v="CUST-0174"/>
    <s v="PROD-020"/>
    <x v="22"/>
    <n v="5"/>
    <n v="820"/>
    <n v="0.5"/>
    <n v="4079.5"/>
    <s v="Completed"/>
    <s v="Pune"/>
    <x v="0"/>
    <m/>
    <s v="Retail"/>
    <n v="54"/>
    <x v="0"/>
    <x v="0"/>
  </r>
  <r>
    <s v="ORD-01285"/>
    <d v="2024-04-01T00:00:00"/>
    <s v="CUST-0040"/>
    <s v="PROD-032"/>
    <x v="10"/>
    <n v="2"/>
    <n v="370"/>
    <n v="10.5"/>
    <n v="662.3"/>
    <s v="Pending"/>
    <s v="Chennai"/>
    <x v="3"/>
    <m/>
    <s v="Retail"/>
    <n v="28"/>
    <x v="4"/>
    <x v="2"/>
  </r>
  <r>
    <s v="ORD-01286"/>
    <d v="2024-06-10T00:00:00"/>
    <s v="CUST-0153"/>
    <s v="PROD-038"/>
    <x v="12"/>
    <n v="9"/>
    <n v="5490"/>
    <n v="14.2"/>
    <n v="42393.78"/>
    <s v="Cancelled"/>
    <s v="Mumbai"/>
    <x v="3"/>
    <m/>
    <s v="Retail"/>
    <n v="35"/>
    <x v="1"/>
    <x v="4"/>
  </r>
  <r>
    <s v="ORD-01287"/>
    <d v="2024-04-16T00:00:00"/>
    <s v="CUST-0236"/>
    <s v="PROD-032"/>
    <x v="26"/>
    <n v="3"/>
    <n v="370"/>
    <n v="18.399999999999999"/>
    <n v="905.76"/>
    <s v="Completed"/>
    <s v="Hyderabad"/>
    <x v="3"/>
    <m/>
    <s v="SMB"/>
    <n v="28"/>
    <x v="3"/>
    <x v="7"/>
  </r>
  <r>
    <s v="ORD-01288"/>
    <d v="2024-10-19T00:00:00"/>
    <s v="CUST-0295"/>
    <s v="PROD-060"/>
    <x v="26"/>
    <n v="6"/>
    <n v="190"/>
    <n v="12.9"/>
    <n v="992.94"/>
    <s v="Completed"/>
    <s v="Delhi"/>
    <x v="1"/>
    <m/>
    <s v="SMB"/>
    <n v="48"/>
    <x v="0"/>
    <x v="0"/>
  </r>
  <r>
    <s v="ORD-01289"/>
    <d v="2024-04-15T00:00:00"/>
    <s v="CUST-0145"/>
    <s v="PROD-029"/>
    <x v="12"/>
    <n v="8"/>
    <n v="2210"/>
    <n v="9.8000000000000007"/>
    <n v="15947.36"/>
    <s v="Completed"/>
    <s v="Bengaluru"/>
    <x v="2"/>
    <m/>
    <s v="SMB"/>
    <n v="44"/>
    <x v="0"/>
    <x v="0"/>
  </r>
  <r>
    <s v="ORD-01290"/>
    <d v="2024-06-10T00:00:00"/>
    <s v="CUST-0192"/>
    <s v="PROD-044"/>
    <x v="18"/>
    <n v="7"/>
    <n v="1650"/>
    <n v="8.4"/>
    <n v="10579.8"/>
    <s v="Completed"/>
    <s v="Bengaluru"/>
    <x v="5"/>
    <m/>
    <s v="Retail"/>
    <n v="55"/>
    <x v="0"/>
    <x v="0"/>
  </r>
  <r>
    <s v="ORD-01291"/>
    <d v="2024-03-08T00:00:00"/>
    <s v="CUST-0148"/>
    <s v="PROD-037"/>
    <x v="22"/>
    <n v="8"/>
    <n v="660"/>
    <n v="7.5"/>
    <n v="4884"/>
    <s v="Completed"/>
    <s v="Chennai"/>
    <x v="3"/>
    <m/>
    <s v="Retail"/>
    <n v="32"/>
    <x v="4"/>
    <x v="7"/>
  </r>
  <r>
    <s v="ORD-01292"/>
    <d v="2024-12-18T00:00:00"/>
    <s v="CUST-0227"/>
    <s v="PROD-039"/>
    <x v="10"/>
    <n v="3"/>
    <n v="4610"/>
    <n v="29.6"/>
    <n v="9736.32"/>
    <s v="Completed"/>
    <s v="Bengaluru"/>
    <x v="3"/>
    <m/>
    <s v="SMB"/>
    <n v="44"/>
    <x v="0"/>
    <x v="0"/>
  </r>
  <r>
    <s v="ORD-01293"/>
    <d v="2024-02-03T00:00:00"/>
    <s v="CUST-0170"/>
    <s v="PROD-029"/>
    <x v="5"/>
    <n v="6"/>
    <n v="2210"/>
    <n v="9.5"/>
    <n v="12000.3"/>
    <s v="Completed"/>
    <s v="Mumbai"/>
    <x v="2"/>
    <m/>
    <s v="SMB"/>
    <n v="22"/>
    <x v="1"/>
    <x v="8"/>
  </r>
  <r>
    <s v="ORD-01294"/>
    <d v="2024-08-29T00:00:00"/>
    <s v="CUST-0102"/>
    <s v="PROD-042"/>
    <x v="21"/>
    <n v="4"/>
    <n v="2290"/>
    <n v="3.3"/>
    <n v="8857.7199999999993"/>
    <s v="Completed"/>
    <s v="Chennai"/>
    <x v="5"/>
    <m/>
    <s v="SMB"/>
    <n v="62"/>
    <x v="0"/>
    <x v="0"/>
  </r>
  <r>
    <s v="ORD-01295"/>
    <d v="2024-03-18T00:00:00"/>
    <s v="CUST-0071"/>
    <s v="PROD-040"/>
    <x v="17"/>
    <n v="5"/>
    <n v="1080"/>
    <n v="26.1"/>
    <n v="3990.6"/>
    <s v="Completed"/>
    <s v="Delhi"/>
    <x v="3"/>
    <m/>
    <s v="Corporate"/>
    <n v="46"/>
    <x v="0"/>
    <x v="0"/>
  </r>
  <r>
    <s v="ORD-01296"/>
    <d v="2024-01-21T00:00:00"/>
    <s v="CUST-0080"/>
    <s v="PROD-057"/>
    <x v="9"/>
    <n v="7"/>
    <n v="960"/>
    <n v="17.7"/>
    <n v="5530.56"/>
    <s v="Completed"/>
    <s v="Pune"/>
    <x v="1"/>
    <m/>
    <s v="SMB"/>
    <n v="30"/>
    <x v="2"/>
    <x v="10"/>
  </r>
  <r>
    <s v="ORD-01297"/>
    <d v="2024-06-02T00:00:00"/>
    <s v="CUST-0272"/>
    <s v="PROD-058"/>
    <x v="4"/>
    <n v="1"/>
    <n v="2400"/>
    <n v="29.9"/>
    <n v="1682.4"/>
    <s v="Completed"/>
    <s v="Mumbai"/>
    <x v="1"/>
    <m/>
    <s v="SMB"/>
    <n v="47"/>
    <x v="0"/>
    <x v="0"/>
  </r>
  <r>
    <s v="ORD-01298"/>
    <d v="2024-12-10T00:00:00"/>
    <s v="CUST-0076"/>
    <s v="PROD-042"/>
    <x v="9"/>
    <n v="9"/>
    <n v="2290"/>
    <n v="28.8"/>
    <n v="14674.32"/>
    <s v="Completed"/>
    <s v="Mumbai"/>
    <x v="5"/>
    <m/>
    <s v="Retail"/>
    <n v="38"/>
    <x v="1"/>
    <x v="7"/>
  </r>
  <r>
    <s v="ORD-01299"/>
    <d v="2024-01-03T00:00:00"/>
    <s v="CUST-0222"/>
    <s v="PROD-040"/>
    <x v="26"/>
    <n v="9"/>
    <n v="1080"/>
    <n v="10.3"/>
    <n v="8718.84"/>
    <s v="Completed"/>
    <s v="Chennai"/>
    <x v="3"/>
    <m/>
    <s v="Retail"/>
    <n v="37"/>
    <x v="4"/>
    <x v="8"/>
  </r>
  <r>
    <s v="ORD-01300"/>
    <d v="2024-06-06T00:00:00"/>
    <s v="CUST-0091"/>
    <s v="PROD-035"/>
    <x v="10"/>
    <n v="1"/>
    <n v="1090"/>
    <n v="5.8"/>
    <n v="1026.78"/>
    <s v="Cancelled"/>
    <s v="Delhi"/>
    <x v="3"/>
    <m/>
    <s v="Retail"/>
    <n v="55"/>
    <x v="0"/>
    <x v="0"/>
  </r>
  <r>
    <s v="ORD-01301"/>
    <d v="2024-09-25T00:00:00"/>
    <s v="CUST-0126"/>
    <s v="PROD-029"/>
    <x v="26"/>
    <n v="3"/>
    <n v="2210"/>
    <n v="18.2"/>
    <n v="5423.34"/>
    <s v="Pending"/>
    <s v="Mumbai"/>
    <x v="2"/>
    <m/>
    <s v="Retail"/>
    <n v="37"/>
    <x v="1"/>
    <x v="7"/>
  </r>
  <r>
    <s v="ORD-01302"/>
    <d v="2024-10-23T00:00:00"/>
    <s v="CUST-0241"/>
    <s v="PROD-014"/>
    <x v="15"/>
    <n v="8"/>
    <n v="3620"/>
    <n v="1.4"/>
    <n v="28554.560000000001"/>
    <s v="Completed"/>
    <s v="Pune"/>
    <x v="0"/>
    <m/>
    <s v="Corporate"/>
    <n v="47"/>
    <x v="0"/>
    <x v="0"/>
  </r>
  <r>
    <s v="ORD-01303"/>
    <d v="2024-03-09T00:00:00"/>
    <s v="CUST-0118"/>
    <s v="PROD-033"/>
    <x v="23"/>
    <n v="7"/>
    <n v="2030"/>
    <n v="27.7"/>
    <n v="10273.83"/>
    <s v="Completed"/>
    <s v="Hyderabad"/>
    <x v="3"/>
    <m/>
    <s v="Retail"/>
    <n v="26"/>
    <x v="4"/>
    <x v="9"/>
  </r>
  <r>
    <s v="ORD-01304"/>
    <d v="2024-01-25T00:00:00"/>
    <s v="CUST-0090"/>
    <s v="PROD-004"/>
    <x v="12"/>
    <n v="1"/>
    <n v="3870"/>
    <n v="29.6"/>
    <n v="2724.48"/>
    <s v="Completed"/>
    <s v="Bengaluru"/>
    <x v="4"/>
    <m/>
    <s v="Corporate"/>
    <n v="26"/>
    <x v="4"/>
    <x v="10"/>
  </r>
  <r>
    <s v="ORD-01305"/>
    <d v="2024-02-02T00:00:00"/>
    <s v="CUST-0037"/>
    <s v="PROD-003"/>
    <x v="2"/>
    <n v="5"/>
    <n v="3570"/>
    <n v="11.8"/>
    <n v="15743.7"/>
    <s v="Refunded"/>
    <s v="Bengaluru"/>
    <x v="4"/>
    <m/>
    <s v="Retail"/>
    <n v="52"/>
    <x v="0"/>
    <x v="0"/>
  </r>
  <r>
    <s v="ORD-01306"/>
    <d v="2024-12-24T00:00:00"/>
    <s v="CUST-0083"/>
    <s v="PROD-001"/>
    <x v="7"/>
    <n v="7"/>
    <n v="5330"/>
    <n v="8.1999999999999993"/>
    <n v="34250.58"/>
    <s v="Completed"/>
    <s v="Bengaluru"/>
    <x v="4"/>
    <m/>
    <s v="Corporate"/>
    <n v="31"/>
    <x v="4"/>
    <x v="5"/>
  </r>
  <r>
    <s v="ORD-01307"/>
    <d v="2024-09-29T00:00:00"/>
    <s v="CUST-0154"/>
    <s v="PROD-009"/>
    <x v="18"/>
    <n v="5"/>
    <n v="1220"/>
    <n v="17.8"/>
    <n v="5014.2"/>
    <s v="Refunded"/>
    <s v="Pune"/>
    <x v="4"/>
    <m/>
    <s v="Retail"/>
    <n v="36"/>
    <x v="3"/>
    <x v="8"/>
  </r>
  <r>
    <s v="ORD-01308"/>
    <d v="2024-10-22T00:00:00"/>
    <s v="CUST-0265"/>
    <s v="PROD-011"/>
    <x v="7"/>
    <n v="7"/>
    <n v="3450"/>
    <n v="29.3"/>
    <n v="17074.05"/>
    <s v="Completed"/>
    <s v="Chennai"/>
    <x v="0"/>
    <m/>
    <s v="Retail"/>
    <n v="49"/>
    <x v="0"/>
    <x v="0"/>
  </r>
  <r>
    <s v="ORD-01309"/>
    <d v="2024-09-03T00:00:00"/>
    <s v="CUST-0115"/>
    <s v="PROD-018"/>
    <x v="22"/>
    <n v="6"/>
    <n v="3560"/>
    <n v="9.4"/>
    <n v="19352.16"/>
    <s v="Pending"/>
    <s v="Mumbai"/>
    <x v="0"/>
    <m/>
    <s v="SMB"/>
    <n v="65"/>
    <x v="0"/>
    <x v="0"/>
  </r>
  <r>
    <s v="ORD-01310"/>
    <d v="2024-04-03T00:00:00"/>
    <s v="CUST-0274"/>
    <s v="PROD-032"/>
    <x v="1"/>
    <n v="4"/>
    <n v="370"/>
    <n v="4.9000000000000004"/>
    <n v="1407.48"/>
    <s v="Completed"/>
    <s v="Bengaluru"/>
    <x v="3"/>
    <m/>
    <s v="Corporate"/>
    <n v="36"/>
    <x v="4"/>
    <x v="1"/>
  </r>
  <r>
    <s v="ORD-01311"/>
    <d v="2024-12-21T00:00:00"/>
    <s v="CUST-0269"/>
    <s v="PROD-009"/>
    <x v="11"/>
    <n v="1"/>
    <n v="1220"/>
    <n v="15.2"/>
    <n v="1034.56"/>
    <s v="Completed"/>
    <s v="Pune"/>
    <x v="4"/>
    <m/>
    <s v="Retail"/>
    <n v="48"/>
    <x v="0"/>
    <x v="0"/>
  </r>
  <r>
    <s v="ORD-01312"/>
    <d v="2024-06-23T00:00:00"/>
    <s v="CUST-0045"/>
    <s v="PROD-013"/>
    <x v="3"/>
    <n v="3"/>
    <n v="3640"/>
    <n v="12.3"/>
    <n v="9576.84"/>
    <s v="Pending"/>
    <s v="Chennai"/>
    <x v="0"/>
    <m/>
    <s v="SMB"/>
    <n v="39"/>
    <x v="1"/>
    <x v="8"/>
  </r>
  <r>
    <s v="ORD-01313"/>
    <d v="2024-09-24T00:00:00"/>
    <s v="CUST-0054"/>
    <s v="PROD-045"/>
    <x v="9"/>
    <n v="8"/>
    <n v="3020"/>
    <n v="28.2"/>
    <n v="17346.88"/>
    <s v="Pending"/>
    <s v="Mumbai"/>
    <x v="5"/>
    <m/>
    <s v="Corporate"/>
    <n v="62"/>
    <x v="0"/>
    <x v="0"/>
  </r>
  <r>
    <s v="ORD-01314"/>
    <d v="2024-06-26T00:00:00"/>
    <s v="CUST-0160"/>
    <s v="PROD-048"/>
    <x v="4"/>
    <n v="3"/>
    <n v="5100"/>
    <n v="7.8"/>
    <n v="14106.6"/>
    <s v="Completed"/>
    <s v="Hyderabad"/>
    <x v="5"/>
    <m/>
    <s v="Retail"/>
    <n v="27"/>
    <x v="4"/>
    <x v="1"/>
  </r>
  <r>
    <s v="ORD-01315"/>
    <d v="2024-04-25T00:00:00"/>
    <s v="CUST-0163"/>
    <s v="PROD-005"/>
    <x v="19"/>
    <n v="9"/>
    <n v="300"/>
    <n v="19"/>
    <n v="2187"/>
    <s v="Completed"/>
    <s v="Pune"/>
    <x v="4"/>
    <m/>
    <s v="Retail"/>
    <n v="49"/>
    <x v="0"/>
    <x v="0"/>
  </r>
  <r>
    <s v="ORD-01316"/>
    <d v="2024-12-08T00:00:00"/>
    <s v="CUST-0006"/>
    <s v="PROD-042"/>
    <x v="0"/>
    <n v="10"/>
    <n v="2290"/>
    <n v="27.7"/>
    <n v="16556.7"/>
    <s v="Completed"/>
    <s v="Pune"/>
    <x v="5"/>
    <m/>
    <s v="SMB"/>
    <n v="44"/>
    <x v="0"/>
    <x v="0"/>
  </r>
  <r>
    <s v="ORD-01317"/>
    <d v="2024-06-11T00:00:00"/>
    <s v="CUST-0142"/>
    <s v="PROD-013"/>
    <x v="6"/>
    <n v="9"/>
    <n v="3640"/>
    <n v="20.100000000000001"/>
    <n v="26175.24"/>
    <s v="Completed"/>
    <s v="Chennai"/>
    <x v="0"/>
    <m/>
    <s v="Corporate"/>
    <n v="55"/>
    <x v="0"/>
    <x v="0"/>
  </r>
  <r>
    <s v="ORD-01318"/>
    <d v="2024-09-30T00:00:00"/>
    <s v="CUST-0262"/>
    <s v="PROD-020"/>
    <x v="24"/>
    <n v="4"/>
    <n v="820"/>
    <n v="7.6"/>
    <n v="3030.72"/>
    <s v="Completed"/>
    <s v="Mumbai"/>
    <x v="0"/>
    <m/>
    <s v="Retail"/>
    <n v="52"/>
    <x v="0"/>
    <x v="0"/>
  </r>
  <r>
    <s v="ORD-01319"/>
    <d v="2024-05-31T00:00:00"/>
    <s v="CUST-0049"/>
    <s v="PROD-030"/>
    <x v="2"/>
    <n v="1"/>
    <n v="970"/>
    <n v="1.7"/>
    <n v="953.51"/>
    <s v="Completed"/>
    <s v="Mumbai"/>
    <x v="2"/>
    <m/>
    <s v="Corporate"/>
    <n v="42"/>
    <x v="0"/>
    <x v="0"/>
  </r>
  <r>
    <s v="ORD-01320"/>
    <d v="2024-01-27T00:00:00"/>
    <s v="CUST-0204"/>
    <s v="PROD-018"/>
    <x v="7"/>
    <n v="5"/>
    <n v="3560"/>
    <n v="10.5"/>
    <n v="15931"/>
    <s v="Completed"/>
    <s v="Hyderabad"/>
    <x v="0"/>
    <m/>
    <s v="Retail"/>
    <n v="60"/>
    <x v="0"/>
    <x v="0"/>
  </r>
  <r>
    <s v="ORD-01321"/>
    <d v="2024-01-17T00:00:00"/>
    <s v="CUST-0164"/>
    <s v="PROD-035"/>
    <x v="18"/>
    <n v="6"/>
    <n v="1090"/>
    <n v="2.4"/>
    <n v="6383.04"/>
    <s v="Pending"/>
    <s v="Chennai"/>
    <x v="3"/>
    <m/>
    <s v="Retail"/>
    <n v="60"/>
    <x v="0"/>
    <x v="0"/>
  </r>
  <r>
    <s v="ORD-01322"/>
    <d v="2024-01-15T00:00:00"/>
    <s v="CUST-0003"/>
    <s v="PROD-008"/>
    <x v="21"/>
    <n v="6"/>
    <n v="2660"/>
    <n v="6.4"/>
    <n v="14938.56"/>
    <s v="Completed"/>
    <s v="Mumbai"/>
    <x v="4"/>
    <m/>
    <s v="Retail"/>
    <n v="33"/>
    <x v="4"/>
    <x v="12"/>
  </r>
  <r>
    <s v="ORD-01323"/>
    <d v="2024-05-20T00:00:00"/>
    <s v="CUST-0032"/>
    <s v="PROD-006"/>
    <x v="19"/>
    <n v="5"/>
    <n v="3970"/>
    <n v="18.8"/>
    <n v="16118.2"/>
    <s v="Pending"/>
    <s v="Hyderabad"/>
    <x v="4"/>
    <m/>
    <s v="Retail"/>
    <n v="28"/>
    <x v="3"/>
    <x v="12"/>
  </r>
  <r>
    <s v="ORD-01324"/>
    <d v="2024-03-18T00:00:00"/>
    <s v="CUST-0208"/>
    <s v="PROD-056"/>
    <x v="13"/>
    <n v="7"/>
    <n v="6940"/>
    <n v="23.8"/>
    <n v="37017.96"/>
    <s v="Refunded"/>
    <s v="Mumbai"/>
    <x v="1"/>
    <m/>
    <s v="Retail"/>
    <n v="49"/>
    <x v="0"/>
    <x v="0"/>
  </r>
  <r>
    <s v="ORD-01325"/>
    <d v="2024-09-09T00:00:00"/>
    <s v="CUST-0183"/>
    <s v="PROD-058"/>
    <x v="10"/>
    <n v="3"/>
    <n v="2400"/>
    <n v="9.8000000000000007"/>
    <n v="6494.4"/>
    <s v="Completed"/>
    <s v="Mumbai"/>
    <x v="1"/>
    <m/>
    <s v="SMB"/>
    <n v="27"/>
    <x v="3"/>
    <x v="10"/>
  </r>
  <r>
    <s v="ORD-01326"/>
    <d v="2024-04-13T00:00:00"/>
    <s v="CUST-0021"/>
    <s v="PROD-051"/>
    <x v="12"/>
    <n v="8"/>
    <n v="3450"/>
    <n v="26.6"/>
    <n v="20258.400000000001"/>
    <s v="Cancelled"/>
    <s v="Pune"/>
    <x v="1"/>
    <m/>
    <s v="Retail"/>
    <n v="44"/>
    <x v="0"/>
    <x v="0"/>
  </r>
  <r>
    <s v="ORD-01327"/>
    <d v="2024-04-07T00:00:00"/>
    <s v="CUST-0080"/>
    <s v="PROD-009"/>
    <x v="10"/>
    <n v="4"/>
    <n v="1220"/>
    <n v="5.5"/>
    <n v="4611.6000000000004"/>
    <s v="Completed"/>
    <s v="Pune"/>
    <x v="4"/>
    <m/>
    <s v="SMB"/>
    <n v="30"/>
    <x v="3"/>
    <x v="4"/>
  </r>
  <r>
    <s v="ORD-01328"/>
    <d v="2024-09-01T00:00:00"/>
    <s v="CUST-0286"/>
    <s v="PROD-016"/>
    <x v="0"/>
    <n v="1"/>
    <n v="620"/>
    <n v="22.3"/>
    <n v="481.74"/>
    <s v="Pending"/>
    <s v="Delhi"/>
    <x v="0"/>
    <m/>
    <s v="Retail"/>
    <n v="62"/>
    <x v="0"/>
    <x v="0"/>
  </r>
  <r>
    <s v="ORD-01329"/>
    <d v="2024-02-26T00:00:00"/>
    <s v="CUST-0152"/>
    <s v="PROD-005"/>
    <x v="12"/>
    <n v="1"/>
    <n v="300"/>
    <n v="12.5"/>
    <n v="262.5"/>
    <s v="Completed"/>
    <s v="Bengaluru"/>
    <x v="4"/>
    <m/>
    <s v="SMB"/>
    <n v="64"/>
    <x v="0"/>
    <x v="0"/>
  </r>
  <r>
    <s v="ORD-01330"/>
    <d v="2024-07-29T00:00:00"/>
    <s v="CUST-0254"/>
    <s v="PROD-054"/>
    <x v="16"/>
    <n v="3"/>
    <n v="1010"/>
    <n v="14.1"/>
    <n v="2602.77"/>
    <s v="Completed"/>
    <s v="Bengaluru"/>
    <x v="1"/>
    <m/>
    <s v="Retail"/>
    <n v="35"/>
    <x v="3"/>
    <x v="5"/>
  </r>
  <r>
    <s v="ORD-01331"/>
    <d v="2024-11-04T00:00:00"/>
    <s v="CUST-0290"/>
    <s v="PROD-034"/>
    <x v="28"/>
    <n v="2"/>
    <n v="5080"/>
    <n v="16.8"/>
    <n v="8453.1200000000008"/>
    <s v="Completed"/>
    <s v="Delhi"/>
    <x v="3"/>
    <m/>
    <s v="Retail"/>
    <n v="63"/>
    <x v="0"/>
    <x v="0"/>
  </r>
  <r>
    <s v="ORD-01332"/>
    <d v="2024-05-04T00:00:00"/>
    <s v="CUST-0101"/>
    <s v="PROD-012"/>
    <x v="28"/>
    <n v="2"/>
    <n v="3160"/>
    <n v="21.4"/>
    <n v="4967.5200000000004"/>
    <s v="Completed"/>
    <s v="Hyderabad"/>
    <x v="0"/>
    <m/>
    <s v="SMB"/>
    <n v="40"/>
    <x v="2"/>
    <x v="3"/>
  </r>
  <r>
    <s v="ORD-01333"/>
    <d v="2024-08-31T00:00:00"/>
    <s v="CUST-0058"/>
    <s v="PROD-047"/>
    <x v="29"/>
    <n v="7"/>
    <n v="3450"/>
    <n v="21.3"/>
    <n v="19006.05"/>
    <s v="Completed"/>
    <s v="Bengaluru"/>
    <x v="5"/>
    <m/>
    <s v="SMB"/>
    <n v="49"/>
    <x v="0"/>
    <x v="0"/>
  </r>
  <r>
    <s v="ORD-01334"/>
    <d v="2024-01-31T00:00:00"/>
    <s v="CUST-0296"/>
    <s v="PROD-001"/>
    <x v="3"/>
    <n v="2"/>
    <n v="5330"/>
    <n v="4.3"/>
    <n v="10201.620000000001"/>
    <s v="Completed"/>
    <s v="Delhi"/>
    <x v="4"/>
    <m/>
    <s v="Corporate"/>
    <n v="47"/>
    <x v="0"/>
    <x v="0"/>
  </r>
  <r>
    <s v="ORD-01335"/>
    <d v="2024-11-30T00:00:00"/>
    <s v="CUST-0249"/>
    <s v="PROD-056"/>
    <x v="2"/>
    <n v="5"/>
    <n v="6940"/>
    <n v="2.9"/>
    <n v="33693.699999999997"/>
    <s v="Completed"/>
    <s v="Mumbai"/>
    <x v="1"/>
    <m/>
    <s v="Retail"/>
    <n v="44"/>
    <x v="0"/>
    <x v="0"/>
  </r>
  <r>
    <s v="ORD-01336"/>
    <d v="2024-08-30T00:00:00"/>
    <s v="CUST-0055"/>
    <s v="PROD-037"/>
    <x v="8"/>
    <n v="5"/>
    <n v="660"/>
    <n v="15.8"/>
    <n v="2778.6"/>
    <s v="Completed"/>
    <s v="Bengaluru"/>
    <x v="3"/>
    <m/>
    <s v="Retail"/>
    <n v="34"/>
    <x v="4"/>
    <x v="3"/>
  </r>
  <r>
    <s v="ORD-01337"/>
    <d v="2024-08-15T00:00:00"/>
    <s v="CUST-0005"/>
    <s v="PROD-048"/>
    <x v="22"/>
    <n v="9"/>
    <n v="5100"/>
    <n v="0.4"/>
    <n v="45716.4"/>
    <s v="Completed"/>
    <s v="Chennai"/>
    <x v="5"/>
    <m/>
    <s v="Corporate"/>
    <n v="52"/>
    <x v="0"/>
    <x v="0"/>
  </r>
  <r>
    <s v="ORD-01338"/>
    <d v="2024-01-24T00:00:00"/>
    <s v="CUST-9595"/>
    <s v="PROD-044"/>
    <x v="2"/>
    <n v="5"/>
    <n v="1650"/>
    <n v="0.8"/>
    <n v="8184"/>
    <s v="Pending"/>
    <s v="Chennai"/>
    <x v="5"/>
    <m/>
    <e v="#N/A"/>
    <e v="#N/A"/>
    <x v="0"/>
    <x v="0"/>
  </r>
  <r>
    <s v="ORD-01339"/>
    <d v="2024-10-01T00:00:00"/>
    <s v="CUST-0138"/>
    <s v="PROD-013"/>
    <x v="26"/>
    <n v="7"/>
    <n v="3640"/>
    <n v="25.5"/>
    <n v="18982.599999999999"/>
    <s v="Completed"/>
    <s v="Chennai"/>
    <x v="0"/>
    <m/>
    <s v="Retail"/>
    <n v="24"/>
    <x v="4"/>
    <x v="12"/>
  </r>
  <r>
    <s v="ORD-01340"/>
    <d v="2024-12-17T00:00:00"/>
    <s v="CUST-0112"/>
    <s v="PROD-046"/>
    <x v="20"/>
    <n v="6"/>
    <n v="4880"/>
    <n v="12.6"/>
    <n v="25590.720000000001"/>
    <s v="Cancelled"/>
    <s v="Hyderabad"/>
    <x v="5"/>
    <m/>
    <s v="Retail"/>
    <n v="64"/>
    <x v="0"/>
    <x v="0"/>
  </r>
  <r>
    <s v="ORD-01341"/>
    <d v="2024-05-10T00:00:00"/>
    <s v="CUST-0254"/>
    <s v="PROD-001"/>
    <x v="8"/>
    <n v="4"/>
    <n v="5330"/>
    <n v="16.2"/>
    <n v="17866.16"/>
    <s v="Completed"/>
    <s v="Bengaluru"/>
    <x v="4"/>
    <m/>
    <s v="Retail"/>
    <n v="35"/>
    <x v="2"/>
    <x v="8"/>
  </r>
  <r>
    <s v="ORD-01342"/>
    <d v="2024-04-18T00:00:00"/>
    <s v="CUST-0087"/>
    <s v="PROD-038"/>
    <x v="12"/>
    <n v="3"/>
    <n v="5490"/>
    <n v="26.7"/>
    <n v="12072.51"/>
    <s v="Completed"/>
    <s v="Pune"/>
    <x v="3"/>
    <m/>
    <s v="SMB"/>
    <n v="49"/>
    <x v="0"/>
    <x v="0"/>
  </r>
  <r>
    <s v="ORD-01343"/>
    <d v="2024-09-29T00:00:00"/>
    <s v="CUST-0142"/>
    <s v="PROD-060"/>
    <x v="25"/>
    <n v="7"/>
    <n v="190"/>
    <n v="11.6"/>
    <n v="1175.72"/>
    <s v="Completed"/>
    <s v="Chennai"/>
    <x v="1"/>
    <m/>
    <s v="Corporate"/>
    <n v="55"/>
    <x v="0"/>
    <x v="0"/>
  </r>
  <r>
    <s v="ORD-01344"/>
    <d v="2024-05-25T00:00:00"/>
    <s v="CUST-0293"/>
    <s v="PROD-012"/>
    <x v="29"/>
    <n v="5"/>
    <n v="3160"/>
    <n v="24.1"/>
    <n v="11992.2"/>
    <s v="Completed"/>
    <s v="Bengaluru"/>
    <x v="0"/>
    <m/>
    <s v="Retail"/>
    <n v="27"/>
    <x v="1"/>
    <x v="1"/>
  </r>
  <r>
    <s v="ORD-01345"/>
    <d v="2024-04-13T00:00:00"/>
    <s v="CUST-0025"/>
    <s v="PROD-035"/>
    <x v="12"/>
    <n v="1"/>
    <n v="1090"/>
    <n v="9.6"/>
    <n v="985.36"/>
    <s v="Refunded"/>
    <s v="Bengaluru"/>
    <x v="3"/>
    <m/>
    <s v="Retail"/>
    <n v="23"/>
    <x v="4"/>
    <x v="2"/>
  </r>
  <r>
    <s v="ORD-01346"/>
    <d v="2024-06-04T00:00:00"/>
    <s v="CUST-0096"/>
    <s v="PROD-032"/>
    <x v="10"/>
    <n v="9"/>
    <n v="370"/>
    <n v="4"/>
    <n v="3196.8"/>
    <s v="Completed"/>
    <s v="Delhi"/>
    <x v="3"/>
    <m/>
    <s v="Corporate"/>
    <n v="27"/>
    <x v="3"/>
    <x v="4"/>
  </r>
  <r>
    <s v="ORD-01347"/>
    <d v="2024-01-09T00:00:00"/>
    <s v="CUST-0069"/>
    <s v="PROD-008"/>
    <x v="25"/>
    <n v="5"/>
    <n v="2660"/>
    <n v="24.6"/>
    <n v="10028.200000000001"/>
    <s v="Cancelled"/>
    <s v="Chennai"/>
    <x v="4"/>
    <m/>
    <s v="Retail"/>
    <n v="51"/>
    <x v="0"/>
    <x v="0"/>
  </r>
  <r>
    <s v="ORD-01348"/>
    <d v="2024-02-05T00:00:00"/>
    <s v="CUST-0220"/>
    <s v="PROD-018"/>
    <x v="26"/>
    <n v="4"/>
    <n v="3560"/>
    <n v="25.7"/>
    <n v="10580.32"/>
    <s v="Completed"/>
    <s v="Chennai"/>
    <x v="0"/>
    <m/>
    <s v="Retail"/>
    <n v="34"/>
    <x v="1"/>
    <x v="12"/>
  </r>
  <r>
    <s v="ORD-01349"/>
    <d v="2024-04-28T00:00:00"/>
    <s v="CUST-0005"/>
    <s v="PROD-049"/>
    <x v="1"/>
    <n v="8"/>
    <n v="960"/>
    <n v="0.1"/>
    <n v="7672.32"/>
    <s v="Completed"/>
    <s v="Chennai"/>
    <x v="5"/>
    <m/>
    <s v="Corporate"/>
    <n v="52"/>
    <x v="0"/>
    <x v="0"/>
  </r>
  <r>
    <s v="ORD-01350"/>
    <d v="2024-12-18T00:00:00"/>
    <s v="CUST-0222"/>
    <s v="PROD-032"/>
    <x v="6"/>
    <n v="10"/>
    <n v="370"/>
    <n v="16.399999999999999"/>
    <n v="3093.2"/>
    <s v="Cancelled"/>
    <s v="Chennai"/>
    <x v="3"/>
    <m/>
    <s v="Retail"/>
    <n v="37"/>
    <x v="1"/>
    <x v="4"/>
  </r>
  <r>
    <s v="ORD-01351"/>
    <d v="2024-04-17T00:00:00"/>
    <s v="CUST-0039"/>
    <s v="PROD-015"/>
    <x v="20"/>
    <n v="4"/>
    <n v="2720"/>
    <n v="3.1"/>
    <n v="10542.72"/>
    <s v="Completed"/>
    <s v="Bengaluru"/>
    <x v="0"/>
    <m/>
    <s v="Retail"/>
    <n v="37"/>
    <x v="2"/>
    <x v="8"/>
  </r>
  <r>
    <s v="ORD-01352"/>
    <d v="2024-05-29T00:00:00"/>
    <s v="CUST-0224"/>
    <s v="PROD-034"/>
    <x v="1"/>
    <n v="10"/>
    <n v="5080"/>
    <n v="6.8"/>
    <n v="47345.599999999999"/>
    <s v="Completed"/>
    <s v="Chennai"/>
    <x v="3"/>
    <m/>
    <s v="Corporate"/>
    <n v="24"/>
    <x v="2"/>
    <x v="4"/>
  </r>
  <r>
    <s v="ORD-01353"/>
    <d v="2024-03-28T00:00:00"/>
    <s v="CUST-0288"/>
    <s v="PROD-042"/>
    <x v="4"/>
    <n v="6"/>
    <n v="2290"/>
    <n v="22.6"/>
    <n v="10634.76"/>
    <s v="Completed"/>
    <s v="Hyderabad"/>
    <x v="5"/>
    <m/>
    <s v="Corporate"/>
    <n v="25"/>
    <x v="1"/>
    <x v="2"/>
  </r>
  <r>
    <s v="ORD-01354"/>
    <d v="2024-07-29T00:00:00"/>
    <s v="CUST-0002"/>
    <s v="PROD-021"/>
    <x v="3"/>
    <n v="4"/>
    <n v="2760"/>
    <n v="27.2"/>
    <n v="8037.12"/>
    <s v="Refunded"/>
    <s v="Pune"/>
    <x v="2"/>
    <m/>
    <s v="Corporate"/>
    <n v="42"/>
    <x v="0"/>
    <x v="0"/>
  </r>
  <r>
    <s v="ORD-01355"/>
    <d v="2024-06-23T00:00:00"/>
    <s v="CUST-0172"/>
    <s v="PROD-024"/>
    <x v="28"/>
    <n v="9"/>
    <n v="2270"/>
    <n v="5.2"/>
    <n v="19367.64"/>
    <s v="Completed"/>
    <s v="Pune"/>
    <x v="2"/>
    <m/>
    <s v="Retail"/>
    <n v="65"/>
    <x v="0"/>
    <x v="0"/>
  </r>
  <r>
    <s v="ORD-01356"/>
    <d v="2024-07-27T00:00:00"/>
    <s v="CUST-0287"/>
    <s v="PROD-017"/>
    <x v="4"/>
    <n v="3"/>
    <n v="2510"/>
    <n v="16.399999999999999"/>
    <n v="6295.08"/>
    <s v="Completed"/>
    <s v="Chennai"/>
    <x v="0"/>
    <m/>
    <s v="SMB"/>
    <n v="53"/>
    <x v="0"/>
    <x v="0"/>
  </r>
  <r>
    <s v="ORD-01357"/>
    <d v="2024-02-15T00:00:00"/>
    <s v="CUST-0020"/>
    <s v="PROD-023"/>
    <x v="27"/>
    <n v="1"/>
    <n v="2380"/>
    <n v="23.5"/>
    <n v="1820.7"/>
    <s v="Completed"/>
    <s v="Hyderabad"/>
    <x v="2"/>
    <m/>
    <s v="Retail"/>
    <n v="46"/>
    <x v="0"/>
    <x v="0"/>
  </r>
  <r>
    <s v="ORD-01358"/>
    <d v="2024-06-04T00:00:00"/>
    <s v="CUST-0039"/>
    <s v="PROD-059"/>
    <x v="7"/>
    <n v="2"/>
    <n v="3780"/>
    <n v="29.1"/>
    <n v="5360.04"/>
    <s v="Completed"/>
    <s v="Bengaluru"/>
    <x v="1"/>
    <m/>
    <s v="Retail"/>
    <n v="37"/>
    <x v="4"/>
    <x v="5"/>
  </r>
  <r>
    <s v="ORD-01359"/>
    <d v="2024-09-11T00:00:00"/>
    <s v="CUST-0128"/>
    <s v="PROD-011"/>
    <x v="17"/>
    <n v="1"/>
    <n v="3450"/>
    <n v="17.8"/>
    <n v="2835.9"/>
    <s v="Completed"/>
    <s v="Hyderabad"/>
    <x v="0"/>
    <m/>
    <s v="Retail"/>
    <n v="35"/>
    <x v="3"/>
    <x v="7"/>
  </r>
  <r>
    <s v="ORD-01360"/>
    <d v="2024-06-08T00:00:00"/>
    <s v="CUST-0149"/>
    <s v="PROD-046"/>
    <x v="3"/>
    <n v="6"/>
    <n v="4880"/>
    <n v="15.6"/>
    <n v="24712.32"/>
    <s v="Pending"/>
    <s v="Hyderabad"/>
    <x v="5"/>
    <m/>
    <s v="Retail"/>
    <n v="44"/>
    <x v="0"/>
    <x v="0"/>
  </r>
  <r>
    <s v="ORD-01361"/>
    <d v="2024-05-15T00:00:00"/>
    <s v="CUST-0101"/>
    <s v="PROD-049"/>
    <x v="29"/>
    <n v="6"/>
    <n v="960"/>
    <n v="7.5"/>
    <n v="5328"/>
    <s v="Pending"/>
    <s v="Hyderabad"/>
    <x v="5"/>
    <m/>
    <s v="SMB"/>
    <n v="40"/>
    <x v="1"/>
    <x v="7"/>
  </r>
  <r>
    <s v="ORD-01362"/>
    <d v="2024-08-28T00:00:00"/>
    <s v="CUST-0106"/>
    <s v="PROD-018"/>
    <x v="12"/>
    <n v="1"/>
    <n v="3560"/>
    <n v="12.9"/>
    <n v="3100.76"/>
    <s v="Completed"/>
    <s v="Pune"/>
    <x v="0"/>
    <m/>
    <s v="Retail"/>
    <n v="22"/>
    <x v="4"/>
    <x v="2"/>
  </r>
  <r>
    <s v="ORD-01363"/>
    <d v="2024-06-23T00:00:00"/>
    <s v="CUST-0085"/>
    <s v="PROD-025"/>
    <x v="1"/>
    <n v="5"/>
    <n v="4060"/>
    <n v="18.100000000000001"/>
    <n v="16625.7"/>
    <s v="Pending"/>
    <s v="Chennai"/>
    <x v="2"/>
    <m/>
    <s v="Retail"/>
    <n v="26"/>
    <x v="3"/>
    <x v="6"/>
  </r>
  <r>
    <s v="ORD-01364"/>
    <d v="2024-09-10T00:00:00"/>
    <s v="CUST-0071"/>
    <s v="PROD-015"/>
    <x v="16"/>
    <n v="10"/>
    <n v="2720"/>
    <n v="23.2"/>
    <n v="20889.599999999999"/>
    <s v="Completed"/>
    <s v="Delhi"/>
    <x v="0"/>
    <m/>
    <s v="Corporate"/>
    <n v="46"/>
    <x v="0"/>
    <x v="0"/>
  </r>
  <r>
    <s v="ORD-01365"/>
    <d v="2024-09-12T00:00:00"/>
    <s v="CUST-0185"/>
    <s v="PROD-029"/>
    <x v="24"/>
    <n v="1"/>
    <n v="2210"/>
    <n v="5.8"/>
    <n v="2081.8200000000002"/>
    <s v="Pending"/>
    <s v="Hyderabad"/>
    <x v="2"/>
    <m/>
    <s v="SMB"/>
    <n v="43"/>
    <x v="0"/>
    <x v="0"/>
  </r>
  <r>
    <s v="ORD-01366"/>
    <d v="2024-09-12T00:00:00"/>
    <s v="CUST-0182"/>
    <s v="PROD-047"/>
    <x v="22"/>
    <n v="5"/>
    <n v="3450"/>
    <n v="27.9"/>
    <n v="12437.25"/>
    <s v="Pending"/>
    <s v="Mumbai"/>
    <x v="5"/>
    <m/>
    <s v="Retail"/>
    <n v="54"/>
    <x v="0"/>
    <x v="0"/>
  </r>
  <r>
    <s v="ORD-01367"/>
    <d v="2024-09-15T00:00:00"/>
    <s v="CUST-0177"/>
    <s v="PROD-023"/>
    <x v="12"/>
    <n v="9"/>
    <n v="2380"/>
    <n v="15.2"/>
    <n v="18164.16"/>
    <s v="Refunded"/>
    <s v="Mumbai"/>
    <x v="2"/>
    <m/>
    <s v="SMB"/>
    <n v="36"/>
    <x v="4"/>
    <x v="1"/>
  </r>
  <r>
    <s v="ORD-01368"/>
    <d v="2024-09-16T00:00:00"/>
    <s v="CUST-0253"/>
    <s v="PROD-023"/>
    <x v="25"/>
    <n v="2"/>
    <n v="2380"/>
    <n v="24.3"/>
    <n v="3603.32"/>
    <s v="Completed"/>
    <s v="Delhi"/>
    <x v="2"/>
    <m/>
    <s v="SMB"/>
    <n v="53"/>
    <x v="0"/>
    <x v="0"/>
  </r>
  <r>
    <s v="ORD-01369"/>
    <d v="2024-09-25T00:00:00"/>
    <s v="CUST-0071"/>
    <s v="PROD-018"/>
    <x v="27"/>
    <n v="9"/>
    <n v="3560"/>
    <n v="6.6"/>
    <n v="29925.360000000001"/>
    <s v="Refunded"/>
    <s v="Delhi"/>
    <x v="0"/>
    <m/>
    <s v="Corporate"/>
    <n v="46"/>
    <x v="0"/>
    <x v="0"/>
  </r>
  <r>
    <s v="ORD-01370"/>
    <d v="2024-02-08T00:00:00"/>
    <s v="CUST-0240"/>
    <s v="PROD-009"/>
    <x v="26"/>
    <n v="7"/>
    <n v="1220"/>
    <n v="29.4"/>
    <n v="6029.24"/>
    <s v="Completed"/>
    <s v="Chennai"/>
    <x v="4"/>
    <m/>
    <s v="Corporate"/>
    <n v="35"/>
    <x v="4"/>
    <x v="1"/>
  </r>
  <r>
    <s v="ORD-01371"/>
    <d v="2024-09-25T00:00:00"/>
    <s v="CUST-0050"/>
    <s v="PROD-056"/>
    <x v="21"/>
    <n v="7"/>
    <n v="6940"/>
    <n v="9.6"/>
    <n v="43916.32"/>
    <s v="Completed"/>
    <s v="Mumbai"/>
    <x v="1"/>
    <m/>
    <s v="Retail"/>
    <n v="37"/>
    <x v="3"/>
    <x v="5"/>
  </r>
  <r>
    <s v="ORD-01372"/>
    <d v="2024-04-13T00:00:00"/>
    <s v="CUST-0089"/>
    <s v="PROD-035"/>
    <x v="24"/>
    <n v="2"/>
    <n v="1090"/>
    <n v="17"/>
    <n v="1809.4"/>
    <s v="Completed"/>
    <s v="Mumbai"/>
    <x v="3"/>
    <m/>
    <s v="SMB"/>
    <n v="43"/>
    <x v="0"/>
    <x v="0"/>
  </r>
  <r>
    <s v="ORD-01373"/>
    <d v="2024-07-13T00:00:00"/>
    <s v="CUST-0209"/>
    <s v="PROD-023"/>
    <x v="8"/>
    <n v="4"/>
    <n v="2380"/>
    <n v="18.899999999999999"/>
    <n v="7720.72"/>
    <s v="Pending"/>
    <s v="Pune"/>
    <x v="2"/>
    <m/>
    <s v="Retail"/>
    <n v="31"/>
    <x v="3"/>
    <x v="4"/>
  </r>
  <r>
    <s v="ORD-01374"/>
    <d v="2024-10-13T00:00:00"/>
    <s v="CUST-0089"/>
    <s v="PROD-024"/>
    <x v="10"/>
    <n v="6"/>
    <n v="2270"/>
    <n v="20.9"/>
    <n v="10773.42"/>
    <s v="Pending"/>
    <s v="Mumbai"/>
    <x v="2"/>
    <m/>
    <s v="SMB"/>
    <n v="43"/>
    <x v="0"/>
    <x v="0"/>
  </r>
  <r>
    <s v="ORD-01375"/>
    <d v="2024-10-16T00:00:00"/>
    <s v="CUST-0093"/>
    <s v="PROD-033"/>
    <x v="7"/>
    <n v="10"/>
    <n v="2030"/>
    <n v="25"/>
    <n v="15225"/>
    <s v="Completed"/>
    <s v="Pune"/>
    <x v="3"/>
    <m/>
    <s v="Retail"/>
    <n v="36"/>
    <x v="1"/>
    <x v="9"/>
  </r>
  <r>
    <s v="ORD-01376"/>
    <d v="2024-08-04T00:00:00"/>
    <s v="CUST-0018"/>
    <s v="PROD-035"/>
    <x v="28"/>
    <n v="3"/>
    <n v="1090"/>
    <n v="12.1"/>
    <n v="2874.33"/>
    <s v="Completed"/>
    <s v="Pune"/>
    <x v="3"/>
    <m/>
    <s v="SMB"/>
    <n v="54"/>
    <x v="0"/>
    <x v="0"/>
  </r>
  <r>
    <s v="ORD-01377"/>
    <d v="2024-01-12T00:00:00"/>
    <s v="CUST-0089"/>
    <s v="PROD-017"/>
    <x v="21"/>
    <n v="3"/>
    <n v="2510"/>
    <n v="28.7"/>
    <n v="5368.89"/>
    <s v="Completed"/>
    <s v="Mumbai"/>
    <x v="0"/>
    <m/>
    <s v="SMB"/>
    <n v="43"/>
    <x v="0"/>
    <x v="0"/>
  </r>
  <r>
    <s v="ORD-01378"/>
    <d v="2024-04-30T00:00:00"/>
    <s v="CUST-0116"/>
    <s v="PROD-024"/>
    <x v="17"/>
    <n v="9"/>
    <n v="2270"/>
    <n v="25.4"/>
    <n v="15240.78"/>
    <s v="Pending"/>
    <s v="Bengaluru"/>
    <x v="2"/>
    <m/>
    <s v="Retail"/>
    <n v="53"/>
    <x v="0"/>
    <x v="0"/>
  </r>
  <r>
    <s v="ORD-01379"/>
    <d v="2024-04-18T00:00:00"/>
    <s v="CUST-0071"/>
    <s v="PROD-006"/>
    <x v="20"/>
    <n v="9"/>
    <n v="3970"/>
    <n v="10.1"/>
    <n v="32121.27"/>
    <s v="Cancelled"/>
    <s v="Delhi"/>
    <x v="4"/>
    <m/>
    <s v="Corporate"/>
    <n v="46"/>
    <x v="0"/>
    <x v="0"/>
  </r>
  <r>
    <s v="ORD-01380"/>
    <d v="2024-10-05T00:00:00"/>
    <s v="CUST-0115"/>
    <s v="PROD-029"/>
    <x v="2"/>
    <n v="6"/>
    <n v="2210"/>
    <n v="7.4"/>
    <n v="12278.76"/>
    <s v="Completed"/>
    <s v="Mumbai"/>
    <x v="2"/>
    <m/>
    <s v="SMB"/>
    <n v="65"/>
    <x v="0"/>
    <x v="0"/>
  </r>
  <r>
    <s v="ORD-01381"/>
    <d v="2024-03-09T00:00:00"/>
    <s v="CUST-0258"/>
    <s v="PROD-041"/>
    <x v="21"/>
    <n v="7"/>
    <n v="1540"/>
    <n v="20.6"/>
    <n v="8559.32"/>
    <s v="Completed"/>
    <s v="Pune"/>
    <x v="5"/>
    <m/>
    <s v="Retail"/>
    <n v="44"/>
    <x v="0"/>
    <x v="0"/>
  </r>
  <r>
    <s v="ORD-01382"/>
    <d v="2024-02-12T00:00:00"/>
    <s v="CUST-0290"/>
    <s v="PROD-039"/>
    <x v="28"/>
    <n v="9"/>
    <n v="4610"/>
    <n v="2.1"/>
    <n v="40618.71"/>
    <s v="Completed"/>
    <s v="Delhi"/>
    <x v="3"/>
    <m/>
    <s v="Retail"/>
    <n v="63"/>
    <x v="0"/>
    <x v="0"/>
  </r>
  <r>
    <s v="ORD-01383"/>
    <d v="2024-08-23T00:00:00"/>
    <s v="CUST-0279"/>
    <s v="PROD-006"/>
    <x v="25"/>
    <n v="10"/>
    <n v="3970"/>
    <n v="13.3"/>
    <n v="34419.9"/>
    <s v="Pending"/>
    <s v="Mumbai"/>
    <x v="4"/>
    <m/>
    <s v="Retail"/>
    <n v="56"/>
    <x v="0"/>
    <x v="0"/>
  </r>
  <r>
    <s v="ORD-01384"/>
    <d v="2024-08-30T00:00:00"/>
    <s v="CUST-0132"/>
    <s v="PROD-008"/>
    <x v="4"/>
    <n v="8"/>
    <n v="2660"/>
    <n v="16.8"/>
    <n v="17704.96"/>
    <s v="Completed"/>
    <s v="Delhi"/>
    <x v="4"/>
    <m/>
    <s v="Retail"/>
    <n v="41"/>
    <x v="0"/>
    <x v="0"/>
  </r>
  <r>
    <s v="ORD-01385"/>
    <d v="2024-02-07T00:00:00"/>
    <s v="CUST-0029"/>
    <s v="PROD-047"/>
    <x v="13"/>
    <n v="6"/>
    <n v="3450"/>
    <n v="23.4"/>
    <n v="15856.2"/>
    <s v="Completed"/>
    <s v="Chennai"/>
    <x v="5"/>
    <m/>
    <s v="Corporate"/>
    <n v="54"/>
    <x v="0"/>
    <x v="0"/>
  </r>
  <r>
    <s v="ORD-01386"/>
    <d v="2024-11-25T00:00:00"/>
    <s v="CUST-0295"/>
    <s v="PROD-053"/>
    <x v="0"/>
    <n v="10"/>
    <n v="470"/>
    <n v="21.2"/>
    <n v="3703.6"/>
    <s v="Completed"/>
    <s v="Delhi"/>
    <x v="1"/>
    <m/>
    <s v="SMB"/>
    <n v="48"/>
    <x v="0"/>
    <x v="0"/>
  </r>
  <r>
    <s v="ORD-00168"/>
    <d v="2024-02-12T00:00:00"/>
    <s v="CUST-0106"/>
    <s v="PROD-059"/>
    <x v="24"/>
    <n v="7"/>
    <n v="3780"/>
    <n v="10.1"/>
    <n v="23787.54"/>
    <s v="Completed"/>
    <s v="Pune"/>
    <x v="1"/>
    <m/>
    <s v="Retail"/>
    <n v="22"/>
    <x v="1"/>
    <x v="3"/>
  </r>
  <r>
    <s v="ORD-01388"/>
    <d v="2024-02-02T00:00:00"/>
    <s v="CUST-0127"/>
    <s v="PROD-014"/>
    <x v="28"/>
    <n v="3"/>
    <n v="3620"/>
    <n v="4.2"/>
    <n v="10403.879999999999"/>
    <s v="Completed"/>
    <s v="Bengaluru"/>
    <x v="0"/>
    <m/>
    <s v="SMB"/>
    <n v="36"/>
    <x v="3"/>
    <x v="5"/>
  </r>
  <r>
    <s v="ORD-01389"/>
    <d v="2024-09-06T00:00:00"/>
    <s v="CUST-0031"/>
    <s v="PROD-049"/>
    <x v="8"/>
    <n v="7"/>
    <n v="960"/>
    <n v="9"/>
    <n v="6115.2"/>
    <s v="Completed"/>
    <s v="Hyderabad"/>
    <x v="5"/>
    <m/>
    <s v="Retail"/>
    <n v="53"/>
    <x v="0"/>
    <x v="0"/>
  </r>
  <r>
    <s v="ORD-01390"/>
    <d v="2024-02-22T00:00:00"/>
    <s v="CUST-0256"/>
    <s v="PROD-043"/>
    <x v="0"/>
    <n v="10"/>
    <n v="3350"/>
    <n v="1.2"/>
    <n v="33098"/>
    <s v="Cancelled"/>
    <s v="Hyderabad"/>
    <x v="5"/>
    <m/>
    <s v="Retail"/>
    <n v="28"/>
    <x v="2"/>
    <x v="1"/>
  </r>
  <r>
    <s v="ORD-01391"/>
    <d v="2024-04-06T00:00:00"/>
    <s v="CUST-0131"/>
    <s v="PROD-058"/>
    <x v="14"/>
    <n v="3"/>
    <n v="2400"/>
    <n v="15.4"/>
    <n v="6091.2"/>
    <s v="Completed"/>
    <s v="Delhi"/>
    <x v="1"/>
    <m/>
    <s v="SMB"/>
    <n v="28"/>
    <x v="1"/>
    <x v="5"/>
  </r>
  <r>
    <s v="ORD-01392"/>
    <d v="2024-04-25T00:00:00"/>
    <s v="CUST-0270"/>
    <s v="PROD-055"/>
    <x v="25"/>
    <n v="2"/>
    <n v="2860"/>
    <n v="10.5"/>
    <n v="5119.3999999999996"/>
    <s v="Completed"/>
    <s v="Bengaluru"/>
    <x v="1"/>
    <m/>
    <s v="Retail"/>
    <n v="29"/>
    <x v="2"/>
    <x v="4"/>
  </r>
  <r>
    <s v="ORD-01393"/>
    <d v="2024-11-24T00:00:00"/>
    <s v="CUST-0212"/>
    <s v="PROD-042"/>
    <x v="4"/>
    <n v="4"/>
    <n v="2290"/>
    <n v="5.9"/>
    <n v="8619.56"/>
    <s v="Completed"/>
    <s v="Chennai"/>
    <x v="5"/>
    <m/>
    <s v="SMB"/>
    <n v="46"/>
    <x v="0"/>
    <x v="0"/>
  </r>
  <r>
    <s v="ORD-01394"/>
    <d v="2024-07-26T00:00:00"/>
    <s v="CUST-0216"/>
    <s v="PROD-001"/>
    <x v="12"/>
    <n v="7"/>
    <n v="5330"/>
    <n v="3.5"/>
    <n v="36004.15"/>
    <s v="Cancelled"/>
    <s v="Mumbai"/>
    <x v="4"/>
    <m/>
    <s v="Retail"/>
    <n v="50"/>
    <x v="0"/>
    <x v="0"/>
  </r>
  <r>
    <s v="ORD-01395"/>
    <d v="2024-10-20T00:00:00"/>
    <s v="CUST-0189"/>
    <s v="PROD-013"/>
    <x v="26"/>
    <n v="10"/>
    <n v="3640"/>
    <n v="20.100000000000001"/>
    <n v="29083.599999999999"/>
    <s v="Completed"/>
    <s v="Chennai"/>
    <x v="0"/>
    <m/>
    <s v="Retail"/>
    <n v="41"/>
    <x v="0"/>
    <x v="0"/>
  </r>
  <r>
    <s v="ORD-01396"/>
    <d v="2024-12-07T00:00:00"/>
    <s v="CUST-0064"/>
    <s v="PROD-034"/>
    <x v="6"/>
    <n v="10"/>
    <n v="5080"/>
    <n v="2.1"/>
    <n v="49733.2"/>
    <s v="Completed"/>
    <s v="Hyderabad"/>
    <x v="3"/>
    <m/>
    <s v="SMB"/>
    <n v="40"/>
    <x v="3"/>
    <x v="9"/>
  </r>
  <r>
    <s v="ORD-01397"/>
    <d v="2024-08-13T00:00:00"/>
    <s v="CUST-0016"/>
    <s v="PROD-035"/>
    <x v="26"/>
    <n v="4"/>
    <n v="1090"/>
    <n v="18.5"/>
    <n v="3553.4"/>
    <s v="Refunded"/>
    <s v="Delhi"/>
    <x v="3"/>
    <m/>
    <s v="SMB"/>
    <n v="26"/>
    <x v="2"/>
    <x v="8"/>
  </r>
  <r>
    <s v="ORD-01398"/>
    <d v="2024-12-19T00:00:00"/>
    <s v="CUST-0296"/>
    <s v="PROD-047"/>
    <x v="14"/>
    <n v="10"/>
    <n v="3450"/>
    <n v="26.5"/>
    <n v="25357.5"/>
    <s v="Refunded"/>
    <s v="Delhi"/>
    <x v="5"/>
    <m/>
    <s v="Corporate"/>
    <n v="47"/>
    <x v="0"/>
    <x v="0"/>
  </r>
  <r>
    <s v="ORD-01399"/>
    <d v="2024-07-10T00:00:00"/>
    <s v="CUST-0031"/>
    <s v="PROD-052"/>
    <x v="18"/>
    <n v="9"/>
    <n v="5410"/>
    <n v="11.5"/>
    <n v="43090.65"/>
    <s v="Completed"/>
    <s v="Hyderabad"/>
    <x v="1"/>
    <m/>
    <s v="Retail"/>
    <n v="53"/>
    <x v="0"/>
    <x v="0"/>
  </r>
  <r>
    <s v="ORD-01400"/>
    <d v="2024-06-02T00:00:00"/>
    <s v="CUST-0207"/>
    <s v="PROD-011"/>
    <x v="14"/>
    <n v="9"/>
    <n v="3450"/>
    <n v="0.3"/>
    <n v="30956.85"/>
    <s v="Refunded"/>
    <s v="Hyderabad"/>
    <x v="0"/>
    <m/>
    <s v="SMB"/>
    <n v="34"/>
    <x v="4"/>
    <x v="11"/>
  </r>
  <r>
    <s v="ORD-01401"/>
    <d v="2024-11-18T00:00:00"/>
    <s v="CUST-0165"/>
    <s v="PROD-012"/>
    <x v="5"/>
    <n v="10"/>
    <n v="3160"/>
    <n v="13.6"/>
    <n v="27302.400000000001"/>
    <s v="Completed"/>
    <s v="Pune"/>
    <x v="0"/>
    <m/>
    <s v="Retail"/>
    <n v="29"/>
    <x v="2"/>
    <x v="7"/>
  </r>
  <r>
    <s v="ORD-01402"/>
    <d v="2024-05-21T00:00:00"/>
    <s v="CUST-0281"/>
    <s v="PROD-041"/>
    <x v="17"/>
    <n v="3"/>
    <n v="1540"/>
    <n v="21.2"/>
    <n v="3640.56"/>
    <s v="Completed"/>
    <s v="Bengaluru"/>
    <x v="5"/>
    <m/>
    <s v="Corporate"/>
    <n v="57"/>
    <x v="0"/>
    <x v="0"/>
  </r>
  <r>
    <s v="ORD-01403"/>
    <d v="2024-04-20T00:00:00"/>
    <s v="CUST-0018"/>
    <s v="PROD-013"/>
    <x v="24"/>
    <n v="5"/>
    <n v="3640"/>
    <n v="17.5"/>
    <n v="15015"/>
    <s v="Completed"/>
    <s v="Pune"/>
    <x v="0"/>
    <m/>
    <s v="SMB"/>
    <n v="54"/>
    <x v="0"/>
    <x v="0"/>
  </r>
  <r>
    <s v="ORD-01404"/>
    <d v="2024-01-11T00:00:00"/>
    <s v="CUST-0204"/>
    <s v="PROD-059"/>
    <x v="25"/>
    <n v="4"/>
    <n v="3780"/>
    <n v="9"/>
    <n v="13759.2"/>
    <s v="Pending"/>
    <s v="Hyderabad"/>
    <x v="1"/>
    <m/>
    <s v="Retail"/>
    <n v="60"/>
    <x v="0"/>
    <x v="0"/>
  </r>
  <r>
    <s v="ORD-01405"/>
    <d v="2024-08-22T00:00:00"/>
    <s v="CUST-0028"/>
    <s v="PROD-015"/>
    <x v="5"/>
    <n v="9"/>
    <n v="2720"/>
    <n v="8.9"/>
    <n v="22301.279999999999"/>
    <s v="Completed"/>
    <s v="Bengaluru"/>
    <x v="0"/>
    <m/>
    <s v="Retail"/>
    <n v="59"/>
    <x v="0"/>
    <x v="0"/>
  </r>
  <r>
    <s v="ORD-01406"/>
    <d v="2024-12-22T00:00:00"/>
    <s v="CUST-0144"/>
    <s v="PROD-014"/>
    <x v="10"/>
    <n v="4"/>
    <n v="3620"/>
    <n v="8"/>
    <n v="13321.6"/>
    <s v="Pending"/>
    <s v="Chennai"/>
    <x v="0"/>
    <m/>
    <s v="Retail"/>
    <n v="49"/>
    <x v="0"/>
    <x v="0"/>
  </r>
  <r>
    <s v="ORD-01407"/>
    <d v="2024-02-03T00:00:00"/>
    <s v="CUST-0043"/>
    <s v="PROD-011"/>
    <x v="10"/>
    <n v="1"/>
    <n v="3450"/>
    <n v="0.2"/>
    <n v="3443.1"/>
    <s v="Completed"/>
    <s v="Hyderabad"/>
    <x v="0"/>
    <m/>
    <s v="Retail"/>
    <n v="61"/>
    <x v="0"/>
    <x v="0"/>
  </r>
  <r>
    <s v="ORD-01408"/>
    <d v="2024-12-14T00:00:00"/>
    <s v="CUST-0246"/>
    <s v="PROD-013"/>
    <x v="2"/>
    <n v="7"/>
    <n v="3640"/>
    <n v="4.5999999999999996"/>
    <n v="24307.919999999998"/>
    <s v="Completed"/>
    <s v="Delhi"/>
    <x v="0"/>
    <m/>
    <s v="SMB"/>
    <n v="29"/>
    <x v="1"/>
    <x v="5"/>
  </r>
  <r>
    <s v="ORD-01409"/>
    <d v="2024-05-11T00:00:00"/>
    <s v="CUST-0156"/>
    <s v="PROD-016"/>
    <x v="12"/>
    <n v="9"/>
    <n v="620"/>
    <n v="8.5"/>
    <n v="5105.7"/>
    <s v="Completed"/>
    <s v="Mumbai"/>
    <x v="0"/>
    <m/>
    <s v="Retail"/>
    <n v="33"/>
    <x v="4"/>
    <x v="8"/>
  </r>
  <r>
    <s v="ORD-01410"/>
    <d v="2024-05-11T00:00:00"/>
    <s v="CUST-0066"/>
    <s v="PROD-059"/>
    <x v="29"/>
    <n v="10"/>
    <n v="3780"/>
    <n v="5.8"/>
    <n v="35607.599999999999"/>
    <s v="Completed"/>
    <s v="Delhi"/>
    <x v="1"/>
    <m/>
    <s v="Retail"/>
    <n v="24"/>
    <x v="3"/>
    <x v="2"/>
  </r>
  <r>
    <s v="ORD-01411"/>
    <d v="2024-08-14T00:00:00"/>
    <s v="CUST-0121"/>
    <s v="PROD-003"/>
    <x v="18"/>
    <n v="7"/>
    <n v="3570"/>
    <n v="26.1"/>
    <n v="18467.61"/>
    <s v="Completed"/>
    <s v="Delhi"/>
    <x v="4"/>
    <m/>
    <s v="SMB"/>
    <n v="55"/>
    <x v="0"/>
    <x v="0"/>
  </r>
  <r>
    <s v="ORD-01412"/>
    <d v="2024-01-15T00:00:00"/>
    <s v="CUST-0066"/>
    <s v="PROD-044"/>
    <x v="25"/>
    <n v="2"/>
    <n v="1650"/>
    <n v="3.8"/>
    <n v="3174.6"/>
    <s v="Completed"/>
    <s v="Delhi"/>
    <x v="5"/>
    <m/>
    <s v="Retail"/>
    <n v="24"/>
    <x v="4"/>
    <x v="6"/>
  </r>
  <r>
    <s v="ORD-01413"/>
    <d v="2024-02-24T00:00:00"/>
    <s v="CUST-0099"/>
    <s v="PROD-049"/>
    <x v="27"/>
    <n v="2"/>
    <n v="960"/>
    <n v="6.8"/>
    <n v="1789.44"/>
    <s v="Completed"/>
    <s v="Bengaluru"/>
    <x v="5"/>
    <m/>
    <s v="SMB"/>
    <n v="54"/>
    <x v="0"/>
    <x v="0"/>
  </r>
  <r>
    <s v="ORD-01414"/>
    <d v="2024-03-25T00:00:00"/>
    <s v="CUST-0054"/>
    <s v="PROD-005"/>
    <x v="3"/>
    <n v="2"/>
    <n v="300"/>
    <n v="2.8"/>
    <n v="583.20000000000005"/>
    <s v="Completed"/>
    <s v="Mumbai"/>
    <x v="4"/>
    <m/>
    <s v="Corporate"/>
    <n v="62"/>
    <x v="0"/>
    <x v="0"/>
  </r>
  <r>
    <s v="ORD-01415"/>
    <d v="2024-09-26T00:00:00"/>
    <s v="CUST-0124"/>
    <s v="PROD-025"/>
    <x v="28"/>
    <n v="10"/>
    <n v="4060"/>
    <n v="15.1"/>
    <n v="34469.4"/>
    <s v="Completed"/>
    <s v="Pune"/>
    <x v="2"/>
    <m/>
    <s v="Retail"/>
    <n v="57"/>
    <x v="0"/>
    <x v="0"/>
  </r>
  <r>
    <s v="ORD-01416"/>
    <d v="2024-01-29T00:00:00"/>
    <s v="CUST-0211"/>
    <s v="PROD-001"/>
    <x v="24"/>
    <n v="6"/>
    <n v="5330"/>
    <n v="2"/>
    <n v="31340.400000000001"/>
    <s v="Completed"/>
    <s v="Bengaluru"/>
    <x v="4"/>
    <m/>
    <s v="Retail"/>
    <n v="36"/>
    <x v="2"/>
    <x v="1"/>
  </r>
  <r>
    <s v="ORD-01417"/>
    <d v="2024-10-07T00:00:00"/>
    <s v="CUST-0298"/>
    <s v="PROD-031"/>
    <x v="13"/>
    <n v="9"/>
    <n v="3730"/>
    <n v="24.5"/>
    <n v="25345.35"/>
    <s v="Refunded"/>
    <s v="Delhi"/>
    <x v="3"/>
    <m/>
    <s v="Retail"/>
    <n v="44"/>
    <x v="0"/>
    <x v="0"/>
  </r>
  <r>
    <s v="ORD-01418"/>
    <d v="2024-11-15T00:00:00"/>
    <s v="CUST-0164"/>
    <s v="PROD-050"/>
    <x v="14"/>
    <n v="1"/>
    <n v="6080"/>
    <n v="4.4000000000000004"/>
    <n v="5812.48"/>
    <s v="Cancelled"/>
    <s v="Chennai"/>
    <x v="5"/>
    <m/>
    <s v="Retail"/>
    <n v="60"/>
    <x v="0"/>
    <x v="0"/>
  </r>
  <r>
    <s v="ORD-01419"/>
    <d v="2024-08-20T00:00:00"/>
    <s v="CUST-0003"/>
    <s v="PROD-015"/>
    <x v="5"/>
    <n v="5"/>
    <n v="2720"/>
    <n v="9.1999999999999993"/>
    <n v="12348.8"/>
    <s v="Completed"/>
    <s v="Mumbai"/>
    <x v="0"/>
    <m/>
    <s v="Retail"/>
    <n v="33"/>
    <x v="2"/>
    <x v="3"/>
  </r>
  <r>
    <s v="ORD-01420"/>
    <d v="2024-05-26T00:00:00"/>
    <s v="CUST-0239"/>
    <s v="PROD-011"/>
    <x v="12"/>
    <n v="1"/>
    <n v="3450"/>
    <n v="15.6"/>
    <n v="2911.8"/>
    <s v="Completed"/>
    <s v="Mumbai"/>
    <x v="0"/>
    <m/>
    <s v="Retail"/>
    <n v="61"/>
    <x v="0"/>
    <x v="0"/>
  </r>
  <r>
    <s v="ORD-01421"/>
    <d v="2024-07-11T00:00:00"/>
    <s v="CUST-0116"/>
    <s v="PROD-035"/>
    <x v="24"/>
    <n v="2"/>
    <n v="1090"/>
    <n v="0.4"/>
    <n v="2171.2800000000002"/>
    <s v="Refunded"/>
    <s v="Bengaluru"/>
    <x v="3"/>
    <m/>
    <s v="Retail"/>
    <n v="53"/>
    <x v="0"/>
    <x v="0"/>
  </r>
  <r>
    <s v="ORD-01422"/>
    <d v="2024-12-17T00:00:00"/>
    <s v="CUST-0232"/>
    <s v="PROD-003"/>
    <x v="21"/>
    <n v="2"/>
    <n v="3570"/>
    <n v="9"/>
    <n v="6497.4"/>
    <s v="Completed"/>
    <s v="Hyderabad"/>
    <x v="4"/>
    <m/>
    <s v="Retail"/>
    <n v="38"/>
    <x v="3"/>
    <x v="11"/>
  </r>
  <r>
    <s v="ORD-01423"/>
    <d v="2024-05-25T00:00:00"/>
    <s v="CUST-0121"/>
    <s v="PROD-019"/>
    <x v="2"/>
    <n v="9"/>
    <n v="2480"/>
    <n v="3.6"/>
    <n v="21516.48"/>
    <s v="Pending"/>
    <s v="Delhi"/>
    <x v="0"/>
    <m/>
    <s v="SMB"/>
    <n v="55"/>
    <x v="0"/>
    <x v="0"/>
  </r>
  <r>
    <s v="ORD-01424"/>
    <d v="2024-01-12T00:00:00"/>
    <s v="CUST-0178"/>
    <s v="PROD-027"/>
    <x v="24"/>
    <n v="9"/>
    <n v="3780"/>
    <n v="4.5"/>
    <n v="32489.1"/>
    <s v="Completed"/>
    <s v="Hyderabad"/>
    <x v="2"/>
    <m/>
    <s v="Retail"/>
    <n v="25"/>
    <x v="4"/>
    <x v="2"/>
  </r>
  <r>
    <s v="ORD-01425"/>
    <d v="2024-12-05T00:00:00"/>
    <s v="CUST-0131"/>
    <s v="PROD-025"/>
    <x v="9"/>
    <n v="5"/>
    <n v="4060"/>
    <n v="2.7"/>
    <n v="19751.900000000001"/>
    <s v="Completed"/>
    <s v="Delhi"/>
    <x v="2"/>
    <m/>
    <s v="SMB"/>
    <n v="28"/>
    <x v="3"/>
    <x v="12"/>
  </r>
  <r>
    <s v="ORD-01426"/>
    <d v="2024-09-29T00:00:00"/>
    <s v="CUST-0155"/>
    <s v="PROD-005"/>
    <x v="25"/>
    <n v="8"/>
    <n v="300"/>
    <n v="19.8"/>
    <n v="1924.8"/>
    <s v="Cancelled"/>
    <s v="Pune"/>
    <x v="4"/>
    <m/>
    <s v="Corporate"/>
    <n v="40"/>
    <x v="4"/>
    <x v="8"/>
  </r>
  <r>
    <s v="ORD-01427"/>
    <d v="2024-06-11T00:00:00"/>
    <s v="CUST-0170"/>
    <s v="PROD-036"/>
    <x v="25"/>
    <n v="10"/>
    <n v="3250"/>
    <n v="21.3"/>
    <n v="25577.5"/>
    <s v="Cancelled"/>
    <s v="Mumbai"/>
    <x v="3"/>
    <m/>
    <s v="SMB"/>
    <n v="22"/>
    <x v="1"/>
    <x v="1"/>
  </r>
  <r>
    <s v="ORD-01428"/>
    <d v="2024-11-20T00:00:00"/>
    <s v="CUST-0180"/>
    <s v="PROD-055"/>
    <x v="18"/>
    <n v="2"/>
    <n v="2860"/>
    <n v="13.7"/>
    <n v="4936.3599999999997"/>
    <s v="Completed"/>
    <s v="Chennai"/>
    <x v="1"/>
    <m/>
    <s v="Retail"/>
    <n v="36"/>
    <x v="1"/>
    <x v="7"/>
  </r>
  <r>
    <s v="ORD-01429"/>
    <d v="2024-08-19T00:00:00"/>
    <s v="CUST-0066"/>
    <s v="PROD-009"/>
    <x v="21"/>
    <n v="10"/>
    <n v="1220"/>
    <n v="15.4"/>
    <n v="10321.200000000001"/>
    <s v="Completed"/>
    <s v="Delhi"/>
    <x v="4"/>
    <m/>
    <s v="Retail"/>
    <n v="24"/>
    <x v="4"/>
    <x v="3"/>
  </r>
  <r>
    <s v="ORD-01430"/>
    <d v="2024-05-27T00:00:00"/>
    <s v="CUST-0267"/>
    <s v="PROD-027"/>
    <x v="9"/>
    <n v="3"/>
    <n v="3780"/>
    <n v="1.9"/>
    <n v="11124.54"/>
    <s v="Completed"/>
    <s v="Hyderabad"/>
    <x v="2"/>
    <m/>
    <s v="Retail"/>
    <n v="27"/>
    <x v="3"/>
    <x v="6"/>
  </r>
  <r>
    <s v="ORD-01431"/>
    <d v="2024-10-14T00:00:00"/>
    <s v="CUST-0034"/>
    <s v="PROD-038"/>
    <x v="26"/>
    <n v="6"/>
    <n v="5490"/>
    <n v="0.5"/>
    <n v="32775.300000000003"/>
    <s v="Pending"/>
    <s v="Delhi"/>
    <x v="3"/>
    <m/>
    <s v="Retail"/>
    <n v="47"/>
    <x v="0"/>
    <x v="0"/>
  </r>
  <r>
    <s v="ORD-01432"/>
    <d v="2024-07-22T00:00:00"/>
    <s v="CUST-0029"/>
    <s v="PROD-022"/>
    <x v="20"/>
    <n v="6"/>
    <n v="2270"/>
    <n v="21.5"/>
    <n v="10691.7"/>
    <s v="Completed"/>
    <s v="Chennai"/>
    <x v="2"/>
    <m/>
    <s v="Corporate"/>
    <n v="54"/>
    <x v="0"/>
    <x v="0"/>
  </r>
  <r>
    <s v="ORD-01433"/>
    <d v="2024-11-04T00:00:00"/>
    <s v="CUST-0224"/>
    <s v="PROD-029"/>
    <x v="12"/>
    <n v="7"/>
    <n v="2210"/>
    <n v="10.3"/>
    <n v="13876.59"/>
    <s v="Completed"/>
    <s v="Chennai"/>
    <x v="2"/>
    <m/>
    <s v="Corporate"/>
    <n v="24"/>
    <x v="2"/>
    <x v="11"/>
  </r>
  <r>
    <s v="ORD-01434"/>
    <d v="2024-11-09T00:00:00"/>
    <s v="CUST-9889"/>
    <s v="PROD-035"/>
    <x v="18"/>
    <n v="8"/>
    <n v="1090"/>
    <n v="21.7"/>
    <n v="6827.76"/>
    <s v="Completed"/>
    <s v="Pune"/>
    <x v="3"/>
    <m/>
    <e v="#N/A"/>
    <e v="#N/A"/>
    <x v="0"/>
    <x v="0"/>
  </r>
  <r>
    <s v="ORD-01435"/>
    <d v="2024-11-02T00:00:00"/>
    <s v="CUST-0130"/>
    <s v="PROD-018"/>
    <x v="25"/>
    <n v="5"/>
    <n v="3560"/>
    <n v="19.399999999999999"/>
    <n v="14346.8"/>
    <s v="Pending"/>
    <s v="Bengaluru"/>
    <x v="0"/>
    <m/>
    <s v="Corporate"/>
    <n v="41"/>
    <x v="0"/>
    <x v="0"/>
  </r>
  <r>
    <s v="ORD-01436"/>
    <d v="2024-06-09T00:00:00"/>
    <s v="CUST-0060"/>
    <s v="PROD-054"/>
    <x v="8"/>
    <n v="7"/>
    <n v="1010"/>
    <n v="28.2"/>
    <n v="5076.26"/>
    <s v="Completed"/>
    <s v="Pune"/>
    <x v="1"/>
    <m/>
    <s v="Retail"/>
    <n v="39"/>
    <x v="1"/>
    <x v="3"/>
  </r>
  <r>
    <s v="ORD-01437"/>
    <d v="2024-06-27T00:00:00"/>
    <s v="CUST-0299"/>
    <s v="PROD-033"/>
    <x v="15"/>
    <n v="2"/>
    <n v="2030"/>
    <n v="27.3"/>
    <n v="2951.62"/>
    <s v="Refunded"/>
    <s v="Mumbai"/>
    <x v="3"/>
    <m/>
    <s v="Corporate"/>
    <n v="51"/>
    <x v="0"/>
    <x v="0"/>
  </r>
  <r>
    <s v="ORD-01438"/>
    <d v="2024-02-28T00:00:00"/>
    <s v="CUST-0013"/>
    <s v="PROD-001"/>
    <x v="27"/>
    <n v="6"/>
    <n v="5330"/>
    <n v="0.6"/>
    <n v="31788.12"/>
    <s v="Completed"/>
    <s v="Delhi"/>
    <x v="4"/>
    <m/>
    <s v="Retail"/>
    <n v="41"/>
    <x v="0"/>
    <x v="0"/>
  </r>
  <r>
    <s v="ORD-01439"/>
    <d v="2024-08-10T00:00:00"/>
    <s v="CUST-0193"/>
    <s v="PROD-010"/>
    <x v="0"/>
    <n v="2"/>
    <n v="2640"/>
    <n v="26"/>
    <n v="3907.2"/>
    <s v="Pending"/>
    <s v="Bengaluru"/>
    <x v="4"/>
    <m/>
    <s v="Retail"/>
    <n v="42"/>
    <x v="0"/>
    <x v="0"/>
  </r>
  <r>
    <s v="ORD-01440"/>
    <d v="2024-06-04T00:00:00"/>
    <s v="CUST-0170"/>
    <s v="PROD-008"/>
    <x v="27"/>
    <n v="8"/>
    <n v="2660"/>
    <n v="2.9"/>
    <n v="20662.88"/>
    <s v="Completed"/>
    <s v="Mumbai"/>
    <x v="4"/>
    <m/>
    <s v="SMB"/>
    <n v="22"/>
    <x v="1"/>
    <x v="6"/>
  </r>
  <r>
    <s v="ORD-01441"/>
    <d v="2024-04-08T00:00:00"/>
    <s v="CUST-0063"/>
    <s v="PROD-036"/>
    <x v="12"/>
    <n v="6"/>
    <n v="3250"/>
    <n v="11.1"/>
    <n v="17335.5"/>
    <s v="Completed"/>
    <s v="Mumbai"/>
    <x v="3"/>
    <m/>
    <s v="SMB"/>
    <n v="53"/>
    <x v="0"/>
    <x v="0"/>
  </r>
  <r>
    <s v="ORD-01442"/>
    <d v="2024-01-16T00:00:00"/>
    <s v="CUST-0168"/>
    <s v="PROD-029"/>
    <x v="10"/>
    <n v="1"/>
    <n v="2210"/>
    <n v="3.5"/>
    <n v="2132.65"/>
    <s v="Completed"/>
    <s v="Pune"/>
    <x v="2"/>
    <m/>
    <s v="Retail"/>
    <n v="25"/>
    <x v="3"/>
    <x v="4"/>
  </r>
  <r>
    <s v="ORD-01443"/>
    <d v="2024-05-20T00:00:00"/>
    <s v="CUST-0124"/>
    <s v="PROD-032"/>
    <x v="7"/>
    <n v="9"/>
    <n v="370"/>
    <n v="12.4"/>
    <n v="2917.08"/>
    <s v="Completed"/>
    <s v="Pune"/>
    <x v="3"/>
    <m/>
    <s v="Retail"/>
    <n v="57"/>
    <x v="0"/>
    <x v="0"/>
  </r>
  <r>
    <s v="ORD-01444"/>
    <d v="2024-06-10T00:00:00"/>
    <s v="CUST-0138"/>
    <s v="PROD-059"/>
    <x v="24"/>
    <n v="3"/>
    <n v="3780"/>
    <n v="8.5"/>
    <n v="10376.1"/>
    <s v="Pending"/>
    <s v="Chennai"/>
    <x v="1"/>
    <m/>
    <s v="Retail"/>
    <n v="24"/>
    <x v="3"/>
    <x v="2"/>
  </r>
  <r>
    <s v="ORD-01445"/>
    <d v="2024-04-15T00:00:00"/>
    <s v="CUST-0146"/>
    <s v="PROD-054"/>
    <x v="25"/>
    <n v="2"/>
    <n v="1010"/>
    <n v="2.7"/>
    <n v="1965.46"/>
    <s v="Completed"/>
    <s v="Hyderabad"/>
    <x v="1"/>
    <m/>
    <s v="Retail"/>
    <n v="22"/>
    <x v="3"/>
    <x v="7"/>
  </r>
  <r>
    <s v="ORD-01446"/>
    <d v="2024-12-13T00:00:00"/>
    <s v="CUST-0244"/>
    <s v="PROD-020"/>
    <x v="27"/>
    <n v="2"/>
    <n v="820"/>
    <n v="13.2"/>
    <n v="1423.52"/>
    <s v="Pending"/>
    <s v="Bengaluru"/>
    <x v="0"/>
    <m/>
    <s v="Retail"/>
    <n v="61"/>
    <x v="0"/>
    <x v="0"/>
  </r>
  <r>
    <s v="ORD-01447"/>
    <d v="2024-07-09T00:00:00"/>
    <s v="CUST-0291"/>
    <s v="PROD-028"/>
    <x v="27"/>
    <n v="1"/>
    <n v="3660"/>
    <n v="14"/>
    <n v="3147.6"/>
    <s v="Refunded"/>
    <s v="Pune"/>
    <x v="2"/>
    <m/>
    <s v="SMB"/>
    <n v="29"/>
    <x v="4"/>
    <x v="8"/>
  </r>
  <r>
    <s v="ORD-01448"/>
    <d v="2024-06-04T00:00:00"/>
    <s v="CUST-0222"/>
    <s v="PROD-022"/>
    <x v="21"/>
    <n v="6"/>
    <n v="2270"/>
    <n v="16"/>
    <n v="11440.8"/>
    <s v="Completed"/>
    <s v="Chennai"/>
    <x v="2"/>
    <m/>
    <s v="Retail"/>
    <n v="37"/>
    <x v="4"/>
    <x v="11"/>
  </r>
  <r>
    <s v="ORD-01449"/>
    <d v="2024-11-02T00:00:00"/>
    <s v="CUST-0137"/>
    <s v="PROD-049"/>
    <x v="7"/>
    <n v="7"/>
    <n v="960"/>
    <n v="28.8"/>
    <n v="4784.6400000000003"/>
    <s v="Refunded"/>
    <s v="Mumbai"/>
    <x v="5"/>
    <m/>
    <s v="Retail"/>
    <n v="41"/>
    <x v="0"/>
    <x v="0"/>
  </r>
  <r>
    <s v="ORD-01450"/>
    <d v="2024-12-19T00:00:00"/>
    <s v="CUST-0150"/>
    <s v="PROD-033"/>
    <x v="5"/>
    <n v="9"/>
    <n v="2030"/>
    <n v="3.4"/>
    <n v="17648.82"/>
    <s v="Completed"/>
    <s v="Pune"/>
    <x v="3"/>
    <m/>
    <s v="SMB"/>
    <n v="53"/>
    <x v="0"/>
    <x v="0"/>
  </r>
  <r>
    <s v="ORD-01451"/>
    <d v="2024-01-08T00:00:00"/>
    <s v="CUST-0058"/>
    <s v="PROD-023"/>
    <x v="1"/>
    <n v="6"/>
    <n v="2380"/>
    <n v="13.2"/>
    <n v="12395.04"/>
    <s v="Completed"/>
    <s v="Bengaluru"/>
    <x v="2"/>
    <m/>
    <s v="SMB"/>
    <n v="49"/>
    <x v="0"/>
    <x v="0"/>
  </r>
  <r>
    <s v="ORD-01452"/>
    <d v="2024-01-17T00:00:00"/>
    <s v="CUST-0187"/>
    <s v="PROD-047"/>
    <x v="18"/>
    <n v="10"/>
    <n v="3450"/>
    <n v="8.6999999999999993"/>
    <n v="31498.5"/>
    <s v="Completed"/>
    <s v="Chennai"/>
    <x v="5"/>
    <m/>
    <s v="SMB"/>
    <n v="51"/>
    <x v="0"/>
    <x v="0"/>
  </r>
  <r>
    <s v="ORD-01453"/>
    <d v="2024-07-14T00:00:00"/>
    <s v="CUST-0116"/>
    <s v="PROD-049"/>
    <x v="13"/>
    <n v="6"/>
    <n v="960"/>
    <n v="20.6"/>
    <n v="4573.4399999999996"/>
    <s v="Pending"/>
    <s v="Bengaluru"/>
    <x v="5"/>
    <m/>
    <s v="Retail"/>
    <n v="53"/>
    <x v="0"/>
    <x v="0"/>
  </r>
  <r>
    <s v="ORD-01454"/>
    <d v="2024-02-19T00:00:00"/>
    <s v="CUST-0290"/>
    <s v="PROD-018"/>
    <x v="22"/>
    <n v="10"/>
    <n v="3560"/>
    <n v="1.4"/>
    <n v="35101.599999999999"/>
    <s v="Pending"/>
    <s v="Delhi"/>
    <x v="0"/>
    <m/>
    <s v="Retail"/>
    <n v="63"/>
    <x v="0"/>
    <x v="0"/>
  </r>
  <r>
    <s v="ORD-01455"/>
    <d v="2024-03-03T00:00:00"/>
    <s v="CUST-0053"/>
    <s v="PROD-015"/>
    <x v="2"/>
    <n v="4"/>
    <n v="2720"/>
    <n v="19.399999999999999"/>
    <n v="8769.2800000000007"/>
    <s v="Refunded"/>
    <s v="Delhi"/>
    <x v="0"/>
    <m/>
    <s v="Retail"/>
    <n v="53"/>
    <x v="0"/>
    <x v="0"/>
  </r>
  <r>
    <s v="ORD-01456"/>
    <d v="2024-06-15T00:00:00"/>
    <s v="CUST-0044"/>
    <s v="PROD-009"/>
    <x v="20"/>
    <n v="5"/>
    <n v="1220"/>
    <n v="15.6"/>
    <n v="5148.3999999999996"/>
    <s v="Completed"/>
    <s v="Hyderabad"/>
    <x v="4"/>
    <m/>
    <s v="SMB"/>
    <n v="29"/>
    <x v="4"/>
    <x v="10"/>
  </r>
  <r>
    <s v="ORD-01457"/>
    <d v="2024-03-13T00:00:00"/>
    <s v="CUST-0267"/>
    <s v="PROD-035"/>
    <x v="17"/>
    <n v="5"/>
    <n v="1090"/>
    <n v="15"/>
    <n v="4632.5"/>
    <s v="Completed"/>
    <s v="Hyderabad"/>
    <x v="3"/>
    <m/>
    <s v="Retail"/>
    <n v="27"/>
    <x v="2"/>
    <x v="7"/>
  </r>
  <r>
    <s v="ORD-01458"/>
    <d v="2024-11-22T00:00:00"/>
    <s v="CUST-0179"/>
    <s v="PROD-032"/>
    <x v="20"/>
    <n v="9"/>
    <n v="370"/>
    <n v="25.4"/>
    <n v="2484.1799999999998"/>
    <s v="Completed"/>
    <s v="Mumbai"/>
    <x v="3"/>
    <m/>
    <s v="SMB"/>
    <n v="54"/>
    <x v="0"/>
    <x v="0"/>
  </r>
  <r>
    <s v="ORD-01459"/>
    <d v="2024-06-13T00:00:00"/>
    <s v="CUST-0089"/>
    <s v="PROD-055"/>
    <x v="0"/>
    <n v="7"/>
    <n v="2860"/>
    <n v="14"/>
    <n v="17217.2"/>
    <s v="Completed"/>
    <s v="Mumbai"/>
    <x v="1"/>
    <m/>
    <s v="SMB"/>
    <n v="43"/>
    <x v="0"/>
    <x v="0"/>
  </r>
  <r>
    <s v="ORD-01460"/>
    <d v="2024-07-17T00:00:00"/>
    <s v="CUST-0090"/>
    <s v="PROD-029"/>
    <x v="17"/>
    <n v="1"/>
    <n v="2210"/>
    <n v="1.7"/>
    <n v="2172.4299999999998"/>
    <s v="Completed"/>
    <s v="Bengaluru"/>
    <x v="2"/>
    <m/>
    <s v="Corporate"/>
    <n v="26"/>
    <x v="1"/>
    <x v="7"/>
  </r>
  <r>
    <s v="ORD-01461"/>
    <d v="2024-10-19T00:00:00"/>
    <s v="CUST-0135"/>
    <s v="PROD-030"/>
    <x v="5"/>
    <n v="3"/>
    <n v="970"/>
    <n v="20.3"/>
    <n v="2319.27"/>
    <s v="Pending"/>
    <s v="Pune"/>
    <x v="2"/>
    <m/>
    <s v="SMB"/>
    <n v="24"/>
    <x v="2"/>
    <x v="11"/>
  </r>
  <r>
    <s v="ORD-01462"/>
    <d v="2024-07-03T00:00:00"/>
    <s v="CUST-0252"/>
    <s v="PROD-018"/>
    <x v="13"/>
    <n v="5"/>
    <n v="3560"/>
    <n v="17.100000000000001"/>
    <n v="14756.2"/>
    <s v="Completed"/>
    <s v="Bengaluru"/>
    <x v="0"/>
    <m/>
    <s v="Retail"/>
    <n v="27"/>
    <x v="2"/>
    <x v="9"/>
  </r>
  <r>
    <s v="ORD-01463"/>
    <d v="2024-04-05T00:00:00"/>
    <s v="CUST-0086"/>
    <s v="PROD-040"/>
    <x v="12"/>
    <n v="10"/>
    <n v="1080"/>
    <n v="12.8"/>
    <n v="9417.6"/>
    <s v="Completed"/>
    <s v="Hyderabad"/>
    <x v="3"/>
    <m/>
    <s v="Corporate"/>
    <n v="56"/>
    <x v="0"/>
    <x v="0"/>
  </r>
  <r>
    <s v="ORD-01464"/>
    <d v="2024-02-02T00:00:00"/>
    <s v="CUST-0264"/>
    <s v="PROD-009"/>
    <x v="23"/>
    <n v="3"/>
    <n v="1220"/>
    <n v="1.9"/>
    <n v="3590.46"/>
    <s v="Completed"/>
    <s v="Pune"/>
    <x v="4"/>
    <m/>
    <s v="Retail"/>
    <n v="59"/>
    <x v="0"/>
    <x v="0"/>
  </r>
  <r>
    <s v="ORD-01465"/>
    <d v="2024-07-06T00:00:00"/>
    <s v="CUST-9851"/>
    <s v="PROD-031"/>
    <x v="18"/>
    <n v="1"/>
    <n v="3730"/>
    <n v="14.7"/>
    <n v="3181.69"/>
    <s v="Pending"/>
    <s v="Pune"/>
    <x v="3"/>
    <m/>
    <e v="#N/A"/>
    <e v="#N/A"/>
    <x v="0"/>
    <x v="0"/>
  </r>
  <r>
    <s v="ORD-01466"/>
    <d v="2024-12-02T00:00:00"/>
    <s v="CUST-0143"/>
    <s v="PROD-007"/>
    <x v="19"/>
    <n v="3"/>
    <n v="1430"/>
    <n v="13.2"/>
    <n v="3723.72"/>
    <s v="Completed"/>
    <s v="Chennai"/>
    <x v="4"/>
    <m/>
    <s v="SMB"/>
    <n v="52"/>
    <x v="0"/>
    <x v="0"/>
  </r>
  <r>
    <s v="ORD-01467"/>
    <d v="2024-05-01T00:00:00"/>
    <s v="CUST-0086"/>
    <s v="PROD-050"/>
    <x v="26"/>
    <n v="2"/>
    <n v="6080"/>
    <n v="21.8"/>
    <n v="9509.1200000000008"/>
    <s v="Cancelled"/>
    <s v="Hyderabad"/>
    <x v="5"/>
    <m/>
    <s v="Corporate"/>
    <n v="56"/>
    <x v="0"/>
    <x v="0"/>
  </r>
  <r>
    <s v="ORD-01468"/>
    <d v="2024-02-21T00:00:00"/>
    <s v="CUST-0196"/>
    <s v="PROD-048"/>
    <x v="15"/>
    <n v="9"/>
    <n v="5100"/>
    <n v="29.3"/>
    <n v="32451.3"/>
    <s v="Completed"/>
    <s v="Chennai"/>
    <x v="5"/>
    <m/>
    <s v="Retail"/>
    <n v="26"/>
    <x v="3"/>
    <x v="2"/>
  </r>
  <r>
    <s v="ORD-01469"/>
    <d v="2024-05-12T00:00:00"/>
    <s v="CUST-0089"/>
    <s v="PROD-011"/>
    <x v="2"/>
    <n v="5"/>
    <n v="3450"/>
    <n v="5.3"/>
    <n v="16335.75"/>
    <s v="Completed"/>
    <s v="Mumbai"/>
    <x v="0"/>
    <m/>
    <s v="SMB"/>
    <n v="43"/>
    <x v="0"/>
    <x v="0"/>
  </r>
  <r>
    <s v="ORD-01470"/>
    <d v="2024-12-06T00:00:00"/>
    <s v="CUST-0149"/>
    <s v="PROD-003"/>
    <x v="25"/>
    <n v="6"/>
    <n v="3570"/>
    <n v="17.3"/>
    <n v="17714.34"/>
    <s v="Completed"/>
    <s v="Hyderabad"/>
    <x v="4"/>
    <m/>
    <s v="Retail"/>
    <n v="44"/>
    <x v="0"/>
    <x v="0"/>
  </r>
  <r>
    <s v="ORD-01471"/>
    <d v="2024-06-01T00:00:00"/>
    <s v="CUST-0161"/>
    <s v="PROD-031"/>
    <x v="26"/>
    <n v="6"/>
    <n v="3730"/>
    <n v="1"/>
    <n v="22156.2"/>
    <s v="Completed"/>
    <s v="Chennai"/>
    <x v="3"/>
    <m/>
    <s v="Retail"/>
    <n v="38"/>
    <x v="1"/>
    <x v="8"/>
  </r>
  <r>
    <s v="ORD-01472"/>
    <d v="2024-09-10T00:00:00"/>
    <s v="CUST-0022"/>
    <s v="PROD-059"/>
    <x v="7"/>
    <n v="4"/>
    <n v="3780"/>
    <n v="13.1"/>
    <n v="13139.28"/>
    <s v="Completed"/>
    <s v="Bengaluru"/>
    <x v="1"/>
    <m/>
    <s v="Corporate"/>
    <n v="55"/>
    <x v="0"/>
    <x v="0"/>
  </r>
  <r>
    <s v="ORD-01473"/>
    <d v="2024-08-07T00:00:00"/>
    <s v="CUST-0169"/>
    <s v="PROD-017"/>
    <x v="23"/>
    <n v="1"/>
    <n v="2510"/>
    <n v="27.8"/>
    <n v="1812.22"/>
    <s v="Cancelled"/>
    <s v="Bengaluru"/>
    <x v="0"/>
    <m/>
    <s v="SMB"/>
    <n v="42"/>
    <x v="0"/>
    <x v="0"/>
  </r>
  <r>
    <s v="ORD-01474"/>
    <d v="2024-10-12T00:00:00"/>
    <s v="CUST-0290"/>
    <s v="PROD-037"/>
    <x v="0"/>
    <n v="9"/>
    <n v="660"/>
    <n v="29.3"/>
    <n v="4199.58"/>
    <s v="Completed"/>
    <s v="Delhi"/>
    <x v="3"/>
    <m/>
    <s v="Retail"/>
    <n v="63"/>
    <x v="0"/>
    <x v="0"/>
  </r>
  <r>
    <s v="ORD-01475"/>
    <d v="2024-08-03T00:00:00"/>
    <s v="CUST-0156"/>
    <s v="PROD-013"/>
    <x v="14"/>
    <n v="7"/>
    <n v="3640"/>
    <n v="11.6"/>
    <n v="22524.32"/>
    <s v="Completed"/>
    <s v="Mumbai"/>
    <x v="0"/>
    <m/>
    <s v="Retail"/>
    <n v="33"/>
    <x v="1"/>
    <x v="9"/>
  </r>
  <r>
    <s v="ORD-01476"/>
    <d v="2024-05-03T00:00:00"/>
    <s v="CUST-0005"/>
    <s v="PROD-052"/>
    <x v="7"/>
    <n v="8"/>
    <n v="5410"/>
    <n v="25.6"/>
    <n v="32200.32"/>
    <s v="Completed"/>
    <s v="Chennai"/>
    <x v="1"/>
    <m/>
    <s v="Corporate"/>
    <n v="52"/>
    <x v="0"/>
    <x v="0"/>
  </r>
  <r>
    <s v="ORD-01477"/>
    <d v="2024-02-20T00:00:00"/>
    <s v="CUST-0206"/>
    <s v="PROD-058"/>
    <x v="4"/>
    <n v="4"/>
    <n v="2400"/>
    <n v="10.4"/>
    <n v="8601.6"/>
    <s v="Completed"/>
    <s v="Mumbai"/>
    <x v="1"/>
    <m/>
    <s v="Retail"/>
    <n v="40"/>
    <x v="3"/>
    <x v="2"/>
  </r>
  <r>
    <s v="ORD-01478"/>
    <d v="2024-02-11T00:00:00"/>
    <s v="CUST-0240"/>
    <s v="PROD-038"/>
    <x v="8"/>
    <n v="2"/>
    <n v="5490"/>
    <n v="5.4"/>
    <n v="10387.08"/>
    <s v="Completed"/>
    <s v="Chennai"/>
    <x v="3"/>
    <m/>
    <s v="Corporate"/>
    <n v="35"/>
    <x v="1"/>
    <x v="5"/>
  </r>
  <r>
    <s v="ORD-01479"/>
    <d v="2024-08-12T00:00:00"/>
    <s v="CUST-0109"/>
    <s v="PROD-041"/>
    <x v="29"/>
    <n v="6"/>
    <n v="1540"/>
    <n v="0.6"/>
    <n v="9184.56"/>
    <s v="Completed"/>
    <s v="Pune"/>
    <x v="5"/>
    <m/>
    <s v="Retail"/>
    <n v="42"/>
    <x v="0"/>
    <x v="0"/>
  </r>
  <r>
    <s v="ORD-01480"/>
    <d v="2024-02-21T00:00:00"/>
    <s v="CUST-0201"/>
    <s v="PROD-001"/>
    <x v="19"/>
    <n v="3"/>
    <n v="5330"/>
    <n v="1"/>
    <n v="15830.1"/>
    <s v="Pending"/>
    <s v="Hyderabad"/>
    <x v="4"/>
    <m/>
    <s v="Retail"/>
    <n v="31"/>
    <x v="4"/>
    <x v="6"/>
  </r>
  <r>
    <s v="ORD-01481"/>
    <d v="2024-08-18T00:00:00"/>
    <s v="CUST-0100"/>
    <s v="PROD-055"/>
    <x v="27"/>
    <n v="6"/>
    <n v="2860"/>
    <n v="13.3"/>
    <n v="14877.72"/>
    <s v="Completed"/>
    <s v="Hyderabad"/>
    <x v="1"/>
    <m/>
    <s v="Corporate"/>
    <n v="60"/>
    <x v="0"/>
    <x v="0"/>
  </r>
  <r>
    <s v="ORD-01482"/>
    <d v="2024-01-14T00:00:00"/>
    <s v="CUST-0262"/>
    <s v="PROD-046"/>
    <x v="3"/>
    <n v="3"/>
    <n v="4880"/>
    <n v="12.1"/>
    <n v="12868.56"/>
    <s v="Completed"/>
    <s v="Mumbai"/>
    <x v="5"/>
    <m/>
    <s v="Retail"/>
    <n v="52"/>
    <x v="0"/>
    <x v="0"/>
  </r>
  <r>
    <s v="ORD-01483"/>
    <d v="2024-03-02T00:00:00"/>
    <s v="CUST-0067"/>
    <s v="PROD-017"/>
    <x v="1"/>
    <n v="5"/>
    <n v="2510"/>
    <n v="2.9"/>
    <n v="12186.05"/>
    <s v="Pending"/>
    <s v="Delhi"/>
    <x v="0"/>
    <m/>
    <s v="SMB"/>
    <n v="59"/>
    <x v="0"/>
    <x v="0"/>
  </r>
  <r>
    <s v="ORD-01484"/>
    <d v="2024-08-21T00:00:00"/>
    <s v="CUST-9844"/>
    <s v="PROD-006"/>
    <x v="16"/>
    <n v="9"/>
    <n v="3970"/>
    <n v="28"/>
    <n v="25725.599999999999"/>
    <s v="Completed"/>
    <s v="Pune"/>
    <x v="4"/>
    <m/>
    <e v="#N/A"/>
    <e v="#N/A"/>
    <x v="0"/>
    <x v="0"/>
  </r>
  <r>
    <s v="ORD-01485"/>
    <d v="2024-10-28T00:00:00"/>
    <s v="CUST-0122"/>
    <s v="PROD-053"/>
    <x v="28"/>
    <n v="4"/>
    <n v="470"/>
    <n v="19.100000000000001"/>
    <n v="1520.92"/>
    <s v="Pending"/>
    <s v="Mumbai"/>
    <x v="1"/>
    <m/>
    <s v="Retail"/>
    <n v="44"/>
    <x v="0"/>
    <x v="0"/>
  </r>
  <r>
    <s v="ORD-01486"/>
    <d v="2024-09-15T00:00:00"/>
    <s v="CUST-0129"/>
    <s v="PROD-001"/>
    <x v="5"/>
    <n v="7"/>
    <n v="5330"/>
    <n v="17.2"/>
    <n v="30892.68"/>
    <s v="Cancelled"/>
    <s v="Hyderabad"/>
    <x v="4"/>
    <m/>
    <s v="Retail"/>
    <n v="29"/>
    <x v="2"/>
    <x v="9"/>
  </r>
  <r>
    <s v="ORD-01487"/>
    <d v="2024-08-07T00:00:00"/>
    <s v="CUST-0056"/>
    <s v="PROD-035"/>
    <x v="27"/>
    <n v="4"/>
    <n v="1090"/>
    <n v="4.9000000000000004"/>
    <n v="4146.3599999999997"/>
    <s v="Cancelled"/>
    <s v="Bengaluru"/>
    <x v="3"/>
    <m/>
    <s v="SMB"/>
    <n v="46"/>
    <x v="0"/>
    <x v="0"/>
  </r>
  <r>
    <s v="ORD-01488"/>
    <d v="2024-06-13T00:00:00"/>
    <s v="CUST-0080"/>
    <s v="PROD-054"/>
    <x v="18"/>
    <n v="2"/>
    <n v="1010"/>
    <n v="14"/>
    <n v="1737.2"/>
    <s v="Completed"/>
    <s v="Pune"/>
    <x v="1"/>
    <m/>
    <s v="SMB"/>
    <n v="30"/>
    <x v="4"/>
    <x v="6"/>
  </r>
  <r>
    <s v="ORD-01489"/>
    <d v="2024-02-21T00:00:00"/>
    <s v="CUST-0155"/>
    <s v="PROD-004"/>
    <x v="29"/>
    <n v="9"/>
    <n v="3870"/>
    <n v="8.1999999999999993"/>
    <n v="31973.94"/>
    <s v="Completed"/>
    <s v="Pune"/>
    <x v="4"/>
    <m/>
    <s v="Corporate"/>
    <n v="40"/>
    <x v="4"/>
    <x v="7"/>
  </r>
  <r>
    <s v="ORD-01490"/>
    <d v="2024-07-18T00:00:00"/>
    <s v="CUST-0278"/>
    <s v="PROD-008"/>
    <x v="22"/>
    <n v="7"/>
    <n v="2660"/>
    <n v="15.9"/>
    <n v="15659.42"/>
    <s v="Completed"/>
    <s v="Hyderabad"/>
    <x v="4"/>
    <m/>
    <s v="Retail"/>
    <n v="41"/>
    <x v="0"/>
    <x v="0"/>
  </r>
  <r>
    <s v="ORD-01491"/>
    <d v="2024-11-23T00:00:00"/>
    <s v="CUST-0075"/>
    <s v="PROD-007"/>
    <x v="7"/>
    <n v="4"/>
    <n v="1430"/>
    <n v="25.6"/>
    <n v="4255.68"/>
    <s v="Completed"/>
    <s v="Mumbai"/>
    <x v="4"/>
    <m/>
    <s v="Corporate"/>
    <n v="55"/>
    <x v="0"/>
    <x v="0"/>
  </r>
  <r>
    <s v="ORD-01492"/>
    <d v="2024-03-23T00:00:00"/>
    <s v="CUST-0274"/>
    <s v="PROD-046"/>
    <x v="12"/>
    <n v="4"/>
    <n v="4880"/>
    <n v="19.399999999999999"/>
    <n v="15733.12"/>
    <s v="Cancelled"/>
    <s v="Bengaluru"/>
    <x v="5"/>
    <m/>
    <s v="Corporate"/>
    <n v="36"/>
    <x v="3"/>
    <x v="3"/>
  </r>
  <r>
    <s v="ORD-01493"/>
    <d v="2024-10-01T00:00:00"/>
    <s v="CUST-0197"/>
    <s v="PROD-060"/>
    <x v="19"/>
    <n v="2"/>
    <n v="190"/>
    <n v="9"/>
    <n v="345.8"/>
    <s v="Completed"/>
    <s v="Bengaluru"/>
    <x v="1"/>
    <m/>
    <s v="Retail"/>
    <n v="55"/>
    <x v="0"/>
    <x v="0"/>
  </r>
  <r>
    <s v="ORD-01494"/>
    <d v="2024-05-03T00:00:00"/>
    <s v="CUST-0294"/>
    <s v="PROD-045"/>
    <x v="7"/>
    <n v="1"/>
    <n v="3020"/>
    <n v="3.6"/>
    <n v="2911.28"/>
    <s v="Refunded"/>
    <s v="Delhi"/>
    <x v="5"/>
    <m/>
    <s v="Corporate"/>
    <n v="31"/>
    <x v="1"/>
    <x v="9"/>
  </r>
  <r>
    <s v="ORD-01495"/>
    <d v="2024-11-05T00:00:00"/>
    <s v="CUST-0281"/>
    <s v="PROD-046"/>
    <x v="7"/>
    <n v="2"/>
    <n v="4880"/>
    <n v="2"/>
    <n v="9564.7999999999993"/>
    <s v="Cancelled"/>
    <s v="Bengaluru"/>
    <x v="5"/>
    <m/>
    <s v="Corporate"/>
    <n v="57"/>
    <x v="0"/>
    <x v="0"/>
  </r>
  <r>
    <s v="ORD-01496"/>
    <d v="2024-01-28T00:00:00"/>
    <s v="CUST-0130"/>
    <s v="PROD-058"/>
    <x v="28"/>
    <n v="4"/>
    <n v="2400"/>
    <n v="11.5"/>
    <n v="8496"/>
    <s v="Completed"/>
    <s v="Bengaluru"/>
    <x v="1"/>
    <m/>
    <s v="Corporate"/>
    <n v="41"/>
    <x v="0"/>
    <x v="0"/>
  </r>
  <r>
    <s v="ORD-01497"/>
    <d v="2024-03-06T00:00:00"/>
    <s v="CUST-0097"/>
    <s v="PROD-050"/>
    <x v="25"/>
    <n v="2"/>
    <n v="6080"/>
    <n v="0.5"/>
    <n v="12099.2"/>
    <s v="Cancelled"/>
    <s v="Mumbai"/>
    <x v="5"/>
    <m/>
    <s v="Retail"/>
    <n v="65"/>
    <x v="0"/>
    <x v="0"/>
  </r>
  <r>
    <s v="ORD-01498"/>
    <d v="2024-04-02T00:00:00"/>
    <s v="CUST-0148"/>
    <s v="PROD-023"/>
    <x v="12"/>
    <n v="7"/>
    <n v="2380"/>
    <n v="12.3"/>
    <n v="14610.82"/>
    <s v="Completed"/>
    <s v="Chennai"/>
    <x v="2"/>
    <m/>
    <s v="Retail"/>
    <n v="32"/>
    <x v="1"/>
    <x v="10"/>
  </r>
  <r>
    <s v="ORD-01499"/>
    <d v="2024-08-05T00:00:00"/>
    <s v="CUST-0102"/>
    <s v="PROD-041"/>
    <x v="19"/>
    <n v="10"/>
    <n v="1540"/>
    <n v="20.6"/>
    <n v="12227.6"/>
    <s v="Completed"/>
    <s v="Chennai"/>
    <x v="5"/>
    <m/>
    <s v="SMB"/>
    <n v="62"/>
    <x v="0"/>
    <x v="0"/>
  </r>
  <r>
    <s v="ORD-01500"/>
    <d v="2024-08-16T00:00:00"/>
    <s v="CUST-0265"/>
    <s v="PROD-004"/>
    <x v="8"/>
    <n v="7"/>
    <n v="3870"/>
    <n v="6.1"/>
    <n v="25437.51"/>
    <s v="Completed"/>
    <s v="Chennai"/>
    <x v="4"/>
    <m/>
    <s v="Retail"/>
    <n v="49"/>
    <x v="0"/>
    <x v="0"/>
  </r>
  <r>
    <s v="ORD-01501"/>
    <d v="2024-04-01T00:00:00"/>
    <s v="CUST-0073"/>
    <s v="PROD-032"/>
    <x v="13"/>
    <n v="3"/>
    <n v="370"/>
    <n v="13.7"/>
    <n v="957.93"/>
    <s v="Completed"/>
    <s v="Pune"/>
    <x v="3"/>
    <m/>
    <s v="Corporate"/>
    <n v="40"/>
    <x v="2"/>
    <x v="6"/>
  </r>
  <r>
    <s v="ORD-01502"/>
    <d v="2024-02-06T00:00:00"/>
    <s v="CUST-0070"/>
    <s v="PROD-060"/>
    <x v="28"/>
    <n v="8"/>
    <n v="190"/>
    <n v="0.2"/>
    <n v="1516.96"/>
    <s v="Completed"/>
    <s v="Mumbai"/>
    <x v="1"/>
    <m/>
    <s v="Retail"/>
    <n v="42"/>
    <x v="0"/>
    <x v="0"/>
  </r>
  <r>
    <s v="ORD-01503"/>
    <d v="2024-07-28T00:00:00"/>
    <s v="CUST-0202"/>
    <s v="PROD-007"/>
    <x v="23"/>
    <n v="6"/>
    <n v="1430"/>
    <n v="0.1"/>
    <n v="8571.42"/>
    <s v="Completed"/>
    <s v="Chennai"/>
    <x v="4"/>
    <m/>
    <s v="Retail"/>
    <n v="39"/>
    <x v="2"/>
    <x v="5"/>
  </r>
  <r>
    <s v="ORD-01504"/>
    <d v="2024-02-24T00:00:00"/>
    <s v="CUST-0240"/>
    <s v="PROD-053"/>
    <x v="16"/>
    <n v="4"/>
    <n v="470"/>
    <n v="3"/>
    <n v="1823.6"/>
    <s v="Completed"/>
    <s v="Chennai"/>
    <x v="1"/>
    <m/>
    <s v="Corporate"/>
    <n v="35"/>
    <x v="4"/>
    <x v="11"/>
  </r>
  <r>
    <s v="ORD-01505"/>
    <d v="2024-06-03T00:00:00"/>
    <s v="CUST-0163"/>
    <s v="PROD-018"/>
    <x v="10"/>
    <n v="4"/>
    <n v="3560"/>
    <n v="1.1000000000000001"/>
    <n v="14083.36"/>
    <s v="Completed"/>
    <s v="Pune"/>
    <x v="0"/>
    <m/>
    <s v="Retail"/>
    <n v="49"/>
    <x v="0"/>
    <x v="0"/>
  </r>
  <r>
    <s v="ORD-01506"/>
    <d v="2024-08-17T00:00:00"/>
    <s v="CUST-0238"/>
    <s v="PROD-046"/>
    <x v="27"/>
    <n v="5"/>
    <n v="4880"/>
    <n v="17"/>
    <n v="20252"/>
    <s v="Completed"/>
    <s v="Delhi"/>
    <x v="5"/>
    <m/>
    <s v="Retail"/>
    <n v="49"/>
    <x v="0"/>
    <x v="0"/>
  </r>
  <r>
    <s v="ORD-01507"/>
    <d v="2024-07-10T00:00:00"/>
    <s v="CUST-0196"/>
    <s v="PROD-003"/>
    <x v="18"/>
    <n v="9"/>
    <n v="3570"/>
    <n v="12"/>
    <n v="28274.400000000001"/>
    <s v="Completed"/>
    <s v="Chennai"/>
    <x v="4"/>
    <m/>
    <s v="Retail"/>
    <n v="26"/>
    <x v="4"/>
    <x v="6"/>
  </r>
  <r>
    <s v="ORD-01508"/>
    <d v="2024-03-19T00:00:00"/>
    <s v="CUST-0220"/>
    <s v="PROD-051"/>
    <x v="5"/>
    <n v="6"/>
    <n v="3450"/>
    <n v="22.7"/>
    <n v="16001.1"/>
    <s v="Cancelled"/>
    <s v="Chennai"/>
    <x v="1"/>
    <m/>
    <s v="Retail"/>
    <n v="34"/>
    <x v="4"/>
    <x v="11"/>
  </r>
  <r>
    <s v="ORD-01509"/>
    <d v="2024-06-13T00:00:00"/>
    <s v="CUST-0142"/>
    <s v="PROD-040"/>
    <x v="25"/>
    <n v="10"/>
    <n v="1080"/>
    <n v="27.4"/>
    <n v="7840.8"/>
    <s v="Completed"/>
    <s v="Chennai"/>
    <x v="3"/>
    <m/>
    <s v="Corporate"/>
    <n v="55"/>
    <x v="0"/>
    <x v="0"/>
  </r>
  <r>
    <s v="ORD-01510"/>
    <d v="2024-11-09T00:00:00"/>
    <s v="CUST-0217"/>
    <s v="PROD-041"/>
    <x v="5"/>
    <n v="6"/>
    <n v="1540"/>
    <n v="17.100000000000001"/>
    <n v="7659.96"/>
    <s v="Completed"/>
    <s v="Pune"/>
    <x v="5"/>
    <m/>
    <s v="SMB"/>
    <n v="59"/>
    <x v="0"/>
    <x v="0"/>
  </r>
  <r>
    <s v="ORD-01511"/>
    <d v="2024-09-21T00:00:00"/>
    <s v="CUST-9582"/>
    <s v="PROD-015"/>
    <x v="22"/>
    <n v="6"/>
    <n v="2720"/>
    <n v="28.1"/>
    <n v="11734.08"/>
    <s v="Completed"/>
    <s v="Mumbai"/>
    <x v="0"/>
    <m/>
    <e v="#N/A"/>
    <e v="#N/A"/>
    <x v="0"/>
    <x v="0"/>
  </r>
  <r>
    <s v="ORD-01512"/>
    <d v="2024-10-04T00:00:00"/>
    <s v="CUST-0267"/>
    <s v="PROD-034"/>
    <x v="1"/>
    <n v="2"/>
    <n v="5080"/>
    <n v="11.1"/>
    <n v="9032.24"/>
    <s v="Completed"/>
    <s v="Hyderabad"/>
    <x v="3"/>
    <m/>
    <s v="Retail"/>
    <n v="27"/>
    <x v="4"/>
    <x v="1"/>
  </r>
  <r>
    <s v="ORD-01513"/>
    <d v="2024-02-07T00:00:00"/>
    <s v="CUST-9565"/>
    <s v="PROD-016"/>
    <x v="4"/>
    <n v="5"/>
    <n v="620"/>
    <n v="10.9"/>
    <n v="2762.1"/>
    <s v="Pending"/>
    <s v="Chennai"/>
    <x v="0"/>
    <m/>
    <e v="#N/A"/>
    <e v="#N/A"/>
    <x v="0"/>
    <x v="0"/>
  </r>
  <r>
    <s v="ORD-01514"/>
    <d v="2024-03-26T00:00:00"/>
    <s v="CUST-0051"/>
    <s v="PROD-019"/>
    <x v="11"/>
    <n v="3"/>
    <n v="2480"/>
    <n v="5"/>
    <n v="7068"/>
    <s v="Completed"/>
    <s v="Pune"/>
    <x v="0"/>
    <m/>
    <s v="SMB"/>
    <n v="54"/>
    <x v="0"/>
    <x v="0"/>
  </r>
  <r>
    <s v="ORD-01515"/>
    <d v="2024-09-02T00:00:00"/>
    <s v="CUST-0075"/>
    <s v="PROD-054"/>
    <x v="1"/>
    <n v="9"/>
    <n v="1010"/>
    <n v="21.9"/>
    <n v="7099.29"/>
    <s v="Completed"/>
    <s v="Mumbai"/>
    <x v="1"/>
    <m/>
    <s v="Corporate"/>
    <n v="55"/>
    <x v="0"/>
    <x v="0"/>
  </r>
  <r>
    <s v="ORD-01516"/>
    <d v="2024-09-15T00:00:00"/>
    <s v="CUST-0106"/>
    <s v="PROD-040"/>
    <x v="10"/>
    <n v="2"/>
    <n v="1080"/>
    <n v="8.5"/>
    <n v="1976.4"/>
    <s v="Completed"/>
    <s v="Pune"/>
    <x v="3"/>
    <m/>
    <s v="Retail"/>
    <n v="22"/>
    <x v="1"/>
    <x v="1"/>
  </r>
  <r>
    <s v="ORD-01517"/>
    <d v="2024-02-03T00:00:00"/>
    <s v="CUST-0053"/>
    <s v="PROD-053"/>
    <x v="5"/>
    <n v="5"/>
    <n v="470"/>
    <n v="8"/>
    <n v="2162"/>
    <s v="Completed"/>
    <s v="Delhi"/>
    <x v="1"/>
    <m/>
    <s v="Retail"/>
    <n v="53"/>
    <x v="0"/>
    <x v="0"/>
  </r>
  <r>
    <s v="ORD-01518"/>
    <d v="2024-03-24T00:00:00"/>
    <s v="CUST-0042"/>
    <s v="PROD-006"/>
    <x v="16"/>
    <n v="9"/>
    <n v="3970"/>
    <n v="18.5"/>
    <n v="29119.95"/>
    <s v="Completed"/>
    <s v="Pune"/>
    <x v="4"/>
    <m/>
    <s v="Retail"/>
    <n v="25"/>
    <x v="2"/>
    <x v="5"/>
  </r>
  <r>
    <s v="ORD-01519"/>
    <d v="2024-11-18T00:00:00"/>
    <s v="CUST-0120"/>
    <s v="PROD-044"/>
    <x v="9"/>
    <n v="9"/>
    <n v="1650"/>
    <n v="19.5"/>
    <n v="11954.25"/>
    <s v="Completed"/>
    <s v="Mumbai"/>
    <x v="5"/>
    <m/>
    <s v="Retail"/>
    <n v="29"/>
    <x v="3"/>
    <x v="10"/>
  </r>
  <r>
    <s v="ORD-01520"/>
    <d v="2024-03-13T00:00:00"/>
    <s v="CUST-0166"/>
    <s v="PROD-043"/>
    <x v="3"/>
    <n v="9"/>
    <n v="3350"/>
    <n v="4.0999999999999996"/>
    <n v="28913.85"/>
    <s v="Completed"/>
    <s v="Hyderabad"/>
    <x v="5"/>
    <m/>
    <s v="Retail"/>
    <n v="31"/>
    <x v="4"/>
    <x v="3"/>
  </r>
  <r>
    <s v="ORD-01521"/>
    <d v="2024-02-20T00:00:00"/>
    <s v="CUST-0175"/>
    <s v="PROD-006"/>
    <x v="12"/>
    <n v="7"/>
    <n v="3970"/>
    <n v="15.6"/>
    <n v="23454.76"/>
    <s v="Completed"/>
    <s v="Delhi"/>
    <x v="4"/>
    <m/>
    <s v="Corporate"/>
    <n v="55"/>
    <x v="0"/>
    <x v="0"/>
  </r>
  <r>
    <s v="ORD-01522"/>
    <d v="2024-06-11T00:00:00"/>
    <s v="CUST-0001"/>
    <s v="PROD-027"/>
    <x v="26"/>
    <n v="7"/>
    <n v="3780"/>
    <n v="18.7"/>
    <n v="21511.98"/>
    <s v="Completed"/>
    <s v="Pune"/>
    <x v="2"/>
    <m/>
    <s v="Retail"/>
    <n v="36"/>
    <x v="3"/>
    <x v="5"/>
  </r>
  <r>
    <s v="ORD-01523"/>
    <d v="2024-11-29T00:00:00"/>
    <s v="CUST-0238"/>
    <s v="PROD-020"/>
    <x v="22"/>
    <n v="4"/>
    <n v="820"/>
    <n v="18.8"/>
    <n v="2663.36"/>
    <s v="Cancelled"/>
    <s v="Delhi"/>
    <x v="0"/>
    <m/>
    <s v="Retail"/>
    <n v="49"/>
    <x v="0"/>
    <x v="0"/>
  </r>
  <r>
    <s v="ORD-01524"/>
    <d v="2024-11-04T00:00:00"/>
    <s v="CUST-0279"/>
    <s v="PROD-044"/>
    <x v="24"/>
    <n v="1"/>
    <n v="1650"/>
    <n v="18.8"/>
    <n v="1339.8"/>
    <s v="Cancelled"/>
    <s v="Mumbai"/>
    <x v="5"/>
    <m/>
    <s v="Retail"/>
    <n v="56"/>
    <x v="0"/>
    <x v="0"/>
  </r>
  <r>
    <s v="ORD-01525"/>
    <d v="2024-04-15T00:00:00"/>
    <s v="CUST-0042"/>
    <s v="PROD-027"/>
    <x v="13"/>
    <n v="2"/>
    <n v="3780"/>
    <n v="1"/>
    <n v="7484.4"/>
    <s v="Refunded"/>
    <s v="Pune"/>
    <x v="2"/>
    <m/>
    <s v="Retail"/>
    <n v="25"/>
    <x v="3"/>
    <x v="3"/>
  </r>
  <r>
    <s v="ORD-01526"/>
    <d v="2024-05-05T00:00:00"/>
    <s v="CUST-0137"/>
    <s v="PROD-029"/>
    <x v="28"/>
    <n v="5"/>
    <n v="2210"/>
    <n v="16.600000000000001"/>
    <n v="9215.7000000000007"/>
    <s v="Completed"/>
    <s v="Mumbai"/>
    <x v="2"/>
    <m/>
    <s v="Retail"/>
    <n v="41"/>
    <x v="0"/>
    <x v="0"/>
  </r>
  <r>
    <s v="ORD-01527"/>
    <d v="2024-07-14T00:00:00"/>
    <s v="CUST-0160"/>
    <s v="PROD-056"/>
    <x v="9"/>
    <n v="10"/>
    <n v="6940"/>
    <n v="10.6"/>
    <n v="62043.6"/>
    <s v="Completed"/>
    <s v="Hyderabad"/>
    <x v="1"/>
    <m/>
    <s v="Retail"/>
    <n v="27"/>
    <x v="2"/>
    <x v="2"/>
  </r>
  <r>
    <s v="ORD-01528"/>
    <d v="2024-06-11T00:00:00"/>
    <s v="CUST-0102"/>
    <s v="PROD-042"/>
    <x v="1"/>
    <n v="8"/>
    <n v="2290"/>
    <n v="12.2"/>
    <n v="16084.96"/>
    <s v="Completed"/>
    <s v="Chennai"/>
    <x v="5"/>
    <m/>
    <s v="SMB"/>
    <n v="62"/>
    <x v="0"/>
    <x v="0"/>
  </r>
  <r>
    <s v="ORD-01529"/>
    <d v="2024-08-25T00:00:00"/>
    <s v="CUST-0133"/>
    <s v="PROD-033"/>
    <x v="5"/>
    <n v="5"/>
    <n v="2030"/>
    <n v="23.8"/>
    <n v="7734.3"/>
    <s v="Cancelled"/>
    <s v="Chennai"/>
    <x v="3"/>
    <m/>
    <s v="Retail"/>
    <n v="26"/>
    <x v="1"/>
    <x v="7"/>
  </r>
  <r>
    <s v="ORD-01530"/>
    <d v="2024-09-11T00:00:00"/>
    <s v="CUST-0080"/>
    <s v="PROD-006"/>
    <x v="20"/>
    <n v="3"/>
    <n v="3970"/>
    <n v="7.7"/>
    <n v="10992.93"/>
    <s v="Completed"/>
    <s v="Pune"/>
    <x v="4"/>
    <m/>
    <s v="SMB"/>
    <n v="30"/>
    <x v="2"/>
    <x v="6"/>
  </r>
  <r>
    <s v="ORD-01821"/>
    <d v="2024-07-08T00:00:00"/>
    <s v="CUST-0299"/>
    <s v="PROD-020"/>
    <x v="29"/>
    <n v="1"/>
    <n v="820"/>
    <n v="5.4"/>
    <n v="775.72"/>
    <s v="Completed"/>
    <s v="Mumbai"/>
    <x v="0"/>
    <m/>
    <s v="Corporate"/>
    <n v="51"/>
    <x v="0"/>
    <x v="0"/>
  </r>
  <r>
    <s v="ORD-01532"/>
    <d v="2024-06-29T00:00:00"/>
    <s v="CUST-0078"/>
    <s v="PROD-004"/>
    <x v="5"/>
    <n v="3"/>
    <n v="3870"/>
    <n v="1.9"/>
    <n v="11389.41"/>
    <s v="Completed"/>
    <s v="Delhi"/>
    <x v="4"/>
    <m/>
    <s v="Retail"/>
    <n v="31"/>
    <x v="4"/>
    <x v="11"/>
  </r>
  <r>
    <s v="ORD-01533"/>
    <d v="2024-01-05T00:00:00"/>
    <s v="CUST-0251"/>
    <s v="PROD-030"/>
    <x v="24"/>
    <n v="6"/>
    <n v="970"/>
    <n v="27.1"/>
    <n v="4242.78"/>
    <s v="Completed"/>
    <s v="Mumbai"/>
    <x v="2"/>
    <m/>
    <s v="Retail"/>
    <n v="44"/>
    <x v="0"/>
    <x v="0"/>
  </r>
  <r>
    <s v="ORD-01534"/>
    <d v="2024-10-02T00:00:00"/>
    <s v="CUST-0191"/>
    <s v="PROD-046"/>
    <x v="5"/>
    <n v="1"/>
    <n v="4880"/>
    <n v="26.8"/>
    <n v="3572.16"/>
    <s v="Completed"/>
    <s v="Hyderabad"/>
    <x v="5"/>
    <m/>
    <s v="SMB"/>
    <n v="43"/>
    <x v="0"/>
    <x v="0"/>
  </r>
  <r>
    <s v="ORD-01535"/>
    <d v="2024-02-15T00:00:00"/>
    <s v="CUST-0130"/>
    <s v="PROD-022"/>
    <x v="12"/>
    <n v="1"/>
    <n v="2270"/>
    <n v="22.2"/>
    <n v="1766.06"/>
    <s v="Completed"/>
    <s v="Bengaluru"/>
    <x v="2"/>
    <m/>
    <s v="Corporate"/>
    <n v="41"/>
    <x v="0"/>
    <x v="0"/>
  </r>
  <r>
    <s v="ORD-01536"/>
    <d v="2024-03-25T00:00:00"/>
    <s v="CUST-0056"/>
    <s v="PROD-047"/>
    <x v="17"/>
    <n v="10"/>
    <n v="3450"/>
    <n v="21.9"/>
    <n v="26944.5"/>
    <s v="Completed"/>
    <s v="Bengaluru"/>
    <x v="5"/>
    <m/>
    <s v="SMB"/>
    <n v="46"/>
    <x v="0"/>
    <x v="0"/>
  </r>
  <r>
    <s v="ORD-01537"/>
    <d v="2024-11-20T00:00:00"/>
    <s v="CUST-0185"/>
    <s v="PROD-022"/>
    <x v="23"/>
    <n v="3"/>
    <n v="2270"/>
    <n v="19.100000000000001"/>
    <n v="5509.29"/>
    <s v="Cancelled"/>
    <s v="Hyderabad"/>
    <x v="2"/>
    <m/>
    <s v="SMB"/>
    <n v="43"/>
    <x v="0"/>
    <x v="0"/>
  </r>
  <r>
    <s v="ORD-01538"/>
    <d v="2024-03-09T00:00:00"/>
    <s v="CUST-0195"/>
    <s v="PROD-029"/>
    <x v="14"/>
    <n v="10"/>
    <n v="2210"/>
    <n v="22.3"/>
    <n v="17171.7"/>
    <s v="Completed"/>
    <s v="Bengaluru"/>
    <x v="2"/>
    <m/>
    <s v="Retail"/>
    <n v="28"/>
    <x v="4"/>
    <x v="3"/>
  </r>
  <r>
    <s v="ORD-01539"/>
    <d v="2024-06-22T00:00:00"/>
    <s v="CUST-0067"/>
    <s v="PROD-033"/>
    <x v="23"/>
    <n v="9"/>
    <n v="2030"/>
    <n v="24.8"/>
    <n v="13739.04"/>
    <s v="Completed"/>
    <s v="Delhi"/>
    <x v="3"/>
    <m/>
    <s v="SMB"/>
    <n v="59"/>
    <x v="0"/>
    <x v="0"/>
  </r>
  <r>
    <s v="ORD-01540"/>
    <d v="2024-03-29T00:00:00"/>
    <s v="CUST-0149"/>
    <s v="PROD-043"/>
    <x v="12"/>
    <n v="5"/>
    <n v="3350"/>
    <n v="18.2"/>
    <n v="13701.5"/>
    <s v="Completed"/>
    <s v="Hyderabad"/>
    <x v="5"/>
    <m/>
    <s v="Retail"/>
    <n v="44"/>
    <x v="0"/>
    <x v="0"/>
  </r>
  <r>
    <s v="ORD-01541"/>
    <d v="2024-03-07T00:00:00"/>
    <s v="CUST-0268"/>
    <s v="PROD-013"/>
    <x v="4"/>
    <n v="7"/>
    <n v="3640"/>
    <n v="14.4"/>
    <n v="21810.880000000001"/>
    <s v="Completed"/>
    <s v="Chennai"/>
    <x v="0"/>
    <m/>
    <s v="Retail"/>
    <n v="35"/>
    <x v="3"/>
    <x v="10"/>
  </r>
  <r>
    <s v="ORD-01542"/>
    <d v="2024-04-03T00:00:00"/>
    <s v="CUST-0126"/>
    <s v="PROD-051"/>
    <x v="26"/>
    <n v="9"/>
    <n v="3450"/>
    <n v="20.100000000000001"/>
    <n v="24808.95"/>
    <s v="Completed"/>
    <s v="Mumbai"/>
    <x v="1"/>
    <m/>
    <s v="Retail"/>
    <n v="37"/>
    <x v="1"/>
    <x v="10"/>
  </r>
  <r>
    <s v="ORD-01543"/>
    <d v="2024-05-31T00:00:00"/>
    <s v="CUST-0017"/>
    <s v="PROD-047"/>
    <x v="11"/>
    <n v="6"/>
    <n v="3450"/>
    <n v="19.899999999999999"/>
    <n v="16580.7"/>
    <s v="Pending"/>
    <s v="Delhi"/>
    <x v="5"/>
    <m/>
    <s v="SMB"/>
    <n v="38"/>
    <x v="3"/>
    <x v="4"/>
  </r>
  <r>
    <s v="ORD-01544"/>
    <d v="2024-11-03T00:00:00"/>
    <s v="CUST-0250"/>
    <s v="PROD-042"/>
    <x v="24"/>
    <n v="4"/>
    <n v="2290"/>
    <n v="4.8"/>
    <n v="8720.32"/>
    <s v="Pending"/>
    <s v="Delhi"/>
    <x v="5"/>
    <m/>
    <s v="Retail"/>
    <n v="31"/>
    <x v="1"/>
    <x v="2"/>
  </r>
  <r>
    <s v="ORD-01545"/>
    <d v="2024-07-06T00:00:00"/>
    <s v="CUST-0245"/>
    <s v="PROD-057"/>
    <x v="9"/>
    <n v="9"/>
    <n v="960"/>
    <n v="2.4"/>
    <n v="8432.64"/>
    <s v="Completed"/>
    <s v="Hyderabad"/>
    <x v="1"/>
    <m/>
    <s v="Retail"/>
    <n v="65"/>
    <x v="0"/>
    <x v="0"/>
  </r>
  <r>
    <s v="ORD-01546"/>
    <d v="2024-07-16T00:00:00"/>
    <s v="CUST-0016"/>
    <s v="PROD-039"/>
    <x v="5"/>
    <n v="9"/>
    <n v="4610"/>
    <n v="21.3"/>
    <n v="32652.63"/>
    <s v="Completed"/>
    <s v="Delhi"/>
    <x v="3"/>
    <m/>
    <s v="SMB"/>
    <n v="26"/>
    <x v="4"/>
    <x v="11"/>
  </r>
  <r>
    <s v="ORD-01547"/>
    <d v="2024-08-10T00:00:00"/>
    <s v="CUST-0063"/>
    <s v="PROD-028"/>
    <x v="11"/>
    <n v="1"/>
    <n v="3660"/>
    <n v="15.6"/>
    <n v="3089.04"/>
    <s v="Completed"/>
    <s v="Mumbai"/>
    <x v="2"/>
    <m/>
    <s v="SMB"/>
    <n v="53"/>
    <x v="0"/>
    <x v="0"/>
  </r>
  <r>
    <s v="ORD-01548"/>
    <d v="2024-12-27T00:00:00"/>
    <s v="CUST-0200"/>
    <s v="PROD-008"/>
    <x v="27"/>
    <n v="5"/>
    <n v="2660"/>
    <n v="20.399999999999999"/>
    <n v="10586.8"/>
    <s v="Completed"/>
    <s v="Hyderabad"/>
    <x v="4"/>
    <m/>
    <s v="Corporate"/>
    <n v="46"/>
    <x v="0"/>
    <x v="0"/>
  </r>
  <r>
    <s v="ORD-01549"/>
    <d v="2024-04-19T00:00:00"/>
    <s v="CUST-0017"/>
    <s v="PROD-041"/>
    <x v="17"/>
    <n v="8"/>
    <n v="1540"/>
    <n v="0.5"/>
    <n v="12258.4"/>
    <s v="Completed"/>
    <s v="Delhi"/>
    <x v="5"/>
    <m/>
    <s v="SMB"/>
    <n v="38"/>
    <x v="4"/>
    <x v="8"/>
  </r>
  <r>
    <s v="ORD-01550"/>
    <d v="2024-11-25T00:00:00"/>
    <s v="CUST-0264"/>
    <s v="PROD-006"/>
    <x v="10"/>
    <n v="4"/>
    <n v="3970"/>
    <n v="22.5"/>
    <n v="12307"/>
    <s v="Completed"/>
    <s v="Pune"/>
    <x v="4"/>
    <m/>
    <s v="Retail"/>
    <n v="59"/>
    <x v="0"/>
    <x v="0"/>
  </r>
  <r>
    <s v="ORD-01551"/>
    <d v="2024-03-17T00:00:00"/>
    <s v="CUST-0102"/>
    <s v="PROD-059"/>
    <x v="0"/>
    <n v="8"/>
    <n v="3780"/>
    <n v="3.8"/>
    <n v="29090.880000000001"/>
    <s v="Completed"/>
    <s v="Chennai"/>
    <x v="1"/>
    <m/>
    <s v="SMB"/>
    <n v="62"/>
    <x v="0"/>
    <x v="0"/>
  </r>
  <r>
    <s v="ORD-01552"/>
    <d v="2024-09-15T00:00:00"/>
    <s v="CUST-0092"/>
    <s v="PROD-022"/>
    <x v="10"/>
    <n v="4"/>
    <n v="2270"/>
    <n v="3.8"/>
    <n v="8734.9599999999991"/>
    <s v="Cancelled"/>
    <s v="Bengaluru"/>
    <x v="2"/>
    <m/>
    <s v="SMB"/>
    <n v="28"/>
    <x v="1"/>
    <x v="10"/>
  </r>
  <r>
    <s v="ORD-01553"/>
    <d v="2024-01-13T00:00:00"/>
    <s v="CUST-0139"/>
    <s v="PROD-009"/>
    <x v="18"/>
    <n v="10"/>
    <n v="1220"/>
    <n v="19.5"/>
    <n v="9821"/>
    <s v="Completed"/>
    <s v="Hyderabad"/>
    <x v="4"/>
    <m/>
    <s v="SMB"/>
    <n v="65"/>
    <x v="0"/>
    <x v="0"/>
  </r>
  <r>
    <s v="ORD-01554"/>
    <d v="2024-01-30T00:00:00"/>
    <s v="CUST-0129"/>
    <s v="PROD-043"/>
    <x v="15"/>
    <n v="10"/>
    <n v="3350"/>
    <n v="7.8"/>
    <n v="30887"/>
    <s v="Completed"/>
    <s v="Hyderabad"/>
    <x v="5"/>
    <m/>
    <s v="Retail"/>
    <n v="29"/>
    <x v="4"/>
    <x v="12"/>
  </r>
  <r>
    <s v="ORD-01555"/>
    <d v="2024-03-07T00:00:00"/>
    <s v="CUST-9841"/>
    <s v="PROD-043"/>
    <x v="14"/>
    <n v="7"/>
    <n v="3350"/>
    <n v="14.5"/>
    <n v="20049.75"/>
    <s v="Completed"/>
    <s v="Bengaluru"/>
    <x v="5"/>
    <m/>
    <e v="#N/A"/>
    <e v="#N/A"/>
    <x v="0"/>
    <x v="0"/>
  </r>
  <r>
    <s v="ORD-01556"/>
    <d v="2024-05-28T00:00:00"/>
    <s v="CUST-0069"/>
    <s v="PROD-038"/>
    <x v="2"/>
    <n v="6"/>
    <n v="5490"/>
    <n v="8"/>
    <n v="30304.799999999999"/>
    <s v="Completed"/>
    <s v="Chennai"/>
    <x v="3"/>
    <m/>
    <s v="Retail"/>
    <n v="51"/>
    <x v="0"/>
    <x v="0"/>
  </r>
  <r>
    <s v="ORD-01557"/>
    <d v="2024-11-22T00:00:00"/>
    <s v="CUST-0140"/>
    <s v="PROD-055"/>
    <x v="26"/>
    <n v="3"/>
    <n v="2860"/>
    <n v="19.899999999999999"/>
    <n v="6872.58"/>
    <s v="Completed"/>
    <s v="Hyderabad"/>
    <x v="1"/>
    <m/>
    <s v="SMB"/>
    <n v="39"/>
    <x v="4"/>
    <x v="2"/>
  </r>
  <r>
    <s v="ORD-01558"/>
    <d v="2024-01-04T00:00:00"/>
    <s v="CUST-0138"/>
    <s v="PROD-010"/>
    <x v="6"/>
    <n v="3"/>
    <n v="2640"/>
    <n v="29.3"/>
    <n v="5599.44"/>
    <s v="Completed"/>
    <s v="Chennai"/>
    <x v="4"/>
    <m/>
    <s v="Retail"/>
    <n v="24"/>
    <x v="3"/>
    <x v="3"/>
  </r>
  <r>
    <s v="ORD-01559"/>
    <d v="2024-04-02T00:00:00"/>
    <s v="CUST-0277"/>
    <s v="PROD-011"/>
    <x v="20"/>
    <n v="8"/>
    <n v="3450"/>
    <n v="15.2"/>
    <n v="23404.799999999999"/>
    <s v="Cancelled"/>
    <s v="Chennai"/>
    <x v="0"/>
    <m/>
    <s v="Corporate"/>
    <n v="34"/>
    <x v="2"/>
    <x v="12"/>
  </r>
  <r>
    <s v="ORD-01560"/>
    <d v="2024-02-27T00:00:00"/>
    <s v="CUST-0017"/>
    <s v="PROD-032"/>
    <x v="5"/>
    <n v="6"/>
    <n v="370"/>
    <n v="7"/>
    <n v="2064.6"/>
    <s v="Completed"/>
    <s v="Delhi"/>
    <x v="3"/>
    <m/>
    <s v="SMB"/>
    <n v="38"/>
    <x v="2"/>
    <x v="4"/>
  </r>
  <r>
    <s v="ORD-01561"/>
    <d v="2024-05-27T00:00:00"/>
    <s v="CUST-0170"/>
    <s v="PROD-025"/>
    <x v="20"/>
    <n v="10"/>
    <n v="4060"/>
    <n v="4.7"/>
    <n v="38691.800000000003"/>
    <s v="Cancelled"/>
    <s v="Mumbai"/>
    <x v="2"/>
    <m/>
    <s v="SMB"/>
    <n v="22"/>
    <x v="2"/>
    <x v="5"/>
  </r>
  <r>
    <s v="ORD-01562"/>
    <d v="2024-05-14T00:00:00"/>
    <s v="CUST-0022"/>
    <s v="PROD-004"/>
    <x v="6"/>
    <n v="1"/>
    <n v="3870"/>
    <n v="18.2"/>
    <n v="3165.66"/>
    <s v="Pending"/>
    <s v="Bengaluru"/>
    <x v="4"/>
    <m/>
    <s v="Corporate"/>
    <n v="55"/>
    <x v="0"/>
    <x v="0"/>
  </r>
  <r>
    <s v="ORD-01563"/>
    <d v="2024-04-03T00:00:00"/>
    <s v="CUST-0158"/>
    <s v="PROD-001"/>
    <x v="3"/>
    <n v="1"/>
    <n v="5330"/>
    <n v="3.9"/>
    <n v="5122.13"/>
    <s v="Refunded"/>
    <s v="Pune"/>
    <x v="4"/>
    <m/>
    <s v="Corporate"/>
    <n v="42"/>
    <x v="0"/>
    <x v="0"/>
  </r>
  <r>
    <s v="ORD-01564"/>
    <d v="2024-01-21T00:00:00"/>
    <s v="CUST-0160"/>
    <s v="PROD-032"/>
    <x v="16"/>
    <n v="8"/>
    <n v="370"/>
    <n v="1.3"/>
    <n v="2921.52"/>
    <s v="Completed"/>
    <s v="Hyderabad"/>
    <x v="3"/>
    <m/>
    <s v="Retail"/>
    <n v="27"/>
    <x v="1"/>
    <x v="4"/>
  </r>
  <r>
    <s v="ORD-01565"/>
    <d v="2024-11-26T00:00:00"/>
    <s v="CUST-0009"/>
    <s v="PROD-005"/>
    <x v="16"/>
    <n v="7"/>
    <n v="300"/>
    <n v="7.1"/>
    <n v="1950.9"/>
    <s v="Completed"/>
    <s v="Mumbai"/>
    <x v="4"/>
    <m/>
    <s v="Retail"/>
    <n v="61"/>
    <x v="0"/>
    <x v="0"/>
  </r>
  <r>
    <s v="ORD-01566"/>
    <d v="2024-08-04T00:00:00"/>
    <s v="CUST-0151"/>
    <s v="PROD-043"/>
    <x v="27"/>
    <n v="8"/>
    <n v="3350"/>
    <n v="11.2"/>
    <n v="23798.400000000001"/>
    <s v="Completed"/>
    <s v="Mumbai"/>
    <x v="5"/>
    <m/>
    <s v="Retail"/>
    <n v="53"/>
    <x v="0"/>
    <x v="0"/>
  </r>
  <r>
    <s v="ORD-01567"/>
    <d v="2024-08-24T00:00:00"/>
    <s v="CUST-0105"/>
    <s v="PROD-056"/>
    <x v="18"/>
    <n v="6"/>
    <n v="6940"/>
    <n v="0.3"/>
    <n v="41515.08"/>
    <s v="Completed"/>
    <s v="Chennai"/>
    <x v="1"/>
    <m/>
    <s v="SMB"/>
    <n v="51"/>
    <x v="0"/>
    <x v="0"/>
  </r>
  <r>
    <s v="ORD-01568"/>
    <d v="2024-07-10T00:00:00"/>
    <s v="CUST-0292"/>
    <s v="PROD-049"/>
    <x v="4"/>
    <n v="10"/>
    <n v="960"/>
    <n v="9.3000000000000007"/>
    <n v="8707.2000000000007"/>
    <s v="Cancelled"/>
    <s v="Bengaluru"/>
    <x v="5"/>
    <m/>
    <s v="Retail"/>
    <n v="32"/>
    <x v="4"/>
    <x v="6"/>
  </r>
  <r>
    <s v="ORD-01569"/>
    <d v="2024-11-29T00:00:00"/>
    <s v="CUST-0076"/>
    <s v="PROD-021"/>
    <x v="13"/>
    <n v="10"/>
    <n v="2760"/>
    <n v="17.2"/>
    <n v="22852.799999999999"/>
    <s v="Completed"/>
    <s v="Mumbai"/>
    <x v="2"/>
    <m/>
    <s v="Retail"/>
    <n v="38"/>
    <x v="1"/>
    <x v="11"/>
  </r>
  <r>
    <s v="ORD-01570"/>
    <d v="2024-03-07T00:00:00"/>
    <s v="CUST-0152"/>
    <s v="PROD-024"/>
    <x v="17"/>
    <n v="4"/>
    <n v="2270"/>
    <n v="26.8"/>
    <n v="6646.56"/>
    <s v="Completed"/>
    <s v="Bengaluru"/>
    <x v="2"/>
    <m/>
    <s v="SMB"/>
    <n v="64"/>
    <x v="0"/>
    <x v="0"/>
  </r>
  <r>
    <s v="ORD-01571"/>
    <d v="2024-02-20T00:00:00"/>
    <s v="CUST-0146"/>
    <s v="PROD-002"/>
    <x v="13"/>
    <n v="2"/>
    <n v="2600"/>
    <n v="27"/>
    <n v="3796"/>
    <s v="Completed"/>
    <s v="Hyderabad"/>
    <x v="4"/>
    <m/>
    <s v="Retail"/>
    <n v="22"/>
    <x v="2"/>
    <x v="10"/>
  </r>
  <r>
    <s v="ORD-01572"/>
    <d v="2024-01-13T00:00:00"/>
    <s v="CUST-0127"/>
    <s v="PROD-003"/>
    <x v="6"/>
    <n v="4"/>
    <n v="3570"/>
    <n v="12.3"/>
    <n v="12523.56"/>
    <s v="Completed"/>
    <s v="Bengaluru"/>
    <x v="4"/>
    <m/>
    <s v="SMB"/>
    <n v="36"/>
    <x v="3"/>
    <x v="5"/>
  </r>
  <r>
    <s v="ORD-01573"/>
    <d v="2024-01-25T00:00:00"/>
    <s v="CUST-0173"/>
    <s v="PROD-034"/>
    <x v="29"/>
    <n v="5"/>
    <n v="5080"/>
    <n v="1.3"/>
    <n v="25069.8"/>
    <s v="Completed"/>
    <s v="Mumbai"/>
    <x v="3"/>
    <m/>
    <s v="Retail"/>
    <n v="65"/>
    <x v="0"/>
    <x v="0"/>
  </r>
  <r>
    <s v="ORD-01574"/>
    <d v="2024-02-18T00:00:00"/>
    <s v="CUST-0206"/>
    <s v="PROD-049"/>
    <x v="29"/>
    <n v="5"/>
    <n v="960"/>
    <n v="25.2"/>
    <n v="3590.4"/>
    <s v="Completed"/>
    <s v="Mumbai"/>
    <x v="5"/>
    <m/>
    <s v="Retail"/>
    <n v="40"/>
    <x v="4"/>
    <x v="12"/>
  </r>
  <r>
    <s v="ORD-01575"/>
    <d v="2024-11-08T00:00:00"/>
    <s v="CUST-0072"/>
    <s v="PROD-053"/>
    <x v="9"/>
    <n v="7"/>
    <n v="470"/>
    <n v="21.6"/>
    <n v="2579.36"/>
    <s v="Completed"/>
    <s v="Mumbai"/>
    <x v="1"/>
    <m/>
    <s v="Corporate"/>
    <n v="62"/>
    <x v="0"/>
    <x v="0"/>
  </r>
  <r>
    <s v="ORD-01576"/>
    <d v="2024-11-29T00:00:00"/>
    <s v="CUST-0004"/>
    <s v="PROD-009"/>
    <x v="28"/>
    <n v="4"/>
    <n v="1220"/>
    <n v="12.6"/>
    <n v="4265.12"/>
    <s v="Completed"/>
    <s v="Delhi"/>
    <x v="4"/>
    <m/>
    <s v="Retail"/>
    <n v="53"/>
    <x v="0"/>
    <x v="0"/>
  </r>
  <r>
    <s v="ORD-01577"/>
    <d v="2024-01-02T00:00:00"/>
    <s v="CUST-0249"/>
    <s v="PROD-054"/>
    <x v="4"/>
    <n v="4"/>
    <n v="1010"/>
    <n v="11.3"/>
    <n v="3583.48"/>
    <s v="Completed"/>
    <s v="Mumbai"/>
    <x v="1"/>
    <m/>
    <s v="Retail"/>
    <n v="44"/>
    <x v="0"/>
    <x v="0"/>
  </r>
  <r>
    <s v="ORD-01578"/>
    <d v="2024-06-11T00:00:00"/>
    <s v="CUST-0139"/>
    <s v="PROD-028"/>
    <x v="1"/>
    <n v="4"/>
    <n v="3660"/>
    <n v="7.2"/>
    <n v="13585.92"/>
    <s v="Completed"/>
    <s v="Hyderabad"/>
    <x v="2"/>
    <m/>
    <s v="SMB"/>
    <n v="65"/>
    <x v="0"/>
    <x v="0"/>
  </r>
  <r>
    <s v="ORD-01579"/>
    <d v="2024-02-23T00:00:00"/>
    <s v="CUST-0019"/>
    <s v="PROD-038"/>
    <x v="9"/>
    <n v="4"/>
    <n v="5490"/>
    <n v="8"/>
    <n v="20203.2"/>
    <s v="Completed"/>
    <s v="Chennai"/>
    <x v="3"/>
    <m/>
    <s v="Retail"/>
    <n v="22"/>
    <x v="1"/>
    <x v="7"/>
  </r>
  <r>
    <s v="ORD-01580"/>
    <d v="2024-12-19T00:00:00"/>
    <s v="CUST-0210"/>
    <s v="PROD-022"/>
    <x v="11"/>
    <n v="6"/>
    <n v="2270"/>
    <n v="17.100000000000001"/>
    <n v="11290.98"/>
    <s v="Completed"/>
    <s v="Pune"/>
    <x v="2"/>
    <m/>
    <s v="Corporate"/>
    <n v="48"/>
    <x v="0"/>
    <x v="0"/>
  </r>
  <r>
    <s v="ORD-01581"/>
    <d v="2024-10-23T00:00:00"/>
    <s v="CUST-0168"/>
    <s v="PROD-022"/>
    <x v="15"/>
    <n v="8"/>
    <n v="2270"/>
    <n v="11.9"/>
    <n v="15998.96"/>
    <s v="Pending"/>
    <s v="Pune"/>
    <x v="2"/>
    <m/>
    <s v="Retail"/>
    <n v="25"/>
    <x v="1"/>
    <x v="8"/>
  </r>
  <r>
    <s v="ORD-01582"/>
    <d v="2024-10-27T00:00:00"/>
    <s v="CUST-0094"/>
    <s v="PROD-002"/>
    <x v="26"/>
    <n v="6"/>
    <n v="2600"/>
    <n v="5.0999999999999996"/>
    <n v="14804.4"/>
    <s v="Completed"/>
    <s v="Pune"/>
    <x v="4"/>
    <m/>
    <s v="SMB"/>
    <n v="60"/>
    <x v="0"/>
    <x v="0"/>
  </r>
  <r>
    <s v="ORD-01583"/>
    <d v="2024-04-21T00:00:00"/>
    <s v="CUST-0259"/>
    <s v="PROD-004"/>
    <x v="28"/>
    <n v="9"/>
    <n v="3870"/>
    <n v="1.8"/>
    <n v="34203.06"/>
    <s v="Cancelled"/>
    <s v="Mumbai"/>
    <x v="4"/>
    <m/>
    <s v="Retail"/>
    <n v="34"/>
    <x v="3"/>
    <x v="9"/>
  </r>
  <r>
    <s v="ORD-01584"/>
    <d v="2024-06-16T00:00:00"/>
    <s v="CUST-0150"/>
    <s v="PROD-006"/>
    <x v="3"/>
    <n v="3"/>
    <n v="3970"/>
    <n v="8.1999999999999993"/>
    <n v="10933.38"/>
    <s v="Completed"/>
    <s v="Pune"/>
    <x v="4"/>
    <m/>
    <s v="SMB"/>
    <n v="53"/>
    <x v="0"/>
    <x v="0"/>
  </r>
  <r>
    <s v="ORD-01585"/>
    <d v="2024-05-26T00:00:00"/>
    <s v="CUST-0040"/>
    <s v="PROD-049"/>
    <x v="8"/>
    <n v="9"/>
    <n v="960"/>
    <n v="21.7"/>
    <n v="6765.12"/>
    <s v="Cancelled"/>
    <s v="Chennai"/>
    <x v="5"/>
    <m/>
    <s v="Retail"/>
    <n v="28"/>
    <x v="1"/>
    <x v="7"/>
  </r>
  <r>
    <s v="ORD-01586"/>
    <d v="2024-12-06T00:00:00"/>
    <s v="CUST-0290"/>
    <s v="PROD-052"/>
    <x v="5"/>
    <n v="3"/>
    <n v="5410"/>
    <n v="20.3"/>
    <n v="12935.31"/>
    <s v="Completed"/>
    <s v="Delhi"/>
    <x v="1"/>
    <m/>
    <s v="Retail"/>
    <n v="63"/>
    <x v="0"/>
    <x v="0"/>
  </r>
  <r>
    <s v="ORD-01587"/>
    <d v="2024-10-14T00:00:00"/>
    <s v="CUST-0123"/>
    <s v="PROD-011"/>
    <x v="1"/>
    <n v="3"/>
    <n v="3450"/>
    <n v="11.6"/>
    <n v="9149.4"/>
    <s v="Completed"/>
    <s v="Chennai"/>
    <x v="0"/>
    <m/>
    <s v="Corporate"/>
    <n v="44"/>
    <x v="0"/>
    <x v="0"/>
  </r>
  <r>
    <s v="ORD-01588"/>
    <d v="2024-04-10T00:00:00"/>
    <s v="CUST-0053"/>
    <s v="PROD-045"/>
    <x v="4"/>
    <n v="2"/>
    <n v="3020"/>
    <n v="20.8"/>
    <n v="4783.68"/>
    <s v="Pending"/>
    <s v="Delhi"/>
    <x v="5"/>
    <m/>
    <s v="Retail"/>
    <n v="53"/>
    <x v="0"/>
    <x v="0"/>
  </r>
  <r>
    <s v="ORD-01589"/>
    <d v="2024-09-28T00:00:00"/>
    <s v="CUST-0179"/>
    <s v="PROD-060"/>
    <x v="25"/>
    <n v="3"/>
    <n v="190"/>
    <n v="10.7"/>
    <n v="509.01"/>
    <s v="Completed"/>
    <s v="Mumbai"/>
    <x v="1"/>
    <m/>
    <s v="SMB"/>
    <n v="54"/>
    <x v="0"/>
    <x v="0"/>
  </r>
  <r>
    <s v="ORD-01590"/>
    <d v="2024-01-03T00:00:00"/>
    <s v="CUST-0006"/>
    <s v="PROD-031"/>
    <x v="27"/>
    <n v="4"/>
    <n v="3730"/>
    <n v="6.9"/>
    <n v="13890.52"/>
    <s v="Completed"/>
    <s v="Pune"/>
    <x v="3"/>
    <m/>
    <s v="SMB"/>
    <n v="44"/>
    <x v="0"/>
    <x v="0"/>
  </r>
  <r>
    <s v="ORD-01591"/>
    <d v="2024-07-30T00:00:00"/>
    <s v="CUST-0272"/>
    <s v="PROD-051"/>
    <x v="5"/>
    <n v="9"/>
    <n v="3450"/>
    <n v="22.2"/>
    <n v="24156.9"/>
    <s v="Cancelled"/>
    <s v="Mumbai"/>
    <x v="1"/>
    <m/>
    <s v="SMB"/>
    <n v="47"/>
    <x v="0"/>
    <x v="0"/>
  </r>
  <r>
    <s v="ORD-01592"/>
    <d v="2024-02-14T00:00:00"/>
    <s v="CUST-0274"/>
    <s v="PROD-006"/>
    <x v="25"/>
    <n v="3"/>
    <n v="3970"/>
    <n v="6.8"/>
    <n v="11100.12"/>
    <s v="Completed"/>
    <s v="Bengaluru"/>
    <x v="4"/>
    <m/>
    <s v="Corporate"/>
    <n v="36"/>
    <x v="2"/>
    <x v="11"/>
  </r>
  <r>
    <s v="ORD-01593"/>
    <d v="2024-06-19T00:00:00"/>
    <s v="CUST-0262"/>
    <s v="PROD-035"/>
    <x v="24"/>
    <n v="3"/>
    <n v="1090"/>
    <n v="23.7"/>
    <n v="2495.0100000000002"/>
    <s v="Completed"/>
    <s v="Mumbai"/>
    <x v="3"/>
    <m/>
    <s v="Retail"/>
    <n v="52"/>
    <x v="0"/>
    <x v="0"/>
  </r>
  <r>
    <s v="ORD-01594"/>
    <d v="2024-01-09T00:00:00"/>
    <s v="CUST-0087"/>
    <s v="PROD-033"/>
    <x v="12"/>
    <n v="3"/>
    <n v="2030"/>
    <n v="18.8"/>
    <n v="4945.08"/>
    <s v="Completed"/>
    <s v="Pune"/>
    <x v="3"/>
    <m/>
    <s v="SMB"/>
    <n v="49"/>
    <x v="0"/>
    <x v="0"/>
  </r>
  <r>
    <s v="ORD-01595"/>
    <d v="2024-03-16T00:00:00"/>
    <s v="CUST-0198"/>
    <s v="PROD-026"/>
    <x v="4"/>
    <n v="2"/>
    <n v="4070"/>
    <n v="14.3"/>
    <n v="6975.98"/>
    <s v="Completed"/>
    <s v="Chennai"/>
    <x v="2"/>
    <m/>
    <s v="Corporate"/>
    <n v="22"/>
    <x v="3"/>
    <x v="12"/>
  </r>
  <r>
    <s v="ORD-01596"/>
    <d v="2024-04-28T00:00:00"/>
    <s v="CUST-0065"/>
    <s v="PROD-014"/>
    <x v="8"/>
    <n v="3"/>
    <n v="3620"/>
    <n v="13.5"/>
    <n v="9393.9"/>
    <s v="Completed"/>
    <s v="Chennai"/>
    <x v="0"/>
    <m/>
    <s v="Corporate"/>
    <n v="49"/>
    <x v="0"/>
    <x v="0"/>
  </r>
  <r>
    <s v="ORD-01597"/>
    <d v="2024-11-27T00:00:00"/>
    <s v="CUST-0209"/>
    <s v="PROD-054"/>
    <x v="19"/>
    <n v="4"/>
    <n v="1010"/>
    <n v="3.3"/>
    <n v="3906.68"/>
    <s v="Completed"/>
    <s v="Pune"/>
    <x v="1"/>
    <m/>
    <s v="Retail"/>
    <n v="31"/>
    <x v="2"/>
    <x v="4"/>
  </r>
  <r>
    <s v="ORD-01598"/>
    <d v="2024-07-18T00:00:00"/>
    <s v="CUST-0181"/>
    <s v="PROD-030"/>
    <x v="1"/>
    <n v="7"/>
    <n v="970"/>
    <n v="0.1"/>
    <n v="6783.21"/>
    <s v="Completed"/>
    <s v="Delhi"/>
    <x v="2"/>
    <m/>
    <s v="SMB"/>
    <n v="38"/>
    <x v="1"/>
    <x v="3"/>
  </r>
  <r>
    <s v="ORD-01599"/>
    <d v="2024-10-06T00:00:00"/>
    <s v="CUST-0007"/>
    <s v="PROD-053"/>
    <x v="28"/>
    <n v="5"/>
    <n v="470"/>
    <n v="18.3"/>
    <n v="1919.95"/>
    <s v="Refunded"/>
    <s v="Bengaluru"/>
    <x v="1"/>
    <m/>
    <s v="Retail"/>
    <n v="47"/>
    <x v="0"/>
    <x v="0"/>
  </r>
  <r>
    <s v="ORD-01600"/>
    <d v="2024-04-11T00:00:00"/>
    <s v="CUST-0050"/>
    <s v="PROD-011"/>
    <x v="9"/>
    <n v="8"/>
    <n v="3450"/>
    <n v="5.0999999999999996"/>
    <n v="26192.400000000001"/>
    <s v="Refunded"/>
    <s v="Mumbai"/>
    <x v="0"/>
    <m/>
    <s v="Retail"/>
    <n v="37"/>
    <x v="2"/>
    <x v="9"/>
  </r>
  <r>
    <s v="ORD-01601"/>
    <d v="2024-06-22T00:00:00"/>
    <s v="CUST-0155"/>
    <s v="PROD-010"/>
    <x v="24"/>
    <n v="1"/>
    <n v="2640"/>
    <n v="5.9"/>
    <n v="2484.2399999999998"/>
    <s v="Completed"/>
    <s v="Pune"/>
    <x v="4"/>
    <m/>
    <s v="Corporate"/>
    <n v="40"/>
    <x v="4"/>
    <x v="4"/>
  </r>
  <r>
    <s v="ORD-01602"/>
    <d v="2024-03-03T00:00:00"/>
    <s v="CUST-0085"/>
    <s v="PROD-003"/>
    <x v="16"/>
    <n v="10"/>
    <n v="3570"/>
    <n v="21.5"/>
    <n v="28024.5"/>
    <s v="Completed"/>
    <s v="Chennai"/>
    <x v="4"/>
    <m/>
    <s v="Retail"/>
    <n v="26"/>
    <x v="3"/>
    <x v="7"/>
  </r>
  <r>
    <s v="ORD-01603"/>
    <d v="2024-10-16T00:00:00"/>
    <s v="CUST-0285"/>
    <s v="PROD-007"/>
    <x v="29"/>
    <n v="10"/>
    <n v="1430"/>
    <n v="11.4"/>
    <n v="12669.8"/>
    <s v="Cancelled"/>
    <s v="Hyderabad"/>
    <x v="4"/>
    <m/>
    <s v="Retail"/>
    <n v="22"/>
    <x v="3"/>
    <x v="10"/>
  </r>
  <r>
    <s v="ORD-01604"/>
    <d v="2024-12-17T00:00:00"/>
    <s v="CUST-0148"/>
    <s v="PROD-057"/>
    <x v="22"/>
    <n v="7"/>
    <n v="960"/>
    <n v="22.9"/>
    <n v="5181.12"/>
    <s v="Completed"/>
    <s v="Chennai"/>
    <x v="1"/>
    <m/>
    <s v="Retail"/>
    <n v="32"/>
    <x v="4"/>
    <x v="9"/>
  </r>
  <r>
    <s v="ORD-01605"/>
    <d v="2024-11-10T00:00:00"/>
    <s v="CUST-0252"/>
    <s v="PROD-036"/>
    <x v="9"/>
    <n v="8"/>
    <n v="3250"/>
    <n v="1.9"/>
    <n v="25506"/>
    <s v="Completed"/>
    <s v="Bengaluru"/>
    <x v="3"/>
    <m/>
    <s v="Retail"/>
    <n v="27"/>
    <x v="4"/>
    <x v="8"/>
  </r>
  <r>
    <s v="ORD-01606"/>
    <d v="2024-03-05T00:00:00"/>
    <s v="CUST-0141"/>
    <s v="PROD-051"/>
    <x v="26"/>
    <n v="9"/>
    <n v="3450"/>
    <n v="18"/>
    <n v="25461"/>
    <s v="Completed"/>
    <s v="Hyderabad"/>
    <x v="1"/>
    <m/>
    <s v="Corporate"/>
    <n v="22"/>
    <x v="4"/>
    <x v="3"/>
  </r>
  <r>
    <s v="ORD-01607"/>
    <d v="2024-02-21T00:00:00"/>
    <s v="CUST-0101"/>
    <s v="PROD-024"/>
    <x v="29"/>
    <n v="5"/>
    <n v="2270"/>
    <n v="11.5"/>
    <n v="10044.75"/>
    <s v="Completed"/>
    <s v="Hyderabad"/>
    <x v="2"/>
    <m/>
    <s v="SMB"/>
    <n v="40"/>
    <x v="3"/>
    <x v="10"/>
  </r>
  <r>
    <s v="ORD-01608"/>
    <d v="2024-06-06T00:00:00"/>
    <s v="CUST-0223"/>
    <s v="PROD-045"/>
    <x v="7"/>
    <n v="6"/>
    <n v="3020"/>
    <n v="12.6"/>
    <n v="15836.88"/>
    <s v="Completed"/>
    <s v="Bengaluru"/>
    <x v="5"/>
    <m/>
    <s v="Retail"/>
    <n v="46"/>
    <x v="0"/>
    <x v="0"/>
  </r>
  <r>
    <s v="ORD-01609"/>
    <d v="2024-01-26T00:00:00"/>
    <s v="CUST-0197"/>
    <s v="PROD-010"/>
    <x v="4"/>
    <n v="8"/>
    <n v="2640"/>
    <n v="14.5"/>
    <n v="18057.599999999999"/>
    <s v="Refunded"/>
    <s v="Bengaluru"/>
    <x v="4"/>
    <m/>
    <s v="Retail"/>
    <n v="55"/>
    <x v="0"/>
    <x v="0"/>
  </r>
  <r>
    <s v="ORD-01610"/>
    <d v="2024-09-26T00:00:00"/>
    <s v="CUST-0260"/>
    <s v="PROD-024"/>
    <x v="28"/>
    <n v="2"/>
    <n v="2270"/>
    <n v="27"/>
    <n v="3314.2"/>
    <s v="Completed"/>
    <s v="Bengaluru"/>
    <x v="2"/>
    <m/>
    <s v="Retail"/>
    <n v="42"/>
    <x v="0"/>
    <x v="0"/>
  </r>
  <r>
    <s v="ORD-01611"/>
    <d v="2024-12-10T00:00:00"/>
    <s v="CUST-0180"/>
    <s v="PROD-021"/>
    <x v="28"/>
    <n v="8"/>
    <n v="2760"/>
    <n v="18"/>
    <n v="18105.599999999999"/>
    <s v="Cancelled"/>
    <s v="Chennai"/>
    <x v="2"/>
    <m/>
    <s v="Retail"/>
    <n v="36"/>
    <x v="2"/>
    <x v="1"/>
  </r>
  <r>
    <s v="ORD-01612"/>
    <d v="2024-04-16T00:00:00"/>
    <s v="CUST-0166"/>
    <s v="PROD-014"/>
    <x v="12"/>
    <n v="8"/>
    <n v="3620"/>
    <n v="7.1"/>
    <n v="26903.84"/>
    <s v="Completed"/>
    <s v="Hyderabad"/>
    <x v="0"/>
    <m/>
    <s v="Retail"/>
    <n v="31"/>
    <x v="2"/>
    <x v="8"/>
  </r>
  <r>
    <s v="ORD-01613"/>
    <d v="2024-07-04T00:00:00"/>
    <s v="CUST-0062"/>
    <s v="PROD-042"/>
    <x v="13"/>
    <n v="8"/>
    <n v="2290"/>
    <n v="16.399999999999999"/>
    <n v="15315.52"/>
    <s v="Completed"/>
    <s v="Pune"/>
    <x v="5"/>
    <m/>
    <s v="Retail"/>
    <n v="54"/>
    <x v="0"/>
    <x v="0"/>
  </r>
  <r>
    <s v="ORD-01614"/>
    <d v="2024-06-19T00:00:00"/>
    <s v="CUST-0130"/>
    <s v="PROD-044"/>
    <x v="7"/>
    <n v="3"/>
    <n v="1650"/>
    <n v="1.8"/>
    <n v="4860.8999999999996"/>
    <s v="Cancelled"/>
    <s v="Bengaluru"/>
    <x v="5"/>
    <m/>
    <s v="Corporate"/>
    <n v="41"/>
    <x v="0"/>
    <x v="0"/>
  </r>
  <r>
    <s v="ORD-01615"/>
    <d v="2024-12-16T00:00:00"/>
    <s v="CUST-0162"/>
    <s v="PROD-001"/>
    <x v="26"/>
    <n v="3"/>
    <n v="5330"/>
    <n v="22.2"/>
    <n v="12440.22"/>
    <s v="Completed"/>
    <s v="Mumbai"/>
    <x v="4"/>
    <m/>
    <s v="Corporate"/>
    <n v="35"/>
    <x v="3"/>
    <x v="7"/>
  </r>
  <r>
    <s v="ORD-01616"/>
    <d v="2024-08-30T00:00:00"/>
    <s v="CUST-0153"/>
    <s v="PROD-040"/>
    <x v="24"/>
    <n v="7"/>
    <n v="1080"/>
    <n v="17.899999999999999"/>
    <n v="6206.76"/>
    <s v="Completed"/>
    <s v="Mumbai"/>
    <x v="3"/>
    <m/>
    <s v="Retail"/>
    <n v="35"/>
    <x v="3"/>
    <x v="8"/>
  </r>
  <r>
    <s v="ORD-01617"/>
    <d v="2024-06-17T00:00:00"/>
    <s v="CUST-0071"/>
    <s v="PROD-009"/>
    <x v="24"/>
    <n v="10"/>
    <n v="1220"/>
    <n v="5.7"/>
    <n v="11504.6"/>
    <s v="Completed"/>
    <s v="Delhi"/>
    <x v="4"/>
    <m/>
    <s v="Corporate"/>
    <n v="46"/>
    <x v="0"/>
    <x v="0"/>
  </r>
  <r>
    <s v="ORD-01618"/>
    <d v="2024-12-22T00:00:00"/>
    <s v="CUST-0200"/>
    <s v="PROD-037"/>
    <x v="14"/>
    <n v="10"/>
    <n v="660"/>
    <n v="7.5"/>
    <n v="6105"/>
    <s v="Completed"/>
    <s v="Hyderabad"/>
    <x v="3"/>
    <m/>
    <s v="Corporate"/>
    <n v="46"/>
    <x v="0"/>
    <x v="0"/>
  </r>
  <r>
    <s v="ORD-01619"/>
    <d v="2024-09-22T00:00:00"/>
    <s v="CUST-0266"/>
    <s v="PROD-040"/>
    <x v="16"/>
    <n v="6"/>
    <n v="1080"/>
    <n v="28.9"/>
    <n v="4607.28"/>
    <s v="Completed"/>
    <s v="Pune"/>
    <x v="3"/>
    <m/>
    <s v="Retail"/>
    <n v="65"/>
    <x v="0"/>
    <x v="0"/>
  </r>
  <r>
    <s v="ORD-01620"/>
    <d v="2024-10-19T00:00:00"/>
    <s v="CUST-0171"/>
    <s v="PROD-022"/>
    <x v="16"/>
    <n v="7"/>
    <n v="2270"/>
    <n v="1.4"/>
    <n v="15667.54"/>
    <s v="Completed"/>
    <s v="Chennai"/>
    <x v="2"/>
    <m/>
    <s v="Corporate"/>
    <n v="30"/>
    <x v="3"/>
    <x v="1"/>
  </r>
  <r>
    <s v="ORD-01621"/>
    <d v="2024-07-02T00:00:00"/>
    <s v="CUST-0221"/>
    <s v="PROD-032"/>
    <x v="8"/>
    <n v="3"/>
    <n v="370"/>
    <n v="9.6"/>
    <n v="1003.44"/>
    <s v="Refunded"/>
    <s v="Delhi"/>
    <x v="3"/>
    <m/>
    <s v="SMB"/>
    <n v="29"/>
    <x v="3"/>
    <x v="9"/>
  </r>
  <r>
    <s v="ORD-01622"/>
    <d v="2024-03-14T00:00:00"/>
    <s v="CUST-0038"/>
    <s v="PROD-030"/>
    <x v="18"/>
    <n v="9"/>
    <n v="970"/>
    <n v="29.7"/>
    <n v="6137.19"/>
    <s v="Completed"/>
    <s v="Mumbai"/>
    <x v="2"/>
    <m/>
    <s v="Retail"/>
    <n v="57"/>
    <x v="0"/>
    <x v="0"/>
  </r>
  <r>
    <s v="ORD-00613"/>
    <d v="2024-04-23T00:00:00"/>
    <s v="CUST-0174"/>
    <s v="PROD-016"/>
    <x v="11"/>
    <n v="1"/>
    <n v="620"/>
    <n v="10.4"/>
    <n v="555.52"/>
    <s v="Cancelled"/>
    <s v="Pune"/>
    <x v="0"/>
    <m/>
    <s v="Retail"/>
    <n v="54"/>
    <x v="0"/>
    <x v="0"/>
  </r>
  <r>
    <s v="ORD-01624"/>
    <d v="2024-08-29T00:00:00"/>
    <s v="CUST-0054"/>
    <s v="PROD-028"/>
    <x v="20"/>
    <n v="5"/>
    <n v="3660"/>
    <n v="8"/>
    <n v="16836"/>
    <s v="Completed"/>
    <s v="Mumbai"/>
    <x v="2"/>
    <m/>
    <s v="Corporate"/>
    <n v="62"/>
    <x v="0"/>
    <x v="0"/>
  </r>
  <r>
    <s v="ORD-01625"/>
    <d v="2024-12-02T00:00:00"/>
    <s v="CUST-0071"/>
    <s v="PROD-029"/>
    <x v="6"/>
    <n v="7"/>
    <n v="2210"/>
    <n v="13.7"/>
    <n v="13350.61"/>
    <s v="Refunded"/>
    <s v="Delhi"/>
    <x v="2"/>
    <m/>
    <s v="Corporate"/>
    <n v="46"/>
    <x v="0"/>
    <x v="0"/>
  </r>
  <r>
    <s v="ORD-01626"/>
    <d v="2024-12-05T00:00:00"/>
    <s v="CUST-0004"/>
    <s v="PROD-059"/>
    <x v="8"/>
    <n v="1"/>
    <n v="3780"/>
    <n v="11.5"/>
    <n v="3345.3"/>
    <s v="Completed"/>
    <s v="Delhi"/>
    <x v="1"/>
    <m/>
    <s v="Retail"/>
    <n v="53"/>
    <x v="0"/>
    <x v="0"/>
  </r>
  <r>
    <s v="ORD-01627"/>
    <d v="2024-11-05T00:00:00"/>
    <s v="CUST-0033"/>
    <s v="PROD-002"/>
    <x v="1"/>
    <n v="10"/>
    <n v="2600"/>
    <n v="29.4"/>
    <n v="18356"/>
    <s v="Completed"/>
    <s v="Delhi"/>
    <x v="4"/>
    <m/>
    <s v="Retail"/>
    <n v="35"/>
    <x v="2"/>
    <x v="8"/>
  </r>
  <r>
    <s v="ORD-01628"/>
    <d v="2024-03-14T00:00:00"/>
    <s v="CUST-0079"/>
    <s v="PROD-027"/>
    <x v="21"/>
    <n v="3"/>
    <n v="3780"/>
    <n v="14.4"/>
    <n v="9707.0400000000009"/>
    <s v="Completed"/>
    <s v="Mumbai"/>
    <x v="2"/>
    <m/>
    <s v="Corporate"/>
    <n v="60"/>
    <x v="0"/>
    <x v="0"/>
  </r>
  <r>
    <s v="ORD-01629"/>
    <d v="2024-05-09T00:00:00"/>
    <s v="CUST-0176"/>
    <s v="PROD-010"/>
    <x v="11"/>
    <n v="10"/>
    <n v="2640"/>
    <n v="26.8"/>
    <n v="19324.8"/>
    <s v="Pending"/>
    <s v="Bengaluru"/>
    <x v="4"/>
    <m/>
    <s v="SMB"/>
    <n v="34"/>
    <x v="3"/>
    <x v="10"/>
  </r>
  <r>
    <s v="ORD-01630"/>
    <d v="2024-02-25T00:00:00"/>
    <s v="CUST-0254"/>
    <s v="PROD-035"/>
    <x v="22"/>
    <n v="3"/>
    <n v="1090"/>
    <n v="9.1"/>
    <n v="2972.43"/>
    <s v="Completed"/>
    <s v="Bengaluru"/>
    <x v="3"/>
    <m/>
    <s v="Retail"/>
    <n v="35"/>
    <x v="1"/>
    <x v="2"/>
  </r>
  <r>
    <s v="ORD-01631"/>
    <d v="2024-10-09T00:00:00"/>
    <s v="CUST-0212"/>
    <s v="PROD-011"/>
    <x v="6"/>
    <n v="3"/>
    <n v="3450"/>
    <n v="23"/>
    <n v="7969.5"/>
    <s v="Pending"/>
    <s v="Chennai"/>
    <x v="0"/>
    <m/>
    <s v="SMB"/>
    <n v="46"/>
    <x v="0"/>
    <x v="0"/>
  </r>
  <r>
    <s v="ORD-01632"/>
    <d v="2024-03-14T00:00:00"/>
    <s v="CUST-0109"/>
    <s v="PROD-049"/>
    <x v="15"/>
    <n v="1"/>
    <n v="960"/>
    <n v="1.1000000000000001"/>
    <n v="949.44"/>
    <s v="Completed"/>
    <s v="Pune"/>
    <x v="5"/>
    <m/>
    <s v="Retail"/>
    <n v="42"/>
    <x v="0"/>
    <x v="0"/>
  </r>
  <r>
    <s v="ORD-01633"/>
    <d v="2024-10-12T00:00:00"/>
    <s v="CUST-0087"/>
    <s v="PROD-028"/>
    <x v="14"/>
    <n v="9"/>
    <n v="3660"/>
    <n v="9"/>
    <n v="29975.4"/>
    <s v="Completed"/>
    <s v="Pune"/>
    <x v="2"/>
    <m/>
    <s v="SMB"/>
    <n v="49"/>
    <x v="0"/>
    <x v="0"/>
  </r>
  <r>
    <s v="ORD-01634"/>
    <d v="2024-05-08T00:00:00"/>
    <s v="CUST-0167"/>
    <s v="PROD-031"/>
    <x v="4"/>
    <n v="3"/>
    <n v="3730"/>
    <n v="15.8"/>
    <n v="9421.98"/>
    <s v="Completed"/>
    <s v="Delhi"/>
    <x v="3"/>
    <m/>
    <s v="Retail"/>
    <n v="43"/>
    <x v="0"/>
    <x v="0"/>
  </r>
  <r>
    <s v="ORD-01635"/>
    <d v="2024-02-25T00:00:00"/>
    <s v="CUST-0079"/>
    <s v="PROD-026"/>
    <x v="10"/>
    <n v="6"/>
    <n v="4070"/>
    <n v="6.2"/>
    <n v="22905.96"/>
    <s v="Completed"/>
    <s v="Mumbai"/>
    <x v="2"/>
    <m/>
    <s v="Corporate"/>
    <n v="60"/>
    <x v="0"/>
    <x v="0"/>
  </r>
  <r>
    <s v="ORD-01636"/>
    <d v="2024-02-07T00:00:00"/>
    <s v="CUST-0115"/>
    <s v="PROD-008"/>
    <x v="24"/>
    <n v="1"/>
    <n v="2660"/>
    <n v="14.6"/>
    <n v="2271.64"/>
    <s v="Completed"/>
    <s v="Mumbai"/>
    <x v="4"/>
    <m/>
    <s v="SMB"/>
    <n v="65"/>
    <x v="0"/>
    <x v="0"/>
  </r>
  <r>
    <s v="ORD-01637"/>
    <d v="2024-03-27T00:00:00"/>
    <s v="CUST-0184"/>
    <s v="PROD-033"/>
    <x v="11"/>
    <n v="3"/>
    <n v="2030"/>
    <n v="13.3"/>
    <n v="5280.03"/>
    <s v="Cancelled"/>
    <s v="Pune"/>
    <x v="3"/>
    <m/>
    <s v="Retail"/>
    <n v="63"/>
    <x v="0"/>
    <x v="0"/>
  </r>
  <r>
    <s v="ORD-01638"/>
    <d v="2024-04-11T00:00:00"/>
    <s v="CUST-0084"/>
    <s v="PROD-028"/>
    <x v="19"/>
    <n v="4"/>
    <n v="3660"/>
    <n v="2.2000000000000002"/>
    <n v="14317.92"/>
    <s v="Completed"/>
    <s v="Chennai"/>
    <x v="2"/>
    <m/>
    <s v="Retail"/>
    <n v="28"/>
    <x v="1"/>
    <x v="10"/>
  </r>
  <r>
    <s v="ORD-01639"/>
    <d v="2024-03-13T00:00:00"/>
    <s v="CUST-0186"/>
    <s v="PROD-008"/>
    <x v="3"/>
    <n v="2"/>
    <n v="2660"/>
    <n v="7.2"/>
    <n v="4936.96"/>
    <s v="Cancelled"/>
    <s v="Bengaluru"/>
    <x v="4"/>
    <m/>
    <s v="Retail"/>
    <n v="42"/>
    <x v="0"/>
    <x v="0"/>
  </r>
  <r>
    <s v="ORD-01640"/>
    <d v="2024-11-28T00:00:00"/>
    <s v="CUST-0077"/>
    <s v="PROD-046"/>
    <x v="22"/>
    <n v="2"/>
    <n v="4880"/>
    <n v="23.8"/>
    <n v="7437.12"/>
    <s v="Completed"/>
    <s v="Hyderabad"/>
    <x v="5"/>
    <m/>
    <s v="SMB"/>
    <n v="48"/>
    <x v="0"/>
    <x v="0"/>
  </r>
  <r>
    <s v="ORD-01641"/>
    <d v="2024-04-29T00:00:00"/>
    <s v="CUST-0093"/>
    <s v="PROD-011"/>
    <x v="23"/>
    <n v="1"/>
    <n v="3450"/>
    <n v="1.7"/>
    <n v="3391.35"/>
    <s v="Completed"/>
    <s v="Pune"/>
    <x v="0"/>
    <m/>
    <s v="Retail"/>
    <n v="36"/>
    <x v="4"/>
    <x v="3"/>
  </r>
  <r>
    <s v="ORD-01642"/>
    <d v="2024-09-15T00:00:00"/>
    <s v="CUST-0018"/>
    <s v="PROD-045"/>
    <x v="12"/>
    <n v="4"/>
    <n v="3020"/>
    <n v="17.8"/>
    <n v="9929.76"/>
    <s v="Completed"/>
    <s v="Pune"/>
    <x v="5"/>
    <m/>
    <s v="SMB"/>
    <n v="54"/>
    <x v="0"/>
    <x v="0"/>
  </r>
  <r>
    <s v="ORD-01643"/>
    <d v="2024-08-08T00:00:00"/>
    <s v="CUST-0034"/>
    <s v="PROD-056"/>
    <x v="13"/>
    <n v="6"/>
    <n v="6940"/>
    <n v="8.9"/>
    <n v="37934.04"/>
    <s v="Completed"/>
    <s v="Delhi"/>
    <x v="1"/>
    <m/>
    <s v="Retail"/>
    <n v="47"/>
    <x v="0"/>
    <x v="0"/>
  </r>
  <r>
    <s v="ORD-01644"/>
    <d v="2024-08-19T00:00:00"/>
    <s v="CUST-0111"/>
    <s v="PROD-021"/>
    <x v="12"/>
    <n v="10"/>
    <n v="2760"/>
    <n v="8.9"/>
    <n v="25143.599999999999"/>
    <s v="Completed"/>
    <s v="Chennai"/>
    <x v="2"/>
    <m/>
    <s v="SMB"/>
    <n v="64"/>
    <x v="0"/>
    <x v="0"/>
  </r>
  <r>
    <s v="ORD-01645"/>
    <d v="2024-01-19T00:00:00"/>
    <s v="CUST-0210"/>
    <s v="PROD-049"/>
    <x v="16"/>
    <n v="8"/>
    <n v="960"/>
    <n v="20.9"/>
    <n v="6074.88"/>
    <s v="Completed"/>
    <s v="Pune"/>
    <x v="5"/>
    <m/>
    <s v="Corporate"/>
    <n v="48"/>
    <x v="0"/>
    <x v="0"/>
  </r>
  <r>
    <s v="ORD-01646"/>
    <d v="2024-07-25T00:00:00"/>
    <s v="CUST-0037"/>
    <s v="PROD-049"/>
    <x v="27"/>
    <n v="4"/>
    <n v="960"/>
    <n v="29.1"/>
    <n v="2722.56"/>
    <s v="Completed"/>
    <s v="Bengaluru"/>
    <x v="5"/>
    <m/>
    <s v="Retail"/>
    <n v="52"/>
    <x v="0"/>
    <x v="0"/>
  </r>
  <r>
    <s v="ORD-01647"/>
    <d v="2024-04-28T00:00:00"/>
    <s v="CUST-0192"/>
    <s v="PROD-030"/>
    <x v="13"/>
    <n v="1"/>
    <n v="970"/>
    <n v="8.4"/>
    <n v="888.52"/>
    <s v="Cancelled"/>
    <s v="Bengaluru"/>
    <x v="2"/>
    <m/>
    <s v="Retail"/>
    <n v="55"/>
    <x v="0"/>
    <x v="0"/>
  </r>
  <r>
    <s v="ORD-01648"/>
    <d v="2024-04-18T00:00:00"/>
    <s v="CUST-0038"/>
    <s v="PROD-050"/>
    <x v="12"/>
    <n v="5"/>
    <n v="6080"/>
    <n v="17.600000000000001"/>
    <n v="25049.599999999999"/>
    <s v="Completed"/>
    <s v="Mumbai"/>
    <x v="5"/>
    <m/>
    <s v="Retail"/>
    <n v="57"/>
    <x v="0"/>
    <x v="0"/>
  </r>
  <r>
    <s v="ORD-01649"/>
    <d v="2024-08-21T00:00:00"/>
    <s v="CUST-0034"/>
    <s v="PROD-028"/>
    <x v="22"/>
    <n v="4"/>
    <n v="3660"/>
    <n v="21.8"/>
    <n v="11448.48"/>
    <s v="Pending"/>
    <s v="Delhi"/>
    <x v="2"/>
    <m/>
    <s v="Retail"/>
    <n v="47"/>
    <x v="0"/>
    <x v="0"/>
  </r>
  <r>
    <s v="ORD-01650"/>
    <d v="2024-06-19T00:00:00"/>
    <s v="CUST-0248"/>
    <s v="PROD-031"/>
    <x v="4"/>
    <n v="6"/>
    <n v="3730"/>
    <n v="13.3"/>
    <n v="19403.46"/>
    <s v="Cancelled"/>
    <s v="Chennai"/>
    <x v="3"/>
    <m/>
    <s v="SMB"/>
    <n v="57"/>
    <x v="0"/>
    <x v="0"/>
  </r>
  <r>
    <s v="ORD-01651"/>
    <d v="2024-11-29T00:00:00"/>
    <s v="CUST-0194"/>
    <s v="PROD-004"/>
    <x v="20"/>
    <n v="8"/>
    <n v="3870"/>
    <n v="21.2"/>
    <n v="24396.48"/>
    <s v="Pending"/>
    <s v="Delhi"/>
    <x v="4"/>
    <m/>
    <s v="SMB"/>
    <n v="55"/>
    <x v="0"/>
    <x v="0"/>
  </r>
  <r>
    <s v="ORD-01652"/>
    <d v="2024-04-08T00:00:00"/>
    <s v="CUST-0114"/>
    <s v="PROD-021"/>
    <x v="29"/>
    <n v="4"/>
    <n v="2760"/>
    <n v="14"/>
    <n v="9494.4"/>
    <s v="Completed"/>
    <s v="Bengaluru"/>
    <x v="2"/>
    <m/>
    <s v="Corporate"/>
    <n v="42"/>
    <x v="0"/>
    <x v="0"/>
  </r>
  <r>
    <s v="ORD-01653"/>
    <d v="2024-11-01T00:00:00"/>
    <s v="CUST-0118"/>
    <s v="PROD-023"/>
    <x v="16"/>
    <n v="5"/>
    <n v="2380"/>
    <n v="16.399999999999999"/>
    <n v="9948.4"/>
    <s v="Completed"/>
    <s v="Hyderabad"/>
    <x v="2"/>
    <m/>
    <s v="Retail"/>
    <n v="26"/>
    <x v="4"/>
    <x v="4"/>
  </r>
  <r>
    <s v="ORD-01654"/>
    <d v="2024-01-16T00:00:00"/>
    <s v="CUST-9719"/>
    <s v="PROD-050"/>
    <x v="15"/>
    <n v="2"/>
    <n v="6080"/>
    <n v="20.100000000000001"/>
    <n v="9715.84"/>
    <s v="Cancelled"/>
    <s v="Mumbai"/>
    <x v="5"/>
    <m/>
    <e v="#N/A"/>
    <e v="#N/A"/>
    <x v="0"/>
    <x v="0"/>
  </r>
  <r>
    <s v="ORD-01655"/>
    <d v="2024-10-03T00:00:00"/>
    <s v="CUST-0232"/>
    <s v="PROD-016"/>
    <x v="29"/>
    <n v="2"/>
    <n v="620"/>
    <n v="4.3"/>
    <n v="1186.68"/>
    <s v="Completed"/>
    <s v="Hyderabad"/>
    <x v="0"/>
    <m/>
    <s v="Retail"/>
    <n v="38"/>
    <x v="4"/>
    <x v="12"/>
  </r>
  <r>
    <s v="ORD-01656"/>
    <d v="2024-12-28T00:00:00"/>
    <s v="CUST-0240"/>
    <s v="PROD-004"/>
    <x v="27"/>
    <n v="7"/>
    <n v="3870"/>
    <n v="5.9"/>
    <n v="25491.69"/>
    <s v="Completed"/>
    <s v="Chennai"/>
    <x v="4"/>
    <m/>
    <s v="Corporate"/>
    <n v="35"/>
    <x v="4"/>
    <x v="9"/>
  </r>
  <r>
    <s v="ORD-01657"/>
    <d v="2024-04-30T00:00:00"/>
    <s v="CUST-0227"/>
    <s v="PROD-003"/>
    <x v="16"/>
    <n v="8"/>
    <n v="3570"/>
    <n v="24.6"/>
    <n v="21534.240000000002"/>
    <s v="Completed"/>
    <s v="Bengaluru"/>
    <x v="4"/>
    <m/>
    <s v="SMB"/>
    <n v="44"/>
    <x v="0"/>
    <x v="0"/>
  </r>
  <r>
    <s v="ORD-01658"/>
    <d v="2024-12-27T00:00:00"/>
    <s v="CUST-0234"/>
    <s v="PROD-026"/>
    <x v="9"/>
    <n v="1"/>
    <n v="4070"/>
    <n v="29.1"/>
    <n v="2885.63"/>
    <s v="Pending"/>
    <s v="Bengaluru"/>
    <x v="2"/>
    <m/>
    <s v="Retail"/>
    <n v="34"/>
    <x v="3"/>
    <x v="4"/>
  </r>
  <r>
    <s v="ORD-01659"/>
    <d v="2024-10-03T00:00:00"/>
    <s v="CUST-0041"/>
    <s v="PROD-020"/>
    <x v="21"/>
    <n v="1"/>
    <n v="820"/>
    <n v="17.899999999999999"/>
    <n v="673.22"/>
    <s v="Completed"/>
    <s v="Bengaluru"/>
    <x v="0"/>
    <m/>
    <s v="SMB"/>
    <n v="26"/>
    <x v="4"/>
    <x v="8"/>
  </r>
  <r>
    <s v="ORD-01660"/>
    <d v="2024-12-17T00:00:00"/>
    <s v="CUST-0129"/>
    <s v="PROD-045"/>
    <x v="20"/>
    <n v="5"/>
    <n v="3020"/>
    <n v="26.2"/>
    <n v="11143.8"/>
    <s v="Completed"/>
    <s v="Hyderabad"/>
    <x v="5"/>
    <m/>
    <s v="Retail"/>
    <n v="29"/>
    <x v="3"/>
    <x v="9"/>
  </r>
  <r>
    <s v="ORD-01661"/>
    <d v="2024-04-29T00:00:00"/>
    <s v="CUST-0141"/>
    <s v="PROD-018"/>
    <x v="24"/>
    <n v="10"/>
    <n v="3560"/>
    <n v="15.4"/>
    <n v="30117.599999999999"/>
    <s v="Refunded"/>
    <s v="Hyderabad"/>
    <x v="0"/>
    <m/>
    <s v="Corporate"/>
    <n v="22"/>
    <x v="2"/>
    <x v="8"/>
  </r>
  <r>
    <s v="ORD-01662"/>
    <d v="2024-06-24T00:00:00"/>
    <s v="CUST-0282"/>
    <s v="PROD-043"/>
    <x v="19"/>
    <n v="3"/>
    <n v="3350"/>
    <n v="8.1"/>
    <n v="9235.9500000000007"/>
    <s v="Completed"/>
    <s v="Hyderabad"/>
    <x v="5"/>
    <m/>
    <s v="Corporate"/>
    <n v="29"/>
    <x v="3"/>
    <x v="4"/>
  </r>
  <r>
    <s v="ORD-01663"/>
    <d v="2024-09-07T00:00:00"/>
    <s v="CUST-0269"/>
    <s v="PROD-042"/>
    <x v="5"/>
    <n v="10"/>
    <n v="2290"/>
    <n v="7"/>
    <n v="21297"/>
    <s v="Completed"/>
    <s v="Pune"/>
    <x v="5"/>
    <m/>
    <s v="Retail"/>
    <n v="48"/>
    <x v="0"/>
    <x v="0"/>
  </r>
  <r>
    <s v="ORD-01664"/>
    <d v="2024-07-10T00:00:00"/>
    <s v="CUST-0239"/>
    <s v="PROD-028"/>
    <x v="11"/>
    <n v="6"/>
    <n v="3660"/>
    <n v="29.9"/>
    <n v="15393.96"/>
    <s v="Completed"/>
    <s v="Mumbai"/>
    <x v="2"/>
    <m/>
    <s v="Retail"/>
    <n v="61"/>
    <x v="0"/>
    <x v="0"/>
  </r>
  <r>
    <s v="ORD-01665"/>
    <d v="2024-05-14T00:00:00"/>
    <s v="CUST-0075"/>
    <s v="PROD-010"/>
    <x v="22"/>
    <n v="8"/>
    <n v="2640"/>
    <n v="4.2"/>
    <n v="20232.96"/>
    <s v="Refunded"/>
    <s v="Mumbai"/>
    <x v="4"/>
    <m/>
    <s v="Corporate"/>
    <n v="55"/>
    <x v="0"/>
    <x v="0"/>
  </r>
  <r>
    <s v="ORD-01666"/>
    <d v="2024-04-04T00:00:00"/>
    <s v="CUST-0184"/>
    <s v="PROD-032"/>
    <x v="3"/>
    <n v="5"/>
    <n v="370"/>
    <n v="6"/>
    <n v="1739"/>
    <s v="Completed"/>
    <s v="Pune"/>
    <x v="3"/>
    <m/>
    <s v="Retail"/>
    <n v="63"/>
    <x v="0"/>
    <x v="0"/>
  </r>
  <r>
    <s v="ORD-01667"/>
    <d v="2024-03-26T00:00:00"/>
    <s v="CUST-0144"/>
    <s v="PROD-024"/>
    <x v="0"/>
    <n v="9"/>
    <n v="2270"/>
    <n v="4.7"/>
    <n v="19469.79"/>
    <s v="Completed"/>
    <s v="Chennai"/>
    <x v="2"/>
    <m/>
    <s v="Retail"/>
    <n v="49"/>
    <x v="0"/>
    <x v="0"/>
  </r>
  <r>
    <s v="ORD-01668"/>
    <d v="2024-05-02T00:00:00"/>
    <s v="CUST-0039"/>
    <s v="PROD-037"/>
    <x v="23"/>
    <n v="5"/>
    <n v="660"/>
    <n v="21"/>
    <n v="2607"/>
    <s v="Completed"/>
    <s v="Bengaluru"/>
    <x v="3"/>
    <m/>
    <s v="Retail"/>
    <n v="37"/>
    <x v="1"/>
    <x v="10"/>
  </r>
  <r>
    <s v="ORD-01669"/>
    <d v="2024-04-25T00:00:00"/>
    <s v="CUST-9765"/>
    <s v="PROD-057"/>
    <x v="11"/>
    <n v="2"/>
    <n v="960"/>
    <n v="7.3"/>
    <n v="1779.84"/>
    <s v="Completed"/>
    <s v="Bengaluru"/>
    <x v="1"/>
    <m/>
    <e v="#N/A"/>
    <e v="#N/A"/>
    <x v="0"/>
    <x v="0"/>
  </r>
  <r>
    <s v="ORD-01670"/>
    <d v="2024-08-05T00:00:00"/>
    <s v="CUST-0159"/>
    <s v="PROD-048"/>
    <x v="18"/>
    <n v="3"/>
    <n v="5100"/>
    <n v="21"/>
    <n v="12087"/>
    <s v="Completed"/>
    <s v="Hyderabad"/>
    <x v="5"/>
    <m/>
    <s v="Retail"/>
    <n v="32"/>
    <x v="1"/>
    <x v="4"/>
  </r>
  <r>
    <s v="ORD-01671"/>
    <d v="2024-10-01T00:00:00"/>
    <s v="CUST-0168"/>
    <s v="PROD-012"/>
    <x v="10"/>
    <n v="3"/>
    <n v="3160"/>
    <n v="13.5"/>
    <n v="8200.2000000000007"/>
    <s v="Completed"/>
    <s v="Pune"/>
    <x v="0"/>
    <m/>
    <s v="Retail"/>
    <n v="25"/>
    <x v="4"/>
    <x v="6"/>
  </r>
  <r>
    <s v="ORD-01672"/>
    <d v="2024-08-20T00:00:00"/>
    <s v="CUST-9552"/>
    <s v="PROD-041"/>
    <x v="1"/>
    <n v="9"/>
    <n v="1540"/>
    <n v="18.2"/>
    <n v="11337.48"/>
    <s v="Cancelled"/>
    <s v="Bengaluru"/>
    <x v="5"/>
    <m/>
    <e v="#N/A"/>
    <e v="#N/A"/>
    <x v="0"/>
    <x v="0"/>
  </r>
  <r>
    <s v="ORD-01673"/>
    <d v="2024-05-19T00:00:00"/>
    <s v="CUST-0056"/>
    <s v="PROD-047"/>
    <x v="6"/>
    <n v="4"/>
    <n v="3450"/>
    <n v="26.4"/>
    <n v="10156.799999999999"/>
    <s v="Pending"/>
    <s v="Bengaluru"/>
    <x v="5"/>
    <m/>
    <s v="SMB"/>
    <n v="46"/>
    <x v="0"/>
    <x v="0"/>
  </r>
  <r>
    <s v="ORD-01674"/>
    <d v="2024-11-02T00:00:00"/>
    <s v="CUST-0239"/>
    <s v="PROD-023"/>
    <x v="17"/>
    <n v="4"/>
    <n v="2380"/>
    <n v="6.9"/>
    <n v="8863.1200000000008"/>
    <s v="Completed"/>
    <s v="Mumbai"/>
    <x v="2"/>
    <m/>
    <s v="Retail"/>
    <n v="61"/>
    <x v="0"/>
    <x v="0"/>
  </r>
  <r>
    <s v="ORD-01675"/>
    <d v="2024-05-07T00:00:00"/>
    <s v="CUST-0168"/>
    <s v="PROD-031"/>
    <x v="11"/>
    <n v="2"/>
    <n v="3730"/>
    <n v="22.9"/>
    <n v="5751.66"/>
    <s v="Completed"/>
    <s v="Pune"/>
    <x v="3"/>
    <m/>
    <s v="Retail"/>
    <n v="25"/>
    <x v="2"/>
    <x v="3"/>
  </r>
  <r>
    <s v="ORD-01676"/>
    <d v="2024-09-14T00:00:00"/>
    <s v="CUST-0012"/>
    <s v="PROD-036"/>
    <x v="25"/>
    <n v="7"/>
    <n v="3250"/>
    <n v="6"/>
    <n v="21385"/>
    <s v="Completed"/>
    <s v="Pune"/>
    <x v="3"/>
    <m/>
    <s v="Retail"/>
    <n v="43"/>
    <x v="0"/>
    <x v="0"/>
  </r>
  <r>
    <s v="ORD-01677"/>
    <d v="2024-08-15T00:00:00"/>
    <s v="CUST-0057"/>
    <s v="PROD-053"/>
    <x v="16"/>
    <n v="9"/>
    <n v="470"/>
    <n v="11.6"/>
    <n v="3739.32"/>
    <s v="Completed"/>
    <s v="Pune"/>
    <x v="1"/>
    <m/>
    <s v="Retail"/>
    <n v="35"/>
    <x v="1"/>
    <x v="1"/>
  </r>
  <r>
    <s v="ORD-01678"/>
    <d v="2024-10-09T00:00:00"/>
    <s v="CUST-0030"/>
    <s v="PROD-042"/>
    <x v="17"/>
    <n v="5"/>
    <n v="2290"/>
    <n v="27.6"/>
    <n v="8289.7999999999993"/>
    <s v="Completed"/>
    <s v="Bengaluru"/>
    <x v="5"/>
    <m/>
    <s v="Corporate"/>
    <n v="43"/>
    <x v="0"/>
    <x v="0"/>
  </r>
  <r>
    <s v="ORD-01679"/>
    <d v="2024-06-19T00:00:00"/>
    <s v="CUST-0166"/>
    <s v="PROD-007"/>
    <x v="20"/>
    <n v="6"/>
    <n v="1430"/>
    <n v="18.399999999999999"/>
    <n v="7001.28"/>
    <s v="Pending"/>
    <s v="Hyderabad"/>
    <x v="4"/>
    <m/>
    <s v="Retail"/>
    <n v="31"/>
    <x v="2"/>
    <x v="9"/>
  </r>
  <r>
    <s v="ORD-01680"/>
    <d v="2024-02-14T00:00:00"/>
    <s v="CUST-0188"/>
    <s v="PROD-055"/>
    <x v="25"/>
    <n v="7"/>
    <n v="2860"/>
    <n v="19.5"/>
    <n v="16116.1"/>
    <s v="Completed"/>
    <s v="Bengaluru"/>
    <x v="1"/>
    <m/>
    <s v="Retail"/>
    <n v="54"/>
    <x v="0"/>
    <x v="0"/>
  </r>
  <r>
    <s v="ORD-01681"/>
    <d v="2024-05-27T00:00:00"/>
    <s v="CUST-0097"/>
    <s v="PROD-047"/>
    <x v="16"/>
    <n v="8"/>
    <n v="3450"/>
    <n v="25.5"/>
    <n v="20562"/>
    <s v="Pending"/>
    <s v="Mumbai"/>
    <x v="5"/>
    <m/>
    <s v="Retail"/>
    <n v="65"/>
    <x v="0"/>
    <x v="0"/>
  </r>
  <r>
    <s v="ORD-01682"/>
    <d v="2024-10-13T00:00:00"/>
    <s v="CUST-0026"/>
    <s v="PROD-052"/>
    <x v="7"/>
    <n v="7"/>
    <n v="5410"/>
    <n v="15.2"/>
    <n v="32113.759999999998"/>
    <s v="Cancelled"/>
    <s v="Pune"/>
    <x v="1"/>
    <m/>
    <s v="Retail"/>
    <n v="62"/>
    <x v="0"/>
    <x v="0"/>
  </r>
  <r>
    <s v="ORD-01683"/>
    <d v="2024-10-23T00:00:00"/>
    <s v="CUST-0026"/>
    <s v="PROD-040"/>
    <x v="5"/>
    <n v="3"/>
    <n v="1080"/>
    <n v="26"/>
    <n v="2397.6"/>
    <s v="Completed"/>
    <s v="Pune"/>
    <x v="3"/>
    <m/>
    <s v="Retail"/>
    <n v="62"/>
    <x v="0"/>
    <x v="0"/>
  </r>
  <r>
    <s v="ORD-01684"/>
    <d v="2024-03-03T00:00:00"/>
    <s v="CUST-0020"/>
    <s v="PROD-055"/>
    <x v="7"/>
    <n v="8"/>
    <n v="2860"/>
    <n v="14.8"/>
    <n v="19493.759999999998"/>
    <s v="Completed"/>
    <s v="Hyderabad"/>
    <x v="1"/>
    <m/>
    <s v="Retail"/>
    <n v="46"/>
    <x v="0"/>
    <x v="0"/>
  </r>
  <r>
    <s v="ORD-01685"/>
    <d v="2024-02-10T00:00:00"/>
    <s v="CUST-9740"/>
    <s v="PROD-045"/>
    <x v="22"/>
    <n v="4"/>
    <n v="3020"/>
    <n v="8.1"/>
    <n v="11101.52"/>
    <s v="Completed"/>
    <s v="Hyderabad"/>
    <x v="5"/>
    <m/>
    <e v="#N/A"/>
    <e v="#N/A"/>
    <x v="0"/>
    <x v="0"/>
  </r>
  <r>
    <s v="ORD-01686"/>
    <d v="2024-12-23T00:00:00"/>
    <s v="CUST-0095"/>
    <s v="PROD-057"/>
    <x v="5"/>
    <n v="4"/>
    <n v="960"/>
    <n v="6.4"/>
    <n v="3594.24"/>
    <s v="Cancelled"/>
    <s v="Mumbai"/>
    <x v="1"/>
    <m/>
    <s v="SMB"/>
    <n v="54"/>
    <x v="0"/>
    <x v="0"/>
  </r>
  <r>
    <s v="ORD-01687"/>
    <d v="2024-10-31T00:00:00"/>
    <s v="CUST-0079"/>
    <s v="PROD-004"/>
    <x v="20"/>
    <n v="4"/>
    <n v="3870"/>
    <n v="15.9"/>
    <n v="13018.68"/>
    <s v="Completed"/>
    <s v="Mumbai"/>
    <x v="4"/>
    <m/>
    <s v="Corporate"/>
    <n v="60"/>
    <x v="0"/>
    <x v="0"/>
  </r>
  <r>
    <s v="ORD-01688"/>
    <d v="2024-03-27T00:00:00"/>
    <s v="CUST-0060"/>
    <s v="PROD-012"/>
    <x v="16"/>
    <n v="5"/>
    <n v="3160"/>
    <n v="29.8"/>
    <n v="11091.6"/>
    <s v="Completed"/>
    <s v="Pune"/>
    <x v="0"/>
    <m/>
    <s v="Retail"/>
    <n v="39"/>
    <x v="2"/>
    <x v="9"/>
  </r>
  <r>
    <s v="ORD-01689"/>
    <d v="2024-04-21T00:00:00"/>
    <s v="CUST-0080"/>
    <s v="PROD-047"/>
    <x v="28"/>
    <n v="5"/>
    <n v="3450"/>
    <n v="29.4"/>
    <n v="12178.5"/>
    <s v="Completed"/>
    <s v="Pune"/>
    <x v="5"/>
    <m/>
    <s v="SMB"/>
    <n v="30"/>
    <x v="3"/>
    <x v="10"/>
  </r>
  <r>
    <s v="ORD-01690"/>
    <d v="2024-08-31T00:00:00"/>
    <s v="CUST-0136"/>
    <s v="PROD-049"/>
    <x v="26"/>
    <n v="10"/>
    <n v="960"/>
    <n v="27"/>
    <n v="7008"/>
    <s v="Cancelled"/>
    <s v="Chennai"/>
    <x v="5"/>
    <m/>
    <s v="SMB"/>
    <n v="26"/>
    <x v="2"/>
    <x v="4"/>
  </r>
  <r>
    <s v="ORD-01691"/>
    <d v="2024-05-17T00:00:00"/>
    <s v="CUST-0074"/>
    <s v="PROD-056"/>
    <x v="26"/>
    <n v="10"/>
    <n v="6940"/>
    <n v="20.100000000000001"/>
    <n v="55450.6"/>
    <s v="Completed"/>
    <s v="Bengaluru"/>
    <x v="1"/>
    <m/>
    <s v="Retail"/>
    <n v="27"/>
    <x v="3"/>
    <x v="6"/>
  </r>
  <r>
    <s v="ORD-01692"/>
    <d v="2024-05-24T00:00:00"/>
    <s v="CUST-0090"/>
    <s v="PROD-058"/>
    <x v="18"/>
    <n v="9"/>
    <n v="2400"/>
    <n v="7.8"/>
    <n v="19915.2"/>
    <s v="Completed"/>
    <s v="Bengaluru"/>
    <x v="1"/>
    <m/>
    <s v="Corporate"/>
    <n v="26"/>
    <x v="3"/>
    <x v="2"/>
  </r>
  <r>
    <s v="ORD-01693"/>
    <d v="2024-04-15T00:00:00"/>
    <s v="CUST-0300"/>
    <s v="PROD-052"/>
    <x v="21"/>
    <n v="1"/>
    <n v="5410"/>
    <n v="22.8"/>
    <n v="4176.5200000000004"/>
    <s v="Completed"/>
    <s v="Mumbai"/>
    <x v="1"/>
    <m/>
    <s v="Retail"/>
    <n v="38"/>
    <x v="4"/>
    <x v="2"/>
  </r>
  <r>
    <s v="ORD-01694"/>
    <d v="2024-12-03T00:00:00"/>
    <s v="CUST-0188"/>
    <s v="PROD-009"/>
    <x v="10"/>
    <n v="7"/>
    <n v="1220"/>
    <n v="18.8"/>
    <n v="6934.48"/>
    <s v="Pending"/>
    <s v="Bengaluru"/>
    <x v="4"/>
    <m/>
    <s v="Retail"/>
    <n v="54"/>
    <x v="0"/>
    <x v="0"/>
  </r>
  <r>
    <s v="ORD-01695"/>
    <d v="2024-10-30T00:00:00"/>
    <s v="CUST-0250"/>
    <s v="PROD-035"/>
    <x v="7"/>
    <n v="1"/>
    <n v="1090"/>
    <n v="23.5"/>
    <n v="833.85"/>
    <s v="Completed"/>
    <s v="Delhi"/>
    <x v="3"/>
    <m/>
    <s v="Retail"/>
    <n v="31"/>
    <x v="1"/>
    <x v="8"/>
  </r>
  <r>
    <s v="ORD-01696"/>
    <d v="2024-08-27T00:00:00"/>
    <s v="CUST-0195"/>
    <s v="PROD-021"/>
    <x v="12"/>
    <n v="2"/>
    <n v="2760"/>
    <n v="2.2999999999999998"/>
    <n v="5393.04"/>
    <s v="Completed"/>
    <s v="Bengaluru"/>
    <x v="2"/>
    <m/>
    <s v="Retail"/>
    <n v="28"/>
    <x v="3"/>
    <x v="9"/>
  </r>
  <r>
    <s v="ORD-01697"/>
    <d v="2024-11-30T00:00:00"/>
    <s v="CUST-0185"/>
    <s v="PROD-003"/>
    <x v="17"/>
    <n v="3"/>
    <n v="3570"/>
    <n v="18.399999999999999"/>
    <n v="8739.36"/>
    <s v="Refunded"/>
    <s v="Hyderabad"/>
    <x v="4"/>
    <m/>
    <s v="SMB"/>
    <n v="43"/>
    <x v="0"/>
    <x v="0"/>
  </r>
  <r>
    <s v="ORD-01698"/>
    <d v="2024-07-29T00:00:00"/>
    <s v="CUST-0256"/>
    <s v="PROD-009"/>
    <x v="10"/>
    <n v="7"/>
    <n v="1220"/>
    <n v="25.8"/>
    <n v="6336.68"/>
    <s v="Refunded"/>
    <s v="Hyderabad"/>
    <x v="4"/>
    <m/>
    <s v="Retail"/>
    <n v="28"/>
    <x v="2"/>
    <x v="3"/>
  </r>
  <r>
    <s v="ORD-01699"/>
    <d v="2024-07-28T00:00:00"/>
    <s v="CUST-0060"/>
    <s v="PROD-051"/>
    <x v="20"/>
    <n v="6"/>
    <n v="3450"/>
    <n v="13.1"/>
    <n v="17988.3"/>
    <s v="Completed"/>
    <s v="Pune"/>
    <x v="1"/>
    <m/>
    <s v="Retail"/>
    <n v="39"/>
    <x v="1"/>
    <x v="11"/>
  </r>
  <r>
    <s v="ORD-01700"/>
    <d v="2024-05-23T00:00:00"/>
    <s v="CUST-0275"/>
    <s v="PROD-029"/>
    <x v="10"/>
    <n v="10"/>
    <n v="2210"/>
    <n v="16.600000000000001"/>
    <n v="18431.400000000001"/>
    <s v="Completed"/>
    <s v="Mumbai"/>
    <x v="2"/>
    <m/>
    <s v="Retail"/>
    <n v="36"/>
    <x v="2"/>
    <x v="11"/>
  </r>
  <r>
    <s v="ORD-01701"/>
    <d v="2024-01-04T00:00:00"/>
    <s v="CUST-0114"/>
    <s v="PROD-019"/>
    <x v="28"/>
    <n v="10"/>
    <n v="2480"/>
    <n v="17.5"/>
    <n v="20460"/>
    <s v="Completed"/>
    <s v="Bengaluru"/>
    <x v="0"/>
    <m/>
    <s v="Corporate"/>
    <n v="42"/>
    <x v="0"/>
    <x v="0"/>
  </r>
  <r>
    <s v="ORD-01702"/>
    <d v="2024-10-01T00:00:00"/>
    <s v="CUST-0060"/>
    <s v="PROD-036"/>
    <x v="7"/>
    <n v="9"/>
    <n v="3250"/>
    <n v="25.9"/>
    <n v="21674.25"/>
    <s v="Completed"/>
    <s v="Pune"/>
    <x v="3"/>
    <m/>
    <s v="Retail"/>
    <n v="39"/>
    <x v="2"/>
    <x v="12"/>
  </r>
  <r>
    <s v="ORD-01703"/>
    <d v="2024-07-01T00:00:00"/>
    <s v="CUST-0039"/>
    <s v="PROD-058"/>
    <x v="4"/>
    <n v="3"/>
    <n v="2400"/>
    <n v="17.5"/>
    <n v="5940"/>
    <s v="Completed"/>
    <s v="Bengaluru"/>
    <x v="1"/>
    <m/>
    <s v="Retail"/>
    <n v="37"/>
    <x v="3"/>
    <x v="9"/>
  </r>
  <r>
    <s v="ORD-01704"/>
    <d v="2024-03-21T00:00:00"/>
    <s v="CUST-0033"/>
    <s v="PROD-052"/>
    <x v="3"/>
    <n v="8"/>
    <n v="5410"/>
    <n v="8.3000000000000007"/>
    <n v="39687.760000000002"/>
    <s v="Completed"/>
    <s v="Delhi"/>
    <x v="1"/>
    <m/>
    <s v="Retail"/>
    <n v="35"/>
    <x v="1"/>
    <x v="11"/>
  </r>
  <r>
    <s v="ORD-01705"/>
    <d v="2024-11-26T00:00:00"/>
    <s v="CUST-0037"/>
    <s v="PROD-002"/>
    <x v="26"/>
    <n v="1"/>
    <n v="2600"/>
    <n v="5.9"/>
    <n v="2446.6"/>
    <s v="Completed"/>
    <s v="Bengaluru"/>
    <x v="4"/>
    <m/>
    <s v="Retail"/>
    <n v="52"/>
    <x v="0"/>
    <x v="0"/>
  </r>
  <r>
    <s v="ORD-01706"/>
    <d v="2024-11-07T00:00:00"/>
    <s v="CUST-0081"/>
    <s v="PROD-025"/>
    <x v="11"/>
    <n v="10"/>
    <n v="4060"/>
    <n v="2.2999999999999998"/>
    <n v="39666.199999999997"/>
    <s v="Completed"/>
    <s v="Mumbai"/>
    <x v="2"/>
    <m/>
    <s v="Retail"/>
    <n v="25"/>
    <x v="3"/>
    <x v="3"/>
  </r>
  <r>
    <s v="ORD-01707"/>
    <d v="2024-03-01T00:00:00"/>
    <s v="CUST-0279"/>
    <s v="PROD-001"/>
    <x v="16"/>
    <n v="9"/>
    <n v="5330"/>
    <n v="23.5"/>
    <n v="36697.050000000003"/>
    <s v="Completed"/>
    <s v="Mumbai"/>
    <x v="4"/>
    <m/>
    <s v="Retail"/>
    <n v="56"/>
    <x v="0"/>
    <x v="0"/>
  </r>
  <r>
    <s v="ORD-01708"/>
    <d v="2024-11-04T00:00:00"/>
    <s v="CUST-0129"/>
    <s v="PROD-043"/>
    <x v="5"/>
    <n v="7"/>
    <n v="3350"/>
    <n v="13.4"/>
    <n v="20307.7"/>
    <s v="Pending"/>
    <s v="Hyderabad"/>
    <x v="5"/>
    <m/>
    <s v="Retail"/>
    <n v="29"/>
    <x v="3"/>
    <x v="10"/>
  </r>
  <r>
    <s v="ORD-01709"/>
    <d v="2024-12-05T00:00:00"/>
    <s v="CUST-0010"/>
    <s v="PROD-017"/>
    <x v="2"/>
    <n v="4"/>
    <n v="2510"/>
    <n v="26.6"/>
    <n v="7369.36"/>
    <s v="Completed"/>
    <s v="Mumbai"/>
    <x v="0"/>
    <m/>
    <s v="SMB"/>
    <n v="61"/>
    <x v="0"/>
    <x v="0"/>
  </r>
  <r>
    <s v="ORD-01710"/>
    <d v="2024-06-13T00:00:00"/>
    <s v="CUST-0006"/>
    <s v="PROD-045"/>
    <x v="13"/>
    <n v="1"/>
    <n v="3020"/>
    <n v="15.2"/>
    <n v="2560.96"/>
    <s v="Cancelled"/>
    <s v="Pune"/>
    <x v="5"/>
    <m/>
    <s v="SMB"/>
    <n v="44"/>
    <x v="0"/>
    <x v="0"/>
  </r>
  <r>
    <s v="ORD-01711"/>
    <d v="2024-09-04T00:00:00"/>
    <s v="CUST-0206"/>
    <s v="PROD-020"/>
    <x v="20"/>
    <n v="1"/>
    <n v="820"/>
    <n v="6.3"/>
    <n v="768.34"/>
    <s v="Completed"/>
    <s v="Mumbai"/>
    <x v="0"/>
    <m/>
    <s v="Retail"/>
    <n v="40"/>
    <x v="3"/>
    <x v="7"/>
  </r>
  <r>
    <s v="ORD-01712"/>
    <d v="2024-07-15T00:00:00"/>
    <s v="CUST-0034"/>
    <s v="PROD-012"/>
    <x v="28"/>
    <n v="4"/>
    <n v="3160"/>
    <n v="3.6"/>
    <n v="12184.96"/>
    <s v="Pending"/>
    <s v="Delhi"/>
    <x v="0"/>
    <m/>
    <s v="Retail"/>
    <n v="47"/>
    <x v="0"/>
    <x v="0"/>
  </r>
  <r>
    <s v="ORD-01713"/>
    <d v="2024-03-19T00:00:00"/>
    <s v="CUST-0121"/>
    <s v="PROD-028"/>
    <x v="27"/>
    <n v="1"/>
    <n v="3660"/>
    <n v="28.2"/>
    <n v="2627.88"/>
    <s v="Pending"/>
    <s v="Delhi"/>
    <x v="2"/>
    <m/>
    <s v="SMB"/>
    <n v="55"/>
    <x v="0"/>
    <x v="0"/>
  </r>
  <r>
    <s v="ORD-01714"/>
    <d v="2024-04-12T00:00:00"/>
    <s v="CUST-0098"/>
    <s v="PROD-020"/>
    <x v="17"/>
    <n v="2"/>
    <n v="820"/>
    <n v="7"/>
    <n v="1525.2"/>
    <s v="Completed"/>
    <s v="Delhi"/>
    <x v="0"/>
    <m/>
    <s v="Retail"/>
    <n v="52"/>
    <x v="0"/>
    <x v="0"/>
  </r>
  <r>
    <s v="ORD-01715"/>
    <d v="2024-06-03T00:00:00"/>
    <s v="CUST-0031"/>
    <s v="PROD-023"/>
    <x v="24"/>
    <n v="5"/>
    <n v="2380"/>
    <n v="23"/>
    <n v="9163"/>
    <s v="Completed"/>
    <s v="Hyderabad"/>
    <x v="2"/>
    <m/>
    <s v="Retail"/>
    <n v="53"/>
    <x v="0"/>
    <x v="0"/>
  </r>
  <r>
    <s v="ORD-01716"/>
    <d v="2024-11-16T00:00:00"/>
    <s v="CUST-0185"/>
    <s v="PROD-004"/>
    <x v="22"/>
    <n v="1"/>
    <n v="3870"/>
    <n v="27.3"/>
    <n v="2813.49"/>
    <s v="Completed"/>
    <s v="Hyderabad"/>
    <x v="4"/>
    <m/>
    <s v="SMB"/>
    <n v="43"/>
    <x v="0"/>
    <x v="0"/>
  </r>
  <r>
    <s v="ORD-01717"/>
    <d v="2024-01-10T00:00:00"/>
    <s v="CUST-0011"/>
    <s v="PROD-005"/>
    <x v="0"/>
    <n v="10"/>
    <n v="300"/>
    <n v="14.1"/>
    <n v="2577"/>
    <s v="Cancelled"/>
    <s v="Chennai"/>
    <x v="4"/>
    <m/>
    <s v="Corporate"/>
    <n v="41"/>
    <x v="0"/>
    <x v="0"/>
  </r>
  <r>
    <s v="ORD-01718"/>
    <d v="2024-12-21T00:00:00"/>
    <s v="CUST-0223"/>
    <s v="PROD-048"/>
    <x v="28"/>
    <n v="10"/>
    <n v="5100"/>
    <n v="12.7"/>
    <n v="44523"/>
    <s v="Completed"/>
    <s v="Bengaluru"/>
    <x v="5"/>
    <m/>
    <s v="Retail"/>
    <n v="46"/>
    <x v="0"/>
    <x v="0"/>
  </r>
  <r>
    <s v="ORD-01719"/>
    <d v="2024-10-24T00:00:00"/>
    <s v="CUST-0126"/>
    <s v="PROD-021"/>
    <x v="22"/>
    <n v="1"/>
    <n v="2760"/>
    <n v="17.8"/>
    <n v="2268.7199999999998"/>
    <s v="Refunded"/>
    <s v="Mumbai"/>
    <x v="2"/>
    <m/>
    <s v="Retail"/>
    <n v="37"/>
    <x v="2"/>
    <x v="8"/>
  </r>
  <r>
    <s v="ORD-01720"/>
    <d v="2024-03-31T00:00:00"/>
    <s v="CUST-0284"/>
    <s v="PROD-001"/>
    <x v="25"/>
    <n v="8"/>
    <n v="5330"/>
    <n v="16.399999999999999"/>
    <n v="35647.040000000001"/>
    <s v="Completed"/>
    <s v="Hyderabad"/>
    <x v="4"/>
    <m/>
    <s v="SMB"/>
    <n v="65"/>
    <x v="0"/>
    <x v="0"/>
  </r>
  <r>
    <s v="ORD-01721"/>
    <d v="2024-06-14T00:00:00"/>
    <s v="CUST-0011"/>
    <s v="PROD-054"/>
    <x v="29"/>
    <n v="1"/>
    <n v="1010"/>
    <n v="20.399999999999999"/>
    <n v="803.96"/>
    <s v="Cancelled"/>
    <s v="Chennai"/>
    <x v="1"/>
    <m/>
    <s v="Corporate"/>
    <n v="41"/>
    <x v="0"/>
    <x v="0"/>
  </r>
  <r>
    <s v="ORD-01722"/>
    <d v="2024-03-25T00:00:00"/>
    <s v="CUST-0275"/>
    <s v="PROD-008"/>
    <x v="7"/>
    <n v="10"/>
    <n v="2660"/>
    <n v="29.3"/>
    <n v="18806.2"/>
    <s v="Completed"/>
    <s v="Mumbai"/>
    <x v="4"/>
    <m/>
    <s v="Retail"/>
    <n v="36"/>
    <x v="4"/>
    <x v="7"/>
  </r>
  <r>
    <s v="ORD-01723"/>
    <d v="2024-08-02T00:00:00"/>
    <s v="CUST-0259"/>
    <s v="PROD-006"/>
    <x v="23"/>
    <n v="9"/>
    <n v="3970"/>
    <n v="10.4"/>
    <n v="32014.080000000002"/>
    <s v="Pending"/>
    <s v="Mumbai"/>
    <x v="4"/>
    <m/>
    <s v="Retail"/>
    <n v="34"/>
    <x v="3"/>
    <x v="10"/>
  </r>
  <r>
    <s v="ORD-01724"/>
    <d v="2024-06-29T00:00:00"/>
    <s v="CUST-0089"/>
    <s v="PROD-014"/>
    <x v="4"/>
    <n v="3"/>
    <n v="3620"/>
    <n v="22"/>
    <n v="8470.7999999999993"/>
    <s v="Completed"/>
    <s v="Mumbai"/>
    <x v="0"/>
    <m/>
    <s v="SMB"/>
    <n v="43"/>
    <x v="0"/>
    <x v="0"/>
  </r>
  <r>
    <s v="ORD-01725"/>
    <d v="2024-04-01T00:00:00"/>
    <s v="CUST-0232"/>
    <s v="PROD-022"/>
    <x v="26"/>
    <n v="6"/>
    <n v="2270"/>
    <n v="11.1"/>
    <n v="12108.18"/>
    <s v="Cancelled"/>
    <s v="Hyderabad"/>
    <x v="2"/>
    <m/>
    <s v="Retail"/>
    <n v="38"/>
    <x v="1"/>
    <x v="7"/>
  </r>
  <r>
    <s v="ORD-01726"/>
    <d v="2024-09-08T00:00:00"/>
    <s v="CUST-0220"/>
    <s v="PROD-022"/>
    <x v="2"/>
    <n v="4"/>
    <n v="2270"/>
    <n v="27.2"/>
    <n v="6610.24"/>
    <s v="Pending"/>
    <s v="Chennai"/>
    <x v="2"/>
    <m/>
    <s v="Retail"/>
    <n v="34"/>
    <x v="3"/>
    <x v="4"/>
  </r>
  <r>
    <s v="ORD-01727"/>
    <d v="2024-10-11T00:00:00"/>
    <s v="CUST-0137"/>
    <s v="PROD-039"/>
    <x v="27"/>
    <n v="8"/>
    <n v="4610"/>
    <n v="24.5"/>
    <n v="27844.400000000001"/>
    <s v="Completed"/>
    <s v="Mumbai"/>
    <x v="3"/>
    <m/>
    <s v="Retail"/>
    <n v="41"/>
    <x v="0"/>
    <x v="0"/>
  </r>
  <r>
    <s v="ORD-01728"/>
    <d v="2024-03-15T00:00:00"/>
    <s v="CUST-0132"/>
    <s v="PROD-060"/>
    <x v="16"/>
    <n v="6"/>
    <n v="190"/>
    <n v="8.6999999999999993"/>
    <n v="1040.82"/>
    <s v="Cancelled"/>
    <s v="Delhi"/>
    <x v="1"/>
    <m/>
    <s v="Retail"/>
    <n v="41"/>
    <x v="0"/>
    <x v="0"/>
  </r>
  <r>
    <s v="ORD-01729"/>
    <d v="2024-11-21T00:00:00"/>
    <s v="CUST-0226"/>
    <s v="PROD-033"/>
    <x v="17"/>
    <n v="5"/>
    <n v="2030"/>
    <n v="0.9"/>
    <n v="10058.65"/>
    <s v="Cancelled"/>
    <s v="Chennai"/>
    <x v="3"/>
    <m/>
    <s v="Corporate"/>
    <n v="52"/>
    <x v="0"/>
    <x v="0"/>
  </r>
  <r>
    <s v="ORD-01730"/>
    <d v="2024-11-18T00:00:00"/>
    <s v="CUST-0080"/>
    <s v="PROD-026"/>
    <x v="16"/>
    <n v="1"/>
    <n v="4070"/>
    <n v="9.3000000000000007"/>
    <n v="3691.49"/>
    <s v="Refunded"/>
    <s v="Pune"/>
    <x v="2"/>
    <m/>
    <s v="SMB"/>
    <n v="30"/>
    <x v="2"/>
    <x v="3"/>
  </r>
  <r>
    <s v="ORD-01731"/>
    <d v="2024-06-17T00:00:00"/>
    <s v="CUST-0068"/>
    <s v="PROD-042"/>
    <x v="19"/>
    <n v="3"/>
    <n v="2290"/>
    <n v="12.1"/>
    <n v="6038.73"/>
    <s v="Completed"/>
    <s v="Delhi"/>
    <x v="5"/>
    <m/>
    <s v="SMB"/>
    <n v="48"/>
    <x v="0"/>
    <x v="0"/>
  </r>
  <r>
    <s v="ORD-01732"/>
    <d v="2024-08-10T00:00:00"/>
    <s v="CUST-0146"/>
    <s v="PROD-031"/>
    <x v="16"/>
    <n v="7"/>
    <n v="3730"/>
    <n v="4.5"/>
    <n v="24935.05"/>
    <s v="Completed"/>
    <s v="Hyderabad"/>
    <x v="3"/>
    <m/>
    <s v="Retail"/>
    <n v="22"/>
    <x v="1"/>
    <x v="7"/>
  </r>
  <r>
    <s v="ORD-01733"/>
    <d v="2024-01-15T00:00:00"/>
    <s v="CUST-0106"/>
    <s v="PROD-016"/>
    <x v="1"/>
    <n v="5"/>
    <n v="620"/>
    <n v="7.5"/>
    <n v="2867.5"/>
    <s v="Completed"/>
    <s v="Pune"/>
    <x v="0"/>
    <m/>
    <s v="Retail"/>
    <n v="22"/>
    <x v="3"/>
    <x v="6"/>
  </r>
  <r>
    <s v="ORD-01734"/>
    <d v="2024-06-12T00:00:00"/>
    <s v="CUST-0096"/>
    <s v="PROD-010"/>
    <x v="9"/>
    <n v="8"/>
    <n v="2640"/>
    <n v="16.399999999999999"/>
    <n v="17656.32"/>
    <s v="Completed"/>
    <s v="Delhi"/>
    <x v="4"/>
    <m/>
    <s v="Corporate"/>
    <n v="27"/>
    <x v="1"/>
    <x v="12"/>
  </r>
  <r>
    <s v="ORD-01735"/>
    <d v="2024-09-29T00:00:00"/>
    <s v="CUST-0248"/>
    <s v="PROD-028"/>
    <x v="10"/>
    <n v="6"/>
    <n v="3660"/>
    <n v="6.2"/>
    <n v="20598.48"/>
    <s v="Completed"/>
    <s v="Chennai"/>
    <x v="2"/>
    <m/>
    <s v="SMB"/>
    <n v="57"/>
    <x v="0"/>
    <x v="0"/>
  </r>
  <r>
    <s v="ORD-01736"/>
    <d v="2024-08-03T00:00:00"/>
    <s v="CUST-0297"/>
    <s v="PROD-020"/>
    <x v="16"/>
    <n v="2"/>
    <n v="820"/>
    <n v="25.4"/>
    <n v="1223.44"/>
    <s v="Completed"/>
    <s v="Hyderabad"/>
    <x v="0"/>
    <m/>
    <s v="Retail"/>
    <n v="50"/>
    <x v="0"/>
    <x v="0"/>
  </r>
  <r>
    <s v="ORD-01737"/>
    <d v="2024-10-31T00:00:00"/>
    <s v="CUST-0120"/>
    <s v="PROD-019"/>
    <x v="13"/>
    <n v="3"/>
    <n v="2480"/>
    <n v="28.7"/>
    <n v="5304.72"/>
    <s v="Pending"/>
    <s v="Mumbai"/>
    <x v="0"/>
    <m/>
    <s v="Retail"/>
    <n v="29"/>
    <x v="3"/>
    <x v="6"/>
  </r>
  <r>
    <s v="ORD-01738"/>
    <d v="2024-08-30T00:00:00"/>
    <s v="CUST-0148"/>
    <s v="PROD-050"/>
    <x v="8"/>
    <n v="10"/>
    <n v="6080"/>
    <n v="18.899999999999999"/>
    <n v="49308.800000000003"/>
    <s v="Completed"/>
    <s v="Chennai"/>
    <x v="5"/>
    <m/>
    <s v="Retail"/>
    <n v="32"/>
    <x v="3"/>
    <x v="9"/>
  </r>
  <r>
    <s v="ORD-01739"/>
    <d v="2024-02-14T00:00:00"/>
    <s v="CUST-0008"/>
    <s v="PROD-060"/>
    <x v="24"/>
    <n v="1"/>
    <n v="190"/>
    <n v="5.7"/>
    <n v="179.17"/>
    <s v="Completed"/>
    <s v="Pune"/>
    <x v="1"/>
    <m/>
    <s v="SMB"/>
    <n v="39"/>
    <x v="2"/>
    <x v="6"/>
  </r>
  <r>
    <s v="ORD-01740"/>
    <d v="2024-06-20T00:00:00"/>
    <s v="CUST-0013"/>
    <s v="PROD-059"/>
    <x v="17"/>
    <n v="2"/>
    <n v="3780"/>
    <n v="11.8"/>
    <n v="6667.92"/>
    <s v="Completed"/>
    <s v="Delhi"/>
    <x v="1"/>
    <m/>
    <s v="Retail"/>
    <n v="41"/>
    <x v="0"/>
    <x v="0"/>
  </r>
  <r>
    <s v="ORD-01741"/>
    <d v="2024-11-06T00:00:00"/>
    <s v="CUST-0234"/>
    <s v="PROD-036"/>
    <x v="19"/>
    <n v="5"/>
    <n v="3250"/>
    <n v="19.899999999999999"/>
    <n v="13016.25"/>
    <s v="Completed"/>
    <s v="Bengaluru"/>
    <x v="3"/>
    <m/>
    <s v="Retail"/>
    <n v="34"/>
    <x v="2"/>
    <x v="7"/>
  </r>
  <r>
    <s v="ORD-01742"/>
    <d v="2024-03-14T00:00:00"/>
    <s v="CUST-0207"/>
    <s v="PROD-033"/>
    <x v="4"/>
    <n v="7"/>
    <n v="2030"/>
    <n v="4.0999999999999996"/>
    <n v="13627.39"/>
    <s v="Completed"/>
    <s v="Hyderabad"/>
    <x v="3"/>
    <m/>
    <s v="SMB"/>
    <n v="34"/>
    <x v="1"/>
    <x v="3"/>
  </r>
  <r>
    <s v="ORD-01743"/>
    <d v="2024-12-25T00:00:00"/>
    <s v="CUST-0245"/>
    <s v="PROD-046"/>
    <x v="27"/>
    <n v="5"/>
    <n v="4880"/>
    <n v="22.9"/>
    <n v="18812.400000000001"/>
    <s v="Completed"/>
    <s v="Hyderabad"/>
    <x v="5"/>
    <m/>
    <s v="Retail"/>
    <n v="65"/>
    <x v="0"/>
    <x v="0"/>
  </r>
  <r>
    <s v="ORD-01744"/>
    <d v="2024-01-06T00:00:00"/>
    <s v="CUST-0044"/>
    <s v="PROD-043"/>
    <x v="16"/>
    <n v="3"/>
    <n v="3350"/>
    <n v="15.2"/>
    <n v="8522.4"/>
    <s v="Pending"/>
    <s v="Hyderabad"/>
    <x v="5"/>
    <m/>
    <s v="SMB"/>
    <n v="29"/>
    <x v="4"/>
    <x v="8"/>
  </r>
  <r>
    <s v="ORD-01745"/>
    <d v="2024-05-13T00:00:00"/>
    <s v="CUST-0264"/>
    <s v="PROD-055"/>
    <x v="20"/>
    <n v="10"/>
    <n v="2860"/>
    <n v="15"/>
    <n v="24310"/>
    <s v="Completed"/>
    <s v="Pune"/>
    <x v="1"/>
    <m/>
    <s v="Retail"/>
    <n v="59"/>
    <x v="0"/>
    <x v="0"/>
  </r>
  <r>
    <s v="ORD-01746"/>
    <d v="2024-06-01T00:00:00"/>
    <s v="CUST-0193"/>
    <s v="PROD-047"/>
    <x v="26"/>
    <n v="5"/>
    <n v="3450"/>
    <n v="2.2999999999999998"/>
    <n v="16853.25"/>
    <s v="Completed"/>
    <s v="Bengaluru"/>
    <x v="5"/>
    <m/>
    <s v="Retail"/>
    <n v="42"/>
    <x v="0"/>
    <x v="0"/>
  </r>
  <r>
    <s v="ORD-01747"/>
    <d v="2024-04-15T00:00:00"/>
    <s v="CUST-0006"/>
    <s v="PROD-024"/>
    <x v="15"/>
    <n v="3"/>
    <n v="2270"/>
    <n v="2.8"/>
    <n v="6619.32"/>
    <s v="Pending"/>
    <s v="Pune"/>
    <x v="2"/>
    <m/>
    <s v="SMB"/>
    <n v="44"/>
    <x v="0"/>
    <x v="0"/>
  </r>
  <r>
    <s v="ORD-01748"/>
    <d v="2024-03-03T00:00:00"/>
    <s v="CUST-0221"/>
    <s v="PROD-028"/>
    <x v="0"/>
    <n v="8"/>
    <n v="3660"/>
    <n v="16.8"/>
    <n v="24360.959999999999"/>
    <s v="Completed"/>
    <s v="Delhi"/>
    <x v="2"/>
    <m/>
    <s v="SMB"/>
    <n v="29"/>
    <x v="4"/>
    <x v="4"/>
  </r>
  <r>
    <s v="ORD-01749"/>
    <d v="2024-06-26T00:00:00"/>
    <s v="CUST-0151"/>
    <s v="PROD-045"/>
    <x v="4"/>
    <n v="7"/>
    <n v="3020"/>
    <n v="17.8"/>
    <n v="17377.080000000002"/>
    <s v="Completed"/>
    <s v="Mumbai"/>
    <x v="5"/>
    <m/>
    <s v="Retail"/>
    <n v="53"/>
    <x v="0"/>
    <x v="0"/>
  </r>
  <r>
    <s v="ORD-01750"/>
    <d v="2024-10-22T00:00:00"/>
    <s v="CUST-0188"/>
    <s v="PROD-040"/>
    <x v="2"/>
    <n v="7"/>
    <n v="1080"/>
    <n v="12.9"/>
    <n v="6584.76"/>
    <s v="Completed"/>
    <s v="Bengaluru"/>
    <x v="3"/>
    <m/>
    <s v="Retail"/>
    <n v="54"/>
    <x v="0"/>
    <x v="0"/>
  </r>
  <r>
    <s v="ORD-01751"/>
    <d v="2024-07-21T00:00:00"/>
    <s v="CUST-0010"/>
    <s v="PROD-022"/>
    <x v="27"/>
    <n v="2"/>
    <n v="2270"/>
    <n v="8.6"/>
    <n v="4149.5600000000004"/>
    <s v="Cancelled"/>
    <s v="Mumbai"/>
    <x v="2"/>
    <m/>
    <s v="SMB"/>
    <n v="61"/>
    <x v="0"/>
    <x v="0"/>
  </r>
  <r>
    <s v="ORD-01752"/>
    <d v="2024-06-02T00:00:00"/>
    <s v="CUST-0018"/>
    <s v="PROD-016"/>
    <x v="27"/>
    <n v="10"/>
    <n v="620"/>
    <n v="26.1"/>
    <n v="4581.8"/>
    <s v="Completed"/>
    <s v="Pune"/>
    <x v="0"/>
    <m/>
    <s v="SMB"/>
    <n v="54"/>
    <x v="0"/>
    <x v="0"/>
  </r>
  <r>
    <s v="ORD-01753"/>
    <d v="2024-09-26T00:00:00"/>
    <s v="CUST-0262"/>
    <s v="PROD-025"/>
    <x v="15"/>
    <n v="2"/>
    <n v="4060"/>
    <n v="3.8"/>
    <n v="7811.44"/>
    <s v="Completed"/>
    <s v="Mumbai"/>
    <x v="2"/>
    <m/>
    <s v="Retail"/>
    <n v="52"/>
    <x v="0"/>
    <x v="0"/>
  </r>
  <r>
    <s v="ORD-01754"/>
    <d v="2024-07-15T00:00:00"/>
    <s v="CUST-0282"/>
    <s v="PROD-027"/>
    <x v="27"/>
    <n v="1"/>
    <n v="3780"/>
    <n v="27.9"/>
    <n v="2725.38"/>
    <s v="Completed"/>
    <s v="Hyderabad"/>
    <x v="2"/>
    <m/>
    <s v="Corporate"/>
    <n v="29"/>
    <x v="4"/>
    <x v="1"/>
  </r>
  <r>
    <s v="ORD-01755"/>
    <d v="2024-11-21T00:00:00"/>
    <s v="CUST-0194"/>
    <s v="PROD-023"/>
    <x v="24"/>
    <n v="8"/>
    <n v="2380"/>
    <n v="3.8"/>
    <n v="18316.48"/>
    <s v="Completed"/>
    <s v="Delhi"/>
    <x v="2"/>
    <m/>
    <s v="SMB"/>
    <n v="55"/>
    <x v="0"/>
    <x v="0"/>
  </r>
  <r>
    <s v="ORD-01756"/>
    <d v="2024-03-27T00:00:00"/>
    <s v="CUST-0161"/>
    <s v="PROD-026"/>
    <x v="6"/>
    <n v="7"/>
    <n v="4070"/>
    <n v="0.3"/>
    <n v="28404.53"/>
    <s v="Completed"/>
    <s v="Chennai"/>
    <x v="2"/>
    <m/>
    <s v="Retail"/>
    <n v="38"/>
    <x v="3"/>
    <x v="3"/>
  </r>
  <r>
    <s v="ORD-01757"/>
    <d v="2024-06-16T00:00:00"/>
    <s v="CUST-0120"/>
    <s v="PROD-010"/>
    <x v="16"/>
    <n v="6"/>
    <n v="2640"/>
    <n v="3.4"/>
    <n v="15301.44"/>
    <s v="Completed"/>
    <s v="Mumbai"/>
    <x v="4"/>
    <m/>
    <s v="Retail"/>
    <n v="29"/>
    <x v="2"/>
    <x v="10"/>
  </r>
  <r>
    <s v="ORD-01758"/>
    <d v="2024-03-26T00:00:00"/>
    <s v="CUST-0250"/>
    <s v="PROD-059"/>
    <x v="14"/>
    <n v="10"/>
    <n v="3780"/>
    <n v="13.3"/>
    <n v="32772.6"/>
    <s v="Completed"/>
    <s v="Delhi"/>
    <x v="1"/>
    <m/>
    <s v="Retail"/>
    <n v="31"/>
    <x v="3"/>
    <x v="7"/>
  </r>
  <r>
    <s v="ORD-01759"/>
    <d v="2024-01-11T00:00:00"/>
    <s v="CUST-0054"/>
    <s v="PROD-043"/>
    <x v="18"/>
    <n v="9"/>
    <n v="3350"/>
    <n v="12.8"/>
    <n v="26290.799999999999"/>
    <s v="Completed"/>
    <s v="Mumbai"/>
    <x v="5"/>
    <m/>
    <s v="Corporate"/>
    <n v="62"/>
    <x v="0"/>
    <x v="0"/>
  </r>
  <r>
    <s v="ORD-01760"/>
    <d v="2024-06-16T00:00:00"/>
    <s v="CUST-0247"/>
    <s v="PROD-012"/>
    <x v="6"/>
    <n v="7"/>
    <n v="3160"/>
    <n v="15.3"/>
    <n v="18735.64"/>
    <s v="Completed"/>
    <s v="Pune"/>
    <x v="0"/>
    <m/>
    <s v="SMB"/>
    <n v="35"/>
    <x v="4"/>
    <x v="12"/>
  </r>
  <r>
    <s v="ORD-01761"/>
    <d v="2024-05-16T00:00:00"/>
    <s v="CUST-0127"/>
    <s v="PROD-055"/>
    <x v="10"/>
    <n v="6"/>
    <n v="2860"/>
    <n v="17.5"/>
    <n v="14157"/>
    <s v="Completed"/>
    <s v="Bengaluru"/>
    <x v="1"/>
    <m/>
    <s v="SMB"/>
    <n v="36"/>
    <x v="2"/>
    <x v="7"/>
  </r>
  <r>
    <s v="ORD-01762"/>
    <d v="2024-02-19T00:00:00"/>
    <s v="CUST-0030"/>
    <s v="PROD-005"/>
    <x v="9"/>
    <n v="9"/>
    <n v="300"/>
    <n v="25.2"/>
    <n v="2019.6"/>
    <s v="Completed"/>
    <s v="Bengaluru"/>
    <x v="4"/>
    <m/>
    <s v="Corporate"/>
    <n v="43"/>
    <x v="0"/>
    <x v="0"/>
  </r>
  <r>
    <s v="ORD-01763"/>
    <d v="2024-01-05T00:00:00"/>
    <s v="CUST-0205"/>
    <s v="PROD-060"/>
    <x v="16"/>
    <n v="5"/>
    <n v="190"/>
    <n v="1.8"/>
    <n v="932.9"/>
    <s v="Completed"/>
    <s v="Pune"/>
    <x v="1"/>
    <m/>
    <s v="Corporate"/>
    <n v="29"/>
    <x v="4"/>
    <x v="5"/>
  </r>
  <r>
    <s v="ORD-01764"/>
    <d v="2024-08-29T00:00:00"/>
    <s v="CUST-0172"/>
    <s v="PROD-054"/>
    <x v="13"/>
    <n v="7"/>
    <n v="1010"/>
    <n v="11.2"/>
    <n v="6278.16"/>
    <s v="Completed"/>
    <s v="Pune"/>
    <x v="1"/>
    <m/>
    <s v="Retail"/>
    <n v="65"/>
    <x v="0"/>
    <x v="0"/>
  </r>
  <r>
    <s v="ORD-01765"/>
    <d v="2024-08-11T00:00:00"/>
    <s v="CUST-0283"/>
    <s v="PROD-051"/>
    <x v="19"/>
    <n v="8"/>
    <n v="3450"/>
    <n v="8.4"/>
    <n v="25281.599999999999"/>
    <s v="Completed"/>
    <s v="Delhi"/>
    <x v="1"/>
    <m/>
    <s v="SMB"/>
    <n v="50"/>
    <x v="0"/>
    <x v="0"/>
  </r>
  <r>
    <s v="ORD-01766"/>
    <d v="2024-11-01T00:00:00"/>
    <s v="CUST-0005"/>
    <s v="PROD-005"/>
    <x v="19"/>
    <n v="3"/>
    <n v="300"/>
    <n v="7.5"/>
    <n v="832.5"/>
    <s v="Refunded"/>
    <s v="Chennai"/>
    <x v="4"/>
    <m/>
    <s v="Corporate"/>
    <n v="52"/>
    <x v="0"/>
    <x v="0"/>
  </r>
  <r>
    <s v="ORD-01767"/>
    <d v="2024-03-19T00:00:00"/>
    <s v="CUST-0095"/>
    <s v="PROD-031"/>
    <x v="26"/>
    <n v="4"/>
    <n v="3730"/>
    <n v="24.8"/>
    <n v="11219.84"/>
    <s v="Completed"/>
    <s v="Mumbai"/>
    <x v="3"/>
    <m/>
    <s v="SMB"/>
    <n v="54"/>
    <x v="0"/>
    <x v="0"/>
  </r>
  <r>
    <s v="ORD-01768"/>
    <d v="2024-06-19T00:00:00"/>
    <s v="CUST-0142"/>
    <s v="PROD-058"/>
    <x v="16"/>
    <n v="5"/>
    <n v="2400"/>
    <n v="9.1999999999999993"/>
    <n v="10896"/>
    <s v="Completed"/>
    <s v="Chennai"/>
    <x v="1"/>
    <m/>
    <s v="Corporate"/>
    <n v="55"/>
    <x v="0"/>
    <x v="0"/>
  </r>
  <r>
    <s v="ORD-01769"/>
    <d v="2024-11-13T00:00:00"/>
    <s v="CUST-0028"/>
    <s v="PROD-021"/>
    <x v="19"/>
    <n v="3"/>
    <n v="2760"/>
    <n v="2.4"/>
    <n v="8081.28"/>
    <s v="Completed"/>
    <s v="Bengaluru"/>
    <x v="2"/>
    <m/>
    <s v="Retail"/>
    <n v="59"/>
    <x v="0"/>
    <x v="0"/>
  </r>
  <r>
    <s v="ORD-01770"/>
    <d v="2024-09-13T00:00:00"/>
    <s v="CUST-0118"/>
    <s v="PROD-053"/>
    <x v="18"/>
    <n v="8"/>
    <n v="470"/>
    <n v="24.8"/>
    <n v="2827.52"/>
    <s v="Pending"/>
    <s v="Hyderabad"/>
    <x v="1"/>
    <m/>
    <s v="Retail"/>
    <n v="26"/>
    <x v="1"/>
    <x v="3"/>
  </r>
  <r>
    <s v="ORD-01771"/>
    <d v="2024-12-07T00:00:00"/>
    <s v="CUST-0231"/>
    <s v="PROD-053"/>
    <x v="28"/>
    <n v="3"/>
    <n v="470"/>
    <n v="18.600000000000001"/>
    <n v="1147.74"/>
    <s v="Completed"/>
    <s v="Chennai"/>
    <x v="1"/>
    <m/>
    <s v="Retail"/>
    <n v="61"/>
    <x v="0"/>
    <x v="0"/>
  </r>
  <r>
    <s v="ORD-01772"/>
    <d v="2024-10-15T00:00:00"/>
    <s v="CUST-0264"/>
    <s v="PROD-032"/>
    <x v="8"/>
    <n v="2"/>
    <n v="370"/>
    <n v="24"/>
    <n v="562.4"/>
    <s v="Completed"/>
    <s v="Pune"/>
    <x v="3"/>
    <m/>
    <s v="Retail"/>
    <n v="59"/>
    <x v="0"/>
    <x v="0"/>
  </r>
  <r>
    <s v="ORD-01773"/>
    <d v="2024-02-07T00:00:00"/>
    <s v="CUST-0120"/>
    <s v="PROD-029"/>
    <x v="19"/>
    <n v="6"/>
    <n v="2210"/>
    <n v="28.3"/>
    <n v="9507.42"/>
    <s v="Cancelled"/>
    <s v="Mumbai"/>
    <x v="2"/>
    <m/>
    <s v="Retail"/>
    <n v="29"/>
    <x v="2"/>
    <x v="9"/>
  </r>
  <r>
    <s v="ORD-01774"/>
    <d v="2024-09-14T00:00:00"/>
    <s v="CUST-0185"/>
    <s v="PROD-056"/>
    <x v="25"/>
    <n v="3"/>
    <n v="6940"/>
    <n v="27.2"/>
    <n v="15156.96"/>
    <s v="Refunded"/>
    <s v="Hyderabad"/>
    <x v="1"/>
    <m/>
    <s v="SMB"/>
    <n v="43"/>
    <x v="0"/>
    <x v="0"/>
  </r>
  <r>
    <s v="ORD-01775"/>
    <d v="2024-05-11T00:00:00"/>
    <s v="CUST-0174"/>
    <s v="PROD-033"/>
    <x v="26"/>
    <n v="10"/>
    <n v="2030"/>
    <n v="25.6"/>
    <n v="15103.2"/>
    <s v="Completed"/>
    <s v="Pune"/>
    <x v="3"/>
    <m/>
    <s v="Retail"/>
    <n v="54"/>
    <x v="0"/>
    <x v="0"/>
  </r>
  <r>
    <s v="ORD-01776"/>
    <d v="2024-08-29T00:00:00"/>
    <s v="CUST-0174"/>
    <s v="PROD-054"/>
    <x v="21"/>
    <n v="9"/>
    <n v="1010"/>
    <n v="9.3000000000000007"/>
    <n v="8244.6299999999992"/>
    <s v="Completed"/>
    <s v="Pune"/>
    <x v="1"/>
    <m/>
    <s v="Retail"/>
    <n v="54"/>
    <x v="0"/>
    <x v="0"/>
  </r>
  <r>
    <s v="ORD-01777"/>
    <d v="2024-10-06T00:00:00"/>
    <s v="CUST-0084"/>
    <s v="PROD-017"/>
    <x v="25"/>
    <n v="5"/>
    <n v="2510"/>
    <n v="22.2"/>
    <n v="9763.9"/>
    <s v="Completed"/>
    <s v="Chennai"/>
    <x v="0"/>
    <m/>
    <s v="Retail"/>
    <n v="28"/>
    <x v="3"/>
    <x v="6"/>
  </r>
  <r>
    <s v="ORD-01778"/>
    <d v="2024-05-29T00:00:00"/>
    <s v="CUST-0270"/>
    <s v="PROD-032"/>
    <x v="25"/>
    <n v="10"/>
    <n v="370"/>
    <n v="29"/>
    <n v="2627"/>
    <s v="Completed"/>
    <s v="Bengaluru"/>
    <x v="3"/>
    <m/>
    <s v="Retail"/>
    <n v="29"/>
    <x v="1"/>
    <x v="9"/>
  </r>
  <r>
    <s v="ORD-01779"/>
    <d v="2024-04-21T00:00:00"/>
    <s v="CUST-0178"/>
    <s v="PROD-019"/>
    <x v="13"/>
    <n v="3"/>
    <n v="2480"/>
    <n v="9.6"/>
    <n v="6725.76"/>
    <s v="Completed"/>
    <s v="Hyderabad"/>
    <x v="0"/>
    <m/>
    <s v="Retail"/>
    <n v="25"/>
    <x v="1"/>
    <x v="2"/>
  </r>
  <r>
    <s v="ORD-01780"/>
    <d v="2024-12-18T00:00:00"/>
    <s v="CUST-0019"/>
    <s v="PROD-010"/>
    <x v="21"/>
    <n v="3"/>
    <n v="2640"/>
    <n v="10.199999999999999"/>
    <n v="7112.16"/>
    <s v="Cancelled"/>
    <s v="Chennai"/>
    <x v="4"/>
    <m/>
    <s v="Retail"/>
    <n v="22"/>
    <x v="3"/>
    <x v="4"/>
  </r>
  <r>
    <s v="ORD-01781"/>
    <d v="2024-07-31T00:00:00"/>
    <s v="CUST-0276"/>
    <s v="PROD-035"/>
    <x v="16"/>
    <n v="1"/>
    <n v="1090"/>
    <n v="21.6"/>
    <n v="854.56"/>
    <s v="Cancelled"/>
    <s v="Chennai"/>
    <x v="3"/>
    <m/>
    <s v="Retail"/>
    <n v="26"/>
    <x v="3"/>
    <x v="8"/>
  </r>
  <r>
    <s v="ORD-01782"/>
    <d v="2024-11-10T00:00:00"/>
    <s v="CUST-0076"/>
    <s v="PROD-043"/>
    <x v="25"/>
    <n v="10"/>
    <n v="3350"/>
    <n v="12.1"/>
    <n v="29446.5"/>
    <s v="Completed"/>
    <s v="Mumbai"/>
    <x v="5"/>
    <m/>
    <s v="Retail"/>
    <n v="38"/>
    <x v="3"/>
    <x v="11"/>
  </r>
  <r>
    <s v="ORD-01783"/>
    <d v="2024-09-27T00:00:00"/>
    <s v="CUST-0085"/>
    <s v="PROD-050"/>
    <x v="15"/>
    <n v="4"/>
    <n v="6080"/>
    <n v="26.7"/>
    <n v="17826.560000000001"/>
    <s v="Cancelled"/>
    <s v="Chennai"/>
    <x v="5"/>
    <m/>
    <s v="Retail"/>
    <n v="26"/>
    <x v="1"/>
    <x v="3"/>
  </r>
  <r>
    <s v="ORD-01784"/>
    <d v="2024-03-21T00:00:00"/>
    <s v="CUST-0245"/>
    <s v="PROD-049"/>
    <x v="25"/>
    <n v="3"/>
    <n v="960"/>
    <n v="13.2"/>
    <n v="2499.84"/>
    <s v="Completed"/>
    <s v="Hyderabad"/>
    <x v="5"/>
    <m/>
    <s v="Retail"/>
    <n v="65"/>
    <x v="0"/>
    <x v="0"/>
  </r>
  <r>
    <s v="ORD-01785"/>
    <d v="2024-11-14T00:00:00"/>
    <s v="CUST-0135"/>
    <s v="PROD-028"/>
    <x v="0"/>
    <n v="9"/>
    <n v="3660"/>
    <n v="9.3000000000000007"/>
    <n v="29876.58"/>
    <s v="Cancelled"/>
    <s v="Pune"/>
    <x v="2"/>
    <m/>
    <s v="SMB"/>
    <n v="24"/>
    <x v="1"/>
    <x v="10"/>
  </r>
  <r>
    <s v="ORD-01786"/>
    <d v="2024-04-06T00:00:00"/>
    <s v="CUST-0224"/>
    <s v="PROD-047"/>
    <x v="7"/>
    <n v="6"/>
    <n v="3450"/>
    <n v="8.1999999999999993"/>
    <n v="19002.599999999999"/>
    <s v="Completed"/>
    <s v="Chennai"/>
    <x v="5"/>
    <m/>
    <s v="Corporate"/>
    <n v="24"/>
    <x v="1"/>
    <x v="3"/>
  </r>
  <r>
    <s v="ORD-01787"/>
    <d v="2024-05-09T00:00:00"/>
    <s v="CUST-0036"/>
    <s v="PROD-039"/>
    <x v="16"/>
    <n v="7"/>
    <n v="4610"/>
    <n v="10.4"/>
    <n v="28913.919999999998"/>
    <s v="Completed"/>
    <s v="Mumbai"/>
    <x v="3"/>
    <m/>
    <s v="Retail"/>
    <n v="35"/>
    <x v="3"/>
    <x v="4"/>
  </r>
  <r>
    <s v="ORD-01788"/>
    <d v="2024-08-25T00:00:00"/>
    <s v="CUST-0197"/>
    <s v="PROD-057"/>
    <x v="18"/>
    <n v="2"/>
    <n v="960"/>
    <n v="16.5"/>
    <n v="1603.2"/>
    <s v="Completed"/>
    <s v="Bengaluru"/>
    <x v="1"/>
    <m/>
    <s v="Retail"/>
    <n v="55"/>
    <x v="0"/>
    <x v="0"/>
  </r>
  <r>
    <s v="ORD-01789"/>
    <d v="2024-09-18T00:00:00"/>
    <s v="CUST-0111"/>
    <s v="PROD-032"/>
    <x v="12"/>
    <n v="7"/>
    <n v="370"/>
    <n v="1.4"/>
    <n v="2553.7399999999998"/>
    <s v="Refunded"/>
    <s v="Chennai"/>
    <x v="3"/>
    <m/>
    <s v="SMB"/>
    <n v="64"/>
    <x v="0"/>
    <x v="0"/>
  </r>
  <r>
    <s v="ORD-01790"/>
    <d v="2024-08-31T00:00:00"/>
    <s v="CUST-0198"/>
    <s v="PROD-024"/>
    <x v="10"/>
    <n v="3"/>
    <n v="2270"/>
    <n v="12.6"/>
    <n v="5951.94"/>
    <s v="Completed"/>
    <s v="Chennai"/>
    <x v="2"/>
    <m/>
    <s v="Corporate"/>
    <n v="22"/>
    <x v="3"/>
    <x v="1"/>
  </r>
  <r>
    <s v="ORD-00268"/>
    <d v="2024-01-10T00:00:00"/>
    <s v="CUST-0049"/>
    <s v="PROD-036"/>
    <x v="2"/>
    <n v="1"/>
    <n v="3250"/>
    <n v="17.8"/>
    <n v="2671.5"/>
    <s v="Completed"/>
    <s v="Mumbai"/>
    <x v="3"/>
    <m/>
    <s v="Corporate"/>
    <n v="42"/>
    <x v="0"/>
    <x v="0"/>
  </r>
  <r>
    <s v="ORD-01792"/>
    <d v="2024-04-22T00:00:00"/>
    <s v="CUST-0029"/>
    <s v="PROD-016"/>
    <x v="26"/>
    <n v="5"/>
    <n v="620"/>
    <n v="19.399999999999999"/>
    <n v="2498.6"/>
    <s v="Pending"/>
    <s v="Chennai"/>
    <x v="0"/>
    <m/>
    <s v="Corporate"/>
    <n v="54"/>
    <x v="0"/>
    <x v="0"/>
  </r>
  <r>
    <s v="ORD-01793"/>
    <d v="2024-11-04T00:00:00"/>
    <s v="CUST-0018"/>
    <s v="PROD-008"/>
    <x v="1"/>
    <n v="6"/>
    <n v="2660"/>
    <n v="14.9"/>
    <n v="13581.96"/>
    <s v="Completed"/>
    <s v="Pune"/>
    <x v="4"/>
    <m/>
    <s v="SMB"/>
    <n v="54"/>
    <x v="0"/>
    <x v="0"/>
  </r>
  <r>
    <s v="ORD-01794"/>
    <d v="2024-08-22T00:00:00"/>
    <s v="CUST-0007"/>
    <s v="PROD-014"/>
    <x v="19"/>
    <n v="5"/>
    <n v="3620"/>
    <n v="21"/>
    <n v="14299"/>
    <s v="Cancelled"/>
    <s v="Bengaluru"/>
    <x v="0"/>
    <m/>
    <s v="Retail"/>
    <n v="47"/>
    <x v="0"/>
    <x v="0"/>
  </r>
  <r>
    <s v="ORD-01795"/>
    <d v="2024-10-15T00:00:00"/>
    <s v="CUST-0014"/>
    <s v="PROD-013"/>
    <x v="13"/>
    <n v="1"/>
    <n v="3640"/>
    <n v="15.8"/>
    <n v="3064.88"/>
    <s v="Completed"/>
    <s v="Bengaluru"/>
    <x v="0"/>
    <m/>
    <s v="Retail"/>
    <n v="48"/>
    <x v="0"/>
    <x v="0"/>
  </r>
  <r>
    <s v="ORD-01796"/>
    <d v="2024-06-01T00:00:00"/>
    <s v="CUST-0215"/>
    <s v="PROD-009"/>
    <x v="0"/>
    <n v="1"/>
    <n v="1220"/>
    <n v="0.6"/>
    <n v="1212.68"/>
    <s v="Refunded"/>
    <s v="Hyderabad"/>
    <x v="4"/>
    <m/>
    <s v="Retail"/>
    <n v="52"/>
    <x v="0"/>
    <x v="0"/>
  </r>
  <r>
    <s v="ORD-01797"/>
    <d v="2024-02-28T00:00:00"/>
    <s v="CUST-0056"/>
    <s v="PROD-019"/>
    <x v="25"/>
    <n v="10"/>
    <n v="2480"/>
    <n v="0.6"/>
    <n v="24651.200000000001"/>
    <s v="Completed"/>
    <s v="Bengaluru"/>
    <x v="0"/>
    <m/>
    <s v="SMB"/>
    <n v="46"/>
    <x v="0"/>
    <x v="0"/>
  </r>
  <r>
    <s v="ORD-01798"/>
    <d v="2024-12-08T00:00:00"/>
    <s v="CUST-0231"/>
    <s v="PROD-044"/>
    <x v="28"/>
    <n v="9"/>
    <n v="1650"/>
    <n v="26.8"/>
    <n v="10870.2"/>
    <s v="Completed"/>
    <s v="Chennai"/>
    <x v="5"/>
    <m/>
    <s v="Retail"/>
    <n v="61"/>
    <x v="0"/>
    <x v="0"/>
  </r>
  <r>
    <s v="ORD-01799"/>
    <d v="2024-09-25T00:00:00"/>
    <s v="CUST-0138"/>
    <s v="PROD-045"/>
    <x v="4"/>
    <n v="10"/>
    <n v="3020"/>
    <n v="2.6"/>
    <n v="29414.799999999999"/>
    <s v="Completed"/>
    <s v="Chennai"/>
    <x v="5"/>
    <m/>
    <s v="Retail"/>
    <n v="24"/>
    <x v="2"/>
    <x v="8"/>
  </r>
  <r>
    <s v="ORD-01800"/>
    <d v="2024-09-09T00:00:00"/>
    <s v="CUST-0007"/>
    <s v="PROD-011"/>
    <x v="2"/>
    <n v="5"/>
    <n v="3450"/>
    <n v="25.3"/>
    <n v="12885.75"/>
    <s v="Completed"/>
    <s v="Bengaluru"/>
    <x v="0"/>
    <m/>
    <s v="Retail"/>
    <n v="47"/>
    <x v="0"/>
    <x v="0"/>
  </r>
  <r>
    <s v="ORD-01801"/>
    <d v="2024-06-14T00:00:00"/>
    <s v="CUST-0118"/>
    <s v="PROD-009"/>
    <x v="7"/>
    <n v="7"/>
    <n v="1220"/>
    <n v="13.1"/>
    <n v="7421.26"/>
    <s v="Completed"/>
    <s v="Hyderabad"/>
    <x v="4"/>
    <m/>
    <s v="Retail"/>
    <n v="26"/>
    <x v="4"/>
    <x v="1"/>
  </r>
  <r>
    <s v="ORD-01802"/>
    <d v="2024-10-13T00:00:00"/>
    <s v="CUST-0064"/>
    <s v="PROD-027"/>
    <x v="1"/>
    <n v="10"/>
    <n v="3780"/>
    <n v="23.7"/>
    <n v="28841.4"/>
    <s v="Completed"/>
    <s v="Hyderabad"/>
    <x v="2"/>
    <m/>
    <s v="SMB"/>
    <n v="40"/>
    <x v="3"/>
    <x v="7"/>
  </r>
  <r>
    <s v="ORD-01803"/>
    <d v="2024-04-23T00:00:00"/>
    <s v="CUST-0298"/>
    <s v="PROD-008"/>
    <x v="25"/>
    <n v="8"/>
    <n v="2660"/>
    <n v="16.100000000000001"/>
    <n v="17853.919999999998"/>
    <s v="Completed"/>
    <s v="Delhi"/>
    <x v="4"/>
    <m/>
    <s v="Retail"/>
    <n v="44"/>
    <x v="0"/>
    <x v="0"/>
  </r>
  <r>
    <s v="ORD-01804"/>
    <d v="2024-02-16T00:00:00"/>
    <s v="CUST-0020"/>
    <s v="PROD-035"/>
    <x v="4"/>
    <n v="6"/>
    <n v="1090"/>
    <n v="20"/>
    <n v="5232"/>
    <s v="Pending"/>
    <s v="Hyderabad"/>
    <x v="3"/>
    <m/>
    <s v="Retail"/>
    <n v="46"/>
    <x v="0"/>
    <x v="0"/>
  </r>
  <r>
    <s v="ORD-01805"/>
    <d v="2024-02-02T00:00:00"/>
    <s v="CUST-9725"/>
    <s v="PROD-037"/>
    <x v="29"/>
    <n v="2"/>
    <n v="660"/>
    <n v="18.7"/>
    <n v="1073.1600000000001"/>
    <s v="Completed"/>
    <s v="Mumbai"/>
    <x v="3"/>
    <m/>
    <e v="#N/A"/>
    <e v="#N/A"/>
    <x v="0"/>
    <x v="0"/>
  </r>
  <r>
    <s v="ORD-01806"/>
    <d v="2024-02-10T00:00:00"/>
    <s v="CUST-0063"/>
    <s v="PROD-035"/>
    <x v="15"/>
    <n v="7"/>
    <n v="1090"/>
    <n v="19.399999999999999"/>
    <n v="6149.78"/>
    <s v="Pending"/>
    <s v="Mumbai"/>
    <x v="3"/>
    <m/>
    <s v="SMB"/>
    <n v="53"/>
    <x v="0"/>
    <x v="0"/>
  </r>
  <r>
    <s v="ORD-01807"/>
    <d v="2024-05-17T00:00:00"/>
    <s v="CUST-0193"/>
    <s v="PROD-029"/>
    <x v="15"/>
    <n v="3"/>
    <n v="2210"/>
    <n v="11"/>
    <n v="5900.7"/>
    <s v="Completed"/>
    <s v="Bengaluru"/>
    <x v="2"/>
    <m/>
    <s v="Retail"/>
    <n v="42"/>
    <x v="0"/>
    <x v="0"/>
  </r>
  <r>
    <s v="ORD-01808"/>
    <d v="2024-05-08T00:00:00"/>
    <s v="CUST-0142"/>
    <s v="PROD-006"/>
    <x v="20"/>
    <n v="2"/>
    <n v="3970"/>
    <n v="24.9"/>
    <n v="5962.94"/>
    <s v="Completed"/>
    <s v="Chennai"/>
    <x v="4"/>
    <m/>
    <s v="Corporate"/>
    <n v="55"/>
    <x v="0"/>
    <x v="0"/>
  </r>
  <r>
    <s v="ORD-01809"/>
    <d v="2024-04-21T00:00:00"/>
    <s v="CUST-0264"/>
    <s v="PROD-039"/>
    <x v="13"/>
    <n v="7"/>
    <n v="4610"/>
    <n v="6.3"/>
    <n v="30236.99"/>
    <s v="Completed"/>
    <s v="Pune"/>
    <x v="3"/>
    <m/>
    <s v="Retail"/>
    <n v="59"/>
    <x v="0"/>
    <x v="0"/>
  </r>
  <r>
    <s v="ORD-01810"/>
    <d v="2024-04-21T00:00:00"/>
    <s v="CUST-0121"/>
    <s v="PROD-049"/>
    <x v="17"/>
    <n v="10"/>
    <n v="960"/>
    <n v="14.6"/>
    <n v="8198.4"/>
    <s v="Completed"/>
    <s v="Delhi"/>
    <x v="5"/>
    <m/>
    <s v="SMB"/>
    <n v="55"/>
    <x v="0"/>
    <x v="0"/>
  </r>
  <r>
    <s v="ORD-01811"/>
    <d v="2024-11-04T00:00:00"/>
    <s v="CUST-0152"/>
    <s v="PROD-045"/>
    <x v="29"/>
    <n v="8"/>
    <n v="3020"/>
    <n v="14.5"/>
    <n v="20656.8"/>
    <s v="Completed"/>
    <s v="Bengaluru"/>
    <x v="5"/>
    <m/>
    <s v="SMB"/>
    <n v="64"/>
    <x v="0"/>
    <x v="0"/>
  </r>
  <r>
    <s v="ORD-01812"/>
    <d v="2024-12-03T00:00:00"/>
    <s v="CUST-0008"/>
    <s v="PROD-019"/>
    <x v="17"/>
    <n v="7"/>
    <n v="2480"/>
    <n v="17.3"/>
    <n v="14356.72"/>
    <s v="Completed"/>
    <s v="Pune"/>
    <x v="0"/>
    <m/>
    <s v="SMB"/>
    <n v="39"/>
    <x v="4"/>
    <x v="3"/>
  </r>
  <r>
    <s v="ORD-01813"/>
    <d v="2024-02-08T00:00:00"/>
    <s v="CUST-0285"/>
    <s v="PROD-004"/>
    <x v="22"/>
    <n v="10"/>
    <n v="3870"/>
    <n v="22.4"/>
    <n v="30031.200000000001"/>
    <s v="Pending"/>
    <s v="Hyderabad"/>
    <x v="4"/>
    <m/>
    <s v="Retail"/>
    <n v="22"/>
    <x v="2"/>
    <x v="8"/>
  </r>
  <r>
    <s v="ORD-01814"/>
    <d v="2024-09-16T00:00:00"/>
    <s v="CUST-0072"/>
    <s v="PROD-037"/>
    <x v="24"/>
    <n v="6"/>
    <n v="660"/>
    <n v="27.3"/>
    <n v="2878.92"/>
    <s v="Completed"/>
    <s v="Mumbai"/>
    <x v="3"/>
    <m/>
    <s v="Corporate"/>
    <n v="62"/>
    <x v="0"/>
    <x v="0"/>
  </r>
  <r>
    <s v="ORD-01815"/>
    <d v="2024-01-30T00:00:00"/>
    <s v="CUST-9630"/>
    <s v="PROD-004"/>
    <x v="17"/>
    <n v="3"/>
    <n v="3870"/>
    <n v="7.6"/>
    <n v="10727.64"/>
    <s v="Cancelled"/>
    <s v="Chennai"/>
    <x v="4"/>
    <m/>
    <e v="#N/A"/>
    <e v="#N/A"/>
    <x v="0"/>
    <x v="0"/>
  </r>
  <r>
    <s v="ORD-01816"/>
    <d v="2024-09-07T00:00:00"/>
    <s v="CUST-0243"/>
    <s v="PROD-019"/>
    <x v="3"/>
    <n v="10"/>
    <n v="2480"/>
    <n v="21.5"/>
    <n v="19468"/>
    <s v="Pending"/>
    <s v="Pune"/>
    <x v="0"/>
    <m/>
    <s v="SMB"/>
    <n v="44"/>
    <x v="0"/>
    <x v="0"/>
  </r>
  <r>
    <s v="ORD-01817"/>
    <d v="2024-12-17T00:00:00"/>
    <s v="CUST-0231"/>
    <s v="PROD-010"/>
    <x v="19"/>
    <n v="8"/>
    <n v="2640"/>
    <n v="22.3"/>
    <n v="16410.240000000002"/>
    <s v="Completed"/>
    <s v="Chennai"/>
    <x v="4"/>
    <m/>
    <s v="Retail"/>
    <n v="61"/>
    <x v="0"/>
    <x v="0"/>
  </r>
  <r>
    <s v="ORD-01818"/>
    <d v="2024-09-24T00:00:00"/>
    <s v="CUST-0229"/>
    <s v="PROD-030"/>
    <x v="19"/>
    <n v="8"/>
    <n v="970"/>
    <n v="13.1"/>
    <n v="6743.44"/>
    <s v="Completed"/>
    <s v="Hyderabad"/>
    <x v="2"/>
    <m/>
    <s v="SMB"/>
    <n v="25"/>
    <x v="1"/>
    <x v="8"/>
  </r>
  <r>
    <s v="ORD-01819"/>
    <d v="2024-05-04T00:00:00"/>
    <s v="CUST-0218"/>
    <s v="PROD-057"/>
    <x v="19"/>
    <n v="6"/>
    <n v="960"/>
    <n v="3.2"/>
    <n v="5575.68"/>
    <s v="Completed"/>
    <s v="Mumbai"/>
    <x v="1"/>
    <m/>
    <s v="Retail"/>
    <n v="39"/>
    <x v="1"/>
    <x v="1"/>
  </r>
  <r>
    <s v="ORD-01820"/>
    <d v="2024-06-26T00:00:00"/>
    <s v="CUST-0015"/>
    <s v="PROD-033"/>
    <x v="4"/>
    <n v="9"/>
    <n v="2030"/>
    <n v="12.6"/>
    <n v="15967.98"/>
    <s v="Cancelled"/>
    <s v="Chennai"/>
    <x v="3"/>
    <m/>
    <s v="Retail"/>
    <n v="31"/>
    <x v="1"/>
    <x v="2"/>
  </r>
  <r>
    <s v="ORD-01821"/>
    <d v="2024-04-05T00:00:00"/>
    <s v="CUST-0291"/>
    <s v="PROD-042"/>
    <x v="6"/>
    <n v="10"/>
    <n v="2290"/>
    <n v="22.2"/>
    <n v="17816.2"/>
    <s v="Completed"/>
    <s v="Pune"/>
    <x v="5"/>
    <m/>
    <s v="SMB"/>
    <n v="29"/>
    <x v="1"/>
    <x v="7"/>
  </r>
  <r>
    <s v="ORD-01822"/>
    <d v="2024-03-22T00:00:00"/>
    <s v="CUST-0276"/>
    <s v="PROD-020"/>
    <x v="28"/>
    <n v="7"/>
    <n v="820"/>
    <n v="6.4"/>
    <n v="5372.64"/>
    <s v="Refunded"/>
    <s v="Chennai"/>
    <x v="0"/>
    <m/>
    <s v="Retail"/>
    <n v="26"/>
    <x v="2"/>
    <x v="4"/>
  </r>
  <r>
    <s v="ORD-01823"/>
    <d v="2024-11-18T00:00:00"/>
    <s v="CUST-0139"/>
    <s v="PROD-040"/>
    <x v="14"/>
    <n v="5"/>
    <n v="1080"/>
    <n v="6"/>
    <n v="5076"/>
    <s v="Completed"/>
    <s v="Hyderabad"/>
    <x v="3"/>
    <m/>
    <s v="SMB"/>
    <n v="65"/>
    <x v="0"/>
    <x v="0"/>
  </r>
  <r>
    <s v="ORD-01824"/>
    <d v="2024-01-19T00:00:00"/>
    <s v="CUST-0087"/>
    <s v="PROD-060"/>
    <x v="8"/>
    <n v="4"/>
    <n v="190"/>
    <n v="6.3"/>
    <n v="712.12"/>
    <s v="Refunded"/>
    <s v="Pune"/>
    <x v="1"/>
    <m/>
    <s v="SMB"/>
    <n v="49"/>
    <x v="0"/>
    <x v="0"/>
  </r>
  <r>
    <s v="ORD-01825"/>
    <d v="2024-01-28T00:00:00"/>
    <s v="CUST-0203"/>
    <s v="PROD-017"/>
    <x v="20"/>
    <n v="6"/>
    <n v="2510"/>
    <n v="11.5"/>
    <n v="13328.1"/>
    <s v="Completed"/>
    <s v="Chennai"/>
    <x v="0"/>
    <m/>
    <s v="SMB"/>
    <n v="55"/>
    <x v="0"/>
    <x v="0"/>
  </r>
  <r>
    <s v="ORD-01826"/>
    <d v="2024-01-08T00:00:00"/>
    <s v="CUST-0180"/>
    <s v="PROD-018"/>
    <x v="15"/>
    <n v="2"/>
    <n v="3560"/>
    <n v="10.5"/>
    <n v="6372.4"/>
    <s v="Completed"/>
    <s v="Chennai"/>
    <x v="0"/>
    <m/>
    <s v="Retail"/>
    <n v="36"/>
    <x v="2"/>
    <x v="12"/>
  </r>
  <r>
    <s v="ORD-01827"/>
    <d v="2024-09-21T00:00:00"/>
    <s v="CUST-0130"/>
    <s v="PROD-020"/>
    <x v="22"/>
    <n v="3"/>
    <n v="820"/>
    <n v="13"/>
    <n v="2140.1999999999998"/>
    <s v="Cancelled"/>
    <s v="Bengaluru"/>
    <x v="0"/>
    <m/>
    <s v="Corporate"/>
    <n v="41"/>
    <x v="0"/>
    <x v="0"/>
  </r>
  <r>
    <s v="ORD-01828"/>
    <d v="2024-07-27T00:00:00"/>
    <s v="CUST-0049"/>
    <s v="PROD-013"/>
    <x v="11"/>
    <n v="6"/>
    <n v="3640"/>
    <n v="14"/>
    <n v="18782.400000000001"/>
    <s v="Completed"/>
    <s v="Mumbai"/>
    <x v="0"/>
    <m/>
    <s v="Corporate"/>
    <n v="42"/>
    <x v="0"/>
    <x v="0"/>
  </r>
  <r>
    <s v="ORD-01829"/>
    <d v="2024-03-19T00:00:00"/>
    <s v="CUST-0182"/>
    <s v="PROD-028"/>
    <x v="7"/>
    <n v="5"/>
    <n v="3660"/>
    <n v="28.7"/>
    <n v="13047.9"/>
    <s v="Completed"/>
    <s v="Mumbai"/>
    <x v="2"/>
    <m/>
    <s v="Retail"/>
    <n v="54"/>
    <x v="0"/>
    <x v="0"/>
  </r>
  <r>
    <s v="ORD-01830"/>
    <d v="2024-08-17T00:00:00"/>
    <s v="CUST-0291"/>
    <s v="PROD-055"/>
    <x v="14"/>
    <n v="2"/>
    <n v="2860"/>
    <n v="21.1"/>
    <n v="4513.08"/>
    <s v="Completed"/>
    <s v="Pune"/>
    <x v="1"/>
    <m/>
    <s v="SMB"/>
    <n v="29"/>
    <x v="3"/>
    <x v="10"/>
  </r>
  <r>
    <s v="ORD-01831"/>
    <d v="2024-07-08T00:00:00"/>
    <s v="CUST-0167"/>
    <s v="PROD-015"/>
    <x v="7"/>
    <n v="1"/>
    <n v="2720"/>
    <n v="22.1"/>
    <n v="2118.88"/>
    <s v="Completed"/>
    <s v="Delhi"/>
    <x v="0"/>
    <m/>
    <s v="Retail"/>
    <n v="43"/>
    <x v="0"/>
    <x v="0"/>
  </r>
  <r>
    <s v="ORD-01832"/>
    <d v="2024-12-07T00:00:00"/>
    <s v="CUST-0223"/>
    <s v="PROD-055"/>
    <x v="10"/>
    <n v="6"/>
    <n v="2860"/>
    <n v="10.5"/>
    <n v="15358.2"/>
    <s v="Cancelled"/>
    <s v="Bengaluru"/>
    <x v="1"/>
    <m/>
    <s v="Retail"/>
    <n v="46"/>
    <x v="0"/>
    <x v="0"/>
  </r>
  <r>
    <s v="ORD-01833"/>
    <d v="2024-01-14T00:00:00"/>
    <s v="CUST-0050"/>
    <s v="PROD-017"/>
    <x v="16"/>
    <n v="1"/>
    <n v="2510"/>
    <n v="12"/>
    <n v="2208.8000000000002"/>
    <s v="Completed"/>
    <s v="Mumbai"/>
    <x v="0"/>
    <m/>
    <s v="Retail"/>
    <n v="37"/>
    <x v="1"/>
    <x v="8"/>
  </r>
  <r>
    <s v="ORD-01834"/>
    <d v="2024-10-28T00:00:00"/>
    <s v="CUST-0242"/>
    <s v="PROD-017"/>
    <x v="16"/>
    <n v="4"/>
    <n v="2510"/>
    <n v="23.2"/>
    <n v="7710.72"/>
    <s v="Completed"/>
    <s v="Chennai"/>
    <x v="0"/>
    <m/>
    <s v="SMB"/>
    <n v="59"/>
    <x v="0"/>
    <x v="0"/>
  </r>
  <r>
    <s v="ORD-01835"/>
    <d v="2024-09-20T00:00:00"/>
    <s v="CUST-0144"/>
    <s v="PROD-049"/>
    <x v="1"/>
    <n v="8"/>
    <n v="960"/>
    <n v="20.3"/>
    <n v="6120.96"/>
    <s v="Pending"/>
    <s v="Chennai"/>
    <x v="5"/>
    <m/>
    <s v="Retail"/>
    <n v="49"/>
    <x v="0"/>
    <x v="0"/>
  </r>
  <r>
    <s v="ORD-01836"/>
    <d v="2024-04-24T00:00:00"/>
    <s v="CUST-0140"/>
    <s v="PROD-038"/>
    <x v="9"/>
    <n v="3"/>
    <n v="5490"/>
    <n v="25.2"/>
    <n v="12319.56"/>
    <s v="Completed"/>
    <s v="Hyderabad"/>
    <x v="3"/>
    <m/>
    <s v="SMB"/>
    <n v="39"/>
    <x v="1"/>
    <x v="1"/>
  </r>
  <r>
    <s v="ORD-01837"/>
    <d v="2024-12-21T00:00:00"/>
    <s v="CUST-0174"/>
    <s v="PROD-017"/>
    <x v="3"/>
    <n v="2"/>
    <n v="2510"/>
    <n v="28.2"/>
    <n v="3604.36"/>
    <s v="Completed"/>
    <s v="Pune"/>
    <x v="0"/>
    <m/>
    <s v="Retail"/>
    <n v="54"/>
    <x v="0"/>
    <x v="0"/>
  </r>
  <r>
    <s v="ORD-01838"/>
    <d v="2024-04-04T00:00:00"/>
    <s v="CUST-0290"/>
    <s v="PROD-020"/>
    <x v="23"/>
    <n v="1"/>
    <n v="820"/>
    <n v="4.7"/>
    <n v="781.46"/>
    <s v="Completed"/>
    <s v="Delhi"/>
    <x v="0"/>
    <m/>
    <s v="Retail"/>
    <n v="63"/>
    <x v="0"/>
    <x v="0"/>
  </r>
  <r>
    <s v="ORD-01839"/>
    <d v="2024-06-10T00:00:00"/>
    <s v="CUST-0170"/>
    <s v="PROD-005"/>
    <x v="26"/>
    <n v="6"/>
    <n v="300"/>
    <n v="13.3"/>
    <n v="1560.6"/>
    <s v="Completed"/>
    <s v="Mumbai"/>
    <x v="4"/>
    <m/>
    <s v="SMB"/>
    <n v="22"/>
    <x v="4"/>
    <x v="4"/>
  </r>
  <r>
    <s v="ORD-01840"/>
    <d v="2024-07-19T00:00:00"/>
    <s v="CUST-0180"/>
    <s v="PROD-043"/>
    <x v="29"/>
    <n v="4"/>
    <n v="3350"/>
    <n v="5.8"/>
    <n v="12622.8"/>
    <s v="Pending"/>
    <s v="Chennai"/>
    <x v="5"/>
    <m/>
    <s v="Retail"/>
    <n v="36"/>
    <x v="3"/>
    <x v="7"/>
  </r>
  <r>
    <s v="ORD-01841"/>
    <d v="2024-11-09T00:00:00"/>
    <s v="CUST-0286"/>
    <s v="PROD-036"/>
    <x v="5"/>
    <n v="3"/>
    <n v="3250"/>
    <n v="19.600000000000001"/>
    <n v="7839"/>
    <s v="Pending"/>
    <s v="Delhi"/>
    <x v="3"/>
    <m/>
    <s v="Retail"/>
    <n v="62"/>
    <x v="0"/>
    <x v="0"/>
  </r>
  <r>
    <s v="ORD-01842"/>
    <d v="2024-02-22T00:00:00"/>
    <s v="CUST-0056"/>
    <s v="PROD-044"/>
    <x v="28"/>
    <n v="10"/>
    <n v="1650"/>
    <n v="22.5"/>
    <n v="12787.5"/>
    <s v="Cancelled"/>
    <s v="Bengaluru"/>
    <x v="5"/>
    <m/>
    <s v="SMB"/>
    <n v="46"/>
    <x v="0"/>
    <x v="0"/>
  </r>
  <r>
    <s v="ORD-01843"/>
    <d v="2024-08-02T00:00:00"/>
    <s v="CUST-0292"/>
    <s v="PROD-009"/>
    <x v="17"/>
    <n v="2"/>
    <n v="1220"/>
    <n v="10.5"/>
    <n v="2183.8000000000002"/>
    <s v="Completed"/>
    <s v="Bengaluru"/>
    <x v="4"/>
    <m/>
    <s v="Retail"/>
    <n v="32"/>
    <x v="2"/>
    <x v="5"/>
  </r>
  <r>
    <s v="ORD-01844"/>
    <d v="2024-08-17T00:00:00"/>
    <s v="CUST-0020"/>
    <s v="PROD-049"/>
    <x v="17"/>
    <n v="7"/>
    <n v="960"/>
    <n v="5.4"/>
    <n v="6357.12"/>
    <s v="Refunded"/>
    <s v="Hyderabad"/>
    <x v="5"/>
    <m/>
    <s v="Retail"/>
    <n v="46"/>
    <x v="0"/>
    <x v="0"/>
  </r>
  <r>
    <s v="ORD-01845"/>
    <d v="2024-04-07T00:00:00"/>
    <s v="CUST-0089"/>
    <s v="PROD-046"/>
    <x v="2"/>
    <n v="3"/>
    <n v="4880"/>
    <n v="17.100000000000001"/>
    <n v="12136.56"/>
    <s v="Completed"/>
    <s v="Mumbai"/>
    <x v="5"/>
    <m/>
    <s v="SMB"/>
    <n v="43"/>
    <x v="0"/>
    <x v="0"/>
  </r>
  <r>
    <s v="ORD-01846"/>
    <d v="2024-04-08T00:00:00"/>
    <s v="CUST-0242"/>
    <s v="PROD-024"/>
    <x v="8"/>
    <n v="5"/>
    <n v="2270"/>
    <n v="12.4"/>
    <n v="9942.6"/>
    <s v="Completed"/>
    <s v="Chennai"/>
    <x v="2"/>
    <m/>
    <s v="SMB"/>
    <n v="59"/>
    <x v="0"/>
    <x v="0"/>
  </r>
  <r>
    <s v="ORD-01847"/>
    <d v="2024-05-01T00:00:00"/>
    <s v="CUST-0249"/>
    <s v="PROD-035"/>
    <x v="8"/>
    <n v="1"/>
    <n v="1090"/>
    <n v="17.3"/>
    <n v="901.43"/>
    <s v="Completed"/>
    <s v="Mumbai"/>
    <x v="3"/>
    <m/>
    <s v="Retail"/>
    <n v="44"/>
    <x v="0"/>
    <x v="0"/>
  </r>
  <r>
    <s v="ORD-01848"/>
    <d v="2024-08-31T00:00:00"/>
    <s v="CUST-0032"/>
    <s v="PROD-034"/>
    <x v="20"/>
    <n v="8"/>
    <n v="5080"/>
    <n v="0.9"/>
    <n v="40274.239999999998"/>
    <s v="Completed"/>
    <s v="Hyderabad"/>
    <x v="3"/>
    <m/>
    <s v="Retail"/>
    <n v="28"/>
    <x v="2"/>
    <x v="2"/>
  </r>
  <r>
    <s v="ORD-01849"/>
    <d v="2024-10-04T00:00:00"/>
    <s v="CUST-0217"/>
    <s v="PROD-039"/>
    <x v="21"/>
    <n v="7"/>
    <n v="4610"/>
    <n v="0.9"/>
    <n v="31979.57"/>
    <s v="Completed"/>
    <s v="Pune"/>
    <x v="3"/>
    <m/>
    <s v="SMB"/>
    <n v="59"/>
    <x v="0"/>
    <x v="0"/>
  </r>
  <r>
    <s v="ORD-01850"/>
    <d v="2024-08-23T00:00:00"/>
    <s v="CUST-0284"/>
    <s v="PROD-045"/>
    <x v="8"/>
    <n v="1"/>
    <n v="3020"/>
    <n v="10.3"/>
    <n v="2708.94"/>
    <s v="Completed"/>
    <s v="Hyderabad"/>
    <x v="5"/>
    <m/>
    <s v="SMB"/>
    <n v="65"/>
    <x v="0"/>
    <x v="0"/>
  </r>
  <r>
    <s v="ORD-01851"/>
    <d v="2024-06-10T00:00:00"/>
    <s v="CUST-0167"/>
    <s v="PROD-022"/>
    <x v="8"/>
    <n v="6"/>
    <n v="2270"/>
    <n v="23.1"/>
    <n v="10473.780000000001"/>
    <s v="Completed"/>
    <s v="Delhi"/>
    <x v="2"/>
    <m/>
    <s v="Retail"/>
    <n v="43"/>
    <x v="0"/>
    <x v="0"/>
  </r>
  <r>
    <s v="ORD-01852"/>
    <d v="2024-11-09T00:00:00"/>
    <s v="CUST-0008"/>
    <s v="PROD-026"/>
    <x v="9"/>
    <n v="6"/>
    <n v="4070"/>
    <n v="28.9"/>
    <n v="17362.62"/>
    <s v="Completed"/>
    <s v="Pune"/>
    <x v="2"/>
    <m/>
    <s v="SMB"/>
    <n v="39"/>
    <x v="2"/>
    <x v="7"/>
  </r>
  <r>
    <s v="ORD-01853"/>
    <d v="2024-12-24T00:00:00"/>
    <s v="CUST-0277"/>
    <s v="PROD-009"/>
    <x v="21"/>
    <n v="5"/>
    <n v="1220"/>
    <n v="18.7"/>
    <n v="4959.3"/>
    <s v="Completed"/>
    <s v="Chennai"/>
    <x v="4"/>
    <m/>
    <s v="Corporate"/>
    <n v="34"/>
    <x v="4"/>
    <x v="3"/>
  </r>
  <r>
    <s v="ORD-01854"/>
    <d v="2024-04-30T00:00:00"/>
    <s v="CUST-0025"/>
    <s v="PROD-019"/>
    <x v="6"/>
    <n v="8"/>
    <n v="2480"/>
    <n v="3.2"/>
    <n v="19205.12"/>
    <s v="Cancelled"/>
    <s v="Bengaluru"/>
    <x v="0"/>
    <m/>
    <s v="Retail"/>
    <n v="23"/>
    <x v="3"/>
    <x v="8"/>
  </r>
  <r>
    <s v="ORD-01855"/>
    <d v="2024-09-19T00:00:00"/>
    <s v="CUST-0228"/>
    <s v="PROD-055"/>
    <x v="0"/>
    <n v="7"/>
    <n v="2860"/>
    <n v="8.4"/>
    <n v="18338.32"/>
    <s v="Completed"/>
    <s v="Pune"/>
    <x v="1"/>
    <m/>
    <s v="Corporate"/>
    <n v="37"/>
    <x v="2"/>
    <x v="4"/>
  </r>
  <r>
    <s v="ORD-01856"/>
    <d v="2024-03-14T00:00:00"/>
    <s v="CUST-0078"/>
    <s v="PROD-027"/>
    <x v="6"/>
    <n v="1"/>
    <n v="3780"/>
    <n v="16.3"/>
    <n v="3163.86"/>
    <s v="Cancelled"/>
    <s v="Delhi"/>
    <x v="2"/>
    <m/>
    <s v="Retail"/>
    <n v="31"/>
    <x v="1"/>
    <x v="1"/>
  </r>
  <r>
    <s v="ORD-01857"/>
    <d v="2024-07-31T00:00:00"/>
    <s v="CUST-0205"/>
    <s v="PROD-055"/>
    <x v="5"/>
    <n v="6"/>
    <n v="2860"/>
    <n v="10.7"/>
    <n v="15323.88"/>
    <s v="Completed"/>
    <s v="Pune"/>
    <x v="1"/>
    <m/>
    <s v="Corporate"/>
    <n v="29"/>
    <x v="2"/>
    <x v="10"/>
  </r>
  <r>
    <s v="ORD-01858"/>
    <d v="2024-12-26T00:00:00"/>
    <s v="CUST-0044"/>
    <s v="PROD-058"/>
    <x v="28"/>
    <n v="3"/>
    <n v="2400"/>
    <n v="20.7"/>
    <n v="5709.6"/>
    <s v="Completed"/>
    <s v="Hyderabad"/>
    <x v="1"/>
    <m/>
    <s v="SMB"/>
    <n v="29"/>
    <x v="2"/>
    <x v="11"/>
  </r>
  <r>
    <s v="ORD-01859"/>
    <d v="2024-02-08T00:00:00"/>
    <s v="CUST-0188"/>
    <s v="PROD-023"/>
    <x v="5"/>
    <n v="8"/>
    <n v="2380"/>
    <n v="22.3"/>
    <n v="14794.08"/>
    <s v="Refunded"/>
    <s v="Bengaluru"/>
    <x v="2"/>
    <m/>
    <s v="Retail"/>
    <n v="54"/>
    <x v="0"/>
    <x v="0"/>
  </r>
  <r>
    <s v="ORD-01860"/>
    <d v="2024-08-29T00:00:00"/>
    <s v="CUST-0165"/>
    <s v="PROD-048"/>
    <x v="3"/>
    <n v="7"/>
    <n v="5100"/>
    <n v="22.9"/>
    <n v="27524.7"/>
    <s v="Cancelled"/>
    <s v="Pune"/>
    <x v="5"/>
    <m/>
    <s v="Retail"/>
    <n v="29"/>
    <x v="2"/>
    <x v="5"/>
  </r>
  <r>
    <s v="ORD-01861"/>
    <d v="2024-06-20T00:00:00"/>
    <s v="CUST-0059"/>
    <s v="PROD-005"/>
    <x v="15"/>
    <n v="7"/>
    <n v="300"/>
    <n v="15.3"/>
    <n v="1778.7"/>
    <s v="Completed"/>
    <s v="Pune"/>
    <x v="4"/>
    <m/>
    <s v="Corporate"/>
    <n v="29"/>
    <x v="1"/>
    <x v="6"/>
  </r>
  <r>
    <s v="ORD-01862"/>
    <d v="2024-05-16T00:00:00"/>
    <s v="CUST-0280"/>
    <s v="PROD-051"/>
    <x v="9"/>
    <n v="5"/>
    <n v="3450"/>
    <n v="16.8"/>
    <n v="14352"/>
    <s v="Completed"/>
    <s v="Delhi"/>
    <x v="1"/>
    <m/>
    <s v="SMB"/>
    <n v="27"/>
    <x v="4"/>
    <x v="7"/>
  </r>
  <r>
    <s v="ORD-01863"/>
    <d v="2024-12-08T00:00:00"/>
    <s v="CUST-0153"/>
    <s v="PROD-055"/>
    <x v="2"/>
    <n v="4"/>
    <n v="2860"/>
    <n v="14.3"/>
    <n v="9804.08"/>
    <s v="Completed"/>
    <s v="Mumbai"/>
    <x v="1"/>
    <m/>
    <s v="Retail"/>
    <n v="35"/>
    <x v="4"/>
    <x v="2"/>
  </r>
  <r>
    <s v="ORD-01864"/>
    <d v="2024-12-01T00:00:00"/>
    <s v="CUST-0251"/>
    <s v="PROD-015"/>
    <x v="19"/>
    <n v="6"/>
    <n v="2720"/>
    <n v="25.1"/>
    <n v="12223.68"/>
    <s v="Cancelled"/>
    <s v="Mumbai"/>
    <x v="0"/>
    <m/>
    <s v="Retail"/>
    <n v="44"/>
    <x v="0"/>
    <x v="0"/>
  </r>
  <r>
    <s v="ORD-01865"/>
    <d v="2024-05-17T00:00:00"/>
    <s v="CUST-0255"/>
    <s v="PROD-031"/>
    <x v="8"/>
    <n v="3"/>
    <n v="3730"/>
    <n v="24.8"/>
    <n v="8414.8799999999992"/>
    <s v="Completed"/>
    <s v="Chennai"/>
    <x v="3"/>
    <m/>
    <s v="Corporate"/>
    <n v="51"/>
    <x v="0"/>
    <x v="0"/>
  </r>
  <r>
    <s v="ORD-01866"/>
    <d v="2024-12-22T00:00:00"/>
    <s v="CUST-0076"/>
    <s v="PROD-025"/>
    <x v="25"/>
    <n v="2"/>
    <n v="4060"/>
    <n v="11.3"/>
    <n v="7202.44"/>
    <s v="Completed"/>
    <s v="Mumbai"/>
    <x v="2"/>
    <m/>
    <s v="Retail"/>
    <n v="38"/>
    <x v="2"/>
    <x v="2"/>
  </r>
  <r>
    <s v="ORD-01867"/>
    <d v="2024-01-04T00:00:00"/>
    <s v="CUST-0195"/>
    <s v="PROD-042"/>
    <x v="26"/>
    <n v="6"/>
    <n v="2290"/>
    <n v="26.8"/>
    <n v="10057.68"/>
    <s v="Refunded"/>
    <s v="Bengaluru"/>
    <x v="5"/>
    <m/>
    <s v="Retail"/>
    <n v="28"/>
    <x v="1"/>
    <x v="8"/>
  </r>
  <r>
    <s v="ORD-01868"/>
    <d v="2024-05-06T00:00:00"/>
    <s v="CUST-0164"/>
    <s v="PROD-056"/>
    <x v="22"/>
    <n v="1"/>
    <n v="6940"/>
    <n v="15.7"/>
    <n v="5850.42"/>
    <s v="Completed"/>
    <s v="Chennai"/>
    <x v="1"/>
    <m/>
    <s v="Retail"/>
    <n v="60"/>
    <x v="0"/>
    <x v="0"/>
  </r>
  <r>
    <s v="ORD-01869"/>
    <d v="2024-11-27T00:00:00"/>
    <s v="CUST-0239"/>
    <s v="PROD-031"/>
    <x v="18"/>
    <n v="3"/>
    <n v="3730"/>
    <n v="18.100000000000001"/>
    <n v="9164.61"/>
    <s v="Completed"/>
    <s v="Mumbai"/>
    <x v="3"/>
    <m/>
    <s v="Retail"/>
    <n v="61"/>
    <x v="0"/>
    <x v="0"/>
  </r>
  <r>
    <s v="ORD-01870"/>
    <d v="2024-08-24T00:00:00"/>
    <s v="CUST-0133"/>
    <s v="PROD-031"/>
    <x v="25"/>
    <n v="8"/>
    <n v="3730"/>
    <n v="12.5"/>
    <n v="26110"/>
    <s v="Completed"/>
    <s v="Chennai"/>
    <x v="3"/>
    <m/>
    <s v="Retail"/>
    <n v="26"/>
    <x v="4"/>
    <x v="3"/>
  </r>
  <r>
    <s v="ORD-01871"/>
    <d v="2024-12-18T00:00:00"/>
    <s v="CUST-0286"/>
    <s v="PROD-023"/>
    <x v="15"/>
    <n v="9"/>
    <n v="2380"/>
    <n v="8.1"/>
    <n v="19684.98"/>
    <s v="Cancelled"/>
    <s v="Delhi"/>
    <x v="2"/>
    <m/>
    <s v="Retail"/>
    <n v="62"/>
    <x v="0"/>
    <x v="0"/>
  </r>
  <r>
    <s v="ORD-01872"/>
    <d v="2024-07-02T00:00:00"/>
    <s v="CUST-0122"/>
    <s v="PROD-040"/>
    <x v="25"/>
    <n v="6"/>
    <n v="1080"/>
    <n v="8.8000000000000007"/>
    <n v="5909.76"/>
    <s v="Completed"/>
    <s v="Mumbai"/>
    <x v="3"/>
    <m/>
    <s v="Retail"/>
    <n v="44"/>
    <x v="0"/>
    <x v="0"/>
  </r>
  <r>
    <s v="ORD-01712"/>
    <d v="2024-04-19T00:00:00"/>
    <s v="CUST-0285"/>
    <s v="PROD-053"/>
    <x v="22"/>
    <n v="5"/>
    <n v="470"/>
    <n v="1.3"/>
    <n v="2319.4499999999998"/>
    <s v="Completed"/>
    <s v="Hyderabad"/>
    <x v="1"/>
    <m/>
    <s v="Retail"/>
    <n v="22"/>
    <x v="1"/>
    <x v="11"/>
  </r>
  <r>
    <s v="ORD-01874"/>
    <d v="2024-08-12T00:00:00"/>
    <s v="CUST-0174"/>
    <s v="PROD-032"/>
    <x v="17"/>
    <n v="4"/>
    <n v="370"/>
    <n v="13.1"/>
    <n v="1286.1199999999999"/>
    <s v="Completed"/>
    <s v="Pune"/>
    <x v="3"/>
    <m/>
    <s v="Retail"/>
    <n v="54"/>
    <x v="0"/>
    <x v="0"/>
  </r>
  <r>
    <s v="ORD-01875"/>
    <d v="2024-08-13T00:00:00"/>
    <s v="CUST-0115"/>
    <s v="PROD-012"/>
    <x v="0"/>
    <n v="7"/>
    <n v="3160"/>
    <n v="12.3"/>
    <n v="19399.240000000002"/>
    <s v="Completed"/>
    <s v="Mumbai"/>
    <x v="0"/>
    <m/>
    <s v="SMB"/>
    <n v="65"/>
    <x v="0"/>
    <x v="0"/>
  </r>
  <r>
    <s v="ORD-01876"/>
    <d v="2024-12-19T00:00:00"/>
    <s v="CUST-0028"/>
    <s v="PROD-018"/>
    <x v="6"/>
    <n v="5"/>
    <n v="3560"/>
    <n v="24"/>
    <n v="13528"/>
    <s v="Completed"/>
    <s v="Bengaluru"/>
    <x v="0"/>
    <m/>
    <s v="Retail"/>
    <n v="59"/>
    <x v="0"/>
    <x v="0"/>
  </r>
  <r>
    <s v="ORD-01877"/>
    <d v="2024-05-05T00:00:00"/>
    <s v="CUST-0111"/>
    <s v="PROD-033"/>
    <x v="13"/>
    <n v="6"/>
    <n v="2030"/>
    <n v="20.5"/>
    <n v="9683.1"/>
    <s v="Completed"/>
    <s v="Chennai"/>
    <x v="3"/>
    <m/>
    <s v="SMB"/>
    <n v="64"/>
    <x v="0"/>
    <x v="0"/>
  </r>
  <r>
    <s v="ORD-01878"/>
    <d v="2024-02-29T00:00:00"/>
    <s v="CUST-0240"/>
    <s v="PROD-010"/>
    <x v="26"/>
    <n v="5"/>
    <n v="2640"/>
    <n v="21.3"/>
    <n v="10388.4"/>
    <s v="Pending"/>
    <s v="Chennai"/>
    <x v="4"/>
    <m/>
    <s v="Corporate"/>
    <n v="35"/>
    <x v="3"/>
    <x v="2"/>
  </r>
  <r>
    <s v="ORD-01879"/>
    <d v="2024-12-03T00:00:00"/>
    <s v="CUST-0222"/>
    <s v="PROD-022"/>
    <x v="25"/>
    <n v="4"/>
    <n v="2270"/>
    <n v="15.8"/>
    <n v="7645.36"/>
    <s v="Completed"/>
    <s v="Chennai"/>
    <x v="2"/>
    <m/>
    <s v="Retail"/>
    <n v="37"/>
    <x v="3"/>
    <x v="5"/>
  </r>
  <r>
    <s v="ORD-01880"/>
    <d v="2024-10-23T00:00:00"/>
    <s v="CUST-0251"/>
    <s v="PROD-032"/>
    <x v="25"/>
    <n v="1"/>
    <n v="370"/>
    <n v="27"/>
    <n v="270.10000000000002"/>
    <s v="Pending"/>
    <s v="Mumbai"/>
    <x v="3"/>
    <m/>
    <s v="Retail"/>
    <n v="44"/>
    <x v="0"/>
    <x v="0"/>
  </r>
  <r>
    <s v="ORD-01881"/>
    <d v="2024-03-15T00:00:00"/>
    <s v="CUST-0203"/>
    <s v="PROD-048"/>
    <x v="21"/>
    <n v="9"/>
    <n v="5100"/>
    <n v="2.4"/>
    <n v="44798.400000000001"/>
    <s v="Completed"/>
    <s v="Chennai"/>
    <x v="5"/>
    <m/>
    <s v="SMB"/>
    <n v="55"/>
    <x v="0"/>
    <x v="0"/>
  </r>
  <r>
    <s v="ORD-01882"/>
    <d v="2024-01-31T00:00:00"/>
    <s v="CUST-0285"/>
    <s v="PROD-032"/>
    <x v="12"/>
    <n v="6"/>
    <n v="370"/>
    <n v="18.7"/>
    <n v="1804.86"/>
    <s v="Cancelled"/>
    <s v="Hyderabad"/>
    <x v="3"/>
    <m/>
    <s v="Retail"/>
    <n v="22"/>
    <x v="3"/>
    <x v="10"/>
  </r>
  <r>
    <s v="ORD-01883"/>
    <d v="2024-06-22T00:00:00"/>
    <s v="CUST-0135"/>
    <s v="PROD-030"/>
    <x v="10"/>
    <n v="6"/>
    <n v="970"/>
    <n v="21.6"/>
    <n v="4562.88"/>
    <s v="Completed"/>
    <s v="Pune"/>
    <x v="2"/>
    <m/>
    <s v="SMB"/>
    <n v="24"/>
    <x v="3"/>
    <x v="12"/>
  </r>
  <r>
    <s v="ORD-01884"/>
    <d v="2024-11-26T00:00:00"/>
    <s v="CUST-9967"/>
    <s v="PROD-029"/>
    <x v="20"/>
    <n v="3"/>
    <n v="2210"/>
    <n v="8.5"/>
    <n v="6066.45"/>
    <s v="Completed"/>
    <s v="Delhi"/>
    <x v="2"/>
    <m/>
    <e v="#N/A"/>
    <e v="#N/A"/>
    <x v="0"/>
    <x v="0"/>
  </r>
  <r>
    <s v="ORD-01885"/>
    <d v="2024-06-14T00:00:00"/>
    <s v="CUST-0096"/>
    <s v="PROD-044"/>
    <x v="25"/>
    <n v="1"/>
    <n v="1650"/>
    <n v="19.7"/>
    <n v="1324.95"/>
    <s v="Completed"/>
    <s v="Delhi"/>
    <x v="5"/>
    <m/>
    <s v="Corporate"/>
    <n v="27"/>
    <x v="2"/>
    <x v="3"/>
  </r>
  <r>
    <s v="ORD-01886"/>
    <d v="2024-07-07T00:00:00"/>
    <s v="CUST-0266"/>
    <s v="PROD-056"/>
    <x v="11"/>
    <n v="5"/>
    <n v="6940"/>
    <n v="7.7"/>
    <n v="32028.1"/>
    <s v="Completed"/>
    <s v="Pune"/>
    <x v="1"/>
    <m/>
    <s v="Retail"/>
    <n v="65"/>
    <x v="0"/>
    <x v="0"/>
  </r>
  <r>
    <s v="ORD-01887"/>
    <d v="2024-04-10T00:00:00"/>
    <s v="CUST-0059"/>
    <s v="PROD-029"/>
    <x v="24"/>
    <n v="2"/>
    <n v="2210"/>
    <n v="5.6"/>
    <n v="4172.4799999999996"/>
    <s v="Cancelled"/>
    <s v="Pune"/>
    <x v="2"/>
    <m/>
    <s v="Corporate"/>
    <n v="29"/>
    <x v="1"/>
    <x v="11"/>
  </r>
  <r>
    <s v="ORD-01888"/>
    <d v="2024-03-29T00:00:00"/>
    <s v="CUST-0094"/>
    <s v="PROD-002"/>
    <x v="2"/>
    <n v="9"/>
    <n v="2600"/>
    <n v="3.1"/>
    <n v="22674.6"/>
    <s v="Completed"/>
    <s v="Pune"/>
    <x v="4"/>
    <m/>
    <s v="SMB"/>
    <n v="60"/>
    <x v="0"/>
    <x v="0"/>
  </r>
  <r>
    <s v="ORD-01889"/>
    <d v="2024-07-21T00:00:00"/>
    <s v="CUST-0254"/>
    <s v="PROD-059"/>
    <x v="11"/>
    <n v="7"/>
    <n v="3780"/>
    <n v="13.3"/>
    <n v="22940.82"/>
    <s v="Completed"/>
    <s v="Bengaluru"/>
    <x v="1"/>
    <m/>
    <s v="Retail"/>
    <n v="35"/>
    <x v="4"/>
    <x v="10"/>
  </r>
  <r>
    <s v="ORD-01890"/>
    <d v="2024-11-25T00:00:00"/>
    <s v="CUST-0022"/>
    <s v="PROD-058"/>
    <x v="22"/>
    <n v="4"/>
    <n v="2400"/>
    <n v="16.600000000000001"/>
    <n v="8006.4"/>
    <s v="Pending"/>
    <s v="Bengaluru"/>
    <x v="1"/>
    <m/>
    <s v="Corporate"/>
    <n v="55"/>
    <x v="0"/>
    <x v="0"/>
  </r>
  <r>
    <s v="ORD-01891"/>
    <d v="2024-11-07T00:00:00"/>
    <s v="CUST-0168"/>
    <s v="PROD-005"/>
    <x v="1"/>
    <n v="10"/>
    <n v="300"/>
    <n v="23.9"/>
    <n v="2283"/>
    <s v="Completed"/>
    <s v="Pune"/>
    <x v="4"/>
    <m/>
    <s v="Retail"/>
    <n v="25"/>
    <x v="4"/>
    <x v="3"/>
  </r>
  <r>
    <s v="ORD-01892"/>
    <d v="2024-12-14T00:00:00"/>
    <s v="CUST-0175"/>
    <s v="PROD-028"/>
    <x v="9"/>
    <n v="1"/>
    <n v="3660"/>
    <n v="1.5"/>
    <n v="3605.1"/>
    <s v="Pending"/>
    <s v="Delhi"/>
    <x v="2"/>
    <m/>
    <s v="Corporate"/>
    <n v="55"/>
    <x v="0"/>
    <x v="0"/>
  </r>
  <r>
    <s v="ORD-01893"/>
    <d v="2024-08-30T00:00:00"/>
    <s v="CUST-0193"/>
    <s v="PROD-051"/>
    <x v="23"/>
    <n v="9"/>
    <n v="3450"/>
    <n v="21.8"/>
    <n v="24281.1"/>
    <s v="Completed"/>
    <s v="Bengaluru"/>
    <x v="1"/>
    <m/>
    <s v="Retail"/>
    <n v="42"/>
    <x v="0"/>
    <x v="0"/>
  </r>
  <r>
    <s v="ORD-01894"/>
    <d v="2024-04-28T00:00:00"/>
    <s v="CUST-0284"/>
    <s v="PROD-011"/>
    <x v="0"/>
    <n v="10"/>
    <n v="3450"/>
    <n v="15.7"/>
    <n v="29083.5"/>
    <s v="Cancelled"/>
    <s v="Hyderabad"/>
    <x v="0"/>
    <m/>
    <s v="SMB"/>
    <n v="65"/>
    <x v="0"/>
    <x v="0"/>
  </r>
  <r>
    <s v="ORD-01895"/>
    <d v="2024-04-30T00:00:00"/>
    <s v="CUST-0071"/>
    <s v="PROD-026"/>
    <x v="4"/>
    <n v="2"/>
    <n v="4070"/>
    <n v="10.8"/>
    <n v="7260.88"/>
    <s v="Completed"/>
    <s v="Delhi"/>
    <x v="2"/>
    <m/>
    <s v="Corporate"/>
    <n v="46"/>
    <x v="0"/>
    <x v="0"/>
  </r>
  <r>
    <s v="ORD-01896"/>
    <d v="2024-03-21T00:00:00"/>
    <s v="CUST-0102"/>
    <s v="PROD-059"/>
    <x v="12"/>
    <n v="4"/>
    <n v="3780"/>
    <n v="17.100000000000001"/>
    <n v="12534.48"/>
    <s v="Completed"/>
    <s v="Chennai"/>
    <x v="1"/>
    <m/>
    <s v="SMB"/>
    <n v="62"/>
    <x v="0"/>
    <x v="0"/>
  </r>
  <r>
    <s v="ORD-01897"/>
    <d v="2024-11-26T00:00:00"/>
    <s v="CUST-0036"/>
    <s v="PROD-021"/>
    <x v="10"/>
    <n v="1"/>
    <n v="2760"/>
    <n v="2.5"/>
    <n v="2691"/>
    <s v="Cancelled"/>
    <s v="Mumbai"/>
    <x v="2"/>
    <m/>
    <s v="Retail"/>
    <n v="35"/>
    <x v="3"/>
    <x v="10"/>
  </r>
  <r>
    <s v="ORD-01898"/>
    <d v="2024-07-20T00:00:00"/>
    <s v="CUST-0273"/>
    <s v="PROD-046"/>
    <x v="14"/>
    <n v="2"/>
    <n v="4880"/>
    <n v="11"/>
    <n v="8686.4"/>
    <s v="Completed"/>
    <s v="Hyderabad"/>
    <x v="5"/>
    <m/>
    <s v="Corporate"/>
    <n v="32"/>
    <x v="1"/>
    <x v="3"/>
  </r>
  <r>
    <s v="ORD-01899"/>
    <d v="2024-10-15T00:00:00"/>
    <s v="CUST-0262"/>
    <s v="PROD-023"/>
    <x v="24"/>
    <n v="10"/>
    <n v="2380"/>
    <n v="28.3"/>
    <n v="17064.599999999999"/>
    <s v="Completed"/>
    <s v="Mumbai"/>
    <x v="2"/>
    <m/>
    <s v="Retail"/>
    <n v="52"/>
    <x v="0"/>
    <x v="0"/>
  </r>
  <r>
    <s v="ORD-01900"/>
    <d v="2024-06-06T00:00:00"/>
    <s v="CUST-0083"/>
    <s v="PROD-042"/>
    <x v="11"/>
    <n v="3"/>
    <n v="2290"/>
    <n v="11.1"/>
    <n v="6107.43"/>
    <s v="Cancelled"/>
    <s v="Bengaluru"/>
    <x v="5"/>
    <m/>
    <s v="Corporate"/>
    <n v="31"/>
    <x v="3"/>
    <x v="9"/>
  </r>
  <r>
    <s v="ORD-01901"/>
    <d v="2024-05-05T00:00:00"/>
    <s v="CUST-0273"/>
    <s v="PROD-021"/>
    <x v="10"/>
    <n v="6"/>
    <n v="2760"/>
    <n v="16.5"/>
    <n v="13827.6"/>
    <s v="Completed"/>
    <s v="Hyderabad"/>
    <x v="2"/>
    <m/>
    <s v="Corporate"/>
    <n v="32"/>
    <x v="1"/>
    <x v="7"/>
  </r>
  <r>
    <s v="ORD-01902"/>
    <d v="2024-08-19T00:00:00"/>
    <s v="CUST-0047"/>
    <s v="PROD-025"/>
    <x v="28"/>
    <n v="5"/>
    <n v="4060"/>
    <n v="22.5"/>
    <n v="15732.5"/>
    <s v="Completed"/>
    <s v="Pune"/>
    <x v="2"/>
    <m/>
    <s v="Retail"/>
    <n v="49"/>
    <x v="0"/>
    <x v="0"/>
  </r>
  <r>
    <s v="ORD-01903"/>
    <d v="2024-03-16T00:00:00"/>
    <s v="CUST-0084"/>
    <s v="PROD-010"/>
    <x v="3"/>
    <n v="8"/>
    <n v="2640"/>
    <n v="11.8"/>
    <n v="18627.84"/>
    <s v="Completed"/>
    <s v="Chennai"/>
    <x v="4"/>
    <m/>
    <s v="Retail"/>
    <n v="28"/>
    <x v="2"/>
    <x v="6"/>
  </r>
  <r>
    <s v="ORD-01904"/>
    <d v="2024-01-18T00:00:00"/>
    <s v="CUST-0093"/>
    <s v="PROD-039"/>
    <x v="1"/>
    <n v="2"/>
    <n v="4610"/>
    <n v="10.4"/>
    <n v="8261.1200000000008"/>
    <s v="Pending"/>
    <s v="Pune"/>
    <x v="3"/>
    <m/>
    <s v="Retail"/>
    <n v="36"/>
    <x v="1"/>
    <x v="10"/>
  </r>
  <r>
    <s v="ORD-01905"/>
    <d v="2024-04-01T00:00:00"/>
    <s v="CUST-0282"/>
    <s v="PROD-029"/>
    <x v="8"/>
    <n v="6"/>
    <n v="2210"/>
    <n v="22.5"/>
    <n v="10276.5"/>
    <s v="Cancelled"/>
    <s v="Hyderabad"/>
    <x v="2"/>
    <m/>
    <s v="Corporate"/>
    <n v="29"/>
    <x v="1"/>
    <x v="12"/>
  </r>
  <r>
    <s v="ORD-01906"/>
    <d v="2024-05-08T00:00:00"/>
    <s v="CUST-0246"/>
    <s v="PROD-029"/>
    <x v="23"/>
    <n v="4"/>
    <n v="2210"/>
    <n v="21.5"/>
    <n v="6939.4"/>
    <s v="Pending"/>
    <s v="Delhi"/>
    <x v="2"/>
    <m/>
    <s v="SMB"/>
    <n v="29"/>
    <x v="2"/>
    <x v="4"/>
  </r>
  <r>
    <s v="ORD-01907"/>
    <d v="2024-04-18T00:00:00"/>
    <s v="CUST-0243"/>
    <s v="PROD-035"/>
    <x v="22"/>
    <n v="6"/>
    <n v="1090"/>
    <n v="28.3"/>
    <n v="4689.18"/>
    <s v="Completed"/>
    <s v="Pune"/>
    <x v="3"/>
    <m/>
    <s v="SMB"/>
    <n v="44"/>
    <x v="0"/>
    <x v="0"/>
  </r>
  <r>
    <s v="ORD-01908"/>
    <d v="2024-11-29T00:00:00"/>
    <s v="CUST-0298"/>
    <s v="PROD-032"/>
    <x v="11"/>
    <n v="9"/>
    <n v="370"/>
    <n v="13.8"/>
    <n v="2870.46"/>
    <s v="Completed"/>
    <s v="Delhi"/>
    <x v="3"/>
    <m/>
    <s v="Retail"/>
    <n v="44"/>
    <x v="0"/>
    <x v="0"/>
  </r>
  <r>
    <s v="ORD-01909"/>
    <d v="2024-09-20T00:00:00"/>
    <s v="CUST-0124"/>
    <s v="PROD-003"/>
    <x v="5"/>
    <n v="10"/>
    <n v="3570"/>
    <n v="3"/>
    <n v="34629"/>
    <s v="Cancelled"/>
    <s v="Pune"/>
    <x v="4"/>
    <m/>
    <s v="Retail"/>
    <n v="57"/>
    <x v="0"/>
    <x v="0"/>
  </r>
  <r>
    <s v="ORD-01910"/>
    <d v="2024-08-05T00:00:00"/>
    <s v="CUST-0070"/>
    <s v="PROD-036"/>
    <x v="29"/>
    <n v="10"/>
    <n v="3250"/>
    <n v="20.3"/>
    <n v="25902.5"/>
    <s v="Completed"/>
    <s v="Mumbai"/>
    <x v="3"/>
    <m/>
    <s v="Retail"/>
    <n v="42"/>
    <x v="0"/>
    <x v="0"/>
  </r>
  <r>
    <s v="ORD-01911"/>
    <d v="2024-05-24T00:00:00"/>
    <s v="CUST-0054"/>
    <s v="PROD-036"/>
    <x v="8"/>
    <n v="6"/>
    <n v="3250"/>
    <n v="25.8"/>
    <n v="14469"/>
    <s v="Pending"/>
    <s v="Mumbai"/>
    <x v="3"/>
    <m/>
    <s v="Corporate"/>
    <n v="62"/>
    <x v="0"/>
    <x v="0"/>
  </r>
  <r>
    <s v="ORD-01912"/>
    <d v="2024-11-14T00:00:00"/>
    <s v="CUST-0208"/>
    <s v="PROD-057"/>
    <x v="6"/>
    <n v="9"/>
    <n v="960"/>
    <n v="29"/>
    <n v="6134.4"/>
    <s v="Completed"/>
    <s v="Mumbai"/>
    <x v="1"/>
    <m/>
    <s v="Retail"/>
    <n v="49"/>
    <x v="0"/>
    <x v="0"/>
  </r>
  <r>
    <s v="ORD-01913"/>
    <d v="2024-08-31T00:00:00"/>
    <s v="CUST-0181"/>
    <s v="PROD-050"/>
    <x v="15"/>
    <n v="9"/>
    <n v="6080"/>
    <n v="21"/>
    <n v="43228.800000000003"/>
    <s v="Completed"/>
    <s v="Delhi"/>
    <x v="5"/>
    <m/>
    <s v="SMB"/>
    <n v="38"/>
    <x v="2"/>
    <x v="3"/>
  </r>
  <r>
    <s v="ORD-01914"/>
    <d v="2024-03-15T00:00:00"/>
    <s v="CUST-0259"/>
    <s v="PROD-039"/>
    <x v="16"/>
    <n v="6"/>
    <n v="4610"/>
    <n v="13.5"/>
    <n v="23925.9"/>
    <s v="Completed"/>
    <s v="Mumbai"/>
    <x v="3"/>
    <m/>
    <s v="Retail"/>
    <n v="34"/>
    <x v="4"/>
    <x v="6"/>
  </r>
  <r>
    <s v="ORD-01915"/>
    <d v="2024-06-03T00:00:00"/>
    <s v="CUST-0277"/>
    <s v="PROD-034"/>
    <x v="13"/>
    <n v="7"/>
    <n v="5080"/>
    <n v="25.4"/>
    <n v="26527.759999999998"/>
    <s v="Completed"/>
    <s v="Chennai"/>
    <x v="3"/>
    <m/>
    <s v="Corporate"/>
    <n v="34"/>
    <x v="3"/>
    <x v="10"/>
  </r>
  <r>
    <s v="ORD-01916"/>
    <d v="2024-09-15T00:00:00"/>
    <s v="CUST-0173"/>
    <s v="PROD-043"/>
    <x v="21"/>
    <n v="5"/>
    <n v="3350"/>
    <n v="2.2000000000000002"/>
    <n v="16381.5"/>
    <s v="Completed"/>
    <s v="Mumbai"/>
    <x v="5"/>
    <m/>
    <s v="Retail"/>
    <n v="65"/>
    <x v="0"/>
    <x v="0"/>
  </r>
  <r>
    <s v="ORD-01917"/>
    <d v="2024-11-04T00:00:00"/>
    <s v="CUST-0091"/>
    <s v="PROD-027"/>
    <x v="2"/>
    <n v="1"/>
    <n v="3780"/>
    <n v="13.7"/>
    <n v="3262.14"/>
    <s v="Completed"/>
    <s v="Delhi"/>
    <x v="2"/>
    <m/>
    <s v="Retail"/>
    <n v="55"/>
    <x v="0"/>
    <x v="0"/>
  </r>
  <r>
    <s v="ORD-01918"/>
    <d v="2024-03-01T00:00:00"/>
    <s v="CUST-0142"/>
    <s v="PROD-046"/>
    <x v="16"/>
    <n v="4"/>
    <n v="4880"/>
    <n v="11.6"/>
    <n v="17255.68"/>
    <s v="Completed"/>
    <s v="Chennai"/>
    <x v="5"/>
    <m/>
    <s v="Corporate"/>
    <n v="55"/>
    <x v="0"/>
    <x v="0"/>
  </r>
  <r>
    <s v="ORD-01919"/>
    <d v="2024-04-03T00:00:00"/>
    <s v="CUST-0011"/>
    <s v="PROD-048"/>
    <x v="20"/>
    <n v="3"/>
    <n v="5100"/>
    <n v="24.2"/>
    <n v="11597.4"/>
    <s v="Completed"/>
    <s v=" Chennai "/>
    <x v="5"/>
    <m/>
    <s v="Corporate"/>
    <n v="41"/>
    <x v="0"/>
    <x v="0"/>
  </r>
  <r>
    <s v="ORD-01920"/>
    <d v="2024-12-08T00:00:00"/>
    <s v="CUST-0074"/>
    <s v="PROD-008"/>
    <x v="12"/>
    <n v="5"/>
    <n v="2660"/>
    <n v="4.7"/>
    <n v="12674.9"/>
    <s v="Completed"/>
    <s v="Bengaluru"/>
    <x v="4"/>
    <m/>
    <s v="Retail"/>
    <n v="27"/>
    <x v="2"/>
    <x v="4"/>
  </r>
  <r>
    <s v="ORD-01921"/>
    <d v="2024-06-01T00:00:00"/>
    <s v="CUST-0131"/>
    <s v="PROD-023"/>
    <x v="21"/>
    <n v="10"/>
    <n v="2380"/>
    <n v="1"/>
    <n v="23562"/>
    <s v="Completed"/>
    <s v="Delhi"/>
    <x v="2"/>
    <m/>
    <s v="SMB"/>
    <n v="28"/>
    <x v="3"/>
    <x v="8"/>
  </r>
  <r>
    <s v="ORD-01922"/>
    <d v="2024-09-18T00:00:00"/>
    <s v="CUST-0093"/>
    <s v="PROD-046"/>
    <x v="25"/>
    <n v="9"/>
    <n v="4880"/>
    <n v="7.2"/>
    <n v="40757.760000000002"/>
    <s v="Completed"/>
    <s v="Pune"/>
    <x v="5"/>
    <m/>
    <s v="Retail"/>
    <n v="36"/>
    <x v="3"/>
    <x v="7"/>
  </r>
  <r>
    <s v="ORD-01923"/>
    <d v="2024-04-29T00:00:00"/>
    <s v="CUST-0229"/>
    <s v="PROD-031"/>
    <x v="2"/>
    <n v="1"/>
    <n v="3730"/>
    <n v="15.3"/>
    <n v="3159.31"/>
    <s v="Completed"/>
    <s v="Hyderabad"/>
    <x v="3"/>
    <m/>
    <s v="SMB"/>
    <n v="25"/>
    <x v="1"/>
    <x v="1"/>
  </r>
  <r>
    <s v="ORD-01924"/>
    <d v="2024-05-30T00:00:00"/>
    <s v="CUST-0293"/>
    <s v="PROD-059"/>
    <x v="11"/>
    <n v="10"/>
    <n v="3780"/>
    <n v="2.7"/>
    <n v="36779.4"/>
    <s v="Completed"/>
    <s v="Bengaluru"/>
    <x v="1"/>
    <m/>
    <s v="Retail"/>
    <n v="27"/>
    <x v="4"/>
    <x v="4"/>
  </r>
  <r>
    <s v="ORD-01925"/>
    <d v="2024-03-30T00:00:00"/>
    <s v="CUST-0105"/>
    <s v="PROD-014"/>
    <x v="12"/>
    <n v="2"/>
    <n v="3620"/>
    <n v="23"/>
    <n v="5574.8"/>
    <s v="Completed"/>
    <s v="Chennai"/>
    <x v="0"/>
    <m/>
    <s v="SMB"/>
    <n v="51"/>
    <x v="0"/>
    <x v="0"/>
  </r>
  <r>
    <s v="ORD-01926"/>
    <d v="2024-09-01T00:00:00"/>
    <s v="CUST-0003"/>
    <s v="PROD-034"/>
    <x v="13"/>
    <n v="9"/>
    <n v="5080"/>
    <n v="19.899999999999999"/>
    <n v="36621.72"/>
    <s v="Completed"/>
    <s v="Mumbai"/>
    <x v="3"/>
    <m/>
    <s v="Retail"/>
    <n v="33"/>
    <x v="3"/>
    <x v="10"/>
  </r>
  <r>
    <s v="ORD-01927"/>
    <d v="2024-09-26T00:00:00"/>
    <s v="CUST-0092"/>
    <s v="PROD-018"/>
    <x v="6"/>
    <n v="2"/>
    <n v="3560"/>
    <n v="5.5"/>
    <n v="6728.4"/>
    <s v="Completed"/>
    <s v="Bengaluru"/>
    <x v="0"/>
    <m/>
    <s v="SMB"/>
    <n v="28"/>
    <x v="3"/>
    <x v="1"/>
  </r>
  <r>
    <s v="ORD-01928"/>
    <d v="2024-02-27T00:00:00"/>
    <s v="CUST-0050"/>
    <s v="PROD-030"/>
    <x v="19"/>
    <n v="6"/>
    <n v="970"/>
    <n v="22.5"/>
    <n v="4510.5"/>
    <s v="Refunded"/>
    <s v="Mumbai"/>
    <x v="2"/>
    <m/>
    <s v="Retail"/>
    <n v="37"/>
    <x v="2"/>
    <x v="1"/>
  </r>
  <r>
    <s v="ORD-01929"/>
    <d v="2024-12-24T00:00:00"/>
    <s v="CUST-0237"/>
    <s v="PROD-043"/>
    <x v="2"/>
    <n v="9"/>
    <n v="3350"/>
    <n v="5.0999999999999996"/>
    <n v="28612.35"/>
    <s v="Completed"/>
    <s v="Mumbai"/>
    <x v="5"/>
    <m/>
    <s v="Retail"/>
    <n v="49"/>
    <x v="0"/>
    <x v="0"/>
  </r>
  <r>
    <s v="ORD-01930"/>
    <d v="2024-08-21T00:00:00"/>
    <s v="CUST-9905"/>
    <s v="PROD-032"/>
    <x v="23"/>
    <n v="6"/>
    <n v="370"/>
    <n v="17.8"/>
    <n v="1824.84"/>
    <s v="Completed"/>
    <s v="Mumbai"/>
    <x v="3"/>
    <m/>
    <e v="#N/A"/>
    <e v="#N/A"/>
    <x v="0"/>
    <x v="0"/>
  </r>
  <r>
    <s v="ORD-01931"/>
    <d v="2024-03-14T00:00:00"/>
    <s v="CUST-0175"/>
    <s v="PROD-024"/>
    <x v="23"/>
    <n v="3"/>
    <n v="2270"/>
    <n v="8.4"/>
    <n v="6237.96"/>
    <s v="Pending"/>
    <s v="Delhi"/>
    <x v="2"/>
    <m/>
    <s v="Corporate"/>
    <n v="55"/>
    <x v="0"/>
    <x v="0"/>
  </r>
  <r>
    <s v="ORD-01932"/>
    <d v="2024-06-21T00:00:00"/>
    <s v="CUST-0271"/>
    <s v="PROD-051"/>
    <x v="13"/>
    <n v="3"/>
    <n v="3450"/>
    <n v="7.2"/>
    <n v="9604.7999999999993"/>
    <s v="Completed"/>
    <s v="Bengaluru"/>
    <x v="1"/>
    <m/>
    <s v="Corporate"/>
    <n v="41"/>
    <x v="0"/>
    <x v="0"/>
  </r>
  <r>
    <s v="ORD-01933"/>
    <d v="2024-12-07T00:00:00"/>
    <s v="CUST-0129"/>
    <s v="PROD-054"/>
    <x v="4"/>
    <n v="9"/>
    <n v="1010"/>
    <n v="17.8"/>
    <n v="7471.98"/>
    <s v="Completed"/>
    <s v="Hyderabad"/>
    <x v="1"/>
    <m/>
    <s v="Retail"/>
    <n v="29"/>
    <x v="3"/>
    <x v="7"/>
  </r>
  <r>
    <s v="ORD-01934"/>
    <d v="2024-03-22T00:00:00"/>
    <s v="CUST-0156"/>
    <s v="PROD-039"/>
    <x v="11"/>
    <n v="5"/>
    <n v="4610"/>
    <n v="29.8"/>
    <n v="16181.1"/>
    <s v="Cancelled"/>
    <s v="Mumbai"/>
    <x v="3"/>
    <m/>
    <s v="Retail"/>
    <n v="33"/>
    <x v="1"/>
    <x v="8"/>
  </r>
  <r>
    <s v="ORD-01935"/>
    <d v="2024-07-24T00:00:00"/>
    <s v="CUST-0048"/>
    <s v="PROD-032"/>
    <x v="11"/>
    <n v="6"/>
    <n v="370"/>
    <n v="17.899999999999999"/>
    <n v="1822.62"/>
    <s v="Completed"/>
    <s v="Delhi"/>
    <x v="3"/>
    <m/>
    <s v="Retail"/>
    <n v="59"/>
    <x v="0"/>
    <x v="0"/>
  </r>
  <r>
    <s v="ORD-01936"/>
    <d v="2024-03-01T00:00:00"/>
    <s v="CUST-0224"/>
    <s v="PROD-023"/>
    <x v="17"/>
    <n v="6"/>
    <n v="2380"/>
    <n v="13.6"/>
    <n v="12337.92"/>
    <s v="Cancelled"/>
    <s v="Chennai"/>
    <x v="2"/>
    <m/>
    <s v="Corporate"/>
    <n v="24"/>
    <x v="1"/>
    <x v="11"/>
  </r>
  <r>
    <s v="ORD-01937"/>
    <d v="2024-03-28T00:00:00"/>
    <s v="CUST-0101"/>
    <s v="PROD-049"/>
    <x v="12"/>
    <n v="6"/>
    <n v="960"/>
    <n v="15"/>
    <n v="4896"/>
    <s v="Pending"/>
    <s v="Hyderabad"/>
    <x v="5"/>
    <m/>
    <s v="SMB"/>
    <n v="40"/>
    <x v="2"/>
    <x v="10"/>
  </r>
  <r>
    <s v="ORD-01938"/>
    <d v="2024-05-10T00:00:00"/>
    <s v="CUST-0269"/>
    <s v="PROD-057"/>
    <x v="25"/>
    <n v="3"/>
    <n v="960"/>
    <n v="12.3"/>
    <n v="2525.7600000000002"/>
    <s v="Completed"/>
    <s v="Pune"/>
    <x v="1"/>
    <m/>
    <s v="Retail"/>
    <n v="48"/>
    <x v="0"/>
    <x v="0"/>
  </r>
  <r>
    <s v="ORD-01939"/>
    <d v="2024-05-01T00:00:00"/>
    <s v="CUST-0097"/>
    <s v="PROD-016"/>
    <x v="20"/>
    <n v="7"/>
    <n v="620"/>
    <n v="5.8"/>
    <n v="4088.28"/>
    <s v="Completed"/>
    <s v="Mumbai"/>
    <x v="0"/>
    <m/>
    <s v="Retail"/>
    <n v="65"/>
    <x v="0"/>
    <x v="0"/>
  </r>
  <r>
    <s v="ORD-01940"/>
    <d v="2024-06-24T00:00:00"/>
    <s v="CUST-0062"/>
    <s v="PROD-057"/>
    <x v="16"/>
    <n v="1"/>
    <n v="960"/>
    <n v="4.5999999999999996"/>
    <n v="915.84"/>
    <s v="Completed"/>
    <s v="Pune"/>
    <x v="1"/>
    <m/>
    <s v="Retail"/>
    <n v="54"/>
    <x v="0"/>
    <x v="0"/>
  </r>
  <r>
    <s v="ORD-01941"/>
    <d v="2024-08-16T00:00:00"/>
    <s v="CUST-0124"/>
    <s v="PROD-047"/>
    <x v="8"/>
    <n v="4"/>
    <n v="3450"/>
    <n v="13.3"/>
    <n v="11964.6"/>
    <s v="Completed"/>
    <s v="Pune"/>
    <x v="5"/>
    <m/>
    <s v="Retail"/>
    <n v="57"/>
    <x v="0"/>
    <x v="0"/>
  </r>
  <r>
    <s v="ORD-01942"/>
    <d v="2024-11-30T00:00:00"/>
    <s v="CUST-0185"/>
    <s v="PROD-015"/>
    <x v="7"/>
    <n v="10"/>
    <n v="2720"/>
    <n v="3.4"/>
    <n v="26275.200000000001"/>
    <s v="Completed"/>
    <s v="Hyderabad"/>
    <x v="0"/>
    <m/>
    <s v="SMB"/>
    <n v="43"/>
    <x v="0"/>
    <x v="0"/>
  </r>
  <r>
    <s v="ORD-01943"/>
    <d v="2024-06-09T00:00:00"/>
    <s v="CUST-0115"/>
    <s v="PROD-047"/>
    <x v="7"/>
    <n v="1"/>
    <n v="3450"/>
    <n v="29.4"/>
    <n v="2435.6999999999998"/>
    <s v="Completed"/>
    <s v="Mumbai"/>
    <x v="5"/>
    <m/>
    <s v="SMB"/>
    <n v="65"/>
    <x v="0"/>
    <x v="0"/>
  </r>
  <r>
    <s v="ORD-01944"/>
    <d v="2024-08-25T00:00:00"/>
    <s v="CUST-0097"/>
    <s v="PROD-044"/>
    <x v="6"/>
    <n v="5"/>
    <n v="1650"/>
    <n v="29.4"/>
    <n v="5824.5"/>
    <s v="Completed"/>
    <s v="Mumbai"/>
    <x v="5"/>
    <m/>
    <s v="Retail"/>
    <n v="65"/>
    <x v="0"/>
    <x v="0"/>
  </r>
  <r>
    <s v="ORD-01945"/>
    <d v="2024-12-13T00:00:00"/>
    <s v="CUST-0221"/>
    <s v="PROD-014"/>
    <x v="18"/>
    <n v="2"/>
    <n v="3620"/>
    <n v="15.6"/>
    <n v="6110.56"/>
    <s v="Completed"/>
    <s v="Delhi"/>
    <x v="0"/>
    <m/>
    <s v="SMB"/>
    <n v="29"/>
    <x v="2"/>
    <x v="6"/>
  </r>
  <r>
    <s v="ORD-01946"/>
    <d v="2024-10-27T00:00:00"/>
    <s v="CUST-0098"/>
    <s v="PROD-005"/>
    <x v="27"/>
    <n v="3"/>
    <n v="300"/>
    <n v="24.8"/>
    <n v="676.8"/>
    <s v="Completed"/>
    <s v="Delhi"/>
    <x v="4"/>
    <m/>
    <s v="Retail"/>
    <n v="52"/>
    <x v="0"/>
    <x v="0"/>
  </r>
  <r>
    <s v="ORD-01947"/>
    <d v="2024-02-16T00:00:00"/>
    <s v="CUST-0203"/>
    <s v="PROD-041"/>
    <x v="19"/>
    <n v="3"/>
    <n v="1540"/>
    <n v="29.5"/>
    <n v="3257.1"/>
    <s v="Completed"/>
    <s v="Chennai"/>
    <x v="5"/>
    <m/>
    <s v="SMB"/>
    <n v="55"/>
    <x v="0"/>
    <x v="0"/>
  </r>
  <r>
    <s v="ORD-01948"/>
    <d v="2024-09-16T00:00:00"/>
    <s v="CUST-0074"/>
    <s v="PROD-024"/>
    <x v="7"/>
    <n v="10"/>
    <n v="2270"/>
    <n v="5.5"/>
    <n v="21451.5"/>
    <s v="Cancelled"/>
    <s v="Bengaluru"/>
    <x v="2"/>
    <m/>
    <s v="Retail"/>
    <n v="27"/>
    <x v="1"/>
    <x v="5"/>
  </r>
  <r>
    <s v="ORD-01949"/>
    <d v="2024-02-28T00:00:00"/>
    <s v="CUST-0217"/>
    <s v="PROD-010"/>
    <x v="4"/>
    <n v="3"/>
    <n v="2640"/>
    <n v="28.2"/>
    <n v="5686.56"/>
    <s v="Refunded"/>
    <s v="Pune"/>
    <x v="4"/>
    <m/>
    <s v="SMB"/>
    <n v="59"/>
    <x v="0"/>
    <x v="0"/>
  </r>
  <r>
    <s v="ORD-01950"/>
    <d v="2024-08-03T00:00:00"/>
    <s v="CUST-0021"/>
    <s v="PROD-010"/>
    <x v="15"/>
    <n v="10"/>
    <n v="2640"/>
    <n v="25.9"/>
    <n v="19562.400000000001"/>
    <s v="Completed"/>
    <s v="Pune"/>
    <x v="4"/>
    <m/>
    <s v="Retail"/>
    <n v="44"/>
    <x v="0"/>
    <x v="0"/>
  </r>
  <r>
    <s v="ORD-01951"/>
    <d v="2024-09-03T00:00:00"/>
    <s v="CUST-0004"/>
    <s v="PROD-007"/>
    <x v="14"/>
    <n v="2"/>
    <n v="1430"/>
    <n v="5"/>
    <n v="2717"/>
    <s v="Cancelled"/>
    <s v="Delhi"/>
    <x v="4"/>
    <m/>
    <s v="Retail"/>
    <n v="30"/>
    <x v="4"/>
    <x v="6"/>
  </r>
  <r>
    <s v="ORD-01952"/>
    <d v="2024-11-22T00:00:00"/>
    <s v="CUST-0080"/>
    <s v="PROD-003"/>
    <x v="16"/>
    <n v="6"/>
    <n v="3570"/>
    <n v="28.5"/>
    <n v="15315.3"/>
    <s v="Cancelled"/>
    <s v="Pune"/>
    <x v="4"/>
    <m/>
    <s v="SMB"/>
    <n v="30"/>
    <x v="2"/>
    <x v="1"/>
  </r>
  <r>
    <s v="ORD-01953"/>
    <d v="2024-06-01T00:00:00"/>
    <s v="CUST-0113"/>
    <s v="PROD-003"/>
    <x v="6"/>
    <n v="1"/>
    <n v="3570"/>
    <n v="7.7"/>
    <n v="3295.11"/>
    <s v="Completed"/>
    <s v="Delhi"/>
    <x v="4"/>
    <m/>
    <s v="Retail"/>
    <n v="30"/>
    <x v="3"/>
    <x v="3"/>
  </r>
  <r>
    <s v="ORD-01954"/>
    <d v="2024-03-26T00:00:00"/>
    <s v="CUST-0023"/>
    <s v="PROD-004"/>
    <x v="14"/>
    <n v="9"/>
    <n v="3870"/>
    <n v="11.9"/>
    <n v="30685.23"/>
    <s v="Cancelled"/>
    <s v="Chennai"/>
    <x v="4"/>
    <m/>
    <s v="SMB"/>
    <n v="43"/>
    <x v="0"/>
    <x v="0"/>
  </r>
  <r>
    <s v="ORD-01955"/>
    <d v="2024-08-11T00:00:00"/>
    <s v="CUST-0136"/>
    <s v="PROD-056"/>
    <x v="2"/>
    <n v="5"/>
    <n v="6940"/>
    <n v="17.399999999999999"/>
    <n v="28662.2"/>
    <s v="Completed"/>
    <s v="Chennai"/>
    <x v="1"/>
    <m/>
    <s v="SMB"/>
    <n v="26"/>
    <x v="2"/>
    <x v="10"/>
  </r>
  <r>
    <s v="ORD-01956"/>
    <d v="2024-01-21T00:00:00"/>
    <s v="CUST-0031"/>
    <s v="PROD-032"/>
    <x v="17"/>
    <n v="6"/>
    <n v="370"/>
    <n v="8.1"/>
    <n v="2040.18"/>
    <s v="Cancelled"/>
    <s v="Hyderabad"/>
    <x v="3"/>
    <m/>
    <s v="Retail"/>
    <n v="53"/>
    <x v="0"/>
    <x v="0"/>
  </r>
  <r>
    <s v="ORD-01957"/>
    <d v="2024-09-14T00:00:00"/>
    <s v="CUST-0175"/>
    <s v="PROD-018"/>
    <x v="28"/>
    <n v="8"/>
    <n v="3560"/>
    <n v="23.3"/>
    <n v="21844.16"/>
    <s v="Completed"/>
    <s v="Delhi"/>
    <x v="0"/>
    <m/>
    <s v="Corporate"/>
    <n v="55"/>
    <x v="0"/>
    <x v="0"/>
  </r>
  <r>
    <s v="ORD-01958"/>
    <d v="2024-12-07T00:00:00"/>
    <s v="CUST-0249"/>
    <s v="PROD-009"/>
    <x v="8"/>
    <n v="4"/>
    <n v="1220"/>
    <n v="2.7"/>
    <n v="4748.24"/>
    <s v="Completed"/>
    <s v="Mumbai"/>
    <x v="4"/>
    <m/>
    <s v="Retail"/>
    <n v="44"/>
    <x v="0"/>
    <x v="0"/>
  </r>
  <r>
    <s v="ORD-01959"/>
    <d v="2024-11-02T00:00:00"/>
    <s v="CUST-0138"/>
    <s v="PROD-026"/>
    <x v="16"/>
    <n v="10"/>
    <n v="4070"/>
    <n v="11.6"/>
    <n v="35978.800000000003"/>
    <s v="Completed"/>
    <s v="Chennai"/>
    <x v="2"/>
    <m/>
    <s v="Retail"/>
    <n v="24"/>
    <x v="2"/>
    <x v="8"/>
  </r>
  <r>
    <s v="ORD-01960"/>
    <d v="2024-02-14T00:00:00"/>
    <s v="CUST-0290"/>
    <s v="PROD-028"/>
    <x v="7"/>
    <n v="10"/>
    <n v="3660"/>
    <n v="28.8"/>
    <n v="26059.200000000001"/>
    <s v="Completed"/>
    <s v="Delhi"/>
    <x v="2"/>
    <m/>
    <s v="Retail"/>
    <n v="63"/>
    <x v="0"/>
    <x v="0"/>
  </r>
  <r>
    <s v="ORD-01961"/>
    <d v="2024-06-06T00:00:00"/>
    <s v="CUST-0151"/>
    <s v="PROD-034"/>
    <x v="26"/>
    <n v="5"/>
    <n v="5080"/>
    <n v="12.1"/>
    <n v="22326.6"/>
    <s v="Completed"/>
    <s v="Mumbai"/>
    <x v="3"/>
    <m/>
    <s v="Retail"/>
    <n v="53"/>
    <x v="0"/>
    <x v="0"/>
  </r>
  <r>
    <s v="ORD-01962"/>
    <d v="2024-02-16T00:00:00"/>
    <s v="CUST-0290"/>
    <s v="PROD-039"/>
    <x v="22"/>
    <n v="10"/>
    <n v="4610"/>
    <n v="22.5"/>
    <n v="35727.5"/>
    <s v="Completed"/>
    <s v="Delhi"/>
    <x v="3"/>
    <m/>
    <s v="Retail"/>
    <n v="63"/>
    <x v="0"/>
    <x v="0"/>
  </r>
  <r>
    <s v="ORD-01963"/>
    <d v="2024-01-26T00:00:00"/>
    <s v="CUST-0074"/>
    <s v="PROD-008"/>
    <x v="0"/>
    <n v="3"/>
    <n v="2660"/>
    <n v="15"/>
    <n v="6783"/>
    <s v="Completed"/>
    <s v="Bengaluru"/>
    <x v="4"/>
    <m/>
    <s v="Retail"/>
    <n v="27"/>
    <x v="4"/>
    <x v="5"/>
  </r>
  <r>
    <s v="ORD-01964"/>
    <d v="2024-04-02T00:00:00"/>
    <s v="CUST-0295"/>
    <s v="PROD-012"/>
    <x v="3"/>
    <n v="5"/>
    <n v="3160"/>
    <n v="1.3"/>
    <n v="15594.6"/>
    <s v="Completed"/>
    <s v="Delhi"/>
    <x v="0"/>
    <m/>
    <s v="SMB"/>
    <n v="48"/>
    <x v="0"/>
    <x v="0"/>
  </r>
  <r>
    <s v="ORD-01965"/>
    <d v="2024-02-03T00:00:00"/>
    <s v="CUST-0132"/>
    <s v="PROD-032"/>
    <x v="10"/>
    <n v="10"/>
    <n v="370"/>
    <n v="29"/>
    <n v="2627"/>
    <s v="Completed"/>
    <s v="Delhi"/>
    <x v="3"/>
    <m/>
    <s v="Retail"/>
    <n v="41"/>
    <x v="0"/>
    <x v="0"/>
  </r>
  <r>
    <s v="ORD-01966"/>
    <d v="2024-03-07T00:00:00"/>
    <s v="CUST-0289"/>
    <s v="PROD-054"/>
    <x v="4"/>
    <n v="10"/>
    <n v="1010"/>
    <n v="14.1"/>
    <n v="8675.9"/>
    <s v="Refunded"/>
    <s v="Mumbai"/>
    <x v="1"/>
    <m/>
    <s v="Retail"/>
    <n v="54"/>
    <x v="0"/>
    <x v="0"/>
  </r>
  <r>
    <s v="ORD-01967"/>
    <d v="2024-10-21T00:00:00"/>
    <s v="CUST-0139"/>
    <s v="PROD-018"/>
    <x v="14"/>
    <n v="3"/>
    <n v="3560"/>
    <n v="23.6"/>
    <n v="8159.52"/>
    <s v="Completed"/>
    <s v="Hyderabad"/>
    <x v="0"/>
    <m/>
    <s v="SMB"/>
    <n v="65"/>
    <x v="0"/>
    <x v="0"/>
  </r>
  <r>
    <s v="ORD-01968"/>
    <d v="2024-02-18T00:00:00"/>
    <s v="CUST-0032"/>
    <s v="PROD-009"/>
    <x v="8"/>
    <n v="9"/>
    <n v="1220"/>
    <n v="16.600000000000001"/>
    <n v="9157.32"/>
    <s v="Completed"/>
    <s v="Hyderabad"/>
    <x v="4"/>
    <m/>
    <s v="Retail"/>
    <n v="28"/>
    <x v="2"/>
    <x v="9"/>
  </r>
  <r>
    <s v="ORD-01969"/>
    <d v="2024-02-21T00:00:00"/>
    <s v="CUST-0109"/>
    <s v="PROD-060"/>
    <x v="4"/>
    <n v="8"/>
    <n v="190"/>
    <n v="22.3"/>
    <n v="1181.04"/>
    <s v="Completed"/>
    <s v="Pune"/>
    <x v="1"/>
    <m/>
    <s v="Retail"/>
    <n v="42"/>
    <x v="0"/>
    <x v="0"/>
  </r>
  <r>
    <s v="ORD-01970"/>
    <d v="2024-06-25T00:00:00"/>
    <s v="CUST-0224"/>
    <s v="PROD-054"/>
    <x v="25"/>
    <n v="2"/>
    <n v="1010"/>
    <n v="3.8"/>
    <n v="1943.24"/>
    <s v="Completed"/>
    <s v="Chennai"/>
    <x v="1"/>
    <m/>
    <s v="Corporate"/>
    <n v="24"/>
    <x v="1"/>
    <x v="5"/>
  </r>
  <r>
    <s v="ORD-01971"/>
    <d v="2024-05-27T00:00:00"/>
    <s v="CUST-0038"/>
    <s v="PROD-002"/>
    <x v="18"/>
    <n v="4"/>
    <n v="2600"/>
    <n v="29.1"/>
    <n v="7373.6"/>
    <s v="Completed"/>
    <s v="Mumbai"/>
    <x v="4"/>
    <m/>
    <s v="Retail"/>
    <n v="57"/>
    <x v="0"/>
    <x v="0"/>
  </r>
  <r>
    <s v="ORD-01972"/>
    <d v="2024-08-13T00:00:00"/>
    <s v="CUST-0132"/>
    <s v="PROD-011"/>
    <x v="20"/>
    <n v="7"/>
    <n v="3450"/>
    <n v="4"/>
    <n v="23184"/>
    <s v="Completed"/>
    <s v="Delhi"/>
    <x v="0"/>
    <m/>
    <s v="Retail"/>
    <n v="41"/>
    <x v="0"/>
    <x v="0"/>
  </r>
  <r>
    <s v="ORD-01973"/>
    <d v="2024-01-20T00:00:00"/>
    <s v="CUST-0226"/>
    <s v="PROD-017"/>
    <x v="7"/>
    <n v="6"/>
    <n v="2510"/>
    <n v="12.7"/>
    <n v="13147.38"/>
    <s v="Completed"/>
    <s v="Chennai"/>
    <x v="0"/>
    <m/>
    <s v="Corporate"/>
    <n v="52"/>
    <x v="0"/>
    <x v="0"/>
  </r>
  <r>
    <s v="ORD-01974"/>
    <d v="2024-09-25T00:00:00"/>
    <s v="CUST-0275"/>
    <s v="PROD-060"/>
    <x v="28"/>
    <n v="6"/>
    <n v="190"/>
    <n v="20"/>
    <n v="912"/>
    <s v="Cancelled"/>
    <s v="Mumbai"/>
    <x v="1"/>
    <m/>
    <s v="Retail"/>
    <n v="36"/>
    <x v="3"/>
    <x v="12"/>
  </r>
  <r>
    <s v="ORD-01975"/>
    <d v="2024-08-25T00:00:00"/>
    <s v="CUST-0109"/>
    <s v="PROD-044"/>
    <x v="20"/>
    <n v="10"/>
    <n v="1650"/>
    <n v="21.5"/>
    <n v="12952.5"/>
    <s v="Completed"/>
    <s v="Pune"/>
    <x v="5"/>
    <m/>
    <s v="Retail"/>
    <n v="42"/>
    <x v="0"/>
    <x v="0"/>
  </r>
  <r>
    <s v="ORD-01976"/>
    <d v="2024-02-22T00:00:00"/>
    <s v="CUST-0281"/>
    <s v="PROD-055"/>
    <x v="18"/>
    <n v="4"/>
    <n v="2860"/>
    <n v="15.2"/>
    <n v="9701.1200000000008"/>
    <s v="Completed"/>
    <s v="Bengaluru"/>
    <x v="1"/>
    <m/>
    <s v="Corporate"/>
    <n v="57"/>
    <x v="0"/>
    <x v="0"/>
  </r>
  <r>
    <s v="ORD-01977"/>
    <d v="2024-10-24T00:00:00"/>
    <s v="CUST-0174"/>
    <s v="PROD-053"/>
    <x v="8"/>
    <n v="3"/>
    <n v="470"/>
    <n v="14.2"/>
    <n v="1209.78"/>
    <s v="Completed"/>
    <s v="Pune"/>
    <x v="1"/>
    <m/>
    <s v="Retail"/>
    <n v="54"/>
    <x v="0"/>
    <x v="0"/>
  </r>
  <r>
    <s v="ORD-01978"/>
    <d v="2024-06-26T00:00:00"/>
    <s v="CUST-0103"/>
    <s v="PROD-055"/>
    <x v="14"/>
    <n v="2"/>
    <n v="2860"/>
    <n v="17.899999999999999"/>
    <n v="4696.12"/>
    <s v="Completed"/>
    <s v="Hyderabad"/>
    <x v="1"/>
    <m/>
    <s v="Corporate"/>
    <n v="54"/>
    <x v="0"/>
    <x v="0"/>
  </r>
  <r>
    <s v="ORD-01979"/>
    <d v="2024-04-25T00:00:00"/>
    <s v="CUST-0076"/>
    <s v="PROD-019"/>
    <x v="26"/>
    <n v="2"/>
    <n v="2480"/>
    <n v="11.5"/>
    <n v="4389.6000000000004"/>
    <s v="Cancelled"/>
    <s v="Mumbai"/>
    <x v="0"/>
    <m/>
    <s v="Retail"/>
    <n v="38"/>
    <x v="2"/>
    <x v="7"/>
  </r>
  <r>
    <s v="ORD-01980"/>
    <d v="2024-12-09T00:00:00"/>
    <s v="CUST-0227"/>
    <s v="PROD-033"/>
    <x v="3"/>
    <n v="10"/>
    <n v="2030"/>
    <n v="29.2"/>
    <n v="14372.4"/>
    <s v="Completed"/>
    <s v="Bengaluru"/>
    <x v="3"/>
    <m/>
    <s v="SMB"/>
    <n v="44"/>
    <x v="0"/>
    <x v="0"/>
  </r>
  <r>
    <s v="ORD-01981"/>
    <d v="2024-07-16T00:00:00"/>
    <s v="CUST-0006"/>
    <s v="PROD-047"/>
    <x v="27"/>
    <n v="6"/>
    <n v="3450"/>
    <n v="3.5"/>
    <n v="19975.5"/>
    <s v="Refunded"/>
    <s v="Pune"/>
    <x v="5"/>
    <m/>
    <s v="SMB"/>
    <n v="44"/>
    <x v="0"/>
    <x v="0"/>
  </r>
  <r>
    <s v="ORD-01982"/>
    <d v="2024-03-05T00:00:00"/>
    <s v="CUST-0231"/>
    <s v="PROD-007"/>
    <x v="23"/>
    <n v="10"/>
    <n v="1430"/>
    <n v="3.5"/>
    <n v="13799.5"/>
    <s v="Completed"/>
    <s v="Chennai"/>
    <x v="4"/>
    <m/>
    <s v="Retail"/>
    <n v="61"/>
    <x v="0"/>
    <x v="0"/>
  </r>
  <r>
    <s v="ORD-01983"/>
    <d v="2024-05-10T00:00:00"/>
    <s v="CUST-0085"/>
    <s v="PROD-020"/>
    <x v="21"/>
    <n v="1"/>
    <n v="820"/>
    <n v="14.5"/>
    <n v="701.1"/>
    <s v="Cancelled"/>
    <s v="Chennai"/>
    <x v="0"/>
    <m/>
    <s v="Retail"/>
    <n v="26"/>
    <x v="4"/>
    <x v="10"/>
  </r>
  <r>
    <s v="ORD-01984"/>
    <d v="2024-02-11T00:00:00"/>
    <s v="CUST-0022"/>
    <s v="PROD-046"/>
    <x v="12"/>
    <n v="5"/>
    <n v="4880"/>
    <n v="1.8"/>
    <n v="23960.799999999999"/>
    <s v="Completed"/>
    <s v="Bengaluru"/>
    <x v="5"/>
    <m/>
    <s v="Corporate"/>
    <n v="55"/>
    <x v="0"/>
    <x v="0"/>
  </r>
  <r>
    <s v="ORD-01985"/>
    <d v="2024-04-03T00:00:00"/>
    <s v="CUST-0275"/>
    <s v="PROD-043"/>
    <x v="29"/>
    <n v="8"/>
    <n v="3350"/>
    <n v="26.3"/>
    <n v="19751.599999999999"/>
    <s v="Cancelled"/>
    <s v="Mumbai"/>
    <x v="5"/>
    <m/>
    <s v="Retail"/>
    <n v="36"/>
    <x v="3"/>
    <x v="5"/>
  </r>
  <r>
    <s v="ORD-01986"/>
    <d v="2024-01-07T00:00:00"/>
    <s v="CUST-0159"/>
    <s v="PROD-019"/>
    <x v="24"/>
    <n v="9"/>
    <n v="2480"/>
    <n v="24.3"/>
    <n v="16896.240000000002"/>
    <s v="Completed"/>
    <s v="Hyderabad"/>
    <x v="0"/>
    <m/>
    <s v="Retail"/>
    <n v="32"/>
    <x v="4"/>
    <x v="4"/>
  </r>
  <r>
    <s v="ORD-01987"/>
    <d v="2024-07-27T00:00:00"/>
    <s v="CUST-0152"/>
    <s v="PROD-039"/>
    <x v="6"/>
    <n v="9"/>
    <n v="4610"/>
    <n v="10"/>
    <n v="37341"/>
    <s v="Completed"/>
    <s v="Bengaluru"/>
    <x v="3"/>
    <m/>
    <s v="SMB"/>
    <n v="64"/>
    <x v="0"/>
    <x v="0"/>
  </r>
  <r>
    <s v="ORD-01988"/>
    <d v="2024-04-27T00:00:00"/>
    <s v="CUST-0289"/>
    <s v="PROD-027"/>
    <x v="10"/>
    <n v="1"/>
    <n v="3780"/>
    <n v="2.2000000000000002"/>
    <n v="3696.84"/>
    <s v="Completed"/>
    <s v="Mumbai"/>
    <x v="2"/>
    <m/>
    <s v="Retail"/>
    <n v="54"/>
    <x v="0"/>
    <x v="0"/>
  </r>
  <r>
    <s v="ORD-01989"/>
    <d v="2024-04-19T00:00:00"/>
    <s v="CUST-0004"/>
    <s v="PROD-045"/>
    <x v="17"/>
    <n v="3"/>
    <n v="3020"/>
    <n v="21.4"/>
    <n v="7121.16"/>
    <s v="Cancelled"/>
    <s v="Delhi"/>
    <x v="5"/>
    <m/>
    <s v="Retail"/>
    <n v="53"/>
    <x v="0"/>
    <x v="0"/>
  </r>
  <r>
    <s v="ORD-01990"/>
    <d v="2024-12-19T00:00:00"/>
    <s v="CUST-0159"/>
    <s v="PROD-035"/>
    <x v="3"/>
    <n v="10"/>
    <n v="1090"/>
    <n v="29.2"/>
    <n v="7717.2"/>
    <s v="Cancelled"/>
    <s v="Hyderabad"/>
    <x v="3"/>
    <m/>
    <s v="Retail"/>
    <n v="32"/>
    <x v="2"/>
    <x v="4"/>
  </r>
  <r>
    <s v="ORD-01991"/>
    <d v="2024-11-20T00:00:00"/>
    <s v="CUST-0083"/>
    <s v="PROD-048"/>
    <x v="22"/>
    <n v="5"/>
    <n v="5100"/>
    <n v="28.4"/>
    <n v="18258"/>
    <s v="Completed"/>
    <s v="Bengaluru"/>
    <x v="5"/>
    <m/>
    <s v="Corporate"/>
    <n v="31"/>
    <x v="1"/>
    <x v="8"/>
  </r>
  <r>
    <s v="ORD-01992"/>
    <d v="2024-03-01T00:00:00"/>
    <s v="CUST-0242"/>
    <s v="PROD-046"/>
    <x v="4"/>
    <n v="6"/>
    <n v="4880"/>
    <n v="16.8"/>
    <n v="24360.959999999999"/>
    <s v="Completed"/>
    <s v="Chennai"/>
    <x v="5"/>
    <m/>
    <s v="SMB"/>
    <n v="59"/>
    <x v="0"/>
    <x v="0"/>
  </r>
  <r>
    <s v="ORD-01993"/>
    <d v="2024-06-08T00:00:00"/>
    <s v="CUST-0245"/>
    <s v="PROD-001"/>
    <x v="28"/>
    <n v="1"/>
    <n v="5330"/>
    <n v="27.5"/>
    <n v="3864.25"/>
    <s v="Completed"/>
    <s v="Hyderabad"/>
    <x v="4"/>
    <m/>
    <s v="Retail"/>
    <n v="65"/>
    <x v="0"/>
    <x v="0"/>
  </r>
  <r>
    <s v="ORD-01994"/>
    <d v="2024-07-04T00:00:00"/>
    <s v="CUST-0008"/>
    <s v="PROD-033"/>
    <x v="20"/>
    <n v="7"/>
    <n v="2030"/>
    <n v="5.3"/>
    <n v="13456.87"/>
    <s v="Cancelled"/>
    <s v="Pune"/>
    <x v="3"/>
    <m/>
    <s v="SMB"/>
    <n v="39"/>
    <x v="2"/>
    <x v="7"/>
  </r>
  <r>
    <s v="ORD-01995"/>
    <d v="2024-03-09T00:00:00"/>
    <s v="CUST-0260"/>
    <s v="PROD-043"/>
    <x v="6"/>
    <n v="7"/>
    <n v="3350"/>
    <n v="0.4"/>
    <n v="23356.2"/>
    <s v="Completed"/>
    <s v="Bengaluru"/>
    <x v="5"/>
    <m/>
    <s v="Retail"/>
    <n v="42"/>
    <x v="0"/>
    <x v="0"/>
  </r>
  <r>
    <s v="ORD-01996"/>
    <d v="2024-01-01T00:00:00"/>
    <s v="CUST-0265"/>
    <s v="PROD-031"/>
    <x v="15"/>
    <n v="6"/>
    <n v="3730"/>
    <n v="13.8"/>
    <n v="19291.560000000001"/>
    <s v="Completed"/>
    <s v="Chennai"/>
    <x v="3"/>
    <m/>
    <s v="Retail"/>
    <n v="49"/>
    <x v="0"/>
    <x v="0"/>
  </r>
  <r>
    <s v="ORD-01997"/>
    <d v="2024-10-20T00:00:00"/>
    <s v="CUST-0135"/>
    <s v="PROD-006"/>
    <x v="21"/>
    <n v="6"/>
    <n v="3970"/>
    <n v="5.8"/>
    <n v="22438.44"/>
    <s v="Pending"/>
    <s v="Pune"/>
    <x v="4"/>
    <m/>
    <s v="SMB"/>
    <n v="24"/>
    <x v="4"/>
    <x v="12"/>
  </r>
  <r>
    <s v="ORD-01998"/>
    <d v="2024-10-27T00:00:00"/>
    <s v="CUST-0030"/>
    <s v="PROD-029"/>
    <x v="23"/>
    <n v="4"/>
    <n v="2210"/>
    <n v="18.2"/>
    <n v="7231.12"/>
    <s v="Pending"/>
    <s v="Bengaluru"/>
    <x v="2"/>
    <m/>
    <s v="Corporate"/>
    <n v="43"/>
    <x v="0"/>
    <x v="0"/>
  </r>
  <r>
    <s v="ORD-01999"/>
    <d v="2024-03-19T00:00:00"/>
    <s v="CUST-0167"/>
    <s v="PROD-052"/>
    <x v="4"/>
    <n v="6"/>
    <n v="5410"/>
    <n v="15.5"/>
    <n v="27428.7"/>
    <s v="Completed"/>
    <s v="Delhi"/>
    <x v="1"/>
    <m/>
    <s v="Retail"/>
    <n v="43"/>
    <x v="0"/>
    <x v="0"/>
  </r>
  <r>
    <s v="ORD-02000"/>
    <d v="2024-02-03T00:00:00"/>
    <s v="CUST-0238"/>
    <s v="PROD-034"/>
    <x v="12"/>
    <n v="6"/>
    <n v="5080"/>
    <n v="28.1"/>
    <n v="21915.119999999999"/>
    <s v="Completed"/>
    <s v="Delhi"/>
    <x v="3"/>
    <m/>
    <s v="Retail"/>
    <n v="49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d v="2024-09-14T00:00:00"/>
    <s v="CUST-0243"/>
    <s v="PROD-014"/>
    <s v="R007"/>
    <n v="8"/>
    <n v="3620"/>
    <n v="15.4"/>
    <n v="24500.16"/>
    <s v="Completed"/>
    <s v="Pune"/>
    <x v="0"/>
    <m/>
    <s v="SMB"/>
    <n v="44"/>
    <x v="0"/>
  </r>
  <r>
    <s v="ORD-00002"/>
    <d v="2024-02-18T00:00:00"/>
    <s v="CUST-0202"/>
    <s v="PROD-020"/>
    <s v="R005"/>
    <n v="2"/>
    <n v="820"/>
    <n v="10.8"/>
    <n v="1462.88"/>
    <s v="Pending"/>
    <s v="Chennai"/>
    <x v="0"/>
    <m/>
    <s v="Retail"/>
    <n v="39"/>
    <x v="1"/>
  </r>
  <r>
    <s v="ORD-00003"/>
    <d v="2024-03-20T00:00:00"/>
    <s v="CUST-0098"/>
    <s v="PROD-053"/>
    <s v="R014"/>
    <n v="8"/>
    <n v="470"/>
    <n v="3.3"/>
    <n v="3635.92"/>
    <s v="Pending"/>
    <s v="Delhi"/>
    <x v="1"/>
    <m/>
    <s v="Retail"/>
    <n v="52"/>
    <x v="0"/>
  </r>
  <r>
    <s v="ORD-00004"/>
    <d v="2024-05-01T00:00:00"/>
    <s v="CUST-0071"/>
    <s v="PROD-028"/>
    <s v="R006"/>
    <n v="1"/>
    <n v="3660"/>
    <n v="15.7"/>
    <n v="3085.38"/>
    <s v="Completed"/>
    <s v="Delhi"/>
    <x v="2"/>
    <m/>
    <s v="Corporate"/>
    <n v="46"/>
    <x v="0"/>
  </r>
  <r>
    <s v="ORD-00005"/>
    <d v="2024-11-15T00:00:00"/>
    <s v="CUST-0180"/>
    <s v="PROD-012"/>
    <s v="R008"/>
    <n v="1"/>
    <n v="3160"/>
    <n v="26"/>
    <n v="2338.4"/>
    <s v="Completed"/>
    <s v="Chennai"/>
    <x v="0"/>
    <m/>
    <s v="Retail"/>
    <n v="36"/>
    <x v="1"/>
  </r>
  <r>
    <s v="ORD-00006"/>
    <d v="2024-04-24T00:00:00"/>
    <s v="CUST-0275"/>
    <s v="PROD-032"/>
    <s v="R025"/>
    <n v="4"/>
    <n v="370"/>
    <n v="29"/>
    <n v="1050.8"/>
    <s v="Completed"/>
    <s v="Mumbai"/>
    <x v="3"/>
    <m/>
    <s v="Retail"/>
    <n v="36"/>
    <x v="1"/>
  </r>
  <r>
    <s v="ORD-00007"/>
    <d v="2024-06-12T00:00:00"/>
    <s v="CUST-0293"/>
    <s v="PROD-057"/>
    <s v="R024"/>
    <n v="3"/>
    <n v="960"/>
    <n v="5.8"/>
    <n v="2712.96"/>
    <s v="Completed"/>
    <s v="Bengaluru"/>
    <x v="1"/>
    <m/>
    <s v="Retail"/>
    <n v="27"/>
    <x v="2"/>
  </r>
  <r>
    <s v="ORD-00008"/>
    <d v="2024-11-21T00:00:00"/>
    <s v="CUST-0281"/>
    <s v="PROD-007"/>
    <s v="R019"/>
    <n v="8"/>
    <n v="1430"/>
    <n v="2.4"/>
    <n v="11165.44"/>
    <s v="Completed"/>
    <s v="Bengaluru"/>
    <x v="4"/>
    <m/>
    <s v="Corporate"/>
    <n v="57"/>
    <x v="0"/>
  </r>
  <r>
    <s v="ORD-00009"/>
    <d v="2024-09-14T00:00:00"/>
    <s v="CUST-0260"/>
    <s v="PROD-038"/>
    <s v="R008"/>
    <n v="3"/>
    <n v="5490"/>
    <n v="14.2"/>
    <n v="14131.26"/>
    <s v="Completed"/>
    <s v="Bengaluru"/>
    <x v="3"/>
    <m/>
    <s v="Retail"/>
    <n v="42"/>
    <x v="0"/>
  </r>
  <r>
    <s v="ORD-00010"/>
    <d v="2024-04-14T00:00:00"/>
    <s v="CUST-0147"/>
    <s v="PROD-030"/>
    <s v="R028"/>
    <n v="3"/>
    <n v="970"/>
    <n v="1.2"/>
    <n v="2875.08"/>
    <s v="Completed"/>
    <s v="Pune"/>
    <x v="2"/>
    <m/>
    <s v="Retail"/>
    <n v="56"/>
    <x v="0"/>
  </r>
  <r>
    <s v="ORD-00011"/>
    <d v="2024-09-25T00:00:00"/>
    <s v="CUST-0204"/>
    <s v="PROD-024"/>
    <s v="R010"/>
    <n v="7"/>
    <n v="2270"/>
    <n v="7.1"/>
    <n v="14761.81"/>
    <s v="Pending"/>
    <s v="Hyderabad"/>
    <x v="2"/>
    <m/>
    <s v="Retail"/>
    <n v="60"/>
    <x v="0"/>
  </r>
  <r>
    <s v="ORD-00012"/>
    <d v="2024-02-10T00:00:00"/>
    <s v="CUST-0147"/>
    <s v="PROD-010"/>
    <s v="R024"/>
    <n v="9"/>
    <n v="2640"/>
    <n v="21.7"/>
    <n v="18604.080000000002"/>
    <s v="Completed"/>
    <s v="Pune"/>
    <x v="4"/>
    <m/>
    <s v="Retail"/>
    <n v="56"/>
    <x v="0"/>
  </r>
  <r>
    <s v="ORD-00013"/>
    <d v="2024-08-03T00:00:00"/>
    <s v="CUST-0280"/>
    <s v="PROD-002"/>
    <s v="R004"/>
    <n v="3"/>
    <n v="2600"/>
    <n v="4.3"/>
    <n v="7464.6"/>
    <s v="Cancelled"/>
    <s v="Delhi"/>
    <x v="4"/>
    <m/>
    <s v="SMB"/>
    <n v="27"/>
    <x v="2"/>
  </r>
  <r>
    <s v="ORD-00014"/>
    <d v="2024-06-23T00:00:00"/>
    <s v="CUST-0008"/>
    <s v="PROD-036"/>
    <s v="R025"/>
    <n v="3"/>
    <n v="3250"/>
    <n v="14.1"/>
    <n v="8375.25"/>
    <s v="Refunded"/>
    <s v="Pune"/>
    <x v="3"/>
    <m/>
    <s v="SMB"/>
    <n v="39"/>
    <x v="1"/>
  </r>
  <r>
    <s v="ORD-00015"/>
    <d v="2024-03-14T00:00:00"/>
    <s v="CUST-0052"/>
    <s v="PROD-060"/>
    <s v="R003"/>
    <n v="1"/>
    <n v="190"/>
    <n v="20.7"/>
    <n v="150.66999999999999"/>
    <s v="Completed"/>
    <s v="Pune"/>
    <x v="1"/>
    <m/>
    <s v="Retail"/>
    <n v="38"/>
    <x v="2"/>
  </r>
  <r>
    <s v="ORD-00016"/>
    <d v="2024-09-11T00:00:00"/>
    <s v="CUST-0184"/>
    <s v="PROD-058"/>
    <s v="R014"/>
    <n v="7"/>
    <n v="2400"/>
    <n v="10.199999999999999"/>
    <n v="15086.4"/>
    <s v="Pending"/>
    <s v="Pune"/>
    <x v="1"/>
    <m/>
    <s v="Retail"/>
    <n v="63"/>
    <x v="0"/>
  </r>
  <r>
    <s v="ORD-00017"/>
    <d v="2024-08-08T00:00:00"/>
    <s v="CUST-0056"/>
    <s v="PROD-028"/>
    <s v="R023"/>
    <n v="4"/>
    <n v="3660"/>
    <n v="2.6"/>
    <n v="14259.36"/>
    <s v="Completed"/>
    <s v="Bengaluru"/>
    <x v="2"/>
    <m/>
    <s v="SMB"/>
    <n v="46"/>
    <x v="0"/>
  </r>
  <r>
    <s v="ORD-00018"/>
    <d v="2024-12-28T00:00:00"/>
    <s v="CUST-0273"/>
    <s v="PROD-047"/>
    <s v="R021"/>
    <n v="8"/>
    <n v="3450"/>
    <n v="18.5"/>
    <n v="22494"/>
    <s v="Completed"/>
    <s v="Hyderabad"/>
    <x v="5"/>
    <m/>
    <s v="Corporate"/>
    <n v="32"/>
    <x v="3"/>
  </r>
  <r>
    <s v="ORD-00019"/>
    <d v="2024-11-30T00:00:00"/>
    <s v="CUST-0182"/>
    <s v="PROD-051"/>
    <s v="R023"/>
    <n v="5"/>
    <n v="3450"/>
    <n v="7.3"/>
    <n v="15990.75"/>
    <s v="Completed"/>
    <s v="Mumbai"/>
    <x v="1"/>
    <m/>
    <s v="Retail"/>
    <n v="54"/>
    <x v="0"/>
  </r>
  <r>
    <s v="ORD-00020"/>
    <d v="2024-04-12T00:00:00"/>
    <s v="CUST-0265"/>
    <s v="PROD-040"/>
    <s v="R023"/>
    <n v="8"/>
    <n v="1080"/>
    <n v="2.2000000000000002"/>
    <n v="8449.92"/>
    <s v="Completed"/>
    <s v="Chennai"/>
    <x v="3"/>
    <m/>
    <s v="Retail"/>
    <n v="49"/>
    <x v="0"/>
  </r>
  <r>
    <s v="ORD-00021"/>
    <d v="2024-06-27T00:00:00"/>
    <s v="CUST-0159"/>
    <s v="PROD-019"/>
    <s v="R006"/>
    <n v="7"/>
    <n v="2480"/>
    <n v="28.7"/>
    <n v="12377.68"/>
    <s v="Completed"/>
    <s v="Hyderabad"/>
    <x v="0"/>
    <m/>
    <s v="Retail"/>
    <n v="32"/>
    <x v="3"/>
  </r>
  <r>
    <s v="ORD-00022"/>
    <d v="2024-03-03T00:00:00"/>
    <s v="CUST-0259"/>
    <s v="PROD-036"/>
    <s v="R030"/>
    <n v="4"/>
    <n v="3250"/>
    <n v="24.6"/>
    <n v="9802"/>
    <s v="Completed"/>
    <s v="Mumbai"/>
    <x v="3"/>
    <m/>
    <s v="Retail"/>
    <n v="34"/>
    <x v="1"/>
  </r>
  <r>
    <s v="ORD-00023"/>
    <d v="2024-08-26T00:00:00"/>
    <s v="CUST-0107"/>
    <s v="PROD-015"/>
    <s v="R030"/>
    <n v="9"/>
    <n v="2720"/>
    <n v="26.2"/>
    <n v="18066.240000000002"/>
    <s v="Completed"/>
    <s v="Pune"/>
    <x v="0"/>
    <m/>
    <s v="Retail"/>
    <n v="50"/>
    <x v="0"/>
  </r>
  <r>
    <s v="ORD-00024"/>
    <d v="2024-06-29T00:00:00"/>
    <s v="CUST-0101"/>
    <s v="PROD-044"/>
    <s v="R003"/>
    <n v="2"/>
    <n v="1650"/>
    <n v="9.4"/>
    <n v="2989.8"/>
    <s v="Completed"/>
    <s v="Hyderabad"/>
    <x v="5"/>
    <m/>
    <s v="SMB"/>
    <n v="40"/>
    <x v="2"/>
  </r>
  <r>
    <s v="ORD-00025"/>
    <d v="2024-04-12T00:00:00"/>
    <s v="CUST-0142"/>
    <s v="PROD-043"/>
    <s v="R023"/>
    <n v="6"/>
    <n v="3350"/>
    <n v="6.1"/>
    <n v="18873.900000000001"/>
    <s v="Pending"/>
    <s v="Chennai"/>
    <x v="5"/>
    <m/>
    <s v="Corporate"/>
    <n v="55"/>
    <x v="0"/>
  </r>
  <r>
    <s v="ORD-00026"/>
    <d v="2024-10-05T00:00:00"/>
    <s v="CUST-0250"/>
    <s v="PROD-054"/>
    <s v="R019"/>
    <n v="2"/>
    <n v="1010"/>
    <n v="16.5"/>
    <n v="1686.7"/>
    <s v="Cancelled"/>
    <s v="Delhi"/>
    <x v="1"/>
    <m/>
    <s v="Retail"/>
    <n v="31"/>
    <x v="3"/>
  </r>
  <r>
    <s v="ORD-00027"/>
    <d v="2024-04-19T00:00:00"/>
    <s v="CUST-0098"/>
    <s v="PROD-046"/>
    <s v="R006"/>
    <n v="5"/>
    <n v="4880"/>
    <n v="23.6"/>
    <n v="18641.599999999999"/>
    <s v="Completed"/>
    <s v="Delhi"/>
    <x v="5"/>
    <m/>
    <s v="Retail"/>
    <n v="52"/>
    <x v="0"/>
  </r>
  <r>
    <s v="ORD-00028"/>
    <d v="2024-08-13T00:00:00"/>
    <s v="CUST-0143"/>
    <s v="PROD-003"/>
    <s v="R015"/>
    <n v="7"/>
    <n v="3570"/>
    <n v="5.8"/>
    <n v="23540.58"/>
    <s v="Cancelled"/>
    <s v="Chennai"/>
    <x v="4"/>
    <m/>
    <s v="SMB"/>
    <n v="52"/>
    <x v="0"/>
  </r>
  <r>
    <s v="ORD-00029"/>
    <d v="2024-03-12T00:00:00"/>
    <s v="CUST-0086"/>
    <s v="PROD-048"/>
    <s v="R020"/>
    <n v="9"/>
    <n v="5100"/>
    <n v="16.7"/>
    <n v="38234.699999999997"/>
    <s v="Completed"/>
    <s v="Hyderabad"/>
    <x v="5"/>
    <m/>
    <s v="Corporate"/>
    <n v="56"/>
    <x v="0"/>
  </r>
  <r>
    <s v="ORD-00030"/>
    <d v="2024-03-16T00:00:00"/>
    <s v="CUST-0006"/>
    <s v="PROD-055"/>
    <s v="R005"/>
    <n v="3"/>
    <n v="2860"/>
    <n v="25.8"/>
    <n v="6366.36"/>
    <s v="Completed"/>
    <s v="Pune"/>
    <x v="1"/>
    <m/>
    <s v="SMB"/>
    <n v="44"/>
    <x v="0"/>
  </r>
  <r>
    <s v="ORD-00031"/>
    <d v="2024-10-04T00:00:00"/>
    <s v="CUST-0241"/>
    <s v="PROD-030"/>
    <s v="R006"/>
    <n v="7"/>
    <n v="970"/>
    <n v="29.8"/>
    <n v="4766.58"/>
    <s v="Completed"/>
    <s v="Pune"/>
    <x v="2"/>
    <m/>
    <s v="Corporate"/>
    <n v="47"/>
    <x v="0"/>
  </r>
  <r>
    <s v="ORD-00032"/>
    <d v="2024-12-15T00:00:00"/>
    <s v="CUST-0035"/>
    <s v="PROD-021"/>
    <s v="R026"/>
    <n v="4"/>
    <n v="2760"/>
    <n v="5.9"/>
    <n v="10388.64"/>
    <s v="Completed"/>
    <s v="Hyderabad"/>
    <x v="2"/>
    <m/>
    <s v="Retail"/>
    <n v="53"/>
    <x v="0"/>
  </r>
  <r>
    <s v="ORD-00033"/>
    <d v="2024-02-21T00:00:00"/>
    <s v="CUST-0273"/>
    <s v="PROD-037"/>
    <s v="R009"/>
    <n v="10"/>
    <n v="660"/>
    <n v="18.3"/>
    <n v="5392.2"/>
    <s v="Pending"/>
    <s v="Hyderabad"/>
    <x v="3"/>
    <m/>
    <s v="Corporate"/>
    <n v="32"/>
    <x v="2"/>
  </r>
  <r>
    <s v="ORD-00034"/>
    <d v="2024-10-11T00:00:00"/>
    <s v="CUST-0064"/>
    <s v="PROD-036"/>
    <s v="R019"/>
    <n v="1"/>
    <n v="3250"/>
    <n v="10.7"/>
    <n v="2902.25"/>
    <s v="Completed"/>
    <s v="Hyderabad"/>
    <x v="3"/>
    <m/>
    <s v="SMB"/>
    <n v="40"/>
    <x v="4"/>
  </r>
  <r>
    <s v="ORD-00035"/>
    <d v="2024-06-19T00:00:00"/>
    <s v="CUST-0118"/>
    <s v="PROD-048"/>
    <s v="R019"/>
    <n v="8"/>
    <n v="5100"/>
    <n v="26.4"/>
    <n v="30028.799999999999"/>
    <s v="Cancelled"/>
    <s v="Hyderabad"/>
    <x v="5"/>
    <m/>
    <s v="Retail"/>
    <n v="26"/>
    <x v="3"/>
  </r>
  <r>
    <s v="ORD-00036"/>
    <d v="2024-05-30T00:00:00"/>
    <s v="CUST-0013"/>
    <s v="PROD-040"/>
    <s v="R021"/>
    <n v="1"/>
    <n v="1080"/>
    <n v="5.0999999999999996"/>
    <n v="1024.92"/>
    <s v="Completed"/>
    <s v="Delhi"/>
    <x v="3"/>
    <m/>
    <s v="Retail"/>
    <n v="41"/>
    <x v="0"/>
  </r>
  <r>
    <s v="ORD-00037"/>
    <d v="2024-12-20T00:00:00"/>
    <s v="CUST-0177"/>
    <s v="PROD-038"/>
    <s v="R009"/>
    <n v="2"/>
    <n v="5490"/>
    <n v="21.1"/>
    <n v="8663.2199999999993"/>
    <s v="Cancelled"/>
    <s v="Mumbai"/>
    <x v="3"/>
    <m/>
    <s v="SMB"/>
    <n v="36"/>
    <x v="3"/>
  </r>
  <r>
    <s v="ORD-00038"/>
    <d v="2024-07-05T00:00:00"/>
    <s v="CUST-0186"/>
    <s v="PROD-060"/>
    <s v="R001"/>
    <n v="7"/>
    <n v="190"/>
    <n v="28.7"/>
    <n v="948.29"/>
    <s v="Completed"/>
    <s v="Bengaluru"/>
    <x v="1"/>
    <m/>
    <s v="Retail"/>
    <n v="42"/>
    <x v="0"/>
  </r>
  <r>
    <s v="ORD-00039"/>
    <d v="2024-03-04T00:00:00"/>
    <s v="CUST-0069"/>
    <s v="PROD-058"/>
    <s v="R015"/>
    <n v="6"/>
    <n v="2400"/>
    <n v="2.7"/>
    <n v="14011.2"/>
    <s v="Completed"/>
    <s v="Chennai"/>
    <x v="1"/>
    <m/>
    <s v="Retail"/>
    <n v="51"/>
    <x v="0"/>
  </r>
  <r>
    <s v="ORD-00040"/>
    <d v="2024-11-03T00:00:00"/>
    <s v="CUST-0283"/>
    <s v="PROD-044"/>
    <s v="R023"/>
    <n v="9"/>
    <n v="1650"/>
    <n v="11.6"/>
    <n v="13127.4"/>
    <s v="Completed"/>
    <s v="Delhi"/>
    <x v="5"/>
    <m/>
    <s v="SMB"/>
    <n v="50"/>
    <x v="0"/>
  </r>
  <r>
    <s v="ORD-00041"/>
    <d v="2024-11-10T00:00:00"/>
    <s v="CUST-9507"/>
    <s v="PROD-038"/>
    <s v="R006"/>
    <n v="4"/>
    <n v="5490"/>
    <n v="12.8"/>
    <n v="19149.12"/>
    <s v="Cancelled"/>
    <s v="Chennai"/>
    <x v="3"/>
    <m/>
    <e v="#N/A"/>
    <e v="#N/A"/>
    <x v="0"/>
  </r>
  <r>
    <s v="ORD-00042"/>
    <d v="2024-05-20T00:00:00"/>
    <s v="CUST-0053"/>
    <s v="PROD-046"/>
    <s v="R014"/>
    <n v="10"/>
    <n v="4880"/>
    <n v="12.7"/>
    <n v="42602.400000000001"/>
    <s v="Completed"/>
    <s v="Delhi"/>
    <x v="5"/>
    <m/>
    <s v="Retail"/>
    <n v="53"/>
    <x v="0"/>
  </r>
  <r>
    <s v="ORD-00043"/>
    <d v="2024-04-10T00:00:00"/>
    <s v="CUST-0222"/>
    <s v="PROD-031"/>
    <s v="R019"/>
    <n v="2"/>
    <n v="3730"/>
    <n v="25.8"/>
    <n v="5535.32"/>
    <s v="Completed"/>
    <s v="Chennai"/>
    <x v="3"/>
    <m/>
    <s v="Retail"/>
    <n v="37"/>
    <x v="4"/>
  </r>
  <r>
    <s v="ORD-00044"/>
    <d v="2024-04-14T00:00:00"/>
    <s v="CUST-0095"/>
    <s v="PROD-047"/>
    <s v="R029"/>
    <n v="4"/>
    <n v="3450"/>
    <n v="20.7"/>
    <n v="10943.4"/>
    <s v="Completed"/>
    <s v="Mumbai"/>
    <x v="5"/>
    <m/>
    <s v="SMB"/>
    <n v="54"/>
    <x v="0"/>
  </r>
  <r>
    <s v="ORD-00045"/>
    <d v="2024-03-22T00:00:00"/>
    <s v="CUST-0152"/>
    <s v="PROD-019"/>
    <s v="R019"/>
    <n v="2"/>
    <n v="2480"/>
    <n v="17.3"/>
    <n v="4101.92"/>
    <s v="Completed"/>
    <s v="Bengaluru"/>
    <x v="0"/>
    <m/>
    <s v="SMB"/>
    <n v="64"/>
    <x v="0"/>
  </r>
  <r>
    <s v="ORD-00046"/>
    <d v="2024-01-21T00:00:00"/>
    <s v="CUST-0291"/>
    <s v="PROD-027"/>
    <s v="R015"/>
    <n v="9"/>
    <n v="3780"/>
    <n v="8.6999999999999993"/>
    <n v="31060.26"/>
    <s v="Pending"/>
    <s v="Pune"/>
    <x v="2"/>
    <m/>
    <s v="SMB"/>
    <n v="29"/>
    <x v="3"/>
  </r>
  <r>
    <s v="ORD-00047"/>
    <d v="2024-02-18T00:00:00"/>
    <s v="CUST-0112"/>
    <s v="PROD-013"/>
    <s v="R017"/>
    <n v="4"/>
    <n v="3640"/>
    <n v="20.7"/>
    <n v="11546.08"/>
    <s v="Completed"/>
    <s v="Hyderabad"/>
    <x v="0"/>
    <m/>
    <s v="Retail"/>
    <n v="64"/>
    <x v="0"/>
  </r>
  <r>
    <s v="ORD-00048"/>
    <d v="2024-03-19T00:00:00"/>
    <s v="CUST-9800"/>
    <s v="PROD-050"/>
    <s v="R003"/>
    <n v="8"/>
    <n v="6080"/>
    <n v="24.4"/>
    <n v="36771.839999999997"/>
    <s v="Completed"/>
    <s v="Pune"/>
    <x v="5"/>
    <m/>
    <e v="#N/A"/>
    <e v="#N/A"/>
    <x v="0"/>
  </r>
  <r>
    <s v="ORD-00049"/>
    <d v="2024-04-07T00:00:00"/>
    <s v="CUST-0143"/>
    <s v="PROD-030"/>
    <s v="R007"/>
    <n v="10"/>
    <n v="970"/>
    <n v="0.6"/>
    <n v="9641.7999999999993"/>
    <s v="Cancelled"/>
    <s v="Chennai"/>
    <x v="2"/>
    <m/>
    <s v="SMB"/>
    <n v="52"/>
    <x v="0"/>
  </r>
  <r>
    <s v="ORD-00050"/>
    <d v="2024-09-30T00:00:00"/>
    <s v="CUST-0226"/>
    <s v="PROD-022"/>
    <s v="R028"/>
    <n v="1"/>
    <n v="2270"/>
    <n v="11.5"/>
    <n v="2008.95"/>
    <s v="Pending"/>
    <s v="Chennai"/>
    <x v="2"/>
    <m/>
    <s v="Corporate"/>
    <n v="52"/>
    <x v="0"/>
  </r>
  <r>
    <s v="ORD-00051"/>
    <d v="2024-02-01T00:00:00"/>
    <s v="CUST-0234"/>
    <s v="PROD-004"/>
    <s v="R023"/>
    <n v="7"/>
    <n v="3870"/>
    <n v="0.3"/>
    <n v="27008.73"/>
    <s v="Cancelled"/>
    <s v="Bengaluru"/>
    <x v="4"/>
    <m/>
    <s v="Retail"/>
    <n v="34"/>
    <x v="2"/>
  </r>
  <r>
    <s v="ORD-00052"/>
    <d v="2024-08-02T00:00:00"/>
    <s v="CUST-0176"/>
    <s v="PROD-046"/>
    <s v="R009"/>
    <n v="1"/>
    <n v="4880"/>
    <n v="23.9"/>
    <n v="3713.68"/>
    <s v="Pending"/>
    <s v="Bengaluru"/>
    <x v="5"/>
    <m/>
    <s v="SMB"/>
    <n v="34"/>
    <x v="3"/>
  </r>
  <r>
    <s v="ORD-00053"/>
    <d v="2024-11-20T00:00:00"/>
    <s v="CUST-0180"/>
    <s v="PROD-027"/>
    <s v="R013"/>
    <n v="5"/>
    <n v="3780"/>
    <n v="18.5"/>
    <n v="15403.5"/>
    <s v="Completed"/>
    <s v="Chennai"/>
    <x v="2"/>
    <m/>
    <s v="Retail"/>
    <n v="36"/>
    <x v="4"/>
  </r>
  <r>
    <s v="ORD-00054"/>
    <d v="2024-05-16T00:00:00"/>
    <s v="CUST-0088"/>
    <s v="PROD-036"/>
    <s v="R020"/>
    <n v="10"/>
    <n v="3250"/>
    <n v="25.5"/>
    <n v="24212.5"/>
    <s v="Completed"/>
    <s v="Chennai"/>
    <x v="3"/>
    <m/>
    <s v="Retail"/>
    <n v="24"/>
    <x v="4"/>
  </r>
  <r>
    <s v="ORD-00055"/>
    <d v="2024-08-11T00:00:00"/>
    <s v="CUST-0267"/>
    <s v="PROD-013"/>
    <s v="R007"/>
    <n v="4"/>
    <n v="3640"/>
    <n v="9.9"/>
    <n v="13118.56"/>
    <s v="Refunded"/>
    <s v="Hyderabad"/>
    <x v="0"/>
    <m/>
    <s v="Retail"/>
    <n v="27"/>
    <x v="3"/>
  </r>
  <r>
    <s v="ORD-00056"/>
    <d v="2024-12-23T00:00:00"/>
    <s v="CUST-0194"/>
    <s v="PROD-041"/>
    <s v="R023"/>
    <n v="4"/>
    <n v="1540"/>
    <n v="28.8"/>
    <n v="4385.92"/>
    <s v="Completed"/>
    <s v="Delhi"/>
    <x v="5"/>
    <m/>
    <s v="SMB"/>
    <n v="55"/>
    <x v="0"/>
  </r>
  <r>
    <s v="ORD-00057"/>
    <d v="2024-11-20T00:00:00"/>
    <s v="CUST-0261"/>
    <s v="PROD-040"/>
    <s v="R017"/>
    <n v="1"/>
    <n v="1080"/>
    <n v="23"/>
    <n v="831.6"/>
    <s v="Cancelled"/>
    <s v="Delhi"/>
    <x v="3"/>
    <m/>
    <s v="Retail"/>
    <n v="54"/>
    <x v="0"/>
  </r>
  <r>
    <s v="ORD-00058"/>
    <d v="2024-10-08T00:00:00"/>
    <s v="CUST-0031"/>
    <s v="PROD-026"/>
    <s v="R007"/>
    <n v="1"/>
    <n v="4070"/>
    <n v="6.7"/>
    <n v="3797.31"/>
    <s v="Completed"/>
    <s v="Hyderabad"/>
    <x v="2"/>
    <m/>
    <s v="Retail"/>
    <n v="53"/>
    <x v="0"/>
  </r>
  <r>
    <s v="ORD-00059"/>
    <d v="2024-05-05T00:00:00"/>
    <s v="CUST-0175"/>
    <s v="PROD-009"/>
    <s v="R030"/>
    <n v="2"/>
    <n v="1220"/>
    <n v="11.7"/>
    <n v="2154.52"/>
    <s v="Cancelled"/>
    <s v="Delhi"/>
    <x v="4"/>
    <m/>
    <s v="Corporate"/>
    <n v="55"/>
    <x v="0"/>
  </r>
  <r>
    <s v="ORD-00060"/>
    <d v="2024-05-13T00:00:00"/>
    <s v="CUST-0263"/>
    <s v="PROD-039"/>
    <s v="R029"/>
    <n v="4"/>
    <n v="4610"/>
    <n v="26.9"/>
    <n v="13479.64"/>
    <s v="Pending"/>
    <s v="Mumbai"/>
    <x v="3"/>
    <m/>
    <s v="Retail"/>
    <n v="40"/>
    <x v="2"/>
  </r>
  <r>
    <s v="ORD-00061"/>
    <d v="2024-10-24T00:00:00"/>
    <s v="CUST-0203"/>
    <s v="PROD-040"/>
    <s v="R011"/>
    <n v="8"/>
    <n v="1080"/>
    <n v="28.4"/>
    <n v="6186.24"/>
    <s v="Completed"/>
    <s v="Chennai"/>
    <x v="3"/>
    <m/>
    <s v="SMB"/>
    <n v="55"/>
    <x v="0"/>
  </r>
  <r>
    <s v="ORD-00062"/>
    <d v="2024-07-15T00:00:00"/>
    <s v="CUST-0258"/>
    <s v="PROD-045"/>
    <s v="R006"/>
    <n v="10"/>
    <n v="3020"/>
    <n v="25.4"/>
    <n v="22529.200000000001"/>
    <s v="Completed"/>
    <s v="Pune"/>
    <x v="5"/>
    <m/>
    <s v="Retail"/>
    <n v="44"/>
    <x v="0"/>
  </r>
  <r>
    <s v="ORD-00063"/>
    <d v="2024-06-22T00:00:00"/>
    <s v="CUST-0282"/>
    <s v="PROD-008"/>
    <s v="R017"/>
    <n v="7"/>
    <n v="2660"/>
    <n v="5.3"/>
    <n v="17633.14"/>
    <s v="Completed"/>
    <s v="Hyderabad"/>
    <x v="4"/>
    <m/>
    <s v="Corporate"/>
    <n v="29"/>
    <x v="1"/>
  </r>
  <r>
    <s v="ORD-00064"/>
    <d v="2024-11-03T00:00:00"/>
    <s v="CUST-0168"/>
    <s v="PROD-005"/>
    <s v="R003"/>
    <n v="9"/>
    <n v="300"/>
    <n v="25.3"/>
    <n v="2016.9"/>
    <s v="Completed"/>
    <s v="Pune"/>
    <x v="4"/>
    <m/>
    <s v="Retail"/>
    <n v="25"/>
    <x v="3"/>
  </r>
  <r>
    <s v="ORD-00065"/>
    <d v="2024-01-26T00:00:00"/>
    <s v="CUST-0040"/>
    <s v="PROD-010"/>
    <s v="R022"/>
    <n v="10"/>
    <n v="2640"/>
    <n v="18.7"/>
    <n v="21463.200000000001"/>
    <s v="Cancelled"/>
    <s v="Chennai"/>
    <x v="4"/>
    <m/>
    <s v="Retail"/>
    <n v="28"/>
    <x v="1"/>
  </r>
  <r>
    <s v="ORD-00066"/>
    <d v="2024-06-19T00:00:00"/>
    <s v="CUST-0283"/>
    <s v="PROD-020"/>
    <s v="R020"/>
    <n v="8"/>
    <n v="820"/>
    <n v="24"/>
    <n v="4985.6000000000004"/>
    <s v="Completed"/>
    <s v="Delhi"/>
    <x v="0"/>
    <m/>
    <s v="SMB"/>
    <n v="50"/>
    <x v="0"/>
  </r>
  <r>
    <s v="ORD-00067"/>
    <d v="2024-07-26T00:00:00"/>
    <s v="CUST-0202"/>
    <s v="PROD-021"/>
    <s v="R028"/>
    <n v="1"/>
    <n v="2760"/>
    <n v="4.8"/>
    <n v="2627.52"/>
    <s v="Completed"/>
    <s v="Chennai"/>
    <x v="2"/>
    <m/>
    <s v="Retail"/>
    <n v="39"/>
    <x v="3"/>
  </r>
  <r>
    <s v="ORD-00068"/>
    <d v="2024-02-06T00:00:00"/>
    <s v="CUST-0161"/>
    <s v="PROD-014"/>
    <s v="R017"/>
    <n v="2"/>
    <n v="3620"/>
    <n v="19.100000000000001"/>
    <n v="5857.16"/>
    <s v="Completed"/>
    <s v="Chennai"/>
    <x v="0"/>
    <m/>
    <s v="Retail"/>
    <n v="38"/>
    <x v="2"/>
  </r>
  <r>
    <s v="ORD-00069"/>
    <d v="2024-06-16T00:00:00"/>
    <s v="CUST-0033"/>
    <s v="PROD-016"/>
    <s v="R025"/>
    <n v="1"/>
    <n v="620"/>
    <n v="1"/>
    <n v="613.79999999999995"/>
    <s v="Completed"/>
    <s v="Delhi"/>
    <x v="0"/>
    <m/>
    <s v="Retail"/>
    <n v="35"/>
    <x v="3"/>
  </r>
  <r>
    <s v="ORD-00070"/>
    <d v="2024-04-16T00:00:00"/>
    <s v="CUST-0191"/>
    <s v="PROD-033"/>
    <s v="R030"/>
    <n v="1"/>
    <n v="2030"/>
    <n v="3.3"/>
    <n v="1963.01"/>
    <s v="Completed"/>
    <s v="Hyderabad"/>
    <x v="3"/>
    <m/>
    <s v="SMB"/>
    <n v="43"/>
    <x v="0"/>
  </r>
  <r>
    <s v="ORD-00071"/>
    <d v="2024-06-27T00:00:00"/>
    <s v="CUST-0180"/>
    <s v="PROD-012"/>
    <s v="R002"/>
    <n v="10"/>
    <n v="3160"/>
    <n v="15.8"/>
    <n v="26607.200000000001"/>
    <s v="Completed"/>
    <s v="Chennai"/>
    <x v="0"/>
    <m/>
    <s v="Retail"/>
    <n v="36"/>
    <x v="2"/>
  </r>
  <r>
    <s v="ORD-00072"/>
    <d v="2024-02-24T00:00:00"/>
    <s v="CUST-0129"/>
    <s v="PROD-030"/>
    <s v="R001"/>
    <n v="5"/>
    <n v="970"/>
    <n v="12.2"/>
    <n v="4258.3"/>
    <s v="Completed"/>
    <s v="Hyderabad"/>
    <x v="2"/>
    <m/>
    <s v="Retail"/>
    <n v="29"/>
    <x v="1"/>
  </r>
  <r>
    <s v="ORD-00073"/>
    <d v="2024-07-10T00:00:00"/>
    <s v="CUST-0189"/>
    <s v="PROD-043"/>
    <s v="R003"/>
    <n v="9"/>
    <n v="3350"/>
    <n v="25.8"/>
    <n v="22371.3"/>
    <s v="Pending"/>
    <s v="Chennai"/>
    <x v="5"/>
    <m/>
    <s v="Retail"/>
    <n v="41"/>
    <x v="0"/>
  </r>
  <r>
    <s v="ORD-00074"/>
    <d v="2024-10-20T00:00:00"/>
    <s v="CUST-0194"/>
    <s v="PROD-032"/>
    <s v="R018"/>
    <n v="1"/>
    <n v="370"/>
    <n v="28.9"/>
    <n v="263.07"/>
    <s v="Completed"/>
    <s v="Delhi"/>
    <x v="3"/>
    <m/>
    <s v="SMB"/>
    <n v="55"/>
    <x v="0"/>
  </r>
  <r>
    <s v="ORD-00075"/>
    <d v="2024-07-27T00:00:00"/>
    <s v="CUST-0200"/>
    <s v="PROD-030"/>
    <s v="R010"/>
    <n v="3"/>
    <n v="970"/>
    <n v="4.3"/>
    <n v="2784.87"/>
    <s v="Cancelled"/>
    <s v="Hyderabad"/>
    <x v="2"/>
    <m/>
    <s v="Corporate"/>
    <n v="46"/>
    <x v="0"/>
  </r>
  <r>
    <s v="ORD-00076"/>
    <d v="2024-03-24T00:00:00"/>
    <s v="CUST-0008"/>
    <s v="PROD-021"/>
    <s v="R022"/>
    <n v="6"/>
    <n v="2760"/>
    <n v="19.899999999999999"/>
    <n v="13264.56"/>
    <s v="Pending"/>
    <s v="Pune"/>
    <x v="2"/>
    <m/>
    <s v="SMB"/>
    <n v="39"/>
    <x v="4"/>
  </r>
  <r>
    <s v="ORD-00077"/>
    <d v="2024-05-31T00:00:00"/>
    <s v="CUST-0051"/>
    <s v="PROD-021"/>
    <s v="R019"/>
    <n v="7"/>
    <n v="2760"/>
    <n v="25.2"/>
    <n v="14451.36"/>
    <s v="Completed"/>
    <s v="Pune"/>
    <x v="2"/>
    <m/>
    <s v="SMB"/>
    <n v="54"/>
    <x v="0"/>
  </r>
  <r>
    <s v="ORD-00078"/>
    <d v="2024-04-08T00:00:00"/>
    <s v="CUST-0193"/>
    <s v="PROD-009"/>
    <s v="R022"/>
    <n v="4"/>
    <n v="1220"/>
    <n v="8.4"/>
    <n v="4470.08"/>
    <s v="Completed"/>
    <s v="Bengaluru"/>
    <x v="4"/>
    <m/>
    <s v="Retail"/>
    <n v="42"/>
    <x v="0"/>
  </r>
  <r>
    <s v="ORD-00079"/>
    <d v="2024-11-19T00:00:00"/>
    <s v="CUST-0020"/>
    <s v="PROD-002"/>
    <s v="R028"/>
    <n v="2"/>
    <n v="2600"/>
    <n v="1.9"/>
    <n v="5101.2"/>
    <s v="Pending"/>
    <s v="Hyderabad"/>
    <x v="4"/>
    <m/>
    <s v="Retail"/>
    <n v="46"/>
    <x v="0"/>
  </r>
  <r>
    <s v="ORD-00080"/>
    <d v="2024-07-25T00:00:00"/>
    <s v="CUST-0230"/>
    <s v="PROD-026"/>
    <s v="R030"/>
    <n v="9"/>
    <n v="4070"/>
    <n v="28.8"/>
    <n v="26080.560000000001"/>
    <s v="Completed"/>
    <s v="Pune"/>
    <x v="2"/>
    <m/>
    <s v="Corporate"/>
    <n v="33"/>
    <x v="2"/>
  </r>
  <r>
    <s v="ORD-00081"/>
    <d v="2024-08-11T00:00:00"/>
    <s v="CUST-0094"/>
    <s v="PROD-024"/>
    <s v="R005"/>
    <n v="2"/>
    <n v="2270"/>
    <n v="18"/>
    <n v="3722.8"/>
    <s v="Refunded"/>
    <s v="Pune"/>
    <x v="2"/>
    <m/>
    <s v="SMB"/>
    <n v="60"/>
    <x v="0"/>
  </r>
  <r>
    <s v="ORD-00082"/>
    <d v="2024-08-24T00:00:00"/>
    <s v="CUST-0248"/>
    <s v="PROD-012"/>
    <s v="R017"/>
    <n v="2"/>
    <n v="3160"/>
    <n v="18.3"/>
    <n v="5163.4399999999996"/>
    <s v="Completed"/>
    <s v="Chennai"/>
    <x v="0"/>
    <m/>
    <s v="SMB"/>
    <n v="57"/>
    <x v="0"/>
  </r>
  <r>
    <s v="ORD-00083"/>
    <d v="2024-04-20T00:00:00"/>
    <s v="CUST-0082"/>
    <s v="PROD-019"/>
    <s v="R007"/>
    <n v="4"/>
    <n v="2480"/>
    <n v="1.1000000000000001"/>
    <n v="9810.8799999999992"/>
    <s v="Pending"/>
    <s v="Hyderabad"/>
    <x v="0"/>
    <m/>
    <s v="SMB"/>
    <n v="36"/>
    <x v="3"/>
  </r>
  <r>
    <s v="ORD-00084"/>
    <d v="2024-09-12T00:00:00"/>
    <s v="CUST-0078"/>
    <s v="PROD-008"/>
    <s v="R026"/>
    <n v="1"/>
    <n v="2660"/>
    <n v="21"/>
    <n v="2101.4"/>
    <s v="Completed"/>
    <s v="Delhi"/>
    <x v="4"/>
    <m/>
    <s v="Retail"/>
    <n v="31"/>
    <x v="1"/>
  </r>
  <r>
    <s v="ORD-00085"/>
    <d v="2024-05-12T00:00:00"/>
    <s v="CUST-0032"/>
    <s v="PROD-045"/>
    <s v="R012"/>
    <n v="5"/>
    <n v="3020"/>
    <n v="22.2"/>
    <n v="11747.8"/>
    <s v="Completed"/>
    <s v="Hyderabad"/>
    <x v="5"/>
    <m/>
    <s v="Retail"/>
    <n v="28"/>
    <x v="2"/>
  </r>
  <r>
    <s v="ORD-00086"/>
    <d v="2024-06-18T00:00:00"/>
    <s v="CUST-0006"/>
    <s v="PROD-016"/>
    <s v="R030"/>
    <n v="9"/>
    <n v="620"/>
    <n v="23.3"/>
    <n v="4279.8599999999997"/>
    <s v="Completed"/>
    <s v="Pune"/>
    <x v="0"/>
    <m/>
    <s v="SMB"/>
    <n v="44"/>
    <x v="0"/>
  </r>
  <r>
    <s v="ORD-00087"/>
    <d v="2024-11-04T00:00:00"/>
    <s v="CUST-0084"/>
    <s v="PROD-053"/>
    <s v="R026"/>
    <n v="2"/>
    <n v="470"/>
    <n v="5.4"/>
    <n v="889.24"/>
    <s v="Completed"/>
    <s v="Chennai"/>
    <x v="1"/>
    <m/>
    <s v="Retail"/>
    <n v="28"/>
    <x v="2"/>
  </r>
  <r>
    <s v="ORD-00088"/>
    <d v="2024-10-22T00:00:00"/>
    <s v="CUST-0107"/>
    <s v="PROD-007"/>
    <s v="R010"/>
    <n v="3"/>
    <n v="1430"/>
    <n v="6.5"/>
    <n v="4011.15"/>
    <s v="Completed"/>
    <s v="Pune"/>
    <x v="4"/>
    <m/>
    <s v="Retail"/>
    <n v="50"/>
    <x v="0"/>
  </r>
  <r>
    <s v="ORD-00089"/>
    <d v="2024-08-14T00:00:00"/>
    <s v="CUST-0108"/>
    <s v="PROD-016"/>
    <s v="R004"/>
    <n v="6"/>
    <n v="620"/>
    <n v="2.6"/>
    <n v="3623.28"/>
    <s v="Completed"/>
    <s v="Bengaluru"/>
    <x v="0"/>
    <m/>
    <s v="Corporate"/>
    <n v="59"/>
    <x v="0"/>
  </r>
  <r>
    <s v="ORD-00090"/>
    <d v="2024-08-29T00:00:00"/>
    <s v="CUST-0139"/>
    <s v="PROD-003"/>
    <s v="R012"/>
    <n v="4"/>
    <n v="3570"/>
    <n v="4.5"/>
    <n v="13637.4"/>
    <s v="Pending"/>
    <s v="Hyderabad"/>
    <x v="4"/>
    <m/>
    <s v="SMB"/>
    <n v="65"/>
    <x v="0"/>
  </r>
  <r>
    <s v="ORD-00091"/>
    <d v="2024-11-26T00:00:00"/>
    <s v="CUST-0200"/>
    <s v="PROD-022"/>
    <s v="R010"/>
    <n v="6"/>
    <n v="2270"/>
    <n v="2"/>
    <n v="13347.6"/>
    <s v="Completed"/>
    <s v="Hyderabad"/>
    <x v="2"/>
    <m/>
    <s v="Corporate"/>
    <n v="46"/>
    <x v="0"/>
  </r>
  <r>
    <s v="ORD-00092"/>
    <d v="2024-02-06T00:00:00"/>
    <s v="CUST-0208"/>
    <s v="PROD-015"/>
    <s v="R014"/>
    <n v="7"/>
    <n v="2720"/>
    <n v="15.4"/>
    <n v="16107.84"/>
    <s v="Completed"/>
    <s v="Mumbai"/>
    <x v="0"/>
    <m/>
    <s v="Retail"/>
    <n v="49"/>
    <x v="0"/>
  </r>
  <r>
    <s v="ORD-00093"/>
    <d v="2024-03-29T00:00:00"/>
    <s v="CUST-0161"/>
    <s v="PROD-029"/>
    <s v="R001"/>
    <n v="9"/>
    <n v="2210"/>
    <n v="12.4"/>
    <n v="17423.64"/>
    <s v="Completed"/>
    <s v="Chennai"/>
    <x v="2"/>
    <m/>
    <s v="Retail"/>
    <n v="38"/>
    <x v="4"/>
  </r>
  <r>
    <s v="ORD-00094"/>
    <d v="2024-12-22T00:00:00"/>
    <s v="CUST-0042"/>
    <s v="PROD-060"/>
    <s v="R026"/>
    <n v="6"/>
    <n v="190"/>
    <n v="19.2"/>
    <n v="921.12"/>
    <s v="Completed"/>
    <s v="Pune"/>
    <x v="1"/>
    <m/>
    <s v="Retail"/>
    <n v="25"/>
    <x v="1"/>
  </r>
  <r>
    <s v="ORD-00095"/>
    <d v="2024-11-11T00:00:00"/>
    <s v="CUST-0133"/>
    <s v="PROD-048"/>
    <s v="R027"/>
    <n v="10"/>
    <n v="5100"/>
    <n v="25.4"/>
    <n v="38046"/>
    <s v="Refunded"/>
    <s v="Chennai"/>
    <x v="5"/>
    <m/>
    <s v="Retail"/>
    <n v="26"/>
    <x v="2"/>
  </r>
  <r>
    <s v="ORD-00096"/>
    <d v="2024-05-02T00:00:00"/>
    <s v="CUST-0219"/>
    <s v="PROD-054"/>
    <s v="R016"/>
    <n v="5"/>
    <n v="1010"/>
    <n v="1.6"/>
    <n v="4969.2"/>
    <s v="Completed"/>
    <s v="Chennai"/>
    <x v="1"/>
    <m/>
    <s v="Corporate"/>
    <n v="38"/>
    <x v="2"/>
  </r>
  <r>
    <s v="ORD-00097"/>
    <d v="2024-02-06T00:00:00"/>
    <s v="CUST-0031"/>
    <s v="PROD-031"/>
    <s v="R025"/>
    <n v="1"/>
    <n v="3730"/>
    <n v="22.7"/>
    <n v="2883.29"/>
    <s v="Completed"/>
    <s v="Hyderabad"/>
    <x v="3"/>
    <m/>
    <s v="Retail"/>
    <n v="53"/>
    <x v="0"/>
  </r>
  <r>
    <s v="ORD-00098"/>
    <d v="2024-03-22T00:00:00"/>
    <s v="CUST-0189"/>
    <s v="PROD-002"/>
    <s v="R028"/>
    <n v="10"/>
    <n v="2600"/>
    <n v="20.7"/>
    <n v="20618"/>
    <s v="Completed"/>
    <s v="Chennai"/>
    <x v="4"/>
    <m/>
    <s v="Retail"/>
    <n v="41"/>
    <x v="0"/>
  </r>
  <r>
    <s v="ORD-00099"/>
    <d v="2024-06-15T00:00:00"/>
    <s v="CUST-0170"/>
    <s v="PROD-025"/>
    <s v="R006"/>
    <n v="4"/>
    <n v="4060"/>
    <n v="13.9"/>
    <n v="13982.64"/>
    <s v="Completed"/>
    <s v="Mumbai"/>
    <x v="2"/>
    <m/>
    <s v="SMB"/>
    <n v="22"/>
    <x v="2"/>
  </r>
  <r>
    <s v="ORD-00100"/>
    <d v="2024-05-14T00:00:00"/>
    <s v="CUST-0164"/>
    <s v="PROD-050"/>
    <s v="R027"/>
    <n v="6"/>
    <n v="6080"/>
    <n v="16.5"/>
    <n v="30460.799999999999"/>
    <s v="Completed"/>
    <s v="Chennai"/>
    <x v="5"/>
    <m/>
    <s v="Retail"/>
    <n v="60"/>
    <x v="0"/>
  </r>
  <r>
    <s v="ORD-00101"/>
    <d v="2024-09-22T00:00:00"/>
    <s v="CUST-0006"/>
    <s v="PROD-017"/>
    <s v="R028"/>
    <n v="6"/>
    <n v="2510"/>
    <n v="11.7"/>
    <n v="13297.98"/>
    <s v="Completed"/>
    <s v="Pune"/>
    <x v="0"/>
    <m/>
    <s v="SMB"/>
    <n v="44"/>
    <x v="0"/>
  </r>
  <r>
    <s v="ORD-00102"/>
    <d v="2024-08-05T00:00:00"/>
    <s v="CUST-0181"/>
    <s v="PROD-036"/>
    <s v="R026"/>
    <n v="5"/>
    <n v="3250"/>
    <n v="18.399999999999999"/>
    <n v="13260"/>
    <s v="Completed"/>
    <s v="Delhi"/>
    <x v="3"/>
    <m/>
    <s v="SMB"/>
    <n v="38"/>
    <x v="2"/>
  </r>
  <r>
    <s v="ORD-00103"/>
    <d v="2024-02-07T00:00:00"/>
    <s v="CUST-0131"/>
    <s v="PROD-052"/>
    <s v="R005"/>
    <n v="4"/>
    <n v="5410"/>
    <n v="9.8000000000000007"/>
    <n v="19519.28"/>
    <s v="Cancelled"/>
    <s v="Delhi"/>
    <x v="1"/>
    <m/>
    <s v="SMB"/>
    <n v="28"/>
    <x v="2"/>
  </r>
  <r>
    <s v="ORD-00104"/>
    <d v="2024-04-29T00:00:00"/>
    <s v="CUST-0255"/>
    <s v="PROD-003"/>
    <s v="R018"/>
    <n v="8"/>
    <n v="3570"/>
    <n v="11.1"/>
    <n v="25389.84"/>
    <s v="Completed"/>
    <s v="Chennai"/>
    <x v="4"/>
    <m/>
    <s v="Corporate"/>
    <n v="51"/>
    <x v="0"/>
  </r>
  <r>
    <s v="ORD-00105"/>
    <d v="2024-01-06T00:00:00"/>
    <s v="CUST-0170"/>
    <s v="PROD-001"/>
    <s v="R003"/>
    <n v="10"/>
    <n v="5330"/>
    <n v="21.2"/>
    <n v="42000.4"/>
    <s v="Completed"/>
    <s v="Mumbai"/>
    <x v="4"/>
    <m/>
    <s v="SMB"/>
    <n v="22"/>
    <x v="3"/>
  </r>
  <r>
    <s v="ORD-00106"/>
    <d v="2024-12-14T00:00:00"/>
    <s v="CUST-0081"/>
    <s v="PROD-023"/>
    <s v="R017"/>
    <n v="4"/>
    <n v="2380"/>
    <n v="26.2"/>
    <n v="7025.76"/>
    <s v="Completed"/>
    <s v="Mumbai"/>
    <x v="2"/>
    <m/>
    <s v="Retail"/>
    <n v="25"/>
    <x v="1"/>
  </r>
  <r>
    <s v="ORD-00107"/>
    <d v="2024-01-31T00:00:00"/>
    <s v="CUST-0102"/>
    <s v="PROD-054"/>
    <s v="R027"/>
    <n v="1"/>
    <n v="1010"/>
    <n v="19.5"/>
    <n v="813.05"/>
    <s v="Cancelled"/>
    <s v="Chennai"/>
    <x v="1"/>
    <m/>
    <s v="SMB"/>
    <n v="62"/>
    <x v="0"/>
  </r>
  <r>
    <s v="ORD-00108"/>
    <d v="2024-05-02T00:00:00"/>
    <s v="CUST-0070"/>
    <s v="PROD-028"/>
    <s v="R025"/>
    <n v="1"/>
    <n v="3660"/>
    <n v="1.3"/>
    <n v="3612.42"/>
    <s v="Completed"/>
    <s v="Mumbai"/>
    <x v="2"/>
    <m/>
    <s v="Retail"/>
    <n v="42"/>
    <x v="0"/>
  </r>
  <r>
    <s v="ORD-00109"/>
    <d v="2024-10-27T00:00:00"/>
    <s v="CUST-0012"/>
    <s v="PROD-026"/>
    <s v="R013"/>
    <n v="2"/>
    <n v="4070"/>
    <n v="29"/>
    <n v="5779.4"/>
    <s v="Cancelled"/>
    <s v="Pune"/>
    <x v="2"/>
    <m/>
    <s v="Retail"/>
    <n v="43"/>
    <x v="0"/>
  </r>
  <r>
    <s v="ORD-00110"/>
    <d v="2024-05-27T00:00:00"/>
    <s v="CUST-0086"/>
    <s v="PROD-037"/>
    <s v="R029"/>
    <n v="6"/>
    <n v="660"/>
    <n v="20.2"/>
    <n v="3160.08"/>
    <s v="Pending"/>
    <s v="Hyderabad"/>
    <x v="3"/>
    <m/>
    <s v="Corporate"/>
    <n v="56"/>
    <x v="0"/>
  </r>
  <r>
    <s v="ORD-00111"/>
    <d v="2024-07-13T00:00:00"/>
    <s v="CUST-0145"/>
    <s v="PROD-040"/>
    <s v="R024"/>
    <n v="3"/>
    <n v="1080"/>
    <n v="29.7"/>
    <n v="2277.7199999999998"/>
    <s v="Completed"/>
    <s v="Bengaluru"/>
    <x v="3"/>
    <m/>
    <s v="SMB"/>
    <n v="44"/>
    <x v="0"/>
  </r>
  <r>
    <s v="ORD-00112"/>
    <d v="2024-12-03T00:00:00"/>
    <s v="CUST-0287"/>
    <s v="PROD-020"/>
    <s v="R006"/>
    <n v="7"/>
    <n v="820"/>
    <n v="13.5"/>
    <n v="4965.1000000000004"/>
    <s v="Cancelled"/>
    <s v="Chennai"/>
    <x v="0"/>
    <m/>
    <s v="SMB"/>
    <n v="53"/>
    <x v="0"/>
  </r>
  <r>
    <s v="ORD-00113"/>
    <d v="2024-04-12T00:00:00"/>
    <s v="CUST-0280"/>
    <s v="PROD-049"/>
    <s v="R027"/>
    <n v="4"/>
    <n v="960"/>
    <n v="26"/>
    <n v="2841.6"/>
    <s v="Completed"/>
    <s v="Delhi"/>
    <x v="5"/>
    <m/>
    <s v="SMB"/>
    <n v="27"/>
    <x v="1"/>
  </r>
  <r>
    <s v="ORD-00114"/>
    <d v="2024-06-10T00:00:00"/>
    <s v="CUST-0096"/>
    <s v="PROD-002"/>
    <s v="R014"/>
    <n v="3"/>
    <n v="2600"/>
    <n v="18.2"/>
    <n v="6380.4"/>
    <s v="Completed"/>
    <s v="Delhi"/>
    <x v="4"/>
    <m/>
    <s v="Corporate"/>
    <n v="27"/>
    <x v="2"/>
  </r>
  <r>
    <s v="ORD-00115"/>
    <d v="2024-03-19T00:00:00"/>
    <s v="CUST-0184"/>
    <s v="PROD-033"/>
    <s v="R029"/>
    <n v="9"/>
    <n v="2030"/>
    <n v="26.1"/>
    <n v="13501.53"/>
    <s v="Completed"/>
    <s v="Pune"/>
    <x v="3"/>
    <m/>
    <s v="Retail"/>
    <n v="63"/>
    <x v="0"/>
  </r>
  <r>
    <s v="ORD-00116"/>
    <d v="2024-11-01T00:00:00"/>
    <s v="CUST-0025"/>
    <s v="PROD-042"/>
    <s v="R028"/>
    <n v="8"/>
    <n v="2290"/>
    <n v="20.8"/>
    <n v="14509.44"/>
    <s v="Completed"/>
    <s v="Bengaluru"/>
    <x v="5"/>
    <m/>
    <s v="Retail"/>
    <n v="23"/>
    <x v="2"/>
  </r>
  <r>
    <s v="ORD-00117"/>
    <d v="2024-08-27T00:00:00"/>
    <s v="CUST-0149"/>
    <s v="PROD-031"/>
    <s v="R029"/>
    <n v="3"/>
    <n v="3730"/>
    <n v="7.9"/>
    <n v="10305.99"/>
    <s v="Completed"/>
    <s v="Hyderabad"/>
    <x v="3"/>
    <m/>
    <s v="Retail"/>
    <n v="44"/>
    <x v="0"/>
  </r>
  <r>
    <s v="ORD-00118"/>
    <d v="2024-10-31T00:00:00"/>
    <s v="CUST-0018"/>
    <s v="PROD-005"/>
    <s v="R014"/>
    <n v="1"/>
    <n v="300"/>
    <n v="16.899999999999999"/>
    <n v="249.3"/>
    <s v="Pending"/>
    <s v="Pune"/>
    <x v="4"/>
    <m/>
    <s v="SMB"/>
    <n v="54"/>
    <x v="0"/>
  </r>
  <r>
    <s v="ORD-00119"/>
    <d v="2024-05-08T00:00:00"/>
    <s v="CUST-0216"/>
    <s v="PROD-005"/>
    <s v="R012"/>
    <n v="3"/>
    <n v="300"/>
    <n v="0.6"/>
    <n v="894.6"/>
    <s v="Completed"/>
    <s v="Mumbai"/>
    <x v="4"/>
    <m/>
    <s v="Retail"/>
    <n v="50"/>
    <x v="0"/>
  </r>
  <r>
    <s v="ORD-00120"/>
    <d v="2024-02-07T00:00:00"/>
    <s v="CUST-0092"/>
    <s v="PROD-043"/>
    <s v="R007"/>
    <n v="6"/>
    <n v="3350"/>
    <n v="2.2999999999999998"/>
    <n v="19637.7"/>
    <s v="Cancelled"/>
    <s v="Bengaluru"/>
    <x v="5"/>
    <m/>
    <s v="SMB"/>
    <n v="28"/>
    <x v="4"/>
  </r>
  <r>
    <s v="ORD-00121"/>
    <d v="2024-05-04T00:00:00"/>
    <s v="CUST-0056"/>
    <s v="PROD-001"/>
    <s v="R003"/>
    <n v="4"/>
    <n v="5330"/>
    <n v="29.3"/>
    <n v="15073.24"/>
    <s v="Completed"/>
    <s v="Bengaluru"/>
    <x v="4"/>
    <m/>
    <s v="SMB"/>
    <n v="46"/>
    <x v="0"/>
  </r>
  <r>
    <s v="ORD-00122"/>
    <d v="2024-11-18T00:00:00"/>
    <s v="CUST-0113"/>
    <s v="PROD-014"/>
    <s v="R002"/>
    <n v="6"/>
    <n v="3620"/>
    <n v="10.8"/>
    <n v="19374.240000000002"/>
    <s v="Completed"/>
    <s v="Delhi"/>
    <x v="0"/>
    <m/>
    <s v="Retail"/>
    <n v="30"/>
    <x v="1"/>
  </r>
  <r>
    <s v="ORD-00123"/>
    <d v="2024-10-28T00:00:00"/>
    <s v="CUST-0253"/>
    <s v="PROD-014"/>
    <s v="R005"/>
    <n v="6"/>
    <n v="3620"/>
    <n v="21.7"/>
    <n v="17006.759999999998"/>
    <s v="Completed"/>
    <s v="Delhi"/>
    <x v="0"/>
    <m/>
    <s v="SMB"/>
    <n v="53"/>
    <x v="0"/>
  </r>
  <r>
    <s v="ORD-00124"/>
    <d v="2024-03-09T00:00:00"/>
    <s v="CUST-0187"/>
    <s v="PROD-057"/>
    <s v="R008"/>
    <n v="8"/>
    <n v="960"/>
    <n v="27.9"/>
    <n v="5537.28"/>
    <s v="Completed"/>
    <s v="Chennai"/>
    <x v="1"/>
    <m/>
    <s v="SMB"/>
    <n v="51"/>
    <x v="0"/>
  </r>
  <r>
    <s v="ORD-00125"/>
    <d v="2024-12-02T00:00:00"/>
    <s v="CUST-0028"/>
    <s v="PROD-044"/>
    <s v="R025"/>
    <n v="5"/>
    <n v="1650"/>
    <n v="4.9000000000000004"/>
    <n v="7845.75"/>
    <s v="Completed"/>
    <s v="Bengaluru"/>
    <x v="5"/>
    <m/>
    <s v="Retail"/>
    <n v="59"/>
    <x v="0"/>
  </r>
  <r>
    <s v="ORD-00126"/>
    <d v="2024-10-27T00:00:00"/>
    <s v="CUST-0224"/>
    <s v="PROD-049"/>
    <s v="R010"/>
    <n v="9"/>
    <n v="960"/>
    <n v="25.1"/>
    <n v="6471.36"/>
    <s v="Refunded"/>
    <s v="Chennai"/>
    <x v="5"/>
    <m/>
    <s v="Corporate"/>
    <n v="24"/>
    <x v="2"/>
  </r>
  <r>
    <s v="ORD-00127"/>
    <d v="2024-06-10T00:00:00"/>
    <s v="CUST-0150"/>
    <s v="PROD-006"/>
    <s v="R003"/>
    <n v="7"/>
    <n v="3970"/>
    <n v="13.8"/>
    <n v="23954.98"/>
    <s v="Pending"/>
    <s v="Pune"/>
    <x v="4"/>
    <m/>
    <s v="SMB"/>
    <n v="53"/>
    <x v="0"/>
  </r>
  <r>
    <s v="ORD-00128"/>
    <d v="2024-11-16T00:00:00"/>
    <s v="CUST-0129"/>
    <s v="PROD-030"/>
    <s v="R005"/>
    <n v="7"/>
    <n v="970"/>
    <n v="21.6"/>
    <n v="5323.36"/>
    <s v="Pending"/>
    <s v="Hyderabad"/>
    <x v="2"/>
    <m/>
    <s v="Retail"/>
    <n v="29"/>
    <x v="1"/>
  </r>
  <r>
    <s v="ORD-00129"/>
    <d v="2024-09-06T00:00:00"/>
    <s v="CUST-0239"/>
    <s v="PROD-033"/>
    <s v="R001"/>
    <n v="10"/>
    <n v="2030"/>
    <n v="1.2"/>
    <n v="20056.400000000001"/>
    <s v="Completed"/>
    <s v="Mumbai"/>
    <x v="3"/>
    <m/>
    <s v="Retail"/>
    <n v="61"/>
    <x v="0"/>
  </r>
  <r>
    <s v="ORD-00130"/>
    <d v="2024-12-14T00:00:00"/>
    <s v="CUST-0106"/>
    <s v="PROD-024"/>
    <s v="R021"/>
    <n v="9"/>
    <n v="2270"/>
    <n v="13.2"/>
    <n v="17733.240000000002"/>
    <s v="Pending"/>
    <s v="Pune"/>
    <x v="2"/>
    <m/>
    <s v="Retail"/>
    <n v="22"/>
    <x v="1"/>
  </r>
  <r>
    <s v="ORD-00131"/>
    <d v="2024-08-20T00:00:00"/>
    <s v="CUST-0273"/>
    <s v="PROD-046"/>
    <s v="R003"/>
    <n v="8"/>
    <n v="4880"/>
    <n v="13.4"/>
    <n v="33808.639999999999"/>
    <s v="Completed"/>
    <s v="Hyderabad"/>
    <x v="5"/>
    <m/>
    <s v="Corporate"/>
    <n v="32"/>
    <x v="3"/>
  </r>
  <r>
    <s v="ORD-00132"/>
    <d v="2024-02-22T00:00:00"/>
    <s v="CUST-0114"/>
    <s v="PROD-004"/>
    <s v="R011"/>
    <n v="10"/>
    <n v="3870"/>
    <n v="23.9"/>
    <n v="29450.7"/>
    <s v="Completed"/>
    <s v="Bengaluru"/>
    <x v="4"/>
    <m/>
    <s v="Corporate"/>
    <n v="42"/>
    <x v="0"/>
  </r>
  <r>
    <s v="ORD-00133"/>
    <d v="2024-06-20T00:00:00"/>
    <s v="CUST-0146"/>
    <s v="PROD-042"/>
    <s v="R002"/>
    <n v="4"/>
    <n v="2290"/>
    <n v="15.2"/>
    <n v="7767.68"/>
    <s v="Completed"/>
    <s v="Hyderabad"/>
    <x v="5"/>
    <m/>
    <s v="Retail"/>
    <n v="22"/>
    <x v="4"/>
  </r>
  <r>
    <s v="ORD-00134"/>
    <d v="2024-05-31T00:00:00"/>
    <s v="CUST-0298"/>
    <s v="PROD-023"/>
    <s v="R020"/>
    <n v="8"/>
    <n v="2380"/>
    <n v="4.2"/>
    <n v="18240.32"/>
    <s v="Completed"/>
    <s v="Delhi"/>
    <x v="2"/>
    <m/>
    <s v="Retail"/>
    <n v="44"/>
    <x v="0"/>
  </r>
  <r>
    <s v="ORD-00135"/>
    <d v="2024-01-10T00:00:00"/>
    <s v="CUST-0111"/>
    <s v="PROD-029"/>
    <s v="R013"/>
    <n v="8"/>
    <n v="2210"/>
    <n v="11.5"/>
    <n v="15646.8"/>
    <s v="Completed"/>
    <s v="Chennai"/>
    <x v="2"/>
    <m/>
    <s v="SMB"/>
    <n v="64"/>
    <x v="0"/>
  </r>
  <r>
    <s v="ORD-01445"/>
    <d v="2024-03-09T00:00:00"/>
    <s v="CUST-0291"/>
    <s v="PROD-001"/>
    <s v="R022"/>
    <n v="4"/>
    <n v="5330"/>
    <n v="22.6"/>
    <n v="16501.68"/>
    <s v="Pending"/>
    <s v="Pune"/>
    <x v="4"/>
    <m/>
    <s v="SMB"/>
    <n v="29"/>
    <x v="4"/>
  </r>
  <r>
    <s v="ORD-00137"/>
    <d v="2024-09-24T00:00:00"/>
    <s v="CUST-0024"/>
    <s v="PROD-006"/>
    <s v="R022"/>
    <n v="8"/>
    <n v="3970"/>
    <n v="21.8"/>
    <n v="24836.32"/>
    <s v="Completed"/>
    <s v="Chennai"/>
    <x v="4"/>
    <m/>
    <s v="SMB"/>
    <n v="64"/>
    <x v="0"/>
  </r>
  <r>
    <s v="ORD-00138"/>
    <d v="2024-09-11T00:00:00"/>
    <s v="CUST-0210"/>
    <s v="PROD-012"/>
    <s v="R020"/>
    <n v="10"/>
    <n v="3160"/>
    <n v="16.100000000000001"/>
    <n v="26512.400000000001"/>
    <s v="Cancelled"/>
    <s v="Pune"/>
    <x v="0"/>
    <m/>
    <s v="Corporate"/>
    <n v="48"/>
    <x v="0"/>
  </r>
  <r>
    <s v="ORD-00139"/>
    <d v="2024-05-13T00:00:00"/>
    <s v="CUST-0192"/>
    <s v="PROD-060"/>
    <s v="R009"/>
    <n v="5"/>
    <n v="190"/>
    <n v="14.8"/>
    <n v="809.4"/>
    <s v="Completed"/>
    <s v="Bengaluru"/>
    <x v="1"/>
    <m/>
    <s v="Retail"/>
    <n v="55"/>
    <x v="0"/>
  </r>
  <r>
    <s v="ORD-00140"/>
    <d v="2024-02-29T00:00:00"/>
    <s v="CUST-0078"/>
    <s v="PROD-021"/>
    <s v="R007"/>
    <n v="6"/>
    <n v="2760"/>
    <n v="19.8"/>
    <n v="13281.12"/>
    <s v="Completed"/>
    <s v="Delhi"/>
    <x v="2"/>
    <m/>
    <s v="Retail"/>
    <n v="31"/>
    <x v="4"/>
  </r>
  <r>
    <s v="ORD-00141"/>
    <d v="2024-11-08T00:00:00"/>
    <s v="CUST-0070"/>
    <s v="PROD-022"/>
    <s v="R019"/>
    <n v="9"/>
    <n v="2270"/>
    <n v="20.8"/>
    <n v="16180.56"/>
    <s v="Cancelled"/>
    <s v="Mumbai"/>
    <x v="2"/>
    <m/>
    <s v="Retail"/>
    <n v="42"/>
    <x v="0"/>
  </r>
  <r>
    <s v="ORD-00142"/>
    <d v="2024-02-06T00:00:00"/>
    <s v="CUST-0159"/>
    <s v="PROD-052"/>
    <s v="R001"/>
    <n v="8"/>
    <n v="5410"/>
    <n v="12.9"/>
    <n v="37696.879999999997"/>
    <s v="Completed"/>
    <s v="Hyderabad"/>
    <x v="1"/>
    <m/>
    <s v="Retail"/>
    <n v="32"/>
    <x v="3"/>
  </r>
  <r>
    <s v="ORD-00143"/>
    <d v="2024-08-04T00:00:00"/>
    <s v="CUST-0294"/>
    <s v="PROD-024"/>
    <s v="R009"/>
    <n v="9"/>
    <n v="2270"/>
    <n v="6.8"/>
    <n v="19040.759999999998"/>
    <s v="Completed"/>
    <s v="Delhi"/>
    <x v="2"/>
    <m/>
    <s v="Corporate"/>
    <n v="31"/>
    <x v="1"/>
  </r>
  <r>
    <s v="ORD-00144"/>
    <d v="2024-01-18T00:00:00"/>
    <s v="CUST-0280"/>
    <s v="PROD-012"/>
    <s v="R001"/>
    <n v="3"/>
    <n v="3160"/>
    <n v="12.8"/>
    <n v="8266.56"/>
    <s v="Completed"/>
    <s v="Delhi"/>
    <x v="0"/>
    <m/>
    <s v="SMB"/>
    <n v="27"/>
    <x v="4"/>
  </r>
  <r>
    <s v="ORD-00145"/>
    <d v="2024-06-05T00:00:00"/>
    <s v="CUST-0291"/>
    <s v="PROD-025"/>
    <s v="R028"/>
    <n v="8"/>
    <n v="4060"/>
    <n v="20.9"/>
    <n v="25691.68"/>
    <s v="Completed"/>
    <s v="Pune"/>
    <x v="2"/>
    <m/>
    <s v="SMB"/>
    <n v="29"/>
    <x v="1"/>
  </r>
  <r>
    <s v="ORD-00146"/>
    <d v="2024-06-06T00:00:00"/>
    <s v="CUST-9657"/>
    <s v="PROD-020"/>
    <s v="R018"/>
    <n v="5"/>
    <n v="820"/>
    <n v="9.1"/>
    <n v="3726.9"/>
    <s v="Refunded"/>
    <s v="Pune"/>
    <x v="0"/>
    <m/>
    <e v="#N/A"/>
    <e v="#N/A"/>
    <x v="0"/>
  </r>
  <r>
    <s v="ORD-00147"/>
    <d v="2024-09-20T00:00:00"/>
    <s v="CUST-0080"/>
    <s v="PROD-032"/>
    <s v="R007"/>
    <n v="5"/>
    <n v="370"/>
    <n v="11.5"/>
    <n v="1637.25"/>
    <s v="Completed"/>
    <s v="Pune"/>
    <x v="3"/>
    <m/>
    <s v="SMB"/>
    <n v="30"/>
    <x v="3"/>
  </r>
  <r>
    <s v="ORD-00148"/>
    <d v="2024-02-19T00:00:00"/>
    <s v="CUST-0172"/>
    <s v="PROD-034"/>
    <s v="R002"/>
    <n v="9"/>
    <n v="5080"/>
    <n v="27.5"/>
    <n v="33147"/>
    <s v="Completed"/>
    <s v="Pune"/>
    <x v="3"/>
    <m/>
    <s v="Retail"/>
    <n v="65"/>
    <x v="0"/>
  </r>
  <r>
    <s v="ORD-00149"/>
    <d v="2024-05-10T00:00:00"/>
    <s v="CUST-0051"/>
    <s v="PROD-026"/>
    <s v="R012"/>
    <n v="6"/>
    <n v="4070"/>
    <n v="12.5"/>
    <n v="21367.5"/>
    <s v="Completed"/>
    <s v="Pune"/>
    <x v="2"/>
    <m/>
    <s v="SMB"/>
    <n v="54"/>
    <x v="0"/>
  </r>
  <r>
    <s v="ORD-00150"/>
    <d v="2024-02-24T00:00:00"/>
    <s v="CUST-0080"/>
    <s v="PROD-005"/>
    <s v="R024"/>
    <n v="5"/>
    <n v="300"/>
    <n v="25.8"/>
    <n v="1113"/>
    <s v="Completed"/>
    <s v="Pune"/>
    <x v="4"/>
    <m/>
    <s v="SMB"/>
    <n v="30"/>
    <x v="4"/>
  </r>
  <r>
    <s v="ORD-00151"/>
    <d v="2024-01-27T00:00:00"/>
    <s v="CUST-0137"/>
    <s v="PROD-048"/>
    <s v="R011"/>
    <n v="7"/>
    <n v="5100"/>
    <n v="28.8"/>
    <n v="25418.400000000001"/>
    <s v="Completed"/>
    <s v="Mumbai"/>
    <x v="5"/>
    <m/>
    <s v="Retail"/>
    <n v="41"/>
    <x v="0"/>
  </r>
  <r>
    <s v="ORD-00152"/>
    <d v="2024-08-17T00:00:00"/>
    <s v="CUST-0222"/>
    <s v="PROD-038"/>
    <s v="R012"/>
    <n v="2"/>
    <n v="5490"/>
    <n v="5.5"/>
    <n v="10376.1"/>
    <s v="Completed"/>
    <s v="Chennai"/>
    <x v="3"/>
    <m/>
    <s v="Retail"/>
    <n v="37"/>
    <x v="4"/>
  </r>
  <r>
    <s v="ORD-00153"/>
    <d v="2024-10-30T00:00:00"/>
    <s v="CUST-0117"/>
    <s v="PROD-011"/>
    <s v="R015"/>
    <n v="2"/>
    <n v="3450"/>
    <n v="1.2"/>
    <n v="6817.2"/>
    <s v="Completed"/>
    <s v="Delhi"/>
    <x v="0"/>
    <m/>
    <s v="SMB"/>
    <n v="34"/>
    <x v="4"/>
  </r>
  <r>
    <s v="ORD-00154"/>
    <d v="2024-08-26T00:00:00"/>
    <s v="CUST-0104"/>
    <s v="PROD-029"/>
    <s v="R002"/>
    <n v="10"/>
    <n v="2210"/>
    <n v="18.8"/>
    <n v="17945.2"/>
    <s v="Completed"/>
    <s v="Hyderabad"/>
    <x v="2"/>
    <m/>
    <s v="Corporate"/>
    <n v="43"/>
    <x v="0"/>
  </r>
  <r>
    <s v="ORD-00155"/>
    <d v="2024-12-18T00:00:00"/>
    <s v="CUST-0082"/>
    <s v="PROD-036"/>
    <s v="R013"/>
    <n v="2"/>
    <n v="3250"/>
    <n v="26.2"/>
    <n v="4797"/>
    <s v="Completed"/>
    <s v="Hyderabad"/>
    <x v="3"/>
    <m/>
    <s v="SMB"/>
    <n v="36"/>
    <x v="1"/>
  </r>
  <r>
    <s v="ORD-00156"/>
    <d v="2024-01-07T00:00:00"/>
    <s v="CUST-0165"/>
    <s v="PROD-012"/>
    <s v="R001"/>
    <n v="5"/>
    <n v="3160"/>
    <n v="0.9"/>
    <n v="15657.8"/>
    <s v="Completed"/>
    <s v="Pune"/>
    <x v="0"/>
    <m/>
    <s v="Retail"/>
    <n v="29"/>
    <x v="4"/>
  </r>
  <r>
    <s v="ORD-00157"/>
    <d v="2024-06-04T00:00:00"/>
    <s v="CUST-0150"/>
    <s v="PROD-004"/>
    <s v="R030"/>
    <n v="4"/>
    <n v="3870"/>
    <n v="29.6"/>
    <n v="10897.92"/>
    <s v="Cancelled"/>
    <s v="Pune"/>
    <x v="4"/>
    <m/>
    <s v="SMB"/>
    <n v="53"/>
    <x v="0"/>
  </r>
  <r>
    <s v="ORD-00158"/>
    <d v="2024-11-05T00:00:00"/>
    <s v="CUST-0228"/>
    <s v="PROD-059"/>
    <s v="R022"/>
    <n v="4"/>
    <n v="3780"/>
    <n v="3.5"/>
    <n v="14590.8"/>
    <s v="Cancelled"/>
    <s v="Pune"/>
    <x v="1"/>
    <m/>
    <s v="Corporate"/>
    <n v="37"/>
    <x v="2"/>
  </r>
  <r>
    <s v="ORD-00159"/>
    <d v="2024-05-16T00:00:00"/>
    <s v="CUST-0197"/>
    <s v="PROD-045"/>
    <s v="R021"/>
    <n v="4"/>
    <n v="3020"/>
    <n v="18.899999999999999"/>
    <n v="9796.8799999999992"/>
    <s v="Completed"/>
    <s v="Bengaluru"/>
    <x v="5"/>
    <m/>
    <s v="Retail"/>
    <n v="55"/>
    <x v="0"/>
  </r>
  <r>
    <s v="ORD-00160"/>
    <d v="2024-04-27T00:00:00"/>
    <s v="CUST-0009"/>
    <s v="PROD-031"/>
    <s v="R015"/>
    <n v="1"/>
    <n v="3730"/>
    <n v="10.8"/>
    <n v="3327.16"/>
    <s v="Refunded"/>
    <s v="Mumbai"/>
    <x v="3"/>
    <m/>
    <s v="Retail"/>
    <n v="61"/>
    <x v="0"/>
  </r>
  <r>
    <s v="ORD-00161"/>
    <d v="2024-04-12T00:00:00"/>
    <s v="CUST-0139"/>
    <s v="PROD-046"/>
    <s v="R018"/>
    <n v="8"/>
    <n v="4880"/>
    <n v="20.3"/>
    <n v="31114.880000000001"/>
    <s v="Completed"/>
    <s v="Hyderabad"/>
    <x v="5"/>
    <m/>
    <s v="SMB"/>
    <n v="65"/>
    <x v="0"/>
  </r>
  <r>
    <s v="ORD-00162"/>
    <d v="2024-10-14T00:00:00"/>
    <s v="CUST-0184"/>
    <s v="PROD-030"/>
    <s v="R026"/>
    <n v="9"/>
    <n v="970"/>
    <n v="18.2"/>
    <n v="7141.14"/>
    <s v="Completed"/>
    <s v="Pune"/>
    <x v="2"/>
    <m/>
    <s v="Retail"/>
    <n v="63"/>
    <x v="0"/>
  </r>
  <r>
    <s v="ORD-00163"/>
    <d v="2024-05-30T00:00:00"/>
    <s v="CUST-0119"/>
    <s v="PROD-008"/>
    <s v="R017"/>
    <n v="8"/>
    <n v="2660"/>
    <n v="17.600000000000001"/>
    <n v="17534.72"/>
    <s v="Completed"/>
    <s v="Bengaluru"/>
    <x v="4"/>
    <m/>
    <s v="SMB"/>
    <n v="43"/>
    <x v="0"/>
  </r>
  <r>
    <s v="ORD-00164"/>
    <d v="2024-05-02T00:00:00"/>
    <s v="CUST-0280"/>
    <s v="PROD-020"/>
    <s v="R015"/>
    <n v="2"/>
    <n v="820"/>
    <n v="18.100000000000001"/>
    <n v="1343.16"/>
    <s v="Cancelled"/>
    <s v="Delhi"/>
    <x v="0"/>
    <m/>
    <s v="SMB"/>
    <n v="27"/>
    <x v="3"/>
  </r>
  <r>
    <s v="ORD-00165"/>
    <d v="2024-02-27T00:00:00"/>
    <s v="CUST-0240"/>
    <s v="PROD-033"/>
    <s v="R009"/>
    <n v="7"/>
    <n v="2030"/>
    <n v="23.7"/>
    <n v="10842.23"/>
    <s v="Pending"/>
    <s v="Chennai"/>
    <x v="3"/>
    <m/>
    <s v="Corporate"/>
    <n v="35"/>
    <x v="4"/>
  </r>
  <r>
    <s v="ORD-00166"/>
    <d v="2024-08-29T00:00:00"/>
    <s v="CUST-0067"/>
    <s v="PROD-016"/>
    <s v="R009"/>
    <n v="5"/>
    <n v="620"/>
    <n v="13.8"/>
    <n v="2672.2"/>
    <s v="Completed"/>
    <s v="Delhi"/>
    <x v="0"/>
    <m/>
    <s v="SMB"/>
    <n v="59"/>
    <x v="0"/>
  </r>
  <r>
    <s v="ORD-00167"/>
    <d v="2024-07-16T00:00:00"/>
    <s v="CUST-0117"/>
    <s v="PROD-022"/>
    <s v="R022"/>
    <n v="7"/>
    <n v="2270"/>
    <n v="5.5"/>
    <n v="15016.05"/>
    <s v="Completed"/>
    <s v="Delhi"/>
    <x v="2"/>
    <m/>
    <s v="SMB"/>
    <n v="34"/>
    <x v="4"/>
  </r>
  <r>
    <s v="ORD-00168"/>
    <d v="2024-06-14T00:00:00"/>
    <s v="CUST-0101"/>
    <s v="PROD-053"/>
    <s v="R016"/>
    <n v="1"/>
    <n v="470"/>
    <n v="13.7"/>
    <n v="405.61"/>
    <s v="Pending"/>
    <s v="Hyderabad"/>
    <x v="1"/>
    <m/>
    <s v="SMB"/>
    <n v="40"/>
    <x v="3"/>
  </r>
  <r>
    <s v="ORD-00169"/>
    <d v="2024-11-05T00:00:00"/>
    <s v="CUST-0184"/>
    <s v="PROD-001"/>
    <s v="R007"/>
    <n v="6"/>
    <n v="5330"/>
    <n v="17.899999999999999"/>
    <n v="26255.58"/>
    <s v="Completed"/>
    <s v="Pune"/>
    <x v="4"/>
    <m/>
    <s v="Retail"/>
    <n v="63"/>
    <x v="0"/>
  </r>
  <r>
    <s v="ORD-00170"/>
    <d v="2024-01-03T00:00:00"/>
    <s v="CUST-0087"/>
    <s v="PROD-050"/>
    <s v="R002"/>
    <n v="1"/>
    <n v="6080"/>
    <n v="25.5"/>
    <n v="4529.6000000000004"/>
    <s v="Completed"/>
    <s v="Pune"/>
    <x v="5"/>
    <m/>
    <s v="SMB"/>
    <n v="49"/>
    <x v="0"/>
  </r>
  <r>
    <s v="ORD-00171"/>
    <d v="2024-02-23T00:00:00"/>
    <s v="CUST-0261"/>
    <s v="PROD-027"/>
    <s v="R022"/>
    <n v="5"/>
    <n v="3780"/>
    <n v="28.6"/>
    <n v="13494.6"/>
    <s v="Completed"/>
    <s v="Delhi"/>
    <x v="2"/>
    <m/>
    <s v="Retail"/>
    <n v="54"/>
    <x v="0"/>
  </r>
  <r>
    <s v="ORD-00172"/>
    <d v="2024-04-09T00:00:00"/>
    <s v="CUST-0027"/>
    <s v="PROD-016"/>
    <s v="R010"/>
    <n v="5"/>
    <n v="620"/>
    <n v="6.9"/>
    <n v="2886.1"/>
    <s v="Cancelled"/>
    <s v="Hyderabad"/>
    <x v="0"/>
    <m/>
    <s v="Corporate"/>
    <n v="52"/>
    <x v="0"/>
  </r>
  <r>
    <s v="ORD-00173"/>
    <d v="2024-05-07T00:00:00"/>
    <s v="CUST-0210"/>
    <s v="PROD-017"/>
    <s v="R027"/>
    <n v="8"/>
    <n v="2510"/>
    <n v="0.7"/>
    <n v="19939.439999999999"/>
    <s v="Completed"/>
    <s v="Pune"/>
    <x v="0"/>
    <m/>
    <s v="Corporate"/>
    <n v="48"/>
    <x v="0"/>
  </r>
  <r>
    <s v="ORD-00174"/>
    <d v="2024-01-15T00:00:00"/>
    <s v="CUST-0163"/>
    <s v="PROD-015"/>
    <s v="R020"/>
    <n v="1"/>
    <n v="2720"/>
    <n v="13.7"/>
    <n v="2347.36"/>
    <s v="Completed"/>
    <s v="Pune"/>
    <x v="0"/>
    <m/>
    <s v="Retail"/>
    <n v="49"/>
    <x v="0"/>
  </r>
  <r>
    <s v="ORD-00175"/>
    <d v="2024-09-11T00:00:00"/>
    <s v="CUST-0059"/>
    <s v="PROD-053"/>
    <s v="R018"/>
    <n v="9"/>
    <n v="470"/>
    <n v="23.6"/>
    <n v="3231.72"/>
    <s v="Completed"/>
    <s v="Pune"/>
    <x v="1"/>
    <m/>
    <s v="Corporate"/>
    <n v="29"/>
    <x v="3"/>
  </r>
  <r>
    <s v="ORD-00176"/>
    <d v="2024-12-07T00:00:00"/>
    <s v="CUST-0020"/>
    <s v="PROD-036"/>
    <s v="R018"/>
    <n v="10"/>
    <n v="3250"/>
    <n v="21"/>
    <n v="25675"/>
    <s v="Cancelled"/>
    <s v="Hyderabad"/>
    <x v="3"/>
    <m/>
    <s v="Retail"/>
    <n v="46"/>
    <x v="0"/>
  </r>
  <r>
    <s v="ORD-00177"/>
    <d v="2024-12-23T00:00:00"/>
    <s v="CUST-0048"/>
    <s v="PROD-034"/>
    <s v="R028"/>
    <n v="6"/>
    <n v="5080"/>
    <n v="16.8"/>
    <n v="25359.360000000001"/>
    <s v="Pending"/>
    <s v="Delhi"/>
    <x v="3"/>
    <m/>
    <s v="Retail"/>
    <n v="59"/>
    <x v="0"/>
  </r>
  <r>
    <s v="ORD-00178"/>
    <d v="2024-01-21T00:00:00"/>
    <s v="CUST-0172"/>
    <s v="PROD-003"/>
    <s v="R012"/>
    <n v="2"/>
    <n v="3570"/>
    <n v="6.7"/>
    <n v="6661.62"/>
    <s v="Cancelled"/>
    <s v="Pune"/>
    <x v="4"/>
    <m/>
    <s v="Retail"/>
    <n v="65"/>
    <x v="0"/>
  </r>
  <r>
    <s v="ORD-00179"/>
    <d v="2024-03-31T00:00:00"/>
    <s v="CUST-0124"/>
    <s v="PROD-013"/>
    <s v="R012"/>
    <n v="4"/>
    <n v="3640"/>
    <n v="18.399999999999999"/>
    <n v="11880.96"/>
    <s v="Completed"/>
    <s v="Pune"/>
    <x v="0"/>
    <m/>
    <s v="Retail"/>
    <n v="57"/>
    <x v="0"/>
  </r>
  <r>
    <s v="ORD-00180"/>
    <d v="2024-08-20T00:00:00"/>
    <s v="CUST-0184"/>
    <s v="PROD-026"/>
    <s v="R001"/>
    <n v="8"/>
    <n v="4070"/>
    <n v="6.6"/>
    <n v="30411.040000000001"/>
    <s v="Completed"/>
    <s v="Pune"/>
    <x v="2"/>
    <m/>
    <s v="Retail"/>
    <n v="63"/>
    <x v="0"/>
  </r>
  <r>
    <s v="ORD-00181"/>
    <d v="2024-04-10T00:00:00"/>
    <s v="CUST-0259"/>
    <s v="PROD-011"/>
    <s v="R012"/>
    <n v="6"/>
    <n v="3450"/>
    <n v="14.4"/>
    <n v="17719.2"/>
    <s v="Pending"/>
    <s v="Mumbai"/>
    <x v="0"/>
    <m/>
    <s v="Retail"/>
    <n v="34"/>
    <x v="1"/>
  </r>
  <r>
    <s v="ORD-00182"/>
    <d v="2024-05-31T00:00:00"/>
    <s v="CUST-0204"/>
    <s v="PROD-034"/>
    <s v="R029"/>
    <n v="7"/>
    <n v="5080"/>
    <n v="25.4"/>
    <n v="26527.759999999998"/>
    <s v="Pending"/>
    <s v="Hyderabad"/>
    <x v="3"/>
    <m/>
    <s v="Retail"/>
    <n v="60"/>
    <x v="0"/>
  </r>
  <r>
    <s v="ORD-00183"/>
    <d v="2024-02-11T00:00:00"/>
    <s v="CUST-0032"/>
    <s v="PROD-021"/>
    <s v="R028"/>
    <n v="10"/>
    <n v="2760"/>
    <n v="20.100000000000001"/>
    <n v="22052.400000000001"/>
    <s v="Completed"/>
    <s v="Hyderabad"/>
    <x v="2"/>
    <m/>
    <s v="Retail"/>
    <n v="28"/>
    <x v="2"/>
  </r>
  <r>
    <s v="ORD-00184"/>
    <d v="2024-06-13T00:00:00"/>
    <s v="CUST-0239"/>
    <s v="PROD-044"/>
    <s v="R016"/>
    <n v="6"/>
    <n v="1650"/>
    <n v="11.3"/>
    <n v="8781.2999999999993"/>
    <s v="Pending"/>
    <s v="Mumbai"/>
    <x v="5"/>
    <m/>
    <s v="Retail"/>
    <n v="61"/>
    <x v="0"/>
  </r>
  <r>
    <s v="ORD-00185"/>
    <d v="2024-01-04T00:00:00"/>
    <s v="CUST-0191"/>
    <s v="PROD-004"/>
    <s v="R007"/>
    <n v="9"/>
    <n v="3870"/>
    <n v="27.5"/>
    <n v="25251.75"/>
    <s v="Completed"/>
    <s v="Hyderabad"/>
    <x v="4"/>
    <m/>
    <s v="SMB"/>
    <n v="43"/>
    <x v="0"/>
  </r>
  <r>
    <s v="ORD-00186"/>
    <d v="2024-08-28T00:00:00"/>
    <s v="CUST-0284"/>
    <s v="PROD-035"/>
    <s v="R022"/>
    <n v="2"/>
    <n v="1090"/>
    <n v="18.7"/>
    <n v="1772.34"/>
    <s v="Refunded"/>
    <s v="Hyderabad"/>
    <x v="3"/>
    <m/>
    <s v="SMB"/>
    <n v="65"/>
    <x v="0"/>
  </r>
  <r>
    <s v="ORD-00187"/>
    <d v="2024-09-29T00:00:00"/>
    <s v="CUST-0274"/>
    <s v="PROD-049"/>
    <s v="R025"/>
    <n v="4"/>
    <n v="960"/>
    <n v="23.4"/>
    <n v="2941.44"/>
    <s v="Completed"/>
    <s v="Bengaluru"/>
    <x v="5"/>
    <m/>
    <s v="Corporate"/>
    <n v="36"/>
    <x v="3"/>
  </r>
  <r>
    <s v="ORD-00188"/>
    <d v="2024-09-04T00:00:00"/>
    <s v="CUST-0234"/>
    <s v="PROD-043"/>
    <s v="R021"/>
    <n v="3"/>
    <n v="3350"/>
    <n v="17.899999999999999"/>
    <n v="8251.0499999999993"/>
    <s v="Completed"/>
    <s v="Bengaluru"/>
    <x v="5"/>
    <m/>
    <s v="Retail"/>
    <n v="34"/>
    <x v="2"/>
  </r>
  <r>
    <s v="ORD-00189"/>
    <d v="2024-11-09T00:00:00"/>
    <s v="CUST-0264"/>
    <s v="PROD-022"/>
    <s v="R005"/>
    <n v="4"/>
    <n v="2270"/>
    <n v="29"/>
    <n v="6446.8"/>
    <s v="Completed"/>
    <s v="Pune"/>
    <x v="2"/>
    <m/>
    <s v="Retail"/>
    <n v="59"/>
    <x v="0"/>
  </r>
  <r>
    <s v="ORD-00190"/>
    <d v="2024-06-17T00:00:00"/>
    <s v="CUST-0192"/>
    <s v="PROD-039"/>
    <s v="R023"/>
    <n v="9"/>
    <n v="4610"/>
    <n v="28.3"/>
    <n v="29748.33"/>
    <s v="Pending"/>
    <s v="Bengaluru"/>
    <x v="3"/>
    <m/>
    <s v="Retail"/>
    <n v="55"/>
    <x v="0"/>
  </r>
  <r>
    <s v="ORD-00191"/>
    <d v="2024-09-03T00:00:00"/>
    <s v="CUST-0041"/>
    <s v="PROD-012"/>
    <s v="R009"/>
    <n v="3"/>
    <n v="3160"/>
    <n v="7.3"/>
    <n v="8787.9599999999991"/>
    <s v="Completed"/>
    <s v="Bengaluru"/>
    <x v="0"/>
    <m/>
    <s v="SMB"/>
    <n v="26"/>
    <x v="3"/>
  </r>
  <r>
    <s v="ORD-00192"/>
    <d v="2024-10-08T00:00:00"/>
    <s v="CUST-0043"/>
    <s v="PROD-022"/>
    <s v="R004"/>
    <n v="8"/>
    <n v="2270"/>
    <n v="15.6"/>
    <n v="15327.04"/>
    <s v="Completed"/>
    <s v="Hyderabad"/>
    <x v="2"/>
    <m/>
    <s v="Retail"/>
    <n v="61"/>
    <x v="0"/>
  </r>
  <r>
    <s v="ORD-00193"/>
    <d v="2024-07-10T00:00:00"/>
    <s v="CUST-0147"/>
    <s v="PROD-045"/>
    <s v="R028"/>
    <n v="8"/>
    <n v="3020"/>
    <n v="16.3"/>
    <n v="20221.919999999998"/>
    <s v="Cancelled"/>
    <s v="Pune"/>
    <x v="5"/>
    <m/>
    <s v="Retail"/>
    <n v="56"/>
    <x v="0"/>
  </r>
  <r>
    <s v="ORD-00194"/>
    <d v="2024-11-21T00:00:00"/>
    <s v="CUST-0056"/>
    <s v="PROD-056"/>
    <s v="R030"/>
    <n v="7"/>
    <n v="6940"/>
    <n v="8.5"/>
    <n v="44450.7"/>
    <s v="Completed"/>
    <s v="Bengaluru"/>
    <x v="1"/>
    <m/>
    <s v="SMB"/>
    <n v="46"/>
    <x v="0"/>
  </r>
  <r>
    <s v="ORD-00195"/>
    <d v="2024-09-11T00:00:00"/>
    <s v="CUST-0059"/>
    <s v="PROD-041"/>
    <s v="R012"/>
    <n v="8"/>
    <n v="1540"/>
    <n v="21"/>
    <n v="9732.7999999999993"/>
    <s v="Completed"/>
    <s v="Pune"/>
    <x v="5"/>
    <m/>
    <s v="Corporate"/>
    <n v="29"/>
    <x v="2"/>
  </r>
  <r>
    <s v="ORD-00196"/>
    <d v="2024-03-29T00:00:00"/>
    <s v="CUST-0047"/>
    <s v="PROD-019"/>
    <s v="R029"/>
    <n v="6"/>
    <n v="2480"/>
    <n v="27.9"/>
    <n v="10728.48"/>
    <s v="Completed"/>
    <s v="Pune"/>
    <x v="0"/>
    <m/>
    <s v="Retail"/>
    <n v="49"/>
    <x v="0"/>
  </r>
  <r>
    <s v="ORD-00197"/>
    <d v="2024-01-29T00:00:00"/>
    <s v="CUST-0162"/>
    <s v="PROD-060"/>
    <s v="R022"/>
    <n v="4"/>
    <n v="190"/>
    <n v="21.5"/>
    <n v="596.6"/>
    <s v="Completed"/>
    <s v="Mumbai"/>
    <x v="1"/>
    <m/>
    <s v="Corporate"/>
    <n v="35"/>
    <x v="2"/>
  </r>
  <r>
    <s v="ORD-00198"/>
    <d v="2024-03-04T00:00:00"/>
    <s v="CUST-0121"/>
    <s v="PROD-055"/>
    <s v="R014"/>
    <n v="1"/>
    <n v="2860"/>
    <n v="15.3"/>
    <n v="2422.42"/>
    <s v="Completed"/>
    <s v="Delhi"/>
    <x v="1"/>
    <m/>
    <s v="SMB"/>
    <n v="55"/>
    <x v="0"/>
  </r>
  <r>
    <s v="ORD-00199"/>
    <d v="2024-02-28T00:00:00"/>
    <s v="CUST-0075"/>
    <s v="PROD-017"/>
    <s v="R015"/>
    <n v="4"/>
    <n v="2510"/>
    <n v="10.1"/>
    <n v="9025.9599999999991"/>
    <s v="Refunded"/>
    <s v="Mumbai"/>
    <x v="0"/>
    <m/>
    <s v="Corporate"/>
    <n v="55"/>
    <x v="0"/>
  </r>
  <r>
    <s v="ORD-00200"/>
    <d v="2024-10-22T00:00:00"/>
    <s v="CUST-0025"/>
    <s v="PROD-003"/>
    <s v="R003"/>
    <n v="2"/>
    <n v="3570"/>
    <n v="11.6"/>
    <n v="6311.76"/>
    <s v="Pending"/>
    <s v="Bengaluru"/>
    <x v="4"/>
    <m/>
    <s v="Retail"/>
    <n v="23"/>
    <x v="4"/>
  </r>
  <r>
    <s v="ORD-00201"/>
    <d v="2024-02-22T00:00:00"/>
    <s v="CUST-0048"/>
    <s v="PROD-031"/>
    <s v="R016"/>
    <n v="7"/>
    <n v="3730"/>
    <n v="2.5"/>
    <n v="25457.25"/>
    <s v="Cancelled"/>
    <s v="Delhi"/>
    <x v="3"/>
    <m/>
    <s v="Retail"/>
    <n v="59"/>
    <x v="0"/>
  </r>
  <r>
    <s v="ORD-00202"/>
    <d v="2024-07-19T00:00:00"/>
    <s v="CUST-0251"/>
    <s v="PROD-032"/>
    <s v="R030"/>
    <n v="6"/>
    <n v="370"/>
    <n v="9.9"/>
    <n v="2000.22"/>
    <s v="Completed"/>
    <s v="Mumbai"/>
    <x v="3"/>
    <m/>
    <s v="Retail"/>
    <n v="44"/>
    <x v="0"/>
  </r>
  <r>
    <s v="ORD-00203"/>
    <d v="2024-07-17T00:00:00"/>
    <s v="CUST-0125"/>
    <s v="PROD-008"/>
    <s v="R014"/>
    <n v="4"/>
    <n v="2660"/>
    <n v="29.7"/>
    <n v="7479.92"/>
    <s v="Completed"/>
    <s v="Delhi"/>
    <x v="4"/>
    <m/>
    <s v="Retail"/>
    <n v="45"/>
    <x v="0"/>
  </r>
  <r>
    <s v="ORD-00204"/>
    <d v="2024-09-03T00:00:00"/>
    <s v="CUST-0025"/>
    <s v="PROD-021"/>
    <s v="R015"/>
    <n v="6"/>
    <n v="2760"/>
    <n v="0.9"/>
    <n v="16410.96"/>
    <s v="Completed"/>
    <s v="Bengaluru"/>
    <x v="2"/>
    <m/>
    <s v="Retail"/>
    <n v="23"/>
    <x v="4"/>
  </r>
  <r>
    <s v="ORD-00205"/>
    <d v="2024-10-26T00:00:00"/>
    <s v="CUST-0068"/>
    <s v="PROD-043"/>
    <s v="R009"/>
    <n v="6"/>
    <n v="3350"/>
    <n v="17.899999999999999"/>
    <n v="16502.099999999999"/>
    <s v="Completed"/>
    <s v="Delhi"/>
    <x v="5"/>
    <m/>
    <s v="SMB"/>
    <n v="48"/>
    <x v="0"/>
  </r>
  <r>
    <s v="ORD-00206"/>
    <d v="2024-01-28T00:00:00"/>
    <s v="CUST-0080"/>
    <s v="PROD-005"/>
    <s v="R017"/>
    <n v="8"/>
    <n v="300"/>
    <n v="20.6"/>
    <n v="1905.6"/>
    <s v="Refunded"/>
    <s v="Pune"/>
    <x v="4"/>
    <m/>
    <s v="SMB"/>
    <n v="30"/>
    <x v="4"/>
  </r>
  <r>
    <s v="ORD-00207"/>
    <d v="2024-08-23T00:00:00"/>
    <s v="CUST-0251"/>
    <s v="PROD-015"/>
    <s v="R002"/>
    <n v="5"/>
    <n v="2720"/>
    <n v="17.100000000000001"/>
    <n v="11274.4"/>
    <s v="Pending"/>
    <s v="Mumbai"/>
    <x v="0"/>
    <m/>
    <s v="Retail"/>
    <n v="44"/>
    <x v="0"/>
  </r>
  <r>
    <s v="ORD-00208"/>
    <d v="2024-10-07T00:00:00"/>
    <s v="CUST-0077"/>
    <s v="PROD-004"/>
    <s v="R015"/>
    <n v="1"/>
    <n v="3870"/>
    <n v="23.5"/>
    <n v="2960.55"/>
    <s v="Pending"/>
    <s v="Hyderabad"/>
    <x v="4"/>
    <m/>
    <s v="SMB"/>
    <n v="48"/>
    <x v="0"/>
  </r>
  <r>
    <s v="ORD-00209"/>
    <d v="2024-12-11T00:00:00"/>
    <s v="CUST-0232"/>
    <s v="PROD-031"/>
    <s v="R012"/>
    <n v="3"/>
    <n v="3730"/>
    <n v="0.7"/>
    <n v="11111.67"/>
    <s v="Pending"/>
    <s v="Hyderabad"/>
    <x v="3"/>
    <m/>
    <s v="Retail"/>
    <n v="38"/>
    <x v="4"/>
  </r>
  <r>
    <s v="ORD-00210"/>
    <d v="2024-01-24T00:00:00"/>
    <s v="CUST-0277"/>
    <s v="PROD-019"/>
    <s v="R012"/>
    <n v="8"/>
    <n v="2480"/>
    <n v="18.2"/>
    <n v="16229.12"/>
    <s v="Cancelled"/>
    <s v="Chennai"/>
    <x v="0"/>
    <m/>
    <s v="Corporate"/>
    <n v="34"/>
    <x v="4"/>
  </r>
  <r>
    <s v="ORD-00211"/>
    <d v="2024-03-23T00:00:00"/>
    <s v="CUST-0149"/>
    <s v="PROD-057"/>
    <s v="R019"/>
    <n v="2"/>
    <n v="960"/>
    <n v="2.2000000000000002"/>
    <n v="1877.76"/>
    <s v="Completed"/>
    <s v="Hyderabad"/>
    <x v="1"/>
    <m/>
    <s v="Retail"/>
    <n v="44"/>
    <x v="0"/>
  </r>
  <r>
    <s v="ORD-00212"/>
    <d v="2024-02-13T00:00:00"/>
    <s v="CUST-0178"/>
    <s v="PROD-046"/>
    <s v="R018"/>
    <n v="8"/>
    <n v="4880"/>
    <n v="11.9"/>
    <n v="34394.239999999998"/>
    <s v="Completed"/>
    <s v="Hyderabad"/>
    <x v="5"/>
    <m/>
    <s v="Retail"/>
    <n v="25"/>
    <x v="3"/>
  </r>
  <r>
    <s v="ORD-00213"/>
    <d v="2024-12-30T00:00:00"/>
    <s v="CUST-0246"/>
    <s v="PROD-014"/>
    <s v="R030"/>
    <n v="2"/>
    <n v="3620"/>
    <n v="1.1000000000000001"/>
    <n v="7160.36"/>
    <s v="Pending"/>
    <s v="Delhi"/>
    <x v="0"/>
    <m/>
    <s v="SMB"/>
    <n v="29"/>
    <x v="3"/>
  </r>
  <r>
    <s v="ORD-00214"/>
    <d v="2024-10-08T00:00:00"/>
    <s v="CUST-0033"/>
    <s v="PROD-006"/>
    <s v="R008"/>
    <n v="8"/>
    <n v="3970"/>
    <n v="18.100000000000001"/>
    <n v="26011.439999999999"/>
    <s v="Completed"/>
    <s v="Delhi"/>
    <x v="4"/>
    <m/>
    <s v="Retail"/>
    <n v="35"/>
    <x v="2"/>
  </r>
  <r>
    <s v="ORD-00215"/>
    <d v="2024-08-30T00:00:00"/>
    <s v="CUST-0159"/>
    <s v="PROD-022"/>
    <s v="R026"/>
    <n v="8"/>
    <n v="2270"/>
    <n v="19.600000000000001"/>
    <n v="14600.64"/>
    <s v="Completed"/>
    <s v="Hyderabad"/>
    <x v="2"/>
    <m/>
    <s v="Retail"/>
    <n v="32"/>
    <x v="1"/>
  </r>
  <r>
    <s v="ORD-00216"/>
    <d v="2024-12-13T00:00:00"/>
    <s v="CUST-0175"/>
    <s v="PROD-027"/>
    <s v="R013"/>
    <n v="1"/>
    <n v="3780"/>
    <n v="22.6"/>
    <n v="2925.72"/>
    <s v="Completed"/>
    <s v="Delhi"/>
    <x v="2"/>
    <m/>
    <s v="Corporate"/>
    <n v="55"/>
    <x v="0"/>
  </r>
  <r>
    <s v="ORD-00217"/>
    <d v="2024-12-27T00:00:00"/>
    <s v="CUST-0079"/>
    <s v="PROD-026"/>
    <s v="R022"/>
    <n v="9"/>
    <n v="4070"/>
    <n v="28.2"/>
    <n v="26300.34"/>
    <s v="Completed"/>
    <s v="Mumbai"/>
    <x v="2"/>
    <m/>
    <s v="Corporate"/>
    <n v="60"/>
    <x v="0"/>
  </r>
  <r>
    <s v="ORD-00218"/>
    <d v="2024-05-12T00:00:00"/>
    <s v="CUST-0173"/>
    <s v="PROD-008"/>
    <s v="R006"/>
    <n v="9"/>
    <n v="2660"/>
    <n v="13.1"/>
    <n v="20803.86"/>
    <s v="Pending"/>
    <s v="Mumbai"/>
    <x v="4"/>
    <m/>
    <s v="Retail"/>
    <n v="65"/>
    <x v="0"/>
  </r>
  <r>
    <s v="ORD-00219"/>
    <d v="2024-04-18T00:00:00"/>
    <s v="CUST-0050"/>
    <s v="PROD-003"/>
    <s v="R004"/>
    <n v="4"/>
    <n v="3570"/>
    <n v="1.5"/>
    <n v="14065.8"/>
    <s v="Cancelled"/>
    <s v="Mumbai"/>
    <x v="4"/>
    <m/>
    <s v="Retail"/>
    <n v="37"/>
    <x v="1"/>
  </r>
  <r>
    <s v="ORD-00220"/>
    <d v="2024-08-27T00:00:00"/>
    <s v="CUST-0097"/>
    <s v="PROD-049"/>
    <s v="R001"/>
    <n v="2"/>
    <n v="960"/>
    <n v="18.600000000000001"/>
    <n v="1562.88"/>
    <s v="Completed"/>
    <s v="Mumbai"/>
    <x v="5"/>
    <m/>
    <s v="Retail"/>
    <n v="65"/>
    <x v="0"/>
  </r>
  <r>
    <s v="ORD-00221"/>
    <d v="2024-09-11T00:00:00"/>
    <s v="CUST-0026"/>
    <s v="PROD-047"/>
    <s v="R018"/>
    <n v="2"/>
    <n v="3450"/>
    <n v="3.7"/>
    <n v="6644.7"/>
    <s v="Completed"/>
    <s v="Pune"/>
    <x v="5"/>
    <m/>
    <s v="Retail"/>
    <n v="62"/>
    <x v="0"/>
  </r>
  <r>
    <s v="ORD-00222"/>
    <d v="2024-11-12T00:00:00"/>
    <s v="CUST-0185"/>
    <s v="PROD-048"/>
    <s v="R007"/>
    <n v="6"/>
    <n v="5100"/>
    <n v="1.2"/>
    <n v="30232.799999999999"/>
    <s v="Completed"/>
    <s v="Hyderabad"/>
    <x v="5"/>
    <m/>
    <s v="SMB"/>
    <n v="43"/>
    <x v="0"/>
  </r>
  <r>
    <s v="ORD-00223"/>
    <d v="2024-11-18T00:00:00"/>
    <s v="CUST-0135"/>
    <s v="PROD-005"/>
    <s v="R005"/>
    <n v="9"/>
    <n v="300"/>
    <n v="25.4"/>
    <n v="2014.2"/>
    <s v="Cancelled"/>
    <s v="Pune"/>
    <x v="4"/>
    <m/>
    <s v="SMB"/>
    <n v="24"/>
    <x v="1"/>
  </r>
  <r>
    <s v="ORD-00224"/>
    <d v="2024-04-23T00:00:00"/>
    <s v="CUST-0010"/>
    <s v="PROD-046"/>
    <s v="R020"/>
    <n v="7"/>
    <n v="4880"/>
    <n v="16.899999999999999"/>
    <n v="28386.959999999999"/>
    <s v="Pending"/>
    <s v="Mumbai"/>
    <x v="5"/>
    <m/>
    <s v="SMB"/>
    <n v="61"/>
    <x v="0"/>
  </r>
  <r>
    <s v="ORD-00225"/>
    <d v="2024-07-31T00:00:00"/>
    <s v="CUST-0271"/>
    <s v="PROD-036"/>
    <s v="R023"/>
    <n v="9"/>
    <n v="3250"/>
    <n v="10.8"/>
    <n v="26091"/>
    <s v="Cancelled"/>
    <s v="Bengaluru"/>
    <x v="3"/>
    <m/>
    <s v="Corporate"/>
    <n v="41"/>
    <x v="0"/>
  </r>
  <r>
    <s v="ORD-00226"/>
    <d v="2024-01-07T00:00:00"/>
    <s v="CUST-0172"/>
    <s v="PROD-047"/>
    <s v="R006"/>
    <n v="3"/>
    <n v="3450"/>
    <n v="5.4"/>
    <n v="9791.1"/>
    <s v="Pending"/>
    <s v="Pune"/>
    <x v="5"/>
    <m/>
    <s v="Retail"/>
    <n v="65"/>
    <x v="0"/>
  </r>
  <r>
    <s v="ORD-00227"/>
    <d v="2024-02-24T00:00:00"/>
    <s v="CUST-0296"/>
    <s v="PROD-050"/>
    <s v="R021"/>
    <n v="5"/>
    <n v="6080"/>
    <n v="18"/>
    <n v="24928"/>
    <s v="Completed"/>
    <s v="Delhi"/>
    <x v="5"/>
    <m/>
    <s v="Corporate"/>
    <n v="47"/>
    <x v="0"/>
  </r>
  <r>
    <s v="ORD-00228"/>
    <d v="2024-07-14T00:00:00"/>
    <s v="CUST-0080"/>
    <s v="PROD-050"/>
    <s v="R022"/>
    <n v="7"/>
    <n v="6080"/>
    <n v="9.1999999999999993"/>
    <n v="38644.480000000003"/>
    <s v="Completed"/>
    <s v="Pune"/>
    <x v="5"/>
    <m/>
    <s v="SMB"/>
    <n v="30"/>
    <x v="3"/>
  </r>
  <r>
    <s v="ORD-00229"/>
    <d v="2024-10-20T00:00:00"/>
    <s v="CUST-0232"/>
    <s v="PROD-024"/>
    <s v="R014"/>
    <n v="5"/>
    <n v="2270"/>
    <n v="0.4"/>
    <n v="11304.6"/>
    <s v="Cancelled"/>
    <s v="Hyderabad"/>
    <x v="2"/>
    <m/>
    <s v="Retail"/>
    <n v="38"/>
    <x v="3"/>
  </r>
  <r>
    <s v="ORD-00230"/>
    <d v="2024-03-22T00:00:00"/>
    <s v="CUST-0070"/>
    <s v="PROD-046"/>
    <s v="R016"/>
    <n v="10"/>
    <n v="4880"/>
    <n v="24.5"/>
    <n v="36844"/>
    <s v="Refunded"/>
    <s v="Mumbai"/>
    <x v="5"/>
    <m/>
    <s v="Retail"/>
    <n v="42"/>
    <x v="0"/>
  </r>
  <r>
    <s v="ORD-00231"/>
    <d v="2024-01-02T00:00:00"/>
    <s v="CUST-0142"/>
    <s v="PROD-023"/>
    <s v="R002"/>
    <n v="2"/>
    <n v="2380"/>
    <n v="2.2999999999999998"/>
    <n v="4650.5200000000004"/>
    <s v="Completed"/>
    <s v="Chennai"/>
    <x v="2"/>
    <m/>
    <s v="Corporate"/>
    <n v="55"/>
    <x v="0"/>
  </r>
  <r>
    <s v="ORD-00232"/>
    <d v="2024-07-25T00:00:00"/>
    <s v="CUST-0161"/>
    <s v="PROD-054"/>
    <s v="R025"/>
    <n v="1"/>
    <n v="1010"/>
    <n v="29.9"/>
    <n v="708.01"/>
    <s v="Completed"/>
    <s v="Chennai"/>
    <x v="1"/>
    <m/>
    <s v="Retail"/>
    <n v="38"/>
    <x v="1"/>
  </r>
  <r>
    <s v="ORD-00233"/>
    <d v="2024-12-17T00:00:00"/>
    <s v="CUST-0020"/>
    <s v="PROD-056"/>
    <s v="R029"/>
    <n v="7"/>
    <n v="6940"/>
    <n v="25.8"/>
    <n v="36046.36"/>
    <s v="Completed"/>
    <s v="Hyderabad"/>
    <x v="1"/>
    <m/>
    <s v="Retail"/>
    <n v="46"/>
    <x v="0"/>
  </r>
  <r>
    <s v="ORD-00234"/>
    <d v="2024-09-07T00:00:00"/>
    <s v="CUST-0173"/>
    <s v="PROD-042"/>
    <s v="R024"/>
    <n v="6"/>
    <n v="2290"/>
    <n v="25.9"/>
    <n v="10181.34"/>
    <s v="Pending"/>
    <s v="Mumbai"/>
    <x v="5"/>
    <m/>
    <s v="Retail"/>
    <n v="65"/>
    <x v="0"/>
  </r>
  <r>
    <s v="ORD-00235"/>
    <d v="2024-08-04T00:00:00"/>
    <s v="CUST-0280"/>
    <s v="PROD-032"/>
    <s v="R014"/>
    <n v="2"/>
    <n v="370"/>
    <n v="3.9"/>
    <n v="711.14"/>
    <s v="Completed"/>
    <s v="Delhi"/>
    <x v="3"/>
    <m/>
    <s v="SMB"/>
    <n v="27"/>
    <x v="2"/>
  </r>
  <r>
    <s v="ORD-00236"/>
    <d v="2024-03-02T00:00:00"/>
    <s v="CUST-0073"/>
    <s v="PROD-022"/>
    <s v="R020"/>
    <n v="1"/>
    <n v="2270"/>
    <n v="25.3"/>
    <n v="1695.69"/>
    <s v="Completed"/>
    <s v="Pune"/>
    <x v="2"/>
    <m/>
    <s v="Corporate"/>
    <n v="40"/>
    <x v="4"/>
  </r>
  <r>
    <s v="ORD-00237"/>
    <d v="2024-02-22T00:00:00"/>
    <s v="CUST-0242"/>
    <s v="PROD-050"/>
    <s v="R002"/>
    <n v="4"/>
    <n v="6080"/>
    <n v="28.8"/>
    <n v="17315.84"/>
    <s v="Pending"/>
    <s v="Chennai"/>
    <x v="5"/>
    <m/>
    <s v="SMB"/>
    <n v="59"/>
    <x v="0"/>
  </r>
  <r>
    <s v="ORD-00238"/>
    <d v="2024-04-07T00:00:00"/>
    <s v="CUST-0234"/>
    <s v="PROD-001"/>
    <s v="R018"/>
    <n v="2"/>
    <n v="5330"/>
    <n v="23.8"/>
    <n v="8122.92"/>
    <s v="Pending"/>
    <s v="Bengaluru"/>
    <x v="4"/>
    <m/>
    <s v="Retail"/>
    <n v="34"/>
    <x v="1"/>
  </r>
  <r>
    <s v="ORD-00239"/>
    <d v="2024-02-22T00:00:00"/>
    <s v="CUST-0085"/>
    <s v="PROD-026"/>
    <s v="R024"/>
    <n v="2"/>
    <n v="4070"/>
    <n v="4.3"/>
    <n v="7789.98"/>
    <s v="Completed"/>
    <s v="Chennai"/>
    <x v="2"/>
    <m/>
    <s v="Retail"/>
    <n v="26"/>
    <x v="3"/>
  </r>
  <r>
    <s v="ORD-00240"/>
    <d v="2024-07-07T00:00:00"/>
    <s v="CUST-0228"/>
    <s v="PROD-005"/>
    <s v="R004"/>
    <n v="6"/>
    <n v="300"/>
    <n v="17.399999999999999"/>
    <n v="1486.8"/>
    <s v="Cancelled"/>
    <s v="Pune"/>
    <x v="4"/>
    <m/>
    <s v="Corporate"/>
    <n v="37"/>
    <x v="2"/>
  </r>
  <r>
    <s v="ORD-00241"/>
    <d v="2024-07-15T00:00:00"/>
    <s v="CUST-0147"/>
    <s v="PROD-046"/>
    <s v="R014"/>
    <n v="1"/>
    <n v="4880"/>
    <n v="17.5"/>
    <n v="4026"/>
    <s v="Completed"/>
    <s v="Pune"/>
    <x v="5"/>
    <m/>
    <s v="Retail"/>
    <n v="56"/>
    <x v="0"/>
  </r>
  <r>
    <s v="ORD-00242"/>
    <d v="2024-02-04T00:00:00"/>
    <s v="CUST-0171"/>
    <s v="PROD-055"/>
    <s v="R027"/>
    <n v="3"/>
    <n v="2860"/>
    <n v="20.100000000000001"/>
    <n v="6855.42"/>
    <s v="Completed"/>
    <s v="Chennai"/>
    <x v="1"/>
    <m/>
    <s v="Corporate"/>
    <n v="30"/>
    <x v="4"/>
  </r>
  <r>
    <s v="ORD-00243"/>
    <d v="2024-12-01T00:00:00"/>
    <s v="CUST-0051"/>
    <s v="PROD-041"/>
    <s v="R002"/>
    <n v="3"/>
    <n v="1540"/>
    <n v="20.9"/>
    <n v="3654.42"/>
    <s v="Completed"/>
    <s v="Pune"/>
    <x v="5"/>
    <m/>
    <s v="SMB"/>
    <n v="54"/>
    <x v="0"/>
  </r>
  <r>
    <s v="ORD-00244"/>
    <d v="2024-10-11T00:00:00"/>
    <s v="CUST-0285"/>
    <s v="PROD-010"/>
    <s v="R010"/>
    <n v="10"/>
    <n v="2640"/>
    <n v="11.2"/>
    <n v="23443.200000000001"/>
    <s v="Pending"/>
    <s v="Hyderabad"/>
    <x v="4"/>
    <m/>
    <s v="Retail"/>
    <n v="22"/>
    <x v="1"/>
  </r>
  <r>
    <s v="ORD-00245"/>
    <d v="2024-01-26T00:00:00"/>
    <s v="CUST-0114"/>
    <s v="PROD-012"/>
    <s v="R013"/>
    <n v="1"/>
    <n v="3160"/>
    <n v="11.5"/>
    <n v="2796.6"/>
    <s v="Completed"/>
    <s v="Bengaluru"/>
    <x v="0"/>
    <m/>
    <s v="Corporate"/>
    <n v="42"/>
    <x v="0"/>
  </r>
  <r>
    <s v="ORD-00246"/>
    <d v="2024-12-24T00:00:00"/>
    <s v="CUST-0295"/>
    <s v="PROD-040"/>
    <s v="R007"/>
    <n v="4"/>
    <n v="1080"/>
    <n v="20.7"/>
    <n v="3425.76"/>
    <s v="Pending"/>
    <s v="Delhi"/>
    <x v="3"/>
    <m/>
    <s v="SMB"/>
    <n v="48"/>
    <x v="0"/>
  </r>
  <r>
    <s v="ORD-00247"/>
    <d v="2024-10-20T00:00:00"/>
    <s v="CUST-0218"/>
    <s v="PROD-054"/>
    <s v="R013"/>
    <n v="4"/>
    <n v="1010"/>
    <n v="29.5"/>
    <n v="2848.2"/>
    <s v="Pending"/>
    <s v="Mumbai"/>
    <x v="1"/>
    <m/>
    <s v="Retail"/>
    <n v="39"/>
    <x v="1"/>
  </r>
  <r>
    <s v="ORD-00248"/>
    <d v="2024-09-10T00:00:00"/>
    <s v="CUST-0090"/>
    <s v="PROD-002"/>
    <s v="R027"/>
    <n v="7"/>
    <n v="2600"/>
    <n v="6.6"/>
    <n v="16998.8"/>
    <s v="Completed"/>
    <s v="Bengaluru"/>
    <x v="4"/>
    <m/>
    <s v="Corporate"/>
    <n v="26"/>
    <x v="4"/>
  </r>
  <r>
    <s v="ORD-00249"/>
    <d v="2024-04-13T00:00:00"/>
    <s v="CUST-0194"/>
    <s v="PROD-017"/>
    <s v="R009"/>
    <n v="4"/>
    <n v="2510"/>
    <n v="1"/>
    <n v="9939.6"/>
    <s v="Completed"/>
    <s v="Delhi"/>
    <x v="0"/>
    <m/>
    <s v="SMB"/>
    <n v="55"/>
    <x v="0"/>
  </r>
  <r>
    <s v="ORD-00250"/>
    <d v="2024-12-10T00:00:00"/>
    <s v="CUST-0231"/>
    <s v="PROD-026"/>
    <s v="R022"/>
    <n v="9"/>
    <n v="4070"/>
    <n v="6.7"/>
    <n v="34175.79"/>
    <s v="Cancelled"/>
    <s v="Chennai"/>
    <x v="2"/>
    <m/>
    <s v="Retail"/>
    <n v="61"/>
    <x v="0"/>
  </r>
  <r>
    <s v="ORD-00251"/>
    <d v="2024-11-16T00:00:00"/>
    <s v="CUST-0055"/>
    <s v="PROD-020"/>
    <s v="R010"/>
    <n v="6"/>
    <n v="820"/>
    <n v="14"/>
    <n v="4231.2"/>
    <s v="Completed"/>
    <s v="Bengaluru"/>
    <x v="0"/>
    <m/>
    <s v="Retail"/>
    <n v="34"/>
    <x v="3"/>
  </r>
  <r>
    <s v="ORD-00252"/>
    <d v="2024-07-22T00:00:00"/>
    <s v="CUST-0262"/>
    <s v="PROD-030"/>
    <s v="R005"/>
    <n v="2"/>
    <n v="970"/>
    <n v="23.8"/>
    <n v="1478.28"/>
    <s v="Completed"/>
    <s v="Mumbai"/>
    <x v="2"/>
    <m/>
    <s v="Retail"/>
    <n v="52"/>
    <x v="0"/>
  </r>
  <r>
    <s v="ORD-00253"/>
    <d v="2024-02-15T00:00:00"/>
    <s v="CUST-0155"/>
    <s v="PROD-026"/>
    <s v="R012"/>
    <n v="4"/>
    <n v="4070"/>
    <n v="19"/>
    <n v="13186.8"/>
    <s v="Pending"/>
    <s v="Pune"/>
    <x v="2"/>
    <m/>
    <s v="Corporate"/>
    <n v="40"/>
    <x v="1"/>
  </r>
  <r>
    <s v="ORD-00254"/>
    <d v="2024-02-11T00:00:00"/>
    <s v="CUST-0169"/>
    <s v="PROD-047"/>
    <s v="R017"/>
    <n v="3"/>
    <n v="3450"/>
    <n v="4.4000000000000004"/>
    <n v="9894.6"/>
    <s v="Cancelled"/>
    <s v="Bengaluru"/>
    <x v="5"/>
    <m/>
    <s v="SMB"/>
    <n v="42"/>
    <x v="0"/>
  </r>
  <r>
    <s v="ORD-00255"/>
    <d v="2024-08-07T00:00:00"/>
    <s v="CUST-0208"/>
    <s v="PROD-027"/>
    <s v="R010"/>
    <n v="5"/>
    <n v="3780"/>
    <n v="13.5"/>
    <n v="16348.5"/>
    <s v="Completed"/>
    <s v="Mumbai"/>
    <x v="2"/>
    <m/>
    <s v="Retail"/>
    <n v="49"/>
    <x v="0"/>
  </r>
  <r>
    <s v="ORD-00256"/>
    <d v="2024-10-30T00:00:00"/>
    <s v="CUST-0249"/>
    <s v="PROD-057"/>
    <s v="R004"/>
    <n v="1"/>
    <n v="960"/>
    <n v="29.2"/>
    <n v="679.68"/>
    <s v="Completed"/>
    <s v="Mumbai"/>
    <x v="1"/>
    <m/>
    <s v="Retail"/>
    <n v="44"/>
    <x v="0"/>
  </r>
  <r>
    <s v="ORD-00257"/>
    <d v="2024-01-30T00:00:00"/>
    <s v="CUST-0151"/>
    <s v="PROD-003"/>
    <s v="R022"/>
    <n v="10"/>
    <n v="3570"/>
    <n v="10.7"/>
    <n v="31880.1"/>
    <s v="Completed"/>
    <s v="Mumbai"/>
    <x v="4"/>
    <m/>
    <s v="Retail"/>
    <n v="53"/>
    <x v="0"/>
  </r>
  <r>
    <s v="ORD-00258"/>
    <d v="2024-08-07T00:00:00"/>
    <s v="CUST-0115"/>
    <s v="PROD-003"/>
    <s v="R024"/>
    <n v="7"/>
    <n v="3570"/>
    <n v="12.2"/>
    <n v="21941.22"/>
    <s v="Completed"/>
    <s v="Mumbai"/>
    <x v="4"/>
    <m/>
    <s v="SMB"/>
    <n v="65"/>
    <x v="0"/>
  </r>
  <r>
    <s v="ORD-00259"/>
    <d v="2024-10-10T00:00:00"/>
    <s v="CUST-0041"/>
    <s v="PROD-040"/>
    <s v="R014"/>
    <n v="6"/>
    <n v="1080"/>
    <n v="19.8"/>
    <n v="5196.96"/>
    <s v="Completed"/>
    <s v="Bengaluru"/>
    <x v="3"/>
    <m/>
    <s v="SMB"/>
    <n v="26"/>
    <x v="2"/>
  </r>
  <r>
    <s v="ORD-00260"/>
    <d v="2024-12-23T00:00:00"/>
    <s v="CUST-0101"/>
    <s v="PROD-011"/>
    <s v="R010"/>
    <n v="8"/>
    <n v="3450"/>
    <n v="19"/>
    <n v="22356"/>
    <s v="Completed"/>
    <s v="Hyderabad"/>
    <x v="0"/>
    <m/>
    <s v="SMB"/>
    <n v="40"/>
    <x v="4"/>
  </r>
  <r>
    <s v="ORD-00261"/>
    <d v="2024-03-20T00:00:00"/>
    <s v="CUST-0198"/>
    <s v="PROD-008"/>
    <s v="R023"/>
    <n v="4"/>
    <n v="2660"/>
    <n v="18.8"/>
    <n v="8639.68"/>
    <s v="Pending"/>
    <s v="Chennai"/>
    <x v="4"/>
    <m/>
    <s v="Corporate"/>
    <n v="22"/>
    <x v="4"/>
  </r>
  <r>
    <s v="ORD-00262"/>
    <d v="2024-08-18T00:00:00"/>
    <s v="CUST-0200"/>
    <s v="PROD-058"/>
    <s v="R009"/>
    <n v="4"/>
    <n v="2400"/>
    <n v="5.6"/>
    <n v="9062.4"/>
    <s v="Completed"/>
    <s v="Hyderabad"/>
    <x v="1"/>
    <m/>
    <s v="Corporate"/>
    <n v="46"/>
    <x v="0"/>
  </r>
  <r>
    <s v="ORD-00263"/>
    <d v="2024-08-09T00:00:00"/>
    <s v="CUST-0110"/>
    <s v="PROD-002"/>
    <s v="R003"/>
    <n v="10"/>
    <n v="2600"/>
    <n v="24.7"/>
    <n v="19578"/>
    <s v="Completed"/>
    <s v="Pune"/>
    <x v="4"/>
    <m/>
    <s v="Corporate"/>
    <n v="31"/>
    <x v="4"/>
  </r>
  <r>
    <s v="ORD-00264"/>
    <d v="2024-08-09T00:00:00"/>
    <s v="CUST-0134"/>
    <s v="PROD-025"/>
    <s v="R004"/>
    <n v="3"/>
    <n v="4060"/>
    <n v="6.9"/>
    <n v="11339.58"/>
    <s v="Completed"/>
    <s v="Delhi"/>
    <x v="2"/>
    <m/>
    <s v="Retail"/>
    <n v="40"/>
    <x v="1"/>
  </r>
  <r>
    <s v="ORD-00265"/>
    <d v="2024-06-22T00:00:00"/>
    <s v="CUST-0141"/>
    <s v="PROD-038"/>
    <s v="R023"/>
    <n v="6"/>
    <n v="5490"/>
    <n v="8.4"/>
    <n v="30173.040000000001"/>
    <s v="Completed"/>
    <s v="Hyderabad"/>
    <x v="3"/>
    <m/>
    <s v="Corporate"/>
    <n v="22"/>
    <x v="1"/>
  </r>
  <r>
    <s v="ORD-00266"/>
    <d v="2024-04-25T00:00:00"/>
    <s v="CUST-0163"/>
    <s v="PROD-032"/>
    <s v="R018"/>
    <n v="6"/>
    <n v="370"/>
    <n v="15.1"/>
    <n v="1884.78"/>
    <s v="Completed"/>
    <s v="Pune"/>
    <x v="3"/>
    <m/>
    <s v="Retail"/>
    <n v="49"/>
    <x v="0"/>
  </r>
  <r>
    <s v="ORD-00267"/>
    <d v="2024-04-23T00:00:00"/>
    <s v="CUST-0181"/>
    <s v="PROD-016"/>
    <s v="R023"/>
    <n v="5"/>
    <n v="620"/>
    <n v="13.1"/>
    <n v="2693.9"/>
    <s v="Cancelled"/>
    <s v="Delhi"/>
    <x v="0"/>
    <m/>
    <s v="SMB"/>
    <n v="38"/>
    <x v="3"/>
  </r>
  <r>
    <s v="ORD-00268"/>
    <d v="2024-02-10T00:00:00"/>
    <s v="CUST-0133"/>
    <s v="PROD-036"/>
    <s v="R029"/>
    <n v="9"/>
    <n v="3250"/>
    <n v="16.5"/>
    <n v="24423.75"/>
    <s v="Completed"/>
    <s v="Chennai"/>
    <x v="3"/>
    <m/>
    <s v="Retail"/>
    <n v="26"/>
    <x v="3"/>
  </r>
  <r>
    <s v="ORD-00269"/>
    <d v="2024-01-08T00:00:00"/>
    <s v="CUST-0095"/>
    <s v="PROD-050"/>
    <s v="R011"/>
    <n v="1"/>
    <n v="6080"/>
    <n v="0.1"/>
    <n v="6073.92"/>
    <s v="Completed"/>
    <s v="Mumbai"/>
    <x v="5"/>
    <m/>
    <s v="SMB"/>
    <n v="54"/>
    <x v="0"/>
  </r>
  <r>
    <s v="ORD-00270"/>
    <d v="2024-04-04T00:00:00"/>
    <s v="CUST-0171"/>
    <s v="PROD-013"/>
    <s v="R014"/>
    <n v="8"/>
    <n v="3640"/>
    <n v="13.5"/>
    <n v="25188.799999999999"/>
    <s v="Completed"/>
    <s v="Chennai"/>
    <x v="0"/>
    <m/>
    <s v="Corporate"/>
    <n v="30"/>
    <x v="4"/>
  </r>
  <r>
    <s v="ORD-00271"/>
    <d v="2024-06-29T00:00:00"/>
    <s v="CUST-0238"/>
    <s v="PROD-012"/>
    <s v="R005"/>
    <n v="9"/>
    <n v="3160"/>
    <n v="29.7"/>
    <n v="19993.32"/>
    <s v="Completed"/>
    <s v="Delhi"/>
    <x v="0"/>
    <m/>
    <s v="Retail"/>
    <n v="49"/>
    <x v="0"/>
  </r>
  <r>
    <s v="ORD-00272"/>
    <d v="2024-05-16T00:00:00"/>
    <s v="CUST-0185"/>
    <s v="PROD-004"/>
    <s v="R007"/>
    <n v="2"/>
    <n v="3870"/>
    <n v="18.100000000000001"/>
    <n v="6339.06"/>
    <s v="Cancelled"/>
    <s v="Hyderabad"/>
    <x v="4"/>
    <m/>
    <s v="SMB"/>
    <n v="43"/>
    <x v="0"/>
  </r>
  <r>
    <s v="ORD-00273"/>
    <d v="2024-05-18T00:00:00"/>
    <s v="CUST-0167"/>
    <s v="PROD-037"/>
    <s v="R030"/>
    <n v="3"/>
    <n v="660"/>
    <n v="9.1999999999999993"/>
    <n v="1797.84"/>
    <s v="Completed"/>
    <s v="Delhi"/>
    <x v="3"/>
    <m/>
    <s v="Retail"/>
    <n v="43"/>
    <x v="0"/>
  </r>
  <r>
    <s v="ORD-00274"/>
    <d v="2024-05-06T00:00:00"/>
    <s v="CUST-0224"/>
    <s v="PROD-025"/>
    <s v="R013"/>
    <n v="4"/>
    <n v="4060"/>
    <n v="28"/>
    <n v="11692.8"/>
    <s v="Completed"/>
    <s v="Chennai"/>
    <x v="2"/>
    <m/>
    <s v="Corporate"/>
    <n v="24"/>
    <x v="2"/>
  </r>
  <r>
    <s v="ORD-00275"/>
    <d v="2024-03-09T00:00:00"/>
    <s v="CUST-0181"/>
    <s v="PROD-034"/>
    <s v="R016"/>
    <n v="2"/>
    <n v="5080"/>
    <n v="7.7"/>
    <n v="9377.68"/>
    <s v="Refunded"/>
    <s v="Delhi"/>
    <x v="3"/>
    <m/>
    <s v="SMB"/>
    <n v="38"/>
    <x v="4"/>
  </r>
  <r>
    <s v="ORD-00276"/>
    <d v="2024-01-05T00:00:00"/>
    <s v="CUST-0020"/>
    <s v="PROD-003"/>
    <s v="R005"/>
    <n v="3"/>
    <n v="3570"/>
    <n v="9.5"/>
    <n v="9692.5499999999993"/>
    <s v="Completed"/>
    <s v="Hyderabad"/>
    <x v="4"/>
    <m/>
    <s v="Retail"/>
    <n v="46"/>
    <x v="0"/>
  </r>
  <r>
    <s v="ORD-00277"/>
    <d v="2024-06-17T00:00:00"/>
    <s v="CUST-0183"/>
    <s v="PROD-016"/>
    <s v="R020"/>
    <n v="2"/>
    <n v="620"/>
    <n v="29.5"/>
    <n v="874.2"/>
    <s v="Completed"/>
    <s v="Mumbai"/>
    <x v="0"/>
    <m/>
    <s v="SMB"/>
    <n v="27"/>
    <x v="1"/>
  </r>
  <r>
    <s v="ORD-00278"/>
    <d v="2024-12-12T00:00:00"/>
    <s v="CUST-0028"/>
    <s v="PROD-011"/>
    <s v="R013"/>
    <n v="3"/>
    <n v="3450"/>
    <n v="3"/>
    <n v="10039.5"/>
    <s v="Completed"/>
    <s v="Bengaluru"/>
    <x v="0"/>
    <m/>
    <s v="Retail"/>
    <n v="59"/>
    <x v="0"/>
  </r>
  <r>
    <s v="ORD-00279"/>
    <d v="2024-04-26T00:00:00"/>
    <s v="CUST-0121"/>
    <s v="PROD-048"/>
    <s v="R006"/>
    <n v="7"/>
    <n v="5100"/>
    <n v="4.3"/>
    <n v="34164.9"/>
    <s v="Completed"/>
    <s v="Delhi"/>
    <x v="5"/>
    <m/>
    <s v="SMB"/>
    <n v="55"/>
    <x v="0"/>
  </r>
  <r>
    <s v="ORD-00280"/>
    <d v="2024-09-06T00:00:00"/>
    <s v="CUST-0192"/>
    <s v="PROD-004"/>
    <s v="R003"/>
    <n v="9"/>
    <n v="3870"/>
    <n v="4.8"/>
    <n v="33158.160000000003"/>
    <s v="Completed"/>
    <s v="Bengaluru"/>
    <x v="4"/>
    <m/>
    <s v="Retail"/>
    <n v="55"/>
    <x v="0"/>
  </r>
  <r>
    <s v="ORD-00281"/>
    <d v="2024-12-07T00:00:00"/>
    <s v="CUST-0155"/>
    <s v="PROD-009"/>
    <s v="R029"/>
    <n v="5"/>
    <n v="1220"/>
    <n v="4"/>
    <n v="5856"/>
    <s v="Cancelled"/>
    <s v="Pune"/>
    <x v="4"/>
    <m/>
    <s v="Corporate"/>
    <n v="40"/>
    <x v="1"/>
  </r>
  <r>
    <s v="ORD-00282"/>
    <d v="2024-02-16T00:00:00"/>
    <s v="CUST-0159"/>
    <s v="PROD-038"/>
    <s v="R023"/>
    <n v="5"/>
    <n v="5490"/>
    <n v="19.8"/>
    <n v="22014.9"/>
    <s v="Completed"/>
    <s v="Hyderabad"/>
    <x v="3"/>
    <m/>
    <s v="Retail"/>
    <n v="32"/>
    <x v="2"/>
  </r>
  <r>
    <s v="ORD-00283"/>
    <d v="2024-08-25T00:00:00"/>
    <s v="CUST-0025"/>
    <s v="PROD-044"/>
    <s v="R001"/>
    <n v="1"/>
    <n v="1650"/>
    <n v="26.2"/>
    <n v="1217.7"/>
    <s v="Completed"/>
    <s v="Bengaluru"/>
    <x v="5"/>
    <m/>
    <s v="Retail"/>
    <n v="23"/>
    <x v="3"/>
  </r>
  <r>
    <s v="ORD-00284"/>
    <d v="2024-06-17T00:00:00"/>
    <s v="CUST-0297"/>
    <s v="PROD-008"/>
    <s v="R003"/>
    <n v="1"/>
    <n v="2660"/>
    <n v="21"/>
    <n v="2101.4"/>
    <s v="Completed"/>
    <s v="Hyderabad"/>
    <x v="4"/>
    <m/>
    <s v="Retail"/>
    <n v="50"/>
    <x v="0"/>
  </r>
  <r>
    <s v="ORD-00285"/>
    <d v="2024-03-24T00:00:00"/>
    <s v="CUST-0108"/>
    <s v="PROD-029"/>
    <s v="R003"/>
    <n v="6"/>
    <n v="2210"/>
    <n v="9.8000000000000007"/>
    <n v="11960.52"/>
    <s v="Pending"/>
    <s v="Bengaluru"/>
    <x v="2"/>
    <m/>
    <s v="Corporate"/>
    <n v="59"/>
    <x v="0"/>
  </r>
  <r>
    <s v="ORD-00286"/>
    <d v="2024-01-19T00:00:00"/>
    <s v="CUST-0121"/>
    <s v="PROD-002"/>
    <s v="R001"/>
    <n v="9"/>
    <n v="2600"/>
    <n v="15.7"/>
    <n v="19726.2"/>
    <s v="Completed"/>
    <s v="Delhi"/>
    <x v="4"/>
    <m/>
    <s v="SMB"/>
    <n v="55"/>
    <x v="0"/>
  </r>
  <r>
    <s v="ORD-00287"/>
    <d v="2024-01-23T00:00:00"/>
    <s v="CUST-0160"/>
    <s v="PROD-045"/>
    <s v="R025"/>
    <n v="3"/>
    <n v="3020"/>
    <n v="22.6"/>
    <n v="7012.44"/>
    <s v="Completed"/>
    <s v="Hyderabad"/>
    <x v="5"/>
    <m/>
    <s v="Retail"/>
    <n v="27"/>
    <x v="1"/>
  </r>
  <r>
    <s v="ORD-00288"/>
    <d v="2024-06-16T00:00:00"/>
    <s v="CUST-0230"/>
    <s v="PROD-032"/>
    <s v="R005"/>
    <n v="6"/>
    <n v="370"/>
    <n v="12.4"/>
    <n v="1944.72"/>
    <s v="Completed"/>
    <s v="Pune"/>
    <x v="3"/>
    <m/>
    <s v="Corporate"/>
    <n v="33"/>
    <x v="2"/>
  </r>
  <r>
    <s v="ORD-00289"/>
    <d v="2024-01-21T00:00:00"/>
    <s v="CUST-0151"/>
    <s v="PROD-001"/>
    <s v="R006"/>
    <n v="8"/>
    <n v="5330"/>
    <n v="16.2"/>
    <n v="35732.32"/>
    <s v="Completed"/>
    <s v="Mumbai"/>
    <x v="4"/>
    <m/>
    <s v="Retail"/>
    <n v="53"/>
    <x v="0"/>
  </r>
  <r>
    <s v="ORD-00290"/>
    <d v="2024-07-27T00:00:00"/>
    <s v="CUST-0222"/>
    <s v="PROD-018"/>
    <s v="R030"/>
    <n v="4"/>
    <n v="3560"/>
    <n v="10.5"/>
    <n v="12744.8"/>
    <s v="Completed"/>
    <s v="Chennai"/>
    <x v="0"/>
    <m/>
    <s v="Retail"/>
    <n v="37"/>
    <x v="1"/>
  </r>
  <r>
    <s v="ORD-00291"/>
    <d v="2024-04-07T00:00:00"/>
    <s v="CUST-0055"/>
    <s v="PROD-054"/>
    <s v="R030"/>
    <n v="10"/>
    <n v="1010"/>
    <n v="10.8"/>
    <n v="9009.2000000000007"/>
    <s v="Completed"/>
    <s v="Bengaluru"/>
    <x v="1"/>
    <m/>
    <s v="Retail"/>
    <n v="34"/>
    <x v="2"/>
  </r>
  <r>
    <s v="ORD-00292"/>
    <d v="2024-11-23T00:00:00"/>
    <s v="CUST-0011"/>
    <s v="PROD-056"/>
    <s v="R006"/>
    <n v="8"/>
    <n v="6940"/>
    <n v="3.2"/>
    <n v="53743.360000000001"/>
    <s v="Cancelled"/>
    <s v="Chennai"/>
    <x v="1"/>
    <m/>
    <s v="Corporate"/>
    <n v="41"/>
    <x v="0"/>
  </r>
  <r>
    <s v="ORD-00335"/>
    <d v="2024-11-21T00:00:00"/>
    <s v="CUST-0020"/>
    <s v="PROD-012"/>
    <s v="R015"/>
    <n v="7"/>
    <n v="3160"/>
    <n v="3.6"/>
    <n v="21323.68"/>
    <s v="Completed"/>
    <s v="Hyderabad"/>
    <x v="0"/>
    <m/>
    <s v="Retail"/>
    <n v="46"/>
    <x v="0"/>
  </r>
  <r>
    <s v="ORD-00294"/>
    <d v="2024-12-14T00:00:00"/>
    <s v="CUST-0163"/>
    <s v="PROD-028"/>
    <s v="R008"/>
    <n v="2"/>
    <n v="3660"/>
    <n v="30"/>
    <n v="5124"/>
    <s v="Pending"/>
    <s v="Pune"/>
    <x v="2"/>
    <m/>
    <s v="Retail"/>
    <n v="49"/>
    <x v="0"/>
  </r>
  <r>
    <s v="ORD-00295"/>
    <d v="2024-04-19T00:00:00"/>
    <s v="CUST-0081"/>
    <s v="PROD-024"/>
    <s v="R005"/>
    <n v="1"/>
    <n v="2270"/>
    <n v="4.8"/>
    <n v="2161.04"/>
    <s v="Cancelled"/>
    <s v="Mumbai"/>
    <x v="2"/>
    <m/>
    <s v="Retail"/>
    <n v="25"/>
    <x v="1"/>
  </r>
  <r>
    <s v="ORD-00296"/>
    <d v="2024-04-23T00:00:00"/>
    <s v="CUST-0053"/>
    <s v="PROD-059"/>
    <s v="R025"/>
    <n v="8"/>
    <n v="3780"/>
    <n v="13"/>
    <n v="26308.799999999999"/>
    <s v="Completed"/>
    <s v="Delhi"/>
    <x v="1"/>
    <m/>
    <s v="Retail"/>
    <n v="53"/>
    <x v="0"/>
  </r>
  <r>
    <s v="ORD-01770"/>
    <d v="2024-09-02T00:00:00"/>
    <s v="CUST-0115"/>
    <s v="PROD-013"/>
    <s v="R012"/>
    <n v="1"/>
    <n v="3640"/>
    <n v="15.3"/>
    <n v="3083.08"/>
    <s v="Pending"/>
    <s v="Mumbai"/>
    <x v="0"/>
    <m/>
    <s v="SMB"/>
    <n v="65"/>
    <x v="0"/>
  </r>
  <r>
    <s v="ORD-00298"/>
    <d v="2024-07-02T00:00:00"/>
    <s v="CUST-0166"/>
    <s v="PROD-009"/>
    <s v="R009"/>
    <n v="8"/>
    <n v="1220"/>
    <n v="28.2"/>
    <n v="7007.68"/>
    <s v="Completed"/>
    <s v="Hyderabad"/>
    <x v="4"/>
    <m/>
    <s v="Retail"/>
    <n v="31"/>
    <x v="4"/>
  </r>
  <r>
    <s v="ORD-00299"/>
    <d v="2024-11-28T00:00:00"/>
    <s v="CUST-0263"/>
    <s v="PROD-017"/>
    <s v="R030"/>
    <n v="3"/>
    <n v="2510"/>
    <n v="17.399999999999999"/>
    <n v="6219.78"/>
    <s v="Completed"/>
    <s v="Mumbai"/>
    <x v="0"/>
    <m/>
    <s v="Retail"/>
    <n v="40"/>
    <x v="4"/>
  </r>
  <r>
    <s v="ORD-00300"/>
    <d v="2024-12-09T00:00:00"/>
    <s v="CUST-0010"/>
    <s v="PROD-040"/>
    <s v="R004"/>
    <n v="1"/>
    <n v="1080"/>
    <n v="13.9"/>
    <n v="929.88"/>
    <s v="Completed"/>
    <s v="Mumbai"/>
    <x v="3"/>
    <m/>
    <s v="SMB"/>
    <n v="61"/>
    <x v="0"/>
  </r>
  <r>
    <s v="ORD-00301"/>
    <d v="2024-04-13T00:00:00"/>
    <s v="CUST-0036"/>
    <s v="PROD-033"/>
    <s v="R016"/>
    <n v="7"/>
    <n v="2030"/>
    <n v="29.2"/>
    <n v="10060.68"/>
    <s v="Completed"/>
    <s v="Mumbai"/>
    <x v="3"/>
    <m/>
    <s v="Retail"/>
    <n v="35"/>
    <x v="1"/>
  </r>
  <r>
    <s v="ORD-00302"/>
    <d v="2024-05-03T00:00:00"/>
    <s v="CUST-0259"/>
    <s v="PROD-059"/>
    <s v="R020"/>
    <n v="6"/>
    <n v="3780"/>
    <n v="20.9"/>
    <n v="17939.88"/>
    <s v="Refunded"/>
    <s v="Mumbai"/>
    <x v="1"/>
    <m/>
    <s v="Retail"/>
    <n v="34"/>
    <x v="4"/>
  </r>
  <r>
    <s v="ORD-00303"/>
    <d v="2024-12-27T00:00:00"/>
    <s v="CUST-0247"/>
    <s v="PROD-012"/>
    <s v="R016"/>
    <n v="1"/>
    <n v="3160"/>
    <n v="10.7"/>
    <n v="2821.88"/>
    <s v="Completed"/>
    <s v="Pune"/>
    <x v="0"/>
    <m/>
    <s v="SMB"/>
    <n v="35"/>
    <x v="3"/>
  </r>
  <r>
    <s v="ORD-00881"/>
    <d v="2024-09-29T00:00:00"/>
    <s v="CUST-0191"/>
    <s v="PROD-046"/>
    <s v="R010"/>
    <n v="5"/>
    <n v="4880"/>
    <n v="11.4"/>
    <n v="21618.400000000001"/>
    <s v="Completed"/>
    <s v="Hyderabad"/>
    <x v="5"/>
    <m/>
    <s v="SMB"/>
    <n v="43"/>
    <x v="0"/>
  </r>
  <r>
    <s v="ORD-00305"/>
    <d v="2024-12-07T00:00:00"/>
    <s v="CUST-0167"/>
    <s v="PROD-031"/>
    <s v="R009"/>
    <n v="9"/>
    <n v="3730"/>
    <n v="10"/>
    <n v="30213"/>
    <s v="Completed"/>
    <s v="Delhi"/>
    <x v="3"/>
    <m/>
    <s v="Retail"/>
    <n v="43"/>
    <x v="0"/>
  </r>
  <r>
    <s v="ORD-00306"/>
    <d v="2024-01-18T00:00:00"/>
    <s v="CUST-0196"/>
    <s v="PROD-034"/>
    <s v="R004"/>
    <n v="5"/>
    <n v="5080"/>
    <n v="15.3"/>
    <n v="21513.8"/>
    <s v="Completed"/>
    <s v="Chennai"/>
    <x v="3"/>
    <m/>
    <s v="Retail"/>
    <n v="26"/>
    <x v="4"/>
  </r>
  <r>
    <s v="ORD-00307"/>
    <d v="2024-04-21T00:00:00"/>
    <s v="CUST-0182"/>
    <s v="PROD-042"/>
    <s v="R013"/>
    <n v="9"/>
    <n v="2290"/>
    <n v="3.3"/>
    <n v="19929.87"/>
    <s v="Pending"/>
    <s v="Mumbai"/>
    <x v="5"/>
    <m/>
    <s v="Retail"/>
    <n v="54"/>
    <x v="0"/>
  </r>
  <r>
    <s v="ORD-00308"/>
    <d v="2024-09-19T00:00:00"/>
    <s v="CUST-0246"/>
    <s v="PROD-008"/>
    <s v="R010"/>
    <n v="5"/>
    <n v="2660"/>
    <n v="8.3000000000000007"/>
    <n v="12196.1"/>
    <s v="Completed"/>
    <s v="Delhi"/>
    <x v="4"/>
    <m/>
    <s v="SMB"/>
    <n v="29"/>
    <x v="4"/>
  </r>
  <r>
    <s v="ORD-00309"/>
    <d v="2024-08-25T00:00:00"/>
    <s v="CUST-0132"/>
    <s v="PROD-027"/>
    <s v="R025"/>
    <n v="6"/>
    <n v="3780"/>
    <n v="28.3"/>
    <n v="16261.56"/>
    <s v="Completed"/>
    <s v="Delhi"/>
    <x v="2"/>
    <m/>
    <s v="Retail"/>
    <n v="41"/>
    <x v="0"/>
  </r>
  <r>
    <s v="ORD-00310"/>
    <d v="2024-01-09T00:00:00"/>
    <s v="CUST-0153"/>
    <s v="PROD-021"/>
    <s v="R028"/>
    <n v="5"/>
    <n v="2760"/>
    <n v="4.9000000000000004"/>
    <n v="13123.8"/>
    <s v="Completed"/>
    <s v="Mumbai"/>
    <x v="2"/>
    <m/>
    <s v="Retail"/>
    <n v="35"/>
    <x v="2"/>
  </r>
  <r>
    <s v="ORD-00311"/>
    <d v="2024-03-17T00:00:00"/>
    <s v="CUST-0139"/>
    <s v="PROD-041"/>
    <s v="R006"/>
    <n v="8"/>
    <n v="1540"/>
    <n v="29.4"/>
    <n v="8697.92"/>
    <s v="Cancelled"/>
    <s v="Hyderabad"/>
    <x v="5"/>
    <m/>
    <s v="SMB"/>
    <n v="65"/>
    <x v="0"/>
  </r>
  <r>
    <s v="ORD-00312"/>
    <d v="2024-03-23T00:00:00"/>
    <s v="CUST-0256"/>
    <s v="PROD-046"/>
    <s v="R022"/>
    <n v="1"/>
    <n v="4880"/>
    <n v="18.100000000000001"/>
    <n v="3996.72"/>
    <s v="Completed"/>
    <s v="Hyderabad"/>
    <x v="5"/>
    <m/>
    <s v="Retail"/>
    <n v="28"/>
    <x v="1"/>
  </r>
  <r>
    <s v="ORD-00313"/>
    <d v="2024-10-27T00:00:00"/>
    <s v="CUST-0027"/>
    <s v="PROD-024"/>
    <s v="R015"/>
    <n v="8"/>
    <n v="2270"/>
    <n v="19.8"/>
    <n v="14564.32"/>
    <s v="Pending"/>
    <s v="Hyderabad"/>
    <x v="2"/>
    <m/>
    <s v="Corporate"/>
    <n v="52"/>
    <x v="0"/>
  </r>
  <r>
    <s v="ORD-00314"/>
    <d v="2024-08-04T00:00:00"/>
    <s v="CUST-0151"/>
    <s v="PROD-019"/>
    <s v="R010"/>
    <n v="10"/>
    <n v="2480"/>
    <n v="24.4"/>
    <n v="18748.8"/>
    <s v="Pending"/>
    <s v="Mumbai"/>
    <x v="0"/>
    <m/>
    <s v="Retail"/>
    <n v="53"/>
    <x v="0"/>
  </r>
  <r>
    <s v="ORD-00315"/>
    <d v="2024-07-08T00:00:00"/>
    <s v="CUST-0204"/>
    <s v="PROD-045"/>
    <s v="R014"/>
    <n v="8"/>
    <n v="3020"/>
    <n v="15.2"/>
    <n v="20487.68"/>
    <s v="Pending"/>
    <s v="Hyderabad"/>
    <x v="5"/>
    <m/>
    <s v="Retail"/>
    <n v="60"/>
    <x v="0"/>
  </r>
  <r>
    <s v="ORD-00316"/>
    <d v="2024-08-13T00:00:00"/>
    <s v="CUST-0084"/>
    <s v="PROD-041"/>
    <s v="R019"/>
    <n v="10"/>
    <n v="1540"/>
    <n v="0.6"/>
    <n v="15307.6"/>
    <s v="Completed"/>
    <s v="Chennai"/>
    <x v="5"/>
    <m/>
    <s v="Retail"/>
    <n v="28"/>
    <x v="4"/>
  </r>
  <r>
    <s v="ORD-00317"/>
    <d v="2024-12-06T00:00:00"/>
    <s v="CUST-0048"/>
    <s v="PROD-012"/>
    <s v="R001"/>
    <n v="7"/>
    <n v="3160"/>
    <n v="8.9"/>
    <n v="20151.32"/>
    <s v="Completed"/>
    <s v="Delhi"/>
    <x v="0"/>
    <m/>
    <s v="Retail"/>
    <n v="59"/>
    <x v="0"/>
  </r>
  <r>
    <s v="ORD-00318"/>
    <d v="2024-10-27T00:00:00"/>
    <s v="CUST-0013"/>
    <s v="PROD-054"/>
    <s v="R013"/>
    <n v="6"/>
    <n v="1010"/>
    <n v="12.9"/>
    <n v="5278.26"/>
    <s v="Completed"/>
    <s v="Delhi"/>
    <x v="1"/>
    <m/>
    <s v="Retail"/>
    <n v="41"/>
    <x v="0"/>
  </r>
  <r>
    <s v="ORD-00319"/>
    <d v="2024-06-07T00:00:00"/>
    <s v="CUST-0245"/>
    <s v="PROD-039"/>
    <s v="R020"/>
    <n v="4"/>
    <n v="4610"/>
    <n v="18.2"/>
    <n v="15083.92"/>
    <s v="Completed"/>
    <s v="Hyderabad"/>
    <x v="3"/>
    <m/>
    <s v="Retail"/>
    <n v="65"/>
    <x v="0"/>
  </r>
  <r>
    <s v="ORD-00320"/>
    <d v="2024-02-21T00:00:00"/>
    <s v="CUST-0031"/>
    <s v="PROD-025"/>
    <s v="R029"/>
    <n v="6"/>
    <n v="4060"/>
    <n v="24.3"/>
    <n v="18440.52"/>
    <s v="Completed"/>
    <s v="Hyderabad"/>
    <x v="2"/>
    <m/>
    <s v="Retail"/>
    <n v="53"/>
    <x v="0"/>
  </r>
  <r>
    <s v="ORD-00321"/>
    <d v="2024-08-05T00:00:00"/>
    <s v="CUST-0212"/>
    <s v="PROD-016"/>
    <s v="R001"/>
    <n v="5"/>
    <n v="620"/>
    <n v="10.7"/>
    <n v="2768.3"/>
    <s v="Refunded"/>
    <s v="Chennai"/>
    <x v="0"/>
    <m/>
    <s v="SMB"/>
    <n v="46"/>
    <x v="0"/>
  </r>
  <r>
    <s v="ORD-00322"/>
    <d v="2024-08-09T00:00:00"/>
    <s v="CUST-0104"/>
    <s v="PROD-018"/>
    <s v="R003"/>
    <n v="3"/>
    <n v="3560"/>
    <n v="4.0999999999999996"/>
    <n v="10242.120000000001"/>
    <s v="Completed"/>
    <s v="Hyderabad"/>
    <x v="0"/>
    <m/>
    <s v="Corporate"/>
    <n v="43"/>
    <x v="0"/>
  </r>
  <r>
    <s v="ORD-00323"/>
    <d v="2024-07-27T00:00:00"/>
    <s v="CUST-0157"/>
    <s v="PROD-058"/>
    <s v="R012"/>
    <n v="2"/>
    <n v="2400"/>
    <n v="13"/>
    <n v="4176"/>
    <s v="Completed"/>
    <s v="Pune"/>
    <x v="1"/>
    <m/>
    <s v="Corporate"/>
    <n v="52"/>
    <x v="0"/>
  </r>
  <r>
    <s v="ORD-00324"/>
    <d v="2024-04-25T00:00:00"/>
    <s v="CUST-0004"/>
    <s v="PROD-056"/>
    <s v="R006"/>
    <n v="9"/>
    <n v="6940"/>
    <n v="26.2"/>
    <n v="46095.48"/>
    <s v="Completed"/>
    <s v="Delhi"/>
    <x v="1"/>
    <m/>
    <s v="Retail"/>
    <n v="53"/>
    <x v="0"/>
  </r>
  <r>
    <s v="ORD-00325"/>
    <d v="2024-04-03T00:00:00"/>
    <s v="CUST-0003"/>
    <s v="PROD-023"/>
    <s v="R025"/>
    <n v="9"/>
    <n v="2380"/>
    <n v="22.7"/>
    <n v="16557.66"/>
    <s v="Completed"/>
    <s v="Mumbai"/>
    <x v="2"/>
    <m/>
    <s v="Retail"/>
    <n v="33"/>
    <x v="1"/>
  </r>
  <r>
    <s v="ORD-00326"/>
    <d v="2024-09-07T00:00:00"/>
    <s v="CUST-0175"/>
    <s v="PROD-014"/>
    <s v="R028"/>
    <n v="6"/>
    <n v="3620"/>
    <n v="9.1999999999999993"/>
    <n v="19721.759999999998"/>
    <s v="Completed"/>
    <s v="Delhi"/>
    <x v="0"/>
    <m/>
    <s v="Corporate"/>
    <n v="55"/>
    <x v="0"/>
  </r>
  <r>
    <s v="ORD-00327"/>
    <d v="2024-05-10T00:00:00"/>
    <s v="CUST-0104"/>
    <s v="PROD-050"/>
    <s v="R004"/>
    <n v="1"/>
    <n v="6080"/>
    <n v="29.4"/>
    <n v="4292.4799999999996"/>
    <s v="Cancelled"/>
    <s v="Hyderabad"/>
    <x v="5"/>
    <m/>
    <s v="Corporate"/>
    <n v="43"/>
    <x v="0"/>
  </r>
  <r>
    <s v="ORD-00328"/>
    <d v="2024-02-21T00:00:00"/>
    <s v="CUST-0196"/>
    <s v="PROD-020"/>
    <s v="R018"/>
    <n v="6"/>
    <n v="820"/>
    <n v="29.1"/>
    <n v="3488.28"/>
    <s v="Completed"/>
    <s v="Chennai"/>
    <x v="0"/>
    <m/>
    <s v="Retail"/>
    <n v="26"/>
    <x v="1"/>
  </r>
  <r>
    <s v="ORD-00329"/>
    <d v="2024-12-20T00:00:00"/>
    <s v="CUST-0299"/>
    <s v="PROD-045"/>
    <s v="R024"/>
    <n v="9"/>
    <n v="3020"/>
    <n v="7.9"/>
    <n v="25032.78"/>
    <s v="Completed"/>
    <s v="Mumbai"/>
    <x v="5"/>
    <m/>
    <s v="Corporate"/>
    <n v="51"/>
    <x v="0"/>
  </r>
  <r>
    <s v="ORD-00330"/>
    <d v="2024-12-19T00:00:00"/>
    <s v="CUST-0066"/>
    <s v="PROD-004"/>
    <s v="R029"/>
    <n v="8"/>
    <n v="3870"/>
    <n v="11.9"/>
    <n v="27275.759999999998"/>
    <s v="Completed"/>
    <s v="Delhi"/>
    <x v="4"/>
    <m/>
    <s v="Retail"/>
    <n v="24"/>
    <x v="2"/>
  </r>
  <r>
    <s v="ORD-00331"/>
    <d v="2024-08-24T00:00:00"/>
    <s v="CUST-0080"/>
    <s v="PROD-047"/>
    <s v="R030"/>
    <n v="6"/>
    <n v="3450"/>
    <n v="13.9"/>
    <n v="17822.7"/>
    <s v="Completed"/>
    <s v="Pune"/>
    <x v="5"/>
    <m/>
    <s v="SMB"/>
    <n v="30"/>
    <x v="2"/>
  </r>
  <r>
    <s v="ORD-00332"/>
    <d v="2024-12-29T00:00:00"/>
    <s v="CUST-0138"/>
    <s v="PROD-048"/>
    <s v="R008"/>
    <n v="9"/>
    <n v="5100"/>
    <n v="2.1"/>
    <n v="44936.1"/>
    <s v="Completed"/>
    <s v="Chennai"/>
    <x v="5"/>
    <m/>
    <s v="Retail"/>
    <n v="24"/>
    <x v="2"/>
  </r>
  <r>
    <s v="ORD-00333"/>
    <d v="2024-08-14T00:00:00"/>
    <s v="CUST-0253"/>
    <s v="PROD-026"/>
    <s v="R008"/>
    <n v="2"/>
    <n v="4070"/>
    <n v="28.6"/>
    <n v="5811.96"/>
    <s v="Completed"/>
    <s v="Delhi"/>
    <x v="2"/>
    <m/>
    <s v="SMB"/>
    <n v="53"/>
    <x v="0"/>
  </r>
  <r>
    <s v="ORD-00334"/>
    <d v="2024-02-17T00:00:00"/>
    <s v="CUST-0247"/>
    <s v="PROD-001"/>
    <s v="R007"/>
    <n v="9"/>
    <n v="5330"/>
    <n v="6.2"/>
    <n v="44995.86"/>
    <s v="Completed"/>
    <s v="Pune"/>
    <x v="4"/>
    <m/>
    <s v="SMB"/>
    <n v="35"/>
    <x v="1"/>
  </r>
  <r>
    <s v="ORD-00335"/>
    <d v="2024-01-28T00:00:00"/>
    <s v="CUST-0269"/>
    <s v="PROD-024"/>
    <s v="R020"/>
    <n v="6"/>
    <n v="2270"/>
    <n v="23.7"/>
    <n v="10392.06"/>
    <s v="Completed"/>
    <s v="Pune"/>
    <x v="2"/>
    <m/>
    <s v="Retail"/>
    <n v="48"/>
    <x v="0"/>
  </r>
  <r>
    <s v="ORD-00336"/>
    <d v="2024-11-22T00:00:00"/>
    <s v="CUST-0008"/>
    <s v="PROD-017"/>
    <s v="R024"/>
    <n v="5"/>
    <n v="2510"/>
    <n v="25"/>
    <n v="9412.5"/>
    <s v="Completed"/>
    <s v="Pune"/>
    <x v="0"/>
    <m/>
    <s v="SMB"/>
    <n v="39"/>
    <x v="3"/>
  </r>
  <r>
    <s v="ORD-00337"/>
    <d v="2024-02-13T00:00:00"/>
    <s v="CUST-0134"/>
    <s v="PROD-023"/>
    <s v="R019"/>
    <n v="9"/>
    <n v="2380"/>
    <n v="16.8"/>
    <n v="17821.439999999999"/>
    <s v="Completed"/>
    <s v="Delhi"/>
    <x v="2"/>
    <m/>
    <s v="Retail"/>
    <n v="40"/>
    <x v="2"/>
  </r>
  <r>
    <s v="ORD-00338"/>
    <d v="2024-05-08T00:00:00"/>
    <s v="CUST-0016"/>
    <s v="PROD-011"/>
    <s v="R008"/>
    <n v="1"/>
    <n v="3450"/>
    <n v="1.5"/>
    <n v="3398.25"/>
    <s v="Refunded"/>
    <s v="Delhi"/>
    <x v="0"/>
    <m/>
    <s v="SMB"/>
    <n v="26"/>
    <x v="3"/>
  </r>
  <r>
    <s v="ORD-00339"/>
    <d v="2024-01-04T00:00:00"/>
    <s v="CUST-0281"/>
    <s v="PROD-003"/>
    <s v="R002"/>
    <n v="5"/>
    <n v="3570"/>
    <n v="12.8"/>
    <n v="15565.2"/>
    <s v="Completed"/>
    <s v="Bengaluru"/>
    <x v="4"/>
    <m/>
    <s v="Corporate"/>
    <n v="57"/>
    <x v="0"/>
  </r>
  <r>
    <s v="ORD-00340"/>
    <d v="2024-10-25T00:00:00"/>
    <s v="CUST-0267"/>
    <s v="PROD-001"/>
    <s v="R029"/>
    <n v="3"/>
    <n v="5330"/>
    <n v="16.2"/>
    <n v="13399.62"/>
    <s v="Completed"/>
    <s v="Hyderabad"/>
    <x v="4"/>
    <m/>
    <s v="Retail"/>
    <n v="27"/>
    <x v="1"/>
  </r>
  <r>
    <s v="ORD-00341"/>
    <d v="2024-02-19T00:00:00"/>
    <s v="CUST-0279"/>
    <s v="PROD-028"/>
    <s v="R027"/>
    <n v="3"/>
    <n v="3660"/>
    <n v="25.3"/>
    <n v="8202.06"/>
    <s v="Completed"/>
    <s v="Mumbai"/>
    <x v="2"/>
    <m/>
    <s v="Retail"/>
    <n v="56"/>
    <x v="0"/>
  </r>
  <r>
    <s v="ORD-00342"/>
    <d v="2024-11-04T00:00:00"/>
    <s v="CUST-0036"/>
    <s v="PROD-054"/>
    <s v="R015"/>
    <n v="2"/>
    <n v="1010"/>
    <n v="29.2"/>
    <n v="1430.16"/>
    <s v="Completed"/>
    <s v="Mumbai"/>
    <x v="1"/>
    <m/>
    <s v="Retail"/>
    <n v="35"/>
    <x v="2"/>
  </r>
  <r>
    <s v="ORD-00343"/>
    <d v="2024-08-02T00:00:00"/>
    <s v="CUST-0295"/>
    <s v="PROD-040"/>
    <s v="R015"/>
    <n v="1"/>
    <n v="1080"/>
    <n v="1.8"/>
    <n v="1060.56"/>
    <s v="Completed"/>
    <s v="Delhi"/>
    <x v="3"/>
    <m/>
    <s v="SMB"/>
    <n v="48"/>
    <x v="0"/>
  </r>
  <r>
    <s v="ORD-00344"/>
    <d v="2024-05-02T00:00:00"/>
    <s v="CUST-0106"/>
    <s v="PROD-051"/>
    <s v="R010"/>
    <n v="8"/>
    <n v="3450"/>
    <n v="20.399999999999999"/>
    <n v="21969.599999999999"/>
    <s v="Completed"/>
    <s v="Pune"/>
    <x v="1"/>
    <m/>
    <s v="Retail"/>
    <n v="22"/>
    <x v="4"/>
  </r>
  <r>
    <s v="ORD-00593"/>
    <d v="2024-09-18T00:00:00"/>
    <s v="CUST-0070"/>
    <s v="PROD-056"/>
    <s v="R015"/>
    <n v="8"/>
    <n v="6940"/>
    <n v="19.399999999999999"/>
    <n v="44749.120000000003"/>
    <s v="Completed"/>
    <s v="Mumbai"/>
    <x v="1"/>
    <m/>
    <s v="Retail"/>
    <n v="42"/>
    <x v="0"/>
  </r>
  <r>
    <s v="ORD-00346"/>
    <d v="2024-05-22T00:00:00"/>
    <s v="CUST-0062"/>
    <s v="PROD-041"/>
    <s v="R003"/>
    <n v="2"/>
    <n v="1540"/>
    <n v="9.3000000000000007"/>
    <n v="2793.56"/>
    <s v="Completed"/>
    <s v="Pune"/>
    <x v="5"/>
    <m/>
    <s v="Retail"/>
    <n v="54"/>
    <x v="0"/>
  </r>
  <r>
    <s v="ORD-00347"/>
    <d v="2024-06-03T00:00:00"/>
    <s v="CUST-0241"/>
    <s v="PROD-010"/>
    <s v="R015"/>
    <n v="4"/>
    <n v="2640"/>
    <n v="23.2"/>
    <n v="8110.08"/>
    <s v="Refunded"/>
    <s v="Pune"/>
    <x v="4"/>
    <m/>
    <s v="Corporate"/>
    <n v="47"/>
    <x v="0"/>
  </r>
  <r>
    <s v="ORD-00348"/>
    <d v="2024-11-30T00:00:00"/>
    <s v="CUST-0001"/>
    <s v="PROD-052"/>
    <s v="R024"/>
    <n v="6"/>
    <n v="5410"/>
    <n v="29.4"/>
    <n v="22916.76"/>
    <s v="Completed"/>
    <s v="Pune"/>
    <x v="1"/>
    <m/>
    <s v="Retail"/>
    <n v="36"/>
    <x v="4"/>
  </r>
  <r>
    <s v="ORD-00349"/>
    <d v="2024-06-16T00:00:00"/>
    <s v="CUST-0181"/>
    <s v="PROD-003"/>
    <s v="R027"/>
    <n v="1"/>
    <n v="3570"/>
    <n v="4.3"/>
    <n v="3416.49"/>
    <s v="Completed"/>
    <s v="Delhi"/>
    <x v="4"/>
    <m/>
    <s v="SMB"/>
    <n v="38"/>
    <x v="2"/>
  </r>
  <r>
    <s v="ORD-00350"/>
    <d v="2024-08-16T00:00:00"/>
    <s v="CUST-0044"/>
    <s v="PROD-032"/>
    <s v="R028"/>
    <n v="2"/>
    <n v="370"/>
    <n v="7.2"/>
    <n v="686.72"/>
    <s v="Completed"/>
    <s v="Hyderabad"/>
    <x v="3"/>
    <m/>
    <s v="SMB"/>
    <n v="29"/>
    <x v="2"/>
  </r>
  <r>
    <s v="ORD-00351"/>
    <d v="2024-01-23T00:00:00"/>
    <s v="CUST-0218"/>
    <s v="PROD-017"/>
    <s v="R017"/>
    <n v="1"/>
    <n v="2510"/>
    <n v="2.4"/>
    <n v="2449.7600000000002"/>
    <s v="Completed"/>
    <s v="Mumbai"/>
    <x v="0"/>
    <m/>
    <s v="Retail"/>
    <n v="39"/>
    <x v="2"/>
  </r>
  <r>
    <s v="ORD-00352"/>
    <d v="2024-07-07T00:00:00"/>
    <s v="CUST-0061"/>
    <s v="PROD-013"/>
    <s v="R022"/>
    <n v="8"/>
    <n v="3640"/>
    <n v="28.7"/>
    <n v="20762.560000000001"/>
    <s v="Pending"/>
    <s v="Hyderabad"/>
    <x v="0"/>
    <m/>
    <s v="Retail"/>
    <n v="64"/>
    <x v="0"/>
  </r>
  <r>
    <s v="ORD-00353"/>
    <d v="2024-08-16T00:00:00"/>
    <s v="CUST-0143"/>
    <s v="PROD-044"/>
    <s v="R029"/>
    <n v="5"/>
    <n v="1650"/>
    <n v="13.4"/>
    <n v="7144.5"/>
    <s v="Pending"/>
    <s v="Chennai"/>
    <x v="5"/>
    <m/>
    <s v="SMB"/>
    <n v="52"/>
    <x v="0"/>
  </r>
  <r>
    <s v="ORD-00354"/>
    <d v="2024-03-09T00:00:00"/>
    <s v="CUST-0164"/>
    <s v="PROD-049"/>
    <s v="R024"/>
    <n v="9"/>
    <n v="960"/>
    <n v="28.6"/>
    <n v="6168.96"/>
    <s v="Pending"/>
    <s v="Chennai"/>
    <x v="5"/>
    <m/>
    <s v="Retail"/>
    <n v="60"/>
    <x v="0"/>
  </r>
  <r>
    <s v="ORD-00355"/>
    <d v="2024-07-13T00:00:00"/>
    <s v="CUST-0152"/>
    <s v="PROD-027"/>
    <s v="R021"/>
    <n v="4"/>
    <n v="3780"/>
    <n v="25.3"/>
    <n v="11294.64"/>
    <s v="Completed"/>
    <s v="Bengaluru"/>
    <x v="2"/>
    <m/>
    <s v="SMB"/>
    <n v="64"/>
    <x v="0"/>
  </r>
  <r>
    <s v="ORD-00356"/>
    <d v="2024-09-09T00:00:00"/>
    <s v="CUST-0143"/>
    <s v="PROD-044"/>
    <s v="R014"/>
    <n v="4"/>
    <n v="1650"/>
    <n v="13.7"/>
    <n v="5695.8"/>
    <s v="Cancelled"/>
    <s v="Chennai"/>
    <x v="5"/>
    <m/>
    <s v="SMB"/>
    <n v="52"/>
    <x v="0"/>
  </r>
  <r>
    <s v="ORD-00357"/>
    <d v="2024-10-15T00:00:00"/>
    <s v="CUST-0232"/>
    <s v="PROD-014"/>
    <s v="R012"/>
    <n v="6"/>
    <n v="3620"/>
    <n v="21.3"/>
    <n v="17093.64"/>
    <s v="Pending"/>
    <s v="Hyderabad"/>
    <x v="0"/>
    <m/>
    <s v="Retail"/>
    <n v="38"/>
    <x v="4"/>
  </r>
  <r>
    <s v="ORD-00358"/>
    <d v="2024-01-21T00:00:00"/>
    <s v="CUST-0067"/>
    <s v="PROD-022"/>
    <s v="R030"/>
    <n v="10"/>
    <n v="2270"/>
    <n v="17.7"/>
    <n v="18682.099999999999"/>
    <s v="Completed"/>
    <s v="Delhi"/>
    <x v="2"/>
    <m/>
    <s v="SMB"/>
    <n v="59"/>
    <x v="0"/>
  </r>
  <r>
    <s v="ORD-00359"/>
    <d v="2024-06-04T00:00:00"/>
    <s v="CUST-0292"/>
    <s v="PROD-041"/>
    <s v="R013"/>
    <n v="9"/>
    <n v="1540"/>
    <n v="10.7"/>
    <n v="12376.98"/>
    <s v="Completed"/>
    <s v="Bengaluru"/>
    <x v="5"/>
    <m/>
    <s v="Retail"/>
    <n v="32"/>
    <x v="2"/>
  </r>
  <r>
    <s v="ORD-00360"/>
    <d v="2024-11-11T00:00:00"/>
    <s v="CUST-0118"/>
    <s v="PROD-055"/>
    <s v="R021"/>
    <n v="9"/>
    <n v="2860"/>
    <n v="12.9"/>
    <n v="22419.54"/>
    <s v="Completed"/>
    <s v="Hyderabad"/>
    <x v="1"/>
    <m/>
    <s v="Retail"/>
    <n v="26"/>
    <x v="4"/>
  </r>
  <r>
    <s v="ORD-00361"/>
    <d v="2024-03-28T00:00:00"/>
    <s v="CUST-0212"/>
    <s v="PROD-029"/>
    <s v="R016"/>
    <n v="5"/>
    <n v="2210"/>
    <n v="5.0999999999999996"/>
    <n v="10486.45"/>
    <s v="Completed"/>
    <s v="Chennai"/>
    <x v="2"/>
    <m/>
    <s v="SMB"/>
    <n v="46"/>
    <x v="0"/>
  </r>
  <r>
    <s v="ORD-00362"/>
    <d v="2024-10-26T00:00:00"/>
    <s v="CUST-0287"/>
    <s v="PROD-009"/>
    <s v="R029"/>
    <n v="1"/>
    <n v="1220"/>
    <n v="16.100000000000001"/>
    <n v="1023.58"/>
    <s v="Completed"/>
    <s v="Chennai"/>
    <x v="4"/>
    <m/>
    <s v="SMB"/>
    <n v="53"/>
    <x v="0"/>
  </r>
  <r>
    <s v="ORD-00363"/>
    <d v="2024-09-26T00:00:00"/>
    <s v="CUST-0030"/>
    <s v="PROD-003"/>
    <s v="R006"/>
    <n v="2"/>
    <n v="3570"/>
    <n v="1.1000000000000001"/>
    <n v="7061.46"/>
    <s v="Completed"/>
    <s v="Bengaluru"/>
    <x v="4"/>
    <m/>
    <s v="Corporate"/>
    <n v="43"/>
    <x v="0"/>
  </r>
  <r>
    <s v="ORD-00364"/>
    <d v="2024-01-17T00:00:00"/>
    <s v="CUST-0270"/>
    <s v="PROD-011"/>
    <s v="R016"/>
    <n v="10"/>
    <n v="3450"/>
    <n v="12.6"/>
    <n v="30153"/>
    <s v="Completed"/>
    <s v="Bengaluru"/>
    <x v="0"/>
    <m/>
    <s v="Retail"/>
    <n v="29"/>
    <x v="1"/>
  </r>
  <r>
    <s v="ORD-00365"/>
    <d v="2024-09-28T00:00:00"/>
    <s v="CUST-0001"/>
    <s v="PROD-029"/>
    <s v="R021"/>
    <n v="4"/>
    <n v="2210"/>
    <n v="5.4"/>
    <n v="8362.64"/>
    <s v="Completed"/>
    <s v="Pune"/>
    <x v="2"/>
    <m/>
    <s v="Retail"/>
    <n v="36"/>
    <x v="4"/>
  </r>
  <r>
    <s v="ORD-00366"/>
    <d v="2024-07-03T00:00:00"/>
    <s v="CUST-0215"/>
    <s v="PROD-035"/>
    <s v="R014"/>
    <n v="6"/>
    <n v="1090"/>
    <n v="2.9"/>
    <n v="6350.34"/>
    <s v="Cancelled"/>
    <s v="Hyderabad"/>
    <x v="3"/>
    <m/>
    <s v="Retail"/>
    <n v="52"/>
    <x v="0"/>
  </r>
  <r>
    <s v="ORD-00367"/>
    <d v="2024-03-13T00:00:00"/>
    <s v="CUST-0225"/>
    <s v="PROD-041"/>
    <s v="R017"/>
    <n v="8"/>
    <n v="1540"/>
    <n v="17.899999999999999"/>
    <n v="10114.719999999999"/>
    <s v="Pending"/>
    <s v="Chennai"/>
    <x v="5"/>
    <m/>
    <s v="SMB"/>
    <n v="26"/>
    <x v="4"/>
  </r>
  <r>
    <s v="ORD-00368"/>
    <d v="2024-03-20T00:00:00"/>
    <s v="CUST-0163"/>
    <s v="PROD-002"/>
    <s v="R028"/>
    <n v="9"/>
    <n v="2600"/>
    <n v="4.0999999999999996"/>
    <n v="22440.6"/>
    <s v="Completed"/>
    <s v="Pune"/>
    <x v="4"/>
    <m/>
    <s v="Retail"/>
    <n v="49"/>
    <x v="0"/>
  </r>
  <r>
    <s v="ORD-00369"/>
    <d v="2024-11-27T00:00:00"/>
    <s v="CUST-0196"/>
    <s v="PROD-060"/>
    <s v="R007"/>
    <n v="2"/>
    <n v="190"/>
    <n v="4.8"/>
    <n v="361.76"/>
    <s v="Completed"/>
    <s v="Chennai"/>
    <x v="1"/>
    <m/>
    <s v="Retail"/>
    <n v="26"/>
    <x v="2"/>
  </r>
  <r>
    <s v="ORD-00370"/>
    <d v="2024-05-29T00:00:00"/>
    <s v="CUST-0002"/>
    <s v="PROD-019"/>
    <s v="R014"/>
    <n v="9"/>
    <n v="2480"/>
    <n v="28.3"/>
    <n v="16003.44"/>
    <s v="Completed"/>
    <s v="Pune"/>
    <x v="0"/>
    <m/>
    <s v="Corporate"/>
    <n v="42"/>
    <x v="0"/>
  </r>
  <r>
    <s v="ORD-00371"/>
    <d v="2024-05-30T00:00:00"/>
    <s v="CUST-0057"/>
    <s v="PROD-042"/>
    <s v="R006"/>
    <n v="7"/>
    <n v="2290"/>
    <n v="25"/>
    <n v="12022.5"/>
    <s v="Cancelled"/>
    <s v="Pune"/>
    <x v="5"/>
    <m/>
    <s v="Retail"/>
    <n v="35"/>
    <x v="4"/>
  </r>
  <r>
    <s v="ORD-00372"/>
    <d v="2024-10-02T00:00:00"/>
    <s v="CUST-0112"/>
    <s v="PROD-041"/>
    <s v="R015"/>
    <n v="9"/>
    <n v="1540"/>
    <n v="23.3"/>
    <n v="10630.62"/>
    <s v="Completed"/>
    <s v="Hyderabad"/>
    <x v="5"/>
    <m/>
    <s v="Retail"/>
    <n v="64"/>
    <x v="0"/>
  </r>
  <r>
    <s v="ORD-00373"/>
    <d v="2024-12-27T00:00:00"/>
    <s v="CUST-0131"/>
    <s v="PROD-034"/>
    <s v="R025"/>
    <n v="2"/>
    <n v="5080"/>
    <n v="2.5"/>
    <n v="9906"/>
    <s v="Cancelled"/>
    <s v="Delhi"/>
    <x v="3"/>
    <m/>
    <s v="SMB"/>
    <n v="28"/>
    <x v="4"/>
  </r>
  <r>
    <s v="ORD-00374"/>
    <d v="2024-02-09T00:00:00"/>
    <s v="CUST-0124"/>
    <s v="PROD-017"/>
    <s v="R016"/>
    <n v="4"/>
    <n v="2510"/>
    <n v="23.6"/>
    <n v="7670.56"/>
    <s v="Completed"/>
    <s v="Pune"/>
    <x v="0"/>
    <m/>
    <s v="Retail"/>
    <n v="57"/>
    <x v="0"/>
  </r>
  <r>
    <s v="ORD-00375"/>
    <d v="2024-02-10T00:00:00"/>
    <s v="CUST-0131"/>
    <s v="PROD-042"/>
    <s v="R011"/>
    <n v="5"/>
    <n v="2290"/>
    <n v="17"/>
    <n v="9503.5"/>
    <s v="Completed"/>
    <s v="Delhi"/>
    <x v="5"/>
    <m/>
    <s v="SMB"/>
    <n v="28"/>
    <x v="4"/>
  </r>
  <r>
    <s v="ORD-00376"/>
    <d v="2024-02-18T00:00:00"/>
    <s v="CUST-0084"/>
    <s v="PROD-053"/>
    <s v="R006"/>
    <n v="8"/>
    <n v="470"/>
    <n v="9.3000000000000007"/>
    <n v="3410.32"/>
    <s v="Completed"/>
    <s v="Chennai"/>
    <x v="1"/>
    <m/>
    <s v="Retail"/>
    <n v="28"/>
    <x v="4"/>
  </r>
  <r>
    <s v="ORD-00377"/>
    <d v="2024-09-29T00:00:00"/>
    <s v="CUST-0082"/>
    <s v="PROD-048"/>
    <s v="R009"/>
    <n v="8"/>
    <n v="5100"/>
    <n v="4.5999999999999996"/>
    <n v="38923.199999999997"/>
    <s v="Completed"/>
    <s v="Hyderabad"/>
    <x v="5"/>
    <m/>
    <s v="SMB"/>
    <n v="36"/>
    <x v="1"/>
  </r>
  <r>
    <s v="ORD-00378"/>
    <d v="2024-01-05T00:00:00"/>
    <s v="CUST-0242"/>
    <s v="PROD-001"/>
    <s v="R010"/>
    <n v="7"/>
    <n v="5330"/>
    <n v="2.5"/>
    <n v="36377.25"/>
    <s v="Completed"/>
    <s v="Chennai"/>
    <x v="4"/>
    <m/>
    <s v="SMB"/>
    <n v="59"/>
    <x v="0"/>
  </r>
  <r>
    <s v="ORD-00379"/>
    <d v="2024-03-13T00:00:00"/>
    <s v="CUST-0074"/>
    <s v="PROD-033"/>
    <s v="R028"/>
    <n v="10"/>
    <n v="2030"/>
    <n v="8.5"/>
    <n v="18574.5"/>
    <s v="Completed"/>
    <s v="Bengaluru"/>
    <x v="3"/>
    <m/>
    <s v="Retail"/>
    <n v="27"/>
    <x v="4"/>
  </r>
  <r>
    <s v="ORD-00380"/>
    <d v="2024-09-25T00:00:00"/>
    <s v="CUST-0221"/>
    <s v="PROD-034"/>
    <s v="R003"/>
    <n v="8"/>
    <n v="5080"/>
    <n v="9.6"/>
    <n v="36738.559999999998"/>
    <s v="Cancelled"/>
    <s v="Delhi"/>
    <x v="3"/>
    <m/>
    <s v="SMB"/>
    <n v="29"/>
    <x v="2"/>
  </r>
  <r>
    <s v="ORD-00381"/>
    <d v="2024-03-27T00:00:00"/>
    <s v="CUST-0101"/>
    <s v="PROD-023"/>
    <s v="R014"/>
    <n v="1"/>
    <n v="2380"/>
    <n v="11.6"/>
    <n v="2103.92"/>
    <s v="Pending"/>
    <s v="Hyderabad"/>
    <x v="2"/>
    <m/>
    <s v="SMB"/>
    <n v="40"/>
    <x v="1"/>
  </r>
  <r>
    <s v="ORD-00382"/>
    <d v="2024-10-25T00:00:00"/>
    <s v="CUST-0203"/>
    <s v="PROD-041"/>
    <s v="R027"/>
    <n v="8"/>
    <n v="1540"/>
    <n v="27.8"/>
    <n v="8895.0400000000009"/>
    <s v="Completed"/>
    <s v="Chennai"/>
    <x v="5"/>
    <m/>
    <s v="SMB"/>
    <n v="55"/>
    <x v="0"/>
  </r>
  <r>
    <s v="ORD-00383"/>
    <d v="2024-10-26T00:00:00"/>
    <s v="CUST-0209"/>
    <s v="PROD-024"/>
    <s v="R024"/>
    <n v="1"/>
    <n v="2270"/>
    <n v="6.5"/>
    <n v="2122.4499999999998"/>
    <s v="Pending"/>
    <s v="Pune"/>
    <x v="2"/>
    <m/>
    <s v="Retail"/>
    <n v="31"/>
    <x v="2"/>
  </r>
  <r>
    <s v="ORD-00384"/>
    <d v="2024-07-30T00:00:00"/>
    <s v="CUST-0094"/>
    <s v="PROD-019"/>
    <s v="R028"/>
    <n v="6"/>
    <n v="2480"/>
    <n v="25.9"/>
    <n v="11026.08"/>
    <s v="Completed"/>
    <s v="Pune"/>
    <x v="0"/>
    <m/>
    <s v="SMB"/>
    <n v="60"/>
    <x v="0"/>
  </r>
  <r>
    <s v="ORD-00385"/>
    <d v="2024-11-12T00:00:00"/>
    <s v="CUST-0248"/>
    <s v="PROD-018"/>
    <s v="R019"/>
    <n v="3"/>
    <n v="3560"/>
    <n v="0.4"/>
    <n v="10637.28"/>
    <s v="Refunded"/>
    <s v="Chennai"/>
    <x v="0"/>
    <m/>
    <s v="SMB"/>
    <n v="57"/>
    <x v="0"/>
  </r>
  <r>
    <s v="ORD-00386"/>
    <d v="2024-05-10T00:00:00"/>
    <s v="CUST-0297"/>
    <s v="PROD-008"/>
    <s v="R006"/>
    <n v="4"/>
    <n v="2660"/>
    <n v="19.7"/>
    <n v="8543.92"/>
    <s v="Cancelled"/>
    <s v="Hyderabad"/>
    <x v="4"/>
    <m/>
    <s v="Retail"/>
    <n v="50"/>
    <x v="0"/>
  </r>
  <r>
    <s v="ORD-00387"/>
    <d v="2024-04-04T00:00:00"/>
    <s v="CUST-0107"/>
    <s v="PROD-009"/>
    <s v="R013"/>
    <n v="10"/>
    <n v="1220"/>
    <n v="10.1"/>
    <n v="10967.8"/>
    <s v="Cancelled"/>
    <s v="Pune"/>
    <x v="4"/>
    <m/>
    <s v="Retail"/>
    <n v="50"/>
    <x v="0"/>
  </r>
  <r>
    <s v="ORD-00388"/>
    <d v="2024-10-19T00:00:00"/>
    <s v="CUST-0247"/>
    <s v="PROD-002"/>
    <s v="R014"/>
    <n v="8"/>
    <n v="2600"/>
    <n v="26.7"/>
    <n v="15246.4"/>
    <s v="Completed"/>
    <s v="Pune"/>
    <x v="4"/>
    <m/>
    <s v="SMB"/>
    <n v="35"/>
    <x v="4"/>
  </r>
  <r>
    <s v="ORD-00389"/>
    <d v="2024-05-28T00:00:00"/>
    <s v="CUST-0047"/>
    <s v="PROD-011"/>
    <s v="R020"/>
    <n v="10"/>
    <n v="3450"/>
    <n v="20.399999999999999"/>
    <n v="27462"/>
    <s v="Completed"/>
    <s v="Pune"/>
    <x v="0"/>
    <m/>
    <s v="Retail"/>
    <n v="49"/>
    <x v="0"/>
  </r>
  <r>
    <s v="ORD-00390"/>
    <d v="2024-05-28T00:00:00"/>
    <s v="CUST-0118"/>
    <s v="PROD-056"/>
    <s v="R019"/>
    <n v="1"/>
    <n v="6940"/>
    <n v="9.6999999999999993"/>
    <n v="6266.82"/>
    <s v="Completed"/>
    <s v="Hyderabad"/>
    <x v="1"/>
    <m/>
    <s v="Retail"/>
    <n v="26"/>
    <x v="3"/>
  </r>
  <r>
    <s v="ORD-00391"/>
    <d v="2024-03-07T00:00:00"/>
    <s v="CUST-0019"/>
    <s v="PROD-043"/>
    <s v="R006"/>
    <n v="10"/>
    <n v="3350"/>
    <n v="3.2"/>
    <n v="32428"/>
    <s v="Completed"/>
    <s v="Chennai"/>
    <x v="5"/>
    <m/>
    <s v="Retail"/>
    <n v="22"/>
    <x v="3"/>
  </r>
  <r>
    <s v="ORD-00392"/>
    <d v="2024-04-05T00:00:00"/>
    <s v="CUST-0290"/>
    <s v="PROD-041"/>
    <s v="R026"/>
    <n v="7"/>
    <n v="1540"/>
    <n v="0.5"/>
    <n v="10726.1"/>
    <s v="Completed"/>
    <s v="Delhi"/>
    <x v="5"/>
    <m/>
    <s v="Retail"/>
    <n v="63"/>
    <x v="0"/>
  </r>
  <r>
    <s v="ORD-00393"/>
    <d v="2024-12-29T00:00:00"/>
    <s v="CUST-9557"/>
    <s v="PROD-014"/>
    <s v="R026"/>
    <n v="10"/>
    <n v="3620"/>
    <n v="22"/>
    <n v="28236"/>
    <s v="Completed"/>
    <s v="Pune"/>
    <x v="0"/>
    <m/>
    <e v="#N/A"/>
    <e v="#N/A"/>
    <x v="0"/>
  </r>
  <r>
    <s v="ORD-00394"/>
    <d v="2024-12-03T00:00:00"/>
    <s v="CUST-0291"/>
    <s v="PROD-053"/>
    <s v="R026"/>
    <n v="2"/>
    <n v="470"/>
    <n v="26.5"/>
    <n v="690.9"/>
    <s v="Pending"/>
    <s v="Pune"/>
    <x v="1"/>
    <m/>
    <s v="SMB"/>
    <n v="29"/>
    <x v="2"/>
  </r>
  <r>
    <s v="ORD-00395"/>
    <d v="2024-02-01T00:00:00"/>
    <s v="CUST-0045"/>
    <s v="PROD-028"/>
    <s v="R010"/>
    <n v="6"/>
    <n v="3660"/>
    <n v="1.5"/>
    <n v="21630.6"/>
    <s v="Completed"/>
    <s v="Chennai"/>
    <x v="2"/>
    <m/>
    <s v="SMB"/>
    <n v="39"/>
    <x v="2"/>
  </r>
  <r>
    <s v="ORD-00396"/>
    <d v="2024-05-20T00:00:00"/>
    <s v="CUST-0281"/>
    <s v="PROD-056"/>
    <s v="R017"/>
    <n v="10"/>
    <n v="6940"/>
    <n v="1.9"/>
    <n v="68081.399999999994"/>
    <s v="Completed"/>
    <s v="Bengaluru"/>
    <x v="1"/>
    <m/>
    <s v="Corporate"/>
    <n v="57"/>
    <x v="0"/>
  </r>
  <r>
    <s v="ORD-00397"/>
    <d v="2024-04-15T00:00:00"/>
    <s v="CUST-0073"/>
    <s v="PROD-042"/>
    <s v="R005"/>
    <n v="8"/>
    <n v="2290"/>
    <n v="27.9"/>
    <n v="13208.72"/>
    <s v="Completed"/>
    <s v="Pune"/>
    <x v="5"/>
    <m/>
    <s v="Corporate"/>
    <n v="40"/>
    <x v="3"/>
  </r>
  <r>
    <s v="ORD-00398"/>
    <d v="2024-10-08T00:00:00"/>
    <s v="CUST-0043"/>
    <s v="PROD-012"/>
    <s v="R024"/>
    <n v="9"/>
    <n v="3160"/>
    <n v="10.199999999999999"/>
    <n v="25539.119999999999"/>
    <s v="Completed"/>
    <s v="Hyderabad"/>
    <x v="0"/>
    <m/>
    <s v="Retail"/>
    <n v="61"/>
    <x v="0"/>
  </r>
  <r>
    <s v="ORD-00399"/>
    <d v="2024-01-16T00:00:00"/>
    <s v="CUST-0154"/>
    <s v="PROD-034"/>
    <s v="R028"/>
    <n v="6"/>
    <n v="5080"/>
    <n v="25.4"/>
    <n v="22738.080000000002"/>
    <s v="Completed"/>
    <s v="Pune"/>
    <x v="3"/>
    <m/>
    <s v="Retail"/>
    <n v="36"/>
    <x v="2"/>
  </r>
  <r>
    <s v="ORD-00400"/>
    <d v="2024-11-24T00:00:00"/>
    <s v="CUST-0061"/>
    <s v="PROD-021"/>
    <s v="R012"/>
    <n v="6"/>
    <n v="2760"/>
    <n v="21.3"/>
    <n v="13032.72"/>
    <s v="Completed"/>
    <s v="Hyderabad"/>
    <x v="2"/>
    <m/>
    <s v="Retail"/>
    <n v="64"/>
    <x v="0"/>
  </r>
  <r>
    <s v="ORD-00401"/>
    <d v="2024-06-19T00:00:00"/>
    <s v="CUST-9654"/>
    <s v="PROD-009"/>
    <s v="R012"/>
    <n v="5"/>
    <n v="1220"/>
    <n v="7.6"/>
    <n v="5636.4"/>
    <s v="Completed"/>
    <s v="Mumbai"/>
    <x v="4"/>
    <m/>
    <e v="#N/A"/>
    <e v="#N/A"/>
    <x v="0"/>
  </r>
  <r>
    <s v="ORD-00402"/>
    <d v="2024-11-26T00:00:00"/>
    <s v="CUST-0189"/>
    <s v="PROD-046"/>
    <s v="R028"/>
    <n v="5"/>
    <n v="4880"/>
    <n v="8.5"/>
    <n v="22326"/>
    <s v="Completed"/>
    <s v="Chennai"/>
    <x v="5"/>
    <m/>
    <s v="Retail"/>
    <n v="41"/>
    <x v="0"/>
  </r>
  <r>
    <s v="ORD-00403"/>
    <d v="2024-10-31T00:00:00"/>
    <s v="CUST-0152"/>
    <s v="PROD-026"/>
    <s v="R022"/>
    <n v="7"/>
    <n v="4070"/>
    <n v="28"/>
    <n v="20512.8"/>
    <s v="Completed"/>
    <s v="Bengaluru"/>
    <x v="2"/>
    <m/>
    <s v="SMB"/>
    <n v="64"/>
    <x v="0"/>
  </r>
  <r>
    <s v="ORD-00404"/>
    <d v="2024-08-02T00:00:00"/>
    <s v="CUST-0284"/>
    <s v="PROD-006"/>
    <s v="R028"/>
    <n v="2"/>
    <n v="3970"/>
    <n v="14"/>
    <n v="6828.4"/>
    <s v="Completed"/>
    <s v="Hyderabad"/>
    <x v="4"/>
    <m/>
    <s v="SMB"/>
    <n v="65"/>
    <x v="0"/>
  </r>
  <r>
    <s v="ORD-00405"/>
    <d v="2024-02-27T00:00:00"/>
    <s v="CUST-0175"/>
    <s v="PROD-008"/>
    <s v="R018"/>
    <n v="9"/>
    <n v="2660"/>
    <n v="10.1"/>
    <n v="21522.06"/>
    <s v="Completed"/>
    <s v="Delhi"/>
    <x v="4"/>
    <m/>
    <s v="Corporate"/>
    <n v="55"/>
    <x v="0"/>
  </r>
  <r>
    <s v="ORD-00406"/>
    <d v="2024-04-25T00:00:00"/>
    <s v="CUST-0093"/>
    <s v="PROD-055"/>
    <s v="R022"/>
    <n v="9"/>
    <n v="2860"/>
    <n v="10.1"/>
    <n v="23140.26"/>
    <s v="Refunded"/>
    <s v="Pune"/>
    <x v="1"/>
    <m/>
    <s v="Retail"/>
    <n v="36"/>
    <x v="3"/>
  </r>
  <r>
    <s v="ORD-00407"/>
    <d v="2024-10-26T00:00:00"/>
    <s v="CUST-0033"/>
    <s v="PROD-009"/>
    <s v="R007"/>
    <n v="7"/>
    <n v="1220"/>
    <n v="23.5"/>
    <n v="6533.1"/>
    <s v="Refunded"/>
    <s v="Delhi"/>
    <x v="4"/>
    <m/>
    <s v="Retail"/>
    <n v="35"/>
    <x v="3"/>
  </r>
  <r>
    <s v="ORD-00408"/>
    <d v="2024-10-19T00:00:00"/>
    <s v="CUST-0294"/>
    <s v="PROD-022"/>
    <s v="R026"/>
    <n v="1"/>
    <n v="2270"/>
    <n v="5.8"/>
    <n v="2138.34"/>
    <s v="Cancelled"/>
    <s v="Delhi"/>
    <x v="2"/>
    <m/>
    <s v="Corporate"/>
    <n v="31"/>
    <x v="1"/>
  </r>
  <r>
    <s v="ORD-00409"/>
    <d v="2024-10-16T00:00:00"/>
    <s v="CUST-0115"/>
    <s v="PROD-037"/>
    <s v="R002"/>
    <n v="2"/>
    <n v="660"/>
    <n v="2.2999999999999998"/>
    <n v="1289.6400000000001"/>
    <s v="Completed"/>
    <s v="Mumbai"/>
    <x v="3"/>
    <m/>
    <s v="SMB"/>
    <n v="65"/>
    <x v="0"/>
  </r>
  <r>
    <s v="ORD-00410"/>
    <d v="2024-05-29T00:00:00"/>
    <s v="CUST-0219"/>
    <s v="PROD-012"/>
    <s v="R014"/>
    <n v="1"/>
    <n v="3160"/>
    <n v="5.6"/>
    <n v="2983.04"/>
    <s v="Completed"/>
    <s v="Chennai"/>
    <x v="0"/>
    <m/>
    <s v="Corporate"/>
    <n v="38"/>
    <x v="1"/>
  </r>
  <r>
    <s v="ORD-00411"/>
    <d v="2024-04-26T00:00:00"/>
    <s v="CUST-0180"/>
    <s v="PROD-002"/>
    <s v="R013"/>
    <n v="1"/>
    <n v="2600"/>
    <n v="1"/>
    <n v="2574"/>
    <s v="Completed"/>
    <s v="Chennai"/>
    <x v="4"/>
    <m/>
    <s v="Retail"/>
    <n v="36"/>
    <x v="4"/>
  </r>
  <r>
    <s v="ORD-00412"/>
    <d v="2024-08-11T00:00:00"/>
    <s v="CUST-0148"/>
    <s v="PROD-039"/>
    <s v="R014"/>
    <n v="4"/>
    <n v="4610"/>
    <n v="18.7"/>
    <n v="14991.72"/>
    <s v="Completed"/>
    <s v="Chennai"/>
    <x v="3"/>
    <m/>
    <s v="Retail"/>
    <n v="32"/>
    <x v="4"/>
  </r>
  <r>
    <s v="ORD-00413"/>
    <d v="2024-04-30T00:00:00"/>
    <s v="CUST-0026"/>
    <s v="PROD-013"/>
    <s v="R018"/>
    <n v="3"/>
    <n v="3640"/>
    <n v="9.6999999999999993"/>
    <n v="9860.76"/>
    <s v="Cancelled"/>
    <s v="Pune"/>
    <x v="0"/>
    <m/>
    <s v="Retail"/>
    <n v="62"/>
    <x v="0"/>
  </r>
  <r>
    <s v="ORD-00414"/>
    <d v="2024-06-05T00:00:00"/>
    <s v="CUST-0246"/>
    <s v="PROD-015"/>
    <s v="R004"/>
    <n v="6"/>
    <n v="2720"/>
    <n v="13"/>
    <n v="14198.4"/>
    <s v="Pending"/>
    <s v="Delhi"/>
    <x v="0"/>
    <m/>
    <s v="SMB"/>
    <n v="29"/>
    <x v="3"/>
  </r>
  <r>
    <s v="ORD-00415"/>
    <d v="2024-12-18T00:00:00"/>
    <s v="CUST-0125"/>
    <s v="PROD-059"/>
    <s v="R008"/>
    <n v="5"/>
    <n v="3780"/>
    <n v="15.2"/>
    <n v="16027.2"/>
    <s v="Completed"/>
    <s v="Delhi"/>
    <x v="1"/>
    <m/>
    <s v="Retail"/>
    <n v="45"/>
    <x v="0"/>
  </r>
  <r>
    <s v="ORD-00416"/>
    <d v="2024-04-25T00:00:00"/>
    <s v="CUST-0190"/>
    <s v="PROD-035"/>
    <s v="R030"/>
    <n v="9"/>
    <n v="1090"/>
    <n v="28.5"/>
    <n v="7014.15"/>
    <s v="Completed"/>
    <s v="Hyderabad"/>
    <x v="3"/>
    <m/>
    <s v="Retail"/>
    <n v="52"/>
    <x v="0"/>
  </r>
  <r>
    <s v="ORD-00417"/>
    <d v="2024-10-16T00:00:00"/>
    <s v="CUST-0085"/>
    <s v="PROD-035"/>
    <s v="R028"/>
    <n v="6"/>
    <n v="1090"/>
    <n v="28.7"/>
    <n v="4663.0200000000004"/>
    <s v="Completed"/>
    <s v="Chennai"/>
    <x v="3"/>
    <m/>
    <s v="Retail"/>
    <n v="26"/>
    <x v="2"/>
  </r>
  <r>
    <s v="ORD-00418"/>
    <d v="2024-03-15T00:00:00"/>
    <s v="CUST-0249"/>
    <s v="PROD-017"/>
    <s v="R030"/>
    <n v="5"/>
    <n v="2510"/>
    <n v="25"/>
    <n v="9412.5"/>
    <s v="Completed"/>
    <s v="Mumbai"/>
    <x v="0"/>
    <m/>
    <s v="Retail"/>
    <n v="44"/>
    <x v="0"/>
  </r>
  <r>
    <s v="ORD-00419"/>
    <d v="2024-10-12T00:00:00"/>
    <s v="CUST-0012"/>
    <s v="PROD-006"/>
    <s v="R010"/>
    <n v="5"/>
    <n v="3970"/>
    <n v="26"/>
    <n v="14689"/>
    <s v="Completed"/>
    <s v="Pune"/>
    <x v="4"/>
    <m/>
    <s v="Retail"/>
    <n v="43"/>
    <x v="0"/>
  </r>
  <r>
    <s v="ORD-00420"/>
    <d v="2024-02-11T00:00:00"/>
    <s v="CUST-0251"/>
    <s v="PROD-026"/>
    <s v="R001"/>
    <n v="9"/>
    <n v="4070"/>
    <n v="15.7"/>
    <n v="30879.09"/>
    <s v="Completed"/>
    <s v="Mumbai"/>
    <x v="2"/>
    <m/>
    <s v="Retail"/>
    <n v="44"/>
    <x v="0"/>
  </r>
  <r>
    <s v="ORD-00421"/>
    <d v="2024-05-06T00:00:00"/>
    <s v="CUST-0088"/>
    <s v="PROD-038"/>
    <s v="R004"/>
    <n v="6"/>
    <n v="5490"/>
    <n v="8.5"/>
    <n v="30140.1"/>
    <s v="Refunded"/>
    <s v="Chennai"/>
    <x v="3"/>
    <m/>
    <s v="Retail"/>
    <n v="24"/>
    <x v="1"/>
  </r>
  <r>
    <s v="ORD-00422"/>
    <d v="2024-11-19T00:00:00"/>
    <s v="CUST-0037"/>
    <s v="PROD-054"/>
    <s v="R022"/>
    <n v="9"/>
    <n v="1010"/>
    <n v="3.6"/>
    <n v="8762.76"/>
    <s v="Completed"/>
    <s v="Bengaluru"/>
    <x v="1"/>
    <m/>
    <s v="Retail"/>
    <n v="52"/>
    <x v="0"/>
  </r>
  <r>
    <s v="ORD-00423"/>
    <d v="2024-12-05T00:00:00"/>
    <s v="CUST-0039"/>
    <s v="PROD-028"/>
    <s v="R008"/>
    <n v="6"/>
    <n v="3660"/>
    <n v="10.8"/>
    <n v="19588.32"/>
    <s v="Completed"/>
    <s v="Bengaluru"/>
    <x v="2"/>
    <m/>
    <s v="Retail"/>
    <n v="37"/>
    <x v="3"/>
  </r>
  <r>
    <s v="ORD-00424"/>
    <d v="2024-08-20T00:00:00"/>
    <s v="CUST-0106"/>
    <s v="PROD-047"/>
    <s v="R016"/>
    <n v="6"/>
    <n v="3450"/>
    <n v="10.7"/>
    <n v="18485.099999999999"/>
    <s v="Completed"/>
    <s v="Pune"/>
    <x v="5"/>
    <m/>
    <s v="Retail"/>
    <n v="22"/>
    <x v="1"/>
  </r>
  <r>
    <s v="ORD-00425"/>
    <d v="2024-03-28T00:00:00"/>
    <s v="CUST-0222"/>
    <s v="PROD-026"/>
    <s v="R011"/>
    <n v="10"/>
    <n v="4070"/>
    <n v="23.4"/>
    <n v="31176.2"/>
    <s v="Refunded"/>
    <s v="Chennai"/>
    <x v="2"/>
    <m/>
    <s v="Retail"/>
    <n v="37"/>
    <x v="4"/>
  </r>
  <r>
    <s v="ORD-00426"/>
    <d v="2024-06-11T00:00:00"/>
    <s v="CUST-0130"/>
    <s v="PROD-003"/>
    <s v="R025"/>
    <n v="9"/>
    <n v="3570"/>
    <n v="15.2"/>
    <n v="27246.240000000002"/>
    <s v="Completed"/>
    <s v="Bengaluru"/>
    <x v="4"/>
    <m/>
    <s v="Corporate"/>
    <n v="41"/>
    <x v="0"/>
  </r>
  <r>
    <s v="ORD-00427"/>
    <d v="2024-09-27T00:00:00"/>
    <s v="CUST-0281"/>
    <s v="PROD-056"/>
    <s v="R005"/>
    <n v="10"/>
    <n v="6940"/>
    <n v="21.8"/>
    <n v="54270.8"/>
    <s v="Pending"/>
    <s v="Bengaluru"/>
    <x v="1"/>
    <m/>
    <s v="Corporate"/>
    <n v="57"/>
    <x v="0"/>
  </r>
  <r>
    <s v="ORD-00428"/>
    <d v="2024-07-16T00:00:00"/>
    <s v="CUST-0094"/>
    <s v="PROD-044"/>
    <s v="R014"/>
    <n v="9"/>
    <n v="1650"/>
    <n v="24.3"/>
    <n v="11241.45"/>
    <s v="Completed"/>
    <s v="Pune"/>
    <x v="5"/>
    <m/>
    <s v="SMB"/>
    <n v="60"/>
    <x v="0"/>
  </r>
  <r>
    <s v="ORD-00429"/>
    <d v="2024-11-28T00:00:00"/>
    <s v="CUST-0271"/>
    <s v="PROD-007"/>
    <s v="R014"/>
    <n v="10"/>
    <n v="1430"/>
    <n v="25.2"/>
    <n v="10696.4"/>
    <s v="Completed"/>
    <s v="Bengaluru"/>
    <x v="4"/>
    <m/>
    <s v="Corporate"/>
    <n v="41"/>
    <x v="0"/>
  </r>
  <r>
    <s v="ORD-00430"/>
    <d v="2024-07-07T00:00:00"/>
    <s v="CUST-0110"/>
    <s v="PROD-025"/>
    <s v="R010"/>
    <n v="4"/>
    <n v="4060"/>
    <n v="1.6"/>
    <n v="15980.16"/>
    <s v="Completed"/>
    <s v="Pune"/>
    <x v="2"/>
    <m/>
    <s v="Corporate"/>
    <n v="31"/>
    <x v="4"/>
  </r>
  <r>
    <s v="ORD-00431"/>
    <d v="2024-05-08T00:00:00"/>
    <s v="CUST-0262"/>
    <s v="PROD-032"/>
    <s v="R005"/>
    <n v="9"/>
    <n v="370"/>
    <n v="17"/>
    <n v="2763.9"/>
    <s v="Completed"/>
    <s v="Mumbai"/>
    <x v="3"/>
    <m/>
    <s v="Retail"/>
    <n v="52"/>
    <x v="0"/>
  </r>
  <r>
    <s v="ORD-00432"/>
    <d v="2024-01-31T00:00:00"/>
    <s v="CUST-0157"/>
    <s v="PROD-041"/>
    <s v="R010"/>
    <n v="1"/>
    <n v="1540"/>
    <n v="24"/>
    <n v="1170.4000000000001"/>
    <s v="Cancelled"/>
    <s v="Pune"/>
    <x v="5"/>
    <m/>
    <s v="Corporate"/>
    <n v="52"/>
    <x v="0"/>
  </r>
  <r>
    <s v="ORD-00433"/>
    <d v="2024-03-31T00:00:00"/>
    <s v="CUST-0135"/>
    <s v="PROD-002"/>
    <s v="R025"/>
    <n v="9"/>
    <n v="2600"/>
    <n v="7.7"/>
    <n v="21598.2"/>
    <s v="Completed"/>
    <s v="Pune"/>
    <x v="4"/>
    <m/>
    <s v="SMB"/>
    <n v="24"/>
    <x v="4"/>
  </r>
  <r>
    <s v="ORD-00434"/>
    <d v="2024-07-24T00:00:00"/>
    <s v="CUST-0136"/>
    <s v="PROD-017"/>
    <s v="R015"/>
    <n v="8"/>
    <n v="2510"/>
    <n v="3.7"/>
    <n v="19337.04"/>
    <s v="Completed"/>
    <s v="Chennai"/>
    <x v="0"/>
    <m/>
    <s v="SMB"/>
    <n v="26"/>
    <x v="2"/>
  </r>
  <r>
    <s v="ORD-00435"/>
    <d v="2024-08-06T00:00:00"/>
    <s v="CUST-0110"/>
    <s v="PROD-001"/>
    <s v="R003"/>
    <n v="6"/>
    <n v="5330"/>
    <n v="8.4"/>
    <n v="29293.68"/>
    <s v="Completed"/>
    <s v="Pune"/>
    <x v="4"/>
    <m/>
    <s v="Corporate"/>
    <n v="31"/>
    <x v="4"/>
  </r>
  <r>
    <s v="ORD-00436"/>
    <d v="2024-08-18T00:00:00"/>
    <s v="CUST-0192"/>
    <s v="PROD-034"/>
    <s v="R014"/>
    <n v="5"/>
    <n v="5080"/>
    <n v="10.3"/>
    <n v="22783.8"/>
    <s v="Completed"/>
    <s v="Bengaluru"/>
    <x v="3"/>
    <m/>
    <s v="Retail"/>
    <n v="55"/>
    <x v="0"/>
  </r>
  <r>
    <s v="ORD-00437"/>
    <d v="2024-03-30T00:00:00"/>
    <s v="CUST-0169"/>
    <s v="PROD-026"/>
    <s v="R025"/>
    <n v="3"/>
    <n v="4070"/>
    <n v="23.7"/>
    <n v="9316.23"/>
    <s v="Completed"/>
    <s v="Bengaluru"/>
    <x v="2"/>
    <m/>
    <s v="SMB"/>
    <n v="42"/>
    <x v="0"/>
  </r>
  <r>
    <s v="ORD-00438"/>
    <d v="2024-08-07T00:00:00"/>
    <s v="CUST-0086"/>
    <s v="PROD-016"/>
    <s v="R013"/>
    <n v="4"/>
    <n v="620"/>
    <n v="18.8"/>
    <n v="2013.76"/>
    <s v="Completed"/>
    <s v="Hyderabad"/>
    <x v="0"/>
    <m/>
    <s v="Corporate"/>
    <n v="56"/>
    <x v="0"/>
  </r>
  <r>
    <s v="ORD-00439"/>
    <d v="2024-12-02T00:00:00"/>
    <s v="CUST-0217"/>
    <s v="PROD-010"/>
    <s v="R017"/>
    <n v="10"/>
    <n v="2640"/>
    <n v="12.7"/>
    <n v="23047.200000000001"/>
    <s v="Completed"/>
    <s v="Pune"/>
    <x v="4"/>
    <m/>
    <s v="SMB"/>
    <n v="59"/>
    <x v="0"/>
  </r>
  <r>
    <s v="ORD-00440"/>
    <d v="2024-02-04T00:00:00"/>
    <s v="CUST-0119"/>
    <s v="PROD-026"/>
    <s v="R030"/>
    <n v="2"/>
    <n v="4070"/>
    <n v="29"/>
    <n v="5779.4"/>
    <s v="Completed"/>
    <s v="Bengaluru"/>
    <x v="2"/>
    <m/>
    <s v="SMB"/>
    <n v="43"/>
    <x v="0"/>
  </r>
  <r>
    <s v="ORD-00441"/>
    <d v="2024-09-26T00:00:00"/>
    <s v="CUST-0011"/>
    <s v="PROD-054"/>
    <s v="R007"/>
    <n v="8"/>
    <n v="1010"/>
    <n v="25.4"/>
    <n v="6027.68"/>
    <s v="Completed"/>
    <s v="Chennai"/>
    <x v="1"/>
    <m/>
    <s v="Corporate"/>
    <n v="41"/>
    <x v="0"/>
  </r>
  <r>
    <s v="ORD-00442"/>
    <d v="2024-12-03T00:00:00"/>
    <s v="CUST-0059"/>
    <s v="PROD-036"/>
    <s v="R005"/>
    <n v="8"/>
    <n v="3250"/>
    <n v="5.4"/>
    <n v="24596"/>
    <s v="Completed"/>
    <s v="Pune"/>
    <x v="3"/>
    <m/>
    <s v="Corporate"/>
    <n v="29"/>
    <x v="1"/>
  </r>
  <r>
    <s v="ORD-00443"/>
    <d v="2024-06-17T00:00:00"/>
    <s v="CUST-0210"/>
    <s v="PROD-007"/>
    <s v="R009"/>
    <n v="7"/>
    <n v="1430"/>
    <n v="19.3"/>
    <n v="8078.07"/>
    <s v="Completed"/>
    <s v="Pune"/>
    <x v="4"/>
    <m/>
    <s v="Corporate"/>
    <n v="48"/>
    <x v="0"/>
  </r>
  <r>
    <s v="ORD-00444"/>
    <d v="2024-11-01T00:00:00"/>
    <s v="CUST-0145"/>
    <s v="PROD-045"/>
    <s v="R018"/>
    <n v="9"/>
    <n v="3020"/>
    <n v="15"/>
    <n v="23103"/>
    <s v="Completed"/>
    <s v="Bengaluru"/>
    <x v="5"/>
    <m/>
    <s v="SMB"/>
    <n v="44"/>
    <x v="0"/>
  </r>
  <r>
    <s v="ORD-00445"/>
    <d v="2024-02-02T00:00:00"/>
    <s v="CUST-9626"/>
    <s v="PROD-008"/>
    <s v="R002"/>
    <n v="2"/>
    <n v="2660"/>
    <n v="21.4"/>
    <n v="4181.5200000000004"/>
    <s v="Completed"/>
    <s v="Chennai"/>
    <x v="4"/>
    <m/>
    <e v="#N/A"/>
    <e v="#N/A"/>
    <x v="0"/>
  </r>
  <r>
    <s v="ORD-00446"/>
    <d v="2024-07-17T00:00:00"/>
    <s v="CUST-0250"/>
    <s v="PROD-003"/>
    <s v="R019"/>
    <n v="10"/>
    <n v="3570"/>
    <n v="20.3"/>
    <n v="28452.9"/>
    <s v="Completed"/>
    <s v="Delhi"/>
    <x v="4"/>
    <m/>
    <s v="Retail"/>
    <n v="31"/>
    <x v="1"/>
  </r>
  <r>
    <s v="ORD-00447"/>
    <d v="2024-02-08T00:00:00"/>
    <s v="CUST-0241"/>
    <s v="PROD-043"/>
    <s v="R010"/>
    <n v="4"/>
    <n v="3350"/>
    <n v="28.1"/>
    <n v="9634.6"/>
    <s v="Completed"/>
    <s v="Pune"/>
    <x v="5"/>
    <m/>
    <s v="Corporate"/>
    <n v="47"/>
    <x v="0"/>
  </r>
  <r>
    <s v="ORD-00448"/>
    <d v="2024-02-14T00:00:00"/>
    <s v="CUST-0071"/>
    <s v="PROD-019"/>
    <s v="R021"/>
    <n v="1"/>
    <n v="2480"/>
    <n v="13.5"/>
    <n v="2145.1999999999998"/>
    <s v="Completed"/>
    <s v="Delhi"/>
    <x v="0"/>
    <m/>
    <s v="Corporate"/>
    <n v="46"/>
    <x v="0"/>
  </r>
  <r>
    <s v="ORD-00449"/>
    <d v="2024-12-23T00:00:00"/>
    <s v="CUST-0017"/>
    <s v="PROD-052"/>
    <s v="R015"/>
    <n v="10"/>
    <n v="5410"/>
    <n v="26.1"/>
    <n v="39979.9"/>
    <s v="Completed"/>
    <s v="Delhi"/>
    <x v="1"/>
    <m/>
    <s v="SMB"/>
    <n v="38"/>
    <x v="3"/>
  </r>
  <r>
    <s v="ORD-00450"/>
    <d v="2024-10-21T00:00:00"/>
    <s v="CUST-0007"/>
    <s v="PROD-037"/>
    <s v="R023"/>
    <n v="2"/>
    <n v="660"/>
    <n v="5"/>
    <n v="1254"/>
    <s v="Completed"/>
    <s v="Bengaluru"/>
    <x v="3"/>
    <m/>
    <s v="Retail"/>
    <n v="47"/>
    <x v="0"/>
  </r>
  <r>
    <s v="ORD-00451"/>
    <d v="2024-12-21T00:00:00"/>
    <s v="CUST-0054"/>
    <s v="PROD-054"/>
    <s v="R007"/>
    <n v="10"/>
    <n v="1010"/>
    <n v="10"/>
    <n v="9090"/>
    <s v="Completed"/>
    <s v="Mumbai"/>
    <x v="1"/>
    <m/>
    <s v="Corporate"/>
    <n v="62"/>
    <x v="0"/>
  </r>
  <r>
    <s v="ORD-00452"/>
    <d v="2024-07-23T00:00:00"/>
    <s v="CUST-0038"/>
    <s v="PROD-042"/>
    <s v="R001"/>
    <n v="3"/>
    <n v="2290"/>
    <n v="8.9"/>
    <n v="6258.57"/>
    <s v="Completed"/>
    <s v="Mumbai"/>
    <x v="5"/>
    <m/>
    <s v="Retail"/>
    <n v="57"/>
    <x v="0"/>
  </r>
  <r>
    <s v="ORD-00453"/>
    <d v="2024-03-18T00:00:00"/>
    <s v="CUST-0066"/>
    <s v="PROD-047"/>
    <s v="R001"/>
    <n v="9"/>
    <n v="3450"/>
    <n v="24.3"/>
    <n v="23504.85"/>
    <s v="Completed"/>
    <s v="Delhi"/>
    <x v="5"/>
    <m/>
    <s v="Retail"/>
    <n v="24"/>
    <x v="1"/>
  </r>
  <r>
    <s v="ORD-00454"/>
    <d v="2024-04-07T00:00:00"/>
    <s v="CUST-0161"/>
    <s v="PROD-013"/>
    <s v="R003"/>
    <n v="10"/>
    <n v="3640"/>
    <n v="21.4"/>
    <n v="28610.400000000001"/>
    <s v="Cancelled"/>
    <s v="Chennai"/>
    <x v="0"/>
    <m/>
    <s v="Retail"/>
    <n v="38"/>
    <x v="1"/>
  </r>
  <r>
    <s v="ORD-00455"/>
    <d v="2024-02-14T00:00:00"/>
    <s v="CUST-0072"/>
    <s v="PROD-023"/>
    <s v="R015"/>
    <n v="5"/>
    <n v="2380"/>
    <n v="12.2"/>
    <n v="10448.200000000001"/>
    <s v="Completed"/>
    <s v="Mumbai"/>
    <x v="2"/>
    <m/>
    <s v="Corporate"/>
    <n v="62"/>
    <x v="0"/>
  </r>
  <r>
    <s v="ORD-00456"/>
    <d v="2024-08-01T00:00:00"/>
    <s v="CUST-0232"/>
    <s v="PROD-052"/>
    <s v="R017"/>
    <n v="10"/>
    <n v="5410"/>
    <n v="29.8"/>
    <n v="37978.199999999997"/>
    <s v="Completed"/>
    <s v="Hyderabad"/>
    <x v="1"/>
    <m/>
    <s v="Retail"/>
    <n v="38"/>
    <x v="4"/>
  </r>
  <r>
    <s v="ORD-00457"/>
    <d v="2024-03-24T00:00:00"/>
    <s v="CUST-0054"/>
    <s v="PROD-044"/>
    <s v="R021"/>
    <n v="3"/>
    <n v="1650"/>
    <n v="9.4"/>
    <n v="4484.7"/>
    <s v="Cancelled"/>
    <s v="Mumbai"/>
    <x v="5"/>
    <m/>
    <s v="Corporate"/>
    <n v="62"/>
    <x v="0"/>
  </r>
  <r>
    <s v="ORD-00458"/>
    <d v="2024-04-01T00:00:00"/>
    <s v="CUST-0214"/>
    <s v="PROD-002"/>
    <s v="R022"/>
    <n v="7"/>
    <n v="2600"/>
    <n v="19.899999999999999"/>
    <n v="14578.2"/>
    <s v="Pending"/>
    <s v="Mumbai"/>
    <x v="4"/>
    <m/>
    <s v="Retail"/>
    <n v="22"/>
    <x v="3"/>
  </r>
  <r>
    <s v="ORD-00135"/>
    <d v="2024-07-01T00:00:00"/>
    <s v="CUST-0236"/>
    <s v="PROD-039"/>
    <s v="R002"/>
    <n v="4"/>
    <n v="4610"/>
    <n v="13.2"/>
    <n v="16005.92"/>
    <s v="Completed"/>
    <s v="Hyderabad"/>
    <x v="3"/>
    <m/>
    <s v="SMB"/>
    <n v="28"/>
    <x v="3"/>
  </r>
  <r>
    <s v="ORD-00460"/>
    <d v="2024-03-10T00:00:00"/>
    <s v="CUST-0031"/>
    <s v="PROD-039"/>
    <s v="R021"/>
    <n v="9"/>
    <n v="4610"/>
    <n v="25.8"/>
    <n v="30785.58"/>
    <s v="Completed"/>
    <s v="Hyderabad"/>
    <x v="3"/>
    <m/>
    <s v="Retail"/>
    <n v="53"/>
    <x v="0"/>
  </r>
  <r>
    <s v="ORD-00461"/>
    <d v="2024-09-15T00:00:00"/>
    <s v="CUST-0123"/>
    <s v="PROD-005"/>
    <s v="R014"/>
    <n v="5"/>
    <n v="300"/>
    <n v="11.8"/>
    <n v="1323"/>
    <s v="Completed"/>
    <s v="Chennai"/>
    <x v="4"/>
    <m/>
    <s v="Corporate"/>
    <n v="44"/>
    <x v="0"/>
  </r>
  <r>
    <s v="ORD-00462"/>
    <d v="2024-07-12T00:00:00"/>
    <s v="CUST-0019"/>
    <s v="PROD-011"/>
    <s v="R020"/>
    <n v="3"/>
    <n v="3450"/>
    <n v="14.2"/>
    <n v="8880.2999999999993"/>
    <s v="Completed"/>
    <s v="Chennai"/>
    <x v="0"/>
    <m/>
    <s v="Retail"/>
    <n v="22"/>
    <x v="4"/>
  </r>
  <r>
    <s v="ORD-00463"/>
    <d v="2024-08-19T00:00:00"/>
    <s v="CUST-0171"/>
    <s v="PROD-015"/>
    <s v="R028"/>
    <n v="2"/>
    <n v="2720"/>
    <n v="14.6"/>
    <n v="4645.76"/>
    <s v="Cancelled"/>
    <s v="Chennai"/>
    <x v="0"/>
    <m/>
    <s v="Corporate"/>
    <n v="30"/>
    <x v="3"/>
  </r>
  <r>
    <s v="ORD-00464"/>
    <d v="2024-11-30T00:00:00"/>
    <s v="CUST-0166"/>
    <s v="PROD-008"/>
    <s v="R017"/>
    <n v="7"/>
    <n v="2660"/>
    <n v="27.4"/>
    <n v="13518.12"/>
    <s v="Cancelled"/>
    <s v="Hyderabad"/>
    <x v="4"/>
    <m/>
    <s v="Retail"/>
    <n v="31"/>
    <x v="2"/>
  </r>
  <r>
    <s v="ORD-00465"/>
    <d v="2024-01-11T00:00:00"/>
    <s v="CUST-0151"/>
    <s v="PROD-051"/>
    <s v="R005"/>
    <n v="8"/>
    <n v="3450"/>
    <n v="20.399999999999999"/>
    <n v="21969.599999999999"/>
    <s v="Completed"/>
    <s v="Mumbai"/>
    <x v="1"/>
    <m/>
    <s v="Retail"/>
    <n v="53"/>
    <x v="0"/>
  </r>
  <r>
    <s v="ORD-00466"/>
    <d v="2024-05-15T00:00:00"/>
    <s v="CUST-0027"/>
    <s v="PROD-052"/>
    <s v="R016"/>
    <n v="2"/>
    <n v="5410"/>
    <n v="7.2"/>
    <n v="10040.959999999999"/>
    <s v="Completed"/>
    <s v="Hyderabad"/>
    <x v="1"/>
    <m/>
    <s v="Corporate"/>
    <n v="52"/>
    <x v="0"/>
  </r>
  <r>
    <s v="ORD-00467"/>
    <d v="2024-01-24T00:00:00"/>
    <s v="CUST-0171"/>
    <s v="PROD-004"/>
    <s v="R013"/>
    <n v="3"/>
    <n v="3870"/>
    <n v="4.2"/>
    <n v="11122.38"/>
    <s v="Completed"/>
    <s v="Chennai"/>
    <x v="4"/>
    <m/>
    <s v="Corporate"/>
    <n v="30"/>
    <x v="4"/>
  </r>
  <r>
    <s v="ORD-00468"/>
    <d v="2024-02-06T00:00:00"/>
    <s v="CUST-0094"/>
    <s v="PROD-024"/>
    <s v="R005"/>
    <n v="10"/>
    <n v="2270"/>
    <n v="17.3"/>
    <n v="18772.900000000001"/>
    <s v="Completed"/>
    <s v="Pune"/>
    <x v="2"/>
    <m/>
    <s v="SMB"/>
    <n v="60"/>
    <x v="0"/>
  </r>
  <r>
    <s v="ORD-00469"/>
    <d v="2024-04-12T00:00:00"/>
    <s v="CUST-0223"/>
    <s v="PROD-001"/>
    <s v="R025"/>
    <n v="1"/>
    <n v="5330"/>
    <n v="24.2"/>
    <n v="4040.14"/>
    <s v="Completed"/>
    <s v="Bengaluru"/>
    <x v="4"/>
    <m/>
    <s v="Retail"/>
    <n v="46"/>
    <x v="0"/>
  </r>
  <r>
    <s v="ORD-00470"/>
    <d v="2024-05-02T00:00:00"/>
    <s v="CUST-0281"/>
    <s v="PROD-043"/>
    <s v="R015"/>
    <n v="2"/>
    <n v="3350"/>
    <n v="23.4"/>
    <n v="5132.2"/>
    <s v="Completed"/>
    <s v="Bengaluru"/>
    <x v="5"/>
    <m/>
    <s v="Corporate"/>
    <n v="57"/>
    <x v="0"/>
  </r>
  <r>
    <s v="ORD-00471"/>
    <d v="2024-04-11T00:00:00"/>
    <s v="CUST-0148"/>
    <s v="PROD-045"/>
    <s v="R006"/>
    <n v="7"/>
    <n v="3020"/>
    <n v="23.7"/>
    <n v="16129.82"/>
    <s v="Completed"/>
    <s v="Chennai"/>
    <x v="5"/>
    <m/>
    <s v="Retail"/>
    <n v="32"/>
    <x v="4"/>
  </r>
  <r>
    <s v="ORD-00472"/>
    <d v="2024-08-31T00:00:00"/>
    <s v="CUST-0010"/>
    <s v="PROD-012"/>
    <s v="R020"/>
    <n v="7"/>
    <n v="3160"/>
    <n v="22.8"/>
    <n v="17076.64"/>
    <s v="Completed"/>
    <s v="Mumbai"/>
    <x v="0"/>
    <m/>
    <s v="SMB"/>
    <n v="61"/>
    <x v="0"/>
  </r>
  <r>
    <s v="ORD-00473"/>
    <d v="2024-09-06T00:00:00"/>
    <s v="CUST-0254"/>
    <s v="PROD-053"/>
    <s v="R020"/>
    <n v="2"/>
    <n v="470"/>
    <n v="28.8"/>
    <n v="669.28"/>
    <s v="Cancelled"/>
    <s v="Bengaluru"/>
    <x v="1"/>
    <m/>
    <s v="Retail"/>
    <n v="35"/>
    <x v="3"/>
  </r>
  <r>
    <s v="ORD-00474"/>
    <d v="2024-06-11T00:00:00"/>
    <s v="CUST-0126"/>
    <s v="PROD-036"/>
    <s v="R021"/>
    <n v="2"/>
    <n v="3250"/>
    <n v="24.7"/>
    <n v="4894.5"/>
    <s v="Completed"/>
    <s v="Mumbai"/>
    <x v="3"/>
    <m/>
    <s v="Retail"/>
    <n v="37"/>
    <x v="3"/>
  </r>
  <r>
    <s v="ORD-00475"/>
    <d v="2024-12-05T00:00:00"/>
    <s v="CUST-0018"/>
    <s v="PROD-054"/>
    <s v="R023"/>
    <n v="2"/>
    <n v="1010"/>
    <n v="5.2"/>
    <n v="1914.96"/>
    <s v="Cancelled"/>
    <s v="Pune"/>
    <x v="1"/>
    <m/>
    <s v="SMB"/>
    <n v="54"/>
    <x v="0"/>
  </r>
  <r>
    <s v="ORD-00476"/>
    <d v="2024-10-23T00:00:00"/>
    <s v="CUST-0089"/>
    <s v="PROD-005"/>
    <s v="R001"/>
    <n v="9"/>
    <n v="300"/>
    <n v="7.9"/>
    <n v="2486.6999999999998"/>
    <s v="Completed"/>
    <s v="Mumbai"/>
    <x v="4"/>
    <m/>
    <s v="SMB"/>
    <n v="43"/>
    <x v="0"/>
  </r>
  <r>
    <s v="ORD-00477"/>
    <d v="2024-06-26T00:00:00"/>
    <s v="CUST-0157"/>
    <s v="PROD-048"/>
    <s v="R006"/>
    <n v="10"/>
    <n v="5100"/>
    <n v="26.3"/>
    <n v="37587"/>
    <s v="Pending"/>
    <s v="Pune"/>
    <x v="5"/>
    <m/>
    <s v="Corporate"/>
    <n v="52"/>
    <x v="0"/>
  </r>
  <r>
    <s v="ORD-00478"/>
    <d v="2024-09-17T00:00:00"/>
    <s v="CUST-0201"/>
    <s v="PROD-043"/>
    <s v="R028"/>
    <n v="1"/>
    <n v="3350"/>
    <n v="8.5"/>
    <n v="3065.25"/>
    <s v="Cancelled"/>
    <s v="Hyderabad"/>
    <x v="5"/>
    <m/>
    <s v="Retail"/>
    <n v="31"/>
    <x v="1"/>
  </r>
  <r>
    <s v="ORD-01195"/>
    <d v="2024-09-19T00:00:00"/>
    <s v="CUST-0091"/>
    <s v="PROD-036"/>
    <s v="R022"/>
    <n v="2"/>
    <n v="3250"/>
    <n v="25.7"/>
    <n v="4829.5"/>
    <s v="Refunded"/>
    <s v="Delhi"/>
    <x v="3"/>
    <m/>
    <s v="Retail"/>
    <n v="55"/>
    <x v="0"/>
  </r>
  <r>
    <s v="ORD-00480"/>
    <d v="2024-03-01T00:00:00"/>
    <s v="CUST-0052"/>
    <s v="PROD-028"/>
    <s v="R008"/>
    <n v="10"/>
    <n v="3660"/>
    <n v="12"/>
    <n v="32208"/>
    <s v="Completed"/>
    <s v="Pune"/>
    <x v="2"/>
    <m/>
    <s v="Retail"/>
    <n v="38"/>
    <x v="3"/>
  </r>
  <r>
    <s v="ORD-00481"/>
    <d v="2024-08-17T00:00:00"/>
    <s v="CUST-0069"/>
    <s v="PROD-058"/>
    <s v="R009"/>
    <n v="1"/>
    <n v="2400"/>
    <n v="24.5"/>
    <n v="1812"/>
    <s v="Completed"/>
    <s v="Chennai"/>
    <x v="1"/>
    <m/>
    <s v="Retail"/>
    <n v="51"/>
    <x v="0"/>
  </r>
  <r>
    <s v="ORD-00482"/>
    <d v="2024-07-23T00:00:00"/>
    <s v="CUST-0294"/>
    <s v="PROD-035"/>
    <s v="R010"/>
    <n v="1"/>
    <n v="1090"/>
    <n v="18.399999999999999"/>
    <n v="889.44"/>
    <s v="Completed"/>
    <s v="Delhi"/>
    <x v="3"/>
    <m/>
    <s v="Corporate"/>
    <n v="31"/>
    <x v="4"/>
  </r>
  <r>
    <s v="ORD-00483"/>
    <d v="2024-04-22T00:00:00"/>
    <s v="CUST-0019"/>
    <s v="PROD-059"/>
    <s v="R015"/>
    <n v="6"/>
    <n v="3780"/>
    <n v="15.9"/>
    <n v="19073.88"/>
    <s v="Completed"/>
    <s v="Chennai"/>
    <x v="1"/>
    <m/>
    <s v="Retail"/>
    <n v="22"/>
    <x v="4"/>
  </r>
  <r>
    <s v="ORD-00484"/>
    <d v="2024-02-08T00:00:00"/>
    <s v="CUST-0087"/>
    <s v="PROD-043"/>
    <s v="R019"/>
    <n v="3"/>
    <n v="3350"/>
    <n v="18.8"/>
    <n v="8160.6"/>
    <s v="Refunded"/>
    <s v="Pune"/>
    <x v="5"/>
    <m/>
    <s v="SMB"/>
    <n v="49"/>
    <x v="0"/>
  </r>
  <r>
    <s v="ORD-00485"/>
    <d v="2024-02-01T00:00:00"/>
    <s v="CUST-0281"/>
    <s v="PROD-040"/>
    <s v="R030"/>
    <n v="3"/>
    <n v="1080"/>
    <n v="3.4"/>
    <n v="3129.84"/>
    <s v="Completed"/>
    <s v="Bengaluru"/>
    <x v="3"/>
    <m/>
    <s v="Corporate"/>
    <n v="57"/>
    <x v="0"/>
  </r>
  <r>
    <s v="ORD-00486"/>
    <d v="2024-08-15T00:00:00"/>
    <s v="CUST-0248"/>
    <s v="PROD-026"/>
    <s v="R022"/>
    <n v="6"/>
    <n v="4070"/>
    <n v="27.7"/>
    <n v="17655.66"/>
    <s v="Pending"/>
    <s v="Chennai"/>
    <x v="2"/>
    <m/>
    <s v="SMB"/>
    <n v="57"/>
    <x v="0"/>
  </r>
  <r>
    <s v="ORD-00487"/>
    <d v="2024-08-10T00:00:00"/>
    <s v="CUST-0019"/>
    <s v="PROD-041"/>
    <s v="R026"/>
    <n v="5"/>
    <n v="1540"/>
    <n v="24.9"/>
    <n v="5782.7"/>
    <s v="Completed"/>
    <s v="Chennai"/>
    <x v="5"/>
    <m/>
    <s v="Retail"/>
    <n v="22"/>
    <x v="3"/>
  </r>
  <r>
    <s v="ORD-00488"/>
    <d v="2024-07-24T00:00:00"/>
    <s v="CUST-0092"/>
    <s v="PROD-021"/>
    <s v="R028"/>
    <n v="6"/>
    <n v="2760"/>
    <n v="29.9"/>
    <n v="11608.56"/>
    <s v="Completed"/>
    <s v="Bengaluru"/>
    <x v="2"/>
    <m/>
    <s v="SMB"/>
    <n v="28"/>
    <x v="2"/>
  </r>
  <r>
    <s v="ORD-00489"/>
    <d v="2024-12-13T00:00:00"/>
    <s v="CUST-0195"/>
    <s v="PROD-006"/>
    <s v="R022"/>
    <n v="8"/>
    <n v="3970"/>
    <n v="23.7"/>
    <n v="24232.880000000001"/>
    <s v="Completed"/>
    <s v="Bengaluru"/>
    <x v="4"/>
    <m/>
    <s v="Retail"/>
    <n v="28"/>
    <x v="2"/>
  </r>
  <r>
    <s v="ORD-00490"/>
    <d v="2024-09-27T00:00:00"/>
    <s v="CUST-0126"/>
    <s v="PROD-011"/>
    <s v="R021"/>
    <n v="1"/>
    <n v="3450"/>
    <n v="7.4"/>
    <n v="3194.7"/>
    <s v="Completed"/>
    <s v="Mumbai"/>
    <x v="0"/>
    <m/>
    <s v="Retail"/>
    <n v="37"/>
    <x v="3"/>
  </r>
  <r>
    <s v="ORD-00491"/>
    <d v="2024-01-17T00:00:00"/>
    <s v="CUST-0274"/>
    <s v="PROD-018"/>
    <s v="R005"/>
    <n v="3"/>
    <n v="3560"/>
    <n v="15.2"/>
    <n v="9056.64"/>
    <s v="Completed"/>
    <s v="Bengaluru"/>
    <x v="0"/>
    <m/>
    <s v="Corporate"/>
    <n v="36"/>
    <x v="3"/>
  </r>
  <r>
    <s v="ORD-00492"/>
    <d v="2024-05-16T00:00:00"/>
    <s v="CUST-0059"/>
    <s v="PROD-003"/>
    <s v="R030"/>
    <n v="4"/>
    <n v="3570"/>
    <n v="18.899999999999999"/>
    <n v="11581.08"/>
    <s v="Completed"/>
    <s v="Pune"/>
    <x v="4"/>
    <m/>
    <s v="Corporate"/>
    <n v="29"/>
    <x v="1"/>
  </r>
  <r>
    <s v="ORD-00493"/>
    <d v="2024-06-29T00:00:00"/>
    <s v="CUST-0264"/>
    <s v="PROD-057"/>
    <s v="R025"/>
    <n v="9"/>
    <n v="960"/>
    <n v="14"/>
    <n v="7430.4"/>
    <s v="Refunded"/>
    <s v="Pune"/>
    <x v="1"/>
    <m/>
    <s v="Retail"/>
    <n v="59"/>
    <x v="0"/>
  </r>
  <r>
    <s v="ORD-00494"/>
    <d v="2024-04-24T00:00:00"/>
    <s v="CUST-0157"/>
    <s v="PROD-047"/>
    <s v="R016"/>
    <n v="9"/>
    <n v="3450"/>
    <n v="6"/>
    <n v="29187"/>
    <s v="Cancelled"/>
    <s v="Pune"/>
    <x v="5"/>
    <m/>
    <s v="Corporate"/>
    <n v="52"/>
    <x v="0"/>
  </r>
  <r>
    <s v="ORD-00495"/>
    <d v="2024-06-14T00:00:00"/>
    <s v="CUST-0028"/>
    <s v="PROD-043"/>
    <s v="R012"/>
    <n v="7"/>
    <n v="3350"/>
    <n v="14"/>
    <n v="20167"/>
    <s v="Cancelled"/>
    <s v="Bengaluru"/>
    <x v="5"/>
    <m/>
    <s v="Retail"/>
    <n v="59"/>
    <x v="0"/>
  </r>
  <r>
    <s v="ORD-00496"/>
    <d v="2024-01-07T00:00:00"/>
    <s v="CUST-0033"/>
    <s v="PROD-049"/>
    <s v="R004"/>
    <n v="6"/>
    <n v="960"/>
    <n v="10.1"/>
    <n v="5178.24"/>
    <s v="Completed"/>
    <s v="Delhi"/>
    <x v="5"/>
    <m/>
    <s v="Retail"/>
    <n v="35"/>
    <x v="4"/>
  </r>
  <r>
    <s v="ORD-00497"/>
    <d v="2024-02-15T00:00:00"/>
    <s v="CUST-0280"/>
    <s v="PROD-005"/>
    <s v="R016"/>
    <n v="7"/>
    <n v="300"/>
    <n v="21.9"/>
    <n v="1640.1"/>
    <s v="Completed"/>
    <s v="Delhi"/>
    <x v="4"/>
    <m/>
    <s v="SMB"/>
    <n v="27"/>
    <x v="1"/>
  </r>
  <r>
    <s v="ORD-00498"/>
    <d v="2024-04-07T00:00:00"/>
    <s v="CUST-0232"/>
    <s v="PROD-023"/>
    <s v="R019"/>
    <n v="2"/>
    <n v="2380"/>
    <n v="6.8"/>
    <n v="4436.32"/>
    <s v="Completed"/>
    <s v="Hyderabad"/>
    <x v="2"/>
    <m/>
    <s v="Retail"/>
    <n v="38"/>
    <x v="4"/>
  </r>
  <r>
    <s v="ORD-00499"/>
    <d v="2024-01-07T00:00:00"/>
    <s v="CUST-0270"/>
    <s v="PROD-057"/>
    <s v="R024"/>
    <n v="5"/>
    <n v="960"/>
    <n v="15"/>
    <n v="4080"/>
    <s v="Cancelled"/>
    <s v="Bengaluru"/>
    <x v="1"/>
    <m/>
    <s v="Retail"/>
    <n v="29"/>
    <x v="3"/>
  </r>
  <r>
    <s v="ORD-00500"/>
    <d v="2024-10-12T00:00:00"/>
    <s v="CUST-0203"/>
    <s v="PROD-059"/>
    <s v="R012"/>
    <n v="10"/>
    <n v="3780"/>
    <n v="24.1"/>
    <n v="28690.2"/>
    <s v="Refunded"/>
    <s v="Chennai"/>
    <x v="1"/>
    <m/>
    <s v="SMB"/>
    <n v="55"/>
    <x v="0"/>
  </r>
  <r>
    <s v="ORD-00501"/>
    <d v="2024-03-04T00:00:00"/>
    <s v="CUST-0069"/>
    <s v="PROD-041"/>
    <s v="R020"/>
    <n v="4"/>
    <n v="1540"/>
    <n v="14.2"/>
    <n v="5285.28"/>
    <s v="Cancelled"/>
    <s v="Chennai"/>
    <x v="5"/>
    <m/>
    <s v="Retail"/>
    <n v="51"/>
    <x v="0"/>
  </r>
  <r>
    <s v="ORD-00502"/>
    <d v="2024-06-20T00:00:00"/>
    <s v="CUST-0037"/>
    <s v="PROD-017"/>
    <s v="R005"/>
    <n v="10"/>
    <n v="2510"/>
    <n v="20.8"/>
    <n v="19879.2"/>
    <s v="Completed"/>
    <s v="Bengaluru"/>
    <x v="0"/>
    <m/>
    <s v="Retail"/>
    <n v="52"/>
    <x v="0"/>
  </r>
  <r>
    <s v="ORD-00503"/>
    <d v="2024-03-23T00:00:00"/>
    <s v="CUST-0149"/>
    <s v="PROD-025"/>
    <s v="R014"/>
    <n v="9"/>
    <n v="4060"/>
    <n v="27.1"/>
    <n v="26637.66"/>
    <s v="Completed"/>
    <s v="Hyderabad"/>
    <x v="2"/>
    <m/>
    <s v="Retail"/>
    <n v="44"/>
    <x v="0"/>
  </r>
  <r>
    <s v="ORD-00504"/>
    <d v="2024-12-12T00:00:00"/>
    <s v="CUST-0131"/>
    <s v="PROD-058"/>
    <s v="R025"/>
    <n v="4"/>
    <n v="2400"/>
    <n v="19.100000000000001"/>
    <n v="7766.4"/>
    <s v="Completed"/>
    <s v="Delhi"/>
    <x v="1"/>
    <m/>
    <s v="SMB"/>
    <n v="28"/>
    <x v="4"/>
  </r>
  <r>
    <s v="ORD-00505"/>
    <d v="2024-08-21T00:00:00"/>
    <s v="CUST-0071"/>
    <s v="PROD-046"/>
    <s v="R022"/>
    <n v="8"/>
    <n v="4880"/>
    <n v="9.1999999999999993"/>
    <n v="35448.32"/>
    <s v="Cancelled"/>
    <s v="Delhi"/>
    <x v="5"/>
    <m/>
    <s v="Corporate"/>
    <n v="46"/>
    <x v="0"/>
  </r>
  <r>
    <s v="ORD-00506"/>
    <d v="2024-10-21T00:00:00"/>
    <s v="CUST-0249"/>
    <s v="PROD-048"/>
    <s v="R019"/>
    <n v="9"/>
    <n v="5100"/>
    <n v="11.1"/>
    <n v="40805.1"/>
    <s v="Cancelled"/>
    <s v="Mumbai"/>
    <x v="5"/>
    <m/>
    <s v="Retail"/>
    <n v="44"/>
    <x v="0"/>
  </r>
  <r>
    <s v="ORD-00507"/>
    <d v="2024-12-11T00:00:00"/>
    <s v="CUST-0181"/>
    <s v="PROD-005"/>
    <s v="R028"/>
    <n v="4"/>
    <n v="300"/>
    <n v="16.7"/>
    <n v="999.6"/>
    <s v="Completed"/>
    <s v="Delhi"/>
    <x v="4"/>
    <m/>
    <s v="SMB"/>
    <n v="38"/>
    <x v="3"/>
  </r>
  <r>
    <s v="ORD-00508"/>
    <d v="2024-05-31T00:00:00"/>
    <s v="CUST-0085"/>
    <s v="PROD-019"/>
    <s v="R014"/>
    <n v="6"/>
    <n v="2480"/>
    <n v="3.3"/>
    <n v="14388.96"/>
    <s v="Completed"/>
    <s v="Chennai"/>
    <x v="0"/>
    <m/>
    <s v="Retail"/>
    <n v="26"/>
    <x v="2"/>
  </r>
  <r>
    <s v="ORD-00509"/>
    <d v="2024-10-04T00:00:00"/>
    <s v="CUST-0180"/>
    <s v="PROD-044"/>
    <s v="R023"/>
    <n v="10"/>
    <n v="1650"/>
    <n v="22.9"/>
    <n v="12721.5"/>
    <s v="Refunded"/>
    <s v="Chennai"/>
    <x v="5"/>
    <m/>
    <s v="Retail"/>
    <n v="36"/>
    <x v="4"/>
  </r>
  <r>
    <s v="ORD-00510"/>
    <d v="2024-01-28T00:00:00"/>
    <s v="CUST-0103"/>
    <s v="PROD-029"/>
    <s v="R012"/>
    <n v="3"/>
    <n v="2210"/>
    <n v="11.1"/>
    <n v="5894.07"/>
    <s v="Completed"/>
    <s v="Hyderabad"/>
    <x v="2"/>
    <m/>
    <s v="Corporate"/>
    <n v="54"/>
    <x v="0"/>
  </r>
  <r>
    <s v="ORD-00511"/>
    <d v="2024-04-24T00:00:00"/>
    <s v="CUST-0174"/>
    <s v="PROD-019"/>
    <s v="R005"/>
    <n v="10"/>
    <n v="2480"/>
    <n v="13"/>
    <n v="21576"/>
    <s v="Pending"/>
    <s v="Pune"/>
    <x v="0"/>
    <m/>
    <s v="Retail"/>
    <n v="54"/>
    <x v="0"/>
  </r>
  <r>
    <s v="ORD-00512"/>
    <d v="2024-12-03T00:00:00"/>
    <s v="CUST-0071"/>
    <s v="PROD-001"/>
    <s v="R023"/>
    <n v="10"/>
    <n v="5330"/>
    <n v="0.7"/>
    <n v="52926.9"/>
    <s v="Completed"/>
    <s v="Delhi"/>
    <x v="4"/>
    <m/>
    <s v="Corporate"/>
    <n v="46"/>
    <x v="0"/>
  </r>
  <r>
    <s v="ORD-00513"/>
    <d v="2024-11-16T00:00:00"/>
    <s v="CUST-0266"/>
    <s v="PROD-026"/>
    <s v="R012"/>
    <n v="9"/>
    <n v="4070"/>
    <n v="15.6"/>
    <n v="30915.72"/>
    <s v="Completed"/>
    <s v="Pune"/>
    <x v="2"/>
    <m/>
    <s v="Retail"/>
    <n v="65"/>
    <x v="0"/>
  </r>
  <r>
    <s v="ORD-00514"/>
    <d v="2024-11-17T00:00:00"/>
    <s v="CUST-0148"/>
    <s v="PROD-015"/>
    <s v="R001"/>
    <n v="5"/>
    <n v="2720"/>
    <n v="10.3"/>
    <n v="12199.2"/>
    <s v="Cancelled"/>
    <s v="Chennai"/>
    <x v="0"/>
    <m/>
    <s v="Retail"/>
    <n v="32"/>
    <x v="4"/>
  </r>
  <r>
    <s v="ORD-00515"/>
    <d v="2024-07-11T00:00:00"/>
    <s v="CUST-0030"/>
    <s v="PROD-055"/>
    <s v="R029"/>
    <n v="6"/>
    <n v="2860"/>
    <n v="28.9"/>
    <n v="12200.76"/>
    <s v="Completed"/>
    <s v="Bengaluru"/>
    <x v="1"/>
    <m/>
    <s v="Corporate"/>
    <n v="43"/>
    <x v="0"/>
  </r>
  <r>
    <s v="ORD-00516"/>
    <d v="2024-12-30T00:00:00"/>
    <s v="CUST-0128"/>
    <s v="PROD-014"/>
    <s v="R012"/>
    <n v="5"/>
    <n v="3620"/>
    <n v="18.2"/>
    <n v="14805.8"/>
    <s v="Completed"/>
    <s v="Hyderabad"/>
    <x v="0"/>
    <m/>
    <s v="Retail"/>
    <n v="35"/>
    <x v="2"/>
  </r>
  <r>
    <s v="ORD-00517"/>
    <d v="2024-05-20T00:00:00"/>
    <s v="CUST-0056"/>
    <s v="PROD-044"/>
    <s v="R018"/>
    <n v="3"/>
    <n v="1650"/>
    <n v="10.7"/>
    <n v="4420.3500000000004"/>
    <s v="Completed"/>
    <s v="Bengaluru"/>
    <x v="5"/>
    <m/>
    <s v="SMB"/>
    <n v="46"/>
    <x v="0"/>
  </r>
  <r>
    <s v="ORD-00518"/>
    <d v="2024-07-22T00:00:00"/>
    <s v="CUST-0178"/>
    <s v="PROD-060"/>
    <s v="R029"/>
    <n v="8"/>
    <n v="190"/>
    <n v="18"/>
    <n v="1246.4000000000001"/>
    <s v="Pending"/>
    <s v="Hyderabad"/>
    <x v="1"/>
    <m/>
    <s v="Retail"/>
    <n v="25"/>
    <x v="3"/>
  </r>
  <r>
    <s v="ORD-00519"/>
    <d v="2024-05-31T00:00:00"/>
    <s v="CUST-0237"/>
    <s v="PROD-042"/>
    <s v="R029"/>
    <n v="7"/>
    <n v="2290"/>
    <n v="12.5"/>
    <n v="14026.25"/>
    <s v="Completed"/>
    <s v="Mumbai"/>
    <x v="5"/>
    <m/>
    <s v="Retail"/>
    <n v="49"/>
    <x v="0"/>
  </r>
  <r>
    <s v="ORD-00520"/>
    <d v="2024-12-12T00:00:00"/>
    <s v="CUST-0143"/>
    <s v="PROD-001"/>
    <s v="R017"/>
    <n v="2"/>
    <n v="5330"/>
    <n v="26.5"/>
    <n v="7835.1"/>
    <s v="Completed"/>
    <s v="Chennai"/>
    <x v="4"/>
    <m/>
    <s v="SMB"/>
    <n v="52"/>
    <x v="0"/>
  </r>
  <r>
    <s v="ORD-00521"/>
    <d v="2024-07-03T00:00:00"/>
    <s v="CUST-0233"/>
    <s v="PROD-001"/>
    <s v="R015"/>
    <n v="4"/>
    <n v="5330"/>
    <n v="25.6"/>
    <n v="15862.08"/>
    <s v="Completed"/>
    <s v="Mumbai"/>
    <x v="4"/>
    <m/>
    <s v="SMB"/>
    <n v="65"/>
    <x v="0"/>
  </r>
  <r>
    <s v="ORD-00522"/>
    <d v="2024-10-01T00:00:00"/>
    <s v="CUST-0161"/>
    <s v="PROD-034"/>
    <s v="R006"/>
    <n v="4"/>
    <n v="5080"/>
    <n v="28.6"/>
    <n v="14508.48"/>
    <s v="Completed"/>
    <s v="Chennai"/>
    <x v="3"/>
    <m/>
    <s v="Retail"/>
    <n v="38"/>
    <x v="4"/>
  </r>
  <r>
    <s v="ORD-00523"/>
    <d v="2024-04-10T00:00:00"/>
    <s v="CUST-0087"/>
    <s v="PROD-032"/>
    <s v="R002"/>
    <n v="4"/>
    <n v="370"/>
    <n v="12.6"/>
    <n v="1293.52"/>
    <s v="Pending"/>
    <s v="Pune"/>
    <x v="3"/>
    <m/>
    <s v="SMB"/>
    <n v="49"/>
    <x v="0"/>
  </r>
  <r>
    <s v="ORD-00524"/>
    <d v="2024-09-26T00:00:00"/>
    <s v="CUST-0235"/>
    <s v="PROD-053"/>
    <s v="R013"/>
    <n v="9"/>
    <n v="470"/>
    <n v="3.6"/>
    <n v="4077.72"/>
    <s v="Completed"/>
    <s v="Chennai"/>
    <x v="1"/>
    <m/>
    <s v="Retail"/>
    <n v="31"/>
    <x v="1"/>
  </r>
  <r>
    <s v="ORD-00525"/>
    <d v="2024-12-08T00:00:00"/>
    <s v="CUST-0183"/>
    <s v="PROD-052"/>
    <s v="R027"/>
    <n v="4"/>
    <n v="5410"/>
    <n v="11.3"/>
    <n v="19194.68"/>
    <s v="Refunded"/>
    <s v="Mumbai"/>
    <x v="1"/>
    <m/>
    <s v="SMB"/>
    <n v="27"/>
    <x v="4"/>
  </r>
  <r>
    <s v="ORD-00526"/>
    <d v="2024-01-20T00:00:00"/>
    <s v="CUST-0199"/>
    <s v="PROD-014"/>
    <s v="R007"/>
    <n v="10"/>
    <n v="3620"/>
    <n v="2.5"/>
    <n v="35295"/>
    <s v="Completed"/>
    <s v="Hyderabad"/>
    <x v="0"/>
    <m/>
    <s v="SMB"/>
    <n v="31"/>
    <x v="2"/>
  </r>
  <r>
    <s v="ORD-00527"/>
    <d v="2024-03-29T00:00:00"/>
    <s v="CUST-0034"/>
    <s v="PROD-021"/>
    <s v="R030"/>
    <n v="1"/>
    <n v="2760"/>
    <n v="22.2"/>
    <n v="2147.2800000000002"/>
    <s v="Completed"/>
    <s v="Delhi"/>
    <x v="2"/>
    <m/>
    <s v="Retail"/>
    <n v="47"/>
    <x v="0"/>
  </r>
  <r>
    <s v="ORD-00528"/>
    <d v="2024-09-14T00:00:00"/>
    <s v="CUST-0206"/>
    <s v="PROD-047"/>
    <s v="R001"/>
    <n v="7"/>
    <n v="3450"/>
    <n v="8.6"/>
    <n v="22073.1"/>
    <s v="Completed"/>
    <s v="Mumbai"/>
    <x v="5"/>
    <m/>
    <s v="Retail"/>
    <n v="40"/>
    <x v="2"/>
  </r>
  <r>
    <s v="ORD-00529"/>
    <d v="2024-05-06T00:00:00"/>
    <s v="CUST-0246"/>
    <s v="PROD-028"/>
    <s v="R028"/>
    <n v="6"/>
    <n v="3660"/>
    <n v="10.6"/>
    <n v="19632.240000000002"/>
    <s v="Completed"/>
    <s v="Delhi"/>
    <x v="2"/>
    <m/>
    <s v="SMB"/>
    <n v="29"/>
    <x v="1"/>
  </r>
  <r>
    <s v="ORD-00530"/>
    <d v="2024-08-28T00:00:00"/>
    <s v="CUST-0075"/>
    <s v="PROD-003"/>
    <s v="R028"/>
    <n v="10"/>
    <n v="3570"/>
    <n v="1.2"/>
    <n v="35271.599999999999"/>
    <s v="Completed"/>
    <s v="Mumbai"/>
    <x v="4"/>
    <m/>
    <s v="Corporate"/>
    <n v="55"/>
    <x v="0"/>
  </r>
  <r>
    <s v="ORD-00531"/>
    <d v="2024-09-07T00:00:00"/>
    <s v="CUST-0298"/>
    <s v="PROD-035"/>
    <s v="R009"/>
    <n v="8"/>
    <n v="1090"/>
    <n v="13.2"/>
    <n v="7568.96"/>
    <s v="Refunded"/>
    <s v="Delhi"/>
    <x v="3"/>
    <m/>
    <s v="Retail"/>
    <n v="44"/>
    <x v="0"/>
  </r>
  <r>
    <s v="ORD-00532"/>
    <d v="2024-01-29T00:00:00"/>
    <s v="CUST-0165"/>
    <s v="PROD-014"/>
    <s v="R018"/>
    <n v="8"/>
    <n v="3620"/>
    <n v="29"/>
    <n v="20561.599999999999"/>
    <s v="Completed"/>
    <s v="Pune"/>
    <x v="0"/>
    <m/>
    <s v="Retail"/>
    <n v="29"/>
    <x v="4"/>
  </r>
  <r>
    <s v="ORD-00533"/>
    <d v="2024-09-13T00:00:00"/>
    <s v="CUST-0033"/>
    <s v="PROD-046"/>
    <s v="R010"/>
    <n v="7"/>
    <n v="4880"/>
    <n v="25.6"/>
    <n v="25415.040000000001"/>
    <s v="Refunded"/>
    <s v="Delhi"/>
    <x v="5"/>
    <m/>
    <s v="Retail"/>
    <n v="35"/>
    <x v="3"/>
  </r>
  <r>
    <s v="ORD-00534"/>
    <d v="2024-05-22T00:00:00"/>
    <s v="CUST-0205"/>
    <s v="PROD-053"/>
    <s v="R028"/>
    <n v="2"/>
    <n v="470"/>
    <n v="9.6999999999999993"/>
    <n v="848.82"/>
    <s v="Completed"/>
    <s v="Pune"/>
    <x v="1"/>
    <m/>
    <s v="Corporate"/>
    <n v="29"/>
    <x v="4"/>
  </r>
  <r>
    <s v="ORD-00535"/>
    <d v="2024-09-04T00:00:00"/>
    <s v="CUST-0037"/>
    <s v="PROD-042"/>
    <s v="R022"/>
    <n v="6"/>
    <n v="2290"/>
    <n v="8.9"/>
    <n v="12517.14"/>
    <s v="Completed"/>
    <s v="Bengaluru"/>
    <x v="5"/>
    <m/>
    <s v="Retail"/>
    <n v="52"/>
    <x v="0"/>
  </r>
  <r>
    <s v="ORD-00536"/>
    <d v="2024-06-25T00:00:00"/>
    <s v="CUST-0228"/>
    <s v="PROD-023"/>
    <s v="R010"/>
    <n v="3"/>
    <n v="2380"/>
    <n v="2.7"/>
    <n v="6947.22"/>
    <s v="Pending"/>
    <s v="Pune"/>
    <x v="2"/>
    <m/>
    <s v="Corporate"/>
    <n v="37"/>
    <x v="3"/>
  </r>
  <r>
    <s v="ORD-00537"/>
    <d v="2024-07-12T00:00:00"/>
    <s v="CUST-0279"/>
    <s v="PROD-023"/>
    <s v="R008"/>
    <n v="9"/>
    <n v="2380"/>
    <n v="20.100000000000001"/>
    <n v="17114.580000000002"/>
    <s v="Completed"/>
    <s v="Mumbai"/>
    <x v="2"/>
    <m/>
    <s v="Retail"/>
    <n v="56"/>
    <x v="0"/>
  </r>
  <r>
    <s v="ORD-00538"/>
    <d v="2024-01-12T00:00:00"/>
    <s v="CUST-0271"/>
    <s v="PROD-052"/>
    <s v="R014"/>
    <n v="8"/>
    <n v="5410"/>
    <n v="11.2"/>
    <n v="38432.639999999999"/>
    <s v="Completed"/>
    <s v="Bengaluru"/>
    <x v="1"/>
    <m/>
    <s v="Corporate"/>
    <n v="41"/>
    <x v="0"/>
  </r>
  <r>
    <s v="ORD-00539"/>
    <d v="2024-11-09T00:00:00"/>
    <s v="CUST-0127"/>
    <s v="PROD-007"/>
    <s v="R008"/>
    <n v="1"/>
    <n v="1430"/>
    <n v="19.600000000000001"/>
    <n v="1149.72"/>
    <s v="Completed"/>
    <s v="Bengaluru"/>
    <x v="4"/>
    <m/>
    <s v="SMB"/>
    <n v="36"/>
    <x v="4"/>
  </r>
  <r>
    <s v="ORD-00540"/>
    <d v="2024-05-09T00:00:00"/>
    <s v="CUST-0007"/>
    <s v="PROD-058"/>
    <s v="R027"/>
    <n v="9"/>
    <n v="2400"/>
    <n v="5"/>
    <n v="20520"/>
    <s v="Completed"/>
    <s v="Bengaluru"/>
    <x v="1"/>
    <m/>
    <s v="Retail"/>
    <n v="47"/>
    <x v="0"/>
  </r>
  <r>
    <s v="ORD-00541"/>
    <d v="2024-07-20T00:00:00"/>
    <s v="CUST-0005"/>
    <s v="PROD-027"/>
    <s v="R001"/>
    <n v="1"/>
    <n v="3780"/>
    <n v="4.7"/>
    <n v="3602.34"/>
    <s v="Completed"/>
    <s v="Chennai"/>
    <x v="2"/>
    <m/>
    <s v="Corporate"/>
    <n v="52"/>
    <x v="0"/>
  </r>
  <r>
    <s v="ORD-00542"/>
    <d v="2024-10-27T00:00:00"/>
    <s v="CUST-0072"/>
    <s v="PROD-016"/>
    <s v="R019"/>
    <n v="2"/>
    <n v="620"/>
    <n v="8"/>
    <n v="1140.8"/>
    <s v="Completed"/>
    <s v="Mumbai"/>
    <x v="0"/>
    <m/>
    <s v="Corporate"/>
    <n v="62"/>
    <x v="0"/>
  </r>
  <r>
    <s v="ORD-00543"/>
    <d v="2024-03-28T00:00:00"/>
    <s v="CUST-0167"/>
    <s v="PROD-060"/>
    <s v="R007"/>
    <n v="3"/>
    <n v="190"/>
    <n v="17.899999999999999"/>
    <n v="467.97"/>
    <s v="Pending"/>
    <s v="Delhi"/>
    <x v="1"/>
    <m/>
    <s v="Retail"/>
    <n v="43"/>
    <x v="0"/>
  </r>
  <r>
    <s v="ORD-00544"/>
    <d v="2024-02-10T00:00:00"/>
    <s v="CUST-0244"/>
    <s v="PROD-014"/>
    <s v="R019"/>
    <n v="2"/>
    <n v="3620"/>
    <n v="15.5"/>
    <n v="6117.8"/>
    <s v="Completed"/>
    <s v="Bengaluru"/>
    <x v="0"/>
    <m/>
    <s v="Retail"/>
    <n v="61"/>
    <x v="0"/>
  </r>
  <r>
    <s v="ORD-00545"/>
    <d v="2024-11-14T00:00:00"/>
    <s v="CUST-0086"/>
    <s v="PROD-055"/>
    <s v="R018"/>
    <n v="5"/>
    <n v="2860"/>
    <n v="26.8"/>
    <n v="10467.6"/>
    <s v="Completed"/>
    <s v="Hyderabad"/>
    <x v="1"/>
    <m/>
    <s v="Corporate"/>
    <n v="56"/>
    <x v="0"/>
  </r>
  <r>
    <s v="ORD-00546"/>
    <d v="2024-12-12T00:00:00"/>
    <s v="CUST-0091"/>
    <s v="PROD-058"/>
    <s v="R023"/>
    <n v="6"/>
    <n v="2400"/>
    <n v="19.2"/>
    <n v="11635.2"/>
    <s v="Cancelled"/>
    <s v="Delhi"/>
    <x v="1"/>
    <m/>
    <s v="Retail"/>
    <n v="55"/>
    <x v="0"/>
  </r>
  <r>
    <s v="ORD-00547"/>
    <d v="2024-09-11T00:00:00"/>
    <s v="CUST-0169"/>
    <s v="PROD-034"/>
    <s v="R009"/>
    <n v="7"/>
    <n v="5080"/>
    <n v="16.600000000000001"/>
    <n v="29657.040000000001"/>
    <s v="Pending"/>
    <s v="Bengaluru"/>
    <x v="3"/>
    <m/>
    <s v="SMB"/>
    <n v="42"/>
    <x v="0"/>
  </r>
  <r>
    <s v="ORD-00548"/>
    <d v="2024-05-24T00:00:00"/>
    <s v="CUST-0273"/>
    <s v="PROD-034"/>
    <s v="R015"/>
    <n v="10"/>
    <n v="5080"/>
    <n v="24.6"/>
    <n v="38303.199999999997"/>
    <s v="Completed"/>
    <s v="Hyderabad"/>
    <x v="3"/>
    <m/>
    <s v="Corporate"/>
    <n v="32"/>
    <x v="4"/>
  </r>
  <r>
    <s v="ORD-00549"/>
    <d v="2024-08-28T00:00:00"/>
    <s v="CUST-0233"/>
    <s v="PROD-057"/>
    <s v="R008"/>
    <n v="7"/>
    <n v="960"/>
    <n v="16.600000000000001"/>
    <n v="5604.48"/>
    <s v="Completed"/>
    <s v="Mumbai"/>
    <x v="1"/>
    <m/>
    <s v="SMB"/>
    <n v="65"/>
    <x v="0"/>
  </r>
  <r>
    <s v="ORD-00550"/>
    <d v="2024-10-03T00:00:00"/>
    <s v="CUST-0175"/>
    <s v="PROD-028"/>
    <s v="R028"/>
    <n v="3"/>
    <n v="3660"/>
    <n v="3.2"/>
    <n v="10628.64"/>
    <s v="Pending"/>
    <s v="Delhi"/>
    <x v="2"/>
    <m/>
    <s v="Corporate"/>
    <n v="55"/>
    <x v="0"/>
  </r>
  <r>
    <s v="ORD-00551"/>
    <d v="2024-10-07T00:00:00"/>
    <s v="CUST-0241"/>
    <s v="PROD-010"/>
    <s v="R009"/>
    <n v="6"/>
    <n v="2640"/>
    <n v="26.3"/>
    <n v="11674.08"/>
    <s v="Completed"/>
    <s v="Pune"/>
    <x v="4"/>
    <m/>
    <s v="Corporate"/>
    <n v="47"/>
    <x v="0"/>
  </r>
  <r>
    <s v="ORD-00552"/>
    <d v="2024-09-27T00:00:00"/>
    <s v="CUST-0024"/>
    <s v="PROD-009"/>
    <s v="R009"/>
    <n v="6"/>
    <n v="1220"/>
    <n v="22.3"/>
    <n v="5687.64"/>
    <s v="Cancelled"/>
    <s v="Chennai"/>
    <x v="4"/>
    <m/>
    <s v="SMB"/>
    <n v="64"/>
    <x v="0"/>
  </r>
  <r>
    <s v="ORD-00553"/>
    <d v="2024-02-23T00:00:00"/>
    <s v="CUST-0252"/>
    <s v="PROD-005"/>
    <s v="R013"/>
    <n v="1"/>
    <n v="300"/>
    <n v="0.7"/>
    <n v="297.89999999999998"/>
    <s v="Completed"/>
    <s v="Bengaluru"/>
    <x v="4"/>
    <m/>
    <s v="Retail"/>
    <n v="27"/>
    <x v="4"/>
  </r>
  <r>
    <s v="ORD-00554"/>
    <d v="2024-03-19T00:00:00"/>
    <s v="CUST-0245"/>
    <s v="PROD-054"/>
    <s v="R020"/>
    <n v="2"/>
    <n v="1010"/>
    <n v="28"/>
    <n v="1454.4"/>
    <s v="Completed"/>
    <s v="Hyderabad"/>
    <x v="1"/>
    <m/>
    <s v="Retail"/>
    <n v="65"/>
    <x v="0"/>
  </r>
  <r>
    <s v="ORD-00555"/>
    <d v="2024-04-25T00:00:00"/>
    <s v="CUST-0046"/>
    <s v="PROD-002"/>
    <s v="R011"/>
    <n v="5"/>
    <n v="2600"/>
    <n v="0.8"/>
    <n v="12896"/>
    <s v="Cancelled"/>
    <s v="Delhi"/>
    <x v="4"/>
    <m/>
    <s v="SMB"/>
    <n v="45"/>
    <x v="0"/>
  </r>
  <r>
    <s v="ORD-00556"/>
    <d v="2024-02-15T00:00:00"/>
    <s v="CUST-0050"/>
    <s v="PROD-056"/>
    <s v="R026"/>
    <n v="3"/>
    <n v="6940"/>
    <n v="10.7"/>
    <n v="18592.259999999998"/>
    <s v="Cancelled"/>
    <s v="Mumbai"/>
    <x v="1"/>
    <m/>
    <s v="Retail"/>
    <n v="37"/>
    <x v="4"/>
  </r>
  <r>
    <s v="ORD-00557"/>
    <d v="2024-10-06T00:00:00"/>
    <s v="CUST-0227"/>
    <s v="PROD-032"/>
    <s v="R011"/>
    <n v="1"/>
    <n v="370"/>
    <n v="10.3"/>
    <n v="331.89"/>
    <s v="Refunded"/>
    <s v="Bengaluru"/>
    <x v="3"/>
    <m/>
    <s v="SMB"/>
    <n v="44"/>
    <x v="0"/>
  </r>
  <r>
    <s v="ORD-00558"/>
    <d v="2024-03-06T00:00:00"/>
    <s v="CUST-0218"/>
    <s v="PROD-027"/>
    <s v="R029"/>
    <n v="2"/>
    <n v="3780"/>
    <n v="29.4"/>
    <n v="5337.36"/>
    <s v="Completed"/>
    <s v="Mumbai"/>
    <x v="2"/>
    <m/>
    <s v="Retail"/>
    <n v="39"/>
    <x v="4"/>
  </r>
  <r>
    <s v="ORD-00559"/>
    <d v="2024-05-20T00:00:00"/>
    <s v="CUST-0087"/>
    <s v="PROD-030"/>
    <s v="R022"/>
    <n v="5"/>
    <n v="970"/>
    <n v="14.6"/>
    <n v="4141.8999999999996"/>
    <s v="Completed"/>
    <s v="Pune"/>
    <x v="2"/>
    <m/>
    <s v="SMB"/>
    <n v="49"/>
    <x v="0"/>
  </r>
  <r>
    <s v="ORD-00560"/>
    <d v="2024-11-08T00:00:00"/>
    <s v="CUST-0209"/>
    <s v="PROD-022"/>
    <s v="R002"/>
    <n v="3"/>
    <n v="2270"/>
    <n v="6.5"/>
    <n v="6367.35"/>
    <s v="Completed"/>
    <s v="Pune"/>
    <x v="2"/>
    <m/>
    <s v="Retail"/>
    <n v="31"/>
    <x v="3"/>
  </r>
  <r>
    <s v="ORD-00561"/>
    <d v="2024-06-24T00:00:00"/>
    <s v="CUST-0212"/>
    <s v="PROD-041"/>
    <s v="R029"/>
    <n v="10"/>
    <n v="1540"/>
    <n v="16.5"/>
    <n v="12859"/>
    <s v="Completed"/>
    <s v="Chennai"/>
    <x v="5"/>
    <m/>
    <s v="SMB"/>
    <n v="46"/>
    <x v="0"/>
  </r>
  <r>
    <s v="ORD-00562"/>
    <d v="2024-12-23T00:00:00"/>
    <s v="CUST-0180"/>
    <s v="PROD-021"/>
    <s v="R017"/>
    <n v="4"/>
    <n v="2760"/>
    <n v="19.8"/>
    <n v="8854.08"/>
    <s v="Completed"/>
    <s v="Chennai"/>
    <x v="2"/>
    <m/>
    <s v="Retail"/>
    <n v="36"/>
    <x v="2"/>
  </r>
  <r>
    <s v="ORD-00563"/>
    <d v="2024-02-10T00:00:00"/>
    <s v="CUST-0025"/>
    <s v="PROD-024"/>
    <s v="R030"/>
    <n v="3"/>
    <n v="2270"/>
    <n v="29.5"/>
    <n v="4801.05"/>
    <s v="Refunded"/>
    <s v="Bengaluru"/>
    <x v="2"/>
    <m/>
    <s v="Retail"/>
    <n v="23"/>
    <x v="3"/>
  </r>
  <r>
    <s v="ORD-00564"/>
    <d v="2024-05-06T00:00:00"/>
    <s v="CUST-0271"/>
    <s v="PROD-045"/>
    <s v="R015"/>
    <n v="8"/>
    <n v="3020"/>
    <n v="1.2"/>
    <n v="23870.080000000002"/>
    <s v="Completed"/>
    <s v="Bengaluru"/>
    <x v="5"/>
    <m/>
    <s v="Corporate"/>
    <n v="41"/>
    <x v="0"/>
  </r>
  <r>
    <s v="ORD-00565"/>
    <d v="2024-07-17T00:00:00"/>
    <s v="CUST-0026"/>
    <s v="PROD-023"/>
    <s v="R018"/>
    <n v="6"/>
    <n v="2380"/>
    <n v="20.399999999999999"/>
    <n v="11366.88"/>
    <s v="Completed"/>
    <s v="Pune"/>
    <x v="2"/>
    <m/>
    <s v="Retail"/>
    <n v="62"/>
    <x v="0"/>
  </r>
  <r>
    <s v="ORD-00566"/>
    <d v="2024-06-27T00:00:00"/>
    <s v="CUST-0058"/>
    <s v="PROD-056"/>
    <s v="R028"/>
    <n v="1"/>
    <n v="6940"/>
    <n v="15"/>
    <n v="5899"/>
    <s v="Cancelled"/>
    <s v="Bengaluru"/>
    <x v="1"/>
    <m/>
    <s v="SMB"/>
    <n v="49"/>
    <x v="0"/>
  </r>
  <r>
    <s v="ORD-00567"/>
    <d v="2024-12-28T00:00:00"/>
    <s v="CUST-0033"/>
    <s v="PROD-008"/>
    <s v="R010"/>
    <n v="1"/>
    <n v="2660"/>
    <n v="11.6"/>
    <n v="2351.44"/>
    <s v="Completed"/>
    <s v="Delhi"/>
    <x v="4"/>
    <m/>
    <s v="Retail"/>
    <n v="35"/>
    <x v="2"/>
  </r>
  <r>
    <s v="ORD-00568"/>
    <d v="2024-09-13T00:00:00"/>
    <s v="CUST-0057"/>
    <s v="PROD-030"/>
    <s v="R013"/>
    <n v="4"/>
    <n v="970"/>
    <n v="11.6"/>
    <n v="3429.92"/>
    <s v="Completed"/>
    <s v="Pune"/>
    <x v="2"/>
    <m/>
    <s v="Retail"/>
    <n v="35"/>
    <x v="4"/>
  </r>
  <r>
    <s v="ORD-00569"/>
    <d v="2024-12-06T00:00:00"/>
    <s v="CUST-0231"/>
    <s v="PROD-022"/>
    <s v="R002"/>
    <n v="7"/>
    <n v="2270"/>
    <n v="27.9"/>
    <n v="11456.69"/>
    <s v="Completed"/>
    <s v="Chennai"/>
    <x v="2"/>
    <m/>
    <s v="Retail"/>
    <n v="61"/>
    <x v="0"/>
  </r>
  <r>
    <s v="ORD-00570"/>
    <d v="2024-01-13T00:00:00"/>
    <s v="CUST-0031"/>
    <s v="PROD-054"/>
    <s v="R016"/>
    <n v="8"/>
    <n v="1010"/>
    <n v="13.7"/>
    <n v="6973.04"/>
    <s v="Cancelled"/>
    <s v="Hyderabad"/>
    <x v="1"/>
    <m/>
    <s v="Retail"/>
    <n v="53"/>
    <x v="0"/>
  </r>
  <r>
    <s v="ORD-00571"/>
    <d v="2024-02-08T00:00:00"/>
    <s v="CUST-0228"/>
    <s v="PROD-023"/>
    <s v="R001"/>
    <n v="8"/>
    <n v="2380"/>
    <n v="15.3"/>
    <n v="16126.88"/>
    <s v="Cancelled"/>
    <s v="Pune"/>
    <x v="2"/>
    <m/>
    <s v="Corporate"/>
    <n v="37"/>
    <x v="4"/>
  </r>
  <r>
    <s v="ORD-00572"/>
    <d v="2024-12-07T00:00:00"/>
    <s v="CUST-0127"/>
    <s v="PROD-053"/>
    <s v="R018"/>
    <n v="10"/>
    <n v="470"/>
    <n v="2.1"/>
    <n v="4601.3"/>
    <s v="Completed"/>
    <s v="Bengaluru"/>
    <x v="1"/>
    <m/>
    <s v="SMB"/>
    <n v="36"/>
    <x v="1"/>
  </r>
  <r>
    <s v="ORD-00573"/>
    <d v="2024-07-07T00:00:00"/>
    <s v="CUST-0117"/>
    <s v="PROD-048"/>
    <s v="R025"/>
    <n v="5"/>
    <n v="5100"/>
    <n v="9.6999999999999993"/>
    <n v="23026.5"/>
    <s v="Completed"/>
    <s v="Delhi"/>
    <x v="5"/>
    <m/>
    <s v="SMB"/>
    <n v="34"/>
    <x v="3"/>
  </r>
  <r>
    <s v="ORD-00574"/>
    <d v="2024-04-20T00:00:00"/>
    <s v="CUST-0159"/>
    <s v="PROD-049"/>
    <s v="R026"/>
    <n v="9"/>
    <n v="960"/>
    <n v="17.7"/>
    <n v="7110.72"/>
    <s v="Completed"/>
    <s v="Hyderabad"/>
    <x v="5"/>
    <m/>
    <s v="Retail"/>
    <n v="32"/>
    <x v="2"/>
  </r>
  <r>
    <s v="ORD-00575"/>
    <d v="2024-07-05T00:00:00"/>
    <s v="CUST-0064"/>
    <s v="PROD-026"/>
    <s v="R007"/>
    <n v="2"/>
    <n v="4070"/>
    <n v="2.1"/>
    <n v="7969.06"/>
    <s v="Completed"/>
    <s v="Hyderabad"/>
    <x v="2"/>
    <m/>
    <s v="SMB"/>
    <n v="40"/>
    <x v="2"/>
  </r>
  <r>
    <s v="ORD-00576"/>
    <d v="2024-03-07T00:00:00"/>
    <s v="CUST-0272"/>
    <s v="PROD-031"/>
    <s v="R021"/>
    <n v="5"/>
    <n v="3730"/>
    <n v="16.5"/>
    <n v="15572.75"/>
    <s v="Completed"/>
    <s v="Mumbai"/>
    <x v="3"/>
    <m/>
    <s v="SMB"/>
    <n v="47"/>
    <x v="0"/>
  </r>
  <r>
    <s v="ORD-00577"/>
    <d v="2024-10-24T00:00:00"/>
    <s v="CUST-0071"/>
    <s v="PROD-055"/>
    <s v="R022"/>
    <n v="1"/>
    <n v="2860"/>
    <n v="10.4"/>
    <n v="2562.56"/>
    <s v="Cancelled"/>
    <s v="Delhi"/>
    <x v="1"/>
    <m/>
    <s v="Corporate"/>
    <n v="46"/>
    <x v="0"/>
  </r>
  <r>
    <s v="ORD-00578"/>
    <d v="2024-08-03T00:00:00"/>
    <s v="CUST-0045"/>
    <s v="PROD-046"/>
    <s v="R018"/>
    <n v="4"/>
    <n v="4880"/>
    <n v="27.5"/>
    <n v="14152"/>
    <s v="Pending"/>
    <s v="Chennai"/>
    <x v="5"/>
    <m/>
    <s v="SMB"/>
    <n v="39"/>
    <x v="3"/>
  </r>
  <r>
    <s v="ORD-00579"/>
    <d v="2024-06-27T00:00:00"/>
    <s v="CUST-0148"/>
    <s v="PROD-022"/>
    <s v="R022"/>
    <n v="3"/>
    <n v="2270"/>
    <n v="6.7"/>
    <n v="6353.73"/>
    <s v="Completed"/>
    <s v="Chennai"/>
    <x v="2"/>
    <m/>
    <s v="Retail"/>
    <n v="32"/>
    <x v="3"/>
  </r>
  <r>
    <s v="ORD-00580"/>
    <d v="2024-10-24T00:00:00"/>
    <s v="CUST-0097"/>
    <s v="PROD-025"/>
    <s v="R007"/>
    <n v="10"/>
    <n v="4060"/>
    <n v="3.6"/>
    <n v="39138.400000000001"/>
    <s v="Pending"/>
    <s v="Mumbai"/>
    <x v="2"/>
    <m/>
    <s v="Retail"/>
    <n v="65"/>
    <x v="0"/>
  </r>
  <r>
    <s v="ORD-00581"/>
    <d v="2024-05-21T00:00:00"/>
    <s v="CUST-0151"/>
    <s v="PROD-010"/>
    <s v="R004"/>
    <n v="8"/>
    <n v="2640"/>
    <n v="28.8"/>
    <n v="15037.44"/>
    <s v="Completed"/>
    <s v="Mumbai"/>
    <x v="4"/>
    <m/>
    <s v="Retail"/>
    <n v="53"/>
    <x v="0"/>
  </r>
  <r>
    <s v="ORD-00582"/>
    <d v="2024-07-04T00:00:00"/>
    <s v="CUST-0048"/>
    <s v="PROD-031"/>
    <s v="R012"/>
    <n v="6"/>
    <n v="3730"/>
    <n v="21.9"/>
    <n v="17478.78"/>
    <s v="Completed"/>
    <s v="Delhi"/>
    <x v="3"/>
    <m/>
    <s v="Retail"/>
    <n v="59"/>
    <x v="0"/>
  </r>
  <r>
    <s v="ORD-00583"/>
    <d v="2024-05-31T00:00:00"/>
    <s v="CUST-0048"/>
    <s v="PROD-001"/>
    <s v="R006"/>
    <n v="9"/>
    <n v="5330"/>
    <n v="29.4"/>
    <n v="33866.82"/>
    <s v="Cancelled"/>
    <s v="Delhi"/>
    <x v="4"/>
    <m/>
    <s v="Retail"/>
    <n v="59"/>
    <x v="0"/>
  </r>
  <r>
    <s v="ORD-00584"/>
    <d v="2024-01-31T00:00:00"/>
    <s v="CUST-0156"/>
    <s v="PROD-011"/>
    <s v="R027"/>
    <n v="1"/>
    <n v="3450"/>
    <n v="23.3"/>
    <n v="2646.15"/>
    <s v="Completed"/>
    <s v="Mumbai"/>
    <x v="0"/>
    <m/>
    <s v="Retail"/>
    <n v="33"/>
    <x v="1"/>
  </r>
  <r>
    <s v="ORD-00585"/>
    <d v="2024-09-09T00:00:00"/>
    <s v="CUST-0022"/>
    <s v="PROD-050"/>
    <s v="R017"/>
    <n v="3"/>
    <n v="6080"/>
    <n v="14.5"/>
    <n v="15595.2"/>
    <s v="Completed"/>
    <s v="Bengaluru"/>
    <x v="5"/>
    <m/>
    <s v="Corporate"/>
    <n v="55"/>
    <x v="0"/>
  </r>
  <r>
    <s v="ORD-00586"/>
    <d v="2024-11-13T00:00:00"/>
    <s v="CUST-0193"/>
    <s v="PROD-031"/>
    <s v="R002"/>
    <n v="4"/>
    <n v="3730"/>
    <n v="3.4"/>
    <n v="14412.72"/>
    <s v="Cancelled"/>
    <s v="Bengaluru"/>
    <x v="3"/>
    <m/>
    <s v="Retail"/>
    <n v="42"/>
    <x v="0"/>
  </r>
  <r>
    <s v="ORD-00587"/>
    <d v="2024-07-18T00:00:00"/>
    <s v="CUST-0189"/>
    <s v="PROD-008"/>
    <s v="R022"/>
    <n v="10"/>
    <n v="2660"/>
    <n v="2.1"/>
    <n v="26041.4"/>
    <s v="Completed"/>
    <s v="Chennai"/>
    <x v="4"/>
    <m/>
    <s v="Retail"/>
    <n v="41"/>
    <x v="0"/>
  </r>
  <r>
    <s v="ORD-00588"/>
    <d v="2024-03-22T00:00:00"/>
    <s v="CUST-0101"/>
    <s v="PROD-029"/>
    <s v="R021"/>
    <n v="7"/>
    <n v="2210"/>
    <n v="17.100000000000001"/>
    <n v="12824.63"/>
    <s v="Completed"/>
    <s v="Hyderabad"/>
    <x v="2"/>
    <m/>
    <s v="SMB"/>
    <n v="40"/>
    <x v="3"/>
  </r>
  <r>
    <s v="ORD-00589"/>
    <d v="2024-11-11T00:00:00"/>
    <s v="CUST-0006"/>
    <s v="PROD-059"/>
    <s v="R013"/>
    <n v="6"/>
    <n v="3780"/>
    <n v="12.7"/>
    <n v="19799.64"/>
    <s v="Completed"/>
    <s v="Pune"/>
    <x v="1"/>
    <m/>
    <s v="SMB"/>
    <n v="44"/>
    <x v="0"/>
  </r>
  <r>
    <s v="ORD-00590"/>
    <d v="2024-04-30T00:00:00"/>
    <s v="CUST-0235"/>
    <s v="PROD-038"/>
    <s v="R029"/>
    <n v="4"/>
    <n v="5490"/>
    <n v="26.9"/>
    <n v="16052.76"/>
    <s v="Completed"/>
    <s v="Chennai"/>
    <x v="3"/>
    <m/>
    <s v="Retail"/>
    <n v="31"/>
    <x v="4"/>
  </r>
  <r>
    <s v="ORD-00591"/>
    <d v="2024-02-29T00:00:00"/>
    <s v="CUST-0045"/>
    <s v="PROD-008"/>
    <s v="R013"/>
    <n v="9"/>
    <n v="2660"/>
    <n v="21.9"/>
    <n v="18697.14"/>
    <s v="Completed"/>
    <s v="Chennai"/>
    <x v="4"/>
    <m/>
    <s v="SMB"/>
    <n v="39"/>
    <x v="2"/>
  </r>
  <r>
    <s v="ORD-00592"/>
    <d v="2024-10-07T00:00:00"/>
    <s v="CUST-0028"/>
    <s v="PROD-056"/>
    <s v="R028"/>
    <n v="9"/>
    <n v="6940"/>
    <n v="8"/>
    <n v="57463.199999999997"/>
    <s v="Completed"/>
    <s v="Bengaluru"/>
    <x v="1"/>
    <m/>
    <s v="Retail"/>
    <n v="59"/>
    <x v="0"/>
  </r>
  <r>
    <s v="ORD-00593"/>
    <d v="2024-04-20T00:00:00"/>
    <s v="CUST-0241"/>
    <s v="PROD-004"/>
    <s v="R006"/>
    <n v="1"/>
    <n v="3870"/>
    <n v="22.6"/>
    <n v="2995.38"/>
    <s v="Completed"/>
    <s v="Pune"/>
    <x v="4"/>
    <m/>
    <s v="Corporate"/>
    <n v="47"/>
    <x v="0"/>
  </r>
  <r>
    <s v="ORD-00594"/>
    <d v="2024-07-30T00:00:00"/>
    <s v="CUST-0278"/>
    <s v="PROD-035"/>
    <s v="R008"/>
    <n v="3"/>
    <n v="1090"/>
    <n v="28.1"/>
    <n v="2351.13"/>
    <s v="Completed"/>
    <s v="Hyderabad"/>
    <x v="3"/>
    <m/>
    <s v="Retail"/>
    <n v="41"/>
    <x v="0"/>
  </r>
  <r>
    <s v="ORD-00595"/>
    <d v="2024-08-20T00:00:00"/>
    <s v="CUST-0009"/>
    <s v="PROD-002"/>
    <s v="R001"/>
    <n v="2"/>
    <n v="2600"/>
    <n v="5.6"/>
    <n v="4908.8"/>
    <s v="Completed"/>
    <s v="Mumbai"/>
    <x v="4"/>
    <m/>
    <s v="Retail"/>
    <n v="61"/>
    <x v="0"/>
  </r>
  <r>
    <s v="ORD-00596"/>
    <d v="2024-05-13T00:00:00"/>
    <s v="CUST-0217"/>
    <s v="PROD-057"/>
    <s v="R020"/>
    <n v="4"/>
    <n v="960"/>
    <n v="21.7"/>
    <n v="3006.72"/>
    <s v="Completed"/>
    <s v="Pune"/>
    <x v="1"/>
    <m/>
    <s v="SMB"/>
    <n v="59"/>
    <x v="0"/>
  </r>
  <r>
    <s v="ORD-00597"/>
    <d v="2024-08-29T00:00:00"/>
    <s v="CUST-0289"/>
    <s v="PROD-032"/>
    <s v="R026"/>
    <n v="6"/>
    <n v="370"/>
    <n v="22.5"/>
    <n v="1720.5"/>
    <s v="Completed"/>
    <s v="Mumbai"/>
    <x v="3"/>
    <m/>
    <s v="Retail"/>
    <n v="54"/>
    <x v="0"/>
  </r>
  <r>
    <s v="ORD-00598"/>
    <d v="2024-12-23T00:00:00"/>
    <s v="CUST-0176"/>
    <s v="PROD-034"/>
    <s v="R006"/>
    <n v="5"/>
    <n v="5080"/>
    <n v="23.8"/>
    <n v="19354.8"/>
    <s v="Completed"/>
    <s v="Bengaluru"/>
    <x v="3"/>
    <m/>
    <s v="SMB"/>
    <n v="34"/>
    <x v="2"/>
  </r>
  <r>
    <s v="ORD-00599"/>
    <d v="2024-03-24T00:00:00"/>
    <s v="CUST-0026"/>
    <s v="PROD-041"/>
    <s v="R003"/>
    <n v="5"/>
    <n v="1540"/>
    <n v="6.1"/>
    <n v="7230.3"/>
    <s v="Completed"/>
    <s v="Pune"/>
    <x v="5"/>
    <m/>
    <s v="Retail"/>
    <n v="62"/>
    <x v="0"/>
  </r>
  <r>
    <s v="ORD-00600"/>
    <d v="2024-02-20T00:00:00"/>
    <s v="CUST-0213"/>
    <s v="PROD-024"/>
    <s v="R015"/>
    <n v="7"/>
    <n v="2270"/>
    <n v="0.4"/>
    <n v="15826.44"/>
    <s v="Completed"/>
    <s v="Mumbai"/>
    <x v="2"/>
    <m/>
    <s v="Retail"/>
    <n v="37"/>
    <x v="1"/>
  </r>
  <r>
    <s v="ORD-00601"/>
    <d v="2024-05-29T00:00:00"/>
    <s v="CUST-0190"/>
    <s v="PROD-057"/>
    <s v="R015"/>
    <n v="2"/>
    <n v="960"/>
    <n v="3.7"/>
    <n v="1848.96"/>
    <s v="Completed"/>
    <s v="Hyderabad"/>
    <x v="1"/>
    <m/>
    <s v="Retail"/>
    <n v="52"/>
    <x v="0"/>
  </r>
  <r>
    <s v="ORD-00602"/>
    <d v="2024-04-28T00:00:00"/>
    <s v="CUST-0150"/>
    <s v="PROD-007"/>
    <s v="R027"/>
    <n v="6"/>
    <n v="1430"/>
    <n v="2"/>
    <n v="8408.4"/>
    <s v="Pending"/>
    <s v="Pune"/>
    <x v="4"/>
    <m/>
    <s v="SMB"/>
    <n v="53"/>
    <x v="0"/>
  </r>
  <r>
    <s v="ORD-00603"/>
    <d v="2024-10-23T00:00:00"/>
    <s v="CUST-0129"/>
    <s v="PROD-047"/>
    <s v="R006"/>
    <n v="10"/>
    <n v="3450"/>
    <n v="19.100000000000001"/>
    <n v="27910.5"/>
    <s v="Completed"/>
    <s v="Hyderabad"/>
    <x v="5"/>
    <m/>
    <s v="Retail"/>
    <n v="29"/>
    <x v="2"/>
  </r>
  <r>
    <s v="ORD-00604"/>
    <d v="2024-04-30T00:00:00"/>
    <s v="CUST-0080"/>
    <s v="PROD-009"/>
    <s v="R026"/>
    <n v="8"/>
    <n v="1220"/>
    <n v="16.899999999999999"/>
    <n v="8110.56"/>
    <s v="Completed"/>
    <s v="Pune"/>
    <x v="4"/>
    <m/>
    <s v="SMB"/>
    <n v="30"/>
    <x v="1"/>
  </r>
  <r>
    <s v="ORD-00605"/>
    <d v="2024-05-27T00:00:00"/>
    <s v="CUST-0034"/>
    <s v="PROD-021"/>
    <s v="R020"/>
    <n v="9"/>
    <n v="2760"/>
    <n v="16.899999999999999"/>
    <n v="20642.04"/>
    <s v="Completed"/>
    <s v="Delhi"/>
    <x v="2"/>
    <m/>
    <s v="Retail"/>
    <n v="47"/>
    <x v="0"/>
  </r>
  <r>
    <s v="ORD-00606"/>
    <d v="2024-10-28T00:00:00"/>
    <s v="CUST-0179"/>
    <s v="PROD-043"/>
    <s v="R017"/>
    <n v="6"/>
    <n v="3350"/>
    <n v="11.8"/>
    <n v="17728.2"/>
    <s v="Pending"/>
    <s v="Mumbai"/>
    <x v="5"/>
    <m/>
    <s v="SMB"/>
    <n v="54"/>
    <x v="0"/>
  </r>
  <r>
    <s v="ORD-00607"/>
    <d v="2024-10-05T00:00:00"/>
    <s v="CUST-0176"/>
    <s v="PROD-048"/>
    <s v="R013"/>
    <n v="6"/>
    <n v="5100"/>
    <n v="13.2"/>
    <n v="26560.799999999999"/>
    <s v="Completed"/>
    <s v="Bengaluru"/>
    <x v="5"/>
    <m/>
    <s v="SMB"/>
    <n v="34"/>
    <x v="3"/>
  </r>
  <r>
    <s v="ORD-00608"/>
    <d v="2024-07-01T00:00:00"/>
    <s v="CUST-0144"/>
    <s v="PROD-010"/>
    <s v="R027"/>
    <n v="6"/>
    <n v="2640"/>
    <n v="26.2"/>
    <n v="11689.92"/>
    <s v="Completed"/>
    <s v="Chennai"/>
    <x v="4"/>
    <m/>
    <s v="Retail"/>
    <n v="49"/>
    <x v="0"/>
  </r>
  <r>
    <s v="ORD-00609"/>
    <d v="2024-08-20T00:00:00"/>
    <s v="CUST-0218"/>
    <s v="PROD-028"/>
    <s v="R016"/>
    <n v="1"/>
    <n v="3660"/>
    <n v="19.7"/>
    <n v="2938.98"/>
    <s v="Completed"/>
    <s v="Mumbai"/>
    <x v="2"/>
    <m/>
    <s v="Retail"/>
    <n v="39"/>
    <x v="2"/>
  </r>
  <r>
    <s v="ORD-00610"/>
    <d v="2024-06-25T00:00:00"/>
    <s v="CUST-0249"/>
    <s v="PROD-032"/>
    <s v="R027"/>
    <n v="5"/>
    <n v="370"/>
    <n v="21.7"/>
    <n v="1448.55"/>
    <s v="Completed"/>
    <s v="Mumbai"/>
    <x v="3"/>
    <m/>
    <s v="Retail"/>
    <n v="44"/>
    <x v="0"/>
  </r>
  <r>
    <s v="ORD-00611"/>
    <d v="2024-02-14T00:00:00"/>
    <s v="CUST-0092"/>
    <s v="PROD-016"/>
    <s v="R025"/>
    <n v="5"/>
    <n v="620"/>
    <n v="10.199999999999999"/>
    <n v="2783.8"/>
    <s v="Completed"/>
    <s v="Bengaluru"/>
    <x v="0"/>
    <m/>
    <s v="SMB"/>
    <n v="28"/>
    <x v="2"/>
  </r>
  <r>
    <s v="ORD-00612"/>
    <d v="2024-04-10T00:00:00"/>
    <s v="CUST-0245"/>
    <s v="PROD-053"/>
    <s v="R018"/>
    <n v="8"/>
    <n v="470"/>
    <n v="2.4"/>
    <n v="3669.76"/>
    <s v="Completed"/>
    <s v="Hyderabad"/>
    <x v="1"/>
    <m/>
    <s v="Retail"/>
    <n v="65"/>
    <x v="0"/>
  </r>
  <r>
    <s v="ORD-00613"/>
    <d v="2024-11-14T00:00:00"/>
    <s v="CUST-0134"/>
    <s v="PROD-042"/>
    <s v="R005"/>
    <n v="3"/>
    <n v="2290"/>
    <n v="20.8"/>
    <n v="5441.04"/>
    <s v="Completed"/>
    <s v="Delhi"/>
    <x v="5"/>
    <m/>
    <s v="Retail"/>
    <n v="40"/>
    <x v="3"/>
  </r>
  <r>
    <s v="ORD-00614"/>
    <d v="2024-01-06T00:00:00"/>
    <s v="CUST-0063"/>
    <s v="PROD-057"/>
    <s v="R024"/>
    <n v="4"/>
    <n v="960"/>
    <n v="28.8"/>
    <n v="2734.08"/>
    <s v="Pending"/>
    <s v="Mumbai"/>
    <x v="1"/>
    <m/>
    <s v="SMB"/>
    <n v="53"/>
    <x v="0"/>
  </r>
  <r>
    <s v="ORD-00615"/>
    <d v="2024-09-23T00:00:00"/>
    <s v="CUST-0172"/>
    <s v="PROD-028"/>
    <s v="R010"/>
    <n v="5"/>
    <n v="3660"/>
    <n v="11.9"/>
    <n v="16122.3"/>
    <s v="Pending"/>
    <s v="Pune"/>
    <x v="2"/>
    <m/>
    <s v="Retail"/>
    <n v="65"/>
    <x v="0"/>
  </r>
  <r>
    <s v="ORD-00616"/>
    <d v="2024-07-14T00:00:00"/>
    <s v="CUST-0139"/>
    <s v="PROD-003"/>
    <s v="R019"/>
    <n v="5"/>
    <n v="3570"/>
    <n v="12.4"/>
    <n v="15636.6"/>
    <s v="Completed"/>
    <s v="Hyderabad"/>
    <x v="4"/>
    <m/>
    <s v="SMB"/>
    <n v="65"/>
    <x v="0"/>
  </r>
  <r>
    <s v="ORD-00617"/>
    <d v="2024-01-16T00:00:00"/>
    <s v="CUST-0275"/>
    <s v="PROD-033"/>
    <s v="R017"/>
    <n v="9"/>
    <n v="2030"/>
    <n v="23.4"/>
    <n v="13994.82"/>
    <s v="Completed"/>
    <s v="Mumbai"/>
    <x v="3"/>
    <m/>
    <s v="Retail"/>
    <n v="36"/>
    <x v="3"/>
  </r>
  <r>
    <s v="ORD-00618"/>
    <d v="2024-02-06T00:00:00"/>
    <s v="CUST-0006"/>
    <s v="PROD-015"/>
    <s v="R024"/>
    <n v="7"/>
    <n v="2720"/>
    <n v="11.2"/>
    <n v="16907.52"/>
    <s v="Refunded"/>
    <s v="Pune"/>
    <x v="0"/>
    <m/>
    <s v="SMB"/>
    <n v="44"/>
    <x v="0"/>
  </r>
  <r>
    <s v="ORD-00619"/>
    <d v="2024-12-01T00:00:00"/>
    <s v="CUST-0279"/>
    <s v="PROD-003"/>
    <s v="R008"/>
    <n v="2"/>
    <n v="3570"/>
    <n v="6.1"/>
    <n v="6704.46"/>
    <s v="Cancelled"/>
    <s v="Mumbai"/>
    <x v="4"/>
    <m/>
    <s v="Retail"/>
    <n v="56"/>
    <x v="0"/>
  </r>
  <r>
    <s v="ORD-00620"/>
    <d v="2024-10-09T00:00:00"/>
    <s v="CUST-0093"/>
    <s v="PROD-058"/>
    <s v="R001"/>
    <n v="5"/>
    <n v="2400"/>
    <n v="16.100000000000001"/>
    <n v="10068"/>
    <s v="Completed"/>
    <s v="Pune"/>
    <x v="1"/>
    <m/>
    <s v="Retail"/>
    <n v="36"/>
    <x v="1"/>
  </r>
  <r>
    <s v="ORD-00621"/>
    <d v="2024-10-27T00:00:00"/>
    <s v="CUST-0063"/>
    <s v="PROD-024"/>
    <s v="R002"/>
    <n v="4"/>
    <n v="2270"/>
    <n v="27.5"/>
    <n v="6583"/>
    <s v="Pending"/>
    <s v="Mumbai"/>
    <x v="2"/>
    <m/>
    <s v="SMB"/>
    <n v="53"/>
    <x v="0"/>
  </r>
  <r>
    <s v="ORD-00622"/>
    <d v="2024-08-05T00:00:00"/>
    <s v="CUST-0071"/>
    <s v="PROD-030"/>
    <s v="R012"/>
    <n v="1"/>
    <n v="970"/>
    <n v="12.7"/>
    <n v="846.81"/>
    <s v="Completed"/>
    <s v="Delhi"/>
    <x v="2"/>
    <m/>
    <s v="Corporate"/>
    <n v="46"/>
    <x v="0"/>
  </r>
  <r>
    <s v="ORD-00623"/>
    <d v="2024-01-16T00:00:00"/>
    <s v="CUST-0119"/>
    <s v="PROD-056"/>
    <s v="R018"/>
    <n v="5"/>
    <n v="6940"/>
    <n v="16.2"/>
    <n v="29078.6"/>
    <s v="Completed"/>
    <s v="Bengaluru"/>
    <x v="1"/>
    <m/>
    <s v="SMB"/>
    <n v="43"/>
    <x v="0"/>
  </r>
  <r>
    <s v="ORD-00624"/>
    <d v="2024-10-21T00:00:00"/>
    <s v="CUST-0035"/>
    <s v="PROD-056"/>
    <s v="R009"/>
    <n v="4"/>
    <n v="6940"/>
    <n v="15.1"/>
    <n v="23568.240000000002"/>
    <s v="Completed"/>
    <s v="Hyderabad"/>
    <x v="1"/>
    <m/>
    <s v="Retail"/>
    <n v="53"/>
    <x v="0"/>
  </r>
  <r>
    <s v="ORD-00625"/>
    <d v="2024-10-22T00:00:00"/>
    <s v="CUST-0042"/>
    <s v="PROD-054"/>
    <s v="R006"/>
    <n v="1"/>
    <n v="1010"/>
    <n v="1.7"/>
    <n v="992.83"/>
    <s v="Completed"/>
    <s v="Pune"/>
    <x v="1"/>
    <m/>
    <s v="Retail"/>
    <n v="25"/>
    <x v="4"/>
  </r>
  <r>
    <s v="ORD-00626"/>
    <d v="2024-11-13T00:00:00"/>
    <s v="CUST-0033"/>
    <s v="PROD-004"/>
    <s v="R007"/>
    <n v="6"/>
    <n v="3870"/>
    <n v="12.2"/>
    <n v="20387.16"/>
    <s v="Completed"/>
    <s v="Delhi"/>
    <x v="4"/>
    <m/>
    <s v="Retail"/>
    <n v="35"/>
    <x v="1"/>
  </r>
  <r>
    <s v="ORD-00627"/>
    <d v="2024-01-25T00:00:00"/>
    <s v="CUST-0077"/>
    <s v="PROD-048"/>
    <s v="R011"/>
    <n v="9"/>
    <n v="5100"/>
    <n v="26.4"/>
    <n v="33782.400000000001"/>
    <s v="Completed"/>
    <s v="Hyderabad"/>
    <x v="5"/>
    <m/>
    <s v="SMB"/>
    <n v="48"/>
    <x v="0"/>
  </r>
  <r>
    <s v="ORD-00628"/>
    <d v="2024-06-08T00:00:00"/>
    <s v="CUST-0266"/>
    <s v="PROD-012"/>
    <s v="R008"/>
    <n v="2"/>
    <n v="3160"/>
    <n v="13.4"/>
    <n v="5473.12"/>
    <s v="Refunded"/>
    <s v="Pune"/>
    <x v="0"/>
    <m/>
    <s v="Retail"/>
    <n v="65"/>
    <x v="0"/>
  </r>
  <r>
    <s v="ORD-00629"/>
    <d v="2024-09-19T00:00:00"/>
    <s v="CUST-0272"/>
    <s v="PROD-029"/>
    <s v="R011"/>
    <n v="8"/>
    <n v="2210"/>
    <n v="26"/>
    <n v="13083.2"/>
    <s v="Completed"/>
    <s v="Mumbai"/>
    <x v="2"/>
    <m/>
    <s v="SMB"/>
    <n v="47"/>
    <x v="0"/>
  </r>
  <r>
    <s v="ORD-00630"/>
    <d v="2024-10-02T00:00:00"/>
    <s v="CUST-0253"/>
    <s v="PROD-018"/>
    <s v="R026"/>
    <n v="5"/>
    <n v="3560"/>
    <n v="15"/>
    <n v="15130"/>
    <s v="Completed"/>
    <s v="Delhi"/>
    <x v="0"/>
    <m/>
    <s v="SMB"/>
    <n v="53"/>
    <x v="0"/>
  </r>
  <r>
    <s v="ORD-00631"/>
    <d v="2024-12-07T00:00:00"/>
    <s v="CUST-0252"/>
    <s v="PROD-016"/>
    <s v="R010"/>
    <n v="10"/>
    <n v="620"/>
    <n v="15.8"/>
    <n v="5220.3999999999996"/>
    <s v="Refunded"/>
    <s v="Bengaluru"/>
    <x v="0"/>
    <m/>
    <s v="Retail"/>
    <n v="27"/>
    <x v="2"/>
  </r>
  <r>
    <s v="ORD-00632"/>
    <d v="2024-10-23T00:00:00"/>
    <s v="CUST-0097"/>
    <s v="PROD-021"/>
    <s v="R002"/>
    <n v="3"/>
    <n v="2760"/>
    <n v="1.9"/>
    <n v="8122.68"/>
    <s v="Cancelled"/>
    <s v="Mumbai"/>
    <x v="2"/>
    <m/>
    <s v="Retail"/>
    <n v="65"/>
    <x v="0"/>
  </r>
  <r>
    <s v="ORD-00633"/>
    <d v="2024-12-08T00:00:00"/>
    <s v="CUST-0283"/>
    <s v="PROD-054"/>
    <s v="R005"/>
    <n v="10"/>
    <n v="1010"/>
    <n v="28.9"/>
    <n v="7181.1"/>
    <s v="Completed"/>
    <s v="Delhi"/>
    <x v="1"/>
    <m/>
    <s v="SMB"/>
    <n v="50"/>
    <x v="0"/>
  </r>
  <r>
    <s v="ORD-00634"/>
    <d v="2024-03-01T00:00:00"/>
    <s v="CUST-0064"/>
    <s v="PROD-013"/>
    <s v="R002"/>
    <n v="1"/>
    <n v="3640"/>
    <n v="9.6999999999999993"/>
    <n v="3286.92"/>
    <s v="Completed"/>
    <s v="Hyderabad"/>
    <x v="0"/>
    <m/>
    <s v="SMB"/>
    <n v="40"/>
    <x v="1"/>
  </r>
  <r>
    <s v="ORD-00635"/>
    <d v="2024-07-16T00:00:00"/>
    <s v="CUST-0143"/>
    <s v="PROD-020"/>
    <s v="R010"/>
    <n v="1"/>
    <n v="820"/>
    <n v="15"/>
    <n v="697"/>
    <s v="Completed"/>
    <s v="Chennai"/>
    <x v="0"/>
    <m/>
    <s v="SMB"/>
    <n v="52"/>
    <x v="0"/>
  </r>
  <r>
    <s v="ORD-00636"/>
    <d v="2024-02-20T00:00:00"/>
    <s v="CUST-0265"/>
    <s v="PROD-013"/>
    <s v="R011"/>
    <n v="4"/>
    <n v="3640"/>
    <n v="17"/>
    <n v="12084.8"/>
    <s v="Completed"/>
    <s v="Chennai"/>
    <x v="0"/>
    <m/>
    <s v="Retail"/>
    <n v="49"/>
    <x v="0"/>
  </r>
  <r>
    <s v="ORD-00637"/>
    <d v="2024-05-13T00:00:00"/>
    <s v="CUST-0158"/>
    <s v="PROD-023"/>
    <s v="R002"/>
    <n v="7"/>
    <n v="2380"/>
    <n v="25.5"/>
    <n v="12411.7"/>
    <s v="Completed"/>
    <s v="Pune"/>
    <x v="2"/>
    <m/>
    <s v="Corporate"/>
    <n v="42"/>
    <x v="0"/>
  </r>
  <r>
    <s v="ORD-00638"/>
    <d v="2024-11-02T00:00:00"/>
    <s v="CUST-0154"/>
    <s v="PROD-037"/>
    <s v="R008"/>
    <n v="1"/>
    <n v="660"/>
    <n v="2.5"/>
    <n v="643.5"/>
    <s v="Completed"/>
    <s v="Pune"/>
    <x v="3"/>
    <m/>
    <s v="Retail"/>
    <n v="36"/>
    <x v="1"/>
  </r>
  <r>
    <s v="ORD-00639"/>
    <d v="2024-03-02T00:00:00"/>
    <s v="CUST-0057"/>
    <s v="PROD-004"/>
    <s v="R020"/>
    <n v="7"/>
    <n v="3870"/>
    <n v="20.3"/>
    <n v="21590.73"/>
    <s v="Pending"/>
    <s v="Pune"/>
    <x v="4"/>
    <m/>
    <s v="Retail"/>
    <n v="35"/>
    <x v="1"/>
  </r>
  <r>
    <s v="ORD-00640"/>
    <d v="2024-09-07T00:00:00"/>
    <s v="CUST-0088"/>
    <s v="PROD-032"/>
    <s v="R016"/>
    <n v="10"/>
    <n v="370"/>
    <n v="1.3"/>
    <n v="3651.9"/>
    <s v="Refunded"/>
    <s v="Chennai"/>
    <x v="3"/>
    <m/>
    <s v="Retail"/>
    <n v="24"/>
    <x v="3"/>
  </r>
  <r>
    <s v="ORD-00641"/>
    <d v="2024-03-14T00:00:00"/>
    <s v="CUST-0064"/>
    <s v="PROD-014"/>
    <s v="R018"/>
    <n v="1"/>
    <n v="3620"/>
    <n v="1.4"/>
    <n v="3569.32"/>
    <s v="Completed"/>
    <s v="Hyderabad"/>
    <x v="0"/>
    <m/>
    <s v="SMB"/>
    <n v="40"/>
    <x v="4"/>
  </r>
  <r>
    <s v="ORD-00642"/>
    <d v="2024-10-09T00:00:00"/>
    <s v="CUST-0192"/>
    <s v="PROD-008"/>
    <s v="R005"/>
    <n v="10"/>
    <n v="2660"/>
    <n v="20.2"/>
    <n v="21226.799999999999"/>
    <s v="Completed"/>
    <s v="Bengaluru"/>
    <x v="4"/>
    <m/>
    <s v="Retail"/>
    <n v="55"/>
    <x v="0"/>
  </r>
  <r>
    <s v="ORD-00643"/>
    <d v="2024-11-18T00:00:00"/>
    <s v="CUST-0175"/>
    <s v="PROD-051"/>
    <s v="R015"/>
    <n v="10"/>
    <n v="3450"/>
    <n v="25.1"/>
    <n v="25840.5"/>
    <s v="Completed"/>
    <s v="Delhi"/>
    <x v="1"/>
    <m/>
    <s v="Corporate"/>
    <n v="55"/>
    <x v="0"/>
  </r>
  <r>
    <s v="ORD-00644"/>
    <d v="2024-12-03T00:00:00"/>
    <s v="CUST-0083"/>
    <s v="PROD-025"/>
    <s v="R013"/>
    <n v="3"/>
    <n v="4060"/>
    <n v="2.5"/>
    <n v="11875.5"/>
    <s v="Refunded"/>
    <s v="Bengaluru"/>
    <x v="2"/>
    <m/>
    <s v="Corporate"/>
    <n v="31"/>
    <x v="4"/>
  </r>
  <r>
    <s v="ORD-00645"/>
    <d v="2024-01-03T00:00:00"/>
    <s v="CUST-0142"/>
    <s v="PROD-057"/>
    <s v="R021"/>
    <n v="3"/>
    <n v="960"/>
    <n v="6.6"/>
    <n v="2689.92"/>
    <s v="Cancelled"/>
    <s v="Chennai"/>
    <x v="1"/>
    <m/>
    <s v="Corporate"/>
    <n v="55"/>
    <x v="0"/>
  </r>
  <r>
    <s v="ORD-00646"/>
    <d v="2024-05-06T00:00:00"/>
    <s v="CUST-0185"/>
    <s v="PROD-008"/>
    <s v="R008"/>
    <n v="4"/>
    <n v="2660"/>
    <n v="16.899999999999999"/>
    <n v="8841.84"/>
    <s v="Completed"/>
    <s v="Hyderabad"/>
    <x v="4"/>
    <m/>
    <s v="SMB"/>
    <n v="43"/>
    <x v="0"/>
  </r>
  <r>
    <s v="ORD-00647"/>
    <d v="2024-03-18T00:00:00"/>
    <s v="CUST-0284"/>
    <s v="PROD-024"/>
    <s v="R018"/>
    <n v="6"/>
    <n v="2270"/>
    <n v="16.7"/>
    <n v="11345.46"/>
    <s v="Completed"/>
    <s v="Hyderabad"/>
    <x v="2"/>
    <m/>
    <s v="SMB"/>
    <n v="65"/>
    <x v="0"/>
  </r>
  <r>
    <s v="ORD-00648"/>
    <d v="2024-09-14T00:00:00"/>
    <s v="CUST-0092"/>
    <s v="PROD-027"/>
    <s v="R025"/>
    <n v="5"/>
    <n v="3780"/>
    <n v="21.5"/>
    <n v="14836.5"/>
    <s v="Completed"/>
    <s v="Bengaluru"/>
    <x v="2"/>
    <m/>
    <s v="SMB"/>
    <n v="28"/>
    <x v="3"/>
  </r>
  <r>
    <s v="ORD-00649"/>
    <d v="2024-08-01T00:00:00"/>
    <s v="CUST-0091"/>
    <s v="PROD-037"/>
    <s v="R019"/>
    <n v="10"/>
    <n v="660"/>
    <n v="18.8"/>
    <n v="5359.2"/>
    <s v="Completed"/>
    <s v="Delhi"/>
    <x v="3"/>
    <m/>
    <s v="Retail"/>
    <n v="55"/>
    <x v="0"/>
  </r>
  <r>
    <s v="ORD-00650"/>
    <d v="2024-05-01T00:00:00"/>
    <s v="CUST-0155"/>
    <s v="PROD-031"/>
    <s v="R024"/>
    <n v="10"/>
    <n v="3730"/>
    <n v="15.1"/>
    <n v="31667.7"/>
    <s v="Completed"/>
    <s v="Pune"/>
    <x v="3"/>
    <m/>
    <s v="Corporate"/>
    <n v="40"/>
    <x v="3"/>
  </r>
  <r>
    <s v="ORD-00651"/>
    <d v="2024-09-24T00:00:00"/>
    <s v="CUST-0280"/>
    <s v="PROD-025"/>
    <s v="R021"/>
    <n v="6"/>
    <n v="4060"/>
    <n v="20.100000000000001"/>
    <n v="19463.64"/>
    <s v="Pending"/>
    <s v="Delhi"/>
    <x v="2"/>
    <m/>
    <s v="SMB"/>
    <n v="27"/>
    <x v="2"/>
  </r>
  <r>
    <s v="ORD-00652"/>
    <d v="2024-08-21T00:00:00"/>
    <s v="CUST-0127"/>
    <s v="PROD-024"/>
    <s v="R003"/>
    <n v="2"/>
    <n v="2270"/>
    <n v="17.7"/>
    <n v="3736.42"/>
    <s v="Completed"/>
    <s v="Bengaluru"/>
    <x v="2"/>
    <m/>
    <s v="SMB"/>
    <n v="36"/>
    <x v="3"/>
  </r>
  <r>
    <s v="ORD-00653"/>
    <d v="2024-11-14T00:00:00"/>
    <s v="CUST-0077"/>
    <s v="PROD-003"/>
    <s v="R028"/>
    <n v="9"/>
    <n v="3570"/>
    <n v="29.9"/>
    <n v="22523.13"/>
    <s v="Completed"/>
    <s v="Hyderabad"/>
    <x v="4"/>
    <m/>
    <s v="SMB"/>
    <n v="48"/>
    <x v="0"/>
  </r>
  <r>
    <s v="ORD-00654"/>
    <d v="2024-08-17T00:00:00"/>
    <s v="CUST-0190"/>
    <s v="PROD-029"/>
    <s v="R004"/>
    <n v="7"/>
    <n v="2210"/>
    <n v="25"/>
    <n v="11602.5"/>
    <s v="Completed"/>
    <s v="Hyderabad"/>
    <x v="2"/>
    <m/>
    <s v="Retail"/>
    <n v="52"/>
    <x v="0"/>
  </r>
  <r>
    <s v="ORD-00655"/>
    <d v="2024-03-30T00:00:00"/>
    <s v="CUST-0089"/>
    <s v="PROD-057"/>
    <s v="R026"/>
    <n v="2"/>
    <n v="960"/>
    <n v="8.1999999999999993"/>
    <n v="1762.56"/>
    <s v="Cancelled"/>
    <s v="Mumbai"/>
    <x v="1"/>
    <m/>
    <s v="SMB"/>
    <n v="43"/>
    <x v="0"/>
  </r>
  <r>
    <s v="ORD-00656"/>
    <d v="2024-04-19T00:00:00"/>
    <s v="CUST-0141"/>
    <s v="PROD-059"/>
    <s v="R026"/>
    <n v="9"/>
    <n v="3780"/>
    <n v="28.4"/>
    <n v="24358.32"/>
    <s v="Pending"/>
    <s v="Hyderabad"/>
    <x v="1"/>
    <m/>
    <s v="Corporate"/>
    <n v="22"/>
    <x v="2"/>
  </r>
  <r>
    <s v="ORD-00657"/>
    <d v="2024-10-16T00:00:00"/>
    <s v="CUST-0123"/>
    <s v="PROD-048"/>
    <s v="R014"/>
    <n v="2"/>
    <n v="5100"/>
    <n v="8.6"/>
    <n v="9322.7999999999993"/>
    <s v="Completed"/>
    <s v="Chennai"/>
    <x v="5"/>
    <m/>
    <s v="Corporate"/>
    <n v="44"/>
    <x v="0"/>
  </r>
  <r>
    <s v="ORD-00658"/>
    <d v="2024-05-02T00:00:00"/>
    <s v="CUST-0041"/>
    <s v="PROD-019"/>
    <s v="R021"/>
    <n v="4"/>
    <n v="2480"/>
    <n v="16.600000000000001"/>
    <n v="8273.2800000000007"/>
    <s v="Completed"/>
    <s v="Bengaluru"/>
    <x v="0"/>
    <m/>
    <s v="SMB"/>
    <n v="26"/>
    <x v="4"/>
  </r>
  <r>
    <s v="ORD-00659"/>
    <d v="2024-05-31T00:00:00"/>
    <s v="CUST-0257"/>
    <s v="PROD-040"/>
    <s v="R018"/>
    <n v="10"/>
    <n v="1080"/>
    <n v="14.5"/>
    <n v="9234"/>
    <s v="Completed"/>
    <s v="Mumbai"/>
    <x v="3"/>
    <m/>
    <s v="Corporate"/>
    <n v="46"/>
    <x v="0"/>
  </r>
  <r>
    <s v="ORD-00660"/>
    <d v="2024-03-26T00:00:00"/>
    <s v="CUST-0134"/>
    <s v="PROD-002"/>
    <s v="R029"/>
    <n v="7"/>
    <n v="2600"/>
    <n v="21"/>
    <n v="14378"/>
    <s v="Completed"/>
    <s v="Delhi"/>
    <x v="4"/>
    <m/>
    <s v="Retail"/>
    <n v="40"/>
    <x v="3"/>
  </r>
  <r>
    <s v="ORD-00661"/>
    <d v="2024-11-26T00:00:00"/>
    <s v="CUST-0180"/>
    <s v="PROD-002"/>
    <s v="R015"/>
    <n v="7"/>
    <n v="2600"/>
    <n v="6.7"/>
    <n v="16980.599999999999"/>
    <s v="Pending"/>
    <s v="Chennai"/>
    <x v="4"/>
    <m/>
    <s v="Retail"/>
    <n v="36"/>
    <x v="2"/>
  </r>
  <r>
    <s v="ORD-00662"/>
    <d v="2024-04-21T00:00:00"/>
    <s v="CUST-0283"/>
    <s v="PROD-020"/>
    <s v="R023"/>
    <n v="8"/>
    <n v="820"/>
    <n v="17.8"/>
    <n v="5392.32"/>
    <s v="Pending"/>
    <s v="Delhi"/>
    <x v="0"/>
    <m/>
    <s v="SMB"/>
    <n v="50"/>
    <x v="0"/>
  </r>
  <r>
    <s v="ORD-00663"/>
    <d v="2024-08-28T00:00:00"/>
    <s v="CUST-0047"/>
    <s v="PROD-057"/>
    <s v="R009"/>
    <n v="3"/>
    <n v="960"/>
    <n v="17.8"/>
    <n v="2367.36"/>
    <s v="Completed"/>
    <s v="Pune"/>
    <x v="1"/>
    <m/>
    <s v="Retail"/>
    <n v="49"/>
    <x v="0"/>
  </r>
  <r>
    <s v="ORD-00664"/>
    <d v="2024-01-10T00:00:00"/>
    <s v="CUST-0175"/>
    <s v="PROD-041"/>
    <s v="R023"/>
    <n v="2"/>
    <n v="1540"/>
    <n v="1.8"/>
    <n v="3024.56"/>
    <s v="Cancelled"/>
    <s v="Delhi"/>
    <x v="5"/>
    <m/>
    <s v="Corporate"/>
    <n v="55"/>
    <x v="0"/>
  </r>
  <r>
    <s v="ORD-00665"/>
    <d v="2024-11-26T00:00:00"/>
    <s v="CUST-0227"/>
    <s v="PROD-056"/>
    <s v="R030"/>
    <n v="5"/>
    <n v="6940"/>
    <n v="2.9"/>
    <n v="33693.699999999997"/>
    <s v="Completed"/>
    <s v="Bengaluru"/>
    <x v="1"/>
    <m/>
    <s v="SMB"/>
    <n v="44"/>
    <x v="0"/>
  </r>
  <r>
    <s v="ORD-00666"/>
    <d v="2024-08-27T00:00:00"/>
    <s v="CUST-0287"/>
    <s v="PROD-041"/>
    <s v="R013"/>
    <n v="5"/>
    <n v="1540"/>
    <n v="28.8"/>
    <n v="5482.4"/>
    <s v="Completed"/>
    <s v="Chennai"/>
    <x v="5"/>
    <m/>
    <s v="SMB"/>
    <n v="53"/>
    <x v="0"/>
  </r>
  <r>
    <s v="ORD-00667"/>
    <d v="2024-02-04T00:00:00"/>
    <s v="CUST-0004"/>
    <s v="PROD-031"/>
    <s v="R012"/>
    <n v="8"/>
    <n v="3730"/>
    <n v="21.1"/>
    <n v="23543.759999999998"/>
    <s v="Completed"/>
    <s v="Delhi"/>
    <x v="3"/>
    <m/>
    <s v="Retail"/>
    <n v="53"/>
    <x v="0"/>
  </r>
  <r>
    <s v="ORD-00668"/>
    <d v="2024-12-09T00:00:00"/>
    <s v="CUST-0234"/>
    <s v="PROD-021"/>
    <s v="R023"/>
    <n v="7"/>
    <n v="2760"/>
    <n v="1.2"/>
    <n v="19088.16"/>
    <s v="Cancelled"/>
    <s v="Bengaluru"/>
    <x v="2"/>
    <m/>
    <s v="Retail"/>
    <n v="34"/>
    <x v="4"/>
  </r>
  <r>
    <s v="ORD-00669"/>
    <d v="2024-05-19T00:00:00"/>
    <s v="CUST-0255"/>
    <s v="PROD-006"/>
    <s v="R020"/>
    <n v="3"/>
    <n v="3970"/>
    <n v="18.3"/>
    <n v="9730.4699999999993"/>
    <s v="Completed"/>
    <s v="Chennai"/>
    <x v="4"/>
    <m/>
    <s v="Corporate"/>
    <n v="51"/>
    <x v="0"/>
  </r>
  <r>
    <s v="ORD-00670"/>
    <d v="2024-04-11T00:00:00"/>
    <s v="CUST-0092"/>
    <s v="PROD-027"/>
    <s v="R023"/>
    <n v="4"/>
    <n v="3780"/>
    <n v="24.6"/>
    <n v="11400.48"/>
    <s v="Completed"/>
    <s v="Bengaluru"/>
    <x v="2"/>
    <m/>
    <s v="SMB"/>
    <n v="28"/>
    <x v="3"/>
  </r>
  <r>
    <s v="ORD-00671"/>
    <d v="2024-01-04T00:00:00"/>
    <s v="CUST-0037"/>
    <s v="PROD-015"/>
    <s v="R008"/>
    <n v="10"/>
    <n v="2720"/>
    <n v="12.8"/>
    <n v="23718.400000000001"/>
    <s v="Completed"/>
    <s v="Bengaluru"/>
    <x v="0"/>
    <m/>
    <s v="Retail"/>
    <n v="52"/>
    <x v="0"/>
  </r>
  <r>
    <s v="ORD-00672"/>
    <d v="2024-03-20T00:00:00"/>
    <s v="CUST-0208"/>
    <s v="PROD-006"/>
    <s v="R017"/>
    <n v="5"/>
    <n v="3970"/>
    <n v="5.9"/>
    <n v="18678.849999999999"/>
    <s v="Completed"/>
    <s v="Mumbai"/>
    <x v="4"/>
    <m/>
    <s v="Retail"/>
    <n v="49"/>
    <x v="0"/>
  </r>
  <r>
    <s v="ORD-00673"/>
    <d v="2024-11-05T00:00:00"/>
    <s v="CUST-0008"/>
    <s v="PROD-020"/>
    <s v="R011"/>
    <n v="3"/>
    <n v="820"/>
    <n v="19.399999999999999"/>
    <n v="1982.76"/>
    <s v="Completed"/>
    <s v="Pune"/>
    <x v="0"/>
    <m/>
    <s v="SMB"/>
    <n v="39"/>
    <x v="3"/>
  </r>
  <r>
    <s v="ORD-00674"/>
    <d v="2024-06-28T00:00:00"/>
    <s v="CUST-0050"/>
    <s v="PROD-016"/>
    <s v="R010"/>
    <n v="7"/>
    <n v="620"/>
    <n v="9.9"/>
    <n v="3910.34"/>
    <s v="Completed"/>
    <s v="Mumbai"/>
    <x v="0"/>
    <m/>
    <s v="Retail"/>
    <n v="37"/>
    <x v="4"/>
  </r>
  <r>
    <s v="ORD-00675"/>
    <d v="2024-01-27T00:00:00"/>
    <s v="CUST-0166"/>
    <s v="PROD-042"/>
    <s v="R027"/>
    <n v="8"/>
    <n v="2290"/>
    <n v="18.3"/>
    <n v="14967.44"/>
    <s v="Completed"/>
    <s v="Hyderabad"/>
    <x v="5"/>
    <m/>
    <s v="Retail"/>
    <n v="31"/>
    <x v="4"/>
  </r>
  <r>
    <s v="ORD-00676"/>
    <d v="2024-03-13T00:00:00"/>
    <s v="CUST-0271"/>
    <s v="PROD-030"/>
    <s v="R025"/>
    <n v="3"/>
    <n v="970"/>
    <n v="18.399999999999999"/>
    <n v="2374.56"/>
    <s v="Completed"/>
    <s v="Bengaluru"/>
    <x v="2"/>
    <m/>
    <s v="Corporate"/>
    <n v="41"/>
    <x v="0"/>
  </r>
  <r>
    <s v="ORD-00677"/>
    <d v="2024-05-07T00:00:00"/>
    <s v="CUST-0034"/>
    <s v="PROD-032"/>
    <s v="R014"/>
    <n v="2"/>
    <n v="370"/>
    <n v="8.9"/>
    <n v="674.14"/>
    <s v="Completed"/>
    <s v="Delhi"/>
    <x v="3"/>
    <m/>
    <s v="Retail"/>
    <n v="47"/>
    <x v="0"/>
  </r>
  <r>
    <s v="ORD-00678"/>
    <d v="2024-12-06T00:00:00"/>
    <s v="CUST-0016"/>
    <s v="PROD-007"/>
    <s v="R007"/>
    <n v="1"/>
    <n v="1430"/>
    <n v="5.9"/>
    <n v="1345.63"/>
    <s v="Cancelled"/>
    <s v="Delhi"/>
    <x v="4"/>
    <m/>
    <s v="SMB"/>
    <n v="26"/>
    <x v="4"/>
  </r>
  <r>
    <s v="ORD-00679"/>
    <d v="2024-07-21T00:00:00"/>
    <s v="CUST-0039"/>
    <s v="PROD-058"/>
    <s v="R030"/>
    <n v="2"/>
    <n v="2400"/>
    <n v="29.1"/>
    <n v="3403.2"/>
    <s v="Completed"/>
    <s v="Bengaluru"/>
    <x v="1"/>
    <m/>
    <s v="Retail"/>
    <n v="37"/>
    <x v="1"/>
  </r>
  <r>
    <s v="ORD-00680"/>
    <d v="2024-02-15T00:00:00"/>
    <s v="CUST-0253"/>
    <s v="PROD-007"/>
    <s v="R011"/>
    <n v="9"/>
    <n v="1430"/>
    <n v="6"/>
    <n v="12097.8"/>
    <s v="Completed"/>
    <s v="Delhi"/>
    <x v="4"/>
    <m/>
    <s v="SMB"/>
    <n v="53"/>
    <x v="0"/>
  </r>
  <r>
    <s v="ORD-00681"/>
    <d v="2024-08-06T00:00:00"/>
    <s v="CUST-0295"/>
    <s v="PROD-015"/>
    <s v="R007"/>
    <n v="8"/>
    <n v="2720"/>
    <n v="25.7"/>
    <n v="16167.68"/>
    <s v="Completed"/>
    <s v="Delhi"/>
    <x v="0"/>
    <m/>
    <s v="SMB"/>
    <n v="48"/>
    <x v="0"/>
  </r>
  <r>
    <s v="ORD-00682"/>
    <d v="2024-10-07T00:00:00"/>
    <s v="CUST-0138"/>
    <s v="PROD-056"/>
    <s v="R027"/>
    <n v="6"/>
    <n v="6940"/>
    <n v="25.7"/>
    <n v="30938.52"/>
    <s v="Completed"/>
    <s v="Chennai"/>
    <x v="1"/>
    <m/>
    <s v="Retail"/>
    <n v="24"/>
    <x v="1"/>
  </r>
  <r>
    <s v="ORD-00683"/>
    <d v="2024-06-29T00:00:00"/>
    <s v="CUST-0002"/>
    <s v="PROD-014"/>
    <s v="R007"/>
    <n v="3"/>
    <n v="3620"/>
    <n v="29.7"/>
    <n v="7634.58"/>
    <s v="Completed"/>
    <s v="Pune"/>
    <x v="0"/>
    <m/>
    <s v="Corporate"/>
    <n v="42"/>
    <x v="0"/>
  </r>
  <r>
    <s v="ORD-00684"/>
    <d v="2024-11-19T00:00:00"/>
    <s v="CUST-0287"/>
    <s v="PROD-010"/>
    <s v="R025"/>
    <n v="8"/>
    <n v="2640"/>
    <n v="24.4"/>
    <n v="15966.72"/>
    <s v="Completed"/>
    <s v="Chennai"/>
    <x v="4"/>
    <m/>
    <s v="SMB"/>
    <n v="53"/>
    <x v="0"/>
  </r>
  <r>
    <s v="ORD-00685"/>
    <d v="2024-02-27T00:00:00"/>
    <s v="CUST-0279"/>
    <s v="PROD-038"/>
    <s v="R006"/>
    <n v="3"/>
    <n v="5490"/>
    <n v="13.5"/>
    <n v="14246.55"/>
    <s v="Completed"/>
    <s v="Mumbai"/>
    <x v="3"/>
    <m/>
    <s v="Retail"/>
    <n v="56"/>
    <x v="0"/>
  </r>
  <r>
    <s v="ORD-00686"/>
    <d v="2024-05-01T00:00:00"/>
    <s v="CUST-0008"/>
    <s v="PROD-034"/>
    <s v="R017"/>
    <n v="3"/>
    <n v="5080"/>
    <n v="9.3000000000000007"/>
    <n v="13822.68"/>
    <s v="Completed"/>
    <s v="Pune"/>
    <x v="3"/>
    <m/>
    <s v="SMB"/>
    <n v="39"/>
    <x v="1"/>
  </r>
  <r>
    <s v="ORD-00687"/>
    <d v="2024-08-11T00:00:00"/>
    <s v="CUST-0092"/>
    <s v="PROD-042"/>
    <s v="R030"/>
    <n v="4"/>
    <n v="2290"/>
    <n v="24.4"/>
    <n v="6924.96"/>
    <s v="Completed"/>
    <s v="Bengaluru"/>
    <x v="5"/>
    <m/>
    <s v="SMB"/>
    <n v="28"/>
    <x v="3"/>
  </r>
  <r>
    <s v="ORD-00688"/>
    <d v="2024-06-20T00:00:00"/>
    <s v="CUST-0106"/>
    <s v="PROD-033"/>
    <s v="R011"/>
    <n v="10"/>
    <n v="2030"/>
    <n v="13.6"/>
    <n v="17539.2"/>
    <s v="Pending"/>
    <s v="Pune"/>
    <x v="3"/>
    <m/>
    <s v="Retail"/>
    <n v="22"/>
    <x v="2"/>
  </r>
  <r>
    <s v="ORD-00689"/>
    <d v="2024-11-11T00:00:00"/>
    <s v="CUST-0010"/>
    <s v="PROD-007"/>
    <s v="R012"/>
    <n v="10"/>
    <n v="1430"/>
    <n v="16.100000000000001"/>
    <n v="11997.7"/>
    <s v="Cancelled"/>
    <s v="Mumbai"/>
    <x v="4"/>
    <m/>
    <s v="SMB"/>
    <n v="61"/>
    <x v="0"/>
  </r>
  <r>
    <s v="ORD-00690"/>
    <d v="2024-03-06T00:00:00"/>
    <s v="CUST-0179"/>
    <s v="PROD-027"/>
    <s v="R009"/>
    <n v="1"/>
    <n v="3780"/>
    <n v="22.7"/>
    <n v="2921.94"/>
    <s v="Completed"/>
    <s v="Mumbai"/>
    <x v="2"/>
    <m/>
    <s v="SMB"/>
    <n v="54"/>
    <x v="0"/>
  </r>
  <r>
    <s v="ORD-00691"/>
    <d v="2024-05-31T00:00:00"/>
    <s v="CUST-0216"/>
    <s v="PROD-012"/>
    <s v="R021"/>
    <n v="10"/>
    <n v="3160"/>
    <n v="13.4"/>
    <n v="27365.599999999999"/>
    <s v="Completed"/>
    <s v="Mumbai"/>
    <x v="0"/>
    <m/>
    <s v="Retail"/>
    <n v="50"/>
    <x v="0"/>
  </r>
  <r>
    <s v="ORD-00692"/>
    <d v="2024-05-10T00:00:00"/>
    <s v="CUST-0172"/>
    <s v="PROD-007"/>
    <s v="R003"/>
    <n v="2"/>
    <n v="1430"/>
    <n v="7.4"/>
    <n v="2648.36"/>
    <s v="Completed"/>
    <s v="Pune"/>
    <x v="4"/>
    <m/>
    <s v="Retail"/>
    <n v="65"/>
    <x v="0"/>
  </r>
  <r>
    <s v="ORD-00693"/>
    <d v="2024-12-14T00:00:00"/>
    <s v="CUST-0152"/>
    <s v="PROD-012"/>
    <s v="R006"/>
    <n v="5"/>
    <n v="3160"/>
    <n v="3.6"/>
    <n v="15231.2"/>
    <s v="Pending"/>
    <s v="Bengaluru"/>
    <x v="0"/>
    <m/>
    <s v="SMB"/>
    <n v="64"/>
    <x v="0"/>
  </r>
  <r>
    <s v="ORD-00694"/>
    <d v="2024-08-17T00:00:00"/>
    <s v="CUST-0154"/>
    <s v="PROD-042"/>
    <s v="R004"/>
    <n v="2"/>
    <n v="2290"/>
    <n v="28.2"/>
    <n v="3288.44"/>
    <s v="Completed"/>
    <s v="Pune"/>
    <x v="5"/>
    <m/>
    <s v="Retail"/>
    <n v="36"/>
    <x v="1"/>
  </r>
  <r>
    <s v="ORD-00695"/>
    <d v="2024-03-15T00:00:00"/>
    <s v="CUST-0001"/>
    <s v="PROD-011"/>
    <s v="R015"/>
    <n v="5"/>
    <n v="3450"/>
    <n v="18.100000000000001"/>
    <n v="14127.75"/>
    <s v="Cancelled"/>
    <s v="Pune"/>
    <x v="0"/>
    <m/>
    <s v="Retail"/>
    <n v="36"/>
    <x v="1"/>
  </r>
  <r>
    <s v="ORD-00696"/>
    <d v="2024-05-27T00:00:00"/>
    <s v="CUST-0069"/>
    <s v="PROD-018"/>
    <s v="R001"/>
    <n v="1"/>
    <n v="3560"/>
    <n v="18.7"/>
    <n v="2894.28"/>
    <s v="Completed"/>
    <s v="Chennai"/>
    <x v="0"/>
    <m/>
    <s v="Retail"/>
    <n v="51"/>
    <x v="0"/>
  </r>
  <r>
    <s v="ORD-00697"/>
    <d v="2024-05-14T00:00:00"/>
    <s v="CUST-0200"/>
    <s v="PROD-058"/>
    <s v="R009"/>
    <n v="9"/>
    <n v="2400"/>
    <n v="18.5"/>
    <n v="17604"/>
    <s v="Completed"/>
    <s v="Hyderabad"/>
    <x v="1"/>
    <m/>
    <s v="Corporate"/>
    <n v="46"/>
    <x v="0"/>
  </r>
  <r>
    <s v="ORD-00698"/>
    <d v="2024-05-03T00:00:00"/>
    <s v="CUST-0164"/>
    <s v="PROD-004"/>
    <s v="R023"/>
    <n v="9"/>
    <n v="3870"/>
    <n v="6.9"/>
    <n v="32426.73"/>
    <s v="Refunded"/>
    <s v="Chennai"/>
    <x v="4"/>
    <m/>
    <s v="Retail"/>
    <n v="60"/>
    <x v="0"/>
  </r>
  <r>
    <s v="ORD-00699"/>
    <d v="2024-11-24T00:00:00"/>
    <s v="CUST-0004"/>
    <s v="PROD-028"/>
    <s v="R022"/>
    <n v="5"/>
    <n v="3660"/>
    <n v="11.7"/>
    <n v="16158.9"/>
    <s v="Completed"/>
    <s v="Delhi"/>
    <x v="2"/>
    <m/>
    <s v="Retail"/>
    <n v="53"/>
    <x v="0"/>
  </r>
  <r>
    <s v="ORD-00700"/>
    <d v="2024-02-24T00:00:00"/>
    <s v="CUST-0224"/>
    <s v="PROD-040"/>
    <s v="R030"/>
    <n v="4"/>
    <n v="1080"/>
    <n v="17.5"/>
    <n v="3564"/>
    <s v="Completed"/>
    <s v="Chennai"/>
    <x v="3"/>
    <m/>
    <s v="Corporate"/>
    <n v="24"/>
    <x v="3"/>
  </r>
  <r>
    <s v="ORD-01185"/>
    <d v="2024-01-06T00:00:00"/>
    <s v="CUST-0037"/>
    <s v="PROD-059"/>
    <s v="R006"/>
    <n v="6"/>
    <n v="3780"/>
    <n v="27.8"/>
    <n v="16374.96"/>
    <s v="Completed"/>
    <s v="Bengaluru"/>
    <x v="1"/>
    <m/>
    <s v="Retail"/>
    <n v="52"/>
    <x v="0"/>
  </r>
  <r>
    <s v="ORD-00702"/>
    <d v="2024-08-17T00:00:00"/>
    <s v="CUST-0179"/>
    <s v="PROD-019"/>
    <s v="R022"/>
    <n v="8"/>
    <n v="2480"/>
    <n v="15.7"/>
    <n v="16725.12"/>
    <s v="Pending"/>
    <s v="Mumbai"/>
    <x v="0"/>
    <m/>
    <s v="SMB"/>
    <n v="54"/>
    <x v="0"/>
  </r>
  <r>
    <s v="ORD-00703"/>
    <d v="2024-04-27T00:00:00"/>
    <s v="CUST-0018"/>
    <s v="PROD-054"/>
    <s v="R014"/>
    <n v="10"/>
    <n v="1010"/>
    <n v="0.1"/>
    <n v="10089.9"/>
    <s v="Pending"/>
    <s v="Pune"/>
    <x v="1"/>
    <m/>
    <s v="SMB"/>
    <n v="54"/>
    <x v="0"/>
  </r>
  <r>
    <s v="ORD-00704"/>
    <d v="2024-04-24T00:00:00"/>
    <s v="CUST-0184"/>
    <s v="PROD-053"/>
    <s v="R015"/>
    <n v="3"/>
    <n v="470"/>
    <n v="1.1000000000000001"/>
    <n v="1394.49"/>
    <s v="Completed"/>
    <s v="Pune"/>
    <x v="1"/>
    <m/>
    <s v="Retail"/>
    <n v="63"/>
    <x v="0"/>
  </r>
  <r>
    <s v="ORD-00705"/>
    <d v="2024-07-01T00:00:00"/>
    <s v="CUST-0066"/>
    <s v="PROD-024"/>
    <s v="R019"/>
    <n v="4"/>
    <n v="2270"/>
    <n v="17.100000000000001"/>
    <n v="7527.32"/>
    <s v="Completed"/>
    <s v="Delhi"/>
    <x v="2"/>
    <m/>
    <s v="Retail"/>
    <n v="24"/>
    <x v="4"/>
  </r>
  <r>
    <s v="ORD-00706"/>
    <d v="2024-10-23T00:00:00"/>
    <s v="CUST-0053"/>
    <s v="PROD-021"/>
    <s v="R010"/>
    <n v="7"/>
    <n v="2760"/>
    <n v="17.100000000000001"/>
    <n v="16016.28"/>
    <s v="Completed"/>
    <s v="Delhi"/>
    <x v="2"/>
    <m/>
    <s v="Retail"/>
    <n v="53"/>
    <x v="0"/>
  </r>
  <r>
    <s v="ORD-00707"/>
    <d v="2024-08-26T00:00:00"/>
    <s v="CUST-0278"/>
    <s v="PROD-051"/>
    <s v="R008"/>
    <n v="6"/>
    <n v="3450"/>
    <n v="6.6"/>
    <n v="19333.8"/>
    <s v="Refunded"/>
    <s v="Hyderabad"/>
    <x v="1"/>
    <m/>
    <s v="Retail"/>
    <n v="41"/>
    <x v="0"/>
  </r>
  <r>
    <s v="ORD-00708"/>
    <d v="2024-12-04T00:00:00"/>
    <s v="CUST-0285"/>
    <s v="PROD-028"/>
    <s v="R007"/>
    <n v="8"/>
    <n v="3660"/>
    <n v="7.2"/>
    <n v="27171.84"/>
    <s v="Completed"/>
    <s v="Hyderabad"/>
    <x v="2"/>
    <m/>
    <s v="Retail"/>
    <n v="22"/>
    <x v="1"/>
  </r>
  <r>
    <s v="ORD-00709"/>
    <d v="2024-09-16T00:00:00"/>
    <s v="CUST-0060"/>
    <s v="PROD-009"/>
    <s v="R030"/>
    <n v="4"/>
    <n v="1220"/>
    <n v="24.3"/>
    <n v="3694.16"/>
    <s v="Cancelled"/>
    <s v="Pune"/>
    <x v="4"/>
    <m/>
    <s v="Retail"/>
    <n v="39"/>
    <x v="1"/>
  </r>
  <r>
    <s v="ORD-00710"/>
    <d v="2024-11-14T00:00:00"/>
    <s v="CUST-0236"/>
    <s v="PROD-052"/>
    <s v="R007"/>
    <n v="2"/>
    <n v="5410"/>
    <n v="0.9"/>
    <n v="10722.62"/>
    <s v="Pending"/>
    <s v="Hyderabad"/>
    <x v="1"/>
    <m/>
    <s v="SMB"/>
    <n v="28"/>
    <x v="2"/>
  </r>
  <r>
    <s v="ORD-00711"/>
    <d v="2024-01-31T00:00:00"/>
    <s v="CUST-0106"/>
    <s v="PROD-033"/>
    <s v="R009"/>
    <n v="5"/>
    <n v="2030"/>
    <n v="25.2"/>
    <n v="7592.2"/>
    <s v="Completed"/>
    <s v="Pune"/>
    <x v="3"/>
    <m/>
    <s v="Retail"/>
    <n v="22"/>
    <x v="1"/>
  </r>
  <r>
    <s v="ORD-00712"/>
    <d v="2024-03-12T00:00:00"/>
    <s v="CUST-0085"/>
    <s v="PROD-009"/>
    <s v="R012"/>
    <n v="5"/>
    <n v="1220"/>
    <n v="2.6"/>
    <n v="5941.4"/>
    <s v="Completed"/>
    <s v="Chennai"/>
    <x v="4"/>
    <m/>
    <s v="Retail"/>
    <n v="26"/>
    <x v="4"/>
  </r>
  <r>
    <s v="ORD-00713"/>
    <d v="2024-11-04T00:00:00"/>
    <s v="CUST-0075"/>
    <s v="PROD-008"/>
    <s v="R006"/>
    <n v="4"/>
    <n v="2660"/>
    <n v="19.100000000000001"/>
    <n v="8607.76"/>
    <s v="Refunded"/>
    <s v="Mumbai"/>
    <x v="4"/>
    <m/>
    <s v="Corporate"/>
    <n v="55"/>
    <x v="0"/>
  </r>
  <r>
    <s v="ORD-00714"/>
    <d v="2024-02-29T00:00:00"/>
    <s v="CUST-0169"/>
    <s v="PROD-026"/>
    <s v="R016"/>
    <n v="3"/>
    <n v="4070"/>
    <n v="25.2"/>
    <n v="9133.08"/>
    <s v="Completed"/>
    <s v="Bengaluru"/>
    <x v="2"/>
    <m/>
    <s v="SMB"/>
    <n v="42"/>
    <x v="0"/>
  </r>
  <r>
    <s v="ORD-00715"/>
    <d v="2024-06-18T00:00:00"/>
    <s v="CUST-0166"/>
    <s v="PROD-049"/>
    <s v="R014"/>
    <n v="10"/>
    <n v="960"/>
    <n v="0.3"/>
    <n v="9571.2000000000007"/>
    <s v="Completed"/>
    <s v="Hyderabad"/>
    <x v="5"/>
    <m/>
    <s v="Retail"/>
    <n v="31"/>
    <x v="4"/>
  </r>
  <r>
    <s v="ORD-00716"/>
    <d v="2024-05-19T00:00:00"/>
    <s v="CUST-0065"/>
    <s v="PROD-031"/>
    <s v="R029"/>
    <n v="2"/>
    <n v="3730"/>
    <n v="29.9"/>
    <n v="5229.46"/>
    <s v="Completed"/>
    <s v="Chennai"/>
    <x v="3"/>
    <m/>
    <s v="Corporate"/>
    <n v="49"/>
    <x v="0"/>
  </r>
  <r>
    <s v="ORD-00717"/>
    <d v="2024-10-27T00:00:00"/>
    <s v="CUST-0102"/>
    <s v="PROD-057"/>
    <s v="R004"/>
    <n v="9"/>
    <n v="960"/>
    <n v="1.9"/>
    <n v="8475.84"/>
    <s v="Completed"/>
    <s v="Chennai"/>
    <x v="1"/>
    <m/>
    <s v="SMB"/>
    <n v="62"/>
    <x v="0"/>
  </r>
  <r>
    <s v="ORD-00718"/>
    <d v="2024-06-11T00:00:00"/>
    <s v="CUST-0052"/>
    <s v="PROD-011"/>
    <s v="R004"/>
    <n v="2"/>
    <n v="3450"/>
    <n v="22.9"/>
    <n v="5319.9"/>
    <s v="Pending"/>
    <s v="Pune"/>
    <x v="0"/>
    <m/>
    <s v="Retail"/>
    <n v="38"/>
    <x v="1"/>
  </r>
  <r>
    <s v="ORD-00719"/>
    <d v="2024-11-20T00:00:00"/>
    <s v="CUST-0130"/>
    <s v="PROD-052"/>
    <s v="R010"/>
    <n v="3"/>
    <n v="5410"/>
    <n v="15.5"/>
    <n v="13714.35"/>
    <s v="Completed"/>
    <s v="Bengaluru"/>
    <x v="1"/>
    <m/>
    <s v="Corporate"/>
    <n v="41"/>
    <x v="0"/>
  </r>
  <r>
    <s v="ORD-00720"/>
    <d v="2024-06-05T00:00:00"/>
    <s v="CUST-0284"/>
    <s v="PROD-043"/>
    <s v="R019"/>
    <n v="8"/>
    <n v="3350"/>
    <n v="18.399999999999999"/>
    <n v="21868.799999999999"/>
    <s v="Completed"/>
    <s v="Hyderabad"/>
    <x v="5"/>
    <m/>
    <s v="SMB"/>
    <n v="65"/>
    <x v="0"/>
  </r>
  <r>
    <s v="ORD-00721"/>
    <d v="2024-11-15T00:00:00"/>
    <s v="CUST-0053"/>
    <s v="PROD-015"/>
    <s v="R008"/>
    <n v="5"/>
    <n v="2720"/>
    <n v="17.3"/>
    <n v="11247.2"/>
    <s v="Cancelled"/>
    <s v="Delhi"/>
    <x v="0"/>
    <m/>
    <s v="Retail"/>
    <n v="53"/>
    <x v="0"/>
  </r>
  <r>
    <s v="ORD-00722"/>
    <d v="2024-04-21T00:00:00"/>
    <s v="CUST-0293"/>
    <s v="PROD-028"/>
    <s v="R017"/>
    <n v="8"/>
    <n v="3660"/>
    <n v="28.8"/>
    <n v="20847.36"/>
    <s v="Completed"/>
    <s v="Bengaluru"/>
    <x v="2"/>
    <m/>
    <s v="Retail"/>
    <n v="27"/>
    <x v="1"/>
  </r>
  <r>
    <s v="ORD-00723"/>
    <d v="2024-08-26T00:00:00"/>
    <s v="CUST-0242"/>
    <s v="PROD-005"/>
    <s v="R013"/>
    <n v="6"/>
    <n v="300"/>
    <n v="23.9"/>
    <n v="1369.8"/>
    <s v="Cancelled"/>
    <s v="Chennai"/>
    <x v="4"/>
    <m/>
    <s v="SMB"/>
    <n v="59"/>
    <x v="0"/>
  </r>
  <r>
    <s v="ORD-00724"/>
    <d v="2024-09-13T00:00:00"/>
    <s v="CUST-0226"/>
    <s v="PROD-042"/>
    <s v="R026"/>
    <n v="3"/>
    <n v="2290"/>
    <n v="2.4"/>
    <n v="6705.12"/>
    <s v="Completed"/>
    <s v="Chennai"/>
    <x v="5"/>
    <m/>
    <s v="Corporate"/>
    <n v="52"/>
    <x v="0"/>
  </r>
  <r>
    <s v="ORD-00725"/>
    <d v="2024-04-21T00:00:00"/>
    <s v="CUST-0005"/>
    <s v="PROD-046"/>
    <s v="R014"/>
    <n v="6"/>
    <n v="4880"/>
    <n v="11.1"/>
    <n v="26029.919999999998"/>
    <s v="Pending"/>
    <s v="Chennai"/>
    <x v="5"/>
    <m/>
    <s v="Corporate"/>
    <n v="52"/>
    <x v="0"/>
  </r>
  <r>
    <s v="ORD-00726"/>
    <d v="2024-09-27T00:00:00"/>
    <s v="CUST-0211"/>
    <s v="PROD-005"/>
    <s v="R007"/>
    <n v="5"/>
    <n v="300"/>
    <n v="19.399999999999999"/>
    <n v="1209"/>
    <s v="Completed"/>
    <s v="Bengaluru"/>
    <x v="4"/>
    <m/>
    <s v="Retail"/>
    <n v="36"/>
    <x v="4"/>
  </r>
  <r>
    <s v="ORD-00727"/>
    <d v="2024-12-09T00:00:00"/>
    <s v="CUST-0229"/>
    <s v="PROD-008"/>
    <s v="R030"/>
    <n v="3"/>
    <n v="2660"/>
    <n v="28.5"/>
    <n v="5705.7"/>
    <s v="Pending"/>
    <s v="Hyderabad"/>
    <x v="4"/>
    <m/>
    <s v="SMB"/>
    <n v="25"/>
    <x v="1"/>
  </r>
  <r>
    <s v="ORD-00728"/>
    <d v="2024-05-22T00:00:00"/>
    <s v="CUST-0037"/>
    <s v="PROD-035"/>
    <s v="R024"/>
    <n v="7"/>
    <n v="1090"/>
    <n v="10.3"/>
    <n v="6844.11"/>
    <s v="Completed"/>
    <s v="Bengaluru"/>
    <x v="3"/>
    <m/>
    <s v="Retail"/>
    <n v="52"/>
    <x v="0"/>
  </r>
  <r>
    <s v="ORD-00729"/>
    <d v="2024-02-28T00:00:00"/>
    <s v="CUST-0059"/>
    <s v="PROD-007"/>
    <s v="R012"/>
    <n v="9"/>
    <n v="1430"/>
    <n v="12.1"/>
    <n v="11312.73"/>
    <s v="Cancelled"/>
    <s v="Pune"/>
    <x v="4"/>
    <m/>
    <s v="Corporate"/>
    <n v="29"/>
    <x v="2"/>
  </r>
  <r>
    <s v="ORD-00730"/>
    <d v="2024-02-22T00:00:00"/>
    <s v="CUST-0222"/>
    <s v="PROD-010"/>
    <s v="R005"/>
    <n v="5"/>
    <n v="2640"/>
    <n v="26.8"/>
    <n v="9662.4"/>
    <s v="Completed"/>
    <s v="Chennai"/>
    <x v="4"/>
    <m/>
    <s v="Retail"/>
    <n v="37"/>
    <x v="4"/>
  </r>
  <r>
    <s v="ORD-00731"/>
    <d v="2024-07-25T00:00:00"/>
    <s v="CUST-0157"/>
    <s v="PROD-015"/>
    <s v="R001"/>
    <n v="8"/>
    <n v="2720"/>
    <n v="17.5"/>
    <n v="17952"/>
    <s v="Completed"/>
    <s v="Pune"/>
    <x v="0"/>
    <m/>
    <s v="Corporate"/>
    <n v="52"/>
    <x v="0"/>
  </r>
  <r>
    <s v="ORD-00732"/>
    <d v="2024-08-16T00:00:00"/>
    <s v="CUST-0027"/>
    <s v="PROD-013"/>
    <s v="R016"/>
    <n v="9"/>
    <n v="3640"/>
    <n v="3.6"/>
    <n v="31580.639999999999"/>
    <s v="Completed"/>
    <s v="Hyderabad"/>
    <x v="0"/>
    <m/>
    <s v="Corporate"/>
    <n v="52"/>
    <x v="0"/>
  </r>
  <r>
    <s v="ORD-00733"/>
    <d v="2024-09-19T00:00:00"/>
    <s v="CUST-9846"/>
    <s v="PROD-050"/>
    <s v="R021"/>
    <n v="7"/>
    <n v="6080"/>
    <n v="23.6"/>
    <n v="32515.84"/>
    <s v="Completed"/>
    <s v="Mumbai"/>
    <x v="5"/>
    <m/>
    <e v="#N/A"/>
    <e v="#N/A"/>
    <x v="0"/>
  </r>
  <r>
    <s v="ORD-00734"/>
    <d v="2024-10-19T00:00:00"/>
    <s v="CUST-0011"/>
    <s v="PROD-001"/>
    <s v="R015"/>
    <n v="7"/>
    <n v="5330"/>
    <n v="19.7"/>
    <n v="29959.93"/>
    <s v="Cancelled"/>
    <s v="Chennai"/>
    <x v="4"/>
    <m/>
    <s v="Corporate"/>
    <n v="41"/>
    <x v="0"/>
  </r>
  <r>
    <s v="ORD-00735"/>
    <d v="2024-10-28T00:00:00"/>
    <s v="CUST-0043"/>
    <s v="PROD-039"/>
    <s v="R024"/>
    <n v="5"/>
    <n v="4610"/>
    <n v="3.6"/>
    <n v="22220.2"/>
    <s v="Completed"/>
    <s v="Hyderabad"/>
    <x v="3"/>
    <m/>
    <s v="Retail"/>
    <n v="61"/>
    <x v="0"/>
  </r>
  <r>
    <s v="ORD-00736"/>
    <d v="2024-01-11T00:00:00"/>
    <s v="CUST-0154"/>
    <s v="PROD-001"/>
    <s v="R030"/>
    <n v="9"/>
    <n v="5330"/>
    <n v="22.9"/>
    <n v="36984.870000000003"/>
    <s v="Completed"/>
    <s v="Pune"/>
    <x v="4"/>
    <m/>
    <s v="Retail"/>
    <n v="36"/>
    <x v="2"/>
  </r>
  <r>
    <s v="ORD-00737"/>
    <d v="2024-05-28T00:00:00"/>
    <s v="CUST-0163"/>
    <s v="PROD-050"/>
    <s v="R018"/>
    <n v="5"/>
    <n v="6080"/>
    <n v="6"/>
    <n v="28576"/>
    <s v="Refunded"/>
    <s v="Pune"/>
    <x v="5"/>
    <m/>
    <s v="Retail"/>
    <n v="49"/>
    <x v="0"/>
  </r>
  <r>
    <s v="ORD-00738"/>
    <d v="2024-01-08T00:00:00"/>
    <s v="CUST-0299"/>
    <s v="PROD-013"/>
    <s v="R017"/>
    <n v="7"/>
    <n v="3640"/>
    <n v="5.5"/>
    <n v="24078.6"/>
    <s v="Completed"/>
    <s v="Mumbai"/>
    <x v="0"/>
    <m/>
    <s v="Corporate"/>
    <n v="51"/>
    <x v="0"/>
  </r>
  <r>
    <s v="ORD-00739"/>
    <d v="2024-02-14T00:00:00"/>
    <s v="CUST-0240"/>
    <s v="PROD-008"/>
    <s v="R013"/>
    <n v="1"/>
    <n v="2660"/>
    <n v="6.1"/>
    <n v="2497.7399999999998"/>
    <s v="Cancelled"/>
    <s v="Chennai"/>
    <x v="4"/>
    <m/>
    <s v="Corporate"/>
    <n v="35"/>
    <x v="3"/>
  </r>
  <r>
    <s v="ORD-00740"/>
    <d v="2024-01-09T00:00:00"/>
    <s v="CUST-0291"/>
    <s v="PROD-043"/>
    <s v="R015"/>
    <n v="8"/>
    <n v="3350"/>
    <n v="19.5"/>
    <n v="21574"/>
    <s v="Completed"/>
    <s v="Pune"/>
    <x v="5"/>
    <m/>
    <s v="SMB"/>
    <n v="29"/>
    <x v="4"/>
  </r>
  <r>
    <s v="ORD-00741"/>
    <d v="2024-12-22T00:00:00"/>
    <s v="CUST-0243"/>
    <s v="PROD-039"/>
    <s v="R019"/>
    <n v="4"/>
    <n v="4610"/>
    <n v="24"/>
    <n v="14014.4"/>
    <s v="Completed"/>
    <s v="Pune"/>
    <x v="3"/>
    <m/>
    <s v="SMB"/>
    <n v="44"/>
    <x v="0"/>
  </r>
  <r>
    <s v="ORD-00742"/>
    <d v="2024-01-02T00:00:00"/>
    <s v="CUST-0073"/>
    <s v="PROD-055"/>
    <s v="R014"/>
    <n v="7"/>
    <n v="2860"/>
    <n v="23.2"/>
    <n v="15375.36"/>
    <s v="Completed"/>
    <s v="Pune"/>
    <x v="1"/>
    <m/>
    <s v="Corporate"/>
    <n v="40"/>
    <x v="3"/>
  </r>
  <r>
    <s v="ORD-00743"/>
    <d v="2024-12-18T00:00:00"/>
    <s v="CUST-0154"/>
    <s v="PROD-043"/>
    <s v="R013"/>
    <n v="7"/>
    <n v="3350"/>
    <n v="10.6"/>
    <n v="20964.3"/>
    <s v="Pending"/>
    <s v="Pune"/>
    <x v="5"/>
    <m/>
    <s v="Retail"/>
    <n v="36"/>
    <x v="4"/>
  </r>
  <r>
    <s v="ORD-00744"/>
    <d v="2024-10-24T00:00:00"/>
    <s v="CUST-0084"/>
    <s v="PROD-029"/>
    <s v="R028"/>
    <n v="5"/>
    <n v="2210"/>
    <n v="12.1"/>
    <n v="9712.9500000000007"/>
    <s v="Completed"/>
    <s v="Chennai"/>
    <x v="2"/>
    <m/>
    <s v="Retail"/>
    <n v="28"/>
    <x v="4"/>
  </r>
  <r>
    <s v="ORD-00745"/>
    <d v="2024-02-07T00:00:00"/>
    <s v="CUST-0228"/>
    <s v="PROD-047"/>
    <s v="R013"/>
    <n v="1"/>
    <n v="3450"/>
    <n v="19.100000000000001"/>
    <n v="2791.05"/>
    <s v="Pending"/>
    <s v="Pune"/>
    <x v="5"/>
    <m/>
    <s v="Corporate"/>
    <n v="37"/>
    <x v="2"/>
  </r>
  <r>
    <s v="ORD-00746"/>
    <d v="2024-10-22T00:00:00"/>
    <s v="CUST-0232"/>
    <s v="PROD-048"/>
    <s v="R028"/>
    <n v="5"/>
    <n v="5100"/>
    <n v="2.8"/>
    <n v="24786"/>
    <s v="Completed"/>
    <s v="Hyderabad"/>
    <x v="5"/>
    <m/>
    <s v="Retail"/>
    <n v="38"/>
    <x v="4"/>
  </r>
  <r>
    <s v="ORD-00747"/>
    <d v="2024-05-11T00:00:00"/>
    <s v="CUST-0129"/>
    <s v="PROD-048"/>
    <s v="R003"/>
    <n v="9"/>
    <n v="5100"/>
    <n v="24.4"/>
    <n v="34700.400000000001"/>
    <s v="Completed"/>
    <s v="Hyderabad"/>
    <x v="5"/>
    <m/>
    <s v="Retail"/>
    <n v="29"/>
    <x v="2"/>
  </r>
  <r>
    <s v="ORD-00748"/>
    <d v="2024-10-03T00:00:00"/>
    <s v="CUST-0189"/>
    <s v="PROD-037"/>
    <s v="R006"/>
    <n v="9"/>
    <n v="660"/>
    <n v="19.8"/>
    <n v="4763.88"/>
    <s v="Completed"/>
    <s v="Chennai"/>
    <x v="3"/>
    <m/>
    <s v="Retail"/>
    <n v="41"/>
    <x v="0"/>
  </r>
  <r>
    <s v="ORD-00749"/>
    <d v="2024-09-14T00:00:00"/>
    <s v="CUST-0122"/>
    <s v="PROD-026"/>
    <s v="R006"/>
    <n v="3"/>
    <n v="4070"/>
    <n v="27.1"/>
    <n v="8901.09"/>
    <s v="Completed"/>
    <s v="Mumbai"/>
    <x v="2"/>
    <m/>
    <s v="Retail"/>
    <n v="44"/>
    <x v="0"/>
  </r>
  <r>
    <s v="ORD-00750"/>
    <d v="2024-07-31T00:00:00"/>
    <s v="CUST-0170"/>
    <s v="PROD-017"/>
    <s v="R007"/>
    <n v="2"/>
    <n v="2510"/>
    <n v="29.1"/>
    <n v="3559.18"/>
    <s v="Completed"/>
    <s v="Mumbai"/>
    <x v="0"/>
    <m/>
    <s v="SMB"/>
    <n v="22"/>
    <x v="1"/>
  </r>
  <r>
    <s v="ORD-00751"/>
    <d v="2024-06-06T00:00:00"/>
    <s v="CUST-0291"/>
    <s v="PROD-036"/>
    <s v="R030"/>
    <n v="4"/>
    <n v="3250"/>
    <n v="21.1"/>
    <n v="10257"/>
    <s v="Completed"/>
    <s v="Pune"/>
    <x v="3"/>
    <m/>
    <s v="SMB"/>
    <n v="29"/>
    <x v="1"/>
  </r>
  <r>
    <s v="ORD-00752"/>
    <d v="2024-11-04T00:00:00"/>
    <s v="CUST-0090"/>
    <s v="PROD-032"/>
    <s v="R005"/>
    <n v="3"/>
    <n v="370"/>
    <n v="7.7"/>
    <n v="1024.53"/>
    <s v="Completed"/>
    <s v="Bengaluru"/>
    <x v="3"/>
    <m/>
    <s v="Corporate"/>
    <n v="26"/>
    <x v="2"/>
  </r>
  <r>
    <s v="ORD-00753"/>
    <d v="2024-07-06T00:00:00"/>
    <s v="CUST-0205"/>
    <s v="PROD-020"/>
    <s v="R006"/>
    <n v="10"/>
    <n v="820"/>
    <n v="3.5"/>
    <n v="7913"/>
    <s v="Completed"/>
    <s v="Pune"/>
    <x v="0"/>
    <m/>
    <s v="Corporate"/>
    <n v="29"/>
    <x v="1"/>
  </r>
  <r>
    <s v="ORD-00754"/>
    <d v="2024-08-27T00:00:00"/>
    <s v="CUST-0192"/>
    <s v="PROD-026"/>
    <s v="R029"/>
    <n v="4"/>
    <n v="4070"/>
    <n v="23.8"/>
    <n v="12405.36"/>
    <s v="Completed"/>
    <s v="Bengaluru"/>
    <x v="2"/>
    <m/>
    <s v="Retail"/>
    <n v="55"/>
    <x v="0"/>
  </r>
  <r>
    <s v="ORD-00755"/>
    <d v="2024-03-05T00:00:00"/>
    <s v="CUST-0270"/>
    <s v="PROD-023"/>
    <s v="R011"/>
    <n v="1"/>
    <n v="2380"/>
    <n v="19.600000000000001"/>
    <n v="1913.52"/>
    <s v="Cancelled"/>
    <s v="Bengaluru"/>
    <x v="2"/>
    <m/>
    <s v="Retail"/>
    <n v="29"/>
    <x v="2"/>
  </r>
  <r>
    <s v="ORD-00756"/>
    <d v="2024-09-18T00:00:00"/>
    <s v="CUST-0266"/>
    <s v="PROD-038"/>
    <s v="R030"/>
    <n v="3"/>
    <n v="5490"/>
    <n v="2.5"/>
    <n v="16058.25"/>
    <s v="Completed"/>
    <s v="Pune"/>
    <x v="3"/>
    <m/>
    <s v="Retail"/>
    <n v="65"/>
    <x v="0"/>
  </r>
  <r>
    <s v="ORD-00757"/>
    <d v="2024-07-19T00:00:00"/>
    <s v="CUST-0208"/>
    <s v="PROD-013"/>
    <s v="R027"/>
    <n v="3"/>
    <n v="3640"/>
    <n v="23.3"/>
    <n v="8375.64"/>
    <s v="Completed"/>
    <s v="Mumbai"/>
    <x v="0"/>
    <m/>
    <s v="Retail"/>
    <n v="49"/>
    <x v="0"/>
  </r>
  <r>
    <s v="ORD-00758"/>
    <d v="2024-04-06T00:00:00"/>
    <s v="CUST-0224"/>
    <s v="PROD-039"/>
    <s v="R018"/>
    <n v="2"/>
    <n v="4610"/>
    <n v="5"/>
    <n v="8759"/>
    <s v="Pending"/>
    <s v="Chennai"/>
    <x v="3"/>
    <m/>
    <s v="Corporate"/>
    <n v="24"/>
    <x v="2"/>
  </r>
  <r>
    <s v="ORD-00759"/>
    <d v="2024-03-18T00:00:00"/>
    <s v="CUST-0264"/>
    <s v="PROD-058"/>
    <s v="R001"/>
    <n v="8"/>
    <n v="2400"/>
    <n v="10"/>
    <n v="17280"/>
    <s v="Pending"/>
    <s v="Pune"/>
    <x v="1"/>
    <m/>
    <s v="Retail"/>
    <n v="59"/>
    <x v="0"/>
  </r>
  <r>
    <s v="ORD-00760"/>
    <d v="2024-11-01T00:00:00"/>
    <s v="CUST-0113"/>
    <s v="PROD-043"/>
    <s v="R002"/>
    <n v="7"/>
    <n v="3350"/>
    <n v="23.7"/>
    <n v="17892.349999999999"/>
    <s v="Completed"/>
    <s v="Delhi"/>
    <x v="5"/>
    <m/>
    <s v="Retail"/>
    <n v="30"/>
    <x v="1"/>
  </r>
  <r>
    <s v="ORD-00761"/>
    <d v="2024-11-15T00:00:00"/>
    <s v="CUST-0160"/>
    <s v="PROD-013"/>
    <s v="R012"/>
    <n v="4"/>
    <n v="3640"/>
    <n v="9.3000000000000007"/>
    <n v="13205.92"/>
    <s v="Cancelled"/>
    <s v="Hyderabad"/>
    <x v="0"/>
    <m/>
    <s v="Retail"/>
    <n v="27"/>
    <x v="1"/>
  </r>
  <r>
    <s v="ORD-00762"/>
    <d v="2024-10-14T00:00:00"/>
    <s v="CUST-0109"/>
    <s v="PROD-013"/>
    <s v="R028"/>
    <n v="9"/>
    <n v="3640"/>
    <n v="13.1"/>
    <n v="28468.44"/>
    <s v="Pending"/>
    <s v="Pune"/>
    <x v="0"/>
    <m/>
    <s v="Retail"/>
    <n v="42"/>
    <x v="0"/>
  </r>
  <r>
    <s v="ORD-00763"/>
    <d v="2024-12-08T00:00:00"/>
    <s v="CUST-0107"/>
    <s v="PROD-033"/>
    <s v="R014"/>
    <n v="2"/>
    <n v="2030"/>
    <n v="12.2"/>
    <n v="3564.68"/>
    <s v="Completed"/>
    <s v="Pune"/>
    <x v="3"/>
    <m/>
    <s v="Retail"/>
    <n v="50"/>
    <x v="0"/>
  </r>
  <r>
    <s v="ORD-00764"/>
    <d v="2024-06-28T00:00:00"/>
    <s v="CUST-0120"/>
    <s v="PROD-012"/>
    <s v="R002"/>
    <n v="4"/>
    <n v="3160"/>
    <n v="7.5"/>
    <n v="11692"/>
    <s v="Completed"/>
    <s v="Mumbai"/>
    <x v="0"/>
    <m/>
    <s v="Retail"/>
    <n v="29"/>
    <x v="4"/>
  </r>
  <r>
    <s v="ORD-00765"/>
    <d v="2024-02-05T00:00:00"/>
    <s v="CUST-0225"/>
    <s v="PROD-026"/>
    <s v="R029"/>
    <n v="10"/>
    <n v="4070"/>
    <n v="8.3000000000000007"/>
    <n v="37321.9"/>
    <s v="Completed"/>
    <s v="Chennai"/>
    <x v="2"/>
    <m/>
    <s v="SMB"/>
    <n v="26"/>
    <x v="1"/>
  </r>
  <r>
    <s v="ORD-00766"/>
    <d v="2024-02-21T00:00:00"/>
    <s v="CUST-0134"/>
    <s v="PROD-025"/>
    <s v="R024"/>
    <n v="8"/>
    <n v="4060"/>
    <n v="8.5"/>
    <n v="29719.200000000001"/>
    <s v="Completed"/>
    <s v="Delhi"/>
    <x v="2"/>
    <m/>
    <s v="Retail"/>
    <n v="40"/>
    <x v="2"/>
  </r>
  <r>
    <s v="ORD-00767"/>
    <d v="2024-02-12T00:00:00"/>
    <s v="CUST-0279"/>
    <s v="PROD-057"/>
    <s v="R018"/>
    <n v="8"/>
    <n v="960"/>
    <n v="8.6999999999999993"/>
    <n v="7011.84"/>
    <s v="Completed"/>
    <s v="Mumbai"/>
    <x v="1"/>
    <m/>
    <s v="Retail"/>
    <n v="56"/>
    <x v="0"/>
  </r>
  <r>
    <s v="ORD-00768"/>
    <d v="2024-01-15T00:00:00"/>
    <s v="CUST-0247"/>
    <s v="PROD-022"/>
    <s v="R027"/>
    <n v="2"/>
    <n v="2270"/>
    <n v="10.199999999999999"/>
    <n v="4076.92"/>
    <s v="Completed"/>
    <s v="Pune"/>
    <x v="2"/>
    <m/>
    <s v="SMB"/>
    <n v="35"/>
    <x v="3"/>
  </r>
  <r>
    <s v="ORD-00769"/>
    <d v="2024-01-05T00:00:00"/>
    <s v="CUST-0129"/>
    <s v="PROD-027"/>
    <s v="R007"/>
    <n v="1"/>
    <n v="3780"/>
    <n v="15.3"/>
    <n v="3201.66"/>
    <s v="Cancelled"/>
    <s v="Hyderabad"/>
    <x v="2"/>
    <m/>
    <s v="Retail"/>
    <n v="29"/>
    <x v="2"/>
  </r>
  <r>
    <s v="ORD-00770"/>
    <d v="2024-07-16T00:00:00"/>
    <s v="CUST-0038"/>
    <s v="PROD-042"/>
    <s v="R028"/>
    <n v="10"/>
    <n v="2290"/>
    <n v="2.4"/>
    <n v="22350.400000000001"/>
    <s v="Pending"/>
    <s v="Mumbai"/>
    <x v="5"/>
    <m/>
    <s v="Retail"/>
    <n v="57"/>
    <x v="0"/>
  </r>
  <r>
    <s v="ORD-00771"/>
    <d v="2024-05-04T00:00:00"/>
    <s v="CUST-0109"/>
    <s v="PROD-043"/>
    <s v="R017"/>
    <n v="5"/>
    <n v="3350"/>
    <n v="18.5"/>
    <n v="13651.25"/>
    <s v="Cancelled"/>
    <s v="Pune"/>
    <x v="5"/>
    <m/>
    <s v="Retail"/>
    <n v="42"/>
    <x v="0"/>
  </r>
  <r>
    <s v="ORD-00772"/>
    <d v="2024-02-25T00:00:00"/>
    <s v="CUST-0051"/>
    <s v="PROD-017"/>
    <s v="R021"/>
    <n v="7"/>
    <n v="2510"/>
    <n v="4.2"/>
    <n v="16832.060000000001"/>
    <s v="Cancelled"/>
    <s v="Pune"/>
    <x v="0"/>
    <m/>
    <s v="SMB"/>
    <n v="54"/>
    <x v="0"/>
  </r>
  <r>
    <s v="ORD-00773"/>
    <d v="2024-12-26T00:00:00"/>
    <s v="CUST-0265"/>
    <s v="PROD-002"/>
    <s v="R018"/>
    <n v="1"/>
    <n v="2600"/>
    <n v="2.2000000000000002"/>
    <n v="2542.8000000000002"/>
    <s v="Completed"/>
    <s v="Chennai"/>
    <x v="4"/>
    <m/>
    <s v="Retail"/>
    <n v="49"/>
    <x v="0"/>
  </r>
  <r>
    <s v="ORD-00774"/>
    <d v="2024-06-24T00:00:00"/>
    <s v="CUST-0192"/>
    <s v="PROD-053"/>
    <s v="R003"/>
    <n v="8"/>
    <n v="470"/>
    <n v="25.2"/>
    <n v="2812.48"/>
    <s v="Completed"/>
    <s v="Bengaluru"/>
    <x v="1"/>
    <m/>
    <s v="Retail"/>
    <n v="55"/>
    <x v="0"/>
  </r>
  <r>
    <s v="ORD-00775"/>
    <d v="2024-09-23T00:00:00"/>
    <s v="CUST-0241"/>
    <s v="PROD-040"/>
    <s v="R012"/>
    <n v="6"/>
    <n v="1080"/>
    <n v="25"/>
    <n v="4860"/>
    <s v="Completed"/>
    <s v="Pune"/>
    <x v="3"/>
    <m/>
    <s v="Corporate"/>
    <n v="47"/>
    <x v="0"/>
  </r>
  <r>
    <s v="ORD-00776"/>
    <d v="2024-12-19T00:00:00"/>
    <s v="CUST-0243"/>
    <s v="PROD-054"/>
    <s v="R019"/>
    <n v="2"/>
    <n v="1010"/>
    <n v="16.100000000000001"/>
    <n v="1694.78"/>
    <s v="Completed"/>
    <s v="Pune"/>
    <x v="1"/>
    <m/>
    <s v="SMB"/>
    <n v="44"/>
    <x v="0"/>
  </r>
  <r>
    <s v="ORD-00777"/>
    <d v="2024-05-06T00:00:00"/>
    <s v="CUST-0016"/>
    <s v="PROD-004"/>
    <s v="R002"/>
    <n v="6"/>
    <n v="3870"/>
    <n v="22.4"/>
    <n v="18018.72"/>
    <s v="Cancelled"/>
    <s v="Delhi"/>
    <x v="4"/>
    <m/>
    <s v="SMB"/>
    <n v="26"/>
    <x v="3"/>
  </r>
  <r>
    <s v="ORD-00778"/>
    <d v="2024-12-29T00:00:00"/>
    <s v="CUST-0249"/>
    <s v="PROD-033"/>
    <s v="R027"/>
    <n v="3"/>
    <n v="2030"/>
    <n v="18.5"/>
    <n v="4963.3500000000004"/>
    <s v="Completed"/>
    <s v="Mumbai"/>
    <x v="3"/>
    <m/>
    <s v="Retail"/>
    <n v="44"/>
    <x v="0"/>
  </r>
  <r>
    <s v="ORD-00779"/>
    <d v="2024-09-05T00:00:00"/>
    <s v="CUST-0021"/>
    <s v="PROD-040"/>
    <s v="R027"/>
    <n v="7"/>
    <n v="1080"/>
    <n v="6.8"/>
    <n v="7045.92"/>
    <s v="Pending"/>
    <s v="Pune"/>
    <x v="3"/>
    <m/>
    <s v="Retail"/>
    <n v="44"/>
    <x v="0"/>
  </r>
  <r>
    <s v="ORD-00780"/>
    <d v="2024-11-13T00:00:00"/>
    <s v="CUST-0255"/>
    <s v="PROD-035"/>
    <s v="R009"/>
    <n v="1"/>
    <n v="1090"/>
    <n v="20.6"/>
    <n v="865.46"/>
    <s v="Completed"/>
    <s v="Chennai"/>
    <x v="3"/>
    <m/>
    <s v="Corporate"/>
    <n v="51"/>
    <x v="0"/>
  </r>
  <r>
    <s v="ORD-00781"/>
    <d v="2024-08-24T00:00:00"/>
    <s v="CUST-0084"/>
    <s v="PROD-032"/>
    <s v="R011"/>
    <n v="8"/>
    <n v="370"/>
    <n v="1.7"/>
    <n v="2909.68"/>
    <s v="Completed"/>
    <s v="Chennai"/>
    <x v="3"/>
    <m/>
    <s v="Retail"/>
    <n v="28"/>
    <x v="4"/>
  </r>
  <r>
    <s v="ORD-00782"/>
    <d v="2024-11-29T00:00:00"/>
    <s v="CUST-0289"/>
    <s v="PROD-018"/>
    <s v="R018"/>
    <n v="7"/>
    <n v="3560"/>
    <n v="28.7"/>
    <n v="17767.96"/>
    <s v="Completed"/>
    <s v="Mumbai"/>
    <x v="0"/>
    <m/>
    <s v="Retail"/>
    <n v="54"/>
    <x v="0"/>
  </r>
  <r>
    <s v="ORD-00783"/>
    <d v="2024-06-01T00:00:00"/>
    <s v="CUST-0026"/>
    <s v="PROD-050"/>
    <s v="R016"/>
    <n v="9"/>
    <n v="6080"/>
    <n v="16.3"/>
    <n v="45800.639999999999"/>
    <s v="Cancelled"/>
    <s v="Pune"/>
    <x v="5"/>
    <m/>
    <s v="Retail"/>
    <n v="62"/>
    <x v="0"/>
  </r>
  <r>
    <s v="ORD-00784"/>
    <d v="2024-08-01T00:00:00"/>
    <s v="CUST-0273"/>
    <s v="PROD-051"/>
    <s v="R015"/>
    <n v="2"/>
    <n v="3450"/>
    <n v="17.600000000000001"/>
    <n v="5685.6"/>
    <s v="Pending"/>
    <s v="Hyderabad"/>
    <x v="1"/>
    <m/>
    <s v="Corporate"/>
    <n v="32"/>
    <x v="4"/>
  </r>
  <r>
    <s v="ORD-00785"/>
    <d v="2024-04-19T00:00:00"/>
    <s v="CUST-0069"/>
    <s v="PROD-034"/>
    <s v="R009"/>
    <n v="1"/>
    <n v="5080"/>
    <n v="5.9"/>
    <n v="4780.28"/>
    <s v="Completed"/>
    <s v="Chennai"/>
    <x v="3"/>
    <m/>
    <s v="Retail"/>
    <n v="51"/>
    <x v="0"/>
  </r>
  <r>
    <s v="ORD-00786"/>
    <d v="2024-03-13T00:00:00"/>
    <s v="CUST-0236"/>
    <s v="PROD-011"/>
    <s v="R023"/>
    <n v="7"/>
    <n v="3450"/>
    <n v="17.399999999999999"/>
    <n v="19947.900000000001"/>
    <s v="Completed"/>
    <s v="Hyderabad"/>
    <x v="0"/>
    <m/>
    <s v="SMB"/>
    <n v="28"/>
    <x v="4"/>
  </r>
  <r>
    <s v="ORD-00787"/>
    <d v="2024-04-21T00:00:00"/>
    <s v="CUST-0060"/>
    <s v="PROD-024"/>
    <s v="R009"/>
    <n v="8"/>
    <n v="2270"/>
    <n v="24.7"/>
    <n v="13674.48"/>
    <s v="Completed"/>
    <s v="Pune"/>
    <x v="2"/>
    <m/>
    <s v="Retail"/>
    <n v="39"/>
    <x v="3"/>
  </r>
  <r>
    <s v="ORD-00788"/>
    <d v="2024-11-03T00:00:00"/>
    <s v="CUST-0243"/>
    <s v="PROD-012"/>
    <s v="R023"/>
    <n v="3"/>
    <n v="3160"/>
    <n v="1.5"/>
    <n v="9337.7999999999993"/>
    <s v="Pending"/>
    <s v="Pune"/>
    <x v="0"/>
    <m/>
    <s v="SMB"/>
    <n v="44"/>
    <x v="0"/>
  </r>
  <r>
    <s v="ORD-00789"/>
    <d v="2024-04-07T00:00:00"/>
    <s v="CUST-0188"/>
    <s v="PROD-043"/>
    <s v="R029"/>
    <n v="6"/>
    <n v="3350"/>
    <n v="0.9"/>
    <n v="19919.099999999999"/>
    <s v="Pending"/>
    <s v="Bengaluru"/>
    <x v="5"/>
    <m/>
    <s v="Retail"/>
    <n v="54"/>
    <x v="0"/>
  </r>
  <r>
    <s v="ORD-00790"/>
    <d v="2024-08-02T00:00:00"/>
    <s v="CUST-0174"/>
    <s v="PROD-044"/>
    <s v="R029"/>
    <n v="7"/>
    <n v="1650"/>
    <n v="5.6"/>
    <n v="10903.2"/>
    <s v="Refunded"/>
    <s v="Pune"/>
    <x v="5"/>
    <m/>
    <s v="Retail"/>
    <n v="54"/>
    <x v="0"/>
  </r>
  <r>
    <s v="ORD-00791"/>
    <d v="2024-04-20T00:00:00"/>
    <s v="CUST-0016"/>
    <s v="PROD-038"/>
    <s v="R003"/>
    <n v="1"/>
    <n v="5490"/>
    <n v="5.8"/>
    <n v="5171.58"/>
    <s v="Completed"/>
    <s v="Delhi"/>
    <x v="3"/>
    <m/>
    <s v="SMB"/>
    <n v="26"/>
    <x v="2"/>
  </r>
  <r>
    <s v="ORD-00792"/>
    <d v="2024-04-23T00:00:00"/>
    <s v="CUST-0184"/>
    <s v="PROD-040"/>
    <s v="R024"/>
    <n v="3"/>
    <n v="1080"/>
    <n v="20.9"/>
    <n v="2562.84"/>
    <s v="Completed"/>
    <s v="Pune"/>
    <x v="3"/>
    <m/>
    <s v="Retail"/>
    <n v="63"/>
    <x v="0"/>
  </r>
  <r>
    <s v="ORD-00793"/>
    <d v="2024-05-22T00:00:00"/>
    <s v="CUST-9568"/>
    <s v="PROD-027"/>
    <s v="R018"/>
    <n v="10"/>
    <n v="3780"/>
    <n v="5.5"/>
    <n v="35721"/>
    <s v="Completed"/>
    <s v="Hyderabad"/>
    <x v="2"/>
    <m/>
    <e v="#N/A"/>
    <e v="#N/A"/>
    <x v="0"/>
  </r>
  <r>
    <s v="ORD-00794"/>
    <d v="2024-09-23T00:00:00"/>
    <s v="CUST-0118"/>
    <s v="PROD-033"/>
    <s v="R030"/>
    <n v="2"/>
    <n v="2030"/>
    <n v="2"/>
    <n v="3978.8"/>
    <s v="Pending"/>
    <s v="Hyderabad"/>
    <x v="3"/>
    <m/>
    <s v="Retail"/>
    <n v="26"/>
    <x v="3"/>
  </r>
  <r>
    <s v="ORD-00795"/>
    <d v="2024-10-17T00:00:00"/>
    <s v="CUST-0271"/>
    <s v="PROD-041"/>
    <s v="R019"/>
    <n v="8"/>
    <n v="1540"/>
    <n v="9"/>
    <n v="11211.2"/>
    <s v="Cancelled"/>
    <s v="Bengaluru"/>
    <x v="5"/>
    <m/>
    <s v="Corporate"/>
    <n v="41"/>
    <x v="0"/>
  </r>
  <r>
    <s v="ORD-00796"/>
    <d v="2024-11-05T00:00:00"/>
    <s v="CUST-0147"/>
    <s v="PROD-036"/>
    <s v="R015"/>
    <n v="9"/>
    <n v="3250"/>
    <n v="20.5"/>
    <n v="23253.75"/>
    <s v="Completed"/>
    <s v="Pune"/>
    <x v="3"/>
    <m/>
    <s v="Retail"/>
    <n v="56"/>
    <x v="0"/>
  </r>
  <r>
    <s v="ORD-00797"/>
    <d v="2024-02-22T00:00:00"/>
    <s v="CUST-0253"/>
    <s v="PROD-047"/>
    <s v="R005"/>
    <n v="3"/>
    <n v="3450"/>
    <n v="17.899999999999999"/>
    <n v="8497.35"/>
    <s v="Completed"/>
    <s v="Delhi"/>
    <x v="5"/>
    <m/>
    <s v="SMB"/>
    <n v="53"/>
    <x v="0"/>
  </r>
  <r>
    <s v="ORD-00798"/>
    <d v="2024-07-31T00:00:00"/>
    <s v="CUST-0224"/>
    <s v="PROD-038"/>
    <s v="R008"/>
    <n v="5"/>
    <n v="5490"/>
    <n v="7.9"/>
    <n v="25281.45"/>
    <s v="Completed"/>
    <s v="Chennai"/>
    <x v="3"/>
    <m/>
    <s v="Corporate"/>
    <n v="24"/>
    <x v="1"/>
  </r>
  <r>
    <s v="ORD-00799"/>
    <d v="2024-01-15T00:00:00"/>
    <s v="CUST-0134"/>
    <s v="PROD-032"/>
    <s v="R029"/>
    <n v="3"/>
    <n v="370"/>
    <n v="13.4"/>
    <n v="961.26"/>
    <s v="Completed"/>
    <s v="Delhi"/>
    <x v="3"/>
    <m/>
    <s v="Retail"/>
    <n v="40"/>
    <x v="1"/>
  </r>
  <r>
    <s v="ORD-00800"/>
    <d v="2024-05-01T00:00:00"/>
    <s v="CUST-0287"/>
    <s v="PROD-001"/>
    <s v="R009"/>
    <n v="7"/>
    <n v="5330"/>
    <n v="29.7"/>
    <n v="26228.93"/>
    <s v="Pending"/>
    <s v="Chennai"/>
    <x v="4"/>
    <m/>
    <s v="SMB"/>
    <n v="53"/>
    <x v="0"/>
  </r>
  <r>
    <s v="ORD-00801"/>
    <d v="2024-03-17T00:00:00"/>
    <s v="CUST-0144"/>
    <s v="PROD-051"/>
    <s v="R016"/>
    <n v="8"/>
    <n v="3450"/>
    <n v="23.7"/>
    <n v="21058.799999999999"/>
    <s v="Completed"/>
    <s v="Chennai"/>
    <x v="1"/>
    <m/>
    <s v="Retail"/>
    <n v="49"/>
    <x v="0"/>
  </r>
  <r>
    <s v="ORD-00802"/>
    <d v="2024-01-25T00:00:00"/>
    <s v="CUST-0255"/>
    <s v="PROD-011"/>
    <s v="R027"/>
    <n v="8"/>
    <n v="3450"/>
    <n v="5.4"/>
    <n v="26109.599999999999"/>
    <s v="Completed"/>
    <s v="Chennai"/>
    <x v="0"/>
    <m/>
    <s v="Corporate"/>
    <n v="51"/>
    <x v="0"/>
  </r>
  <r>
    <s v="ORD-00803"/>
    <d v="2024-12-26T00:00:00"/>
    <s v="CUST-0054"/>
    <s v="PROD-050"/>
    <s v="R029"/>
    <n v="1"/>
    <n v="6080"/>
    <n v="22.3"/>
    <n v="4724.16"/>
    <s v="Completed"/>
    <s v="Mumbai"/>
    <x v="5"/>
    <m/>
    <s v="Corporate"/>
    <n v="62"/>
    <x v="0"/>
  </r>
  <r>
    <s v="ORD-00804"/>
    <d v="2024-11-01T00:00:00"/>
    <s v="CUST-0283"/>
    <s v="PROD-017"/>
    <s v="R011"/>
    <n v="9"/>
    <n v="2510"/>
    <n v="27.4"/>
    <n v="16400.34"/>
    <s v="Completed"/>
    <s v="Delhi"/>
    <x v="0"/>
    <m/>
    <s v="SMB"/>
    <n v="50"/>
    <x v="0"/>
  </r>
  <r>
    <s v="ORD-00805"/>
    <d v="2024-04-10T00:00:00"/>
    <s v="CUST-0182"/>
    <s v="PROD-054"/>
    <s v="R012"/>
    <n v="10"/>
    <n v="1010"/>
    <n v="28.4"/>
    <n v="7231.6"/>
    <s v="Completed"/>
    <s v="Mumbai"/>
    <x v="1"/>
    <m/>
    <s v="Retail"/>
    <n v="54"/>
    <x v="0"/>
  </r>
  <r>
    <s v="ORD-00806"/>
    <d v="2024-04-19T00:00:00"/>
    <s v="CUST-0289"/>
    <s v="PROD-018"/>
    <s v="R023"/>
    <n v="1"/>
    <n v="3560"/>
    <n v="26"/>
    <n v="2634.4"/>
    <s v="Completed"/>
    <s v="Mumbai"/>
    <x v="0"/>
    <m/>
    <s v="Retail"/>
    <n v="54"/>
    <x v="0"/>
  </r>
  <r>
    <s v="ORD-00807"/>
    <d v="2024-04-15T00:00:00"/>
    <s v="CUST-0104"/>
    <s v="PROD-045"/>
    <s v="R006"/>
    <n v="8"/>
    <n v="3020"/>
    <n v="6.9"/>
    <n v="22492.959999999999"/>
    <s v="Completed"/>
    <s v="Hyderabad"/>
    <x v="5"/>
    <m/>
    <s v="Corporate"/>
    <n v="43"/>
    <x v="0"/>
  </r>
  <r>
    <s v="ORD-00808"/>
    <d v="2024-01-10T00:00:00"/>
    <s v="CUST-0085"/>
    <s v="PROD-026"/>
    <s v="R017"/>
    <n v="1"/>
    <n v="4070"/>
    <n v="8.1999999999999993"/>
    <n v="3736.26"/>
    <s v="Completed"/>
    <s v="Chennai"/>
    <x v="2"/>
    <m/>
    <s v="Retail"/>
    <n v="26"/>
    <x v="1"/>
  </r>
  <r>
    <s v="ORD-00809"/>
    <d v="2024-02-25T00:00:00"/>
    <s v="CUST-0120"/>
    <s v="PROD-032"/>
    <s v="R020"/>
    <n v="9"/>
    <n v="370"/>
    <n v="19.8"/>
    <n v="2670.66"/>
    <s v="Completed"/>
    <s v="Mumbai"/>
    <x v="3"/>
    <m/>
    <s v="Retail"/>
    <n v="29"/>
    <x v="3"/>
  </r>
  <r>
    <s v="ORD-00810"/>
    <d v="2024-09-09T00:00:00"/>
    <s v="CUST-0236"/>
    <s v="PROD-030"/>
    <s v="R020"/>
    <n v="6"/>
    <n v="970"/>
    <n v="16.2"/>
    <n v="4877.16"/>
    <s v="Completed"/>
    <s v="Hyderabad"/>
    <x v="2"/>
    <m/>
    <s v="SMB"/>
    <n v="28"/>
    <x v="3"/>
  </r>
  <r>
    <s v="ORD-00811"/>
    <d v="2024-12-07T00:00:00"/>
    <s v="CUST-0094"/>
    <s v="PROD-015"/>
    <s v="R019"/>
    <n v="10"/>
    <n v="2720"/>
    <n v="3"/>
    <n v="26384"/>
    <s v="Pending"/>
    <s v="Pune"/>
    <x v="0"/>
    <m/>
    <s v="SMB"/>
    <n v="60"/>
    <x v="0"/>
  </r>
  <r>
    <s v="ORD-00812"/>
    <d v="2024-01-02T00:00:00"/>
    <s v="CUST-0030"/>
    <s v="PROD-058"/>
    <s v="R014"/>
    <n v="7"/>
    <n v="2400"/>
    <n v="29.4"/>
    <n v="11860.8"/>
    <s v="Completed"/>
    <s v="Bengaluru"/>
    <x v="1"/>
    <m/>
    <s v="Corporate"/>
    <n v="43"/>
    <x v="0"/>
  </r>
  <r>
    <s v="ORD-00813"/>
    <d v="2024-09-29T00:00:00"/>
    <s v="CUST-0172"/>
    <s v="PROD-018"/>
    <s v="R012"/>
    <n v="8"/>
    <n v="3560"/>
    <n v="21.7"/>
    <n v="22299.84"/>
    <s v="Completed"/>
    <s v="Pune"/>
    <x v="0"/>
    <m/>
    <s v="Retail"/>
    <n v="65"/>
    <x v="0"/>
  </r>
  <r>
    <s v="ORD-00814"/>
    <d v="2024-04-03T00:00:00"/>
    <s v="CUST-0221"/>
    <s v="PROD-026"/>
    <s v="R015"/>
    <n v="7"/>
    <n v="4070"/>
    <n v="10.5"/>
    <n v="25498.55"/>
    <s v="Completed"/>
    <s v="Delhi"/>
    <x v="2"/>
    <m/>
    <s v="SMB"/>
    <n v="29"/>
    <x v="4"/>
  </r>
  <r>
    <s v="ORD-01052"/>
    <d v="2024-01-08T00:00:00"/>
    <s v="CUST-0151"/>
    <s v="PROD-052"/>
    <s v="R008"/>
    <n v="3"/>
    <n v="5410"/>
    <n v="0.2"/>
    <n v="16197.54"/>
    <s v="Completed"/>
    <s v="Mumbai"/>
    <x v="1"/>
    <m/>
    <s v="Retail"/>
    <n v="53"/>
    <x v="0"/>
  </r>
  <r>
    <s v="ORD-00816"/>
    <d v="2024-12-25T00:00:00"/>
    <s v="CUST-0068"/>
    <s v="PROD-021"/>
    <s v="R028"/>
    <n v="4"/>
    <n v="2760"/>
    <n v="27.5"/>
    <n v="8004"/>
    <s v="Cancelled"/>
    <s v="Delhi"/>
    <x v="2"/>
    <m/>
    <s v="SMB"/>
    <n v="48"/>
    <x v="0"/>
  </r>
  <r>
    <s v="ORD-01136"/>
    <d v="2024-07-01T00:00:00"/>
    <s v="CUST-0165"/>
    <s v="PROD-034"/>
    <s v="R013"/>
    <n v="3"/>
    <n v="5080"/>
    <n v="27.2"/>
    <n v="11094.72"/>
    <s v="Completed"/>
    <s v="Pune"/>
    <x v="3"/>
    <m/>
    <s v="Retail"/>
    <n v="29"/>
    <x v="2"/>
  </r>
  <r>
    <s v="ORD-00818"/>
    <d v="2024-04-09T00:00:00"/>
    <s v="CUST-0060"/>
    <s v="PROD-035"/>
    <s v="R017"/>
    <n v="5"/>
    <n v="1090"/>
    <n v="3.3"/>
    <n v="5270.15"/>
    <s v="Completed"/>
    <s v="Pune"/>
    <x v="3"/>
    <m/>
    <s v="Retail"/>
    <n v="39"/>
    <x v="4"/>
  </r>
  <r>
    <s v="ORD-00819"/>
    <d v="2024-02-06T00:00:00"/>
    <s v="CUST-0130"/>
    <s v="PROD-023"/>
    <s v="R029"/>
    <n v="10"/>
    <n v="2380"/>
    <n v="7"/>
    <n v="22134"/>
    <s v="Completed"/>
    <s v="Bengaluru"/>
    <x v="2"/>
    <m/>
    <s v="Corporate"/>
    <n v="41"/>
    <x v="0"/>
  </r>
  <r>
    <s v="ORD-00820"/>
    <d v="2024-07-17T00:00:00"/>
    <s v="CUST-0023"/>
    <s v="PROD-012"/>
    <s v="R026"/>
    <n v="5"/>
    <n v="3160"/>
    <n v="25.6"/>
    <n v="11755.2"/>
    <s v="Completed"/>
    <s v="Chennai"/>
    <x v="0"/>
    <m/>
    <s v="SMB"/>
    <n v="43"/>
    <x v="0"/>
  </r>
  <r>
    <s v="ORD-00821"/>
    <d v="2024-03-11T00:00:00"/>
    <s v="CUST-0089"/>
    <s v="PROD-058"/>
    <s v="R029"/>
    <n v="9"/>
    <n v="2400"/>
    <n v="8.4"/>
    <n v="19785.599999999999"/>
    <s v="Completed"/>
    <s v="Mumbai"/>
    <x v="1"/>
    <m/>
    <s v="SMB"/>
    <n v="43"/>
    <x v="0"/>
  </r>
  <r>
    <s v="ORD-00822"/>
    <d v="2024-06-06T00:00:00"/>
    <s v="CUST-0300"/>
    <s v="PROD-002"/>
    <s v="R020"/>
    <n v="4"/>
    <n v="2600"/>
    <n v="4.2"/>
    <n v="9963.2000000000007"/>
    <s v="Completed"/>
    <s v="Mumbai"/>
    <x v="4"/>
    <m/>
    <s v="Retail"/>
    <n v="38"/>
    <x v="2"/>
  </r>
  <r>
    <s v="ORD-00823"/>
    <d v="2024-04-27T00:00:00"/>
    <s v="CUST-9578"/>
    <s v="PROD-024"/>
    <s v="R023"/>
    <n v="5"/>
    <n v="2270"/>
    <n v="0.1"/>
    <n v="11338.65"/>
    <s v="Completed"/>
    <s v="Mumbai"/>
    <x v="2"/>
    <m/>
    <e v="#N/A"/>
    <e v="#N/A"/>
    <x v="0"/>
  </r>
  <r>
    <s v="ORD-00824"/>
    <d v="2024-06-22T00:00:00"/>
    <s v="CUST-0130"/>
    <s v="PROD-038"/>
    <s v="R020"/>
    <n v="7"/>
    <n v="5490"/>
    <n v="14.9"/>
    <n v="32703.93"/>
    <s v="Completed"/>
    <s v="Bengaluru"/>
    <x v="3"/>
    <m/>
    <s v="Corporate"/>
    <n v="41"/>
    <x v="0"/>
  </r>
  <r>
    <s v="ORD-00825"/>
    <d v="2024-05-03T00:00:00"/>
    <s v="CUST-0247"/>
    <s v="PROD-004"/>
    <s v="R009"/>
    <n v="5"/>
    <n v="3870"/>
    <n v="13.3"/>
    <n v="16776.45"/>
    <s v="Cancelled"/>
    <s v="Pune"/>
    <x v="4"/>
    <m/>
    <s v="SMB"/>
    <n v="35"/>
    <x v="3"/>
  </r>
  <r>
    <s v="ORD-00826"/>
    <d v="2024-03-21T00:00:00"/>
    <s v="CUST-0256"/>
    <s v="PROD-049"/>
    <s v="R024"/>
    <n v="2"/>
    <n v="960"/>
    <n v="17.5"/>
    <n v="1584"/>
    <s v="Completed"/>
    <s v="Hyderabad"/>
    <x v="5"/>
    <m/>
    <s v="Retail"/>
    <n v="28"/>
    <x v="4"/>
  </r>
  <r>
    <s v="ORD-00827"/>
    <d v="2024-04-23T00:00:00"/>
    <s v="CUST-0213"/>
    <s v="PROD-046"/>
    <s v="R001"/>
    <n v="4"/>
    <n v="4880"/>
    <n v="12.2"/>
    <n v="17138.560000000001"/>
    <s v="Cancelled"/>
    <s v="Mumbai"/>
    <x v="5"/>
    <m/>
    <s v="Retail"/>
    <n v="37"/>
    <x v="2"/>
  </r>
  <r>
    <s v="ORD-00828"/>
    <d v="2024-05-07T00:00:00"/>
    <s v="CUST-0183"/>
    <s v="PROD-058"/>
    <s v="R008"/>
    <n v="5"/>
    <n v="2400"/>
    <n v="15"/>
    <n v="10200"/>
    <s v="Completed"/>
    <s v="Mumbai"/>
    <x v="1"/>
    <m/>
    <s v="SMB"/>
    <n v="27"/>
    <x v="1"/>
  </r>
  <r>
    <s v="ORD-00829"/>
    <d v="2024-08-18T00:00:00"/>
    <s v="CUST-0051"/>
    <s v="PROD-016"/>
    <s v="R015"/>
    <n v="9"/>
    <n v="620"/>
    <n v="20.399999999999999"/>
    <n v="4441.68"/>
    <s v="Pending"/>
    <s v="Pune"/>
    <x v="0"/>
    <m/>
    <s v="SMB"/>
    <n v="54"/>
    <x v="0"/>
  </r>
  <r>
    <s v="ORD-00830"/>
    <d v="2024-08-09T00:00:00"/>
    <s v="CUST-0001"/>
    <s v="PROD-039"/>
    <s v="R013"/>
    <n v="1"/>
    <n v="4610"/>
    <n v="1.8"/>
    <n v="4527.0200000000004"/>
    <s v="Pending"/>
    <s v="Pune"/>
    <x v="3"/>
    <m/>
    <s v="Retail"/>
    <n v="36"/>
    <x v="4"/>
  </r>
  <r>
    <s v="ORD-00831"/>
    <d v="2024-07-27T00:00:00"/>
    <s v="CUST-0105"/>
    <s v="PROD-039"/>
    <s v="R014"/>
    <n v="7"/>
    <n v="4610"/>
    <n v="27"/>
    <n v="23557.1"/>
    <s v="Completed"/>
    <s v="Chennai"/>
    <x v="3"/>
    <m/>
    <s v="SMB"/>
    <n v="51"/>
    <x v="0"/>
  </r>
  <r>
    <s v="ORD-00832"/>
    <d v="2024-11-12T00:00:00"/>
    <s v="CUST-0199"/>
    <s v="PROD-030"/>
    <s v="R029"/>
    <n v="6"/>
    <n v="970"/>
    <n v="4.7"/>
    <n v="5546.46"/>
    <s v="Cancelled"/>
    <s v="Hyderabad"/>
    <x v="2"/>
    <m/>
    <s v="SMB"/>
    <n v="31"/>
    <x v="4"/>
  </r>
  <r>
    <s v="ORD-00833"/>
    <d v="2024-03-11T00:00:00"/>
    <s v="CUST-0240"/>
    <s v="PROD-007"/>
    <s v="R026"/>
    <n v="8"/>
    <n v="1430"/>
    <n v="8.6999999999999993"/>
    <n v="10444.719999999999"/>
    <s v="Completed"/>
    <s v="Chennai"/>
    <x v="4"/>
    <m/>
    <s v="Corporate"/>
    <n v="35"/>
    <x v="2"/>
  </r>
  <r>
    <s v="ORD-00834"/>
    <d v="2024-02-26T00:00:00"/>
    <s v="CUST-0283"/>
    <s v="PROD-027"/>
    <s v="R011"/>
    <n v="5"/>
    <n v="3780"/>
    <n v="2.9"/>
    <n v="18351.900000000001"/>
    <s v="Completed"/>
    <s v="Delhi"/>
    <x v="2"/>
    <m/>
    <s v="SMB"/>
    <n v="50"/>
    <x v="0"/>
  </r>
  <r>
    <s v="ORD-00835"/>
    <d v="2024-08-28T00:00:00"/>
    <s v="CUST-0284"/>
    <s v="PROD-041"/>
    <s v="R023"/>
    <n v="2"/>
    <n v="1540"/>
    <n v="12.7"/>
    <n v="2688.84"/>
    <s v="Completed"/>
    <s v="Hyderabad"/>
    <x v="5"/>
    <m/>
    <s v="SMB"/>
    <n v="65"/>
    <x v="0"/>
  </r>
  <r>
    <s v="ORD-00836"/>
    <d v="2024-07-19T00:00:00"/>
    <s v="CUST-0060"/>
    <s v="PROD-040"/>
    <s v="R020"/>
    <n v="9"/>
    <n v="1080"/>
    <n v="11.2"/>
    <n v="8631.36"/>
    <s v="Cancelled"/>
    <s v="Pune"/>
    <x v="3"/>
    <m/>
    <s v="Retail"/>
    <n v="39"/>
    <x v="3"/>
  </r>
  <r>
    <s v="ORD-00837"/>
    <d v="2024-03-17T00:00:00"/>
    <s v="CUST-0266"/>
    <s v="PROD-058"/>
    <s v="R007"/>
    <n v="3"/>
    <n v="2400"/>
    <n v="28.6"/>
    <n v="5140.8"/>
    <s v="Completed"/>
    <s v="Pune"/>
    <x v="1"/>
    <m/>
    <s v="Retail"/>
    <n v="65"/>
    <x v="0"/>
  </r>
  <r>
    <s v="ORD-00838"/>
    <d v="2024-06-05T00:00:00"/>
    <s v="CUST-0056"/>
    <s v="PROD-040"/>
    <s v="R018"/>
    <n v="5"/>
    <n v="1080"/>
    <n v="18.3"/>
    <n v="4411.8"/>
    <s v="Completed"/>
    <s v="Bengaluru"/>
    <x v="3"/>
    <m/>
    <s v="SMB"/>
    <n v="46"/>
    <x v="0"/>
  </r>
  <r>
    <s v="ORD-00839"/>
    <d v="2024-11-14T00:00:00"/>
    <s v="CUST-0187"/>
    <s v="PROD-024"/>
    <s v="R027"/>
    <n v="7"/>
    <n v="2270"/>
    <n v="1.7"/>
    <n v="15619.87"/>
    <s v="Cancelled"/>
    <s v="Chennai"/>
    <x v="2"/>
    <m/>
    <s v="SMB"/>
    <n v="51"/>
    <x v="0"/>
  </r>
  <r>
    <s v="ORD-00840"/>
    <d v="2024-05-26T00:00:00"/>
    <s v="CUST-0183"/>
    <s v="PROD-028"/>
    <s v="R026"/>
    <n v="8"/>
    <n v="3660"/>
    <n v="19.100000000000001"/>
    <n v="23687.52"/>
    <s v="Cancelled"/>
    <s v="Mumbai"/>
    <x v="2"/>
    <m/>
    <s v="SMB"/>
    <n v="27"/>
    <x v="2"/>
  </r>
  <r>
    <s v="ORD-00841"/>
    <d v="2024-07-04T00:00:00"/>
    <s v="CUST-0068"/>
    <s v="PROD-036"/>
    <s v="R003"/>
    <n v="5"/>
    <n v="3250"/>
    <n v="12.9"/>
    <n v="14153.75"/>
    <s v="Completed"/>
    <s v="Delhi"/>
    <x v="3"/>
    <m/>
    <s v="SMB"/>
    <n v="48"/>
    <x v="0"/>
  </r>
  <r>
    <s v="ORD-00842"/>
    <d v="2024-02-06T00:00:00"/>
    <s v="CUST-0135"/>
    <s v="PROD-044"/>
    <s v="R012"/>
    <n v="4"/>
    <n v="1650"/>
    <n v="4.0999999999999996"/>
    <n v="6329.4"/>
    <s v="Completed"/>
    <s v="Pune"/>
    <x v="5"/>
    <m/>
    <s v="SMB"/>
    <n v="24"/>
    <x v="1"/>
  </r>
  <r>
    <s v="ORD-00843"/>
    <d v="2024-11-28T00:00:00"/>
    <s v="CUST-0191"/>
    <s v="PROD-034"/>
    <s v="R003"/>
    <n v="6"/>
    <n v="5080"/>
    <n v="3"/>
    <n v="29565.599999999999"/>
    <s v="Completed"/>
    <s v="Hyderabad"/>
    <x v="3"/>
    <m/>
    <s v="SMB"/>
    <n v="43"/>
    <x v="0"/>
  </r>
  <r>
    <s v="ORD-00844"/>
    <d v="2024-11-18T00:00:00"/>
    <s v="CUST-0244"/>
    <s v="PROD-051"/>
    <s v="R027"/>
    <n v="8"/>
    <n v="3450"/>
    <n v="20.9"/>
    <n v="21831.599999999999"/>
    <s v="Completed"/>
    <s v="Bengaluru"/>
    <x v="1"/>
    <m/>
    <s v="Retail"/>
    <n v="61"/>
    <x v="0"/>
  </r>
  <r>
    <s v="ORD-00845"/>
    <d v="2024-05-17T00:00:00"/>
    <s v="CUST-0189"/>
    <s v="PROD-043"/>
    <s v="R018"/>
    <n v="6"/>
    <n v="3350"/>
    <n v="24.8"/>
    <n v="15115.2"/>
    <s v="Completed"/>
    <s v="Chennai"/>
    <x v="5"/>
    <m/>
    <s v="Retail"/>
    <n v="41"/>
    <x v="0"/>
  </r>
  <r>
    <s v="ORD-00846"/>
    <d v="2024-06-08T00:00:00"/>
    <s v="CUST-0166"/>
    <s v="PROD-029"/>
    <s v="R027"/>
    <n v="10"/>
    <n v="2210"/>
    <n v="4.2"/>
    <n v="21171.8"/>
    <s v="Completed"/>
    <s v="Hyderabad"/>
    <x v="2"/>
    <m/>
    <s v="Retail"/>
    <n v="31"/>
    <x v="3"/>
  </r>
  <r>
    <s v="ORD-00847"/>
    <d v="2024-06-01T00:00:00"/>
    <s v="CUST-0167"/>
    <s v="PROD-046"/>
    <s v="R006"/>
    <n v="10"/>
    <n v="4880"/>
    <n v="0.7"/>
    <n v="48458.400000000001"/>
    <s v="Completed"/>
    <s v="Delhi"/>
    <x v="5"/>
    <m/>
    <s v="Retail"/>
    <n v="43"/>
    <x v="0"/>
  </r>
  <r>
    <s v="ORD-00848"/>
    <d v="2024-03-18T00:00:00"/>
    <s v="CUST-0265"/>
    <s v="PROD-055"/>
    <s v="R004"/>
    <n v="7"/>
    <n v="2860"/>
    <n v="28.1"/>
    <n v="14394.38"/>
    <s v="Pending"/>
    <s v="Chennai"/>
    <x v="1"/>
    <m/>
    <s v="Retail"/>
    <n v="49"/>
    <x v="0"/>
  </r>
  <r>
    <s v="ORD-00849"/>
    <d v="2024-10-16T00:00:00"/>
    <s v="CUST-0172"/>
    <s v="PROD-030"/>
    <s v="R005"/>
    <n v="3"/>
    <n v="970"/>
    <n v="28.3"/>
    <n v="2086.4699999999998"/>
    <s v="Completed"/>
    <s v="Pune"/>
    <x v="2"/>
    <m/>
    <s v="Retail"/>
    <n v="65"/>
    <x v="0"/>
  </r>
  <r>
    <s v="ORD-00850"/>
    <d v="2024-07-21T00:00:00"/>
    <s v="CUST-0205"/>
    <s v="PROD-022"/>
    <s v="R008"/>
    <n v="1"/>
    <n v="2270"/>
    <n v="15.1"/>
    <n v="1927.23"/>
    <s v="Completed"/>
    <s v="Pune"/>
    <x v="2"/>
    <m/>
    <s v="Corporate"/>
    <n v="29"/>
    <x v="1"/>
  </r>
  <r>
    <s v="ORD-00851"/>
    <d v="2024-02-02T00:00:00"/>
    <s v="CUST-0102"/>
    <s v="PROD-018"/>
    <s v="R015"/>
    <n v="5"/>
    <n v="3560"/>
    <n v="11.5"/>
    <n v="15753"/>
    <s v="Completed"/>
    <s v="Chennai"/>
    <x v="0"/>
    <m/>
    <s v="SMB"/>
    <n v="62"/>
    <x v="0"/>
  </r>
  <r>
    <s v="ORD-00852"/>
    <d v="2024-05-07T00:00:00"/>
    <s v="CUST-0142"/>
    <s v="PROD-052"/>
    <s v="R010"/>
    <n v="2"/>
    <n v="5410"/>
    <n v="14.8"/>
    <n v="9218.64"/>
    <s v="Pending"/>
    <s v="Chennai"/>
    <x v="1"/>
    <m/>
    <s v="Corporate"/>
    <n v="55"/>
    <x v="0"/>
  </r>
  <r>
    <s v="ORD-00853"/>
    <d v="2024-12-30T00:00:00"/>
    <s v="CUST-0195"/>
    <s v="PROD-019"/>
    <s v="R006"/>
    <n v="2"/>
    <n v="2480"/>
    <n v="27.2"/>
    <n v="3610.88"/>
    <s v="Completed"/>
    <s v="Bengaluru"/>
    <x v="0"/>
    <m/>
    <s v="Retail"/>
    <n v="28"/>
    <x v="4"/>
  </r>
  <r>
    <s v="ORD-00854"/>
    <d v="2024-02-28T00:00:00"/>
    <s v="CUST-0125"/>
    <s v="PROD-020"/>
    <s v="R014"/>
    <n v="6"/>
    <n v="820"/>
    <n v="6.6"/>
    <n v="4595.28"/>
    <s v="Completed"/>
    <s v="Delhi"/>
    <x v="0"/>
    <m/>
    <s v="Retail"/>
    <n v="45"/>
    <x v="0"/>
  </r>
  <r>
    <s v="ORD-00855"/>
    <d v="2024-05-22T00:00:00"/>
    <s v="CUST-0234"/>
    <s v="PROD-001"/>
    <s v="R015"/>
    <n v="10"/>
    <n v="5330"/>
    <n v="16.100000000000001"/>
    <n v="44718.7"/>
    <s v="Completed"/>
    <s v="Bengaluru"/>
    <x v="4"/>
    <m/>
    <s v="Retail"/>
    <n v="34"/>
    <x v="4"/>
  </r>
  <r>
    <s v="ORD-00856"/>
    <d v="2024-05-26T00:00:00"/>
    <s v="CUST-0061"/>
    <s v="PROD-047"/>
    <s v="R004"/>
    <n v="2"/>
    <n v="3450"/>
    <n v="11.3"/>
    <n v="6120.3"/>
    <s v="Pending"/>
    <s v="Hyderabad"/>
    <x v="5"/>
    <m/>
    <s v="Retail"/>
    <n v="64"/>
    <x v="0"/>
  </r>
  <r>
    <s v="ORD-00857"/>
    <d v="2024-07-13T00:00:00"/>
    <s v="CUST-0189"/>
    <s v="PROD-049"/>
    <s v="R023"/>
    <n v="7"/>
    <n v="960"/>
    <n v="17.100000000000001"/>
    <n v="5570.88"/>
    <s v="Completed"/>
    <s v="Chennai"/>
    <x v="5"/>
    <m/>
    <s v="Retail"/>
    <n v="41"/>
    <x v="0"/>
  </r>
  <r>
    <s v="ORD-00858"/>
    <d v="2024-11-27T00:00:00"/>
    <s v="CUST-0191"/>
    <s v="PROD-011"/>
    <s v="R003"/>
    <n v="5"/>
    <n v="3450"/>
    <n v="22.9"/>
    <n v="13299.75"/>
    <s v="Completed"/>
    <s v="Hyderabad"/>
    <x v="0"/>
    <m/>
    <s v="SMB"/>
    <n v="43"/>
    <x v="0"/>
  </r>
  <r>
    <s v="ORD-00859"/>
    <d v="2024-12-08T00:00:00"/>
    <s v="CUST-0217"/>
    <s v="PROD-009"/>
    <s v="R008"/>
    <n v="5"/>
    <n v="1220"/>
    <n v="0.3"/>
    <n v="6081.7"/>
    <s v="Completed"/>
    <s v="Pune"/>
    <x v="4"/>
    <m/>
    <s v="SMB"/>
    <n v="59"/>
    <x v="0"/>
  </r>
  <r>
    <s v="ORD-00860"/>
    <d v="2024-01-17T00:00:00"/>
    <s v="CUST-0060"/>
    <s v="PROD-001"/>
    <s v="R007"/>
    <n v="5"/>
    <n v="5330"/>
    <n v="29"/>
    <n v="18921.5"/>
    <s v="Completed"/>
    <s v="Pune"/>
    <x v="4"/>
    <m/>
    <s v="Retail"/>
    <n v="39"/>
    <x v="1"/>
  </r>
  <r>
    <s v="ORD-00861"/>
    <d v="2024-12-15T00:00:00"/>
    <s v="CUST-0270"/>
    <s v="PROD-003"/>
    <s v="R028"/>
    <n v="3"/>
    <n v="3570"/>
    <n v="20"/>
    <n v="8568"/>
    <s v="Cancelled"/>
    <s v="Bengaluru"/>
    <x v="4"/>
    <m/>
    <s v="Retail"/>
    <n v="29"/>
    <x v="1"/>
  </r>
  <r>
    <s v="ORD-00862"/>
    <d v="2024-04-14T00:00:00"/>
    <s v="CUST-0279"/>
    <s v="PROD-029"/>
    <s v="R026"/>
    <n v="9"/>
    <n v="2210"/>
    <n v="12.4"/>
    <n v="17423.64"/>
    <s v="Completed"/>
    <s v="Mumbai"/>
    <x v="2"/>
    <m/>
    <s v="Retail"/>
    <n v="56"/>
    <x v="0"/>
  </r>
  <r>
    <s v="ORD-00863"/>
    <d v="2024-01-11T00:00:00"/>
    <s v="CUST-0008"/>
    <s v="PROD-059"/>
    <s v="R029"/>
    <n v="5"/>
    <n v="3780"/>
    <n v="3.9"/>
    <n v="18162.900000000001"/>
    <s v="Completed"/>
    <s v="Pune"/>
    <x v="1"/>
    <m/>
    <s v="SMB"/>
    <n v="39"/>
    <x v="2"/>
  </r>
  <r>
    <s v="ORD-00864"/>
    <d v="2024-11-30T00:00:00"/>
    <s v="CUST-0259"/>
    <s v="PROD-010"/>
    <s v="R008"/>
    <n v="10"/>
    <n v="2640"/>
    <n v="17.8"/>
    <n v="21700.799999999999"/>
    <s v="Refunded"/>
    <s v="Mumbai"/>
    <x v="4"/>
    <m/>
    <s v="Retail"/>
    <n v="34"/>
    <x v="2"/>
  </r>
  <r>
    <s v="ORD-00865"/>
    <d v="2024-03-01T00:00:00"/>
    <s v="CUST-0169"/>
    <s v="PROD-005"/>
    <s v="R024"/>
    <n v="5"/>
    <n v="300"/>
    <n v="12.9"/>
    <n v="1306.5"/>
    <s v="Completed"/>
    <s v="Bengaluru"/>
    <x v="4"/>
    <m/>
    <s v="SMB"/>
    <n v="42"/>
    <x v="0"/>
  </r>
  <r>
    <s v="ORD-00866"/>
    <d v="2024-10-23T00:00:00"/>
    <s v="CUST-0191"/>
    <s v="PROD-058"/>
    <s v="R013"/>
    <n v="2"/>
    <n v="2400"/>
    <n v="17.100000000000001"/>
    <n v="3979.2"/>
    <s v="Pending"/>
    <s v="Hyderabad"/>
    <x v="1"/>
    <m/>
    <s v="SMB"/>
    <n v="43"/>
    <x v="0"/>
  </r>
  <r>
    <s v="ORD-00867"/>
    <d v="2024-10-18T00:00:00"/>
    <s v="CUST-0129"/>
    <s v="PROD-040"/>
    <s v="R026"/>
    <n v="5"/>
    <n v="1080"/>
    <n v="15.7"/>
    <n v="4552.2"/>
    <s v="Pending"/>
    <s v="Hyderabad"/>
    <x v="3"/>
    <m/>
    <s v="Retail"/>
    <n v="29"/>
    <x v="4"/>
  </r>
  <r>
    <s v="ORD-00868"/>
    <d v="2024-08-24T00:00:00"/>
    <s v="CUST-0066"/>
    <s v="PROD-036"/>
    <s v="R003"/>
    <n v="1"/>
    <n v="3250"/>
    <n v="14.7"/>
    <n v="2772.25"/>
    <s v="Completed"/>
    <s v="Delhi"/>
    <x v="3"/>
    <m/>
    <s v="Retail"/>
    <n v="24"/>
    <x v="2"/>
  </r>
  <r>
    <s v="ORD-00869"/>
    <d v="2024-04-18T00:00:00"/>
    <s v="CUST-0114"/>
    <s v="PROD-032"/>
    <s v="R021"/>
    <n v="7"/>
    <n v="370"/>
    <n v="6"/>
    <n v="2434.6"/>
    <s v="Cancelled"/>
    <s v="Bengaluru"/>
    <x v="3"/>
    <m/>
    <s v="Corporate"/>
    <n v="42"/>
    <x v="0"/>
  </r>
  <r>
    <s v="ORD-00870"/>
    <d v="2024-02-15T00:00:00"/>
    <s v="CUST-9833"/>
    <s v="PROD-038"/>
    <s v="R029"/>
    <n v="7"/>
    <n v="5490"/>
    <n v="10.199999999999999"/>
    <n v="34510.14"/>
    <s v="Completed"/>
    <s v="Pune"/>
    <x v="3"/>
    <m/>
    <e v="#N/A"/>
    <e v="#N/A"/>
    <x v="0"/>
  </r>
  <r>
    <s v="ORD-00871"/>
    <d v="2024-07-09T00:00:00"/>
    <s v="CUST-0076"/>
    <s v="PROD-006"/>
    <s v="R028"/>
    <n v="3"/>
    <n v="3970"/>
    <n v="2.4"/>
    <n v="11624.16"/>
    <s v="Completed"/>
    <s v="Mumbai"/>
    <x v="4"/>
    <m/>
    <s v="Retail"/>
    <n v="38"/>
    <x v="2"/>
  </r>
  <r>
    <s v="ORD-00872"/>
    <d v="2024-10-18T00:00:00"/>
    <s v="CUST-0215"/>
    <s v="PROD-009"/>
    <s v="R007"/>
    <n v="4"/>
    <n v="1220"/>
    <n v="25.3"/>
    <n v="3645.36"/>
    <s v="Completed"/>
    <s v="Hyderabad"/>
    <x v="4"/>
    <m/>
    <s v="Retail"/>
    <n v="52"/>
    <x v="0"/>
  </r>
  <r>
    <s v="ORD-00873"/>
    <d v="2024-04-27T00:00:00"/>
    <s v="CUST-0061"/>
    <s v="PROD-012"/>
    <s v="R026"/>
    <n v="3"/>
    <n v="3160"/>
    <n v="19.8"/>
    <n v="7602.96"/>
    <s v="Completed"/>
    <s v="Hyderabad"/>
    <x v="0"/>
    <m/>
    <s v="Retail"/>
    <n v="64"/>
    <x v="0"/>
  </r>
  <r>
    <s v="ORD-00874"/>
    <d v="2024-05-18T00:00:00"/>
    <s v="CUST-0249"/>
    <s v="PROD-005"/>
    <s v="R008"/>
    <n v="1"/>
    <n v="300"/>
    <n v="24.5"/>
    <n v="226.5"/>
    <s v="Completed"/>
    <s v="Mumbai"/>
    <x v="4"/>
    <m/>
    <s v="Retail"/>
    <n v="44"/>
    <x v="0"/>
  </r>
  <r>
    <s v="ORD-00875"/>
    <d v="2024-12-28T00:00:00"/>
    <s v="CUST-0105"/>
    <s v="PROD-047"/>
    <s v="R029"/>
    <n v="5"/>
    <n v="3450"/>
    <n v="13.4"/>
    <n v="14938.5"/>
    <s v="Pending"/>
    <s v="Chennai"/>
    <x v="5"/>
    <m/>
    <s v="SMB"/>
    <n v="51"/>
    <x v="0"/>
  </r>
  <r>
    <s v="ORD-00876"/>
    <d v="2024-04-15T00:00:00"/>
    <s v="CUST-0161"/>
    <s v="PROD-014"/>
    <s v="R027"/>
    <n v="7"/>
    <n v="3620"/>
    <n v="19.2"/>
    <n v="20474.72"/>
    <s v="Completed"/>
    <s v="Chennai"/>
    <x v="0"/>
    <m/>
    <s v="Retail"/>
    <n v="38"/>
    <x v="2"/>
  </r>
  <r>
    <s v="ORD-00877"/>
    <d v="2024-08-01T00:00:00"/>
    <s v="CUST-0275"/>
    <s v="PROD-024"/>
    <s v="R010"/>
    <n v="10"/>
    <n v="2270"/>
    <n v="20.5"/>
    <n v="18046.5"/>
    <s v="Completed"/>
    <s v="Mumbai"/>
    <x v="2"/>
    <m/>
    <s v="Retail"/>
    <n v="36"/>
    <x v="2"/>
  </r>
  <r>
    <s v="ORD-00878"/>
    <d v="2024-04-04T00:00:00"/>
    <s v="CUST-0049"/>
    <s v="PROD-015"/>
    <s v="R024"/>
    <n v="5"/>
    <n v="2720"/>
    <n v="29.3"/>
    <n v="9615.2000000000007"/>
    <s v="Completed"/>
    <s v="Mumbai"/>
    <x v="0"/>
    <m/>
    <s v="Corporate"/>
    <n v="42"/>
    <x v="0"/>
  </r>
  <r>
    <s v="ORD-00879"/>
    <d v="2024-07-26T00:00:00"/>
    <s v="CUST-0235"/>
    <s v="PROD-027"/>
    <s v="R022"/>
    <n v="9"/>
    <n v="3780"/>
    <n v="2.2999999999999998"/>
    <n v="33237.54"/>
    <s v="Completed"/>
    <s v="Chennai"/>
    <x v="2"/>
    <m/>
    <s v="Retail"/>
    <n v="31"/>
    <x v="2"/>
  </r>
  <r>
    <s v="ORD-00880"/>
    <d v="2024-12-10T00:00:00"/>
    <s v="CUST-0220"/>
    <s v="PROD-025"/>
    <s v="R014"/>
    <n v="9"/>
    <n v="4060"/>
    <n v="11.5"/>
    <n v="32337.9"/>
    <s v="Completed"/>
    <s v="Chennai"/>
    <x v="2"/>
    <m/>
    <s v="Retail"/>
    <n v="34"/>
    <x v="3"/>
  </r>
  <r>
    <s v="ORD-00881"/>
    <d v="2024-08-13T00:00:00"/>
    <s v="CUST-0298"/>
    <s v="PROD-021"/>
    <s v="R012"/>
    <n v="10"/>
    <n v="2760"/>
    <n v="3.9"/>
    <n v="26523.599999999999"/>
    <s v="Refunded"/>
    <s v="Delhi"/>
    <x v="2"/>
    <m/>
    <s v="Retail"/>
    <n v="44"/>
    <x v="0"/>
  </r>
  <r>
    <s v="ORD-00882"/>
    <d v="2024-10-28T00:00:00"/>
    <s v="CUST-0222"/>
    <s v="PROD-040"/>
    <s v="R021"/>
    <n v="10"/>
    <n v="1080"/>
    <n v="21.4"/>
    <n v="8488.7999999999993"/>
    <s v="Completed"/>
    <s v="Chennai"/>
    <x v="3"/>
    <m/>
    <s v="Retail"/>
    <n v="37"/>
    <x v="4"/>
  </r>
  <r>
    <s v="ORD-00883"/>
    <d v="2024-07-24T00:00:00"/>
    <s v="CUST-0049"/>
    <s v="PROD-034"/>
    <s v="R023"/>
    <n v="6"/>
    <n v="5080"/>
    <n v="29.8"/>
    <n v="21396.959999999999"/>
    <s v="Pending"/>
    <s v="Mumbai"/>
    <x v="3"/>
    <m/>
    <s v="Corporate"/>
    <n v="42"/>
    <x v="0"/>
  </r>
  <r>
    <s v="ORD-00884"/>
    <d v="2024-01-02T00:00:00"/>
    <s v="CUST-0147"/>
    <s v="PROD-046"/>
    <s v="R030"/>
    <n v="1"/>
    <n v="4880"/>
    <n v="28.2"/>
    <n v="3503.84"/>
    <s v="Completed"/>
    <s v="Pune"/>
    <x v="5"/>
    <m/>
    <s v="Retail"/>
    <n v="56"/>
    <x v="0"/>
  </r>
  <r>
    <s v="ORD-00885"/>
    <d v="2024-09-27T00:00:00"/>
    <s v="CUST-0177"/>
    <s v="PROD-022"/>
    <s v="R027"/>
    <n v="1"/>
    <n v="2270"/>
    <n v="27.8"/>
    <n v="1638.94"/>
    <s v="Completed"/>
    <s v="Mumbai"/>
    <x v="2"/>
    <m/>
    <s v="SMB"/>
    <n v="36"/>
    <x v="2"/>
  </r>
  <r>
    <s v="ORD-00886"/>
    <d v="2024-12-12T00:00:00"/>
    <s v="CUST-0121"/>
    <s v="PROD-006"/>
    <s v="R019"/>
    <n v="9"/>
    <n v="3970"/>
    <n v="7"/>
    <n v="33228.9"/>
    <s v="Completed"/>
    <s v="Delhi"/>
    <x v="4"/>
    <m/>
    <s v="SMB"/>
    <n v="55"/>
    <x v="0"/>
  </r>
  <r>
    <s v="ORD-00887"/>
    <d v="2024-04-26T00:00:00"/>
    <s v="CUST-0262"/>
    <s v="PROD-048"/>
    <s v="R003"/>
    <n v="9"/>
    <n v="5100"/>
    <n v="9.6999999999999993"/>
    <n v="41447.699999999997"/>
    <s v="Completed"/>
    <s v="Mumbai"/>
    <x v="5"/>
    <m/>
    <s v="Retail"/>
    <n v="52"/>
    <x v="0"/>
  </r>
  <r>
    <s v="ORD-00888"/>
    <d v="2024-07-25T00:00:00"/>
    <s v="CUST-0246"/>
    <s v="PROD-060"/>
    <s v="R005"/>
    <n v="8"/>
    <n v="190"/>
    <n v="10.199999999999999"/>
    <n v="1364.96"/>
    <s v="Completed"/>
    <s v="Delhi"/>
    <x v="1"/>
    <m/>
    <s v="SMB"/>
    <n v="29"/>
    <x v="1"/>
  </r>
  <r>
    <s v="ORD-00889"/>
    <d v="2024-12-23T00:00:00"/>
    <s v="CUST-0070"/>
    <s v="PROD-050"/>
    <s v="R026"/>
    <n v="1"/>
    <n v="6080"/>
    <n v="5.6"/>
    <n v="5739.52"/>
    <s v="Completed"/>
    <s v="Mumbai"/>
    <x v="5"/>
    <m/>
    <s v="Retail"/>
    <n v="42"/>
    <x v="0"/>
  </r>
  <r>
    <s v="ORD-00890"/>
    <d v="2024-07-11T00:00:00"/>
    <s v="CUST-0218"/>
    <s v="PROD-057"/>
    <s v="R020"/>
    <n v="6"/>
    <n v="960"/>
    <n v="1.9"/>
    <n v="5650.56"/>
    <s v="Completed"/>
    <s v="Mumbai"/>
    <x v="1"/>
    <m/>
    <s v="Retail"/>
    <n v="39"/>
    <x v="2"/>
  </r>
  <r>
    <s v="ORD-00891"/>
    <d v="2024-01-25T00:00:00"/>
    <s v="CUST-0068"/>
    <s v="PROD-041"/>
    <s v="R004"/>
    <n v="7"/>
    <n v="1540"/>
    <n v="7.1"/>
    <n v="10014.620000000001"/>
    <s v="Completed"/>
    <s v="Delhi"/>
    <x v="5"/>
    <m/>
    <s v="SMB"/>
    <n v="48"/>
    <x v="0"/>
  </r>
  <r>
    <s v="ORD-00892"/>
    <d v="2024-02-06T00:00:00"/>
    <s v="CUST-0261"/>
    <s v="PROD-005"/>
    <s v="R011"/>
    <n v="10"/>
    <n v="300"/>
    <n v="12.8"/>
    <n v="2616"/>
    <s v="Cancelled"/>
    <s v="Delhi"/>
    <x v="4"/>
    <m/>
    <s v="Retail"/>
    <n v="54"/>
    <x v="0"/>
  </r>
  <r>
    <s v="ORD-00893"/>
    <d v="2024-06-13T00:00:00"/>
    <s v="CUST-0077"/>
    <s v="PROD-046"/>
    <s v="R011"/>
    <n v="4"/>
    <n v="4880"/>
    <n v="26.5"/>
    <n v="14347.2"/>
    <s v="Completed"/>
    <s v="Hyderabad"/>
    <x v="5"/>
    <m/>
    <s v="SMB"/>
    <n v="48"/>
    <x v="0"/>
  </r>
  <r>
    <s v="ORD-00894"/>
    <d v="2024-10-24T00:00:00"/>
    <s v="CUST-0188"/>
    <s v="PROD-032"/>
    <s v="R003"/>
    <n v="2"/>
    <n v="370"/>
    <n v="26.5"/>
    <n v="543.9"/>
    <s v="Completed"/>
    <s v="Bengaluru"/>
    <x v="3"/>
    <m/>
    <s v="Retail"/>
    <n v="54"/>
    <x v="0"/>
  </r>
  <r>
    <s v="ORD-00895"/>
    <d v="2024-10-28T00:00:00"/>
    <s v="CUST-0145"/>
    <s v="PROD-039"/>
    <s v="R002"/>
    <n v="3"/>
    <n v="4610"/>
    <n v="29.7"/>
    <n v="9722.49"/>
    <s v="Completed"/>
    <s v="Bengaluru"/>
    <x v="3"/>
    <m/>
    <s v="SMB"/>
    <n v="44"/>
    <x v="0"/>
  </r>
  <r>
    <s v="ORD-00896"/>
    <d v="2024-09-04T00:00:00"/>
    <s v="CUST-0036"/>
    <s v="PROD-002"/>
    <s v="R013"/>
    <n v="5"/>
    <n v="2600"/>
    <n v="21.4"/>
    <n v="10218"/>
    <s v="Completed"/>
    <s v="Mumbai"/>
    <x v="4"/>
    <m/>
    <s v="Retail"/>
    <n v="35"/>
    <x v="1"/>
  </r>
  <r>
    <s v="ORD-00600"/>
    <d v="2024-05-24T00:00:00"/>
    <s v="CUST-0269"/>
    <s v="PROD-009"/>
    <s v="R025"/>
    <n v="10"/>
    <n v="1220"/>
    <n v="24.3"/>
    <n v="9235.4"/>
    <s v="Completed"/>
    <s v="Pune"/>
    <x v="4"/>
    <m/>
    <s v="Retail"/>
    <n v="48"/>
    <x v="0"/>
  </r>
  <r>
    <s v="ORD-00898"/>
    <d v="2024-12-20T00:00:00"/>
    <s v="CUST-9607"/>
    <s v="PROD-007"/>
    <s v="R015"/>
    <n v="10"/>
    <n v="1430"/>
    <n v="5.0999999999999996"/>
    <n v="13570.7"/>
    <s v="Cancelled"/>
    <s v="Chennai"/>
    <x v="4"/>
    <m/>
    <e v="#N/A"/>
    <e v="#N/A"/>
    <x v="0"/>
  </r>
  <r>
    <s v="ORD-00899"/>
    <d v="2024-07-05T00:00:00"/>
    <s v="CUST-0189"/>
    <s v="PROD-046"/>
    <s v="R030"/>
    <n v="10"/>
    <n v="4880"/>
    <n v="25.5"/>
    <n v="36356"/>
    <s v="Cancelled"/>
    <s v="Chennai"/>
    <x v="5"/>
    <m/>
    <s v="Retail"/>
    <n v="41"/>
    <x v="0"/>
  </r>
  <r>
    <s v="ORD-00900"/>
    <d v="2024-08-14T00:00:00"/>
    <s v="CUST-0199"/>
    <s v="PROD-050"/>
    <s v="R028"/>
    <n v="6"/>
    <n v="6080"/>
    <n v="21.6"/>
    <n v="28600.32"/>
    <s v="Completed"/>
    <s v="Hyderabad"/>
    <x v="5"/>
    <m/>
    <s v="SMB"/>
    <n v="31"/>
    <x v="2"/>
  </r>
  <r>
    <s v="ORD-00901"/>
    <d v="2024-01-28T00:00:00"/>
    <s v="CUST-0277"/>
    <s v="PROD-045"/>
    <s v="R013"/>
    <n v="3"/>
    <n v="3020"/>
    <n v="20.7"/>
    <n v="7184.58"/>
    <s v="Completed"/>
    <s v="Chennai"/>
    <x v="5"/>
    <m/>
    <s v="Corporate"/>
    <n v="34"/>
    <x v="2"/>
  </r>
  <r>
    <s v="ORD-00902"/>
    <d v="2024-06-02T00:00:00"/>
    <s v="CUST-0108"/>
    <s v="PROD-015"/>
    <s v="R013"/>
    <n v="9"/>
    <n v="2720"/>
    <n v="21.4"/>
    <n v="19241.28"/>
    <s v="Completed"/>
    <s v="Bengaluru"/>
    <x v="0"/>
    <m/>
    <s v="Corporate"/>
    <n v="59"/>
    <x v="0"/>
  </r>
  <r>
    <s v="ORD-00903"/>
    <d v="2024-05-05T00:00:00"/>
    <s v="CUST-0203"/>
    <s v="PROD-003"/>
    <s v="R025"/>
    <n v="10"/>
    <n v="3570"/>
    <n v="4.4000000000000004"/>
    <n v="34129.199999999997"/>
    <s v="Completed"/>
    <s v="Chennai"/>
    <x v="4"/>
    <m/>
    <s v="SMB"/>
    <n v="55"/>
    <x v="0"/>
  </r>
  <r>
    <s v="ORD-00904"/>
    <d v="2024-01-18T00:00:00"/>
    <s v="CUST-0272"/>
    <s v="PROD-040"/>
    <s v="R014"/>
    <n v="8"/>
    <n v="1080"/>
    <n v="23.8"/>
    <n v="6583.68"/>
    <s v="Completed"/>
    <s v="Mumbai"/>
    <x v="3"/>
    <m/>
    <s v="SMB"/>
    <n v="47"/>
    <x v="0"/>
  </r>
  <r>
    <s v="ORD-00905"/>
    <d v="2024-03-16T00:00:00"/>
    <s v="CUST-0039"/>
    <s v="PROD-035"/>
    <s v="R011"/>
    <n v="8"/>
    <n v="1090"/>
    <n v="17.5"/>
    <n v="7194"/>
    <s v="Completed"/>
    <s v="Bengaluru"/>
    <x v="3"/>
    <m/>
    <s v="Retail"/>
    <n v="37"/>
    <x v="4"/>
  </r>
  <r>
    <s v="ORD-00906"/>
    <d v="2024-11-19T00:00:00"/>
    <s v="CUST-0105"/>
    <s v="PROD-018"/>
    <s v="R027"/>
    <n v="7"/>
    <n v="3560"/>
    <n v="11.1"/>
    <n v="22153.88"/>
    <s v="Completed"/>
    <s v="Chennai"/>
    <x v="0"/>
    <m/>
    <s v="SMB"/>
    <n v="51"/>
    <x v="0"/>
  </r>
  <r>
    <s v="ORD-00907"/>
    <d v="2024-07-26T00:00:00"/>
    <s v="CUST-0095"/>
    <s v="PROD-060"/>
    <s v="R022"/>
    <n v="6"/>
    <n v="190"/>
    <n v="17.100000000000001"/>
    <n v="945.06"/>
    <s v="Cancelled"/>
    <s v="Mumbai"/>
    <x v="1"/>
    <m/>
    <s v="SMB"/>
    <n v="54"/>
    <x v="0"/>
  </r>
  <r>
    <s v="ORD-00908"/>
    <d v="2024-03-05T00:00:00"/>
    <s v="CUST-0138"/>
    <s v="PROD-025"/>
    <s v="R025"/>
    <n v="7"/>
    <n v="4060"/>
    <n v="0.6"/>
    <n v="28249.48"/>
    <s v="Completed"/>
    <s v="Chennai"/>
    <x v="2"/>
    <m/>
    <s v="Retail"/>
    <n v="24"/>
    <x v="3"/>
  </r>
  <r>
    <s v="ORD-00909"/>
    <d v="2024-02-24T00:00:00"/>
    <s v="CUST-0155"/>
    <s v="PROD-039"/>
    <s v="R021"/>
    <n v="4"/>
    <n v="4610"/>
    <n v="1.9"/>
    <n v="18089.64"/>
    <s v="Pending"/>
    <s v="Pune"/>
    <x v="3"/>
    <m/>
    <s v="Corporate"/>
    <n v="40"/>
    <x v="2"/>
  </r>
  <r>
    <s v="ORD-00910"/>
    <d v="2024-12-14T00:00:00"/>
    <s v="CUST-0198"/>
    <s v="PROD-026"/>
    <s v="R020"/>
    <n v="4"/>
    <n v="4070"/>
    <n v="26.8"/>
    <n v="11916.96"/>
    <s v="Completed"/>
    <s v="Chennai"/>
    <x v="2"/>
    <m/>
    <s v="Corporate"/>
    <n v="22"/>
    <x v="3"/>
  </r>
  <r>
    <s v="ORD-00911"/>
    <d v="2024-12-07T00:00:00"/>
    <s v="CUST-0267"/>
    <s v="PROD-014"/>
    <s v="R004"/>
    <n v="4"/>
    <n v="3620"/>
    <n v="11.7"/>
    <n v="12785.84"/>
    <s v="Completed"/>
    <s v="Hyderabad"/>
    <x v="0"/>
    <m/>
    <s v="Retail"/>
    <n v="27"/>
    <x v="3"/>
  </r>
  <r>
    <s v="ORD-00912"/>
    <d v="2024-05-18T00:00:00"/>
    <s v="CUST-0248"/>
    <s v="PROD-006"/>
    <s v="R030"/>
    <n v="3"/>
    <n v="3970"/>
    <n v="24.7"/>
    <n v="8968.23"/>
    <s v="Completed"/>
    <s v="Chennai"/>
    <x v="4"/>
    <m/>
    <s v="SMB"/>
    <n v="57"/>
    <x v="0"/>
  </r>
  <r>
    <s v="ORD-00913"/>
    <d v="2024-03-04T00:00:00"/>
    <s v="CUST-0114"/>
    <s v="PROD-030"/>
    <s v="R028"/>
    <n v="4"/>
    <n v="970"/>
    <n v="0.4"/>
    <n v="3864.48"/>
    <s v="Completed"/>
    <s v="Bengaluru"/>
    <x v="2"/>
    <m/>
    <s v="Corporate"/>
    <n v="42"/>
    <x v="0"/>
  </r>
  <r>
    <s v="ORD-00914"/>
    <d v="2024-03-28T00:00:00"/>
    <s v="CUST-0129"/>
    <s v="PROD-057"/>
    <s v="R023"/>
    <n v="2"/>
    <n v="960"/>
    <n v="1.4"/>
    <n v="1893.12"/>
    <s v="Completed"/>
    <s v="Hyderabad"/>
    <x v="1"/>
    <m/>
    <s v="Retail"/>
    <n v="29"/>
    <x v="2"/>
  </r>
  <r>
    <s v="ORD-00915"/>
    <d v="2024-03-24T00:00:00"/>
    <s v="CUST-0182"/>
    <s v="PROD-005"/>
    <s v="R016"/>
    <n v="7"/>
    <n v="300"/>
    <n v="20.399999999999999"/>
    <n v="1671.6"/>
    <s v="Completed"/>
    <s v="Mumbai"/>
    <x v="4"/>
    <m/>
    <s v="Retail"/>
    <n v="54"/>
    <x v="0"/>
  </r>
  <r>
    <s v="ORD-00916"/>
    <d v="2024-04-15T00:00:00"/>
    <s v="CUST-0020"/>
    <s v="PROD-002"/>
    <s v="R014"/>
    <n v="8"/>
    <n v="2600"/>
    <n v="2.2000000000000002"/>
    <n v="20342.400000000001"/>
    <s v="Cancelled"/>
    <s v="Hyderabad"/>
    <x v="4"/>
    <m/>
    <s v="Retail"/>
    <n v="46"/>
    <x v="0"/>
  </r>
  <r>
    <s v="ORD-00917"/>
    <d v="2024-10-06T00:00:00"/>
    <s v="CUST-0163"/>
    <s v="PROD-032"/>
    <s v="R008"/>
    <n v="2"/>
    <n v="370"/>
    <n v="17.7"/>
    <n v="609.02"/>
    <s v="Completed"/>
    <s v="Pune"/>
    <x v="3"/>
    <m/>
    <s v="Retail"/>
    <n v="49"/>
    <x v="0"/>
  </r>
  <r>
    <s v="ORD-00918"/>
    <d v="2024-06-12T00:00:00"/>
    <s v="CUST-0142"/>
    <s v="PROD-047"/>
    <s v="R026"/>
    <n v="4"/>
    <n v="3450"/>
    <n v="9.8000000000000007"/>
    <n v="12447.6"/>
    <s v="Cancelled"/>
    <s v="Chennai"/>
    <x v="5"/>
    <m/>
    <s v="Corporate"/>
    <n v="55"/>
    <x v="0"/>
  </r>
  <r>
    <s v="ORD-00919"/>
    <d v="2024-07-13T00:00:00"/>
    <s v="CUST-0221"/>
    <s v="PROD-019"/>
    <s v="R020"/>
    <n v="1"/>
    <n v="2480"/>
    <n v="5.8"/>
    <n v="2336.16"/>
    <s v="Completed"/>
    <s v="Delhi"/>
    <x v="0"/>
    <m/>
    <s v="SMB"/>
    <n v="29"/>
    <x v="2"/>
  </r>
  <r>
    <s v="ORD-00920"/>
    <d v="2024-02-07T00:00:00"/>
    <s v="CUST-0079"/>
    <s v="PROD-028"/>
    <s v="R019"/>
    <n v="5"/>
    <n v="3660"/>
    <n v="4.7"/>
    <n v="17439.900000000001"/>
    <s v="Pending"/>
    <s v="Mumbai"/>
    <x v="2"/>
    <m/>
    <s v="Corporate"/>
    <n v="60"/>
    <x v="0"/>
  </r>
  <r>
    <s v="ORD-00921"/>
    <d v="2024-01-24T00:00:00"/>
    <s v="CUST-0133"/>
    <s v="PROD-044"/>
    <s v="R023"/>
    <n v="7"/>
    <n v="1650"/>
    <n v="8.6"/>
    <n v="10556.7"/>
    <s v="Completed"/>
    <s v="Chennai"/>
    <x v="5"/>
    <m/>
    <s v="Retail"/>
    <n v="26"/>
    <x v="3"/>
  </r>
  <r>
    <s v="ORD-00922"/>
    <d v="2024-06-30T00:00:00"/>
    <s v="CUST-0086"/>
    <s v="PROD-060"/>
    <s v="R025"/>
    <n v="6"/>
    <n v="190"/>
    <n v="14.6"/>
    <n v="973.56"/>
    <s v="Completed"/>
    <s v="Hyderabad"/>
    <x v="1"/>
    <m/>
    <s v="Corporate"/>
    <n v="56"/>
    <x v="0"/>
  </r>
  <r>
    <s v="ORD-00923"/>
    <d v="2024-09-11T00:00:00"/>
    <s v="CUST-0155"/>
    <s v="PROD-022"/>
    <s v="R001"/>
    <n v="5"/>
    <n v="2270"/>
    <n v="5.9"/>
    <n v="10680.35"/>
    <s v="Completed"/>
    <s v="Pune"/>
    <x v="2"/>
    <m/>
    <s v="Corporate"/>
    <n v="40"/>
    <x v="2"/>
  </r>
  <r>
    <s v="ORD-00924"/>
    <d v="2024-11-29T00:00:00"/>
    <s v="CUST-0244"/>
    <s v="PROD-024"/>
    <s v="R011"/>
    <n v="1"/>
    <n v="2270"/>
    <n v="14.9"/>
    <n v="1931.77"/>
    <s v="Completed"/>
    <s v="Bengaluru"/>
    <x v="2"/>
    <m/>
    <s v="Retail"/>
    <n v="61"/>
    <x v="0"/>
  </r>
  <r>
    <s v="ORD-00925"/>
    <d v="2024-10-14T00:00:00"/>
    <s v="CUST-0262"/>
    <s v="PROD-011"/>
    <s v="R018"/>
    <n v="4"/>
    <n v="3450"/>
    <n v="11.7"/>
    <n v="12185.4"/>
    <s v="Cancelled"/>
    <s v="Mumbai"/>
    <x v="0"/>
    <m/>
    <s v="Retail"/>
    <n v="52"/>
    <x v="0"/>
  </r>
  <r>
    <s v="ORD-00926"/>
    <d v="2024-02-01T00:00:00"/>
    <s v="CUST-0251"/>
    <s v="PROD-045"/>
    <s v="R028"/>
    <n v="7"/>
    <n v="3020"/>
    <n v="18.8"/>
    <n v="17165.68"/>
    <s v="Completed"/>
    <s v="Mumbai"/>
    <x v="5"/>
    <m/>
    <s v="Retail"/>
    <n v="44"/>
    <x v="0"/>
  </r>
  <r>
    <s v="ORD-00927"/>
    <d v="2024-11-17T00:00:00"/>
    <s v="CUST-0007"/>
    <s v="PROD-033"/>
    <s v="R016"/>
    <n v="4"/>
    <n v="2030"/>
    <n v="25.7"/>
    <n v="6033.16"/>
    <s v="Completed"/>
    <s v="Bengaluru"/>
    <x v="3"/>
    <m/>
    <s v="Retail"/>
    <n v="47"/>
    <x v="0"/>
  </r>
  <r>
    <s v="ORD-00928"/>
    <d v="2024-03-11T00:00:00"/>
    <s v="CUST-0161"/>
    <s v="PROD-011"/>
    <s v="R014"/>
    <n v="4"/>
    <n v="3450"/>
    <n v="3.9"/>
    <n v="13261.8"/>
    <s v="Completed"/>
    <s v="Chennai"/>
    <x v="0"/>
    <m/>
    <s v="Retail"/>
    <n v="38"/>
    <x v="4"/>
  </r>
  <r>
    <s v="ORD-00929"/>
    <d v="2024-02-25T00:00:00"/>
    <s v="CUST-0251"/>
    <s v="PROD-049"/>
    <s v="R028"/>
    <n v="5"/>
    <n v="960"/>
    <n v="8"/>
    <n v="4416"/>
    <s v="Completed"/>
    <s v="Mumbai"/>
    <x v="5"/>
    <m/>
    <s v="Retail"/>
    <n v="44"/>
    <x v="0"/>
  </r>
  <r>
    <s v="ORD-00930"/>
    <d v="2024-09-15T00:00:00"/>
    <s v="CUST-0098"/>
    <s v="PROD-006"/>
    <s v="R001"/>
    <n v="7"/>
    <n v="3970"/>
    <n v="11.7"/>
    <n v="24538.57"/>
    <s v="Completed"/>
    <s v="Delhi"/>
    <x v="4"/>
    <m/>
    <s v="Retail"/>
    <n v="52"/>
    <x v="0"/>
  </r>
  <r>
    <s v="ORD-00931"/>
    <d v="2024-09-19T00:00:00"/>
    <s v="CUST-0200"/>
    <s v="PROD-052"/>
    <s v="R026"/>
    <n v="3"/>
    <n v="5410"/>
    <n v="10"/>
    <n v="14607"/>
    <s v="Completed"/>
    <s v="Hyderabad"/>
    <x v="1"/>
    <m/>
    <s v="Corporate"/>
    <n v="46"/>
    <x v="0"/>
  </r>
  <r>
    <s v="ORD-00932"/>
    <d v="2024-05-16T00:00:00"/>
    <s v="CUST-0228"/>
    <s v="PROD-003"/>
    <s v="R007"/>
    <n v="8"/>
    <n v="3570"/>
    <n v="8.5"/>
    <n v="26132.400000000001"/>
    <s v="Completed"/>
    <s v="Pune"/>
    <x v="4"/>
    <m/>
    <s v="Corporate"/>
    <n v="37"/>
    <x v="2"/>
  </r>
  <r>
    <s v="ORD-00933"/>
    <d v="2024-08-13T00:00:00"/>
    <s v="CUST-0095"/>
    <s v="PROD-002"/>
    <s v="R014"/>
    <n v="7"/>
    <n v="2600"/>
    <n v="27.1"/>
    <n v="13267.8"/>
    <s v="Completed"/>
    <s v="Mumbai"/>
    <x v="4"/>
    <m/>
    <s v="SMB"/>
    <n v="54"/>
    <x v="0"/>
  </r>
  <r>
    <s v="ORD-00934"/>
    <d v="2024-05-30T00:00:00"/>
    <s v="CUST-0175"/>
    <s v="PROD-053"/>
    <s v="R026"/>
    <n v="6"/>
    <n v="470"/>
    <n v="2.4"/>
    <n v="2752.32"/>
    <s v="Pending"/>
    <s v="Delhi"/>
    <x v="1"/>
    <m/>
    <s v="Corporate"/>
    <n v="55"/>
    <x v="0"/>
  </r>
  <r>
    <s v="ORD-00935"/>
    <d v="2024-03-20T00:00:00"/>
    <s v="CUST-0270"/>
    <s v="PROD-053"/>
    <s v="R025"/>
    <n v="3"/>
    <n v="470"/>
    <n v="6.3"/>
    <n v="1321.17"/>
    <s v="Completed"/>
    <s v="Bengaluru"/>
    <x v="1"/>
    <m/>
    <s v="Retail"/>
    <n v="29"/>
    <x v="2"/>
  </r>
  <r>
    <s v="ORD-00936"/>
    <d v="2024-09-05T00:00:00"/>
    <s v="CUST-0105"/>
    <s v="PROD-059"/>
    <s v="R004"/>
    <n v="3"/>
    <n v="3780"/>
    <n v="19.399999999999999"/>
    <n v="9140.0400000000009"/>
    <s v="Pending"/>
    <s v="Chennai"/>
    <x v="1"/>
    <m/>
    <s v="SMB"/>
    <n v="51"/>
    <x v="0"/>
  </r>
  <r>
    <s v="ORD-00937"/>
    <d v="2024-04-10T00:00:00"/>
    <s v="CUST-0147"/>
    <s v="PROD-056"/>
    <s v="R019"/>
    <n v="5"/>
    <n v="6940"/>
    <n v="12.6"/>
    <n v="30327.8"/>
    <s v="Completed"/>
    <s v="Pune"/>
    <x v="1"/>
    <m/>
    <s v="Retail"/>
    <n v="56"/>
    <x v="0"/>
  </r>
  <r>
    <s v="ORD-00938"/>
    <d v="2024-04-04T00:00:00"/>
    <s v="CUST-0106"/>
    <s v="PROD-004"/>
    <s v="R030"/>
    <n v="2"/>
    <n v="3870"/>
    <n v="10.5"/>
    <n v="6927.3"/>
    <s v="Completed"/>
    <s v="Pune"/>
    <x v="4"/>
    <m/>
    <s v="Retail"/>
    <n v="22"/>
    <x v="3"/>
  </r>
  <r>
    <s v="ORD-00939"/>
    <d v="2024-08-12T00:00:00"/>
    <s v="CUST-0130"/>
    <s v="PROD-052"/>
    <s v="R014"/>
    <n v="8"/>
    <n v="5410"/>
    <n v="28.4"/>
    <n v="30988.48"/>
    <s v="Pending"/>
    <s v="Bengaluru"/>
    <x v="1"/>
    <m/>
    <s v="Corporate"/>
    <n v="41"/>
    <x v="0"/>
  </r>
  <r>
    <s v="ORD-00940"/>
    <d v="2024-11-22T00:00:00"/>
    <s v="CUST-0241"/>
    <s v="PROD-006"/>
    <s v="R030"/>
    <n v="7"/>
    <n v="3970"/>
    <n v="12.3"/>
    <n v="24371.83"/>
    <s v="Completed"/>
    <s v="Pune"/>
    <x v="4"/>
    <m/>
    <s v="Corporate"/>
    <n v="47"/>
    <x v="0"/>
  </r>
  <r>
    <s v="ORD-00941"/>
    <d v="2024-11-14T00:00:00"/>
    <s v="CUST-0151"/>
    <s v="PROD-056"/>
    <s v="R001"/>
    <n v="5"/>
    <n v="6940"/>
    <n v="1.5"/>
    <n v="34179.5"/>
    <s v="Completed"/>
    <s v="Mumbai"/>
    <x v="1"/>
    <m/>
    <s v="Retail"/>
    <n v="53"/>
    <x v="0"/>
  </r>
  <r>
    <s v="ORD-00942"/>
    <d v="2024-09-06T00:00:00"/>
    <s v="CUST-0022"/>
    <s v="PROD-012"/>
    <s v="R006"/>
    <n v="7"/>
    <n v="3160"/>
    <n v="2.4"/>
    <n v="21589.119999999999"/>
    <s v="Refunded"/>
    <s v="Bengaluru"/>
    <x v="0"/>
    <m/>
    <s v="Corporate"/>
    <n v="55"/>
    <x v="0"/>
  </r>
  <r>
    <s v="ORD-00943"/>
    <d v="2024-07-24T00:00:00"/>
    <s v="CUST-0030"/>
    <s v="PROD-020"/>
    <s v="R024"/>
    <n v="2"/>
    <n v="820"/>
    <n v="8.1"/>
    <n v="1507.16"/>
    <s v="Completed"/>
    <s v="Bengaluru"/>
    <x v="0"/>
    <m/>
    <s v="Corporate"/>
    <n v="43"/>
    <x v="0"/>
  </r>
  <r>
    <s v="ORD-00944"/>
    <d v="2024-10-02T00:00:00"/>
    <s v="CUST-0176"/>
    <s v="PROD-041"/>
    <s v="R030"/>
    <n v="2"/>
    <n v="1540"/>
    <n v="17.7"/>
    <n v="2534.84"/>
    <s v="Completed"/>
    <s v="Bengaluru"/>
    <x v="5"/>
    <m/>
    <s v="SMB"/>
    <n v="34"/>
    <x v="2"/>
  </r>
  <r>
    <s v="ORD-00945"/>
    <d v="2024-06-08T00:00:00"/>
    <s v="CUST-0270"/>
    <s v="PROD-004"/>
    <s v="R001"/>
    <n v="10"/>
    <n v="3870"/>
    <n v="12.2"/>
    <n v="33978.6"/>
    <s v="Refunded"/>
    <s v="Bengaluru"/>
    <x v="4"/>
    <m/>
    <s v="Retail"/>
    <n v="29"/>
    <x v="2"/>
  </r>
  <r>
    <s v="ORD-00946"/>
    <d v="2024-07-15T00:00:00"/>
    <s v="CUST-0216"/>
    <s v="PROD-008"/>
    <s v="R002"/>
    <n v="7"/>
    <n v="2660"/>
    <n v="4.7"/>
    <n v="17744.86"/>
    <s v="Completed"/>
    <s v="Mumbai"/>
    <x v="4"/>
    <m/>
    <s v="Retail"/>
    <n v="50"/>
    <x v="0"/>
  </r>
  <r>
    <s v="ORD-00947"/>
    <d v="2024-05-19T00:00:00"/>
    <s v="CUST-0187"/>
    <s v="PROD-003"/>
    <s v="R009"/>
    <n v="4"/>
    <n v="3570"/>
    <n v="19.3"/>
    <n v="11523.96"/>
    <s v="Completed"/>
    <s v="Chennai"/>
    <x v="4"/>
    <m/>
    <s v="SMB"/>
    <n v="51"/>
    <x v="0"/>
  </r>
  <r>
    <s v="ORD-00948"/>
    <d v="2024-04-11T00:00:00"/>
    <s v="CUST-0143"/>
    <s v="PROD-033"/>
    <s v="R002"/>
    <n v="2"/>
    <n v="2030"/>
    <n v="2.6"/>
    <n v="3954.44"/>
    <s v="Completed"/>
    <s v="Chennai"/>
    <x v="3"/>
    <m/>
    <s v="SMB"/>
    <n v="52"/>
    <x v="0"/>
  </r>
  <r>
    <s v="ORD-00949"/>
    <d v="2024-05-15T00:00:00"/>
    <s v="CUST-0104"/>
    <s v="PROD-012"/>
    <s v="R013"/>
    <n v="6"/>
    <n v="3160"/>
    <n v="25.8"/>
    <n v="14068.32"/>
    <s v="Completed"/>
    <s v="Hyderabad"/>
    <x v="0"/>
    <m/>
    <s v="Corporate"/>
    <n v="43"/>
    <x v="0"/>
  </r>
  <r>
    <s v="ORD-00950"/>
    <d v="2024-10-26T00:00:00"/>
    <s v="CUST-0121"/>
    <s v="PROD-034"/>
    <s v="R014"/>
    <n v="4"/>
    <n v="5080"/>
    <n v="2"/>
    <n v="19913.599999999999"/>
    <s v="Completed"/>
    <s v=" Delhi "/>
    <x v="3"/>
    <m/>
    <s v="SMB"/>
    <n v="55"/>
    <x v="0"/>
  </r>
  <r>
    <s v="ORD-00951"/>
    <d v="2024-02-05T00:00:00"/>
    <s v="CUST-0228"/>
    <s v="PROD-047"/>
    <s v="R010"/>
    <n v="6"/>
    <n v="3450"/>
    <n v="1.8"/>
    <n v="20327.400000000001"/>
    <s v="Cancelled"/>
    <s v="Pune"/>
    <x v="5"/>
    <m/>
    <s v="Corporate"/>
    <n v="37"/>
    <x v="4"/>
  </r>
  <r>
    <s v="ORD-00952"/>
    <d v="2024-10-10T00:00:00"/>
    <s v="CUST-0218"/>
    <s v="PROD-051"/>
    <s v="R016"/>
    <n v="3"/>
    <n v="3450"/>
    <n v="4.7"/>
    <n v="9863.5499999999993"/>
    <s v="Pending"/>
    <s v="Mumbai"/>
    <x v="1"/>
    <m/>
    <s v="Retail"/>
    <n v="39"/>
    <x v="4"/>
  </r>
  <r>
    <s v="ORD-00953"/>
    <d v="2024-03-16T00:00:00"/>
    <s v="CUST-0118"/>
    <s v="PROD-001"/>
    <s v="R027"/>
    <n v="7"/>
    <n v="5330"/>
    <n v="16.399999999999999"/>
    <n v="31191.16"/>
    <s v="Completed"/>
    <s v="Hyderabad"/>
    <x v="4"/>
    <m/>
    <s v="Retail"/>
    <n v="26"/>
    <x v="4"/>
  </r>
  <r>
    <s v="ORD-00954"/>
    <d v="2024-08-18T00:00:00"/>
    <s v="CUST-0262"/>
    <s v="PROD-029"/>
    <s v="R003"/>
    <n v="6"/>
    <n v="2210"/>
    <n v="13.1"/>
    <n v="11522.94"/>
    <s v="Completed"/>
    <s v="Mumbai"/>
    <x v="2"/>
    <m/>
    <s v="Retail"/>
    <n v="52"/>
    <x v="0"/>
  </r>
  <r>
    <s v="ORD-00955"/>
    <d v="2024-10-14T00:00:00"/>
    <s v="CUST-0137"/>
    <s v="PROD-040"/>
    <s v="R026"/>
    <n v="8"/>
    <n v="1080"/>
    <n v="8.6999999999999993"/>
    <n v="7888.32"/>
    <s v="Completed"/>
    <s v="Mumbai"/>
    <x v="3"/>
    <m/>
    <s v="Retail"/>
    <n v="41"/>
    <x v="0"/>
  </r>
  <r>
    <s v="ORD-00956"/>
    <d v="2024-07-22T00:00:00"/>
    <s v="CUST-0145"/>
    <s v="PROD-014"/>
    <s v="R015"/>
    <n v="5"/>
    <n v="3620"/>
    <n v="16.100000000000001"/>
    <n v="15185.9"/>
    <s v="Completed"/>
    <s v="Bengaluru"/>
    <x v="0"/>
    <m/>
    <s v="SMB"/>
    <n v="44"/>
    <x v="0"/>
  </r>
  <r>
    <s v="ORD-00957"/>
    <d v="2024-07-10T00:00:00"/>
    <s v="CUST-0275"/>
    <s v="PROD-018"/>
    <s v="R011"/>
    <n v="7"/>
    <n v="3560"/>
    <n v="8.5"/>
    <n v="22801.8"/>
    <s v="Completed"/>
    <s v="Mumbai"/>
    <x v="0"/>
    <m/>
    <s v="Retail"/>
    <n v="36"/>
    <x v="4"/>
  </r>
  <r>
    <s v="ORD-00958"/>
    <d v="2024-07-23T00:00:00"/>
    <s v="CUST-0189"/>
    <s v="PROD-033"/>
    <s v="R025"/>
    <n v="8"/>
    <n v="2030"/>
    <n v="18.100000000000001"/>
    <n v="13300.56"/>
    <s v="Completed"/>
    <s v="Chennai"/>
    <x v="3"/>
    <m/>
    <s v="Retail"/>
    <n v="41"/>
    <x v="0"/>
  </r>
  <r>
    <s v="ORD-00959"/>
    <d v="2024-02-28T00:00:00"/>
    <s v="CUST-0105"/>
    <s v="PROD-044"/>
    <s v="R011"/>
    <n v="10"/>
    <n v="1650"/>
    <n v="7.1"/>
    <n v="15328.5"/>
    <s v="Completed"/>
    <s v="Chennai"/>
    <x v="5"/>
    <m/>
    <s v="SMB"/>
    <n v="51"/>
    <x v="0"/>
  </r>
  <r>
    <s v="ORD-00960"/>
    <d v="2024-08-13T00:00:00"/>
    <s v="CUST-0284"/>
    <s v="PROD-021"/>
    <s v="R017"/>
    <n v="4"/>
    <n v="2760"/>
    <n v="17.600000000000001"/>
    <n v="9096.9599999999991"/>
    <s v="Cancelled"/>
    <s v="Hyderabad"/>
    <x v="2"/>
    <m/>
    <s v="SMB"/>
    <n v="65"/>
    <x v="0"/>
  </r>
  <r>
    <s v="ORD-00961"/>
    <d v="2024-06-17T00:00:00"/>
    <s v="CUST-0296"/>
    <s v="PROD-006"/>
    <s v="R009"/>
    <n v="4"/>
    <n v="3970"/>
    <n v="4.3"/>
    <n v="15197.16"/>
    <s v="Completed"/>
    <s v="Delhi"/>
    <x v="4"/>
    <m/>
    <s v="Corporate"/>
    <n v="47"/>
    <x v="0"/>
  </r>
  <r>
    <s v="ORD-00962"/>
    <d v="2024-08-05T00:00:00"/>
    <s v="CUST-0087"/>
    <s v="PROD-050"/>
    <s v="R010"/>
    <n v="2"/>
    <n v="6080"/>
    <n v="23.8"/>
    <n v="9265.92"/>
    <s v="Completed"/>
    <s v="Pune"/>
    <x v="5"/>
    <m/>
    <s v="SMB"/>
    <n v="49"/>
    <x v="0"/>
  </r>
  <r>
    <s v="ORD-00963"/>
    <d v="2024-11-06T00:00:00"/>
    <s v="CUST-0012"/>
    <s v="PROD-024"/>
    <s v="R004"/>
    <n v="4"/>
    <n v="2270"/>
    <n v="28.9"/>
    <n v="6455.88"/>
    <s v="Completed"/>
    <s v="Pune"/>
    <x v="2"/>
    <m/>
    <s v="Retail"/>
    <n v="43"/>
    <x v="0"/>
  </r>
  <r>
    <s v="ORD-00964"/>
    <d v="2024-05-29T00:00:00"/>
    <s v="CUST-0241"/>
    <s v="PROD-006"/>
    <s v="R004"/>
    <n v="10"/>
    <n v="3970"/>
    <n v="26.2"/>
    <n v="29298.6"/>
    <s v="Completed"/>
    <s v="Pune"/>
    <x v="4"/>
    <m/>
    <s v="Corporate"/>
    <n v="47"/>
    <x v="0"/>
  </r>
  <r>
    <s v="ORD-00965"/>
    <d v="2024-03-27T00:00:00"/>
    <s v="CUST-0133"/>
    <s v="PROD-048"/>
    <s v="R013"/>
    <n v="4"/>
    <n v="5100"/>
    <n v="2.1"/>
    <n v="19971.599999999999"/>
    <s v="Completed"/>
    <s v="Chennai"/>
    <x v="5"/>
    <m/>
    <s v="Retail"/>
    <n v="26"/>
    <x v="1"/>
  </r>
  <r>
    <s v="ORD-00966"/>
    <d v="2024-05-16T00:00:00"/>
    <s v="CUST-0230"/>
    <s v="PROD-045"/>
    <s v="R024"/>
    <n v="5"/>
    <n v="3020"/>
    <n v="17.3"/>
    <n v="12487.7"/>
    <s v="Completed"/>
    <s v="Pune"/>
    <x v="5"/>
    <m/>
    <s v="Corporate"/>
    <n v="33"/>
    <x v="4"/>
  </r>
  <r>
    <s v="ORD-00967"/>
    <d v="2024-08-17T00:00:00"/>
    <s v="CUST-0126"/>
    <s v="PROD-057"/>
    <s v="R016"/>
    <n v="8"/>
    <n v="960"/>
    <n v="1.3"/>
    <n v="7580.16"/>
    <s v="Cancelled"/>
    <s v="Mumbai"/>
    <x v="1"/>
    <m/>
    <s v="Retail"/>
    <n v="37"/>
    <x v="2"/>
  </r>
  <r>
    <s v="ORD-00968"/>
    <d v="2024-11-16T00:00:00"/>
    <s v="CUST-0233"/>
    <s v="PROD-019"/>
    <s v="R008"/>
    <n v="9"/>
    <n v="2480"/>
    <n v="15.6"/>
    <n v="18838.080000000002"/>
    <s v="Completed"/>
    <s v="Mumbai"/>
    <x v="0"/>
    <m/>
    <s v="SMB"/>
    <n v="65"/>
    <x v="0"/>
  </r>
  <r>
    <s v="ORD-00969"/>
    <d v="2024-10-01T00:00:00"/>
    <s v="CUST-9555"/>
    <s v="PROD-030"/>
    <s v="R012"/>
    <n v="1"/>
    <n v="970"/>
    <n v="24.9"/>
    <n v="728.47"/>
    <s v="Completed"/>
    <s v="Bengaluru"/>
    <x v="2"/>
    <m/>
    <e v="#N/A"/>
    <e v="#N/A"/>
    <x v="0"/>
  </r>
  <r>
    <s v="ORD-00970"/>
    <d v="2024-11-10T00:00:00"/>
    <s v="CUST-0150"/>
    <s v="PROD-023"/>
    <s v="R022"/>
    <n v="4"/>
    <n v="2380"/>
    <n v="9.5"/>
    <n v="8615.6"/>
    <s v="Cancelled"/>
    <s v="Pune"/>
    <x v="2"/>
    <m/>
    <s v="SMB"/>
    <n v="53"/>
    <x v="0"/>
  </r>
  <r>
    <s v="ORD-00971"/>
    <d v="2024-05-11T00:00:00"/>
    <s v="CUST-0204"/>
    <s v="PROD-052"/>
    <s v="R005"/>
    <n v="4"/>
    <n v="5410"/>
    <n v="18.7"/>
    <n v="17593.32"/>
    <s v="Completed"/>
    <s v="Hyderabad"/>
    <x v="1"/>
    <m/>
    <s v="Retail"/>
    <n v="60"/>
    <x v="0"/>
  </r>
  <r>
    <s v="ORD-00972"/>
    <d v="2024-10-08T00:00:00"/>
    <s v="CUST-0040"/>
    <s v="PROD-034"/>
    <s v="R022"/>
    <n v="7"/>
    <n v="5080"/>
    <n v="6.5"/>
    <n v="33248.6"/>
    <s v="Completed"/>
    <s v="Chennai"/>
    <x v="3"/>
    <m/>
    <s v="Retail"/>
    <n v="28"/>
    <x v="1"/>
  </r>
  <r>
    <s v="ORD-00973"/>
    <d v="2024-02-17T00:00:00"/>
    <s v="CUST-0060"/>
    <s v="PROD-007"/>
    <s v="R025"/>
    <n v="5"/>
    <n v="1430"/>
    <n v="19.8"/>
    <n v="5734.3"/>
    <s v="Completed"/>
    <s v="Pune"/>
    <x v="4"/>
    <m/>
    <s v="Retail"/>
    <n v="39"/>
    <x v="3"/>
  </r>
  <r>
    <s v="ORD-00974"/>
    <d v="2024-11-15T00:00:00"/>
    <s v="CUST-0017"/>
    <s v="PROD-037"/>
    <s v="R011"/>
    <n v="7"/>
    <n v="660"/>
    <n v="17.3"/>
    <n v="3820.74"/>
    <s v="Completed"/>
    <s v="Delhi"/>
    <x v="3"/>
    <m/>
    <s v="SMB"/>
    <n v="38"/>
    <x v="2"/>
  </r>
  <r>
    <s v="ORD-00975"/>
    <d v="2024-08-01T00:00:00"/>
    <s v="CUST-0093"/>
    <s v="PROD-041"/>
    <s v="R004"/>
    <n v="10"/>
    <n v="1540"/>
    <n v="17.5"/>
    <n v="12705"/>
    <s v="Completed"/>
    <s v="Pune"/>
    <x v="5"/>
    <m/>
    <s v="Retail"/>
    <n v="36"/>
    <x v="4"/>
  </r>
  <r>
    <s v="ORD-01662"/>
    <d v="2024-03-07T00:00:00"/>
    <s v="CUST-0068"/>
    <s v="PROD-029"/>
    <s v="R003"/>
    <n v="10"/>
    <n v="2210"/>
    <n v="24.1"/>
    <n v="16773.900000000001"/>
    <s v="Pending"/>
    <s v="Delhi"/>
    <x v="2"/>
    <m/>
    <s v="SMB"/>
    <n v="48"/>
    <x v="0"/>
  </r>
  <r>
    <s v="ORD-00977"/>
    <d v="2024-08-15T00:00:00"/>
    <s v="CUST-0251"/>
    <s v="PROD-057"/>
    <s v="R022"/>
    <n v="4"/>
    <n v="960"/>
    <n v="13.4"/>
    <n v="3325.44"/>
    <s v="Completed"/>
    <s v="Mumbai"/>
    <x v="1"/>
    <m/>
    <s v="Retail"/>
    <n v="44"/>
    <x v="0"/>
  </r>
  <r>
    <s v="ORD-00978"/>
    <d v="2024-12-02T00:00:00"/>
    <s v="CUST-0076"/>
    <s v="PROD-047"/>
    <s v="R022"/>
    <n v="8"/>
    <n v="3450"/>
    <n v="3.7"/>
    <n v="26578.799999999999"/>
    <s v="Completed"/>
    <s v="Mumbai"/>
    <x v="5"/>
    <m/>
    <s v="Retail"/>
    <n v="38"/>
    <x v="3"/>
  </r>
  <r>
    <s v="ORD-00979"/>
    <d v="2024-07-08T00:00:00"/>
    <s v="CUST-9927"/>
    <s v="PROD-033"/>
    <s v="R005"/>
    <n v="6"/>
    <n v="2030"/>
    <n v="9.5"/>
    <n v="11022.9"/>
    <s v="Completed"/>
    <s v="Mumbai"/>
    <x v="3"/>
    <m/>
    <e v="#N/A"/>
    <e v="#N/A"/>
    <x v="0"/>
  </r>
  <r>
    <s v="ORD-00980"/>
    <d v="2024-04-17T00:00:00"/>
    <s v="CUST-0135"/>
    <s v="PROD-011"/>
    <s v="R009"/>
    <n v="7"/>
    <n v="3450"/>
    <n v="28.2"/>
    <n v="17339.7"/>
    <s v="Completed"/>
    <s v="Pune"/>
    <x v="0"/>
    <m/>
    <s v="SMB"/>
    <n v="24"/>
    <x v="1"/>
  </r>
  <r>
    <s v="ORD-00981"/>
    <d v="2024-08-27T00:00:00"/>
    <s v="CUST-0163"/>
    <s v="PROD-027"/>
    <s v="R011"/>
    <n v="7"/>
    <n v="3780"/>
    <n v="15.1"/>
    <n v="22464.54"/>
    <s v="Completed"/>
    <s v="Pune"/>
    <x v="2"/>
    <m/>
    <s v="Retail"/>
    <n v="49"/>
    <x v="0"/>
  </r>
  <r>
    <s v="ORD-00947"/>
    <d v="2024-05-05T00:00:00"/>
    <s v="CUST-0107"/>
    <s v="PROD-021"/>
    <s v="R002"/>
    <n v="4"/>
    <n v="2760"/>
    <n v="14.8"/>
    <n v="9406.08"/>
    <s v="Completed"/>
    <s v="Pune"/>
    <x v="2"/>
    <m/>
    <s v="Retail"/>
    <n v="50"/>
    <x v="0"/>
  </r>
  <r>
    <s v="ORD-00983"/>
    <d v="2024-02-05T00:00:00"/>
    <s v="CUST-0209"/>
    <s v="PROD-041"/>
    <s v="R029"/>
    <n v="4"/>
    <n v="1540"/>
    <n v="13.9"/>
    <n v="5303.76"/>
    <s v="Completed"/>
    <s v="Pune"/>
    <x v="5"/>
    <m/>
    <s v="Retail"/>
    <n v="31"/>
    <x v="1"/>
  </r>
  <r>
    <s v="ORD-00984"/>
    <d v="2024-05-26T00:00:00"/>
    <s v="CUST-0074"/>
    <s v="PROD-031"/>
    <s v="R007"/>
    <n v="2"/>
    <n v="3730"/>
    <n v="15.7"/>
    <n v="6288.78"/>
    <s v="Cancelled"/>
    <s v="Bengaluru"/>
    <x v="3"/>
    <m/>
    <s v="Retail"/>
    <n v="27"/>
    <x v="2"/>
  </r>
  <r>
    <s v="ORD-00985"/>
    <d v="2024-10-12T00:00:00"/>
    <s v="CUST-0037"/>
    <s v="PROD-031"/>
    <s v="R027"/>
    <n v="4"/>
    <n v="3730"/>
    <n v="2.1"/>
    <n v="14606.68"/>
    <s v="Completed"/>
    <s v="Bengaluru"/>
    <x v="3"/>
    <m/>
    <s v="Retail"/>
    <n v="52"/>
    <x v="0"/>
  </r>
  <r>
    <s v="ORD-00986"/>
    <d v="2024-06-14T00:00:00"/>
    <s v="CUST-0026"/>
    <s v="PROD-012"/>
    <s v="R013"/>
    <n v="1"/>
    <n v="3160"/>
    <n v="29.8"/>
    <n v="2218.3200000000002"/>
    <s v="Completed"/>
    <s v="Pune"/>
    <x v="0"/>
    <m/>
    <s v="Retail"/>
    <n v="62"/>
    <x v="0"/>
  </r>
  <r>
    <s v="ORD-00987"/>
    <d v="2024-09-09T00:00:00"/>
    <s v="CUST-0151"/>
    <s v="PROD-042"/>
    <s v="R022"/>
    <n v="9"/>
    <n v="2290"/>
    <n v="8.3000000000000007"/>
    <n v="18899.37"/>
    <s v="Pending"/>
    <s v="Mumbai"/>
    <x v="5"/>
    <m/>
    <s v="Retail"/>
    <n v="53"/>
    <x v="0"/>
  </r>
  <r>
    <s v="ORD-00988"/>
    <d v="2024-12-06T00:00:00"/>
    <s v="CUST-0210"/>
    <s v="PROD-004"/>
    <s v="R013"/>
    <n v="2"/>
    <n v="3870"/>
    <n v="5.2"/>
    <n v="7337.52"/>
    <s v="Completed"/>
    <s v="Pune"/>
    <x v="4"/>
    <m/>
    <s v="Corporate"/>
    <n v="48"/>
    <x v="0"/>
  </r>
  <r>
    <s v="ORD-00989"/>
    <d v="2024-06-22T00:00:00"/>
    <s v="CUST-0192"/>
    <s v="PROD-003"/>
    <s v="R007"/>
    <n v="5"/>
    <n v="3570"/>
    <n v="19.899999999999999"/>
    <n v="14297.85"/>
    <s v="Completed"/>
    <s v="Bengaluru"/>
    <x v="4"/>
    <m/>
    <s v="Retail"/>
    <n v="55"/>
    <x v="0"/>
  </r>
  <r>
    <s v="ORD-00990"/>
    <d v="2024-02-20T00:00:00"/>
    <s v="CUST-0161"/>
    <s v="PROD-054"/>
    <s v="R001"/>
    <n v="5"/>
    <n v="1010"/>
    <n v="2.2000000000000002"/>
    <n v="4938.8999999999996"/>
    <s v="Completed"/>
    <s v="Chennai"/>
    <x v="1"/>
    <m/>
    <s v="Retail"/>
    <n v="38"/>
    <x v="1"/>
  </r>
  <r>
    <s v="ORD-00991"/>
    <d v="2024-01-18T00:00:00"/>
    <s v="CUST-0255"/>
    <s v="PROD-042"/>
    <s v="R004"/>
    <n v="10"/>
    <n v="2290"/>
    <n v="16.8"/>
    <n v="19052.8"/>
    <s v="Cancelled"/>
    <s v="Chennai"/>
    <x v="5"/>
    <m/>
    <s v="Corporate"/>
    <n v="51"/>
    <x v="0"/>
  </r>
  <r>
    <s v="ORD-00992"/>
    <d v="2024-07-20T00:00:00"/>
    <s v="CUST-0027"/>
    <s v="PROD-039"/>
    <s v="R019"/>
    <n v="3"/>
    <n v="4610"/>
    <n v="13.2"/>
    <n v="12004.44"/>
    <s v="Pending"/>
    <s v="Hyderabad"/>
    <x v="3"/>
    <m/>
    <s v="Corporate"/>
    <n v="52"/>
    <x v="0"/>
  </r>
  <r>
    <s v="ORD-00993"/>
    <d v="2024-03-05T00:00:00"/>
    <s v="CUST-0228"/>
    <s v="PROD-017"/>
    <s v="R003"/>
    <n v="1"/>
    <n v="2510"/>
    <n v="16.899999999999999"/>
    <n v="2085.81"/>
    <s v="Completed"/>
    <s v="Pune"/>
    <x v="0"/>
    <m/>
    <s v="Corporate"/>
    <n v="37"/>
    <x v="3"/>
  </r>
  <r>
    <s v="ORD-00994"/>
    <d v="2024-03-16T00:00:00"/>
    <s v="CUST-0183"/>
    <s v="PROD-045"/>
    <s v="R009"/>
    <n v="1"/>
    <n v="3020"/>
    <n v="26.7"/>
    <n v="2213.66"/>
    <s v="Completed"/>
    <s v="Mumbai"/>
    <x v="5"/>
    <m/>
    <s v="SMB"/>
    <n v="27"/>
    <x v="1"/>
  </r>
  <r>
    <s v="ORD-00995"/>
    <d v="2024-01-22T00:00:00"/>
    <s v="CUST-0026"/>
    <s v="PROD-060"/>
    <s v="R012"/>
    <n v="6"/>
    <n v="190"/>
    <n v="7.1"/>
    <n v="1059.06"/>
    <s v="Completed"/>
    <s v="Pune"/>
    <x v="1"/>
    <m/>
    <s v="Retail"/>
    <n v="62"/>
    <x v="0"/>
  </r>
  <r>
    <s v="ORD-00996"/>
    <d v="2024-08-25T00:00:00"/>
    <s v="CUST-0211"/>
    <s v="PROD-033"/>
    <s v="R002"/>
    <n v="6"/>
    <n v="2030"/>
    <n v="13.5"/>
    <n v="10535.7"/>
    <s v="Cancelled"/>
    <s v="Bengaluru"/>
    <x v="3"/>
    <m/>
    <s v="Retail"/>
    <n v="36"/>
    <x v="4"/>
  </r>
  <r>
    <s v="ORD-00997"/>
    <d v="2024-09-12T00:00:00"/>
    <s v="CUST-0190"/>
    <s v="PROD-036"/>
    <s v="R012"/>
    <n v="10"/>
    <n v="3250"/>
    <n v="8.6999999999999993"/>
    <n v="29672.5"/>
    <s v="Completed"/>
    <s v="Hyderabad"/>
    <x v="3"/>
    <m/>
    <s v="Retail"/>
    <n v="52"/>
    <x v="0"/>
  </r>
  <r>
    <s v="ORD-00998"/>
    <d v="2024-01-08T00:00:00"/>
    <s v="CUST-0172"/>
    <s v="PROD-033"/>
    <s v="R029"/>
    <n v="9"/>
    <n v="2030"/>
    <n v="29.3"/>
    <n v="12916.89"/>
    <s v="Completed"/>
    <s v="Pune"/>
    <x v="3"/>
    <m/>
    <s v="Retail"/>
    <n v="65"/>
    <x v="0"/>
  </r>
  <r>
    <s v="ORD-00999"/>
    <d v="2024-03-29T00:00:00"/>
    <s v="CUST-0272"/>
    <s v="PROD-023"/>
    <s v="R025"/>
    <n v="1"/>
    <n v="2380"/>
    <n v="12.9"/>
    <n v="2072.98"/>
    <s v="Completed"/>
    <s v="Mumbai"/>
    <x v="2"/>
    <m/>
    <s v="SMB"/>
    <n v="47"/>
    <x v="0"/>
  </r>
  <r>
    <s v="ORD-01000"/>
    <d v="2024-08-17T00:00:00"/>
    <s v="CUST-0232"/>
    <s v="PROD-011"/>
    <s v="R024"/>
    <n v="10"/>
    <n v="3450"/>
    <n v="18.5"/>
    <n v="28117.5"/>
    <s v="Completed"/>
    <s v="Hyderabad"/>
    <x v="0"/>
    <m/>
    <s v="Retail"/>
    <n v="38"/>
    <x v="2"/>
  </r>
  <r>
    <s v="ORD-01001"/>
    <d v="2024-07-27T00:00:00"/>
    <s v="CUST-0282"/>
    <s v="PROD-012"/>
    <s v="R002"/>
    <n v="10"/>
    <n v="3160"/>
    <n v="26.3"/>
    <n v="23289.200000000001"/>
    <s v="Completed"/>
    <s v="Hyderabad"/>
    <x v="0"/>
    <m/>
    <s v="Corporate"/>
    <n v="29"/>
    <x v="2"/>
  </r>
  <r>
    <s v="ORD-01002"/>
    <d v="2024-08-27T00:00:00"/>
    <s v="CUST-0164"/>
    <s v="PROD-038"/>
    <s v="R026"/>
    <n v="10"/>
    <n v="5490"/>
    <n v="22.7"/>
    <n v="42437.7"/>
    <s v="Completed"/>
    <s v="Chennai"/>
    <x v="3"/>
    <m/>
    <s v="Retail"/>
    <n v="60"/>
    <x v="0"/>
  </r>
  <r>
    <s v="ORD-01003"/>
    <d v="2024-09-28T00:00:00"/>
    <s v="CUST-0212"/>
    <s v="PROD-055"/>
    <s v="R006"/>
    <n v="8"/>
    <n v="2860"/>
    <n v="14.3"/>
    <n v="19608.16"/>
    <s v="Completed"/>
    <s v="Chennai"/>
    <x v="1"/>
    <m/>
    <s v="SMB"/>
    <n v="46"/>
    <x v="0"/>
  </r>
  <r>
    <s v="ORD-01004"/>
    <d v="2024-05-04T00:00:00"/>
    <s v="CUST-0234"/>
    <s v="PROD-049"/>
    <s v="R011"/>
    <n v="1"/>
    <n v="960"/>
    <n v="11.9"/>
    <n v="845.76"/>
    <s v="Completed"/>
    <s v="Bengaluru"/>
    <x v="5"/>
    <m/>
    <s v="Retail"/>
    <n v="34"/>
    <x v="1"/>
  </r>
  <r>
    <s v="ORD-01005"/>
    <d v="2024-05-18T00:00:00"/>
    <s v="CUST-0292"/>
    <s v="PROD-040"/>
    <s v="R007"/>
    <n v="3"/>
    <n v="1080"/>
    <n v="26"/>
    <n v="2397.6"/>
    <s v="Completed"/>
    <s v="Bengaluru"/>
    <x v="3"/>
    <m/>
    <s v="Retail"/>
    <n v="32"/>
    <x v="4"/>
  </r>
  <r>
    <s v="ORD-01006"/>
    <d v="2024-10-20T00:00:00"/>
    <s v="CUST-0018"/>
    <s v="PROD-055"/>
    <s v="R001"/>
    <n v="10"/>
    <n v="2860"/>
    <n v="13.1"/>
    <n v="24853.4"/>
    <s v="Refunded"/>
    <s v="Pune"/>
    <x v="1"/>
    <m/>
    <s v="SMB"/>
    <n v="54"/>
    <x v="0"/>
  </r>
  <r>
    <s v="ORD-01007"/>
    <d v="2024-12-04T00:00:00"/>
    <s v="CUST-0220"/>
    <s v="PROD-013"/>
    <s v="R001"/>
    <n v="3"/>
    <n v="3640"/>
    <n v="18.2"/>
    <n v="8932.56"/>
    <s v="Completed"/>
    <s v="Chennai"/>
    <x v="0"/>
    <m/>
    <s v="Retail"/>
    <n v="34"/>
    <x v="1"/>
  </r>
  <r>
    <s v="ORD-01008"/>
    <d v="2024-04-23T00:00:00"/>
    <s v="CUST-0064"/>
    <s v="PROD-015"/>
    <s v="R018"/>
    <n v="3"/>
    <n v="2720"/>
    <n v="3.6"/>
    <n v="7866.24"/>
    <s v="Completed"/>
    <s v="Hyderabad"/>
    <x v="0"/>
    <m/>
    <s v="SMB"/>
    <n v="40"/>
    <x v="1"/>
  </r>
  <r>
    <s v="ORD-01009"/>
    <d v="2024-12-04T00:00:00"/>
    <s v="CUST-0077"/>
    <s v="PROD-024"/>
    <s v="R008"/>
    <n v="4"/>
    <n v="2270"/>
    <n v="18.399999999999999"/>
    <n v="7409.28"/>
    <s v="Completed"/>
    <s v="Hyderabad"/>
    <x v="2"/>
    <m/>
    <s v="SMB"/>
    <n v="48"/>
    <x v="0"/>
  </r>
  <r>
    <s v="ORD-01010"/>
    <d v="2024-07-10T00:00:00"/>
    <s v="CUST-0229"/>
    <s v="PROD-009"/>
    <s v="R029"/>
    <n v="5"/>
    <n v="1220"/>
    <n v="13.9"/>
    <n v="5252.1"/>
    <s v="Completed"/>
    <s v="Hyderabad"/>
    <x v="4"/>
    <m/>
    <s v="SMB"/>
    <n v="25"/>
    <x v="1"/>
  </r>
  <r>
    <s v="ORD-01011"/>
    <d v="2024-08-26T00:00:00"/>
    <s v="CUST-0129"/>
    <s v="PROD-010"/>
    <s v="R015"/>
    <n v="8"/>
    <n v="2640"/>
    <n v="17.3"/>
    <n v="17466.240000000002"/>
    <s v="Completed"/>
    <s v="Hyderabad"/>
    <x v="4"/>
    <m/>
    <s v="Retail"/>
    <n v="29"/>
    <x v="2"/>
  </r>
  <r>
    <s v="ORD-01012"/>
    <d v="2024-07-27T00:00:00"/>
    <s v="CUST-0145"/>
    <s v="PROD-030"/>
    <s v="R015"/>
    <n v="1"/>
    <n v="970"/>
    <n v="28"/>
    <n v="698.4"/>
    <s v="Cancelled"/>
    <s v="Bengaluru"/>
    <x v="2"/>
    <m/>
    <s v="SMB"/>
    <n v="44"/>
    <x v="0"/>
  </r>
  <r>
    <s v="ORD-01013"/>
    <d v="2024-03-07T00:00:00"/>
    <s v="CUST-0258"/>
    <s v="PROD-031"/>
    <s v="R025"/>
    <n v="8"/>
    <n v="3730"/>
    <n v="2.1"/>
    <n v="29213.360000000001"/>
    <s v="Refunded"/>
    <s v="Pune"/>
    <x v="3"/>
    <m/>
    <s v="Retail"/>
    <n v="44"/>
    <x v="0"/>
  </r>
  <r>
    <s v="ORD-01014"/>
    <d v="2024-11-02T00:00:00"/>
    <s v="CUST-0209"/>
    <s v="PROD-030"/>
    <s v="R024"/>
    <n v="7"/>
    <n v="970"/>
    <n v="25.5"/>
    <n v="5058.55"/>
    <s v="Completed"/>
    <s v="Pune"/>
    <x v="2"/>
    <m/>
    <s v="Retail"/>
    <n v="31"/>
    <x v="2"/>
  </r>
  <r>
    <s v="ORD-01015"/>
    <d v="2024-01-27T00:00:00"/>
    <s v="CUST-0131"/>
    <s v="PROD-003"/>
    <s v="R022"/>
    <n v="6"/>
    <n v="3570"/>
    <n v="9.9"/>
    <n v="19299.419999999998"/>
    <s v="Completed"/>
    <s v="Delhi"/>
    <x v="4"/>
    <m/>
    <s v="SMB"/>
    <n v="28"/>
    <x v="2"/>
  </r>
  <r>
    <s v="ORD-01016"/>
    <d v="2024-08-20T00:00:00"/>
    <s v="CUST-0276"/>
    <s v="PROD-030"/>
    <s v="R016"/>
    <n v="6"/>
    <n v="970"/>
    <n v="19.600000000000001"/>
    <n v="4679.28"/>
    <s v="Completed"/>
    <s v="Chennai"/>
    <x v="2"/>
    <m/>
    <s v="Retail"/>
    <n v="26"/>
    <x v="3"/>
  </r>
  <r>
    <s v="ORD-01017"/>
    <d v="2024-09-19T00:00:00"/>
    <s v="CUST-0283"/>
    <s v="PROD-059"/>
    <s v="R011"/>
    <n v="8"/>
    <n v="3780"/>
    <n v="26.5"/>
    <n v="22226.400000000001"/>
    <s v="Completed"/>
    <s v="Delhi"/>
    <x v="1"/>
    <m/>
    <s v="SMB"/>
    <n v="50"/>
    <x v="0"/>
  </r>
  <r>
    <s v="ORD-01018"/>
    <d v="2024-08-24T00:00:00"/>
    <s v="CUST-0195"/>
    <s v="PROD-058"/>
    <s v="R011"/>
    <n v="6"/>
    <n v="2400"/>
    <n v="1.4"/>
    <n v="14198.4"/>
    <s v="Completed"/>
    <s v="Bengaluru"/>
    <x v="1"/>
    <m/>
    <s v="Retail"/>
    <n v="28"/>
    <x v="4"/>
  </r>
  <r>
    <s v="ORD-01019"/>
    <d v="2024-07-13T00:00:00"/>
    <s v="CUST-0181"/>
    <s v="PROD-036"/>
    <s v="R021"/>
    <n v="10"/>
    <n v="3250"/>
    <n v="19.3"/>
    <n v="26227.5"/>
    <s v="Completed"/>
    <s v="Delhi"/>
    <x v="3"/>
    <m/>
    <s v="SMB"/>
    <n v="38"/>
    <x v="4"/>
  </r>
  <r>
    <s v="ORD-01020"/>
    <d v="2024-02-14T00:00:00"/>
    <s v="CUST-0149"/>
    <s v="PROD-021"/>
    <s v="R014"/>
    <n v="7"/>
    <n v="2760"/>
    <n v="23.6"/>
    <n v="14760.48"/>
    <s v="Pending"/>
    <s v="Hyderabad"/>
    <x v="2"/>
    <m/>
    <s v="Retail"/>
    <n v="44"/>
    <x v="0"/>
  </r>
  <r>
    <s v="ORD-01021"/>
    <d v="2024-06-20T00:00:00"/>
    <s v="CUST-0152"/>
    <s v="PROD-003"/>
    <s v="R001"/>
    <n v="3"/>
    <n v="3570"/>
    <n v="26.3"/>
    <n v="7893.27"/>
    <s v="Completed"/>
    <s v="Bengaluru"/>
    <x v="4"/>
    <m/>
    <s v="SMB"/>
    <n v="64"/>
    <x v="0"/>
  </r>
  <r>
    <s v="ORD-01022"/>
    <d v="2024-04-10T00:00:00"/>
    <s v="CUST-0085"/>
    <s v="PROD-027"/>
    <s v="R015"/>
    <n v="4"/>
    <n v="3780"/>
    <n v="10.1"/>
    <n v="13592.88"/>
    <s v="Completed"/>
    <s v="Chennai"/>
    <x v="2"/>
    <m/>
    <s v="Retail"/>
    <n v="26"/>
    <x v="1"/>
  </r>
  <r>
    <s v="ORD-01023"/>
    <d v="2024-11-04T00:00:00"/>
    <s v="CUST-0231"/>
    <s v="PROD-007"/>
    <s v="R019"/>
    <n v="10"/>
    <n v="1430"/>
    <n v="3.7"/>
    <n v="13770.9"/>
    <s v="Completed"/>
    <s v="Chennai"/>
    <x v="4"/>
    <m/>
    <s v="Retail"/>
    <n v="61"/>
    <x v="0"/>
  </r>
  <r>
    <s v="ORD-01024"/>
    <d v="2024-04-29T00:00:00"/>
    <s v="CUST-0044"/>
    <s v="PROD-022"/>
    <s v="R011"/>
    <n v="6"/>
    <n v="2270"/>
    <n v="7.9"/>
    <n v="12544.02"/>
    <s v="Refunded"/>
    <s v="Hyderabad"/>
    <x v="2"/>
    <m/>
    <s v="SMB"/>
    <n v="29"/>
    <x v="3"/>
  </r>
  <r>
    <s v="ORD-01025"/>
    <d v="2024-04-24T00:00:00"/>
    <s v="CUST-0027"/>
    <s v="PROD-054"/>
    <s v="R013"/>
    <n v="1"/>
    <n v="1010"/>
    <n v="6.9"/>
    <n v="940.31"/>
    <s v="Pending"/>
    <s v="Hyderabad"/>
    <x v="1"/>
    <m/>
    <s v="Corporate"/>
    <n v="52"/>
    <x v="0"/>
  </r>
  <r>
    <s v="ORD-01026"/>
    <d v="2024-04-29T00:00:00"/>
    <s v="CUST-0101"/>
    <s v="PROD-055"/>
    <s v="R014"/>
    <n v="2"/>
    <n v="2860"/>
    <n v="20.100000000000001"/>
    <n v="4570.28"/>
    <s v="Completed"/>
    <s v="Hyderabad"/>
    <x v="1"/>
    <m/>
    <s v="SMB"/>
    <n v="40"/>
    <x v="4"/>
  </r>
  <r>
    <s v="ORD-01027"/>
    <d v="2024-06-18T00:00:00"/>
    <s v="CUST-0123"/>
    <s v="PROD-002"/>
    <s v="R019"/>
    <n v="9"/>
    <n v="2600"/>
    <n v="15.9"/>
    <n v="19679.400000000001"/>
    <s v="Cancelled"/>
    <s v="Chennai"/>
    <x v="4"/>
    <m/>
    <s v="Corporate"/>
    <n v="44"/>
    <x v="0"/>
  </r>
  <r>
    <s v="ORD-01028"/>
    <d v="2024-04-27T00:00:00"/>
    <s v="CUST-0124"/>
    <s v="PROD-053"/>
    <s v="R024"/>
    <n v="10"/>
    <n v="470"/>
    <n v="23.1"/>
    <n v="3614.3"/>
    <s v="Pending"/>
    <s v="Pune"/>
    <x v="1"/>
    <m/>
    <s v="Retail"/>
    <n v="57"/>
    <x v="0"/>
  </r>
  <r>
    <s v="ORD-01029"/>
    <d v="2024-07-22T00:00:00"/>
    <s v="CUST-0159"/>
    <s v="PROD-037"/>
    <s v="R013"/>
    <n v="10"/>
    <n v="660"/>
    <n v="9.4"/>
    <n v="5979.6"/>
    <s v="Completed"/>
    <s v="Hyderabad"/>
    <x v="3"/>
    <m/>
    <s v="Retail"/>
    <n v="32"/>
    <x v="2"/>
  </r>
  <r>
    <s v="ORD-01030"/>
    <d v="2024-01-16T00:00:00"/>
    <s v="CUST-0087"/>
    <s v="PROD-009"/>
    <s v="R023"/>
    <n v="5"/>
    <n v="1220"/>
    <n v="23.3"/>
    <n v="4678.7"/>
    <s v="Completed"/>
    <s v="Pune"/>
    <x v="4"/>
    <m/>
    <s v="SMB"/>
    <n v="49"/>
    <x v="0"/>
  </r>
  <r>
    <s v="ORD-01031"/>
    <d v="2024-01-03T00:00:00"/>
    <s v="CUST-0295"/>
    <s v="PROD-036"/>
    <s v="R011"/>
    <n v="9"/>
    <n v="3250"/>
    <n v="19.600000000000001"/>
    <n v="23517"/>
    <s v="Pending"/>
    <s v="Delhi"/>
    <x v="3"/>
    <m/>
    <s v="SMB"/>
    <n v="48"/>
    <x v="0"/>
  </r>
  <r>
    <s v="ORD-01032"/>
    <d v="2024-09-07T00:00:00"/>
    <s v="CUST-0211"/>
    <s v="PROD-016"/>
    <s v="R018"/>
    <n v="7"/>
    <n v="620"/>
    <n v="29"/>
    <n v="3081.4"/>
    <s v="Completed"/>
    <s v="Bengaluru"/>
    <x v="0"/>
    <m/>
    <s v="Retail"/>
    <n v="36"/>
    <x v="4"/>
  </r>
  <r>
    <s v="ORD-01033"/>
    <d v="2024-06-10T00:00:00"/>
    <s v="CUST-0265"/>
    <s v="PROD-026"/>
    <s v="R006"/>
    <n v="9"/>
    <n v="4070"/>
    <n v="16.2"/>
    <n v="30695.94"/>
    <s v="Completed"/>
    <s v="Chennai"/>
    <x v="2"/>
    <m/>
    <s v="Retail"/>
    <n v="49"/>
    <x v="0"/>
  </r>
  <r>
    <s v="ORD-01034"/>
    <d v="2024-02-29T00:00:00"/>
    <s v="CUST-0252"/>
    <s v="PROD-012"/>
    <s v="R007"/>
    <n v="8"/>
    <n v="3160"/>
    <n v="23.8"/>
    <n v="19263.36"/>
    <s v="Completed"/>
    <s v="Bengaluru"/>
    <x v="0"/>
    <m/>
    <s v="Retail"/>
    <n v="27"/>
    <x v="1"/>
  </r>
  <r>
    <s v="ORD-01035"/>
    <d v="2024-05-10T00:00:00"/>
    <s v="CUST-0180"/>
    <s v="PROD-029"/>
    <s v="R022"/>
    <n v="3"/>
    <n v="2210"/>
    <n v="29.7"/>
    <n v="4660.8900000000003"/>
    <s v="Completed"/>
    <s v="Chennai"/>
    <x v="2"/>
    <m/>
    <s v="Retail"/>
    <n v="36"/>
    <x v="1"/>
  </r>
  <r>
    <s v="ORD-01036"/>
    <d v="2024-03-10T00:00:00"/>
    <s v="CUST-0231"/>
    <s v="PROD-053"/>
    <s v="R025"/>
    <n v="9"/>
    <n v="470"/>
    <n v="27.1"/>
    <n v="3083.67"/>
    <s v="Completed"/>
    <s v="Chennai"/>
    <x v="1"/>
    <m/>
    <s v="Retail"/>
    <n v="61"/>
    <x v="0"/>
  </r>
  <r>
    <s v="ORD-01037"/>
    <d v="2024-11-26T00:00:00"/>
    <s v="CUST-0161"/>
    <s v="PROD-032"/>
    <s v="R020"/>
    <n v="6"/>
    <n v="370"/>
    <n v="5.4"/>
    <n v="2100.12"/>
    <s v="Completed"/>
    <s v="Chennai"/>
    <x v="3"/>
    <m/>
    <s v="Retail"/>
    <n v="38"/>
    <x v="2"/>
  </r>
  <r>
    <s v="ORD-01038"/>
    <d v="2024-07-23T00:00:00"/>
    <s v="CUST-0249"/>
    <s v="PROD-059"/>
    <s v="R018"/>
    <n v="10"/>
    <n v="3780"/>
    <n v="21.5"/>
    <n v="29673"/>
    <s v="Pending"/>
    <s v="Mumbai"/>
    <x v="1"/>
    <m/>
    <s v="Retail"/>
    <n v="44"/>
    <x v="0"/>
  </r>
  <r>
    <s v="ORD-01039"/>
    <d v="2024-10-13T00:00:00"/>
    <s v="CUST-0048"/>
    <s v="PROD-056"/>
    <s v="R009"/>
    <n v="4"/>
    <n v="6940"/>
    <n v="3.9"/>
    <n v="26677.360000000001"/>
    <s v="Cancelled"/>
    <s v="Delhi"/>
    <x v="1"/>
    <m/>
    <s v="Retail"/>
    <n v="59"/>
    <x v="0"/>
  </r>
  <r>
    <s v="ORD-01040"/>
    <d v="2024-07-03T00:00:00"/>
    <s v="CUST-0068"/>
    <s v="PROD-031"/>
    <s v="R022"/>
    <n v="3"/>
    <n v="3730"/>
    <n v="20.7"/>
    <n v="8873.67"/>
    <s v="Completed"/>
    <s v="Delhi"/>
    <x v="3"/>
    <m/>
    <s v="SMB"/>
    <n v="48"/>
    <x v="0"/>
  </r>
  <r>
    <s v="ORD-01041"/>
    <d v="2024-01-09T00:00:00"/>
    <s v="CUST-0213"/>
    <s v="PROD-034"/>
    <s v="R025"/>
    <n v="8"/>
    <n v="5080"/>
    <n v="6.2"/>
    <n v="38120.32"/>
    <s v="Completed"/>
    <s v="Mumbai"/>
    <x v="3"/>
    <m/>
    <s v="Retail"/>
    <n v="37"/>
    <x v="3"/>
  </r>
  <r>
    <s v="ORD-01042"/>
    <d v="2024-06-12T00:00:00"/>
    <s v="CUST-0159"/>
    <s v="PROD-052"/>
    <s v="R001"/>
    <n v="5"/>
    <n v="5410"/>
    <n v="5.2"/>
    <n v="25643.4"/>
    <s v="Completed"/>
    <s v="Hyderabad"/>
    <x v="1"/>
    <m/>
    <s v="Retail"/>
    <n v="32"/>
    <x v="2"/>
  </r>
  <r>
    <s v="ORD-01043"/>
    <d v="2024-04-22T00:00:00"/>
    <s v="CUST-0298"/>
    <s v="PROD-015"/>
    <s v="R026"/>
    <n v="6"/>
    <n v="2720"/>
    <n v="29.8"/>
    <n v="11456.64"/>
    <s v="Pending"/>
    <s v="Delhi"/>
    <x v="0"/>
    <m/>
    <s v="Retail"/>
    <n v="44"/>
    <x v="0"/>
  </r>
  <r>
    <s v="ORD-01044"/>
    <d v="2024-06-25T00:00:00"/>
    <s v="CUST-0145"/>
    <s v="PROD-009"/>
    <s v="R010"/>
    <n v="1"/>
    <n v="1220"/>
    <n v="22.6"/>
    <n v="944.28"/>
    <s v="Completed"/>
    <s v="Bengaluru"/>
    <x v="4"/>
    <m/>
    <s v="SMB"/>
    <n v="44"/>
    <x v="0"/>
  </r>
  <r>
    <s v="ORD-01045"/>
    <d v="2024-12-14T00:00:00"/>
    <s v="CUST-0015"/>
    <s v="PROD-046"/>
    <s v="R008"/>
    <n v="10"/>
    <n v="4880"/>
    <n v="7.3"/>
    <n v="45237.599999999999"/>
    <s v="Completed"/>
    <s v="Chennai"/>
    <x v="5"/>
    <m/>
    <s v="Retail"/>
    <n v="31"/>
    <x v="4"/>
  </r>
  <r>
    <s v="ORD-01046"/>
    <d v="2024-06-07T00:00:00"/>
    <s v="CUST-0054"/>
    <s v="PROD-022"/>
    <s v="R021"/>
    <n v="10"/>
    <n v="2270"/>
    <n v="1.6"/>
    <n v="22336.799999999999"/>
    <s v="Completed"/>
    <s v="Mumbai"/>
    <x v="2"/>
    <m/>
    <s v="Corporate"/>
    <n v="62"/>
    <x v="0"/>
  </r>
  <r>
    <s v="ORD-01047"/>
    <d v="2024-10-24T00:00:00"/>
    <s v="CUST-0150"/>
    <s v="PROD-030"/>
    <s v="R003"/>
    <n v="8"/>
    <n v="970"/>
    <n v="13.1"/>
    <n v="6743.44"/>
    <s v="Completed"/>
    <s v="Pune"/>
    <x v="2"/>
    <m/>
    <s v="SMB"/>
    <n v="53"/>
    <x v="0"/>
  </r>
  <r>
    <s v="ORD-01048"/>
    <d v="2024-12-20T00:00:00"/>
    <s v="CUST-0096"/>
    <s v="PROD-023"/>
    <s v="R012"/>
    <n v="7"/>
    <n v="2380"/>
    <n v="10.6"/>
    <n v="14894.04"/>
    <s v="Cancelled"/>
    <s v="Delhi"/>
    <x v="2"/>
    <m/>
    <s v="Corporate"/>
    <n v="27"/>
    <x v="1"/>
  </r>
  <r>
    <s v="ORD-01049"/>
    <d v="2024-07-15T00:00:00"/>
    <s v="CUST-0288"/>
    <s v="PROD-014"/>
    <s v="R016"/>
    <n v="6"/>
    <n v="3620"/>
    <n v="21.3"/>
    <n v="17093.64"/>
    <s v="Cancelled"/>
    <s v="Hyderabad"/>
    <x v="0"/>
    <m/>
    <s v="Corporate"/>
    <n v="25"/>
    <x v="4"/>
  </r>
  <r>
    <s v="ORD-01050"/>
    <d v="2024-09-20T00:00:00"/>
    <s v="CUST-0048"/>
    <s v="PROD-026"/>
    <s v="R027"/>
    <n v="3"/>
    <n v="4070"/>
    <n v="8.1999999999999993"/>
    <n v="11208.78"/>
    <s v="Cancelled"/>
    <s v="Delhi"/>
    <x v="2"/>
    <m/>
    <s v="Retail"/>
    <n v="59"/>
    <x v="0"/>
  </r>
  <r>
    <s v="ORD-01051"/>
    <d v="2024-10-13T00:00:00"/>
    <s v="CUST-0104"/>
    <s v="PROD-048"/>
    <s v="R026"/>
    <n v="8"/>
    <n v="5100"/>
    <n v="26.9"/>
    <n v="29824.799999999999"/>
    <s v="Completed"/>
    <s v="Hyderabad"/>
    <x v="5"/>
    <m/>
    <s v="Corporate"/>
    <n v="43"/>
    <x v="0"/>
  </r>
  <r>
    <s v="ORD-01052"/>
    <d v="2024-01-05T00:00:00"/>
    <s v="CUST-0054"/>
    <s v="PROD-045"/>
    <s v="R017"/>
    <n v="3"/>
    <n v="3020"/>
    <n v="18.5"/>
    <n v="7383.9"/>
    <s v="Cancelled"/>
    <s v="Mumbai"/>
    <x v="5"/>
    <m/>
    <s v="Corporate"/>
    <n v="62"/>
    <x v="0"/>
  </r>
  <r>
    <s v="ORD-01053"/>
    <d v="2024-09-29T00:00:00"/>
    <s v="CUST-0158"/>
    <s v="PROD-049"/>
    <s v="R002"/>
    <n v="8"/>
    <n v="960"/>
    <n v="7.1"/>
    <n v="7134.72"/>
    <s v="Completed"/>
    <s v="Pune"/>
    <x v="5"/>
    <m/>
    <s v="Corporate"/>
    <n v="42"/>
    <x v="0"/>
  </r>
  <r>
    <s v="ORD-01054"/>
    <d v="2024-04-01T00:00:00"/>
    <s v="CUST-0231"/>
    <s v="PROD-034"/>
    <s v="R015"/>
    <n v="8"/>
    <n v="5080"/>
    <n v="6.2"/>
    <n v="38120.32"/>
    <s v="Completed"/>
    <s v="Chennai"/>
    <x v="3"/>
    <m/>
    <s v="Retail"/>
    <n v="61"/>
    <x v="0"/>
  </r>
  <r>
    <s v="ORD-01055"/>
    <d v="2024-05-24T00:00:00"/>
    <s v="CUST-0277"/>
    <s v="PROD-050"/>
    <s v="R010"/>
    <n v="6"/>
    <n v="6080"/>
    <n v="25.8"/>
    <n v="27068.16"/>
    <s v="Completed"/>
    <s v="Chennai"/>
    <x v="5"/>
    <m/>
    <s v="Corporate"/>
    <n v="34"/>
    <x v="4"/>
  </r>
  <r>
    <s v="ORD-01056"/>
    <d v="2024-09-09T00:00:00"/>
    <s v="CUST-0232"/>
    <s v="PROD-041"/>
    <s v="R010"/>
    <n v="5"/>
    <n v="1540"/>
    <n v="24.6"/>
    <n v="5805.8"/>
    <s v="Completed"/>
    <s v="Hyderabad"/>
    <x v="5"/>
    <m/>
    <s v="Retail"/>
    <n v="38"/>
    <x v="4"/>
  </r>
  <r>
    <s v="ORD-01057"/>
    <d v="2024-04-22T00:00:00"/>
    <s v="CUST-0074"/>
    <s v="PROD-054"/>
    <s v="R024"/>
    <n v="4"/>
    <n v="1010"/>
    <n v="2.9"/>
    <n v="3922.84"/>
    <s v="Pending"/>
    <s v="Bengaluru"/>
    <x v="1"/>
    <m/>
    <s v="Retail"/>
    <n v="27"/>
    <x v="4"/>
  </r>
  <r>
    <s v="ORD-01058"/>
    <d v="2024-10-21T00:00:00"/>
    <s v="CUST-0068"/>
    <s v="PROD-049"/>
    <s v="R026"/>
    <n v="5"/>
    <n v="960"/>
    <n v="11.4"/>
    <n v="4252.8"/>
    <s v="Completed"/>
    <s v="Delhi"/>
    <x v="5"/>
    <m/>
    <s v="SMB"/>
    <n v="48"/>
    <x v="0"/>
  </r>
  <r>
    <s v="ORD-01059"/>
    <d v="2024-08-20T00:00:00"/>
    <s v="CUST-0152"/>
    <s v="PROD-041"/>
    <s v="R010"/>
    <n v="1"/>
    <n v="1540"/>
    <n v="5.6"/>
    <n v="1453.76"/>
    <s v="Completed"/>
    <s v="Bengaluru"/>
    <x v="5"/>
    <m/>
    <s v="SMB"/>
    <n v="64"/>
    <x v="0"/>
  </r>
  <r>
    <s v="ORD-01060"/>
    <d v="2024-04-15T00:00:00"/>
    <s v="CUST-0046"/>
    <s v="PROD-043"/>
    <s v="R019"/>
    <n v="9"/>
    <n v="3350"/>
    <n v="2.1"/>
    <n v="29516.85"/>
    <s v="Completed"/>
    <s v="Delhi"/>
    <x v="5"/>
    <m/>
    <s v="SMB"/>
    <n v="45"/>
    <x v="0"/>
  </r>
  <r>
    <s v="ORD-01061"/>
    <d v="2024-02-14T00:00:00"/>
    <s v="CUST-0201"/>
    <s v="PROD-051"/>
    <s v="R021"/>
    <n v="7"/>
    <n v="3450"/>
    <n v="4.7"/>
    <n v="23014.95"/>
    <s v="Completed"/>
    <s v="Hyderabad"/>
    <x v="1"/>
    <m/>
    <s v="Retail"/>
    <n v="31"/>
    <x v="3"/>
  </r>
  <r>
    <s v="ORD-01062"/>
    <d v="2024-10-29T00:00:00"/>
    <s v="CUST-0191"/>
    <s v="PROD-057"/>
    <s v="R019"/>
    <n v="10"/>
    <n v="960"/>
    <n v="17.899999999999999"/>
    <n v="7881.6"/>
    <s v="Completed"/>
    <s v="Hyderabad"/>
    <x v="1"/>
    <m/>
    <s v="SMB"/>
    <n v="43"/>
    <x v="0"/>
  </r>
  <r>
    <s v="ORD-01063"/>
    <d v="2024-11-21T00:00:00"/>
    <s v="CUST-0192"/>
    <s v="PROD-013"/>
    <s v="R014"/>
    <n v="1"/>
    <n v="3640"/>
    <n v="8.8000000000000007"/>
    <n v="3319.68"/>
    <s v="Completed"/>
    <s v="Bengaluru"/>
    <x v="0"/>
    <m/>
    <s v="Retail"/>
    <n v="55"/>
    <x v="0"/>
  </r>
  <r>
    <s v="ORD-01064"/>
    <d v="2024-03-27T00:00:00"/>
    <s v="CUST-0074"/>
    <s v="PROD-029"/>
    <s v="R017"/>
    <n v="1"/>
    <n v="2210"/>
    <n v="10.7"/>
    <n v="1973.53"/>
    <s v="Completed"/>
    <s v="Bengaluru"/>
    <x v="2"/>
    <m/>
    <s v="Retail"/>
    <n v="27"/>
    <x v="4"/>
  </r>
  <r>
    <s v="ORD-01065"/>
    <d v="2024-01-27T00:00:00"/>
    <s v="CUST-0071"/>
    <s v="PROD-031"/>
    <s v="R005"/>
    <n v="2"/>
    <n v="3730"/>
    <n v="13.9"/>
    <n v="6423.06"/>
    <s v="Completed"/>
    <s v="Delhi"/>
    <x v="3"/>
    <m/>
    <s v="Corporate"/>
    <n v="46"/>
    <x v="0"/>
  </r>
  <r>
    <s v="ORD-01066"/>
    <d v="2024-09-07T00:00:00"/>
    <s v="CUST-0210"/>
    <s v="PROD-052"/>
    <s v="R010"/>
    <n v="7"/>
    <n v="5410"/>
    <n v="23.6"/>
    <n v="28932.68"/>
    <s v="Completed"/>
    <s v="Pune"/>
    <x v="1"/>
    <m/>
    <s v="Corporate"/>
    <n v="48"/>
    <x v="0"/>
  </r>
  <r>
    <s v="ORD-01067"/>
    <d v="2024-11-22T00:00:00"/>
    <s v="CUST-0054"/>
    <s v="PROD-027"/>
    <s v="R018"/>
    <n v="7"/>
    <n v="3780"/>
    <n v="8.5"/>
    <n v="24210.9"/>
    <s v="Cancelled"/>
    <s v="Mumbai"/>
    <x v="2"/>
    <m/>
    <s v="Corporate"/>
    <n v="62"/>
    <x v="0"/>
  </r>
  <r>
    <s v="ORD-01068"/>
    <d v="2024-09-20T00:00:00"/>
    <s v="CUST-0194"/>
    <s v="PROD-039"/>
    <s v="R016"/>
    <n v="9"/>
    <n v="4610"/>
    <n v="26.6"/>
    <n v="30453.66"/>
    <s v="Completed"/>
    <s v="Delhi"/>
    <x v="3"/>
    <m/>
    <s v="SMB"/>
    <n v="55"/>
    <x v="0"/>
  </r>
  <r>
    <s v="ORD-01069"/>
    <d v="2024-03-22T00:00:00"/>
    <s v="CUST-0231"/>
    <s v="PROD-010"/>
    <s v="R025"/>
    <n v="5"/>
    <n v="2640"/>
    <n v="1.5"/>
    <n v="13002"/>
    <s v="Completed"/>
    <s v="Chennai"/>
    <x v="4"/>
    <m/>
    <s v="Retail"/>
    <n v="61"/>
    <x v="0"/>
  </r>
  <r>
    <s v="ORD-01070"/>
    <d v="2024-08-11T00:00:00"/>
    <s v="CUST-0053"/>
    <s v="PROD-014"/>
    <s v="R010"/>
    <n v="3"/>
    <n v="3620"/>
    <n v="3.1"/>
    <n v="10523.34"/>
    <s v="Completed"/>
    <s v="Delhi"/>
    <x v="0"/>
    <m/>
    <s v="Retail"/>
    <n v="53"/>
    <x v="0"/>
  </r>
  <r>
    <s v="ORD-01071"/>
    <d v="2024-08-26T00:00:00"/>
    <s v="CUST-0290"/>
    <s v="PROD-053"/>
    <s v="R018"/>
    <n v="5"/>
    <n v="470"/>
    <n v="10.6"/>
    <n v="2100.9"/>
    <s v="Cancelled"/>
    <s v="Delhi"/>
    <x v="1"/>
    <m/>
    <s v="Retail"/>
    <n v="63"/>
    <x v="0"/>
  </r>
  <r>
    <s v="ORD-01072"/>
    <d v="2024-06-20T00:00:00"/>
    <s v="CUST-0261"/>
    <s v="PROD-001"/>
    <s v="R009"/>
    <n v="7"/>
    <n v="5330"/>
    <n v="25"/>
    <n v="27982.5"/>
    <s v="Cancelled"/>
    <s v="Delhi"/>
    <x v="4"/>
    <m/>
    <s v="Retail"/>
    <n v="54"/>
    <x v="0"/>
  </r>
  <r>
    <s v="ORD-01073"/>
    <d v="2024-01-01T00:00:00"/>
    <s v="CUST-0045"/>
    <s v="PROD-050"/>
    <s v="R014"/>
    <n v="1"/>
    <n v="6080"/>
    <n v="27.8"/>
    <n v="4389.76"/>
    <s v="Completed"/>
    <s v="Chennai"/>
    <x v="5"/>
    <m/>
    <s v="SMB"/>
    <n v="39"/>
    <x v="4"/>
  </r>
  <r>
    <s v="ORD-01074"/>
    <d v="2024-02-25T00:00:00"/>
    <s v="CUST-0064"/>
    <s v="PROD-043"/>
    <s v="R024"/>
    <n v="6"/>
    <n v="3350"/>
    <n v="12"/>
    <n v="17688"/>
    <s v="Completed"/>
    <s v="Hyderabad"/>
    <x v="5"/>
    <m/>
    <s v="SMB"/>
    <n v="40"/>
    <x v="4"/>
  </r>
  <r>
    <s v="ORD-01075"/>
    <d v="2024-10-27T00:00:00"/>
    <s v="CUST-9754"/>
    <s v="PROD-056"/>
    <s v="R027"/>
    <n v="6"/>
    <n v="6940"/>
    <n v="20"/>
    <n v="33312"/>
    <s v="Completed"/>
    <s v="Chennai"/>
    <x v="1"/>
    <m/>
    <e v="#N/A"/>
    <e v="#N/A"/>
    <x v="0"/>
  </r>
  <r>
    <s v="ORD-01076"/>
    <d v="2024-12-10T00:00:00"/>
    <s v="CUST-0200"/>
    <s v="PROD-032"/>
    <s v="R007"/>
    <n v="1"/>
    <n v="370"/>
    <n v="10"/>
    <n v="333"/>
    <s v="Completed"/>
    <s v="Hyderabad"/>
    <x v="3"/>
    <m/>
    <s v="Corporate"/>
    <n v="46"/>
    <x v="0"/>
  </r>
  <r>
    <s v="ORD-01077"/>
    <d v="2024-05-20T00:00:00"/>
    <s v="CUST-0058"/>
    <s v="PROD-038"/>
    <s v="R020"/>
    <n v="2"/>
    <n v="5490"/>
    <n v="27.9"/>
    <n v="7916.58"/>
    <s v="Completed"/>
    <s v="Bengaluru"/>
    <x v="3"/>
    <m/>
    <s v="SMB"/>
    <n v="49"/>
    <x v="0"/>
  </r>
  <r>
    <s v="ORD-01078"/>
    <d v="2024-07-06T00:00:00"/>
    <s v="CUST-0156"/>
    <s v="PROD-028"/>
    <s v="R009"/>
    <n v="5"/>
    <n v="3660"/>
    <n v="4.5999999999999996"/>
    <n v="17458.2"/>
    <s v="Completed"/>
    <s v="Mumbai"/>
    <x v="2"/>
    <m/>
    <s v="Retail"/>
    <n v="33"/>
    <x v="3"/>
  </r>
  <r>
    <s v="ORD-01079"/>
    <d v="2024-09-28T00:00:00"/>
    <s v="CUST-0107"/>
    <s v="PROD-005"/>
    <s v="R029"/>
    <n v="6"/>
    <n v="300"/>
    <n v="9"/>
    <n v="1638"/>
    <s v="Completed"/>
    <s v="Pune"/>
    <x v="4"/>
    <m/>
    <s v="Retail"/>
    <n v="50"/>
    <x v="0"/>
  </r>
  <r>
    <s v="ORD-01080"/>
    <d v="2024-08-19T00:00:00"/>
    <s v="CUST-0184"/>
    <s v="PROD-005"/>
    <s v="R012"/>
    <n v="3"/>
    <n v="300"/>
    <n v="19.2"/>
    <n v="727.2"/>
    <s v="Completed"/>
    <s v="Pune"/>
    <x v="4"/>
    <m/>
    <s v="Retail"/>
    <n v="63"/>
    <x v="0"/>
  </r>
  <r>
    <s v="ORD-01081"/>
    <d v="2024-09-02T00:00:00"/>
    <s v="CUST-0202"/>
    <s v="PROD-049"/>
    <s v="R014"/>
    <n v="6"/>
    <n v="960"/>
    <n v="29.3"/>
    <n v="4072.32"/>
    <s v="Cancelled"/>
    <s v="Chennai"/>
    <x v="5"/>
    <m/>
    <s v="Retail"/>
    <n v="39"/>
    <x v="4"/>
  </r>
  <r>
    <s v="ORD-01082"/>
    <d v="2024-04-01T00:00:00"/>
    <s v="CUST-0137"/>
    <s v="PROD-022"/>
    <s v="R025"/>
    <n v="1"/>
    <n v="2270"/>
    <n v="12.4"/>
    <n v="1988.52"/>
    <s v="Completed"/>
    <s v="Mumbai"/>
    <x v="2"/>
    <m/>
    <s v="Retail"/>
    <n v="41"/>
    <x v="0"/>
  </r>
  <r>
    <s v="ORD-01083"/>
    <d v="2024-09-06T00:00:00"/>
    <s v="CUST-0108"/>
    <s v="PROD-033"/>
    <s v="R027"/>
    <n v="10"/>
    <n v="2030"/>
    <n v="4"/>
    <n v="19488"/>
    <s v="Completed"/>
    <s v="Bengaluru"/>
    <x v="3"/>
    <m/>
    <s v="Corporate"/>
    <n v="59"/>
    <x v="0"/>
  </r>
  <r>
    <s v="ORD-01084"/>
    <d v="2024-11-13T00:00:00"/>
    <s v="CUST-0126"/>
    <s v="PROD-040"/>
    <s v="R021"/>
    <n v="9"/>
    <n v="1080"/>
    <n v="19.2"/>
    <n v="7853.76"/>
    <s v="Pending"/>
    <s v="Mumbai"/>
    <x v="3"/>
    <m/>
    <s v="Retail"/>
    <n v="37"/>
    <x v="2"/>
  </r>
  <r>
    <s v="ORD-01085"/>
    <d v="2024-06-20T00:00:00"/>
    <s v="CUST-0107"/>
    <s v="PROD-055"/>
    <s v="R025"/>
    <n v="5"/>
    <n v="2860"/>
    <n v="25"/>
    <n v="10725"/>
    <s v="Pending"/>
    <s v="Pune"/>
    <x v="1"/>
    <m/>
    <s v="Retail"/>
    <n v="50"/>
    <x v="0"/>
  </r>
  <r>
    <s v="ORD-01086"/>
    <d v="2024-10-23T00:00:00"/>
    <s v="CUST-0071"/>
    <s v="PROD-024"/>
    <s v="R012"/>
    <n v="6"/>
    <n v="2270"/>
    <n v="9.3000000000000007"/>
    <n v="12353.34"/>
    <s v="Completed"/>
    <s v="Delhi"/>
    <x v="2"/>
    <m/>
    <s v="Corporate"/>
    <n v="46"/>
    <x v="0"/>
  </r>
  <r>
    <s v="ORD-01087"/>
    <d v="2024-02-06T00:00:00"/>
    <s v="CUST-0238"/>
    <s v="PROD-015"/>
    <s v="R024"/>
    <n v="1"/>
    <n v="2720"/>
    <n v="15.2"/>
    <n v="2306.56"/>
    <s v="Completed"/>
    <s v="Delhi"/>
    <x v="0"/>
    <m/>
    <s v="Retail"/>
    <n v="49"/>
    <x v="0"/>
  </r>
  <r>
    <s v="ORD-01088"/>
    <d v="2024-12-12T00:00:00"/>
    <s v="CUST-0022"/>
    <s v="PROD-004"/>
    <s v="R005"/>
    <n v="10"/>
    <n v="3870"/>
    <n v="4.9000000000000004"/>
    <n v="36803.699999999997"/>
    <s v="Cancelled"/>
    <s v="Bengaluru"/>
    <x v="4"/>
    <m/>
    <s v="Corporate"/>
    <n v="55"/>
    <x v="0"/>
  </r>
  <r>
    <s v="ORD-01089"/>
    <d v="2024-02-10T00:00:00"/>
    <s v="CUST-0100"/>
    <s v="PROD-011"/>
    <s v="R019"/>
    <n v="8"/>
    <n v="3450"/>
    <n v="20.6"/>
    <n v="21914.400000000001"/>
    <s v="Completed"/>
    <s v="Hyderabad"/>
    <x v="0"/>
    <m/>
    <s v="Corporate"/>
    <n v="60"/>
    <x v="0"/>
  </r>
  <r>
    <s v="ORD-01090"/>
    <d v="2024-04-24T00:00:00"/>
    <s v="CUST-0263"/>
    <s v="PROD-053"/>
    <s v="R002"/>
    <n v="1"/>
    <n v="470"/>
    <n v="5.4"/>
    <n v="444.62"/>
    <s v="Refunded"/>
    <s v="Mumbai"/>
    <x v="1"/>
    <m/>
    <s v="Retail"/>
    <n v="40"/>
    <x v="3"/>
  </r>
  <r>
    <s v="ORD-01091"/>
    <d v="2024-04-23T00:00:00"/>
    <s v="CUST-0032"/>
    <s v="PROD-006"/>
    <s v="R009"/>
    <n v="5"/>
    <n v="3970"/>
    <n v="5.8"/>
    <n v="18698.7"/>
    <s v="Completed"/>
    <s v="Hyderabad"/>
    <x v="4"/>
    <m/>
    <s v="Retail"/>
    <n v="28"/>
    <x v="1"/>
  </r>
  <r>
    <s v="ORD-01092"/>
    <d v="2024-06-26T00:00:00"/>
    <s v="CUST-0227"/>
    <s v="PROD-048"/>
    <s v="R012"/>
    <n v="2"/>
    <n v="5100"/>
    <n v="19.899999999999999"/>
    <n v="8170.2"/>
    <s v="Completed"/>
    <s v="Bengaluru"/>
    <x v="5"/>
    <m/>
    <s v="SMB"/>
    <n v="44"/>
    <x v="0"/>
  </r>
  <r>
    <s v="ORD-01093"/>
    <d v="2024-12-30T00:00:00"/>
    <s v="CUST-0124"/>
    <s v="PROD-047"/>
    <s v="R001"/>
    <n v="6"/>
    <n v="3450"/>
    <n v="13"/>
    <n v="18009"/>
    <s v="Completed"/>
    <s v="Pune"/>
    <x v="5"/>
    <m/>
    <s v="Retail"/>
    <n v="57"/>
    <x v="0"/>
  </r>
  <r>
    <s v="ORD-01094"/>
    <d v="2024-12-27T00:00:00"/>
    <s v="CUST-0276"/>
    <s v="PROD-031"/>
    <s v="R012"/>
    <n v="9"/>
    <n v="3730"/>
    <n v="15.5"/>
    <n v="28366.65"/>
    <s v="Completed"/>
    <s v="Chennai"/>
    <x v="3"/>
    <m/>
    <s v="Retail"/>
    <n v="26"/>
    <x v="1"/>
  </r>
  <r>
    <s v="ORD-01095"/>
    <d v="2024-05-28T00:00:00"/>
    <s v="CUST-0100"/>
    <s v="PROD-049"/>
    <s v="R020"/>
    <n v="5"/>
    <n v="960"/>
    <n v="9.3000000000000007"/>
    <n v="4353.6000000000004"/>
    <s v="Completed"/>
    <s v="Hyderabad"/>
    <x v="5"/>
    <m/>
    <s v="Corporate"/>
    <n v="60"/>
    <x v="0"/>
  </r>
  <r>
    <s v="ORD-01096"/>
    <d v="2024-08-07T00:00:00"/>
    <s v="CUST-0221"/>
    <s v="PROD-034"/>
    <s v="R008"/>
    <n v="3"/>
    <n v="5080"/>
    <n v="17.399999999999999"/>
    <n v="12588.24"/>
    <s v="Cancelled"/>
    <s v="Delhi"/>
    <x v="3"/>
    <m/>
    <s v="SMB"/>
    <n v="29"/>
    <x v="3"/>
  </r>
  <r>
    <s v="ORD-01097"/>
    <d v="2024-01-09T00:00:00"/>
    <s v="CUST-0266"/>
    <s v="PROD-004"/>
    <s v="R003"/>
    <n v="4"/>
    <n v="3870"/>
    <n v="20.5"/>
    <n v="12306.6"/>
    <s v="Pending"/>
    <s v="Pune"/>
    <x v="4"/>
    <m/>
    <s v="Retail"/>
    <n v="65"/>
    <x v="0"/>
  </r>
  <r>
    <s v="ORD-01098"/>
    <d v="2024-08-24T00:00:00"/>
    <s v="CUST-0210"/>
    <s v="PROD-059"/>
    <s v="R024"/>
    <n v="1"/>
    <n v="3780"/>
    <n v="21.5"/>
    <n v="2967.3"/>
    <s v="Completed"/>
    <s v="Pune"/>
    <x v="1"/>
    <m/>
    <s v="Corporate"/>
    <n v="48"/>
    <x v="0"/>
  </r>
  <r>
    <s v="ORD-01099"/>
    <d v="2024-11-26T00:00:00"/>
    <s v="CUST-0293"/>
    <s v="PROD-004"/>
    <s v="R017"/>
    <n v="3"/>
    <n v="3870"/>
    <n v="21.9"/>
    <n v="9067.41"/>
    <s v="Pending"/>
    <s v="Bengaluru"/>
    <x v="4"/>
    <m/>
    <s v="Retail"/>
    <n v="27"/>
    <x v="2"/>
  </r>
  <r>
    <s v="ORD-01100"/>
    <d v="2024-06-20T00:00:00"/>
    <s v="CUST-0291"/>
    <s v="PROD-033"/>
    <s v="R009"/>
    <n v="4"/>
    <n v="2030"/>
    <n v="23.4"/>
    <n v="6219.92"/>
    <s v="Completed"/>
    <s v="Pune"/>
    <x v="3"/>
    <m/>
    <s v="SMB"/>
    <n v="29"/>
    <x v="3"/>
  </r>
  <r>
    <s v="ORD-01101"/>
    <d v="2024-04-25T00:00:00"/>
    <s v="CUST-0295"/>
    <s v="PROD-029"/>
    <s v="R003"/>
    <n v="6"/>
    <n v="2210"/>
    <n v="9.1"/>
    <n v="12053.34"/>
    <s v="Completed"/>
    <s v="Delhi"/>
    <x v="2"/>
    <m/>
    <s v="SMB"/>
    <n v="48"/>
    <x v="0"/>
  </r>
  <r>
    <s v="ORD-01102"/>
    <d v="2024-12-01T00:00:00"/>
    <s v="CUST-0123"/>
    <s v="PROD-041"/>
    <s v="R017"/>
    <n v="5"/>
    <n v="1540"/>
    <n v="18.100000000000001"/>
    <n v="6306.3"/>
    <s v="Completed"/>
    <s v="Chennai"/>
    <x v="5"/>
    <m/>
    <s v="Corporate"/>
    <n v="44"/>
    <x v="0"/>
  </r>
  <r>
    <s v="ORD-01103"/>
    <d v="2024-04-11T00:00:00"/>
    <s v="CUST-0167"/>
    <s v="PROD-054"/>
    <s v="R011"/>
    <n v="1"/>
    <n v="1010"/>
    <n v="7.3"/>
    <n v="936.27"/>
    <s v="Completed"/>
    <s v="Delhi"/>
    <x v="1"/>
    <m/>
    <s v="Retail"/>
    <n v="43"/>
    <x v="0"/>
  </r>
  <r>
    <s v="ORD-01104"/>
    <d v="2024-03-09T00:00:00"/>
    <s v="CUST-0247"/>
    <s v="PROD-001"/>
    <s v="R015"/>
    <n v="10"/>
    <n v="5330"/>
    <n v="27.3"/>
    <n v="38749.1"/>
    <s v="Completed"/>
    <s v="Pune"/>
    <x v="4"/>
    <m/>
    <s v="SMB"/>
    <n v="35"/>
    <x v="4"/>
  </r>
  <r>
    <s v="ORD-01105"/>
    <d v="2024-09-13T00:00:00"/>
    <s v="CUST-0224"/>
    <s v="PROD-003"/>
    <s v="R022"/>
    <n v="7"/>
    <n v="3570"/>
    <n v="24.3"/>
    <n v="18917.43"/>
    <s v="Completed"/>
    <s v="Chennai"/>
    <x v="4"/>
    <m/>
    <s v="Corporate"/>
    <n v="24"/>
    <x v="4"/>
  </r>
  <r>
    <s v="ORD-01106"/>
    <d v="2024-10-04T00:00:00"/>
    <s v="CUST-0102"/>
    <s v="PROD-043"/>
    <s v="R017"/>
    <n v="1"/>
    <n v="3350"/>
    <n v="14.9"/>
    <n v="2850.85"/>
    <s v="Completed"/>
    <s v="Chennai"/>
    <x v="5"/>
    <m/>
    <s v="SMB"/>
    <n v="62"/>
    <x v="0"/>
  </r>
  <r>
    <s v="ORD-01107"/>
    <d v="2024-09-06T00:00:00"/>
    <s v="CUST-0151"/>
    <s v="PROD-017"/>
    <s v="R023"/>
    <n v="2"/>
    <n v="2510"/>
    <n v="10.6"/>
    <n v="4487.88"/>
    <s v="Completed"/>
    <s v="Mumbai"/>
    <x v="0"/>
    <m/>
    <s v="Retail"/>
    <n v="53"/>
    <x v="0"/>
  </r>
  <r>
    <s v="ORD-01108"/>
    <d v="2024-03-18T00:00:00"/>
    <s v="CUST-0182"/>
    <s v="PROD-030"/>
    <s v="R025"/>
    <n v="5"/>
    <n v="970"/>
    <n v="6.8"/>
    <n v="4520.2"/>
    <s v="Pending"/>
    <s v="Mumbai"/>
    <x v="2"/>
    <m/>
    <s v="Retail"/>
    <n v="54"/>
    <x v="0"/>
  </r>
  <r>
    <s v="ORD-01109"/>
    <d v="2024-08-15T00:00:00"/>
    <s v="CUST-0152"/>
    <s v="PROD-027"/>
    <s v="R002"/>
    <n v="5"/>
    <n v="3780"/>
    <n v="16.600000000000001"/>
    <n v="15762.6"/>
    <s v="Completed"/>
    <s v="Bengaluru"/>
    <x v="2"/>
    <m/>
    <s v="SMB"/>
    <n v="64"/>
    <x v="0"/>
  </r>
  <r>
    <s v="ORD-01110"/>
    <d v="2024-03-28T00:00:00"/>
    <s v="CUST-0247"/>
    <s v="PROD-017"/>
    <s v="R007"/>
    <n v="3"/>
    <n v="2510"/>
    <n v="24.9"/>
    <n v="5655.03"/>
    <s v="Cancelled"/>
    <s v="Pune"/>
    <x v="0"/>
    <m/>
    <s v="SMB"/>
    <n v="35"/>
    <x v="1"/>
  </r>
  <r>
    <s v="ORD-01111"/>
    <d v="2024-09-13T00:00:00"/>
    <s v="CUST-0220"/>
    <s v="PROD-033"/>
    <s v="R008"/>
    <n v="3"/>
    <n v="2030"/>
    <n v="3.8"/>
    <n v="5858.58"/>
    <s v="Completed"/>
    <s v="Chennai"/>
    <x v="3"/>
    <m/>
    <s v="Retail"/>
    <n v="34"/>
    <x v="1"/>
  </r>
  <r>
    <s v="ORD-01112"/>
    <d v="2024-07-05T00:00:00"/>
    <s v="CUST-0206"/>
    <s v="PROD-060"/>
    <s v="R014"/>
    <n v="9"/>
    <n v="190"/>
    <n v="5.4"/>
    <n v="1617.66"/>
    <s v="Completed"/>
    <s v="Mumbai"/>
    <x v="1"/>
    <m/>
    <s v="Retail"/>
    <n v="40"/>
    <x v="1"/>
  </r>
  <r>
    <s v="ORD-01113"/>
    <d v="2024-02-16T00:00:00"/>
    <s v="CUST-0219"/>
    <s v="PROD-029"/>
    <s v="R020"/>
    <n v="6"/>
    <n v="2210"/>
    <n v="29.4"/>
    <n v="9361.56"/>
    <s v="Completed"/>
    <s v="Chennai"/>
    <x v="2"/>
    <m/>
    <s v="Corporate"/>
    <n v="38"/>
    <x v="4"/>
  </r>
  <r>
    <s v="ORD-01114"/>
    <d v="2024-09-11T00:00:00"/>
    <s v="CUST-0298"/>
    <s v="PROD-013"/>
    <s v="R005"/>
    <n v="4"/>
    <n v="3640"/>
    <n v="0.6"/>
    <n v="14472.64"/>
    <s v="Completed"/>
    <s v="Delhi"/>
    <x v="0"/>
    <m/>
    <s v="Retail"/>
    <n v="44"/>
    <x v="0"/>
  </r>
  <r>
    <s v="ORD-01115"/>
    <d v="2024-11-30T00:00:00"/>
    <s v="CUST-0254"/>
    <s v="PROD-009"/>
    <s v="R009"/>
    <n v="9"/>
    <n v="1220"/>
    <n v="24.1"/>
    <n v="8333.82"/>
    <s v="Completed"/>
    <s v="Bengaluru"/>
    <x v="4"/>
    <m/>
    <s v="Retail"/>
    <n v="35"/>
    <x v="1"/>
  </r>
  <r>
    <s v="ORD-01116"/>
    <d v="2024-04-20T00:00:00"/>
    <s v="CUST-0085"/>
    <s v="PROD-056"/>
    <s v="R009"/>
    <n v="2"/>
    <n v="6940"/>
    <n v="27"/>
    <n v="10132.4"/>
    <s v="Completed"/>
    <s v="Chennai"/>
    <x v="1"/>
    <m/>
    <s v="Retail"/>
    <n v="26"/>
    <x v="4"/>
  </r>
  <r>
    <s v="ORD-01117"/>
    <d v="2024-11-08T00:00:00"/>
    <s v="CUST-0181"/>
    <s v="PROD-055"/>
    <s v="R010"/>
    <n v="6"/>
    <n v="2860"/>
    <n v="6.6"/>
    <n v="16027.44"/>
    <s v="Completed"/>
    <s v="Delhi"/>
    <x v="1"/>
    <m/>
    <s v="SMB"/>
    <n v="38"/>
    <x v="4"/>
  </r>
  <r>
    <s v="ORD-01118"/>
    <d v="2024-09-10T00:00:00"/>
    <s v="CUST-0143"/>
    <s v="PROD-015"/>
    <s v="R018"/>
    <n v="5"/>
    <n v="2720"/>
    <n v="21.4"/>
    <n v="10689.6"/>
    <s v="Completed"/>
    <s v="Chennai"/>
    <x v="0"/>
    <m/>
    <s v="SMB"/>
    <n v="52"/>
    <x v="0"/>
  </r>
  <r>
    <s v="ORD-01119"/>
    <d v="2024-06-02T00:00:00"/>
    <s v="CUST-0263"/>
    <s v="PROD-020"/>
    <s v="R006"/>
    <n v="5"/>
    <n v="820"/>
    <n v="28.6"/>
    <n v="2927.4"/>
    <s v="Completed"/>
    <s v="Mumbai"/>
    <x v="0"/>
    <m/>
    <s v="Retail"/>
    <n v="40"/>
    <x v="3"/>
  </r>
  <r>
    <s v="ORD-01120"/>
    <d v="2024-07-16T00:00:00"/>
    <s v="CUST-0105"/>
    <s v="PROD-042"/>
    <s v="R022"/>
    <n v="6"/>
    <n v="2290"/>
    <n v="18.8"/>
    <n v="11156.88"/>
    <s v="Completed"/>
    <s v="Chennai"/>
    <x v="5"/>
    <m/>
    <s v="SMB"/>
    <n v="51"/>
    <x v="0"/>
  </r>
  <r>
    <s v="ORD-01121"/>
    <d v="2024-04-12T00:00:00"/>
    <s v="CUST-0256"/>
    <s v="PROD-047"/>
    <s v="R021"/>
    <n v="6"/>
    <n v="3450"/>
    <n v="28.4"/>
    <n v="14821.2"/>
    <s v="Completed"/>
    <s v="Hyderabad"/>
    <x v="5"/>
    <m/>
    <s v="Retail"/>
    <n v="28"/>
    <x v="3"/>
  </r>
  <r>
    <s v="ORD-01122"/>
    <d v="2024-02-18T00:00:00"/>
    <s v="CUST-0260"/>
    <s v="PROD-033"/>
    <s v="R002"/>
    <n v="10"/>
    <n v="2030"/>
    <n v="8"/>
    <n v="18676"/>
    <s v="Completed"/>
    <s v="Bengaluru"/>
    <x v="3"/>
    <m/>
    <s v="Retail"/>
    <n v="42"/>
    <x v="0"/>
  </r>
  <r>
    <s v="ORD-01123"/>
    <d v="2024-03-27T00:00:00"/>
    <s v="CUST-0233"/>
    <s v="PROD-058"/>
    <s v="R022"/>
    <n v="1"/>
    <n v="2400"/>
    <n v="9.6999999999999993"/>
    <n v="2167.1999999999998"/>
    <s v="Completed"/>
    <s v="Mumbai"/>
    <x v="1"/>
    <m/>
    <s v="SMB"/>
    <n v="65"/>
    <x v="0"/>
  </r>
  <r>
    <s v="ORD-01124"/>
    <d v="2024-03-18T00:00:00"/>
    <s v="CUST-0183"/>
    <s v="PROD-033"/>
    <s v="R014"/>
    <n v="4"/>
    <n v="2030"/>
    <n v="24.8"/>
    <n v="6106.24"/>
    <s v="Pending"/>
    <s v="Mumbai"/>
    <x v="3"/>
    <m/>
    <s v="SMB"/>
    <n v="27"/>
    <x v="3"/>
  </r>
  <r>
    <s v="ORD-01125"/>
    <d v="2024-08-09T00:00:00"/>
    <s v="CUST-0142"/>
    <s v="PROD-025"/>
    <s v="R002"/>
    <n v="5"/>
    <n v="4060"/>
    <n v="9.1"/>
    <n v="18452.7"/>
    <s v="Pending"/>
    <s v="Chennai"/>
    <x v="2"/>
    <m/>
    <s v="Corporate"/>
    <n v="55"/>
    <x v="0"/>
  </r>
  <r>
    <s v="ORD-01126"/>
    <d v="2024-05-26T00:00:00"/>
    <s v="CUST-0150"/>
    <s v="PROD-033"/>
    <s v="R013"/>
    <n v="9"/>
    <n v="2030"/>
    <n v="15.9"/>
    <n v="15365.07"/>
    <s v="Pending"/>
    <s v="Pune"/>
    <x v="3"/>
    <m/>
    <s v="SMB"/>
    <n v="53"/>
    <x v="0"/>
  </r>
  <r>
    <s v="ORD-01127"/>
    <d v="2024-08-25T00:00:00"/>
    <s v="CUST-0001"/>
    <s v="PROD-043"/>
    <s v="R014"/>
    <n v="1"/>
    <n v="3350"/>
    <n v="23.2"/>
    <n v="2572.8000000000002"/>
    <s v="Refunded"/>
    <s v="Pune"/>
    <x v="5"/>
    <m/>
    <s v="Retail"/>
    <n v="36"/>
    <x v="4"/>
  </r>
  <r>
    <s v="ORD-01128"/>
    <d v="2024-12-08T00:00:00"/>
    <s v="CUST-0104"/>
    <s v="PROD-037"/>
    <s v="R006"/>
    <n v="4"/>
    <n v="660"/>
    <n v="27.1"/>
    <n v="1924.56"/>
    <s v="Completed"/>
    <s v="Hyderabad"/>
    <x v="3"/>
    <m/>
    <s v="Corporate"/>
    <n v="43"/>
    <x v="0"/>
  </r>
  <r>
    <s v="ORD-01129"/>
    <d v="2024-05-29T00:00:00"/>
    <s v="CUST-0261"/>
    <s v="PROD-045"/>
    <s v="R014"/>
    <n v="3"/>
    <n v="3020"/>
    <n v="7.2"/>
    <n v="8407.68"/>
    <s v="Completed"/>
    <s v="Delhi"/>
    <x v="5"/>
    <m/>
    <s v="Retail"/>
    <n v="54"/>
    <x v="0"/>
  </r>
  <r>
    <s v="ORD-01130"/>
    <d v="2024-04-27T00:00:00"/>
    <s v="CUST-0010"/>
    <s v="PROD-008"/>
    <s v="R006"/>
    <n v="3"/>
    <n v="2660"/>
    <n v="0.2"/>
    <n v="7964.04"/>
    <s v="Completed"/>
    <s v="Mumbai"/>
    <x v="4"/>
    <m/>
    <s v="SMB"/>
    <n v="61"/>
    <x v="0"/>
  </r>
  <r>
    <s v="ORD-01131"/>
    <d v="2024-12-24T00:00:00"/>
    <s v="CUST-0237"/>
    <s v="PROD-054"/>
    <s v="R006"/>
    <n v="4"/>
    <n v="1010"/>
    <n v="3.1"/>
    <n v="3914.76"/>
    <s v="Completed"/>
    <s v="Mumbai"/>
    <x v="1"/>
    <m/>
    <s v="Retail"/>
    <n v="49"/>
    <x v="0"/>
  </r>
  <r>
    <s v="ORD-01132"/>
    <d v="2024-03-29T00:00:00"/>
    <s v="CUST-0128"/>
    <s v="PROD-038"/>
    <s v="R017"/>
    <n v="5"/>
    <n v="5490"/>
    <n v="3.6"/>
    <n v="26461.8"/>
    <s v="Completed"/>
    <s v="Hyderabad"/>
    <x v="3"/>
    <m/>
    <s v="Retail"/>
    <n v="35"/>
    <x v="1"/>
  </r>
  <r>
    <s v="ORD-01133"/>
    <d v="2024-01-31T00:00:00"/>
    <s v="CUST-0182"/>
    <s v="PROD-058"/>
    <s v="R019"/>
    <n v="1"/>
    <n v="2400"/>
    <n v="24.3"/>
    <n v="1816.8"/>
    <s v="Completed"/>
    <s v="Mumbai"/>
    <x v="1"/>
    <m/>
    <s v="Retail"/>
    <n v="54"/>
    <x v="0"/>
  </r>
  <r>
    <s v="ORD-01134"/>
    <d v="2024-08-28T00:00:00"/>
    <s v="CUST-0131"/>
    <s v="PROD-037"/>
    <s v="R009"/>
    <n v="8"/>
    <n v="660"/>
    <n v="19.8"/>
    <n v="4234.5600000000004"/>
    <s v="Completed"/>
    <s v="Delhi"/>
    <x v="3"/>
    <m/>
    <s v="SMB"/>
    <n v="28"/>
    <x v="3"/>
  </r>
  <r>
    <s v="ORD-01135"/>
    <d v="2024-07-31T00:00:00"/>
    <s v="CUST-0023"/>
    <s v="PROD-001"/>
    <s v="R016"/>
    <n v="9"/>
    <n v="5330"/>
    <n v="16.5"/>
    <n v="40054.949999999997"/>
    <s v="Completed"/>
    <s v="Chennai"/>
    <x v="4"/>
    <m/>
    <s v="SMB"/>
    <n v="43"/>
    <x v="0"/>
  </r>
  <r>
    <s v="ORD-01136"/>
    <d v="2024-08-12T00:00:00"/>
    <s v="CUST-0171"/>
    <s v="PROD-002"/>
    <s v="R007"/>
    <n v="5"/>
    <n v="2600"/>
    <n v="0.3"/>
    <n v="12961"/>
    <s v="Completed"/>
    <s v="Chennai"/>
    <x v="4"/>
    <m/>
    <s v="Corporate"/>
    <n v="30"/>
    <x v="4"/>
  </r>
  <r>
    <s v="ORD-01137"/>
    <d v="2024-06-19T00:00:00"/>
    <s v="CUST-0116"/>
    <s v="PROD-034"/>
    <s v="R018"/>
    <n v="4"/>
    <n v="5080"/>
    <n v="13.8"/>
    <n v="17515.84"/>
    <s v="Pending"/>
    <s v="Bengaluru"/>
    <x v="3"/>
    <m/>
    <s v="Retail"/>
    <n v="53"/>
    <x v="0"/>
  </r>
  <r>
    <s v="ORD-01138"/>
    <d v="2024-11-01T00:00:00"/>
    <s v="CUST-0021"/>
    <s v="PROD-023"/>
    <s v="R002"/>
    <n v="7"/>
    <n v="2380"/>
    <n v="15.5"/>
    <n v="14077.7"/>
    <s v="Completed"/>
    <s v="Pune"/>
    <x v="2"/>
    <m/>
    <s v="Retail"/>
    <n v="44"/>
    <x v="0"/>
  </r>
  <r>
    <s v="ORD-01139"/>
    <d v="2024-12-22T00:00:00"/>
    <s v="CUST-0234"/>
    <s v="PROD-046"/>
    <s v="R006"/>
    <n v="3"/>
    <n v="4880"/>
    <n v="6.1"/>
    <n v="13746.96"/>
    <s v="Completed"/>
    <s v="Bengaluru"/>
    <x v="5"/>
    <m/>
    <s v="Retail"/>
    <n v="34"/>
    <x v="1"/>
  </r>
  <r>
    <s v="ORD-01140"/>
    <d v="2024-03-04T00:00:00"/>
    <s v="CUST-0225"/>
    <s v="PROD-043"/>
    <s v="R009"/>
    <n v="2"/>
    <n v="3350"/>
    <n v="17.2"/>
    <n v="5547.6"/>
    <s v="Completed"/>
    <s v="Chennai"/>
    <x v="5"/>
    <m/>
    <s v="SMB"/>
    <n v="26"/>
    <x v="1"/>
  </r>
  <r>
    <s v="ORD-01141"/>
    <d v="2024-02-09T00:00:00"/>
    <s v="CUST-0268"/>
    <s v="PROD-030"/>
    <s v="R024"/>
    <n v="5"/>
    <n v="970"/>
    <n v="23.6"/>
    <n v="3705.4"/>
    <s v="Completed"/>
    <s v="Chennai"/>
    <x v="2"/>
    <m/>
    <s v="Retail"/>
    <n v="35"/>
    <x v="4"/>
  </r>
  <r>
    <s v="ORD-01142"/>
    <d v="2024-12-06T00:00:00"/>
    <s v="CUST-0248"/>
    <s v="PROD-005"/>
    <s v="R022"/>
    <n v="5"/>
    <n v="300"/>
    <n v="3.8"/>
    <n v="1443"/>
    <s v="Completed"/>
    <s v="Chennai"/>
    <x v="4"/>
    <m/>
    <s v="SMB"/>
    <n v="57"/>
    <x v="0"/>
  </r>
  <r>
    <s v="ORD-01143"/>
    <d v="2024-03-07T00:00:00"/>
    <s v="CUST-0026"/>
    <s v="PROD-006"/>
    <s v="R005"/>
    <n v="9"/>
    <n v="3970"/>
    <n v="0.8"/>
    <n v="35444.160000000003"/>
    <s v="Completed"/>
    <s v="Pune"/>
    <x v="4"/>
    <m/>
    <s v="Retail"/>
    <n v="62"/>
    <x v="0"/>
  </r>
  <r>
    <s v="ORD-01144"/>
    <d v="2024-05-28T00:00:00"/>
    <s v="CUST-0257"/>
    <s v="PROD-015"/>
    <s v="R013"/>
    <n v="4"/>
    <n v="2720"/>
    <n v="12.7"/>
    <n v="9498.24"/>
    <s v="Completed"/>
    <s v="Mumbai"/>
    <x v="0"/>
    <m/>
    <s v="Corporate"/>
    <n v="46"/>
    <x v="0"/>
  </r>
  <r>
    <s v="ORD-01145"/>
    <d v="2024-04-30T00:00:00"/>
    <s v="CUST-0258"/>
    <s v="PROD-016"/>
    <s v="R021"/>
    <n v="3"/>
    <n v="620"/>
    <n v="5.5"/>
    <n v="1757.7"/>
    <s v="Completed"/>
    <s v="Pune"/>
    <x v="0"/>
    <m/>
    <s v="Retail"/>
    <n v="44"/>
    <x v="0"/>
  </r>
  <r>
    <s v="ORD-01146"/>
    <d v="2024-07-06T00:00:00"/>
    <s v="CUST-0142"/>
    <s v="PROD-041"/>
    <s v="R024"/>
    <n v="2"/>
    <n v="1540"/>
    <n v="2.2000000000000002"/>
    <n v="3012.24"/>
    <s v="Pending"/>
    <s v="Chennai"/>
    <x v="5"/>
    <m/>
    <s v="Corporate"/>
    <n v="55"/>
    <x v="0"/>
  </r>
  <r>
    <s v="ORD-01147"/>
    <d v="2024-08-30T00:00:00"/>
    <s v="CUST-0020"/>
    <s v="PROD-042"/>
    <s v="R026"/>
    <n v="1"/>
    <n v="2290"/>
    <n v="24.4"/>
    <n v="1731.24"/>
    <s v="Cancelled"/>
    <s v="Hyderabad"/>
    <x v="5"/>
    <m/>
    <s v="Retail"/>
    <n v="46"/>
    <x v="0"/>
  </r>
  <r>
    <s v="ORD-01148"/>
    <d v="2024-01-22T00:00:00"/>
    <s v="CUST-0016"/>
    <s v="PROD-015"/>
    <s v="R018"/>
    <n v="8"/>
    <n v="2720"/>
    <n v="1.7"/>
    <n v="21390.080000000002"/>
    <s v="Completed"/>
    <s v="Delhi"/>
    <x v="0"/>
    <m/>
    <s v="SMB"/>
    <n v="26"/>
    <x v="2"/>
  </r>
  <r>
    <s v="ORD-01149"/>
    <d v="2024-04-08T00:00:00"/>
    <s v="CUST-0288"/>
    <s v="PROD-025"/>
    <s v="R023"/>
    <n v="4"/>
    <n v="4060"/>
    <n v="19.600000000000001"/>
    <n v="13056.96"/>
    <s v="Cancelled"/>
    <s v="Hyderabad"/>
    <x v="2"/>
    <m/>
    <s v="Corporate"/>
    <n v="25"/>
    <x v="3"/>
  </r>
  <r>
    <s v="ORD-01150"/>
    <d v="2024-03-19T00:00:00"/>
    <s v="CUST-0133"/>
    <s v="PROD-003"/>
    <s v="R016"/>
    <n v="8"/>
    <n v="3570"/>
    <n v="10.8"/>
    <n v="25475.52"/>
    <s v="Completed"/>
    <s v="Chennai"/>
    <x v="4"/>
    <m/>
    <s v="Retail"/>
    <n v="26"/>
    <x v="3"/>
  </r>
  <r>
    <s v="ORD-01151"/>
    <d v="2024-02-02T00:00:00"/>
    <s v="CUST-0192"/>
    <s v="PROD-051"/>
    <s v="R004"/>
    <n v="10"/>
    <n v="3450"/>
    <n v="13.5"/>
    <n v="29842.5"/>
    <s v="Pending"/>
    <s v="Bengaluru"/>
    <x v="1"/>
    <m/>
    <s v="Retail"/>
    <n v="55"/>
    <x v="0"/>
  </r>
  <r>
    <s v="ORD-01152"/>
    <d v="2024-06-26T00:00:00"/>
    <s v="CUST-0298"/>
    <s v="PROD-010"/>
    <s v="R007"/>
    <n v="10"/>
    <n v="2640"/>
    <n v="29.8"/>
    <n v="18532.8"/>
    <s v="Completed"/>
    <s v="Delhi"/>
    <x v="4"/>
    <m/>
    <s v="Retail"/>
    <n v="44"/>
    <x v="0"/>
  </r>
  <r>
    <s v="ORD-01153"/>
    <d v="2024-11-23T00:00:00"/>
    <s v="CUST-0088"/>
    <s v="PROD-032"/>
    <s v="R009"/>
    <n v="3"/>
    <n v="370"/>
    <n v="25.5"/>
    <n v="826.95"/>
    <s v="Completed"/>
    <s v="Chennai"/>
    <x v="3"/>
    <m/>
    <s v="Retail"/>
    <n v="24"/>
    <x v="1"/>
  </r>
  <r>
    <s v="ORD-01154"/>
    <d v="2024-12-01T00:00:00"/>
    <s v="CUST-0274"/>
    <s v="PROD-009"/>
    <s v="R030"/>
    <n v="3"/>
    <n v="1220"/>
    <n v="7.7"/>
    <n v="3378.18"/>
    <s v="Pending"/>
    <s v="Bengaluru"/>
    <x v="4"/>
    <m/>
    <s v="Corporate"/>
    <n v="36"/>
    <x v="4"/>
  </r>
  <r>
    <s v="ORD-01155"/>
    <d v="2024-07-26T00:00:00"/>
    <s v="CUST-0165"/>
    <s v="PROD-010"/>
    <s v="R022"/>
    <n v="1"/>
    <n v="2640"/>
    <n v="23.6"/>
    <n v="2016.96"/>
    <s v="Completed"/>
    <s v="Pune"/>
    <x v="4"/>
    <m/>
    <s v="Retail"/>
    <n v="29"/>
    <x v="2"/>
  </r>
  <r>
    <s v="ORD-01156"/>
    <d v="2024-09-28T00:00:00"/>
    <s v="CUST-0275"/>
    <s v="PROD-048"/>
    <s v="R011"/>
    <n v="9"/>
    <n v="5100"/>
    <n v="9.5"/>
    <n v="41539.5"/>
    <s v="Completed"/>
    <s v="Mumbai"/>
    <x v="5"/>
    <m/>
    <s v="Retail"/>
    <n v="36"/>
    <x v="3"/>
  </r>
  <r>
    <s v="ORD-01157"/>
    <d v="2024-05-23T00:00:00"/>
    <s v="CUST-0225"/>
    <s v="PROD-050"/>
    <s v="R008"/>
    <n v="7"/>
    <n v="6080"/>
    <n v="17.5"/>
    <n v="35112"/>
    <s v="Completed"/>
    <s v="Chennai"/>
    <x v="5"/>
    <m/>
    <s v="SMB"/>
    <n v="26"/>
    <x v="4"/>
  </r>
  <r>
    <s v="ORD-01158"/>
    <d v="2024-11-06T00:00:00"/>
    <s v="CUST-0059"/>
    <s v="PROD-005"/>
    <s v="R026"/>
    <n v="1"/>
    <n v="300"/>
    <n v="26.9"/>
    <n v="219.3"/>
    <s v="Completed"/>
    <s v="Pune"/>
    <x v="4"/>
    <m/>
    <s v="Corporate"/>
    <n v="29"/>
    <x v="1"/>
  </r>
  <r>
    <s v="ORD-01159"/>
    <d v="2024-12-24T00:00:00"/>
    <s v="CUST-0149"/>
    <s v="PROD-045"/>
    <s v="R020"/>
    <n v="6"/>
    <n v="3020"/>
    <n v="28.5"/>
    <n v="12955.8"/>
    <s v="Completed"/>
    <s v="Hyderabad"/>
    <x v="5"/>
    <m/>
    <s v="Retail"/>
    <n v="44"/>
    <x v="0"/>
  </r>
  <r>
    <s v="ORD-01160"/>
    <d v="2024-01-03T00:00:00"/>
    <s v="CUST-0283"/>
    <s v="PROD-005"/>
    <s v="R018"/>
    <n v="8"/>
    <n v="300"/>
    <n v="1.2"/>
    <n v="2371.1999999999998"/>
    <s v="Completed"/>
    <s v="Delhi"/>
    <x v="4"/>
    <m/>
    <s v="SMB"/>
    <n v="50"/>
    <x v="0"/>
  </r>
  <r>
    <s v="ORD-01161"/>
    <d v="2024-08-19T00:00:00"/>
    <s v="CUST-0039"/>
    <s v="PROD-043"/>
    <s v="R011"/>
    <n v="9"/>
    <n v="3350"/>
    <n v="0.6"/>
    <n v="29969.1"/>
    <s v="Refunded"/>
    <s v="Bengaluru"/>
    <x v="5"/>
    <m/>
    <s v="Retail"/>
    <n v="37"/>
    <x v="3"/>
  </r>
  <r>
    <s v="ORD-01162"/>
    <d v="2024-07-06T00:00:00"/>
    <s v="CUST-0046"/>
    <s v="PROD-026"/>
    <s v="R024"/>
    <n v="4"/>
    <n v="4070"/>
    <n v="10.1"/>
    <n v="14635.72"/>
    <s v="Completed"/>
    <s v="Delhi"/>
    <x v="2"/>
    <m/>
    <s v="SMB"/>
    <n v="45"/>
    <x v="0"/>
  </r>
  <r>
    <s v="ORD-01163"/>
    <d v="2024-11-18T00:00:00"/>
    <s v="CUST-0105"/>
    <s v="PROD-059"/>
    <s v="R024"/>
    <n v="9"/>
    <n v="3780"/>
    <n v="27.8"/>
    <n v="24562.44"/>
    <s v="Cancelled"/>
    <s v="Chennai"/>
    <x v="1"/>
    <m/>
    <s v="SMB"/>
    <n v="51"/>
    <x v="0"/>
  </r>
  <r>
    <s v="ORD-01164"/>
    <d v="2024-04-25T00:00:00"/>
    <s v="CUST-0006"/>
    <s v="PROD-040"/>
    <s v="R030"/>
    <n v="6"/>
    <n v="1080"/>
    <n v="17.5"/>
    <n v="5346"/>
    <s v="Completed"/>
    <s v="Pune"/>
    <x v="3"/>
    <m/>
    <s v="SMB"/>
    <n v="44"/>
    <x v="0"/>
  </r>
  <r>
    <s v="ORD-01165"/>
    <d v="2024-11-07T00:00:00"/>
    <s v="CUST-0192"/>
    <s v="PROD-002"/>
    <s v="R023"/>
    <n v="3"/>
    <n v="2600"/>
    <n v="1.9"/>
    <n v="7651.8"/>
    <s v="Completed"/>
    <s v="Bengaluru"/>
    <x v="4"/>
    <m/>
    <s v="Retail"/>
    <n v="55"/>
    <x v="0"/>
  </r>
  <r>
    <s v="ORD-01166"/>
    <d v="2024-03-24T00:00:00"/>
    <s v="CUST-0290"/>
    <s v="PROD-015"/>
    <s v="R008"/>
    <n v="5"/>
    <n v="2720"/>
    <n v="1.8"/>
    <n v="13355.2"/>
    <s v="Cancelled"/>
    <s v="Delhi"/>
    <x v="0"/>
    <m/>
    <s v="Retail"/>
    <n v="63"/>
    <x v="0"/>
  </r>
  <r>
    <s v="ORD-01167"/>
    <d v="2024-07-12T00:00:00"/>
    <s v="CUST-0287"/>
    <s v="PROD-028"/>
    <s v="R012"/>
    <n v="8"/>
    <n v="3660"/>
    <n v="29.5"/>
    <n v="20642.400000000001"/>
    <s v="Completed"/>
    <s v="Chennai"/>
    <x v="2"/>
    <m/>
    <s v="SMB"/>
    <n v="53"/>
    <x v="0"/>
  </r>
  <r>
    <s v="ORD-01168"/>
    <d v="2024-10-02T00:00:00"/>
    <s v="CUST-0025"/>
    <s v="PROD-044"/>
    <s v="R005"/>
    <n v="9"/>
    <n v="1650"/>
    <n v="19.8"/>
    <n v="11909.7"/>
    <s v="Refunded"/>
    <s v="Bengaluru"/>
    <x v="5"/>
    <m/>
    <s v="Retail"/>
    <n v="23"/>
    <x v="4"/>
  </r>
  <r>
    <s v="ORD-01169"/>
    <d v="2024-07-29T00:00:00"/>
    <s v="CUST-0139"/>
    <s v="PROD-055"/>
    <s v="R019"/>
    <n v="3"/>
    <n v="2860"/>
    <n v="22.7"/>
    <n v="6632.34"/>
    <s v="Completed"/>
    <s v="Hyderabad"/>
    <x v="1"/>
    <m/>
    <s v="SMB"/>
    <n v="65"/>
    <x v="0"/>
  </r>
  <r>
    <s v="ORD-01170"/>
    <d v="2024-05-17T00:00:00"/>
    <s v="CUST-0278"/>
    <s v="PROD-051"/>
    <s v="R025"/>
    <n v="4"/>
    <n v="3450"/>
    <n v="9.1999999999999993"/>
    <n v="12530.4"/>
    <s v="Completed"/>
    <s v="Hyderabad"/>
    <x v="1"/>
    <m/>
    <s v="Retail"/>
    <n v="41"/>
    <x v="0"/>
  </r>
  <r>
    <s v="ORD-01171"/>
    <d v="2024-04-23T00:00:00"/>
    <s v="CUST-0258"/>
    <s v="PROD-033"/>
    <s v="R003"/>
    <n v="4"/>
    <n v="2030"/>
    <n v="17.100000000000001"/>
    <n v="6731.48"/>
    <s v="Completed"/>
    <s v="Pune"/>
    <x v="3"/>
    <m/>
    <s v="Retail"/>
    <n v="44"/>
    <x v="0"/>
  </r>
  <r>
    <s v="ORD-01172"/>
    <d v="2024-04-19T00:00:00"/>
    <s v="CUST-0106"/>
    <s v="PROD-022"/>
    <s v="R016"/>
    <n v="4"/>
    <n v="2270"/>
    <n v="27.3"/>
    <n v="6601.16"/>
    <s v="Completed"/>
    <s v="Pune"/>
    <x v="2"/>
    <m/>
    <s v="Retail"/>
    <n v="22"/>
    <x v="1"/>
  </r>
  <r>
    <s v="ORD-01173"/>
    <d v="2024-03-22T00:00:00"/>
    <s v="CUST-0009"/>
    <s v="PROD-034"/>
    <s v="R013"/>
    <n v="9"/>
    <n v="5080"/>
    <n v="10.9"/>
    <n v="40736.519999999997"/>
    <s v="Completed"/>
    <s v="Mumbai"/>
    <x v="3"/>
    <m/>
    <s v="Retail"/>
    <n v="61"/>
    <x v="0"/>
  </r>
  <r>
    <s v="ORD-01174"/>
    <d v="2024-11-06T00:00:00"/>
    <s v="CUST-0209"/>
    <s v="PROD-026"/>
    <s v="R029"/>
    <n v="8"/>
    <n v="4070"/>
    <n v="17.7"/>
    <n v="26796.880000000001"/>
    <s v="Completed"/>
    <s v="Pune"/>
    <x v="2"/>
    <m/>
    <s v="Retail"/>
    <n v="31"/>
    <x v="4"/>
  </r>
  <r>
    <s v="ORD-01175"/>
    <d v="2024-03-21T00:00:00"/>
    <s v="CUST-0111"/>
    <s v="PROD-041"/>
    <s v="R005"/>
    <n v="1"/>
    <n v="1540"/>
    <n v="0.9"/>
    <n v="1526.14"/>
    <s v="Completed"/>
    <s v="Chennai"/>
    <x v="5"/>
    <m/>
    <s v="SMB"/>
    <n v="64"/>
    <x v="0"/>
  </r>
  <r>
    <s v="ORD-01176"/>
    <d v="2024-05-04T00:00:00"/>
    <s v="CUST-0014"/>
    <s v="PROD-048"/>
    <s v="R024"/>
    <n v="10"/>
    <n v="5100"/>
    <n v="3"/>
    <n v="49470"/>
    <s v="Completed"/>
    <s v="Bengaluru"/>
    <x v="5"/>
    <m/>
    <s v="Retail"/>
    <n v="48"/>
    <x v="0"/>
  </r>
  <r>
    <s v="ORD-01177"/>
    <d v="2024-12-30T00:00:00"/>
    <s v="CUST-0073"/>
    <s v="PROD-014"/>
    <s v="R006"/>
    <n v="6"/>
    <n v="3620"/>
    <n v="20.2"/>
    <n v="17332.560000000001"/>
    <s v="Completed"/>
    <s v="Pune"/>
    <x v="0"/>
    <m/>
    <s v="Corporate"/>
    <n v="40"/>
    <x v="2"/>
  </r>
  <r>
    <s v="ORD-01178"/>
    <d v="2024-02-02T00:00:00"/>
    <s v="CUST-0147"/>
    <s v="PROD-046"/>
    <s v="R003"/>
    <n v="7"/>
    <n v="4880"/>
    <n v="5"/>
    <n v="32452"/>
    <s v="Completed"/>
    <s v="Pune"/>
    <x v="5"/>
    <m/>
    <s v="Retail"/>
    <n v="56"/>
    <x v="0"/>
  </r>
  <r>
    <s v="ORD-01179"/>
    <d v="2024-06-29T00:00:00"/>
    <s v="CUST-0006"/>
    <s v="PROD-010"/>
    <s v="R024"/>
    <n v="1"/>
    <n v="2640"/>
    <n v="4.0999999999999996"/>
    <n v="2531.7600000000002"/>
    <s v="Completed"/>
    <s v="Pune"/>
    <x v="4"/>
    <m/>
    <s v="SMB"/>
    <n v="44"/>
    <x v="0"/>
  </r>
  <r>
    <s v="ORD-01180"/>
    <d v="2024-08-04T00:00:00"/>
    <s v="CUST-0031"/>
    <s v="PROD-026"/>
    <s v="R020"/>
    <n v="9"/>
    <n v="4070"/>
    <n v="4.4000000000000004"/>
    <n v="35018.28"/>
    <s v="Completed"/>
    <s v="Hyderabad"/>
    <x v="2"/>
    <m/>
    <s v="Retail"/>
    <n v="53"/>
    <x v="0"/>
  </r>
  <r>
    <s v="ORD-01181"/>
    <d v="2024-11-21T00:00:00"/>
    <s v="CUST-0084"/>
    <s v="PROD-003"/>
    <s v="R025"/>
    <n v="9"/>
    <n v="3570"/>
    <n v="24.8"/>
    <n v="24161.759999999998"/>
    <s v="Completed"/>
    <s v="Chennai"/>
    <x v="4"/>
    <m/>
    <s v="Retail"/>
    <n v="28"/>
    <x v="3"/>
  </r>
  <r>
    <s v="ORD-01182"/>
    <d v="2024-06-27T00:00:00"/>
    <s v="CUST-0203"/>
    <s v="PROD-043"/>
    <s v="R005"/>
    <n v="10"/>
    <n v="3350"/>
    <n v="25.1"/>
    <n v="25091.5"/>
    <s v="Cancelled"/>
    <s v="Chennai"/>
    <x v="5"/>
    <m/>
    <s v="SMB"/>
    <n v="55"/>
    <x v="0"/>
  </r>
  <r>
    <s v="ORD-01183"/>
    <d v="2024-01-16T00:00:00"/>
    <s v="CUST-0138"/>
    <s v="PROD-059"/>
    <s v="R025"/>
    <n v="3"/>
    <n v="3780"/>
    <n v="3.8"/>
    <n v="10909.08"/>
    <s v="Completed"/>
    <s v="Chennai"/>
    <x v="1"/>
    <m/>
    <s v="Retail"/>
    <n v="24"/>
    <x v="1"/>
  </r>
  <r>
    <s v="ORD-01184"/>
    <d v="2024-12-25T00:00:00"/>
    <s v="CUST-0157"/>
    <s v="PROD-003"/>
    <s v="R008"/>
    <n v="4"/>
    <n v="3570"/>
    <n v="0.9"/>
    <n v="14151.48"/>
    <s v="Pending"/>
    <s v="Pune"/>
    <x v="4"/>
    <m/>
    <s v="Corporate"/>
    <n v="52"/>
    <x v="0"/>
  </r>
  <r>
    <s v="ORD-01185"/>
    <d v="2024-05-24T00:00:00"/>
    <s v="CUST-0298"/>
    <s v="PROD-055"/>
    <s v="R024"/>
    <n v="5"/>
    <n v="2860"/>
    <n v="20.100000000000001"/>
    <n v="11425.7"/>
    <s v="Completed"/>
    <s v="Delhi"/>
    <x v="1"/>
    <m/>
    <s v="Retail"/>
    <n v="44"/>
    <x v="0"/>
  </r>
  <r>
    <s v="ORD-01186"/>
    <d v="2024-08-14T00:00:00"/>
    <s v="CUST-0132"/>
    <s v="PROD-016"/>
    <s v="R003"/>
    <n v="1"/>
    <n v="620"/>
    <n v="1.1000000000000001"/>
    <n v="613.17999999999995"/>
    <s v="Cancelled"/>
    <s v="Delhi"/>
    <x v="0"/>
    <m/>
    <s v="Retail"/>
    <n v="41"/>
    <x v="0"/>
  </r>
  <r>
    <s v="ORD-01187"/>
    <d v="2024-05-20T00:00:00"/>
    <s v="CUST-0006"/>
    <s v="PROD-003"/>
    <s v="R012"/>
    <n v="1"/>
    <n v="3570"/>
    <n v="11.1"/>
    <n v="3173.73"/>
    <s v="Cancelled"/>
    <s v="Pune"/>
    <x v="4"/>
    <m/>
    <s v="SMB"/>
    <n v="44"/>
    <x v="0"/>
  </r>
  <r>
    <s v="ORD-01188"/>
    <d v="2024-09-16T00:00:00"/>
    <s v="CUST-0011"/>
    <s v="PROD-001"/>
    <s v="R012"/>
    <n v="1"/>
    <n v="5330"/>
    <n v="3.5"/>
    <n v="5143.45"/>
    <s v="Completed"/>
    <s v="Chennai"/>
    <x v="4"/>
    <m/>
    <s v="Corporate"/>
    <n v="41"/>
    <x v="0"/>
  </r>
  <r>
    <s v="ORD-01189"/>
    <d v="2024-02-26T00:00:00"/>
    <s v="CUST-0170"/>
    <s v="PROD-052"/>
    <s v="R018"/>
    <n v="7"/>
    <n v="5410"/>
    <n v="26.2"/>
    <n v="27948.06"/>
    <s v="Completed"/>
    <s v="Mumbai"/>
    <x v="1"/>
    <m/>
    <s v="SMB"/>
    <n v="22"/>
    <x v="4"/>
  </r>
  <r>
    <s v="ORD-01190"/>
    <d v="2024-03-23T00:00:00"/>
    <s v="CUST-0109"/>
    <s v="PROD-034"/>
    <s v="R016"/>
    <n v="10"/>
    <n v="5080"/>
    <n v="3.7"/>
    <n v="48920.4"/>
    <s v="Pending"/>
    <s v="Pune"/>
    <x v="3"/>
    <m/>
    <s v="Retail"/>
    <n v="42"/>
    <x v="0"/>
  </r>
  <r>
    <s v="ORD-01191"/>
    <d v="2024-03-19T00:00:00"/>
    <s v="CUST-0066"/>
    <s v="PROD-003"/>
    <s v="R005"/>
    <n v="9"/>
    <n v="3570"/>
    <n v="5.6"/>
    <n v="30330.720000000001"/>
    <s v="Completed"/>
    <s v="Delhi"/>
    <x v="4"/>
    <m/>
    <s v="Retail"/>
    <n v="24"/>
    <x v="4"/>
  </r>
  <r>
    <s v="ORD-01192"/>
    <d v="2024-12-30T00:00:00"/>
    <s v="CUST-0055"/>
    <s v="PROD-030"/>
    <s v="R022"/>
    <n v="9"/>
    <n v="970"/>
    <n v="19.5"/>
    <n v="7027.65"/>
    <s v="Completed"/>
    <s v="Bengaluru"/>
    <x v="2"/>
    <m/>
    <s v="Retail"/>
    <n v="34"/>
    <x v="1"/>
  </r>
  <r>
    <s v="ORD-01193"/>
    <d v="2024-03-06T00:00:00"/>
    <s v="CUST-0298"/>
    <s v="PROD-005"/>
    <s v="R009"/>
    <n v="10"/>
    <n v="300"/>
    <n v="23"/>
    <n v="2310"/>
    <s v="Cancelled"/>
    <s v="Delhi"/>
    <x v="4"/>
    <m/>
    <s v="Retail"/>
    <n v="44"/>
    <x v="0"/>
  </r>
  <r>
    <s v="ORD-01194"/>
    <d v="2024-07-06T00:00:00"/>
    <s v="CUST-0024"/>
    <s v="PROD-050"/>
    <s v="R003"/>
    <n v="10"/>
    <n v="6080"/>
    <n v="3.9"/>
    <n v="58428.800000000003"/>
    <s v="Completed"/>
    <s v="Chennai"/>
    <x v="5"/>
    <m/>
    <s v="SMB"/>
    <n v="64"/>
    <x v="0"/>
  </r>
  <r>
    <s v="ORD-01195"/>
    <d v="2024-09-04T00:00:00"/>
    <s v="CUST-0008"/>
    <s v="PROD-048"/>
    <s v="R011"/>
    <n v="2"/>
    <n v="5100"/>
    <n v="11"/>
    <n v="9078"/>
    <s v="Completed"/>
    <s v="Pune"/>
    <x v="5"/>
    <m/>
    <s v="SMB"/>
    <n v="39"/>
    <x v="1"/>
  </r>
  <r>
    <s v="ORD-01196"/>
    <d v="2024-04-12T00:00:00"/>
    <s v="CUST-0070"/>
    <s v="PROD-011"/>
    <s v="R019"/>
    <n v="9"/>
    <n v="3450"/>
    <n v="23.7"/>
    <n v="23691.15"/>
    <s v="Completed"/>
    <s v="Mumbai"/>
    <x v="0"/>
    <m/>
    <s v="Retail"/>
    <n v="42"/>
    <x v="0"/>
  </r>
  <r>
    <s v="ORD-01197"/>
    <d v="2024-02-13T00:00:00"/>
    <s v="CUST-0270"/>
    <s v="PROD-019"/>
    <s v="R011"/>
    <n v="5"/>
    <n v="2480"/>
    <n v="20.399999999999999"/>
    <n v="9870.4"/>
    <s v="Completed"/>
    <s v="Bengaluru"/>
    <x v="0"/>
    <m/>
    <s v="Retail"/>
    <n v="29"/>
    <x v="3"/>
  </r>
  <r>
    <s v="ORD-01198"/>
    <d v="2024-02-12T00:00:00"/>
    <s v="CUST-0175"/>
    <s v="PROD-060"/>
    <s v="R010"/>
    <n v="4"/>
    <n v="190"/>
    <n v="2.6"/>
    <n v="740.24"/>
    <s v="Completed"/>
    <s v="Delhi"/>
    <x v="1"/>
    <m/>
    <s v="Corporate"/>
    <n v="55"/>
    <x v="0"/>
  </r>
  <r>
    <s v="ORD-01199"/>
    <d v="2024-01-09T00:00:00"/>
    <s v="CUST-0227"/>
    <s v="PROD-022"/>
    <s v="R020"/>
    <n v="4"/>
    <n v="2270"/>
    <n v="8.1"/>
    <n v="8344.52"/>
    <s v="Pending"/>
    <s v="Bengaluru"/>
    <x v="2"/>
    <m/>
    <s v="SMB"/>
    <n v="44"/>
    <x v="0"/>
  </r>
  <r>
    <s v="ORD-01200"/>
    <d v="2024-04-18T00:00:00"/>
    <s v="CUST-0041"/>
    <s v="PROD-017"/>
    <s v="R028"/>
    <n v="7"/>
    <n v="2510"/>
    <n v="25.5"/>
    <n v="13089.65"/>
    <s v="Completed"/>
    <s v="Bengaluru"/>
    <x v="0"/>
    <m/>
    <s v="SMB"/>
    <n v="26"/>
    <x v="3"/>
  </r>
  <r>
    <s v="ORD-01201"/>
    <d v="2024-05-11T00:00:00"/>
    <s v="CUST-0147"/>
    <s v="PROD-059"/>
    <s v="R004"/>
    <n v="3"/>
    <n v="3780"/>
    <n v="16.8"/>
    <n v="9434.8799999999992"/>
    <s v="Completed"/>
    <s v="Pune"/>
    <x v="1"/>
    <m/>
    <s v="Retail"/>
    <n v="56"/>
    <x v="0"/>
  </r>
  <r>
    <s v="ORD-01202"/>
    <d v="2024-08-14T00:00:00"/>
    <s v="CUST-0185"/>
    <s v="PROD-003"/>
    <s v="R010"/>
    <n v="7"/>
    <n v="3570"/>
    <n v="23.7"/>
    <n v="19067.37"/>
    <s v="Completed"/>
    <s v="Hyderabad"/>
    <x v="4"/>
    <m/>
    <s v="SMB"/>
    <n v="43"/>
    <x v="0"/>
  </r>
  <r>
    <s v="ORD-01203"/>
    <d v="2024-09-24T00:00:00"/>
    <s v="CUST-0210"/>
    <s v="PROD-037"/>
    <s v="R011"/>
    <n v="4"/>
    <n v="660"/>
    <n v="3.6"/>
    <n v="2544.96"/>
    <s v="Completed"/>
    <s v="Pune"/>
    <x v="3"/>
    <m/>
    <s v="Corporate"/>
    <n v="48"/>
    <x v="0"/>
  </r>
  <r>
    <s v="ORD-01204"/>
    <d v="2024-07-28T00:00:00"/>
    <s v="CUST-0289"/>
    <s v="PROD-030"/>
    <s v="R010"/>
    <n v="7"/>
    <n v="970"/>
    <n v="23.7"/>
    <n v="5180.7700000000004"/>
    <s v="Completed"/>
    <s v="Mumbai"/>
    <x v="2"/>
    <m/>
    <s v="Retail"/>
    <n v="54"/>
    <x v="0"/>
  </r>
  <r>
    <s v="ORD-01205"/>
    <d v="2024-02-16T00:00:00"/>
    <s v="CUST-0017"/>
    <s v="PROD-024"/>
    <s v="R006"/>
    <n v="8"/>
    <n v="2270"/>
    <n v="6.8"/>
    <n v="16925.12"/>
    <s v="Completed"/>
    <s v="Delhi"/>
    <x v="2"/>
    <m/>
    <s v="SMB"/>
    <n v="38"/>
    <x v="4"/>
  </r>
  <r>
    <s v="ORD-01206"/>
    <d v="2024-10-20T00:00:00"/>
    <s v="CUST-0115"/>
    <s v="PROD-058"/>
    <s v="R012"/>
    <n v="1"/>
    <n v="2400"/>
    <n v="26.5"/>
    <n v="1764"/>
    <s v="Completed"/>
    <s v="Mumbai"/>
    <x v="1"/>
    <m/>
    <s v="SMB"/>
    <n v="65"/>
    <x v="0"/>
  </r>
  <r>
    <s v="ORD-01207"/>
    <d v="2024-08-21T00:00:00"/>
    <s v="CUST-0183"/>
    <s v="PROD-034"/>
    <s v="R010"/>
    <n v="5"/>
    <n v="5080"/>
    <n v="29.6"/>
    <n v="17881.599999999999"/>
    <s v="Completed"/>
    <s v="Mumbai"/>
    <x v="3"/>
    <m/>
    <s v="SMB"/>
    <n v="27"/>
    <x v="4"/>
  </r>
  <r>
    <s v="ORD-01208"/>
    <d v="2024-02-29T00:00:00"/>
    <s v="CUST-0193"/>
    <s v="PROD-043"/>
    <s v="R014"/>
    <n v="9"/>
    <n v="3350"/>
    <n v="6.2"/>
    <n v="28280.7"/>
    <s v="Completed"/>
    <s v="Bengaluru"/>
    <x v="5"/>
    <m/>
    <s v="Retail"/>
    <n v="42"/>
    <x v="0"/>
  </r>
  <r>
    <s v="ORD-01209"/>
    <d v="2024-09-25T00:00:00"/>
    <s v="CUST-0019"/>
    <s v="PROD-041"/>
    <s v="R001"/>
    <n v="4"/>
    <n v="1540"/>
    <n v="22.2"/>
    <n v="4792.4799999999996"/>
    <s v="Completed"/>
    <s v="Chennai"/>
    <x v="5"/>
    <m/>
    <s v="Retail"/>
    <n v="22"/>
    <x v="4"/>
  </r>
  <r>
    <s v="ORD-01210"/>
    <d v="2024-05-19T00:00:00"/>
    <s v="CUST-0097"/>
    <s v="PROD-034"/>
    <s v="R002"/>
    <n v="10"/>
    <n v="5080"/>
    <n v="11.8"/>
    <n v="44805.599999999999"/>
    <s v="Completed"/>
    <s v="Mumbai"/>
    <x v="3"/>
    <m/>
    <s v="Retail"/>
    <n v="65"/>
    <x v="0"/>
  </r>
  <r>
    <s v="ORD-01211"/>
    <d v="2024-01-05T00:00:00"/>
    <s v="CUST-0237"/>
    <s v="PROD-018"/>
    <s v="R012"/>
    <n v="9"/>
    <n v="3560"/>
    <n v="15.9"/>
    <n v="26945.64"/>
    <s v="Completed"/>
    <s v="Mumbai"/>
    <x v="0"/>
    <m/>
    <s v="Retail"/>
    <n v="49"/>
    <x v="0"/>
  </r>
  <r>
    <s v="ORD-01212"/>
    <d v="2024-12-03T00:00:00"/>
    <s v="CUST-0252"/>
    <s v="PROD-040"/>
    <s v="R009"/>
    <n v="2"/>
    <n v="1080"/>
    <n v="21.1"/>
    <n v="1704.24"/>
    <s v="Completed"/>
    <s v="Bengaluru"/>
    <x v="3"/>
    <m/>
    <s v="Retail"/>
    <n v="27"/>
    <x v="4"/>
  </r>
  <r>
    <s v="ORD-01213"/>
    <d v="2024-01-19T00:00:00"/>
    <s v="CUST-0216"/>
    <s v="PROD-023"/>
    <s v="R018"/>
    <n v="5"/>
    <n v="2380"/>
    <n v="20.5"/>
    <n v="9460.5"/>
    <s v="Completed"/>
    <s v="Mumbai"/>
    <x v="2"/>
    <m/>
    <s v="Retail"/>
    <n v="50"/>
    <x v="0"/>
  </r>
  <r>
    <s v="ORD-01214"/>
    <d v="2024-07-25T00:00:00"/>
    <s v="CUST-0248"/>
    <s v="PROD-019"/>
    <s v="R025"/>
    <n v="9"/>
    <n v="2480"/>
    <n v="1.2"/>
    <n v="22052.16"/>
    <s v="Completed"/>
    <s v="Chennai"/>
    <x v="0"/>
    <m/>
    <s v="SMB"/>
    <n v="57"/>
    <x v="0"/>
  </r>
  <r>
    <s v="ORD-01215"/>
    <d v="2024-02-26T00:00:00"/>
    <s v="CUST-0044"/>
    <s v="PROD-042"/>
    <s v="R012"/>
    <n v="9"/>
    <n v="2290"/>
    <n v="0.9"/>
    <n v="20424.509999999998"/>
    <s v="Completed"/>
    <s v="Hyderabad"/>
    <x v="5"/>
    <m/>
    <s v="SMB"/>
    <n v="29"/>
    <x v="2"/>
  </r>
  <r>
    <s v="ORD-01216"/>
    <d v="2024-03-31T00:00:00"/>
    <s v="CUST-0251"/>
    <s v="PROD-011"/>
    <s v="R011"/>
    <n v="3"/>
    <n v="3450"/>
    <n v="29.5"/>
    <n v="7296.75"/>
    <s v="Completed"/>
    <s v="Mumbai"/>
    <x v="0"/>
    <m/>
    <s v="Retail"/>
    <n v="44"/>
    <x v="0"/>
  </r>
  <r>
    <s v="ORD-01217"/>
    <d v="2024-10-04T00:00:00"/>
    <s v="CUST-0280"/>
    <s v="PROD-047"/>
    <s v="R024"/>
    <n v="9"/>
    <n v="3450"/>
    <n v="19.399999999999999"/>
    <n v="25026.3"/>
    <s v="Completed"/>
    <s v="Delhi"/>
    <x v="5"/>
    <m/>
    <s v="SMB"/>
    <n v="27"/>
    <x v="4"/>
  </r>
  <r>
    <s v="ORD-01218"/>
    <d v="2024-08-12T00:00:00"/>
    <s v="CUST-0108"/>
    <s v="PROD-002"/>
    <s v="R030"/>
    <n v="2"/>
    <n v="2600"/>
    <n v="20.2"/>
    <n v="4149.6000000000004"/>
    <s v="Cancelled"/>
    <s v="Bengaluru"/>
    <x v="4"/>
    <m/>
    <s v="Corporate"/>
    <n v="59"/>
    <x v="0"/>
  </r>
  <r>
    <s v="ORD-01219"/>
    <d v="2024-08-15T00:00:00"/>
    <s v="CUST-0058"/>
    <s v="PROD-021"/>
    <s v="R025"/>
    <n v="1"/>
    <n v="2760"/>
    <n v="9.5"/>
    <n v="2497.8000000000002"/>
    <s v="Completed"/>
    <s v="Bengaluru"/>
    <x v="2"/>
    <m/>
    <s v="SMB"/>
    <n v="49"/>
    <x v="0"/>
  </r>
  <r>
    <s v="ORD-01220"/>
    <d v="2024-10-28T00:00:00"/>
    <s v="CUST-0090"/>
    <s v="PROD-039"/>
    <s v="R003"/>
    <n v="4"/>
    <n v="4610"/>
    <n v="14.8"/>
    <n v="15710.88"/>
    <s v="Completed"/>
    <s v="Bengaluru"/>
    <x v="3"/>
    <m/>
    <s v="Corporate"/>
    <n v="26"/>
    <x v="2"/>
  </r>
  <r>
    <s v="ORD-01221"/>
    <d v="2024-08-28T00:00:00"/>
    <s v="CUST-0204"/>
    <s v="PROD-019"/>
    <s v="R024"/>
    <n v="3"/>
    <n v="2480"/>
    <n v="3.7"/>
    <n v="7164.72"/>
    <s v="Completed"/>
    <s v="Hyderabad"/>
    <x v="0"/>
    <m/>
    <s v="Retail"/>
    <n v="60"/>
    <x v="0"/>
  </r>
  <r>
    <s v="ORD-01222"/>
    <d v="2024-11-14T00:00:00"/>
    <s v="CUST-0044"/>
    <s v="PROD-056"/>
    <s v="R011"/>
    <n v="5"/>
    <n v="6940"/>
    <n v="0.3"/>
    <n v="34595.9"/>
    <s v="Completed"/>
    <s v="Hyderabad"/>
    <x v="1"/>
    <m/>
    <s v="SMB"/>
    <n v="29"/>
    <x v="2"/>
  </r>
  <r>
    <s v="ORD-01223"/>
    <d v="2024-09-25T00:00:00"/>
    <s v="CUST-0068"/>
    <s v="PROD-022"/>
    <s v="R023"/>
    <n v="8"/>
    <n v="2270"/>
    <n v="15.6"/>
    <n v="15327.04"/>
    <s v="Pending"/>
    <s v="Delhi"/>
    <x v="2"/>
    <m/>
    <s v="SMB"/>
    <n v="48"/>
    <x v="0"/>
  </r>
  <r>
    <s v="ORD-01224"/>
    <d v="2024-05-19T00:00:00"/>
    <s v="CUST-0127"/>
    <s v="PROD-048"/>
    <s v="R030"/>
    <n v="5"/>
    <n v="5100"/>
    <n v="9.5"/>
    <n v="23077.5"/>
    <s v="Completed"/>
    <s v="Bengaluru"/>
    <x v="5"/>
    <m/>
    <s v="SMB"/>
    <n v="36"/>
    <x v="3"/>
  </r>
  <r>
    <s v="ORD-01225"/>
    <d v="2024-10-29T00:00:00"/>
    <s v="CUST-0191"/>
    <s v="PROD-036"/>
    <s v="R011"/>
    <n v="5"/>
    <n v="3250"/>
    <n v="8.1"/>
    <n v="14933.75"/>
    <s v="Completed"/>
    <s v="Hyderabad"/>
    <x v="3"/>
    <m/>
    <s v="SMB"/>
    <n v="43"/>
    <x v="0"/>
  </r>
  <r>
    <s v="ORD-01226"/>
    <d v="2024-11-13T00:00:00"/>
    <s v="CUST-0028"/>
    <s v="PROD-006"/>
    <s v="R003"/>
    <n v="6"/>
    <n v="3970"/>
    <n v="18.8"/>
    <n v="19341.84"/>
    <s v="Pending"/>
    <s v="Bengaluru"/>
    <x v="4"/>
    <m/>
    <s v="Retail"/>
    <n v="59"/>
    <x v="0"/>
  </r>
  <r>
    <s v="ORD-01227"/>
    <d v="2024-09-11T00:00:00"/>
    <s v="CUST-0027"/>
    <s v="PROD-001"/>
    <s v="R025"/>
    <n v="4"/>
    <n v="5330"/>
    <n v="19.7"/>
    <n v="17119.96"/>
    <s v="Completed"/>
    <s v="Hyderabad"/>
    <x v="4"/>
    <m/>
    <s v="Corporate"/>
    <n v="52"/>
    <x v="0"/>
  </r>
  <r>
    <s v="ORD-01228"/>
    <d v="2024-11-11T00:00:00"/>
    <s v="CUST-0193"/>
    <s v="PROD-008"/>
    <s v="R004"/>
    <n v="7"/>
    <n v="2660"/>
    <n v="8.5"/>
    <n v="17037.3"/>
    <s v="Completed"/>
    <s v="Bengaluru"/>
    <x v="4"/>
    <m/>
    <s v="Retail"/>
    <n v="42"/>
    <x v="0"/>
  </r>
  <r>
    <s v="ORD-01229"/>
    <d v="2024-05-10T00:00:00"/>
    <s v="CUST-0202"/>
    <s v="PROD-012"/>
    <s v="R029"/>
    <n v="5"/>
    <n v="3160"/>
    <n v="13.4"/>
    <n v="13682.8"/>
    <s v="Pending"/>
    <s v="Chennai"/>
    <x v="0"/>
    <m/>
    <s v="Retail"/>
    <n v="39"/>
    <x v="1"/>
  </r>
  <r>
    <s v="ORD-01230"/>
    <d v="2024-12-08T00:00:00"/>
    <s v="CUST-0230"/>
    <s v="PROD-054"/>
    <s v="R019"/>
    <n v="10"/>
    <n v="1010"/>
    <n v="14"/>
    <n v="8686"/>
    <s v="Completed"/>
    <s v="Pune"/>
    <x v="1"/>
    <m/>
    <s v="Corporate"/>
    <n v="33"/>
    <x v="2"/>
  </r>
  <r>
    <s v="ORD-01231"/>
    <d v="2024-03-25T00:00:00"/>
    <s v="CUST-0280"/>
    <s v="PROD-041"/>
    <s v="R003"/>
    <n v="3"/>
    <n v="1540"/>
    <n v="13.7"/>
    <n v="3987.06"/>
    <s v="Pending"/>
    <s v="Delhi"/>
    <x v="5"/>
    <m/>
    <s v="SMB"/>
    <n v="27"/>
    <x v="3"/>
  </r>
  <r>
    <s v="ORD-01232"/>
    <d v="2024-01-22T00:00:00"/>
    <s v="CUST-0196"/>
    <s v="PROD-048"/>
    <s v="R009"/>
    <n v="10"/>
    <n v="5100"/>
    <n v="13.8"/>
    <n v="43962"/>
    <s v="Completed"/>
    <s v="Chennai"/>
    <x v="5"/>
    <m/>
    <s v="Retail"/>
    <n v="26"/>
    <x v="1"/>
  </r>
  <r>
    <s v="ORD-01233"/>
    <d v="2024-06-14T00:00:00"/>
    <s v="CUST-0019"/>
    <s v="PROD-007"/>
    <s v="R030"/>
    <n v="3"/>
    <n v="1430"/>
    <n v="1.5"/>
    <n v="4225.6499999999996"/>
    <s v="Completed"/>
    <s v="Chennai"/>
    <x v="4"/>
    <m/>
    <s v="Retail"/>
    <n v="22"/>
    <x v="4"/>
  </r>
  <r>
    <s v="ORD-01234"/>
    <d v="2024-11-24T00:00:00"/>
    <s v="CUST-0201"/>
    <s v="PROD-038"/>
    <s v="R013"/>
    <n v="8"/>
    <n v="5490"/>
    <n v="23.2"/>
    <n v="33730.559999999998"/>
    <s v="Completed"/>
    <s v="Hyderabad"/>
    <x v="3"/>
    <m/>
    <s v="Retail"/>
    <n v="31"/>
    <x v="2"/>
  </r>
  <r>
    <s v="ORD-01235"/>
    <d v="2024-07-22T00:00:00"/>
    <s v="CUST-0146"/>
    <s v="PROD-044"/>
    <s v="R008"/>
    <n v="6"/>
    <n v="1650"/>
    <n v="16.8"/>
    <n v="8236.7999999999993"/>
    <s v="Completed"/>
    <s v="Hyderabad"/>
    <x v="5"/>
    <m/>
    <s v="Retail"/>
    <n v="22"/>
    <x v="4"/>
  </r>
  <r>
    <s v="ORD-01236"/>
    <d v="2024-06-17T00:00:00"/>
    <s v="CUST-0199"/>
    <s v="PROD-045"/>
    <s v="R018"/>
    <n v="3"/>
    <n v="3020"/>
    <n v="14.5"/>
    <n v="7746.3"/>
    <s v="Completed"/>
    <s v="Hyderabad"/>
    <x v="5"/>
    <m/>
    <s v="SMB"/>
    <n v="31"/>
    <x v="1"/>
  </r>
  <r>
    <s v="ORD-01237"/>
    <d v="2024-05-26T00:00:00"/>
    <s v="CUST-0099"/>
    <s v="PROD-041"/>
    <s v="R003"/>
    <n v="5"/>
    <n v="1540"/>
    <n v="27.2"/>
    <n v="5605.6"/>
    <s v="Completed"/>
    <s v="Bengaluru"/>
    <x v="5"/>
    <m/>
    <s v="SMB"/>
    <n v="54"/>
    <x v="0"/>
  </r>
  <r>
    <s v="ORD-00372"/>
    <d v="2024-01-16T00:00:00"/>
    <s v="CUST-0094"/>
    <s v="PROD-056"/>
    <s v="R023"/>
    <n v="4"/>
    <n v="6940"/>
    <n v="3.2"/>
    <n v="26871.68"/>
    <s v="Completed"/>
    <s v="Pune"/>
    <x v="1"/>
    <m/>
    <s v="SMB"/>
    <n v="60"/>
    <x v="0"/>
  </r>
  <r>
    <s v="ORD-01239"/>
    <d v="2024-08-13T00:00:00"/>
    <s v="CUST-0275"/>
    <s v="PROD-048"/>
    <s v="R017"/>
    <n v="2"/>
    <n v="5100"/>
    <n v="18.100000000000001"/>
    <n v="8353.7999999999993"/>
    <s v="Completed"/>
    <s v="Mumbai"/>
    <x v="5"/>
    <m/>
    <s v="Retail"/>
    <n v="36"/>
    <x v="3"/>
  </r>
  <r>
    <s v="ORD-01240"/>
    <d v="2024-10-10T00:00:00"/>
    <s v="CUST-0230"/>
    <s v="PROD-001"/>
    <s v="R016"/>
    <n v="6"/>
    <n v="5330"/>
    <n v="0.3"/>
    <n v="31884.06"/>
    <s v="Pending"/>
    <s v="Pune"/>
    <x v="4"/>
    <m/>
    <s v="Corporate"/>
    <n v="33"/>
    <x v="3"/>
  </r>
  <r>
    <s v="ORD-01241"/>
    <d v="2024-06-06T00:00:00"/>
    <s v="CUST-0227"/>
    <s v="PROD-057"/>
    <s v="R029"/>
    <n v="5"/>
    <n v="960"/>
    <n v="16.600000000000001"/>
    <n v="4003.2"/>
    <s v="Completed"/>
    <s v="Bengaluru"/>
    <x v="1"/>
    <m/>
    <s v="SMB"/>
    <n v="44"/>
    <x v="0"/>
  </r>
  <r>
    <s v="ORD-01365"/>
    <d v="2024-07-08T00:00:00"/>
    <s v="CUST-0200"/>
    <s v="PROD-014"/>
    <s v="R022"/>
    <n v="7"/>
    <n v="3620"/>
    <n v="5.4"/>
    <n v="23971.64"/>
    <s v="Completed"/>
    <s v="Hyderabad"/>
    <x v="0"/>
    <m/>
    <s v="Corporate"/>
    <n v="46"/>
    <x v="0"/>
  </r>
  <r>
    <s v="ORD-01243"/>
    <d v="2024-03-17T00:00:00"/>
    <s v="CUST-0268"/>
    <s v="PROD-002"/>
    <s v="R006"/>
    <n v="6"/>
    <n v="2600"/>
    <n v="25.9"/>
    <n v="11559.6"/>
    <s v="Completed"/>
    <s v="Chennai"/>
    <x v="4"/>
    <m/>
    <s v="Retail"/>
    <n v="35"/>
    <x v="3"/>
  </r>
  <r>
    <s v="ORD-01244"/>
    <d v="2024-01-07T00:00:00"/>
    <s v="CUST-0163"/>
    <s v="PROD-008"/>
    <s v="R013"/>
    <n v="7"/>
    <n v="2660"/>
    <n v="20.2"/>
    <n v="14858.76"/>
    <s v="Completed"/>
    <s v="Pune"/>
    <x v="4"/>
    <m/>
    <s v="Retail"/>
    <n v="49"/>
    <x v="0"/>
  </r>
  <r>
    <s v="ORD-01245"/>
    <d v="2024-06-29T00:00:00"/>
    <s v="CUST-0233"/>
    <s v="PROD-019"/>
    <s v="R022"/>
    <n v="9"/>
    <n v="2480"/>
    <n v="14.7"/>
    <n v="19038.96"/>
    <s v="Completed"/>
    <s v="Mumbai"/>
    <x v="0"/>
    <m/>
    <s v="SMB"/>
    <n v="65"/>
    <x v="0"/>
  </r>
  <r>
    <s v="ORD-01246"/>
    <d v="2024-10-03T00:00:00"/>
    <s v="CUST-0181"/>
    <s v="PROD-008"/>
    <s v="R015"/>
    <n v="4"/>
    <n v="2660"/>
    <n v="8.9"/>
    <n v="9693.0400000000009"/>
    <s v="Completed"/>
    <s v="Delhi"/>
    <x v="4"/>
    <m/>
    <s v="SMB"/>
    <n v="38"/>
    <x v="3"/>
  </r>
  <r>
    <s v="ORD-01247"/>
    <d v="2024-09-05T00:00:00"/>
    <s v="CUST-0254"/>
    <s v="PROD-001"/>
    <s v="R010"/>
    <n v="1"/>
    <n v="5330"/>
    <n v="26.8"/>
    <n v="3901.56"/>
    <s v="Completed"/>
    <s v="Bengaluru"/>
    <x v="4"/>
    <m/>
    <s v="Retail"/>
    <n v="35"/>
    <x v="4"/>
  </r>
  <r>
    <s v="ORD-01248"/>
    <d v="2024-09-09T00:00:00"/>
    <s v="CUST-0116"/>
    <s v="PROD-051"/>
    <s v="R027"/>
    <n v="6"/>
    <n v="3450"/>
    <n v="19.2"/>
    <n v="16725.599999999999"/>
    <s v="Pending"/>
    <s v="Bengaluru"/>
    <x v="1"/>
    <m/>
    <s v="Retail"/>
    <n v="53"/>
    <x v="0"/>
  </r>
  <r>
    <s v="ORD-01249"/>
    <d v="2024-02-12T00:00:00"/>
    <s v="CUST-0259"/>
    <s v="PROD-060"/>
    <s v="R025"/>
    <n v="10"/>
    <n v="190"/>
    <n v="18.100000000000001"/>
    <n v="1556.1"/>
    <s v="Completed"/>
    <s v="Mumbai"/>
    <x v="1"/>
    <m/>
    <s v="Retail"/>
    <n v="34"/>
    <x v="2"/>
  </r>
  <r>
    <s v="ORD-01250"/>
    <d v="2024-10-19T00:00:00"/>
    <s v="CUST-0198"/>
    <s v="PROD-006"/>
    <s v="R009"/>
    <n v="9"/>
    <n v="3970"/>
    <n v="18.2"/>
    <n v="29227.14"/>
    <s v="Pending"/>
    <s v="Chennai"/>
    <x v="4"/>
    <m/>
    <s v="Corporate"/>
    <n v="22"/>
    <x v="2"/>
  </r>
  <r>
    <s v="ORD-01251"/>
    <d v="2024-04-22T00:00:00"/>
    <s v="CUST-0204"/>
    <s v="PROD-039"/>
    <s v="R002"/>
    <n v="4"/>
    <n v="4610"/>
    <n v="15.1"/>
    <n v="15655.56"/>
    <s v="Cancelled"/>
    <s v="Hyderabad"/>
    <x v="3"/>
    <m/>
    <s v="Retail"/>
    <n v="60"/>
    <x v="0"/>
  </r>
  <r>
    <s v="ORD-01252"/>
    <d v="2024-07-03T00:00:00"/>
    <s v="CUST-0216"/>
    <s v="PROD-016"/>
    <s v="R025"/>
    <n v="2"/>
    <n v="620"/>
    <n v="3.3"/>
    <n v="1199.08"/>
    <s v="Completed"/>
    <s v="Mumbai"/>
    <x v="0"/>
    <m/>
    <s v="Retail"/>
    <n v="50"/>
    <x v="0"/>
  </r>
  <r>
    <s v="ORD-01253"/>
    <d v="2024-07-08T00:00:00"/>
    <s v="CUST-0030"/>
    <s v="PROD-041"/>
    <s v="R025"/>
    <n v="7"/>
    <n v="1540"/>
    <n v="27.5"/>
    <n v="7815.5"/>
    <s v="Completed"/>
    <s v="Bengaluru"/>
    <x v="5"/>
    <m/>
    <s v="Corporate"/>
    <n v="43"/>
    <x v="0"/>
  </r>
  <r>
    <s v="ORD-01254"/>
    <d v="2024-07-07T00:00:00"/>
    <s v="CUST-0019"/>
    <s v="PROD-053"/>
    <s v="R017"/>
    <n v="10"/>
    <n v="470"/>
    <n v="3.9"/>
    <n v="4516.7"/>
    <s v="Completed"/>
    <s v="Chennai"/>
    <x v="1"/>
    <m/>
    <s v="Retail"/>
    <n v="22"/>
    <x v="2"/>
  </r>
  <r>
    <s v="ORD-01255"/>
    <d v="2024-11-07T00:00:00"/>
    <s v="CUST-0034"/>
    <s v="PROD-046"/>
    <s v="R002"/>
    <n v="5"/>
    <n v="4880"/>
    <n v="27.4"/>
    <n v="17714.400000000001"/>
    <s v="Completed"/>
    <s v="Delhi"/>
    <x v="5"/>
    <m/>
    <s v="Retail"/>
    <n v="47"/>
    <x v="0"/>
  </r>
  <r>
    <s v="ORD-01256"/>
    <d v="2024-09-13T00:00:00"/>
    <s v="CUST-0063"/>
    <s v="PROD-052"/>
    <s v="R029"/>
    <n v="1"/>
    <n v="5410"/>
    <n v="8.3000000000000007"/>
    <n v="4960.97"/>
    <s v="Completed"/>
    <s v="Mumbai"/>
    <x v="1"/>
    <m/>
    <s v="SMB"/>
    <n v="53"/>
    <x v="0"/>
  </r>
  <r>
    <s v="ORD-01257"/>
    <d v="2024-07-09T00:00:00"/>
    <s v="CUST-0203"/>
    <s v="PROD-004"/>
    <s v="R022"/>
    <n v="8"/>
    <n v="3870"/>
    <n v="9.3000000000000007"/>
    <n v="28080.720000000001"/>
    <s v="Pending"/>
    <s v="Chennai"/>
    <x v="4"/>
    <m/>
    <s v="SMB"/>
    <n v="55"/>
    <x v="0"/>
  </r>
  <r>
    <s v="ORD-01258"/>
    <d v="2024-06-14T00:00:00"/>
    <s v="CUST-0016"/>
    <s v="PROD-010"/>
    <s v="R017"/>
    <n v="10"/>
    <n v="2640"/>
    <n v="19.899999999999999"/>
    <n v="21146.400000000001"/>
    <s v="Completed"/>
    <s v="Delhi"/>
    <x v="4"/>
    <m/>
    <s v="SMB"/>
    <n v="26"/>
    <x v="3"/>
  </r>
  <r>
    <s v="ORD-01259"/>
    <d v="2024-08-04T00:00:00"/>
    <s v="CUST-0198"/>
    <s v="PROD-034"/>
    <s v="R007"/>
    <n v="1"/>
    <n v="5080"/>
    <n v="8.6"/>
    <n v="4643.12"/>
    <s v="Completed"/>
    <s v="Chennai"/>
    <x v="3"/>
    <m/>
    <s v="Corporate"/>
    <n v="22"/>
    <x v="3"/>
  </r>
  <r>
    <s v="ORD-01260"/>
    <d v="2024-04-17T00:00:00"/>
    <s v="CUST-0212"/>
    <s v="PROD-036"/>
    <s v="R018"/>
    <n v="9"/>
    <n v="3250"/>
    <n v="18.2"/>
    <n v="23926.5"/>
    <s v="Pending"/>
    <s v="Chennai"/>
    <x v="3"/>
    <m/>
    <s v="SMB"/>
    <n v="46"/>
    <x v="0"/>
  </r>
  <r>
    <s v="ORD-01261"/>
    <d v="2024-11-11T00:00:00"/>
    <s v="CUST-0265"/>
    <s v="PROD-006"/>
    <s v="R002"/>
    <n v="8"/>
    <n v="3970"/>
    <n v="22.4"/>
    <n v="24645.759999999998"/>
    <s v="Completed"/>
    <s v="Chennai"/>
    <x v="4"/>
    <m/>
    <s v="Retail"/>
    <n v="49"/>
    <x v="0"/>
  </r>
  <r>
    <s v="ORD-01262"/>
    <d v="2024-04-25T00:00:00"/>
    <s v="CUST-0165"/>
    <s v="PROD-037"/>
    <s v="R017"/>
    <n v="3"/>
    <n v="660"/>
    <n v="3.1"/>
    <n v="1918.62"/>
    <s v="Completed"/>
    <s v="Pune"/>
    <x v="3"/>
    <m/>
    <s v="Retail"/>
    <n v="29"/>
    <x v="1"/>
  </r>
  <r>
    <s v="ORD-01263"/>
    <d v="2024-03-06T00:00:00"/>
    <s v="CUST-0109"/>
    <s v="PROD-002"/>
    <s v="R022"/>
    <n v="7"/>
    <n v="2600"/>
    <n v="15.4"/>
    <n v="15397.2"/>
    <s v="Completed"/>
    <s v="Pune"/>
    <x v="4"/>
    <m/>
    <s v="Retail"/>
    <n v="42"/>
    <x v="0"/>
  </r>
  <r>
    <s v="ORD-01264"/>
    <d v="2024-09-30T00:00:00"/>
    <s v="CUST-0155"/>
    <s v="PROD-037"/>
    <s v="R015"/>
    <n v="9"/>
    <n v="660"/>
    <n v="23.7"/>
    <n v="4532.22"/>
    <s v="Completed"/>
    <s v="Pune"/>
    <x v="3"/>
    <m/>
    <s v="Corporate"/>
    <n v="40"/>
    <x v="3"/>
  </r>
  <r>
    <s v="ORD-01265"/>
    <d v="2024-04-13T00:00:00"/>
    <s v="CUST-0194"/>
    <s v="PROD-023"/>
    <s v="R021"/>
    <n v="3"/>
    <n v="2380"/>
    <n v="19.5"/>
    <n v="5747.7"/>
    <s v="Cancelled"/>
    <s v="Delhi"/>
    <x v="2"/>
    <m/>
    <s v="SMB"/>
    <n v="55"/>
    <x v="0"/>
  </r>
  <r>
    <s v="ORD-01266"/>
    <d v="2024-11-28T00:00:00"/>
    <s v="CUST-0084"/>
    <s v="PROD-044"/>
    <s v="R010"/>
    <n v="9"/>
    <n v="1650"/>
    <n v="2.5"/>
    <n v="14478.75"/>
    <s v="Completed"/>
    <s v="Chennai"/>
    <x v="5"/>
    <m/>
    <s v="Retail"/>
    <n v="28"/>
    <x v="3"/>
  </r>
  <r>
    <s v="ORD-01267"/>
    <d v="2024-12-24T00:00:00"/>
    <s v="CUST-9684"/>
    <s v="PROD-010"/>
    <s v="R006"/>
    <n v="8"/>
    <n v="2640"/>
    <n v="24.4"/>
    <n v="15966.72"/>
    <s v="Completed"/>
    <s v="Mumbai"/>
    <x v="4"/>
    <m/>
    <e v="#N/A"/>
    <e v="#N/A"/>
    <x v="0"/>
  </r>
  <r>
    <s v="ORD-01268"/>
    <d v="2024-03-19T00:00:00"/>
    <s v="CUST-0218"/>
    <s v="PROD-023"/>
    <s v="R013"/>
    <n v="8"/>
    <n v="2380"/>
    <n v="24.2"/>
    <n v="14432.32"/>
    <s v="Completed"/>
    <s v="Mumbai"/>
    <x v="2"/>
    <m/>
    <s v="Retail"/>
    <n v="39"/>
    <x v="1"/>
  </r>
  <r>
    <s v="ORD-01269"/>
    <d v="2024-03-22T00:00:00"/>
    <s v="CUST-0194"/>
    <s v="PROD-029"/>
    <s v="R007"/>
    <n v="10"/>
    <n v="2210"/>
    <n v="3.6"/>
    <n v="21304.400000000001"/>
    <s v="Completed"/>
    <s v="Delhi"/>
    <x v="2"/>
    <m/>
    <s v="SMB"/>
    <n v="55"/>
    <x v="0"/>
  </r>
  <r>
    <s v="ORD-01270"/>
    <d v="2024-04-09T00:00:00"/>
    <s v="CUST-0037"/>
    <s v="PROD-050"/>
    <s v="R018"/>
    <n v="9"/>
    <n v="6080"/>
    <n v="17.2"/>
    <n v="45308.160000000003"/>
    <s v="Pending"/>
    <s v="Bengaluru"/>
    <x v="5"/>
    <m/>
    <s v="Retail"/>
    <n v="52"/>
    <x v="0"/>
  </r>
  <r>
    <s v="ORD-01271"/>
    <d v="2024-02-10T00:00:00"/>
    <s v="CUST-0245"/>
    <s v="PROD-054"/>
    <s v="R022"/>
    <n v="8"/>
    <n v="1010"/>
    <n v="12.3"/>
    <n v="7086.16"/>
    <s v="Completed"/>
    <s v="Hyderabad"/>
    <x v="1"/>
    <m/>
    <s v="Retail"/>
    <n v="65"/>
    <x v="0"/>
  </r>
  <r>
    <s v="ORD-01272"/>
    <d v="2024-10-17T00:00:00"/>
    <s v="CUST-0266"/>
    <s v="PROD-028"/>
    <s v="R011"/>
    <n v="8"/>
    <n v="3660"/>
    <n v="8.4"/>
    <n v="26820.48"/>
    <s v="Completed"/>
    <s v="Pune"/>
    <x v="2"/>
    <m/>
    <s v="Retail"/>
    <n v="65"/>
    <x v="0"/>
  </r>
  <r>
    <s v="ORD-01273"/>
    <d v="2024-05-31T00:00:00"/>
    <s v="CUST-0058"/>
    <s v="PROD-039"/>
    <s v="R029"/>
    <n v="8"/>
    <n v="4610"/>
    <n v="15.4"/>
    <n v="31200.48"/>
    <s v="Cancelled"/>
    <s v="Bengaluru"/>
    <x v="3"/>
    <m/>
    <s v="SMB"/>
    <n v="49"/>
    <x v="0"/>
  </r>
  <r>
    <s v="ORD-01274"/>
    <d v="2024-08-21T00:00:00"/>
    <s v="CUST-0058"/>
    <s v="PROD-048"/>
    <s v="R006"/>
    <n v="9"/>
    <n v="5100"/>
    <n v="25.2"/>
    <n v="34333.199999999997"/>
    <s v="Cancelled"/>
    <s v="Bengaluru"/>
    <x v="5"/>
    <m/>
    <s v="SMB"/>
    <n v="49"/>
    <x v="0"/>
  </r>
  <r>
    <s v="ORD-01275"/>
    <d v="2024-03-26T00:00:00"/>
    <s v="CUST-0028"/>
    <s v="PROD-045"/>
    <s v="R019"/>
    <n v="5"/>
    <n v="3020"/>
    <n v="23"/>
    <n v="11627"/>
    <s v="Completed"/>
    <s v="Bengaluru"/>
    <x v="5"/>
    <m/>
    <s v="Retail"/>
    <n v="59"/>
    <x v="0"/>
  </r>
  <r>
    <s v="ORD-01276"/>
    <d v="2024-05-01T00:00:00"/>
    <s v="CUST-0262"/>
    <s v="PROD-059"/>
    <s v="R015"/>
    <n v="8"/>
    <n v="3780"/>
    <n v="17.100000000000001"/>
    <n v="25068.959999999999"/>
    <s v="Completed"/>
    <s v="Mumbai"/>
    <x v="1"/>
    <m/>
    <s v="Retail"/>
    <n v="52"/>
    <x v="0"/>
  </r>
  <r>
    <s v="ORD-01277"/>
    <d v="2024-05-25T00:00:00"/>
    <s v="CUST-0241"/>
    <s v="PROD-029"/>
    <s v="R001"/>
    <n v="10"/>
    <n v="2210"/>
    <n v="8.5"/>
    <n v="20221.5"/>
    <s v="Completed"/>
    <s v="Pune"/>
    <x v="2"/>
    <m/>
    <s v="Corporate"/>
    <n v="47"/>
    <x v="0"/>
  </r>
  <r>
    <s v="ORD-01278"/>
    <d v="2024-11-08T00:00:00"/>
    <s v="CUST-0109"/>
    <s v="PROD-029"/>
    <s v="R015"/>
    <n v="4"/>
    <n v="2210"/>
    <n v="3.1"/>
    <n v="8565.9599999999991"/>
    <s v="Completed"/>
    <s v="Pune"/>
    <x v="2"/>
    <m/>
    <s v="Retail"/>
    <n v="42"/>
    <x v="0"/>
  </r>
  <r>
    <s v="ORD-01279"/>
    <d v="2024-09-05T00:00:00"/>
    <s v="CUST-0228"/>
    <s v="PROD-044"/>
    <s v="R015"/>
    <n v="1"/>
    <n v="1650"/>
    <n v="10"/>
    <n v="1485"/>
    <s v="Completed"/>
    <s v="Pune"/>
    <x v="5"/>
    <m/>
    <s v="Corporate"/>
    <n v="37"/>
    <x v="4"/>
  </r>
  <r>
    <s v="ORD-01280"/>
    <d v="2024-11-01T00:00:00"/>
    <s v="CUST-0239"/>
    <s v="PROD-060"/>
    <s v="R005"/>
    <n v="6"/>
    <n v="190"/>
    <n v="3.5"/>
    <n v="1100.0999999999999"/>
    <s v="Cancelled"/>
    <s v="Mumbai"/>
    <x v="1"/>
    <m/>
    <s v="Retail"/>
    <n v="61"/>
    <x v="0"/>
  </r>
  <r>
    <s v="ORD-01281"/>
    <d v="2024-10-24T00:00:00"/>
    <s v="CUST-0092"/>
    <s v="PROD-055"/>
    <s v="R027"/>
    <n v="8"/>
    <n v="2860"/>
    <n v="14.7"/>
    <n v="19516.64"/>
    <s v="Completed"/>
    <s v="Bengaluru"/>
    <x v="1"/>
    <m/>
    <s v="SMB"/>
    <n v="28"/>
    <x v="1"/>
  </r>
  <r>
    <s v="ORD-01282"/>
    <d v="2024-06-05T00:00:00"/>
    <s v="CUST-0283"/>
    <s v="PROD-005"/>
    <s v="R030"/>
    <n v="9"/>
    <n v="300"/>
    <n v="19.5"/>
    <n v="2173.5"/>
    <s v="Completed"/>
    <s v="Delhi"/>
    <x v="4"/>
    <m/>
    <s v="SMB"/>
    <n v="50"/>
    <x v="0"/>
  </r>
  <r>
    <s v="ORD-01283"/>
    <d v="2024-11-12T00:00:00"/>
    <s v="CUST-0206"/>
    <s v="PROD-049"/>
    <s v="R007"/>
    <n v="10"/>
    <n v="960"/>
    <n v="9.6999999999999993"/>
    <n v="8668.7999999999993"/>
    <s v="Completed"/>
    <s v="Mumbai"/>
    <x v="5"/>
    <m/>
    <s v="Retail"/>
    <n v="40"/>
    <x v="2"/>
  </r>
  <r>
    <s v="ORD-01284"/>
    <d v="2024-05-09T00:00:00"/>
    <s v="CUST-0174"/>
    <s v="PROD-020"/>
    <s v="R013"/>
    <n v="5"/>
    <n v="820"/>
    <n v="0.5"/>
    <n v="4079.5"/>
    <s v="Completed"/>
    <s v="Pune"/>
    <x v="0"/>
    <m/>
    <s v="Retail"/>
    <n v="54"/>
    <x v="0"/>
  </r>
  <r>
    <s v="ORD-01285"/>
    <d v="2024-04-01T00:00:00"/>
    <s v="CUST-0040"/>
    <s v="PROD-032"/>
    <s v="R004"/>
    <n v="2"/>
    <n v="370"/>
    <n v="10.5"/>
    <n v="662.3"/>
    <s v="Pending"/>
    <s v="Chennai"/>
    <x v="3"/>
    <m/>
    <s v="Retail"/>
    <n v="28"/>
    <x v="4"/>
  </r>
  <r>
    <s v="ORD-01286"/>
    <d v="2024-06-10T00:00:00"/>
    <s v="CUST-0153"/>
    <s v="PROD-038"/>
    <s v="R023"/>
    <n v="9"/>
    <n v="5490"/>
    <n v="14.2"/>
    <n v="42393.78"/>
    <s v="Cancelled"/>
    <s v="Mumbai"/>
    <x v="3"/>
    <m/>
    <s v="Retail"/>
    <n v="35"/>
    <x v="1"/>
  </r>
  <r>
    <s v="ORD-01287"/>
    <d v="2024-04-16T00:00:00"/>
    <s v="CUST-0236"/>
    <s v="PROD-032"/>
    <s v="R018"/>
    <n v="3"/>
    <n v="370"/>
    <n v="18.399999999999999"/>
    <n v="905.76"/>
    <s v="Completed"/>
    <s v="Hyderabad"/>
    <x v="3"/>
    <m/>
    <s v="SMB"/>
    <n v="28"/>
    <x v="3"/>
  </r>
  <r>
    <s v="ORD-01288"/>
    <d v="2024-10-19T00:00:00"/>
    <s v="CUST-0295"/>
    <s v="PROD-060"/>
    <s v="R018"/>
    <n v="6"/>
    <n v="190"/>
    <n v="12.9"/>
    <n v="992.94"/>
    <s v="Completed"/>
    <s v="Delhi"/>
    <x v="1"/>
    <m/>
    <s v="SMB"/>
    <n v="48"/>
    <x v="0"/>
  </r>
  <r>
    <s v="ORD-01289"/>
    <d v="2024-04-15T00:00:00"/>
    <s v="CUST-0145"/>
    <s v="PROD-029"/>
    <s v="R023"/>
    <n v="8"/>
    <n v="2210"/>
    <n v="9.8000000000000007"/>
    <n v="15947.36"/>
    <s v="Completed"/>
    <s v="Bengaluru"/>
    <x v="2"/>
    <m/>
    <s v="SMB"/>
    <n v="44"/>
    <x v="0"/>
  </r>
  <r>
    <s v="ORD-01290"/>
    <d v="2024-06-10T00:00:00"/>
    <s v="CUST-0192"/>
    <s v="PROD-044"/>
    <s v="R009"/>
    <n v="7"/>
    <n v="1650"/>
    <n v="8.4"/>
    <n v="10579.8"/>
    <s v="Completed"/>
    <s v="Bengaluru"/>
    <x v="5"/>
    <m/>
    <s v="Retail"/>
    <n v="55"/>
    <x v="0"/>
  </r>
  <r>
    <s v="ORD-01291"/>
    <d v="2024-03-08T00:00:00"/>
    <s v="CUST-0148"/>
    <s v="PROD-037"/>
    <s v="R013"/>
    <n v="8"/>
    <n v="660"/>
    <n v="7.5"/>
    <n v="4884"/>
    <s v="Completed"/>
    <s v="Chennai"/>
    <x v="3"/>
    <m/>
    <s v="Retail"/>
    <n v="32"/>
    <x v="4"/>
  </r>
  <r>
    <s v="ORD-01292"/>
    <d v="2024-12-18T00:00:00"/>
    <s v="CUST-0227"/>
    <s v="PROD-039"/>
    <s v="R004"/>
    <n v="3"/>
    <n v="4610"/>
    <n v="29.6"/>
    <n v="9736.32"/>
    <s v="Completed"/>
    <s v="Bengaluru"/>
    <x v="3"/>
    <m/>
    <s v="SMB"/>
    <n v="44"/>
    <x v="0"/>
  </r>
  <r>
    <s v="ORD-01293"/>
    <d v="2024-02-03T00:00:00"/>
    <s v="CUST-0170"/>
    <s v="PROD-029"/>
    <s v="R025"/>
    <n v="6"/>
    <n v="2210"/>
    <n v="9.5"/>
    <n v="12000.3"/>
    <s v="Completed"/>
    <s v="Mumbai"/>
    <x v="2"/>
    <m/>
    <s v="SMB"/>
    <n v="22"/>
    <x v="1"/>
  </r>
  <r>
    <s v="ORD-01294"/>
    <d v="2024-08-29T00:00:00"/>
    <s v="CUST-0102"/>
    <s v="PROD-042"/>
    <s v="R017"/>
    <n v="4"/>
    <n v="2290"/>
    <n v="3.3"/>
    <n v="8857.7199999999993"/>
    <s v="Completed"/>
    <s v="Chennai"/>
    <x v="5"/>
    <m/>
    <s v="SMB"/>
    <n v="62"/>
    <x v="0"/>
  </r>
  <r>
    <s v="ORD-01295"/>
    <d v="2024-03-18T00:00:00"/>
    <s v="CUST-0071"/>
    <s v="PROD-040"/>
    <s v="R026"/>
    <n v="5"/>
    <n v="1080"/>
    <n v="26.1"/>
    <n v="3990.6"/>
    <s v="Completed"/>
    <s v="Delhi"/>
    <x v="3"/>
    <m/>
    <s v="Corporate"/>
    <n v="46"/>
    <x v="0"/>
  </r>
  <r>
    <s v="ORD-01296"/>
    <d v="2024-01-21T00:00:00"/>
    <s v="CUST-0080"/>
    <s v="PROD-057"/>
    <s v="R010"/>
    <n v="7"/>
    <n v="960"/>
    <n v="17.7"/>
    <n v="5530.56"/>
    <s v="Completed"/>
    <s v="Pune"/>
    <x v="1"/>
    <m/>
    <s v="SMB"/>
    <n v="30"/>
    <x v="2"/>
  </r>
  <r>
    <s v="ORD-01297"/>
    <d v="2024-06-02T00:00:00"/>
    <s v="CUST-0272"/>
    <s v="PROD-058"/>
    <s v="R008"/>
    <n v="1"/>
    <n v="2400"/>
    <n v="29.9"/>
    <n v="1682.4"/>
    <s v="Completed"/>
    <s v="Mumbai"/>
    <x v="1"/>
    <m/>
    <s v="SMB"/>
    <n v="47"/>
    <x v="0"/>
  </r>
  <r>
    <s v="ORD-01298"/>
    <d v="2024-12-10T00:00:00"/>
    <s v="CUST-0076"/>
    <s v="PROD-042"/>
    <s v="R010"/>
    <n v="9"/>
    <n v="2290"/>
    <n v="28.8"/>
    <n v="14674.32"/>
    <s v="Completed"/>
    <s v="Mumbai"/>
    <x v="5"/>
    <m/>
    <s v="Retail"/>
    <n v="38"/>
    <x v="1"/>
  </r>
  <r>
    <s v="ORD-01299"/>
    <d v="2024-01-03T00:00:00"/>
    <s v="CUST-0222"/>
    <s v="PROD-040"/>
    <s v="R018"/>
    <n v="9"/>
    <n v="1080"/>
    <n v="10.3"/>
    <n v="8718.84"/>
    <s v="Completed"/>
    <s v="Chennai"/>
    <x v="3"/>
    <m/>
    <s v="Retail"/>
    <n v="37"/>
    <x v="4"/>
  </r>
  <r>
    <s v="ORD-01300"/>
    <d v="2024-06-06T00:00:00"/>
    <s v="CUST-0091"/>
    <s v="PROD-035"/>
    <s v="R004"/>
    <n v="1"/>
    <n v="1090"/>
    <n v="5.8"/>
    <n v="1026.78"/>
    <s v="Cancelled"/>
    <s v="Delhi"/>
    <x v="3"/>
    <m/>
    <s v="Retail"/>
    <n v="55"/>
    <x v="0"/>
  </r>
  <r>
    <s v="ORD-01301"/>
    <d v="2024-09-25T00:00:00"/>
    <s v="CUST-0126"/>
    <s v="PROD-029"/>
    <s v="R018"/>
    <n v="3"/>
    <n v="2210"/>
    <n v="18.2"/>
    <n v="5423.34"/>
    <s v="Pending"/>
    <s v="Mumbai"/>
    <x v="2"/>
    <m/>
    <s v="Retail"/>
    <n v="37"/>
    <x v="1"/>
  </r>
  <r>
    <s v="ORD-01302"/>
    <d v="2024-10-23T00:00:00"/>
    <s v="CUST-0241"/>
    <s v="PROD-014"/>
    <s v="R015"/>
    <n v="8"/>
    <n v="3620"/>
    <n v="1.4"/>
    <n v="28554.560000000001"/>
    <s v="Completed"/>
    <s v="Pune"/>
    <x v="0"/>
    <m/>
    <s v="Corporate"/>
    <n v="47"/>
    <x v="0"/>
  </r>
  <r>
    <s v="ORD-01303"/>
    <d v="2024-03-09T00:00:00"/>
    <s v="CUST-0118"/>
    <s v="PROD-033"/>
    <s v="R011"/>
    <n v="7"/>
    <n v="2030"/>
    <n v="27.7"/>
    <n v="10273.83"/>
    <s v="Completed"/>
    <s v="Hyderabad"/>
    <x v="3"/>
    <m/>
    <s v="Retail"/>
    <n v="26"/>
    <x v="4"/>
  </r>
  <r>
    <s v="ORD-01304"/>
    <d v="2024-01-25T00:00:00"/>
    <s v="CUST-0090"/>
    <s v="PROD-004"/>
    <s v="R023"/>
    <n v="1"/>
    <n v="3870"/>
    <n v="29.6"/>
    <n v="2724.48"/>
    <s v="Completed"/>
    <s v="Bengaluru"/>
    <x v="4"/>
    <m/>
    <s v="Corporate"/>
    <n v="26"/>
    <x v="4"/>
  </r>
  <r>
    <s v="ORD-01305"/>
    <d v="2024-02-02T00:00:00"/>
    <s v="CUST-0037"/>
    <s v="PROD-003"/>
    <s v="R014"/>
    <n v="5"/>
    <n v="3570"/>
    <n v="11.8"/>
    <n v="15743.7"/>
    <s v="Refunded"/>
    <s v="Bengaluru"/>
    <x v="4"/>
    <m/>
    <s v="Retail"/>
    <n v="52"/>
    <x v="0"/>
  </r>
  <r>
    <s v="ORD-01306"/>
    <d v="2024-12-24T00:00:00"/>
    <s v="CUST-0083"/>
    <s v="PROD-001"/>
    <s v="R019"/>
    <n v="7"/>
    <n v="5330"/>
    <n v="8.1999999999999993"/>
    <n v="34250.58"/>
    <s v="Completed"/>
    <s v="Bengaluru"/>
    <x v="4"/>
    <m/>
    <s v="Corporate"/>
    <n v="31"/>
    <x v="4"/>
  </r>
  <r>
    <s v="ORD-01307"/>
    <d v="2024-09-29T00:00:00"/>
    <s v="CUST-0154"/>
    <s v="PROD-009"/>
    <s v="R009"/>
    <n v="5"/>
    <n v="1220"/>
    <n v="17.8"/>
    <n v="5014.2"/>
    <s v="Refunded"/>
    <s v="Pune"/>
    <x v="4"/>
    <m/>
    <s v="Retail"/>
    <n v="36"/>
    <x v="3"/>
  </r>
  <r>
    <s v="ORD-01308"/>
    <d v="2024-10-22T00:00:00"/>
    <s v="CUST-0265"/>
    <s v="PROD-011"/>
    <s v="R019"/>
    <n v="7"/>
    <n v="3450"/>
    <n v="29.3"/>
    <n v="17074.05"/>
    <s v="Completed"/>
    <s v="Chennai"/>
    <x v="0"/>
    <m/>
    <s v="Retail"/>
    <n v="49"/>
    <x v="0"/>
  </r>
  <r>
    <s v="ORD-01309"/>
    <d v="2024-09-03T00:00:00"/>
    <s v="CUST-0115"/>
    <s v="PROD-018"/>
    <s v="R013"/>
    <n v="6"/>
    <n v="3560"/>
    <n v="9.4"/>
    <n v="19352.16"/>
    <s v="Pending"/>
    <s v="Mumbai"/>
    <x v="0"/>
    <m/>
    <s v="SMB"/>
    <n v="65"/>
    <x v="0"/>
  </r>
  <r>
    <s v="ORD-01310"/>
    <d v="2024-04-03T00:00:00"/>
    <s v="CUST-0274"/>
    <s v="PROD-032"/>
    <s v="R005"/>
    <n v="4"/>
    <n v="370"/>
    <n v="4.9000000000000004"/>
    <n v="1407.48"/>
    <s v="Completed"/>
    <s v="Bengaluru"/>
    <x v="3"/>
    <m/>
    <s v="Corporate"/>
    <n v="36"/>
    <x v="4"/>
  </r>
  <r>
    <s v="ORD-01311"/>
    <d v="2024-12-21T00:00:00"/>
    <s v="CUST-0269"/>
    <s v="PROD-009"/>
    <s v="R003"/>
    <n v="1"/>
    <n v="1220"/>
    <n v="15.2"/>
    <n v="1034.56"/>
    <s v="Completed"/>
    <s v="Pune"/>
    <x v="4"/>
    <m/>
    <s v="Retail"/>
    <n v="48"/>
    <x v="0"/>
  </r>
  <r>
    <s v="ORD-01312"/>
    <d v="2024-06-23T00:00:00"/>
    <s v="CUST-0045"/>
    <s v="PROD-013"/>
    <s v="R006"/>
    <n v="3"/>
    <n v="3640"/>
    <n v="12.3"/>
    <n v="9576.84"/>
    <s v="Pending"/>
    <s v="Chennai"/>
    <x v="0"/>
    <m/>
    <s v="SMB"/>
    <n v="39"/>
    <x v="1"/>
  </r>
  <r>
    <s v="ORD-01313"/>
    <d v="2024-09-24T00:00:00"/>
    <s v="CUST-0054"/>
    <s v="PROD-045"/>
    <s v="R010"/>
    <n v="8"/>
    <n v="3020"/>
    <n v="28.2"/>
    <n v="17346.88"/>
    <s v="Pending"/>
    <s v="Mumbai"/>
    <x v="5"/>
    <m/>
    <s v="Corporate"/>
    <n v="62"/>
    <x v="0"/>
  </r>
  <r>
    <s v="ORD-01314"/>
    <d v="2024-06-26T00:00:00"/>
    <s v="CUST-0160"/>
    <s v="PROD-048"/>
    <s v="R008"/>
    <n v="3"/>
    <n v="5100"/>
    <n v="7.8"/>
    <n v="14106.6"/>
    <s v="Completed"/>
    <s v="Hyderabad"/>
    <x v="5"/>
    <m/>
    <s v="Retail"/>
    <n v="27"/>
    <x v="4"/>
  </r>
  <r>
    <s v="ORD-01315"/>
    <d v="2024-04-25T00:00:00"/>
    <s v="CUST-0163"/>
    <s v="PROD-005"/>
    <s v="R001"/>
    <n v="9"/>
    <n v="300"/>
    <n v="19"/>
    <n v="2187"/>
    <s v="Completed"/>
    <s v="Pune"/>
    <x v="4"/>
    <m/>
    <s v="Retail"/>
    <n v="49"/>
    <x v="0"/>
  </r>
  <r>
    <s v="ORD-01316"/>
    <d v="2024-12-08T00:00:00"/>
    <s v="CUST-0006"/>
    <s v="PROD-042"/>
    <s v="R007"/>
    <n v="10"/>
    <n v="2290"/>
    <n v="27.7"/>
    <n v="16556.7"/>
    <s v="Completed"/>
    <s v="Pune"/>
    <x v="5"/>
    <m/>
    <s v="SMB"/>
    <n v="44"/>
    <x v="0"/>
  </r>
  <r>
    <s v="ORD-01317"/>
    <d v="2024-06-11T00:00:00"/>
    <s v="CUST-0142"/>
    <s v="PROD-013"/>
    <s v="R024"/>
    <n v="9"/>
    <n v="3640"/>
    <n v="20.100000000000001"/>
    <n v="26175.24"/>
    <s v="Completed"/>
    <s v="Chennai"/>
    <x v="0"/>
    <m/>
    <s v="Corporate"/>
    <n v="55"/>
    <x v="0"/>
  </r>
  <r>
    <s v="ORD-01318"/>
    <d v="2024-09-30T00:00:00"/>
    <s v="CUST-0262"/>
    <s v="PROD-020"/>
    <s v="R022"/>
    <n v="4"/>
    <n v="820"/>
    <n v="7.6"/>
    <n v="3030.72"/>
    <s v="Completed"/>
    <s v="Mumbai"/>
    <x v="0"/>
    <m/>
    <s v="Retail"/>
    <n v="52"/>
    <x v="0"/>
  </r>
  <r>
    <s v="ORD-01319"/>
    <d v="2024-05-31T00:00:00"/>
    <s v="CUST-0049"/>
    <s v="PROD-030"/>
    <s v="R014"/>
    <n v="1"/>
    <n v="970"/>
    <n v="1.7"/>
    <n v="953.51"/>
    <s v="Completed"/>
    <s v="Mumbai"/>
    <x v="2"/>
    <m/>
    <s v="Corporate"/>
    <n v="42"/>
    <x v="0"/>
  </r>
  <r>
    <s v="ORD-01320"/>
    <d v="2024-01-27T00:00:00"/>
    <s v="CUST-0204"/>
    <s v="PROD-018"/>
    <s v="R019"/>
    <n v="5"/>
    <n v="3560"/>
    <n v="10.5"/>
    <n v="15931"/>
    <s v="Completed"/>
    <s v="Hyderabad"/>
    <x v="0"/>
    <m/>
    <s v="Retail"/>
    <n v="60"/>
    <x v="0"/>
  </r>
  <r>
    <s v="ORD-01321"/>
    <d v="2024-01-17T00:00:00"/>
    <s v="CUST-0164"/>
    <s v="PROD-035"/>
    <s v="R009"/>
    <n v="6"/>
    <n v="1090"/>
    <n v="2.4"/>
    <n v="6383.04"/>
    <s v="Pending"/>
    <s v="Chennai"/>
    <x v="3"/>
    <m/>
    <s v="Retail"/>
    <n v="60"/>
    <x v="0"/>
  </r>
  <r>
    <s v="ORD-01322"/>
    <d v="2024-01-15T00:00:00"/>
    <s v="CUST-0003"/>
    <s v="PROD-008"/>
    <s v="R017"/>
    <n v="6"/>
    <n v="2660"/>
    <n v="6.4"/>
    <n v="14938.56"/>
    <s v="Completed"/>
    <s v="Mumbai"/>
    <x v="4"/>
    <m/>
    <s v="Retail"/>
    <n v="33"/>
    <x v="4"/>
  </r>
  <r>
    <s v="ORD-01323"/>
    <d v="2024-05-20T00:00:00"/>
    <s v="CUST-0032"/>
    <s v="PROD-006"/>
    <s v="R001"/>
    <n v="5"/>
    <n v="3970"/>
    <n v="18.8"/>
    <n v="16118.2"/>
    <s v="Pending"/>
    <s v="Hyderabad"/>
    <x v="4"/>
    <m/>
    <s v="Retail"/>
    <n v="28"/>
    <x v="3"/>
  </r>
  <r>
    <s v="ORD-01324"/>
    <d v="2024-03-18T00:00:00"/>
    <s v="CUST-0208"/>
    <s v="PROD-056"/>
    <s v="R021"/>
    <n v="7"/>
    <n v="6940"/>
    <n v="23.8"/>
    <n v="37017.96"/>
    <s v="Refunded"/>
    <s v="Mumbai"/>
    <x v="1"/>
    <m/>
    <s v="Retail"/>
    <n v="49"/>
    <x v="0"/>
  </r>
  <r>
    <s v="ORD-01325"/>
    <d v="2024-09-09T00:00:00"/>
    <s v="CUST-0183"/>
    <s v="PROD-058"/>
    <s v="R004"/>
    <n v="3"/>
    <n v="2400"/>
    <n v="9.8000000000000007"/>
    <n v="6494.4"/>
    <s v="Completed"/>
    <s v="Mumbai"/>
    <x v="1"/>
    <m/>
    <s v="SMB"/>
    <n v="27"/>
    <x v="3"/>
  </r>
  <r>
    <s v="ORD-01326"/>
    <d v="2024-04-13T00:00:00"/>
    <s v="CUST-0021"/>
    <s v="PROD-051"/>
    <s v="R023"/>
    <n v="8"/>
    <n v="3450"/>
    <n v="26.6"/>
    <n v="20258.400000000001"/>
    <s v="Cancelled"/>
    <s v="Pune"/>
    <x v="1"/>
    <m/>
    <s v="Retail"/>
    <n v="44"/>
    <x v="0"/>
  </r>
  <r>
    <s v="ORD-01327"/>
    <d v="2024-04-07T00:00:00"/>
    <s v="CUST-0080"/>
    <s v="PROD-009"/>
    <s v="R004"/>
    <n v="4"/>
    <n v="1220"/>
    <n v="5.5"/>
    <n v="4611.6000000000004"/>
    <s v="Completed"/>
    <s v="Pune"/>
    <x v="4"/>
    <m/>
    <s v="SMB"/>
    <n v="30"/>
    <x v="3"/>
  </r>
  <r>
    <s v="ORD-01328"/>
    <d v="2024-09-01T00:00:00"/>
    <s v="CUST-0286"/>
    <s v="PROD-016"/>
    <s v="R007"/>
    <n v="1"/>
    <n v="620"/>
    <n v="22.3"/>
    <n v="481.74"/>
    <s v="Pending"/>
    <s v="Delhi"/>
    <x v="0"/>
    <m/>
    <s v="Retail"/>
    <n v="62"/>
    <x v="0"/>
  </r>
  <r>
    <s v="ORD-01329"/>
    <d v="2024-02-26T00:00:00"/>
    <s v="CUST-0152"/>
    <s v="PROD-005"/>
    <s v="R023"/>
    <n v="1"/>
    <n v="300"/>
    <n v="12.5"/>
    <n v="262.5"/>
    <s v="Completed"/>
    <s v="Bengaluru"/>
    <x v="4"/>
    <m/>
    <s v="SMB"/>
    <n v="64"/>
    <x v="0"/>
  </r>
  <r>
    <s v="ORD-01330"/>
    <d v="2024-07-29T00:00:00"/>
    <s v="CUST-0254"/>
    <s v="PROD-054"/>
    <s v="R020"/>
    <n v="3"/>
    <n v="1010"/>
    <n v="14.1"/>
    <n v="2602.77"/>
    <s v="Completed"/>
    <s v="Bengaluru"/>
    <x v="1"/>
    <m/>
    <s v="Retail"/>
    <n v="35"/>
    <x v="3"/>
  </r>
  <r>
    <s v="ORD-01331"/>
    <d v="2024-11-04T00:00:00"/>
    <s v="CUST-0290"/>
    <s v="PROD-034"/>
    <s v="R027"/>
    <n v="2"/>
    <n v="5080"/>
    <n v="16.8"/>
    <n v="8453.1200000000008"/>
    <s v="Completed"/>
    <s v="Delhi"/>
    <x v="3"/>
    <m/>
    <s v="Retail"/>
    <n v="63"/>
    <x v="0"/>
  </r>
  <r>
    <s v="ORD-01332"/>
    <d v="2024-05-04T00:00:00"/>
    <s v="CUST-0101"/>
    <s v="PROD-012"/>
    <s v="R027"/>
    <n v="2"/>
    <n v="3160"/>
    <n v="21.4"/>
    <n v="4967.5200000000004"/>
    <s v="Completed"/>
    <s v="Hyderabad"/>
    <x v="0"/>
    <m/>
    <s v="SMB"/>
    <n v="40"/>
    <x v="2"/>
  </r>
  <r>
    <s v="ORD-01333"/>
    <d v="2024-08-31T00:00:00"/>
    <s v="CUST-0058"/>
    <s v="PROD-047"/>
    <s v="R016"/>
    <n v="7"/>
    <n v="3450"/>
    <n v="21.3"/>
    <n v="19006.05"/>
    <s v="Completed"/>
    <s v="Bengaluru"/>
    <x v="5"/>
    <m/>
    <s v="SMB"/>
    <n v="49"/>
    <x v="0"/>
  </r>
  <r>
    <s v="ORD-01334"/>
    <d v="2024-01-31T00:00:00"/>
    <s v="CUST-0296"/>
    <s v="PROD-001"/>
    <s v="R006"/>
    <n v="2"/>
    <n v="5330"/>
    <n v="4.3"/>
    <n v="10201.620000000001"/>
    <s v="Completed"/>
    <s v="Delhi"/>
    <x v="4"/>
    <m/>
    <s v="Corporate"/>
    <n v="47"/>
    <x v="0"/>
  </r>
  <r>
    <s v="ORD-01335"/>
    <d v="2024-11-30T00:00:00"/>
    <s v="CUST-0249"/>
    <s v="PROD-056"/>
    <s v="R014"/>
    <n v="5"/>
    <n v="6940"/>
    <n v="2.9"/>
    <n v="33693.699999999997"/>
    <s v="Completed"/>
    <s v="Mumbai"/>
    <x v="1"/>
    <m/>
    <s v="Retail"/>
    <n v="44"/>
    <x v="0"/>
  </r>
  <r>
    <s v="ORD-01336"/>
    <d v="2024-08-30T00:00:00"/>
    <s v="CUST-0055"/>
    <s v="PROD-037"/>
    <s v="R028"/>
    <n v="5"/>
    <n v="660"/>
    <n v="15.8"/>
    <n v="2778.6"/>
    <s v="Completed"/>
    <s v="Bengaluru"/>
    <x v="3"/>
    <m/>
    <s v="Retail"/>
    <n v="34"/>
    <x v="4"/>
  </r>
  <r>
    <s v="ORD-01337"/>
    <d v="2024-08-15T00:00:00"/>
    <s v="CUST-0005"/>
    <s v="PROD-048"/>
    <s v="R013"/>
    <n v="9"/>
    <n v="5100"/>
    <n v="0.4"/>
    <n v="45716.4"/>
    <s v="Completed"/>
    <s v="Chennai"/>
    <x v="5"/>
    <m/>
    <s v="Corporate"/>
    <n v="52"/>
    <x v="0"/>
  </r>
  <r>
    <s v="ORD-01338"/>
    <d v="2024-01-24T00:00:00"/>
    <s v="CUST-9595"/>
    <s v="PROD-044"/>
    <s v="R014"/>
    <n v="5"/>
    <n v="1650"/>
    <n v="0.8"/>
    <n v="8184"/>
    <s v="Pending"/>
    <s v="Chennai"/>
    <x v="5"/>
    <m/>
    <e v="#N/A"/>
    <e v="#N/A"/>
    <x v="0"/>
  </r>
  <r>
    <s v="ORD-01339"/>
    <d v="2024-10-01T00:00:00"/>
    <s v="CUST-0138"/>
    <s v="PROD-013"/>
    <s v="R018"/>
    <n v="7"/>
    <n v="3640"/>
    <n v="25.5"/>
    <n v="18982.599999999999"/>
    <s v="Completed"/>
    <s v="Chennai"/>
    <x v="0"/>
    <m/>
    <s v="Retail"/>
    <n v="24"/>
    <x v="4"/>
  </r>
  <r>
    <s v="ORD-01340"/>
    <d v="2024-12-17T00:00:00"/>
    <s v="CUST-0112"/>
    <s v="PROD-046"/>
    <s v="R029"/>
    <n v="6"/>
    <n v="4880"/>
    <n v="12.6"/>
    <n v="25590.720000000001"/>
    <s v="Cancelled"/>
    <s v="Hyderabad"/>
    <x v="5"/>
    <m/>
    <s v="Retail"/>
    <n v="64"/>
    <x v="0"/>
  </r>
  <r>
    <s v="ORD-01341"/>
    <d v="2024-05-10T00:00:00"/>
    <s v="CUST-0254"/>
    <s v="PROD-001"/>
    <s v="R028"/>
    <n v="4"/>
    <n v="5330"/>
    <n v="16.2"/>
    <n v="17866.16"/>
    <s v="Completed"/>
    <s v="Bengaluru"/>
    <x v="4"/>
    <m/>
    <s v="Retail"/>
    <n v="35"/>
    <x v="2"/>
  </r>
  <r>
    <s v="ORD-01342"/>
    <d v="2024-04-18T00:00:00"/>
    <s v="CUST-0087"/>
    <s v="PROD-038"/>
    <s v="R023"/>
    <n v="3"/>
    <n v="5490"/>
    <n v="26.7"/>
    <n v="12072.51"/>
    <s v="Completed"/>
    <s v="Pune"/>
    <x v="3"/>
    <m/>
    <s v="SMB"/>
    <n v="49"/>
    <x v="0"/>
  </r>
  <r>
    <s v="ORD-01343"/>
    <d v="2024-09-29T00:00:00"/>
    <s v="CUST-0142"/>
    <s v="PROD-060"/>
    <s v="R002"/>
    <n v="7"/>
    <n v="190"/>
    <n v="11.6"/>
    <n v="1175.72"/>
    <s v="Completed"/>
    <s v="Chennai"/>
    <x v="1"/>
    <m/>
    <s v="Corporate"/>
    <n v="55"/>
    <x v="0"/>
  </r>
  <r>
    <s v="ORD-01344"/>
    <d v="2024-05-25T00:00:00"/>
    <s v="CUST-0293"/>
    <s v="PROD-012"/>
    <s v="R016"/>
    <n v="5"/>
    <n v="3160"/>
    <n v="24.1"/>
    <n v="11992.2"/>
    <s v="Completed"/>
    <s v="Bengaluru"/>
    <x v="0"/>
    <m/>
    <s v="Retail"/>
    <n v="27"/>
    <x v="1"/>
  </r>
  <r>
    <s v="ORD-01345"/>
    <d v="2024-04-13T00:00:00"/>
    <s v="CUST-0025"/>
    <s v="PROD-035"/>
    <s v="R023"/>
    <n v="1"/>
    <n v="1090"/>
    <n v="9.6"/>
    <n v="985.36"/>
    <s v="Refunded"/>
    <s v="Bengaluru"/>
    <x v="3"/>
    <m/>
    <s v="Retail"/>
    <n v="23"/>
    <x v="4"/>
  </r>
  <r>
    <s v="ORD-01346"/>
    <d v="2024-06-04T00:00:00"/>
    <s v="CUST-0096"/>
    <s v="PROD-032"/>
    <s v="R004"/>
    <n v="9"/>
    <n v="370"/>
    <n v="4"/>
    <n v="3196.8"/>
    <s v="Completed"/>
    <s v="Delhi"/>
    <x v="3"/>
    <m/>
    <s v="Corporate"/>
    <n v="27"/>
    <x v="3"/>
  </r>
  <r>
    <s v="ORD-01347"/>
    <d v="2024-01-09T00:00:00"/>
    <s v="CUST-0069"/>
    <s v="PROD-008"/>
    <s v="R002"/>
    <n v="5"/>
    <n v="2660"/>
    <n v="24.6"/>
    <n v="10028.200000000001"/>
    <s v="Cancelled"/>
    <s v="Chennai"/>
    <x v="4"/>
    <m/>
    <s v="Retail"/>
    <n v="51"/>
    <x v="0"/>
  </r>
  <r>
    <s v="ORD-01348"/>
    <d v="2024-02-05T00:00:00"/>
    <s v="CUST-0220"/>
    <s v="PROD-018"/>
    <s v="R018"/>
    <n v="4"/>
    <n v="3560"/>
    <n v="25.7"/>
    <n v="10580.32"/>
    <s v="Completed"/>
    <s v="Chennai"/>
    <x v="0"/>
    <m/>
    <s v="Retail"/>
    <n v="34"/>
    <x v="1"/>
  </r>
  <r>
    <s v="ORD-01349"/>
    <d v="2024-04-28T00:00:00"/>
    <s v="CUST-0005"/>
    <s v="PROD-049"/>
    <s v="R005"/>
    <n v="8"/>
    <n v="960"/>
    <n v="0.1"/>
    <n v="7672.32"/>
    <s v="Completed"/>
    <s v="Chennai"/>
    <x v="5"/>
    <m/>
    <s v="Corporate"/>
    <n v="52"/>
    <x v="0"/>
  </r>
  <r>
    <s v="ORD-01350"/>
    <d v="2024-12-18T00:00:00"/>
    <s v="CUST-0222"/>
    <s v="PROD-032"/>
    <s v="R024"/>
    <n v="10"/>
    <n v="370"/>
    <n v="16.399999999999999"/>
    <n v="3093.2"/>
    <s v="Cancelled"/>
    <s v="Chennai"/>
    <x v="3"/>
    <m/>
    <s v="Retail"/>
    <n v="37"/>
    <x v="1"/>
  </r>
  <r>
    <s v="ORD-01351"/>
    <d v="2024-04-17T00:00:00"/>
    <s v="CUST-0039"/>
    <s v="PROD-015"/>
    <s v="R029"/>
    <n v="4"/>
    <n v="2720"/>
    <n v="3.1"/>
    <n v="10542.72"/>
    <s v="Completed"/>
    <s v="Bengaluru"/>
    <x v="0"/>
    <m/>
    <s v="Retail"/>
    <n v="37"/>
    <x v="2"/>
  </r>
  <r>
    <s v="ORD-01352"/>
    <d v="2024-05-29T00:00:00"/>
    <s v="CUST-0224"/>
    <s v="PROD-034"/>
    <s v="R005"/>
    <n v="10"/>
    <n v="5080"/>
    <n v="6.8"/>
    <n v="47345.599999999999"/>
    <s v="Completed"/>
    <s v="Chennai"/>
    <x v="3"/>
    <m/>
    <s v="Corporate"/>
    <n v="24"/>
    <x v="2"/>
  </r>
  <r>
    <s v="ORD-01353"/>
    <d v="2024-03-28T00:00:00"/>
    <s v="CUST-0288"/>
    <s v="PROD-042"/>
    <s v="R008"/>
    <n v="6"/>
    <n v="2290"/>
    <n v="22.6"/>
    <n v="10634.76"/>
    <s v="Completed"/>
    <s v="Hyderabad"/>
    <x v="5"/>
    <m/>
    <s v="Corporate"/>
    <n v="25"/>
    <x v="1"/>
  </r>
  <r>
    <s v="ORD-01354"/>
    <d v="2024-07-29T00:00:00"/>
    <s v="CUST-0002"/>
    <s v="PROD-021"/>
    <s v="R006"/>
    <n v="4"/>
    <n v="2760"/>
    <n v="27.2"/>
    <n v="8037.12"/>
    <s v="Refunded"/>
    <s v="Pune"/>
    <x v="2"/>
    <m/>
    <s v="Corporate"/>
    <n v="42"/>
    <x v="0"/>
  </r>
  <r>
    <s v="ORD-01355"/>
    <d v="2024-06-23T00:00:00"/>
    <s v="CUST-0172"/>
    <s v="PROD-024"/>
    <s v="R027"/>
    <n v="9"/>
    <n v="2270"/>
    <n v="5.2"/>
    <n v="19367.64"/>
    <s v="Completed"/>
    <s v="Pune"/>
    <x v="2"/>
    <m/>
    <s v="Retail"/>
    <n v="65"/>
    <x v="0"/>
  </r>
  <r>
    <s v="ORD-01356"/>
    <d v="2024-07-27T00:00:00"/>
    <s v="CUST-0287"/>
    <s v="PROD-017"/>
    <s v="R008"/>
    <n v="3"/>
    <n v="2510"/>
    <n v="16.399999999999999"/>
    <n v="6295.08"/>
    <s v="Completed"/>
    <s v="Chennai"/>
    <x v="0"/>
    <m/>
    <s v="SMB"/>
    <n v="53"/>
    <x v="0"/>
  </r>
  <r>
    <s v="ORD-01357"/>
    <d v="2024-02-15T00:00:00"/>
    <s v="CUST-0020"/>
    <s v="PROD-023"/>
    <s v="R012"/>
    <n v="1"/>
    <n v="2380"/>
    <n v="23.5"/>
    <n v="1820.7"/>
    <s v="Completed"/>
    <s v="Hyderabad"/>
    <x v="2"/>
    <m/>
    <s v="Retail"/>
    <n v="46"/>
    <x v="0"/>
  </r>
  <r>
    <s v="ORD-01358"/>
    <d v="2024-06-04T00:00:00"/>
    <s v="CUST-0039"/>
    <s v="PROD-059"/>
    <s v="R019"/>
    <n v="2"/>
    <n v="3780"/>
    <n v="29.1"/>
    <n v="5360.04"/>
    <s v="Completed"/>
    <s v="Bengaluru"/>
    <x v="1"/>
    <m/>
    <s v="Retail"/>
    <n v="37"/>
    <x v="4"/>
  </r>
  <r>
    <s v="ORD-01359"/>
    <d v="2024-09-11T00:00:00"/>
    <s v="CUST-0128"/>
    <s v="PROD-011"/>
    <s v="R026"/>
    <n v="1"/>
    <n v="3450"/>
    <n v="17.8"/>
    <n v="2835.9"/>
    <s v="Completed"/>
    <s v="Hyderabad"/>
    <x v="0"/>
    <m/>
    <s v="Retail"/>
    <n v="35"/>
    <x v="3"/>
  </r>
  <r>
    <s v="ORD-01360"/>
    <d v="2024-06-08T00:00:00"/>
    <s v="CUST-0149"/>
    <s v="PROD-046"/>
    <s v="R006"/>
    <n v="6"/>
    <n v="4880"/>
    <n v="15.6"/>
    <n v="24712.32"/>
    <s v="Pending"/>
    <s v="Hyderabad"/>
    <x v="5"/>
    <m/>
    <s v="Retail"/>
    <n v="44"/>
    <x v="0"/>
  </r>
  <r>
    <s v="ORD-01361"/>
    <d v="2024-05-15T00:00:00"/>
    <s v="CUST-0101"/>
    <s v="PROD-049"/>
    <s v="R016"/>
    <n v="6"/>
    <n v="960"/>
    <n v="7.5"/>
    <n v="5328"/>
    <s v="Pending"/>
    <s v="Hyderabad"/>
    <x v="5"/>
    <m/>
    <s v="SMB"/>
    <n v="40"/>
    <x v="1"/>
  </r>
  <r>
    <s v="ORD-01362"/>
    <d v="2024-08-28T00:00:00"/>
    <s v="CUST-0106"/>
    <s v="PROD-018"/>
    <s v="R023"/>
    <n v="1"/>
    <n v="3560"/>
    <n v="12.9"/>
    <n v="3100.76"/>
    <s v="Completed"/>
    <s v="Pune"/>
    <x v="0"/>
    <m/>
    <s v="Retail"/>
    <n v="22"/>
    <x v="4"/>
  </r>
  <r>
    <s v="ORD-01363"/>
    <d v="2024-06-23T00:00:00"/>
    <s v="CUST-0085"/>
    <s v="PROD-025"/>
    <s v="R005"/>
    <n v="5"/>
    <n v="4060"/>
    <n v="18.100000000000001"/>
    <n v="16625.7"/>
    <s v="Pending"/>
    <s v="Chennai"/>
    <x v="2"/>
    <m/>
    <s v="Retail"/>
    <n v="26"/>
    <x v="3"/>
  </r>
  <r>
    <s v="ORD-01364"/>
    <d v="2024-09-10T00:00:00"/>
    <s v="CUST-0071"/>
    <s v="PROD-015"/>
    <s v="R020"/>
    <n v="10"/>
    <n v="2720"/>
    <n v="23.2"/>
    <n v="20889.599999999999"/>
    <s v="Completed"/>
    <s v="Delhi"/>
    <x v="0"/>
    <m/>
    <s v="Corporate"/>
    <n v="46"/>
    <x v="0"/>
  </r>
  <r>
    <s v="ORD-01365"/>
    <d v="2024-09-12T00:00:00"/>
    <s v="CUST-0185"/>
    <s v="PROD-029"/>
    <s v="R022"/>
    <n v="1"/>
    <n v="2210"/>
    <n v="5.8"/>
    <n v="2081.8200000000002"/>
    <s v="Pending"/>
    <s v="Hyderabad"/>
    <x v="2"/>
    <m/>
    <s v="SMB"/>
    <n v="43"/>
    <x v="0"/>
  </r>
  <r>
    <s v="ORD-01366"/>
    <d v="2024-09-12T00:00:00"/>
    <s v="CUST-0182"/>
    <s v="PROD-047"/>
    <s v="R013"/>
    <n v="5"/>
    <n v="3450"/>
    <n v="27.9"/>
    <n v="12437.25"/>
    <s v="Pending"/>
    <s v="Mumbai"/>
    <x v="5"/>
    <m/>
    <s v="Retail"/>
    <n v="54"/>
    <x v="0"/>
  </r>
  <r>
    <s v="ORD-01367"/>
    <d v="2024-09-15T00:00:00"/>
    <s v="CUST-0177"/>
    <s v="PROD-023"/>
    <s v="R023"/>
    <n v="9"/>
    <n v="2380"/>
    <n v="15.2"/>
    <n v="18164.16"/>
    <s v="Refunded"/>
    <s v="Mumbai"/>
    <x v="2"/>
    <m/>
    <s v="SMB"/>
    <n v="36"/>
    <x v="4"/>
  </r>
  <r>
    <s v="ORD-01368"/>
    <d v="2024-09-16T00:00:00"/>
    <s v="CUST-0253"/>
    <s v="PROD-023"/>
    <s v="R002"/>
    <n v="2"/>
    <n v="2380"/>
    <n v="24.3"/>
    <n v="3603.32"/>
    <s v="Completed"/>
    <s v="Delhi"/>
    <x v="2"/>
    <m/>
    <s v="SMB"/>
    <n v="53"/>
    <x v="0"/>
  </r>
  <r>
    <s v="ORD-01369"/>
    <d v="2024-09-25T00:00:00"/>
    <s v="CUST-0071"/>
    <s v="PROD-018"/>
    <s v="R012"/>
    <n v="9"/>
    <n v="3560"/>
    <n v="6.6"/>
    <n v="29925.360000000001"/>
    <s v="Refunded"/>
    <s v="Delhi"/>
    <x v="0"/>
    <m/>
    <s v="Corporate"/>
    <n v="46"/>
    <x v="0"/>
  </r>
  <r>
    <s v="ORD-01370"/>
    <d v="2024-02-08T00:00:00"/>
    <s v="CUST-0240"/>
    <s v="PROD-009"/>
    <s v="R018"/>
    <n v="7"/>
    <n v="1220"/>
    <n v="29.4"/>
    <n v="6029.24"/>
    <s v="Completed"/>
    <s v="Chennai"/>
    <x v="4"/>
    <m/>
    <s v="Corporate"/>
    <n v="35"/>
    <x v="4"/>
  </r>
  <r>
    <s v="ORD-01371"/>
    <d v="2024-09-25T00:00:00"/>
    <s v="CUST-0050"/>
    <s v="PROD-056"/>
    <s v="R017"/>
    <n v="7"/>
    <n v="6940"/>
    <n v="9.6"/>
    <n v="43916.32"/>
    <s v="Completed"/>
    <s v="Mumbai"/>
    <x v="1"/>
    <m/>
    <s v="Retail"/>
    <n v="37"/>
    <x v="3"/>
  </r>
  <r>
    <s v="ORD-01372"/>
    <d v="2024-04-13T00:00:00"/>
    <s v="CUST-0089"/>
    <s v="PROD-035"/>
    <s v="R022"/>
    <n v="2"/>
    <n v="1090"/>
    <n v="17"/>
    <n v="1809.4"/>
    <s v="Completed"/>
    <s v="Mumbai"/>
    <x v="3"/>
    <m/>
    <s v="SMB"/>
    <n v="43"/>
    <x v="0"/>
  </r>
  <r>
    <s v="ORD-01373"/>
    <d v="2024-07-13T00:00:00"/>
    <s v="CUST-0209"/>
    <s v="PROD-023"/>
    <s v="R028"/>
    <n v="4"/>
    <n v="2380"/>
    <n v="18.899999999999999"/>
    <n v="7720.72"/>
    <s v="Pending"/>
    <s v="Pune"/>
    <x v="2"/>
    <m/>
    <s v="Retail"/>
    <n v="31"/>
    <x v="3"/>
  </r>
  <r>
    <s v="ORD-01374"/>
    <d v="2024-10-13T00:00:00"/>
    <s v="CUST-0089"/>
    <s v="PROD-024"/>
    <s v="R004"/>
    <n v="6"/>
    <n v="2270"/>
    <n v="20.9"/>
    <n v="10773.42"/>
    <s v="Pending"/>
    <s v="Mumbai"/>
    <x v="2"/>
    <m/>
    <s v="SMB"/>
    <n v="43"/>
    <x v="0"/>
  </r>
  <r>
    <s v="ORD-01375"/>
    <d v="2024-10-16T00:00:00"/>
    <s v="CUST-0093"/>
    <s v="PROD-033"/>
    <s v="R019"/>
    <n v="10"/>
    <n v="2030"/>
    <n v="25"/>
    <n v="15225"/>
    <s v="Completed"/>
    <s v="Pune"/>
    <x v="3"/>
    <m/>
    <s v="Retail"/>
    <n v="36"/>
    <x v="1"/>
  </r>
  <r>
    <s v="ORD-01376"/>
    <d v="2024-08-04T00:00:00"/>
    <s v="CUST-0018"/>
    <s v="PROD-035"/>
    <s v="R027"/>
    <n v="3"/>
    <n v="1090"/>
    <n v="12.1"/>
    <n v="2874.33"/>
    <s v="Completed"/>
    <s v="Pune"/>
    <x v="3"/>
    <m/>
    <s v="SMB"/>
    <n v="54"/>
    <x v="0"/>
  </r>
  <r>
    <s v="ORD-01377"/>
    <d v="2024-01-12T00:00:00"/>
    <s v="CUST-0089"/>
    <s v="PROD-017"/>
    <s v="R017"/>
    <n v="3"/>
    <n v="2510"/>
    <n v="28.7"/>
    <n v="5368.89"/>
    <s v="Completed"/>
    <s v="Mumbai"/>
    <x v="0"/>
    <m/>
    <s v="SMB"/>
    <n v="43"/>
    <x v="0"/>
  </r>
  <r>
    <s v="ORD-01378"/>
    <d v="2024-04-30T00:00:00"/>
    <s v="CUST-0116"/>
    <s v="PROD-024"/>
    <s v="R026"/>
    <n v="9"/>
    <n v="2270"/>
    <n v="25.4"/>
    <n v="15240.78"/>
    <s v="Pending"/>
    <s v="Bengaluru"/>
    <x v="2"/>
    <m/>
    <s v="Retail"/>
    <n v="53"/>
    <x v="0"/>
  </r>
  <r>
    <s v="ORD-01379"/>
    <d v="2024-04-18T00:00:00"/>
    <s v="CUST-0071"/>
    <s v="PROD-006"/>
    <s v="R029"/>
    <n v="9"/>
    <n v="3970"/>
    <n v="10.1"/>
    <n v="32121.27"/>
    <s v="Cancelled"/>
    <s v="Delhi"/>
    <x v="4"/>
    <m/>
    <s v="Corporate"/>
    <n v="46"/>
    <x v="0"/>
  </r>
  <r>
    <s v="ORD-01380"/>
    <d v="2024-10-05T00:00:00"/>
    <s v="CUST-0115"/>
    <s v="PROD-029"/>
    <s v="R014"/>
    <n v="6"/>
    <n v="2210"/>
    <n v="7.4"/>
    <n v="12278.76"/>
    <s v="Completed"/>
    <s v="Mumbai"/>
    <x v="2"/>
    <m/>
    <s v="SMB"/>
    <n v="65"/>
    <x v="0"/>
  </r>
  <r>
    <s v="ORD-01381"/>
    <d v="2024-03-09T00:00:00"/>
    <s v="CUST-0258"/>
    <s v="PROD-041"/>
    <s v="R017"/>
    <n v="7"/>
    <n v="1540"/>
    <n v="20.6"/>
    <n v="8559.32"/>
    <s v="Completed"/>
    <s v="Pune"/>
    <x v="5"/>
    <m/>
    <s v="Retail"/>
    <n v="44"/>
    <x v="0"/>
  </r>
  <r>
    <s v="ORD-01382"/>
    <d v="2024-02-12T00:00:00"/>
    <s v="CUST-0290"/>
    <s v="PROD-039"/>
    <s v="R027"/>
    <n v="9"/>
    <n v="4610"/>
    <n v="2.1"/>
    <n v="40618.71"/>
    <s v="Completed"/>
    <s v="Delhi"/>
    <x v="3"/>
    <m/>
    <s v="Retail"/>
    <n v="63"/>
    <x v="0"/>
  </r>
  <r>
    <s v="ORD-01383"/>
    <d v="2024-08-23T00:00:00"/>
    <s v="CUST-0279"/>
    <s v="PROD-006"/>
    <s v="R002"/>
    <n v="10"/>
    <n v="3970"/>
    <n v="13.3"/>
    <n v="34419.9"/>
    <s v="Pending"/>
    <s v="Mumbai"/>
    <x v="4"/>
    <m/>
    <s v="Retail"/>
    <n v="56"/>
    <x v="0"/>
  </r>
  <r>
    <s v="ORD-01384"/>
    <d v="2024-08-30T00:00:00"/>
    <s v="CUST-0132"/>
    <s v="PROD-008"/>
    <s v="R008"/>
    <n v="8"/>
    <n v="2660"/>
    <n v="16.8"/>
    <n v="17704.96"/>
    <s v="Completed"/>
    <s v="Delhi"/>
    <x v="4"/>
    <m/>
    <s v="Retail"/>
    <n v="41"/>
    <x v="0"/>
  </r>
  <r>
    <s v="ORD-01385"/>
    <d v="2024-02-07T00:00:00"/>
    <s v="CUST-0029"/>
    <s v="PROD-047"/>
    <s v="R021"/>
    <n v="6"/>
    <n v="3450"/>
    <n v="23.4"/>
    <n v="15856.2"/>
    <s v="Completed"/>
    <s v="Chennai"/>
    <x v="5"/>
    <m/>
    <s v="Corporate"/>
    <n v="54"/>
    <x v="0"/>
  </r>
  <r>
    <s v="ORD-01386"/>
    <d v="2024-11-25T00:00:00"/>
    <s v="CUST-0295"/>
    <s v="PROD-053"/>
    <s v="R007"/>
    <n v="10"/>
    <n v="470"/>
    <n v="21.2"/>
    <n v="3703.6"/>
    <s v="Completed"/>
    <s v="Delhi"/>
    <x v="1"/>
    <m/>
    <s v="SMB"/>
    <n v="48"/>
    <x v="0"/>
  </r>
  <r>
    <s v="ORD-00168"/>
    <d v="2024-02-12T00:00:00"/>
    <s v="CUST-0106"/>
    <s v="PROD-059"/>
    <s v="R022"/>
    <n v="7"/>
    <n v="3780"/>
    <n v="10.1"/>
    <n v="23787.54"/>
    <s v="Completed"/>
    <s v="Pune"/>
    <x v="1"/>
    <m/>
    <s v="Retail"/>
    <n v="22"/>
    <x v="1"/>
  </r>
  <r>
    <s v="ORD-01388"/>
    <d v="2024-02-02T00:00:00"/>
    <s v="CUST-0127"/>
    <s v="PROD-014"/>
    <s v="R027"/>
    <n v="3"/>
    <n v="3620"/>
    <n v="4.2"/>
    <n v="10403.879999999999"/>
    <s v="Completed"/>
    <s v="Bengaluru"/>
    <x v="0"/>
    <m/>
    <s v="SMB"/>
    <n v="36"/>
    <x v="3"/>
  </r>
  <r>
    <s v="ORD-01389"/>
    <d v="2024-09-06T00:00:00"/>
    <s v="CUST-0031"/>
    <s v="PROD-049"/>
    <s v="R028"/>
    <n v="7"/>
    <n v="960"/>
    <n v="9"/>
    <n v="6115.2"/>
    <s v="Completed"/>
    <s v="Hyderabad"/>
    <x v="5"/>
    <m/>
    <s v="Retail"/>
    <n v="53"/>
    <x v="0"/>
  </r>
  <r>
    <s v="ORD-01390"/>
    <d v="2024-02-22T00:00:00"/>
    <s v="CUST-0256"/>
    <s v="PROD-043"/>
    <s v="R007"/>
    <n v="10"/>
    <n v="3350"/>
    <n v="1.2"/>
    <n v="33098"/>
    <s v="Cancelled"/>
    <s v="Hyderabad"/>
    <x v="5"/>
    <m/>
    <s v="Retail"/>
    <n v="28"/>
    <x v="2"/>
  </r>
  <r>
    <s v="ORD-01391"/>
    <d v="2024-04-06T00:00:00"/>
    <s v="CUST-0131"/>
    <s v="PROD-058"/>
    <s v="R030"/>
    <n v="3"/>
    <n v="2400"/>
    <n v="15.4"/>
    <n v="6091.2"/>
    <s v="Completed"/>
    <s v="Delhi"/>
    <x v="1"/>
    <m/>
    <s v="SMB"/>
    <n v="28"/>
    <x v="1"/>
  </r>
  <r>
    <s v="ORD-01392"/>
    <d v="2024-04-25T00:00:00"/>
    <s v="CUST-0270"/>
    <s v="PROD-055"/>
    <s v="R002"/>
    <n v="2"/>
    <n v="2860"/>
    <n v="10.5"/>
    <n v="5119.3999999999996"/>
    <s v="Completed"/>
    <s v="Bengaluru"/>
    <x v="1"/>
    <m/>
    <s v="Retail"/>
    <n v="29"/>
    <x v="2"/>
  </r>
  <r>
    <s v="ORD-01393"/>
    <d v="2024-11-24T00:00:00"/>
    <s v="CUST-0212"/>
    <s v="PROD-042"/>
    <s v="R008"/>
    <n v="4"/>
    <n v="2290"/>
    <n v="5.9"/>
    <n v="8619.56"/>
    <s v="Completed"/>
    <s v="Chennai"/>
    <x v="5"/>
    <m/>
    <s v="SMB"/>
    <n v="46"/>
    <x v="0"/>
  </r>
  <r>
    <s v="ORD-01394"/>
    <d v="2024-07-26T00:00:00"/>
    <s v="CUST-0216"/>
    <s v="PROD-001"/>
    <s v="R023"/>
    <n v="7"/>
    <n v="5330"/>
    <n v="3.5"/>
    <n v="36004.15"/>
    <s v="Cancelled"/>
    <s v="Mumbai"/>
    <x v="4"/>
    <m/>
    <s v="Retail"/>
    <n v="50"/>
    <x v="0"/>
  </r>
  <r>
    <s v="ORD-01395"/>
    <d v="2024-10-20T00:00:00"/>
    <s v="CUST-0189"/>
    <s v="PROD-013"/>
    <s v="R018"/>
    <n v="10"/>
    <n v="3640"/>
    <n v="20.100000000000001"/>
    <n v="29083.599999999999"/>
    <s v="Completed"/>
    <s v="Chennai"/>
    <x v="0"/>
    <m/>
    <s v="Retail"/>
    <n v="41"/>
    <x v="0"/>
  </r>
  <r>
    <s v="ORD-01396"/>
    <d v="2024-12-07T00:00:00"/>
    <s v="CUST-0064"/>
    <s v="PROD-034"/>
    <s v="R024"/>
    <n v="10"/>
    <n v="5080"/>
    <n v="2.1"/>
    <n v="49733.2"/>
    <s v="Completed"/>
    <s v="Hyderabad"/>
    <x v="3"/>
    <m/>
    <s v="SMB"/>
    <n v="40"/>
    <x v="3"/>
  </r>
  <r>
    <s v="ORD-01397"/>
    <d v="2024-08-13T00:00:00"/>
    <s v="CUST-0016"/>
    <s v="PROD-035"/>
    <s v="R018"/>
    <n v="4"/>
    <n v="1090"/>
    <n v="18.5"/>
    <n v="3553.4"/>
    <s v="Refunded"/>
    <s v="Delhi"/>
    <x v="3"/>
    <m/>
    <s v="SMB"/>
    <n v="26"/>
    <x v="2"/>
  </r>
  <r>
    <s v="ORD-01398"/>
    <d v="2024-12-19T00:00:00"/>
    <s v="CUST-0296"/>
    <s v="PROD-047"/>
    <s v="R030"/>
    <n v="10"/>
    <n v="3450"/>
    <n v="26.5"/>
    <n v="25357.5"/>
    <s v="Refunded"/>
    <s v="Delhi"/>
    <x v="5"/>
    <m/>
    <s v="Corporate"/>
    <n v="47"/>
    <x v="0"/>
  </r>
  <r>
    <s v="ORD-01399"/>
    <d v="2024-07-10T00:00:00"/>
    <s v="CUST-0031"/>
    <s v="PROD-052"/>
    <s v="R009"/>
    <n v="9"/>
    <n v="5410"/>
    <n v="11.5"/>
    <n v="43090.65"/>
    <s v="Completed"/>
    <s v="Hyderabad"/>
    <x v="1"/>
    <m/>
    <s v="Retail"/>
    <n v="53"/>
    <x v="0"/>
  </r>
  <r>
    <s v="ORD-01400"/>
    <d v="2024-06-02T00:00:00"/>
    <s v="CUST-0207"/>
    <s v="PROD-011"/>
    <s v="R030"/>
    <n v="9"/>
    <n v="3450"/>
    <n v="0.3"/>
    <n v="30956.85"/>
    <s v="Refunded"/>
    <s v="Hyderabad"/>
    <x v="0"/>
    <m/>
    <s v="SMB"/>
    <n v="34"/>
    <x v="4"/>
  </r>
  <r>
    <s v="ORD-01401"/>
    <d v="2024-11-18T00:00:00"/>
    <s v="CUST-0165"/>
    <s v="PROD-012"/>
    <s v="R025"/>
    <n v="10"/>
    <n v="3160"/>
    <n v="13.6"/>
    <n v="27302.400000000001"/>
    <s v="Completed"/>
    <s v="Pune"/>
    <x v="0"/>
    <m/>
    <s v="Retail"/>
    <n v="29"/>
    <x v="2"/>
  </r>
  <r>
    <s v="ORD-01402"/>
    <d v="2024-05-21T00:00:00"/>
    <s v="CUST-0281"/>
    <s v="PROD-041"/>
    <s v="R026"/>
    <n v="3"/>
    <n v="1540"/>
    <n v="21.2"/>
    <n v="3640.56"/>
    <s v="Completed"/>
    <s v="Bengaluru"/>
    <x v="5"/>
    <m/>
    <s v="Corporate"/>
    <n v="57"/>
    <x v="0"/>
  </r>
  <r>
    <s v="ORD-01403"/>
    <d v="2024-04-20T00:00:00"/>
    <s v="CUST-0018"/>
    <s v="PROD-013"/>
    <s v="R022"/>
    <n v="5"/>
    <n v="3640"/>
    <n v="17.5"/>
    <n v="15015"/>
    <s v="Completed"/>
    <s v="Pune"/>
    <x v="0"/>
    <m/>
    <s v="SMB"/>
    <n v="54"/>
    <x v="0"/>
  </r>
  <r>
    <s v="ORD-01404"/>
    <d v="2024-01-11T00:00:00"/>
    <s v="CUST-0204"/>
    <s v="PROD-059"/>
    <s v="R002"/>
    <n v="4"/>
    <n v="3780"/>
    <n v="9"/>
    <n v="13759.2"/>
    <s v="Pending"/>
    <s v="Hyderabad"/>
    <x v="1"/>
    <m/>
    <s v="Retail"/>
    <n v="60"/>
    <x v="0"/>
  </r>
  <r>
    <s v="ORD-01405"/>
    <d v="2024-08-22T00:00:00"/>
    <s v="CUST-0028"/>
    <s v="PROD-015"/>
    <s v="R025"/>
    <n v="9"/>
    <n v="2720"/>
    <n v="8.9"/>
    <n v="22301.279999999999"/>
    <s v="Completed"/>
    <s v="Bengaluru"/>
    <x v="0"/>
    <m/>
    <s v="Retail"/>
    <n v="59"/>
    <x v="0"/>
  </r>
  <r>
    <s v="ORD-01406"/>
    <d v="2024-12-22T00:00:00"/>
    <s v="CUST-0144"/>
    <s v="PROD-014"/>
    <s v="R004"/>
    <n v="4"/>
    <n v="3620"/>
    <n v="8"/>
    <n v="13321.6"/>
    <s v="Pending"/>
    <s v="Chennai"/>
    <x v="0"/>
    <m/>
    <s v="Retail"/>
    <n v="49"/>
    <x v="0"/>
  </r>
  <r>
    <s v="ORD-01407"/>
    <d v="2024-02-03T00:00:00"/>
    <s v="CUST-0043"/>
    <s v="PROD-011"/>
    <s v="R004"/>
    <n v="1"/>
    <n v="3450"/>
    <n v="0.2"/>
    <n v="3443.1"/>
    <s v="Completed"/>
    <s v="Hyderabad"/>
    <x v="0"/>
    <m/>
    <s v="Retail"/>
    <n v="61"/>
    <x v="0"/>
  </r>
  <r>
    <s v="ORD-01408"/>
    <d v="2024-12-14T00:00:00"/>
    <s v="CUST-0246"/>
    <s v="PROD-013"/>
    <s v="R014"/>
    <n v="7"/>
    <n v="3640"/>
    <n v="4.5999999999999996"/>
    <n v="24307.919999999998"/>
    <s v="Completed"/>
    <s v="Delhi"/>
    <x v="0"/>
    <m/>
    <s v="SMB"/>
    <n v="29"/>
    <x v="1"/>
  </r>
  <r>
    <s v="ORD-01409"/>
    <d v="2024-05-11T00:00:00"/>
    <s v="CUST-0156"/>
    <s v="PROD-016"/>
    <s v="R023"/>
    <n v="9"/>
    <n v="620"/>
    <n v="8.5"/>
    <n v="5105.7"/>
    <s v="Completed"/>
    <s v="Mumbai"/>
    <x v="0"/>
    <m/>
    <s v="Retail"/>
    <n v="33"/>
    <x v="4"/>
  </r>
  <r>
    <s v="ORD-01410"/>
    <d v="2024-05-11T00:00:00"/>
    <s v="CUST-0066"/>
    <s v="PROD-059"/>
    <s v="R016"/>
    <n v="10"/>
    <n v="3780"/>
    <n v="5.8"/>
    <n v="35607.599999999999"/>
    <s v="Completed"/>
    <s v="Delhi"/>
    <x v="1"/>
    <m/>
    <s v="Retail"/>
    <n v="24"/>
    <x v="3"/>
  </r>
  <r>
    <s v="ORD-01411"/>
    <d v="2024-08-14T00:00:00"/>
    <s v="CUST-0121"/>
    <s v="PROD-003"/>
    <s v="R009"/>
    <n v="7"/>
    <n v="3570"/>
    <n v="26.1"/>
    <n v="18467.61"/>
    <s v="Completed"/>
    <s v="Delhi"/>
    <x v="4"/>
    <m/>
    <s v="SMB"/>
    <n v="55"/>
    <x v="0"/>
  </r>
  <r>
    <s v="ORD-01412"/>
    <d v="2024-01-15T00:00:00"/>
    <s v="CUST-0066"/>
    <s v="PROD-044"/>
    <s v="R002"/>
    <n v="2"/>
    <n v="1650"/>
    <n v="3.8"/>
    <n v="3174.6"/>
    <s v="Completed"/>
    <s v="Delhi"/>
    <x v="5"/>
    <m/>
    <s v="Retail"/>
    <n v="24"/>
    <x v="4"/>
  </r>
  <r>
    <s v="ORD-01413"/>
    <d v="2024-02-24T00:00:00"/>
    <s v="CUST-0099"/>
    <s v="PROD-049"/>
    <s v="R012"/>
    <n v="2"/>
    <n v="960"/>
    <n v="6.8"/>
    <n v="1789.44"/>
    <s v="Completed"/>
    <s v="Bengaluru"/>
    <x v="5"/>
    <m/>
    <s v="SMB"/>
    <n v="54"/>
    <x v="0"/>
  </r>
  <r>
    <s v="ORD-01414"/>
    <d v="2024-03-25T00:00:00"/>
    <s v="CUST-0054"/>
    <s v="PROD-005"/>
    <s v="R006"/>
    <n v="2"/>
    <n v="300"/>
    <n v="2.8"/>
    <n v="583.20000000000005"/>
    <s v="Completed"/>
    <s v="Mumbai"/>
    <x v="4"/>
    <m/>
    <s v="Corporate"/>
    <n v="62"/>
    <x v="0"/>
  </r>
  <r>
    <s v="ORD-01415"/>
    <d v="2024-09-26T00:00:00"/>
    <s v="CUST-0124"/>
    <s v="PROD-025"/>
    <s v="R027"/>
    <n v="10"/>
    <n v="4060"/>
    <n v="15.1"/>
    <n v="34469.4"/>
    <s v="Completed"/>
    <s v="Pune"/>
    <x v="2"/>
    <m/>
    <s v="Retail"/>
    <n v="57"/>
    <x v="0"/>
  </r>
  <r>
    <s v="ORD-01416"/>
    <d v="2024-01-29T00:00:00"/>
    <s v="CUST-0211"/>
    <s v="PROD-001"/>
    <s v="R022"/>
    <n v="6"/>
    <n v="5330"/>
    <n v="2"/>
    <n v="31340.400000000001"/>
    <s v="Completed"/>
    <s v="Bengaluru"/>
    <x v="4"/>
    <m/>
    <s v="Retail"/>
    <n v="36"/>
    <x v="2"/>
  </r>
  <r>
    <s v="ORD-01417"/>
    <d v="2024-10-07T00:00:00"/>
    <s v="CUST-0298"/>
    <s v="PROD-031"/>
    <s v="R021"/>
    <n v="9"/>
    <n v="3730"/>
    <n v="24.5"/>
    <n v="25345.35"/>
    <s v="Refunded"/>
    <s v="Delhi"/>
    <x v="3"/>
    <m/>
    <s v="Retail"/>
    <n v="44"/>
    <x v="0"/>
  </r>
  <r>
    <s v="ORD-01418"/>
    <d v="2024-11-15T00:00:00"/>
    <s v="CUST-0164"/>
    <s v="PROD-050"/>
    <s v="R030"/>
    <n v="1"/>
    <n v="6080"/>
    <n v="4.4000000000000004"/>
    <n v="5812.48"/>
    <s v="Cancelled"/>
    <s v="Chennai"/>
    <x v="5"/>
    <m/>
    <s v="Retail"/>
    <n v="60"/>
    <x v="0"/>
  </r>
  <r>
    <s v="ORD-01419"/>
    <d v="2024-08-20T00:00:00"/>
    <s v="CUST-0003"/>
    <s v="PROD-015"/>
    <s v="R025"/>
    <n v="5"/>
    <n v="2720"/>
    <n v="9.1999999999999993"/>
    <n v="12348.8"/>
    <s v="Completed"/>
    <s v="Mumbai"/>
    <x v="0"/>
    <m/>
    <s v="Retail"/>
    <n v="33"/>
    <x v="2"/>
  </r>
  <r>
    <s v="ORD-01420"/>
    <d v="2024-05-26T00:00:00"/>
    <s v="CUST-0239"/>
    <s v="PROD-011"/>
    <s v="R023"/>
    <n v="1"/>
    <n v="3450"/>
    <n v="15.6"/>
    <n v="2911.8"/>
    <s v="Completed"/>
    <s v="Mumbai"/>
    <x v="0"/>
    <m/>
    <s v="Retail"/>
    <n v="61"/>
    <x v="0"/>
  </r>
  <r>
    <s v="ORD-01421"/>
    <d v="2024-07-11T00:00:00"/>
    <s v="CUST-0116"/>
    <s v="PROD-035"/>
    <s v="R022"/>
    <n v="2"/>
    <n v="1090"/>
    <n v="0.4"/>
    <n v="2171.2800000000002"/>
    <s v="Refunded"/>
    <s v="Bengaluru"/>
    <x v="3"/>
    <m/>
    <s v="Retail"/>
    <n v="53"/>
    <x v="0"/>
  </r>
  <r>
    <s v="ORD-01422"/>
    <d v="2024-12-17T00:00:00"/>
    <s v="CUST-0232"/>
    <s v="PROD-003"/>
    <s v="R017"/>
    <n v="2"/>
    <n v="3570"/>
    <n v="9"/>
    <n v="6497.4"/>
    <s v="Completed"/>
    <s v="Hyderabad"/>
    <x v="4"/>
    <m/>
    <s v="Retail"/>
    <n v="38"/>
    <x v="3"/>
  </r>
  <r>
    <s v="ORD-01423"/>
    <d v="2024-05-25T00:00:00"/>
    <s v="CUST-0121"/>
    <s v="PROD-019"/>
    <s v="R014"/>
    <n v="9"/>
    <n v="2480"/>
    <n v="3.6"/>
    <n v="21516.48"/>
    <s v="Pending"/>
    <s v="Delhi"/>
    <x v="0"/>
    <m/>
    <s v="SMB"/>
    <n v="55"/>
    <x v="0"/>
  </r>
  <r>
    <s v="ORD-01424"/>
    <d v="2024-01-12T00:00:00"/>
    <s v="CUST-0178"/>
    <s v="PROD-027"/>
    <s v="R022"/>
    <n v="9"/>
    <n v="3780"/>
    <n v="4.5"/>
    <n v="32489.1"/>
    <s v="Completed"/>
    <s v="Hyderabad"/>
    <x v="2"/>
    <m/>
    <s v="Retail"/>
    <n v="25"/>
    <x v="4"/>
  </r>
  <r>
    <s v="ORD-01425"/>
    <d v="2024-12-05T00:00:00"/>
    <s v="CUST-0131"/>
    <s v="PROD-025"/>
    <s v="R010"/>
    <n v="5"/>
    <n v="4060"/>
    <n v="2.7"/>
    <n v="19751.900000000001"/>
    <s v="Completed"/>
    <s v="Delhi"/>
    <x v="2"/>
    <m/>
    <s v="SMB"/>
    <n v="28"/>
    <x v="3"/>
  </r>
  <r>
    <s v="ORD-01426"/>
    <d v="2024-09-29T00:00:00"/>
    <s v="CUST-0155"/>
    <s v="PROD-005"/>
    <s v="R002"/>
    <n v="8"/>
    <n v="300"/>
    <n v="19.8"/>
    <n v="1924.8"/>
    <s v="Cancelled"/>
    <s v="Pune"/>
    <x v="4"/>
    <m/>
    <s v="Corporate"/>
    <n v="40"/>
    <x v="4"/>
  </r>
  <r>
    <s v="ORD-01427"/>
    <d v="2024-06-11T00:00:00"/>
    <s v="CUST-0170"/>
    <s v="PROD-036"/>
    <s v="R002"/>
    <n v="10"/>
    <n v="3250"/>
    <n v="21.3"/>
    <n v="25577.5"/>
    <s v="Cancelled"/>
    <s v="Mumbai"/>
    <x v="3"/>
    <m/>
    <s v="SMB"/>
    <n v="22"/>
    <x v="1"/>
  </r>
  <r>
    <s v="ORD-01428"/>
    <d v="2024-11-20T00:00:00"/>
    <s v="CUST-0180"/>
    <s v="PROD-055"/>
    <s v="R009"/>
    <n v="2"/>
    <n v="2860"/>
    <n v="13.7"/>
    <n v="4936.3599999999997"/>
    <s v="Completed"/>
    <s v="Chennai"/>
    <x v="1"/>
    <m/>
    <s v="Retail"/>
    <n v="36"/>
    <x v="1"/>
  </r>
  <r>
    <s v="ORD-01429"/>
    <d v="2024-08-19T00:00:00"/>
    <s v="CUST-0066"/>
    <s v="PROD-009"/>
    <s v="R017"/>
    <n v="10"/>
    <n v="1220"/>
    <n v="15.4"/>
    <n v="10321.200000000001"/>
    <s v="Completed"/>
    <s v="Delhi"/>
    <x v="4"/>
    <m/>
    <s v="Retail"/>
    <n v="24"/>
    <x v="4"/>
  </r>
  <r>
    <s v="ORD-01430"/>
    <d v="2024-05-27T00:00:00"/>
    <s v="CUST-0267"/>
    <s v="PROD-027"/>
    <s v="R010"/>
    <n v="3"/>
    <n v="3780"/>
    <n v="1.9"/>
    <n v="11124.54"/>
    <s v="Completed"/>
    <s v="Hyderabad"/>
    <x v="2"/>
    <m/>
    <s v="Retail"/>
    <n v="27"/>
    <x v="3"/>
  </r>
  <r>
    <s v="ORD-01431"/>
    <d v="2024-10-14T00:00:00"/>
    <s v="CUST-0034"/>
    <s v="PROD-038"/>
    <s v="R018"/>
    <n v="6"/>
    <n v="5490"/>
    <n v="0.5"/>
    <n v="32775.300000000003"/>
    <s v="Pending"/>
    <s v="Delhi"/>
    <x v="3"/>
    <m/>
    <s v="Retail"/>
    <n v="47"/>
    <x v="0"/>
  </r>
  <r>
    <s v="ORD-01432"/>
    <d v="2024-07-22T00:00:00"/>
    <s v="CUST-0029"/>
    <s v="PROD-022"/>
    <s v="R029"/>
    <n v="6"/>
    <n v="2270"/>
    <n v="21.5"/>
    <n v="10691.7"/>
    <s v="Completed"/>
    <s v="Chennai"/>
    <x v="2"/>
    <m/>
    <s v="Corporate"/>
    <n v="54"/>
    <x v="0"/>
  </r>
  <r>
    <s v="ORD-01433"/>
    <d v="2024-11-04T00:00:00"/>
    <s v="CUST-0224"/>
    <s v="PROD-029"/>
    <s v="R023"/>
    <n v="7"/>
    <n v="2210"/>
    <n v="10.3"/>
    <n v="13876.59"/>
    <s v="Completed"/>
    <s v="Chennai"/>
    <x v="2"/>
    <m/>
    <s v="Corporate"/>
    <n v="24"/>
    <x v="2"/>
  </r>
  <r>
    <s v="ORD-01434"/>
    <d v="2024-11-09T00:00:00"/>
    <s v="CUST-9889"/>
    <s v="PROD-035"/>
    <s v="R009"/>
    <n v="8"/>
    <n v="1090"/>
    <n v="21.7"/>
    <n v="6827.76"/>
    <s v="Completed"/>
    <s v="Pune"/>
    <x v="3"/>
    <m/>
    <e v="#N/A"/>
    <e v="#N/A"/>
    <x v="0"/>
  </r>
  <r>
    <s v="ORD-01435"/>
    <d v="2024-11-02T00:00:00"/>
    <s v="CUST-0130"/>
    <s v="PROD-018"/>
    <s v="R002"/>
    <n v="5"/>
    <n v="3560"/>
    <n v="19.399999999999999"/>
    <n v="14346.8"/>
    <s v="Pending"/>
    <s v="Bengaluru"/>
    <x v="0"/>
    <m/>
    <s v="Corporate"/>
    <n v="41"/>
    <x v="0"/>
  </r>
  <r>
    <s v="ORD-01436"/>
    <d v="2024-06-09T00:00:00"/>
    <s v="CUST-0060"/>
    <s v="PROD-054"/>
    <s v="R028"/>
    <n v="7"/>
    <n v="1010"/>
    <n v="28.2"/>
    <n v="5076.26"/>
    <s v="Completed"/>
    <s v="Pune"/>
    <x v="1"/>
    <m/>
    <s v="Retail"/>
    <n v="39"/>
    <x v="1"/>
  </r>
  <r>
    <s v="ORD-01437"/>
    <d v="2024-06-27T00:00:00"/>
    <s v="CUST-0299"/>
    <s v="PROD-033"/>
    <s v="R015"/>
    <n v="2"/>
    <n v="2030"/>
    <n v="27.3"/>
    <n v="2951.62"/>
    <s v="Refunded"/>
    <s v="Mumbai"/>
    <x v="3"/>
    <m/>
    <s v="Corporate"/>
    <n v="51"/>
    <x v="0"/>
  </r>
  <r>
    <s v="ORD-01438"/>
    <d v="2024-02-28T00:00:00"/>
    <s v="CUST-0013"/>
    <s v="PROD-001"/>
    <s v="R012"/>
    <n v="6"/>
    <n v="5330"/>
    <n v="0.6"/>
    <n v="31788.12"/>
    <s v="Completed"/>
    <s v="Delhi"/>
    <x v="4"/>
    <m/>
    <s v="Retail"/>
    <n v="41"/>
    <x v="0"/>
  </r>
  <r>
    <s v="ORD-01439"/>
    <d v="2024-08-10T00:00:00"/>
    <s v="CUST-0193"/>
    <s v="PROD-010"/>
    <s v="R007"/>
    <n v="2"/>
    <n v="2640"/>
    <n v="26"/>
    <n v="3907.2"/>
    <s v="Pending"/>
    <s v="Bengaluru"/>
    <x v="4"/>
    <m/>
    <s v="Retail"/>
    <n v="42"/>
    <x v="0"/>
  </r>
  <r>
    <s v="ORD-01440"/>
    <d v="2024-06-04T00:00:00"/>
    <s v="CUST-0170"/>
    <s v="PROD-008"/>
    <s v="R012"/>
    <n v="8"/>
    <n v="2660"/>
    <n v="2.9"/>
    <n v="20662.88"/>
    <s v="Completed"/>
    <s v="Mumbai"/>
    <x v="4"/>
    <m/>
    <s v="SMB"/>
    <n v="22"/>
    <x v="1"/>
  </r>
  <r>
    <s v="ORD-01441"/>
    <d v="2024-04-08T00:00:00"/>
    <s v="CUST-0063"/>
    <s v="PROD-036"/>
    <s v="R023"/>
    <n v="6"/>
    <n v="3250"/>
    <n v="11.1"/>
    <n v="17335.5"/>
    <s v="Completed"/>
    <s v="Mumbai"/>
    <x v="3"/>
    <m/>
    <s v="SMB"/>
    <n v="53"/>
    <x v="0"/>
  </r>
  <r>
    <s v="ORD-01442"/>
    <d v="2024-01-16T00:00:00"/>
    <s v="CUST-0168"/>
    <s v="PROD-029"/>
    <s v="R004"/>
    <n v="1"/>
    <n v="2210"/>
    <n v="3.5"/>
    <n v="2132.65"/>
    <s v="Completed"/>
    <s v="Pune"/>
    <x v="2"/>
    <m/>
    <s v="Retail"/>
    <n v="25"/>
    <x v="3"/>
  </r>
  <r>
    <s v="ORD-01443"/>
    <d v="2024-05-20T00:00:00"/>
    <s v="CUST-0124"/>
    <s v="PROD-032"/>
    <s v="R019"/>
    <n v="9"/>
    <n v="370"/>
    <n v="12.4"/>
    <n v="2917.08"/>
    <s v="Completed"/>
    <s v="Pune"/>
    <x v="3"/>
    <m/>
    <s v="Retail"/>
    <n v="57"/>
    <x v="0"/>
  </r>
  <r>
    <s v="ORD-01444"/>
    <d v="2024-06-10T00:00:00"/>
    <s v="CUST-0138"/>
    <s v="PROD-059"/>
    <s v="R022"/>
    <n v="3"/>
    <n v="3780"/>
    <n v="8.5"/>
    <n v="10376.1"/>
    <s v="Pending"/>
    <s v="Chennai"/>
    <x v="1"/>
    <m/>
    <s v="Retail"/>
    <n v="24"/>
    <x v="3"/>
  </r>
  <r>
    <s v="ORD-01445"/>
    <d v="2024-04-15T00:00:00"/>
    <s v="CUST-0146"/>
    <s v="PROD-054"/>
    <s v="R002"/>
    <n v="2"/>
    <n v="1010"/>
    <n v="2.7"/>
    <n v="1965.46"/>
    <s v="Completed"/>
    <s v="Hyderabad"/>
    <x v="1"/>
    <m/>
    <s v="Retail"/>
    <n v="22"/>
    <x v="3"/>
  </r>
  <r>
    <s v="ORD-01446"/>
    <d v="2024-12-13T00:00:00"/>
    <s v="CUST-0244"/>
    <s v="PROD-020"/>
    <s v="R012"/>
    <n v="2"/>
    <n v="820"/>
    <n v="13.2"/>
    <n v="1423.52"/>
    <s v="Pending"/>
    <s v="Bengaluru"/>
    <x v="0"/>
    <m/>
    <s v="Retail"/>
    <n v="61"/>
    <x v="0"/>
  </r>
  <r>
    <s v="ORD-01447"/>
    <d v="2024-07-09T00:00:00"/>
    <s v="CUST-0291"/>
    <s v="PROD-028"/>
    <s v="R012"/>
    <n v="1"/>
    <n v="3660"/>
    <n v="14"/>
    <n v="3147.6"/>
    <s v="Refunded"/>
    <s v="Pune"/>
    <x v="2"/>
    <m/>
    <s v="SMB"/>
    <n v="29"/>
    <x v="4"/>
  </r>
  <r>
    <s v="ORD-01448"/>
    <d v="2024-06-04T00:00:00"/>
    <s v="CUST-0222"/>
    <s v="PROD-022"/>
    <s v="R017"/>
    <n v="6"/>
    <n v="2270"/>
    <n v="16"/>
    <n v="11440.8"/>
    <s v="Completed"/>
    <s v="Chennai"/>
    <x v="2"/>
    <m/>
    <s v="Retail"/>
    <n v="37"/>
    <x v="4"/>
  </r>
  <r>
    <s v="ORD-01449"/>
    <d v="2024-11-02T00:00:00"/>
    <s v="CUST-0137"/>
    <s v="PROD-049"/>
    <s v="R019"/>
    <n v="7"/>
    <n v="960"/>
    <n v="28.8"/>
    <n v="4784.6400000000003"/>
    <s v="Refunded"/>
    <s v="Mumbai"/>
    <x v="5"/>
    <m/>
    <s v="Retail"/>
    <n v="41"/>
    <x v="0"/>
  </r>
  <r>
    <s v="ORD-01450"/>
    <d v="2024-12-19T00:00:00"/>
    <s v="CUST-0150"/>
    <s v="PROD-033"/>
    <s v="R025"/>
    <n v="9"/>
    <n v="2030"/>
    <n v="3.4"/>
    <n v="17648.82"/>
    <s v="Completed"/>
    <s v="Pune"/>
    <x v="3"/>
    <m/>
    <s v="SMB"/>
    <n v="53"/>
    <x v="0"/>
  </r>
  <r>
    <s v="ORD-01451"/>
    <d v="2024-01-08T00:00:00"/>
    <s v="CUST-0058"/>
    <s v="PROD-023"/>
    <s v="R005"/>
    <n v="6"/>
    <n v="2380"/>
    <n v="13.2"/>
    <n v="12395.04"/>
    <s v="Completed"/>
    <s v="Bengaluru"/>
    <x v="2"/>
    <m/>
    <s v="SMB"/>
    <n v="49"/>
    <x v="0"/>
  </r>
  <r>
    <s v="ORD-01452"/>
    <d v="2024-01-17T00:00:00"/>
    <s v="CUST-0187"/>
    <s v="PROD-047"/>
    <s v="R009"/>
    <n v="10"/>
    <n v="3450"/>
    <n v="8.6999999999999993"/>
    <n v="31498.5"/>
    <s v="Completed"/>
    <s v="Chennai"/>
    <x v="5"/>
    <m/>
    <s v="SMB"/>
    <n v="51"/>
    <x v="0"/>
  </r>
  <r>
    <s v="ORD-01453"/>
    <d v="2024-07-14T00:00:00"/>
    <s v="CUST-0116"/>
    <s v="PROD-049"/>
    <s v="R021"/>
    <n v="6"/>
    <n v="960"/>
    <n v="20.6"/>
    <n v="4573.4399999999996"/>
    <s v="Pending"/>
    <s v="Bengaluru"/>
    <x v="5"/>
    <m/>
    <s v="Retail"/>
    <n v="53"/>
    <x v="0"/>
  </r>
  <r>
    <s v="ORD-01454"/>
    <d v="2024-02-19T00:00:00"/>
    <s v="CUST-0290"/>
    <s v="PROD-018"/>
    <s v="R013"/>
    <n v="10"/>
    <n v="3560"/>
    <n v="1.4"/>
    <n v="35101.599999999999"/>
    <s v="Pending"/>
    <s v="Delhi"/>
    <x v="0"/>
    <m/>
    <s v="Retail"/>
    <n v="63"/>
    <x v="0"/>
  </r>
  <r>
    <s v="ORD-01455"/>
    <d v="2024-03-03T00:00:00"/>
    <s v="CUST-0053"/>
    <s v="PROD-015"/>
    <s v="R014"/>
    <n v="4"/>
    <n v="2720"/>
    <n v="19.399999999999999"/>
    <n v="8769.2800000000007"/>
    <s v="Refunded"/>
    <s v="Delhi"/>
    <x v="0"/>
    <m/>
    <s v="Retail"/>
    <n v="53"/>
    <x v="0"/>
  </r>
  <r>
    <s v="ORD-01456"/>
    <d v="2024-06-15T00:00:00"/>
    <s v="CUST-0044"/>
    <s v="PROD-009"/>
    <s v="R029"/>
    <n v="5"/>
    <n v="1220"/>
    <n v="15.6"/>
    <n v="5148.3999999999996"/>
    <s v="Completed"/>
    <s v="Hyderabad"/>
    <x v="4"/>
    <m/>
    <s v="SMB"/>
    <n v="29"/>
    <x v="4"/>
  </r>
  <r>
    <s v="ORD-01457"/>
    <d v="2024-03-13T00:00:00"/>
    <s v="CUST-0267"/>
    <s v="PROD-035"/>
    <s v="R026"/>
    <n v="5"/>
    <n v="1090"/>
    <n v="15"/>
    <n v="4632.5"/>
    <s v="Completed"/>
    <s v="Hyderabad"/>
    <x v="3"/>
    <m/>
    <s v="Retail"/>
    <n v="27"/>
    <x v="2"/>
  </r>
  <r>
    <s v="ORD-01458"/>
    <d v="2024-11-22T00:00:00"/>
    <s v="CUST-0179"/>
    <s v="PROD-032"/>
    <s v="R029"/>
    <n v="9"/>
    <n v="370"/>
    <n v="25.4"/>
    <n v="2484.1799999999998"/>
    <s v="Completed"/>
    <s v="Mumbai"/>
    <x v="3"/>
    <m/>
    <s v="SMB"/>
    <n v="54"/>
    <x v="0"/>
  </r>
  <r>
    <s v="ORD-01459"/>
    <d v="2024-06-13T00:00:00"/>
    <s v="CUST-0089"/>
    <s v="PROD-055"/>
    <s v="R007"/>
    <n v="7"/>
    <n v="2860"/>
    <n v="14"/>
    <n v="17217.2"/>
    <s v="Completed"/>
    <s v="Mumbai"/>
    <x v="1"/>
    <m/>
    <s v="SMB"/>
    <n v="43"/>
    <x v="0"/>
  </r>
  <r>
    <s v="ORD-01460"/>
    <d v="2024-07-17T00:00:00"/>
    <s v="CUST-0090"/>
    <s v="PROD-029"/>
    <s v="R026"/>
    <n v="1"/>
    <n v="2210"/>
    <n v="1.7"/>
    <n v="2172.4299999999998"/>
    <s v="Completed"/>
    <s v="Bengaluru"/>
    <x v="2"/>
    <m/>
    <s v="Corporate"/>
    <n v="26"/>
    <x v="1"/>
  </r>
  <r>
    <s v="ORD-01461"/>
    <d v="2024-10-19T00:00:00"/>
    <s v="CUST-0135"/>
    <s v="PROD-030"/>
    <s v="R025"/>
    <n v="3"/>
    <n v="970"/>
    <n v="20.3"/>
    <n v="2319.27"/>
    <s v="Pending"/>
    <s v="Pune"/>
    <x v="2"/>
    <m/>
    <s v="SMB"/>
    <n v="24"/>
    <x v="2"/>
  </r>
  <r>
    <s v="ORD-01462"/>
    <d v="2024-07-03T00:00:00"/>
    <s v="CUST-0252"/>
    <s v="PROD-018"/>
    <s v="R021"/>
    <n v="5"/>
    <n v="3560"/>
    <n v="17.100000000000001"/>
    <n v="14756.2"/>
    <s v="Completed"/>
    <s v="Bengaluru"/>
    <x v="0"/>
    <m/>
    <s v="Retail"/>
    <n v="27"/>
    <x v="2"/>
  </r>
  <r>
    <s v="ORD-01463"/>
    <d v="2024-04-05T00:00:00"/>
    <s v="CUST-0086"/>
    <s v="PROD-040"/>
    <s v="R023"/>
    <n v="10"/>
    <n v="1080"/>
    <n v="12.8"/>
    <n v="9417.6"/>
    <s v="Completed"/>
    <s v="Hyderabad"/>
    <x v="3"/>
    <m/>
    <s v="Corporate"/>
    <n v="56"/>
    <x v="0"/>
  </r>
  <r>
    <s v="ORD-01464"/>
    <d v="2024-02-02T00:00:00"/>
    <s v="CUST-0264"/>
    <s v="PROD-009"/>
    <s v="R011"/>
    <n v="3"/>
    <n v="1220"/>
    <n v="1.9"/>
    <n v="3590.46"/>
    <s v="Completed"/>
    <s v="Pune"/>
    <x v="4"/>
    <m/>
    <s v="Retail"/>
    <n v="59"/>
    <x v="0"/>
  </r>
  <r>
    <s v="ORD-01465"/>
    <d v="2024-07-06T00:00:00"/>
    <s v="CUST-9851"/>
    <s v="PROD-031"/>
    <s v="R009"/>
    <n v="1"/>
    <n v="3730"/>
    <n v="14.7"/>
    <n v="3181.69"/>
    <s v="Pending"/>
    <s v="Pune"/>
    <x v="3"/>
    <m/>
    <e v="#N/A"/>
    <e v="#N/A"/>
    <x v="0"/>
  </r>
  <r>
    <s v="ORD-01466"/>
    <d v="2024-12-02T00:00:00"/>
    <s v="CUST-0143"/>
    <s v="PROD-007"/>
    <s v="R001"/>
    <n v="3"/>
    <n v="1430"/>
    <n v="13.2"/>
    <n v="3723.72"/>
    <s v="Completed"/>
    <s v="Chennai"/>
    <x v="4"/>
    <m/>
    <s v="SMB"/>
    <n v="52"/>
    <x v="0"/>
  </r>
  <r>
    <s v="ORD-01467"/>
    <d v="2024-05-01T00:00:00"/>
    <s v="CUST-0086"/>
    <s v="PROD-050"/>
    <s v="R018"/>
    <n v="2"/>
    <n v="6080"/>
    <n v="21.8"/>
    <n v="9509.1200000000008"/>
    <s v="Cancelled"/>
    <s v="Hyderabad"/>
    <x v="5"/>
    <m/>
    <s v="Corporate"/>
    <n v="56"/>
    <x v="0"/>
  </r>
  <r>
    <s v="ORD-01468"/>
    <d v="2024-02-21T00:00:00"/>
    <s v="CUST-0196"/>
    <s v="PROD-048"/>
    <s v="R015"/>
    <n v="9"/>
    <n v="5100"/>
    <n v="29.3"/>
    <n v="32451.3"/>
    <s v="Completed"/>
    <s v="Chennai"/>
    <x v="5"/>
    <m/>
    <s v="Retail"/>
    <n v="26"/>
    <x v="3"/>
  </r>
  <r>
    <s v="ORD-01469"/>
    <d v="2024-05-12T00:00:00"/>
    <s v="CUST-0089"/>
    <s v="PROD-011"/>
    <s v="R014"/>
    <n v="5"/>
    <n v="3450"/>
    <n v="5.3"/>
    <n v="16335.75"/>
    <s v="Completed"/>
    <s v="Mumbai"/>
    <x v="0"/>
    <m/>
    <s v="SMB"/>
    <n v="43"/>
    <x v="0"/>
  </r>
  <r>
    <s v="ORD-01470"/>
    <d v="2024-12-06T00:00:00"/>
    <s v="CUST-0149"/>
    <s v="PROD-003"/>
    <s v="R002"/>
    <n v="6"/>
    <n v="3570"/>
    <n v="17.3"/>
    <n v="17714.34"/>
    <s v="Completed"/>
    <s v="Hyderabad"/>
    <x v="4"/>
    <m/>
    <s v="Retail"/>
    <n v="44"/>
    <x v="0"/>
  </r>
  <r>
    <s v="ORD-01471"/>
    <d v="2024-06-01T00:00:00"/>
    <s v="CUST-0161"/>
    <s v="PROD-031"/>
    <s v="R018"/>
    <n v="6"/>
    <n v="3730"/>
    <n v="1"/>
    <n v="22156.2"/>
    <s v="Completed"/>
    <s v="Chennai"/>
    <x v="3"/>
    <m/>
    <s v="Retail"/>
    <n v="38"/>
    <x v="1"/>
  </r>
  <r>
    <s v="ORD-01472"/>
    <d v="2024-09-10T00:00:00"/>
    <s v="CUST-0022"/>
    <s v="PROD-059"/>
    <s v="R019"/>
    <n v="4"/>
    <n v="3780"/>
    <n v="13.1"/>
    <n v="13139.28"/>
    <s v="Completed"/>
    <s v="Bengaluru"/>
    <x v="1"/>
    <m/>
    <s v="Corporate"/>
    <n v="55"/>
    <x v="0"/>
  </r>
  <r>
    <s v="ORD-01473"/>
    <d v="2024-08-07T00:00:00"/>
    <s v="CUST-0169"/>
    <s v="PROD-017"/>
    <s v="R011"/>
    <n v="1"/>
    <n v="2510"/>
    <n v="27.8"/>
    <n v="1812.22"/>
    <s v="Cancelled"/>
    <s v="Bengaluru"/>
    <x v="0"/>
    <m/>
    <s v="SMB"/>
    <n v="42"/>
    <x v="0"/>
  </r>
  <r>
    <s v="ORD-01474"/>
    <d v="2024-10-12T00:00:00"/>
    <s v="CUST-0290"/>
    <s v="PROD-037"/>
    <s v="R007"/>
    <n v="9"/>
    <n v="660"/>
    <n v="29.3"/>
    <n v="4199.58"/>
    <s v="Completed"/>
    <s v="Delhi"/>
    <x v="3"/>
    <m/>
    <s v="Retail"/>
    <n v="63"/>
    <x v="0"/>
  </r>
  <r>
    <s v="ORD-01475"/>
    <d v="2024-08-03T00:00:00"/>
    <s v="CUST-0156"/>
    <s v="PROD-013"/>
    <s v="R030"/>
    <n v="7"/>
    <n v="3640"/>
    <n v="11.6"/>
    <n v="22524.32"/>
    <s v="Completed"/>
    <s v="Mumbai"/>
    <x v="0"/>
    <m/>
    <s v="Retail"/>
    <n v="33"/>
    <x v="1"/>
  </r>
  <r>
    <s v="ORD-01476"/>
    <d v="2024-05-03T00:00:00"/>
    <s v="CUST-0005"/>
    <s v="PROD-052"/>
    <s v="R019"/>
    <n v="8"/>
    <n v="5410"/>
    <n v="25.6"/>
    <n v="32200.32"/>
    <s v="Completed"/>
    <s v="Chennai"/>
    <x v="1"/>
    <m/>
    <s v="Corporate"/>
    <n v="52"/>
    <x v="0"/>
  </r>
  <r>
    <s v="ORD-01477"/>
    <d v="2024-02-20T00:00:00"/>
    <s v="CUST-0206"/>
    <s v="PROD-058"/>
    <s v="R008"/>
    <n v="4"/>
    <n v="2400"/>
    <n v="10.4"/>
    <n v="8601.6"/>
    <s v="Completed"/>
    <s v="Mumbai"/>
    <x v="1"/>
    <m/>
    <s v="Retail"/>
    <n v="40"/>
    <x v="3"/>
  </r>
  <r>
    <s v="ORD-01478"/>
    <d v="2024-02-11T00:00:00"/>
    <s v="CUST-0240"/>
    <s v="PROD-038"/>
    <s v="R028"/>
    <n v="2"/>
    <n v="5490"/>
    <n v="5.4"/>
    <n v="10387.08"/>
    <s v="Completed"/>
    <s v="Chennai"/>
    <x v="3"/>
    <m/>
    <s v="Corporate"/>
    <n v="35"/>
    <x v="1"/>
  </r>
  <r>
    <s v="ORD-01479"/>
    <d v="2024-08-12T00:00:00"/>
    <s v="CUST-0109"/>
    <s v="PROD-041"/>
    <s v="R016"/>
    <n v="6"/>
    <n v="1540"/>
    <n v="0.6"/>
    <n v="9184.56"/>
    <s v="Completed"/>
    <s v="Pune"/>
    <x v="5"/>
    <m/>
    <s v="Retail"/>
    <n v="42"/>
    <x v="0"/>
  </r>
  <r>
    <s v="ORD-01480"/>
    <d v="2024-02-21T00:00:00"/>
    <s v="CUST-0201"/>
    <s v="PROD-001"/>
    <s v="R001"/>
    <n v="3"/>
    <n v="5330"/>
    <n v="1"/>
    <n v="15830.1"/>
    <s v="Pending"/>
    <s v="Hyderabad"/>
    <x v="4"/>
    <m/>
    <s v="Retail"/>
    <n v="31"/>
    <x v="4"/>
  </r>
  <r>
    <s v="ORD-01481"/>
    <d v="2024-08-18T00:00:00"/>
    <s v="CUST-0100"/>
    <s v="PROD-055"/>
    <s v="R012"/>
    <n v="6"/>
    <n v="2860"/>
    <n v="13.3"/>
    <n v="14877.72"/>
    <s v="Completed"/>
    <s v="Hyderabad"/>
    <x v="1"/>
    <m/>
    <s v="Corporate"/>
    <n v="60"/>
    <x v="0"/>
  </r>
  <r>
    <s v="ORD-01482"/>
    <d v="2024-01-14T00:00:00"/>
    <s v="CUST-0262"/>
    <s v="PROD-046"/>
    <s v="R006"/>
    <n v="3"/>
    <n v="4880"/>
    <n v="12.1"/>
    <n v="12868.56"/>
    <s v="Completed"/>
    <s v="Mumbai"/>
    <x v="5"/>
    <m/>
    <s v="Retail"/>
    <n v="52"/>
    <x v="0"/>
  </r>
  <r>
    <s v="ORD-01483"/>
    <d v="2024-03-02T00:00:00"/>
    <s v="CUST-0067"/>
    <s v="PROD-017"/>
    <s v="R005"/>
    <n v="5"/>
    <n v="2510"/>
    <n v="2.9"/>
    <n v="12186.05"/>
    <s v="Pending"/>
    <s v="Delhi"/>
    <x v="0"/>
    <m/>
    <s v="SMB"/>
    <n v="59"/>
    <x v="0"/>
  </r>
  <r>
    <s v="ORD-01484"/>
    <d v="2024-08-21T00:00:00"/>
    <s v="CUST-9844"/>
    <s v="PROD-006"/>
    <s v="R020"/>
    <n v="9"/>
    <n v="3970"/>
    <n v="28"/>
    <n v="25725.599999999999"/>
    <s v="Completed"/>
    <s v="Pune"/>
    <x v="4"/>
    <m/>
    <e v="#N/A"/>
    <e v="#N/A"/>
    <x v="0"/>
  </r>
  <r>
    <s v="ORD-01485"/>
    <d v="2024-10-28T00:00:00"/>
    <s v="CUST-0122"/>
    <s v="PROD-053"/>
    <s v="R027"/>
    <n v="4"/>
    <n v="470"/>
    <n v="19.100000000000001"/>
    <n v="1520.92"/>
    <s v="Pending"/>
    <s v="Mumbai"/>
    <x v="1"/>
    <m/>
    <s v="Retail"/>
    <n v="44"/>
    <x v="0"/>
  </r>
  <r>
    <s v="ORD-01486"/>
    <d v="2024-09-15T00:00:00"/>
    <s v="CUST-0129"/>
    <s v="PROD-001"/>
    <s v="R025"/>
    <n v="7"/>
    <n v="5330"/>
    <n v="17.2"/>
    <n v="30892.68"/>
    <s v="Cancelled"/>
    <s v="Hyderabad"/>
    <x v="4"/>
    <m/>
    <s v="Retail"/>
    <n v="29"/>
    <x v="2"/>
  </r>
  <r>
    <s v="ORD-01487"/>
    <d v="2024-08-07T00:00:00"/>
    <s v="CUST-0056"/>
    <s v="PROD-035"/>
    <s v="R012"/>
    <n v="4"/>
    <n v="1090"/>
    <n v="4.9000000000000004"/>
    <n v="4146.3599999999997"/>
    <s v="Cancelled"/>
    <s v="Bengaluru"/>
    <x v="3"/>
    <m/>
    <s v="SMB"/>
    <n v="46"/>
    <x v="0"/>
  </r>
  <r>
    <s v="ORD-01488"/>
    <d v="2024-06-13T00:00:00"/>
    <s v="CUST-0080"/>
    <s v="PROD-054"/>
    <s v="R009"/>
    <n v="2"/>
    <n v="1010"/>
    <n v="14"/>
    <n v="1737.2"/>
    <s v="Completed"/>
    <s v="Pune"/>
    <x v="1"/>
    <m/>
    <s v="SMB"/>
    <n v="30"/>
    <x v="4"/>
  </r>
  <r>
    <s v="ORD-01489"/>
    <d v="2024-02-21T00:00:00"/>
    <s v="CUST-0155"/>
    <s v="PROD-004"/>
    <s v="R016"/>
    <n v="9"/>
    <n v="3870"/>
    <n v="8.1999999999999993"/>
    <n v="31973.94"/>
    <s v="Completed"/>
    <s v="Pune"/>
    <x v="4"/>
    <m/>
    <s v="Corporate"/>
    <n v="40"/>
    <x v="4"/>
  </r>
  <r>
    <s v="ORD-01490"/>
    <d v="2024-07-18T00:00:00"/>
    <s v="CUST-0278"/>
    <s v="PROD-008"/>
    <s v="R013"/>
    <n v="7"/>
    <n v="2660"/>
    <n v="15.9"/>
    <n v="15659.42"/>
    <s v="Completed"/>
    <s v="Hyderabad"/>
    <x v="4"/>
    <m/>
    <s v="Retail"/>
    <n v="41"/>
    <x v="0"/>
  </r>
  <r>
    <s v="ORD-01491"/>
    <d v="2024-11-23T00:00:00"/>
    <s v="CUST-0075"/>
    <s v="PROD-007"/>
    <s v="R019"/>
    <n v="4"/>
    <n v="1430"/>
    <n v="25.6"/>
    <n v="4255.68"/>
    <s v="Completed"/>
    <s v="Mumbai"/>
    <x v="4"/>
    <m/>
    <s v="Corporate"/>
    <n v="55"/>
    <x v="0"/>
  </r>
  <r>
    <s v="ORD-01492"/>
    <d v="2024-03-23T00:00:00"/>
    <s v="CUST-0274"/>
    <s v="PROD-046"/>
    <s v="R023"/>
    <n v="4"/>
    <n v="4880"/>
    <n v="19.399999999999999"/>
    <n v="15733.12"/>
    <s v="Cancelled"/>
    <s v="Bengaluru"/>
    <x v="5"/>
    <m/>
    <s v="Corporate"/>
    <n v="36"/>
    <x v="3"/>
  </r>
  <r>
    <s v="ORD-01493"/>
    <d v="2024-10-01T00:00:00"/>
    <s v="CUST-0197"/>
    <s v="PROD-060"/>
    <s v="R001"/>
    <n v="2"/>
    <n v="190"/>
    <n v="9"/>
    <n v="345.8"/>
    <s v="Completed"/>
    <s v="Bengaluru"/>
    <x v="1"/>
    <m/>
    <s v="Retail"/>
    <n v="55"/>
    <x v="0"/>
  </r>
  <r>
    <s v="ORD-01494"/>
    <d v="2024-05-03T00:00:00"/>
    <s v="CUST-0294"/>
    <s v="PROD-045"/>
    <s v="R019"/>
    <n v="1"/>
    <n v="3020"/>
    <n v="3.6"/>
    <n v="2911.28"/>
    <s v="Refunded"/>
    <s v="Delhi"/>
    <x v="5"/>
    <m/>
    <s v="Corporate"/>
    <n v="31"/>
    <x v="1"/>
  </r>
  <r>
    <s v="ORD-01495"/>
    <d v="2024-11-05T00:00:00"/>
    <s v="CUST-0281"/>
    <s v="PROD-046"/>
    <s v="R019"/>
    <n v="2"/>
    <n v="4880"/>
    <n v="2"/>
    <n v="9564.7999999999993"/>
    <s v="Cancelled"/>
    <s v="Bengaluru"/>
    <x v="5"/>
    <m/>
    <s v="Corporate"/>
    <n v="57"/>
    <x v="0"/>
  </r>
  <r>
    <s v="ORD-01496"/>
    <d v="2024-01-28T00:00:00"/>
    <s v="CUST-0130"/>
    <s v="PROD-058"/>
    <s v="R027"/>
    <n v="4"/>
    <n v="2400"/>
    <n v="11.5"/>
    <n v="8496"/>
    <s v="Completed"/>
    <s v="Bengaluru"/>
    <x v="1"/>
    <m/>
    <s v="Corporate"/>
    <n v="41"/>
    <x v="0"/>
  </r>
  <r>
    <s v="ORD-01497"/>
    <d v="2024-03-06T00:00:00"/>
    <s v="CUST-0097"/>
    <s v="PROD-050"/>
    <s v="R002"/>
    <n v="2"/>
    <n v="6080"/>
    <n v="0.5"/>
    <n v="12099.2"/>
    <s v="Cancelled"/>
    <s v="Mumbai"/>
    <x v="5"/>
    <m/>
    <s v="Retail"/>
    <n v="65"/>
    <x v="0"/>
  </r>
  <r>
    <s v="ORD-01498"/>
    <d v="2024-04-02T00:00:00"/>
    <s v="CUST-0148"/>
    <s v="PROD-023"/>
    <s v="R023"/>
    <n v="7"/>
    <n v="2380"/>
    <n v="12.3"/>
    <n v="14610.82"/>
    <s v="Completed"/>
    <s v="Chennai"/>
    <x v="2"/>
    <m/>
    <s v="Retail"/>
    <n v="32"/>
    <x v="1"/>
  </r>
  <r>
    <s v="ORD-01499"/>
    <d v="2024-08-05T00:00:00"/>
    <s v="CUST-0102"/>
    <s v="PROD-041"/>
    <s v="R001"/>
    <n v="10"/>
    <n v="1540"/>
    <n v="20.6"/>
    <n v="12227.6"/>
    <s v="Completed"/>
    <s v="Chennai"/>
    <x v="5"/>
    <m/>
    <s v="SMB"/>
    <n v="62"/>
    <x v="0"/>
  </r>
  <r>
    <s v="ORD-01500"/>
    <d v="2024-08-16T00:00:00"/>
    <s v="CUST-0265"/>
    <s v="PROD-004"/>
    <s v="R028"/>
    <n v="7"/>
    <n v="3870"/>
    <n v="6.1"/>
    <n v="25437.51"/>
    <s v="Completed"/>
    <s v="Chennai"/>
    <x v="4"/>
    <m/>
    <s v="Retail"/>
    <n v="49"/>
    <x v="0"/>
  </r>
  <r>
    <s v="ORD-01501"/>
    <d v="2024-04-01T00:00:00"/>
    <s v="CUST-0073"/>
    <s v="PROD-032"/>
    <s v="R021"/>
    <n v="3"/>
    <n v="370"/>
    <n v="13.7"/>
    <n v="957.93"/>
    <s v="Completed"/>
    <s v="Pune"/>
    <x v="3"/>
    <m/>
    <s v="Corporate"/>
    <n v="40"/>
    <x v="2"/>
  </r>
  <r>
    <s v="ORD-01502"/>
    <d v="2024-02-06T00:00:00"/>
    <s v="CUST-0070"/>
    <s v="PROD-060"/>
    <s v="R027"/>
    <n v="8"/>
    <n v="190"/>
    <n v="0.2"/>
    <n v="1516.96"/>
    <s v="Completed"/>
    <s v="Mumbai"/>
    <x v="1"/>
    <m/>
    <s v="Retail"/>
    <n v="42"/>
    <x v="0"/>
  </r>
  <r>
    <s v="ORD-01503"/>
    <d v="2024-07-28T00:00:00"/>
    <s v="CUST-0202"/>
    <s v="PROD-007"/>
    <s v="R011"/>
    <n v="6"/>
    <n v="1430"/>
    <n v="0.1"/>
    <n v="8571.42"/>
    <s v="Completed"/>
    <s v="Chennai"/>
    <x v="4"/>
    <m/>
    <s v="Retail"/>
    <n v="39"/>
    <x v="2"/>
  </r>
  <r>
    <s v="ORD-01504"/>
    <d v="2024-02-24T00:00:00"/>
    <s v="CUST-0240"/>
    <s v="PROD-053"/>
    <s v="R020"/>
    <n v="4"/>
    <n v="470"/>
    <n v="3"/>
    <n v="1823.6"/>
    <s v="Completed"/>
    <s v="Chennai"/>
    <x v="1"/>
    <m/>
    <s v="Corporate"/>
    <n v="35"/>
    <x v="4"/>
  </r>
  <r>
    <s v="ORD-01505"/>
    <d v="2024-06-03T00:00:00"/>
    <s v="CUST-0163"/>
    <s v="PROD-018"/>
    <s v="R004"/>
    <n v="4"/>
    <n v="3560"/>
    <n v="1.1000000000000001"/>
    <n v="14083.36"/>
    <s v="Completed"/>
    <s v="Pune"/>
    <x v="0"/>
    <m/>
    <s v="Retail"/>
    <n v="49"/>
    <x v="0"/>
  </r>
  <r>
    <s v="ORD-01506"/>
    <d v="2024-08-17T00:00:00"/>
    <s v="CUST-0238"/>
    <s v="PROD-046"/>
    <s v="R012"/>
    <n v="5"/>
    <n v="4880"/>
    <n v="17"/>
    <n v="20252"/>
    <s v="Completed"/>
    <s v="Delhi"/>
    <x v="5"/>
    <m/>
    <s v="Retail"/>
    <n v="49"/>
    <x v="0"/>
  </r>
  <r>
    <s v="ORD-01507"/>
    <d v="2024-07-10T00:00:00"/>
    <s v="CUST-0196"/>
    <s v="PROD-003"/>
    <s v="R009"/>
    <n v="9"/>
    <n v="3570"/>
    <n v="12"/>
    <n v="28274.400000000001"/>
    <s v="Completed"/>
    <s v="Chennai"/>
    <x v="4"/>
    <m/>
    <s v="Retail"/>
    <n v="26"/>
    <x v="4"/>
  </r>
  <r>
    <s v="ORD-01508"/>
    <d v="2024-03-19T00:00:00"/>
    <s v="CUST-0220"/>
    <s v="PROD-051"/>
    <s v="R025"/>
    <n v="6"/>
    <n v="3450"/>
    <n v="22.7"/>
    <n v="16001.1"/>
    <s v="Cancelled"/>
    <s v="Chennai"/>
    <x v="1"/>
    <m/>
    <s v="Retail"/>
    <n v="34"/>
    <x v="4"/>
  </r>
  <r>
    <s v="ORD-01509"/>
    <d v="2024-06-13T00:00:00"/>
    <s v="CUST-0142"/>
    <s v="PROD-040"/>
    <s v="R002"/>
    <n v="10"/>
    <n v="1080"/>
    <n v="27.4"/>
    <n v="7840.8"/>
    <s v="Completed"/>
    <s v="Chennai"/>
    <x v="3"/>
    <m/>
    <s v="Corporate"/>
    <n v="55"/>
    <x v="0"/>
  </r>
  <r>
    <s v="ORD-01510"/>
    <d v="2024-11-09T00:00:00"/>
    <s v="CUST-0217"/>
    <s v="PROD-041"/>
    <s v="R025"/>
    <n v="6"/>
    <n v="1540"/>
    <n v="17.100000000000001"/>
    <n v="7659.96"/>
    <s v="Completed"/>
    <s v="Pune"/>
    <x v="5"/>
    <m/>
    <s v="SMB"/>
    <n v="59"/>
    <x v="0"/>
  </r>
  <r>
    <s v="ORD-01511"/>
    <d v="2024-09-21T00:00:00"/>
    <s v="CUST-9582"/>
    <s v="PROD-015"/>
    <s v="R013"/>
    <n v="6"/>
    <n v="2720"/>
    <n v="28.1"/>
    <n v="11734.08"/>
    <s v="Completed"/>
    <s v="Mumbai"/>
    <x v="0"/>
    <m/>
    <e v="#N/A"/>
    <e v="#N/A"/>
    <x v="0"/>
  </r>
  <r>
    <s v="ORD-01512"/>
    <d v="2024-10-04T00:00:00"/>
    <s v="CUST-0267"/>
    <s v="PROD-034"/>
    <s v="R005"/>
    <n v="2"/>
    <n v="5080"/>
    <n v="11.1"/>
    <n v="9032.24"/>
    <s v="Completed"/>
    <s v="Hyderabad"/>
    <x v="3"/>
    <m/>
    <s v="Retail"/>
    <n v="27"/>
    <x v="4"/>
  </r>
  <r>
    <s v="ORD-01513"/>
    <d v="2024-02-07T00:00:00"/>
    <s v="CUST-9565"/>
    <s v="PROD-016"/>
    <s v="R008"/>
    <n v="5"/>
    <n v="620"/>
    <n v="10.9"/>
    <n v="2762.1"/>
    <s v="Pending"/>
    <s v="Chennai"/>
    <x v="0"/>
    <m/>
    <e v="#N/A"/>
    <e v="#N/A"/>
    <x v="0"/>
  </r>
  <r>
    <s v="ORD-01514"/>
    <d v="2024-03-26T00:00:00"/>
    <s v="CUST-0051"/>
    <s v="PROD-019"/>
    <s v="R003"/>
    <n v="3"/>
    <n v="2480"/>
    <n v="5"/>
    <n v="7068"/>
    <s v="Completed"/>
    <s v="Pune"/>
    <x v="0"/>
    <m/>
    <s v="SMB"/>
    <n v="54"/>
    <x v="0"/>
  </r>
  <r>
    <s v="ORD-01515"/>
    <d v="2024-09-02T00:00:00"/>
    <s v="CUST-0075"/>
    <s v="PROD-054"/>
    <s v="R005"/>
    <n v="9"/>
    <n v="1010"/>
    <n v="21.9"/>
    <n v="7099.29"/>
    <s v="Completed"/>
    <s v="Mumbai"/>
    <x v="1"/>
    <m/>
    <s v="Corporate"/>
    <n v="55"/>
    <x v="0"/>
  </r>
  <r>
    <s v="ORD-01516"/>
    <d v="2024-09-15T00:00:00"/>
    <s v="CUST-0106"/>
    <s v="PROD-040"/>
    <s v="R004"/>
    <n v="2"/>
    <n v="1080"/>
    <n v="8.5"/>
    <n v="1976.4"/>
    <s v="Completed"/>
    <s v="Pune"/>
    <x v="3"/>
    <m/>
    <s v="Retail"/>
    <n v="22"/>
    <x v="1"/>
  </r>
  <r>
    <s v="ORD-01517"/>
    <d v="2024-02-03T00:00:00"/>
    <s v="CUST-0053"/>
    <s v="PROD-053"/>
    <s v="R025"/>
    <n v="5"/>
    <n v="470"/>
    <n v="8"/>
    <n v="2162"/>
    <s v="Completed"/>
    <s v="Delhi"/>
    <x v="1"/>
    <m/>
    <s v="Retail"/>
    <n v="53"/>
    <x v="0"/>
  </r>
  <r>
    <s v="ORD-01518"/>
    <d v="2024-03-24T00:00:00"/>
    <s v="CUST-0042"/>
    <s v="PROD-006"/>
    <s v="R020"/>
    <n v="9"/>
    <n v="3970"/>
    <n v="18.5"/>
    <n v="29119.95"/>
    <s v="Completed"/>
    <s v="Pune"/>
    <x v="4"/>
    <m/>
    <s v="Retail"/>
    <n v="25"/>
    <x v="2"/>
  </r>
  <r>
    <s v="ORD-01519"/>
    <d v="2024-11-18T00:00:00"/>
    <s v="CUST-0120"/>
    <s v="PROD-044"/>
    <s v="R010"/>
    <n v="9"/>
    <n v="1650"/>
    <n v="19.5"/>
    <n v="11954.25"/>
    <s v="Completed"/>
    <s v="Mumbai"/>
    <x v="5"/>
    <m/>
    <s v="Retail"/>
    <n v="29"/>
    <x v="3"/>
  </r>
  <r>
    <s v="ORD-01520"/>
    <d v="2024-03-13T00:00:00"/>
    <s v="CUST-0166"/>
    <s v="PROD-043"/>
    <s v="R006"/>
    <n v="9"/>
    <n v="3350"/>
    <n v="4.0999999999999996"/>
    <n v="28913.85"/>
    <s v="Completed"/>
    <s v="Hyderabad"/>
    <x v="5"/>
    <m/>
    <s v="Retail"/>
    <n v="31"/>
    <x v="4"/>
  </r>
  <r>
    <s v="ORD-01521"/>
    <d v="2024-02-20T00:00:00"/>
    <s v="CUST-0175"/>
    <s v="PROD-006"/>
    <s v="R023"/>
    <n v="7"/>
    <n v="3970"/>
    <n v="15.6"/>
    <n v="23454.76"/>
    <s v="Completed"/>
    <s v="Delhi"/>
    <x v="4"/>
    <m/>
    <s v="Corporate"/>
    <n v="55"/>
    <x v="0"/>
  </r>
  <r>
    <s v="ORD-01522"/>
    <d v="2024-06-11T00:00:00"/>
    <s v="CUST-0001"/>
    <s v="PROD-027"/>
    <s v="R018"/>
    <n v="7"/>
    <n v="3780"/>
    <n v="18.7"/>
    <n v="21511.98"/>
    <s v="Completed"/>
    <s v="Pune"/>
    <x v="2"/>
    <m/>
    <s v="Retail"/>
    <n v="36"/>
    <x v="3"/>
  </r>
  <r>
    <s v="ORD-01523"/>
    <d v="2024-11-29T00:00:00"/>
    <s v="CUST-0238"/>
    <s v="PROD-020"/>
    <s v="R013"/>
    <n v="4"/>
    <n v="820"/>
    <n v="18.8"/>
    <n v="2663.36"/>
    <s v="Cancelled"/>
    <s v="Delhi"/>
    <x v="0"/>
    <m/>
    <s v="Retail"/>
    <n v="49"/>
    <x v="0"/>
  </r>
  <r>
    <s v="ORD-01524"/>
    <d v="2024-11-04T00:00:00"/>
    <s v="CUST-0279"/>
    <s v="PROD-044"/>
    <s v="R022"/>
    <n v="1"/>
    <n v="1650"/>
    <n v="18.8"/>
    <n v="1339.8"/>
    <s v="Cancelled"/>
    <s v="Mumbai"/>
    <x v="5"/>
    <m/>
    <s v="Retail"/>
    <n v="56"/>
    <x v="0"/>
  </r>
  <r>
    <s v="ORD-01525"/>
    <d v="2024-04-15T00:00:00"/>
    <s v="CUST-0042"/>
    <s v="PROD-027"/>
    <s v="R021"/>
    <n v="2"/>
    <n v="3780"/>
    <n v="1"/>
    <n v="7484.4"/>
    <s v="Refunded"/>
    <s v="Pune"/>
    <x v="2"/>
    <m/>
    <s v="Retail"/>
    <n v="25"/>
    <x v="3"/>
  </r>
  <r>
    <s v="ORD-01526"/>
    <d v="2024-05-05T00:00:00"/>
    <s v="CUST-0137"/>
    <s v="PROD-029"/>
    <s v="R027"/>
    <n v="5"/>
    <n v="2210"/>
    <n v="16.600000000000001"/>
    <n v="9215.7000000000007"/>
    <s v="Completed"/>
    <s v="Mumbai"/>
    <x v="2"/>
    <m/>
    <s v="Retail"/>
    <n v="41"/>
    <x v="0"/>
  </r>
  <r>
    <s v="ORD-01527"/>
    <d v="2024-07-14T00:00:00"/>
    <s v="CUST-0160"/>
    <s v="PROD-056"/>
    <s v="R010"/>
    <n v="10"/>
    <n v="6940"/>
    <n v="10.6"/>
    <n v="62043.6"/>
    <s v="Completed"/>
    <s v="Hyderabad"/>
    <x v="1"/>
    <m/>
    <s v="Retail"/>
    <n v="27"/>
    <x v="2"/>
  </r>
  <r>
    <s v="ORD-01528"/>
    <d v="2024-06-11T00:00:00"/>
    <s v="CUST-0102"/>
    <s v="PROD-042"/>
    <s v="R005"/>
    <n v="8"/>
    <n v="2290"/>
    <n v="12.2"/>
    <n v="16084.96"/>
    <s v="Completed"/>
    <s v="Chennai"/>
    <x v="5"/>
    <m/>
    <s v="SMB"/>
    <n v="62"/>
    <x v="0"/>
  </r>
  <r>
    <s v="ORD-01529"/>
    <d v="2024-08-25T00:00:00"/>
    <s v="CUST-0133"/>
    <s v="PROD-033"/>
    <s v="R025"/>
    <n v="5"/>
    <n v="2030"/>
    <n v="23.8"/>
    <n v="7734.3"/>
    <s v="Cancelled"/>
    <s v="Chennai"/>
    <x v="3"/>
    <m/>
    <s v="Retail"/>
    <n v="26"/>
    <x v="1"/>
  </r>
  <r>
    <s v="ORD-01530"/>
    <d v="2024-09-11T00:00:00"/>
    <s v="CUST-0080"/>
    <s v="PROD-006"/>
    <s v="R029"/>
    <n v="3"/>
    <n v="3970"/>
    <n v="7.7"/>
    <n v="10992.93"/>
    <s v="Completed"/>
    <s v="Pune"/>
    <x v="4"/>
    <m/>
    <s v="SMB"/>
    <n v="30"/>
    <x v="2"/>
  </r>
  <r>
    <s v="ORD-01821"/>
    <d v="2024-07-08T00:00:00"/>
    <s v="CUST-0299"/>
    <s v="PROD-020"/>
    <s v="R016"/>
    <n v="1"/>
    <n v="820"/>
    <n v="5.4"/>
    <n v="775.72"/>
    <s v="Completed"/>
    <s v="Mumbai"/>
    <x v="0"/>
    <m/>
    <s v="Corporate"/>
    <n v="51"/>
    <x v="0"/>
  </r>
  <r>
    <s v="ORD-01532"/>
    <d v="2024-06-29T00:00:00"/>
    <s v="CUST-0078"/>
    <s v="PROD-004"/>
    <s v="R025"/>
    <n v="3"/>
    <n v="3870"/>
    <n v="1.9"/>
    <n v="11389.41"/>
    <s v="Completed"/>
    <s v="Delhi"/>
    <x v="4"/>
    <m/>
    <s v="Retail"/>
    <n v="31"/>
    <x v="4"/>
  </r>
  <r>
    <s v="ORD-01533"/>
    <d v="2024-01-05T00:00:00"/>
    <s v="CUST-0251"/>
    <s v="PROD-030"/>
    <s v="R022"/>
    <n v="6"/>
    <n v="970"/>
    <n v="27.1"/>
    <n v="4242.78"/>
    <s v="Completed"/>
    <s v="Mumbai"/>
    <x v="2"/>
    <m/>
    <s v="Retail"/>
    <n v="44"/>
    <x v="0"/>
  </r>
  <r>
    <s v="ORD-01534"/>
    <d v="2024-10-02T00:00:00"/>
    <s v="CUST-0191"/>
    <s v="PROD-046"/>
    <s v="R025"/>
    <n v="1"/>
    <n v="4880"/>
    <n v="26.8"/>
    <n v="3572.16"/>
    <s v="Completed"/>
    <s v="Hyderabad"/>
    <x v="5"/>
    <m/>
    <s v="SMB"/>
    <n v="43"/>
    <x v="0"/>
  </r>
  <r>
    <s v="ORD-01535"/>
    <d v="2024-02-15T00:00:00"/>
    <s v="CUST-0130"/>
    <s v="PROD-022"/>
    <s v="R023"/>
    <n v="1"/>
    <n v="2270"/>
    <n v="22.2"/>
    <n v="1766.06"/>
    <s v="Completed"/>
    <s v="Bengaluru"/>
    <x v="2"/>
    <m/>
    <s v="Corporate"/>
    <n v="41"/>
    <x v="0"/>
  </r>
  <r>
    <s v="ORD-01536"/>
    <d v="2024-03-25T00:00:00"/>
    <s v="CUST-0056"/>
    <s v="PROD-047"/>
    <s v="R026"/>
    <n v="10"/>
    <n v="3450"/>
    <n v="21.9"/>
    <n v="26944.5"/>
    <s v="Completed"/>
    <s v="Bengaluru"/>
    <x v="5"/>
    <m/>
    <s v="SMB"/>
    <n v="46"/>
    <x v="0"/>
  </r>
  <r>
    <s v="ORD-01537"/>
    <d v="2024-11-20T00:00:00"/>
    <s v="CUST-0185"/>
    <s v="PROD-022"/>
    <s v="R011"/>
    <n v="3"/>
    <n v="2270"/>
    <n v="19.100000000000001"/>
    <n v="5509.29"/>
    <s v="Cancelled"/>
    <s v="Hyderabad"/>
    <x v="2"/>
    <m/>
    <s v="SMB"/>
    <n v="43"/>
    <x v="0"/>
  </r>
  <r>
    <s v="ORD-01538"/>
    <d v="2024-03-09T00:00:00"/>
    <s v="CUST-0195"/>
    <s v="PROD-029"/>
    <s v="R030"/>
    <n v="10"/>
    <n v="2210"/>
    <n v="22.3"/>
    <n v="17171.7"/>
    <s v="Completed"/>
    <s v="Bengaluru"/>
    <x v="2"/>
    <m/>
    <s v="Retail"/>
    <n v="28"/>
    <x v="4"/>
  </r>
  <r>
    <s v="ORD-01539"/>
    <d v="2024-06-22T00:00:00"/>
    <s v="CUST-0067"/>
    <s v="PROD-033"/>
    <s v="R011"/>
    <n v="9"/>
    <n v="2030"/>
    <n v="24.8"/>
    <n v="13739.04"/>
    <s v="Completed"/>
    <s v="Delhi"/>
    <x v="3"/>
    <m/>
    <s v="SMB"/>
    <n v="59"/>
    <x v="0"/>
  </r>
  <r>
    <s v="ORD-01540"/>
    <d v="2024-03-29T00:00:00"/>
    <s v="CUST-0149"/>
    <s v="PROD-043"/>
    <s v="R023"/>
    <n v="5"/>
    <n v="3350"/>
    <n v="18.2"/>
    <n v="13701.5"/>
    <s v="Completed"/>
    <s v="Hyderabad"/>
    <x v="5"/>
    <m/>
    <s v="Retail"/>
    <n v="44"/>
    <x v="0"/>
  </r>
  <r>
    <s v="ORD-01541"/>
    <d v="2024-03-07T00:00:00"/>
    <s v="CUST-0268"/>
    <s v="PROD-013"/>
    <s v="R008"/>
    <n v="7"/>
    <n v="3640"/>
    <n v="14.4"/>
    <n v="21810.880000000001"/>
    <s v="Completed"/>
    <s v="Chennai"/>
    <x v="0"/>
    <m/>
    <s v="Retail"/>
    <n v="35"/>
    <x v="3"/>
  </r>
  <r>
    <s v="ORD-01542"/>
    <d v="2024-04-03T00:00:00"/>
    <s v="CUST-0126"/>
    <s v="PROD-051"/>
    <s v="R018"/>
    <n v="9"/>
    <n v="3450"/>
    <n v="20.100000000000001"/>
    <n v="24808.95"/>
    <s v="Completed"/>
    <s v="Mumbai"/>
    <x v="1"/>
    <m/>
    <s v="Retail"/>
    <n v="37"/>
    <x v="1"/>
  </r>
  <r>
    <s v="ORD-01543"/>
    <d v="2024-05-31T00:00:00"/>
    <s v="CUST-0017"/>
    <s v="PROD-047"/>
    <s v="R003"/>
    <n v="6"/>
    <n v="3450"/>
    <n v="19.899999999999999"/>
    <n v="16580.7"/>
    <s v="Pending"/>
    <s v="Delhi"/>
    <x v="5"/>
    <m/>
    <s v="SMB"/>
    <n v="38"/>
    <x v="3"/>
  </r>
  <r>
    <s v="ORD-01544"/>
    <d v="2024-11-03T00:00:00"/>
    <s v="CUST-0250"/>
    <s v="PROD-042"/>
    <s v="R022"/>
    <n v="4"/>
    <n v="2290"/>
    <n v="4.8"/>
    <n v="8720.32"/>
    <s v="Pending"/>
    <s v="Delhi"/>
    <x v="5"/>
    <m/>
    <s v="Retail"/>
    <n v="31"/>
    <x v="1"/>
  </r>
  <r>
    <s v="ORD-01545"/>
    <d v="2024-07-06T00:00:00"/>
    <s v="CUST-0245"/>
    <s v="PROD-057"/>
    <s v="R010"/>
    <n v="9"/>
    <n v="960"/>
    <n v="2.4"/>
    <n v="8432.64"/>
    <s v="Completed"/>
    <s v="Hyderabad"/>
    <x v="1"/>
    <m/>
    <s v="Retail"/>
    <n v="65"/>
    <x v="0"/>
  </r>
  <r>
    <s v="ORD-01546"/>
    <d v="2024-07-16T00:00:00"/>
    <s v="CUST-0016"/>
    <s v="PROD-039"/>
    <s v="R025"/>
    <n v="9"/>
    <n v="4610"/>
    <n v="21.3"/>
    <n v="32652.63"/>
    <s v="Completed"/>
    <s v="Delhi"/>
    <x v="3"/>
    <m/>
    <s v="SMB"/>
    <n v="26"/>
    <x v="4"/>
  </r>
  <r>
    <s v="ORD-01547"/>
    <d v="2024-08-10T00:00:00"/>
    <s v="CUST-0063"/>
    <s v="PROD-028"/>
    <s v="R003"/>
    <n v="1"/>
    <n v="3660"/>
    <n v="15.6"/>
    <n v="3089.04"/>
    <s v="Completed"/>
    <s v="Mumbai"/>
    <x v="2"/>
    <m/>
    <s v="SMB"/>
    <n v="53"/>
    <x v="0"/>
  </r>
  <r>
    <s v="ORD-01548"/>
    <d v="2024-12-27T00:00:00"/>
    <s v="CUST-0200"/>
    <s v="PROD-008"/>
    <s v="R012"/>
    <n v="5"/>
    <n v="2660"/>
    <n v="20.399999999999999"/>
    <n v="10586.8"/>
    <s v="Completed"/>
    <s v="Hyderabad"/>
    <x v="4"/>
    <m/>
    <s v="Corporate"/>
    <n v="46"/>
    <x v="0"/>
  </r>
  <r>
    <s v="ORD-01549"/>
    <d v="2024-04-19T00:00:00"/>
    <s v="CUST-0017"/>
    <s v="PROD-041"/>
    <s v="R026"/>
    <n v="8"/>
    <n v="1540"/>
    <n v="0.5"/>
    <n v="12258.4"/>
    <s v="Completed"/>
    <s v="Delhi"/>
    <x v="5"/>
    <m/>
    <s v="SMB"/>
    <n v="38"/>
    <x v="4"/>
  </r>
  <r>
    <s v="ORD-01550"/>
    <d v="2024-11-25T00:00:00"/>
    <s v="CUST-0264"/>
    <s v="PROD-006"/>
    <s v="R004"/>
    <n v="4"/>
    <n v="3970"/>
    <n v="22.5"/>
    <n v="12307"/>
    <s v="Completed"/>
    <s v="Pune"/>
    <x v="4"/>
    <m/>
    <s v="Retail"/>
    <n v="59"/>
    <x v="0"/>
  </r>
  <r>
    <s v="ORD-01551"/>
    <d v="2024-03-17T00:00:00"/>
    <s v="CUST-0102"/>
    <s v="PROD-059"/>
    <s v="R007"/>
    <n v="8"/>
    <n v="3780"/>
    <n v="3.8"/>
    <n v="29090.880000000001"/>
    <s v="Completed"/>
    <s v="Chennai"/>
    <x v="1"/>
    <m/>
    <s v="SMB"/>
    <n v="62"/>
    <x v="0"/>
  </r>
  <r>
    <s v="ORD-01552"/>
    <d v="2024-09-15T00:00:00"/>
    <s v="CUST-0092"/>
    <s v="PROD-022"/>
    <s v="R004"/>
    <n v="4"/>
    <n v="2270"/>
    <n v="3.8"/>
    <n v="8734.9599999999991"/>
    <s v="Cancelled"/>
    <s v="Bengaluru"/>
    <x v="2"/>
    <m/>
    <s v="SMB"/>
    <n v="28"/>
    <x v="1"/>
  </r>
  <r>
    <s v="ORD-01553"/>
    <d v="2024-01-13T00:00:00"/>
    <s v="CUST-0139"/>
    <s v="PROD-009"/>
    <s v="R009"/>
    <n v="10"/>
    <n v="1220"/>
    <n v="19.5"/>
    <n v="9821"/>
    <s v="Completed"/>
    <s v="Hyderabad"/>
    <x v="4"/>
    <m/>
    <s v="SMB"/>
    <n v="65"/>
    <x v="0"/>
  </r>
  <r>
    <s v="ORD-01554"/>
    <d v="2024-01-30T00:00:00"/>
    <s v="CUST-0129"/>
    <s v="PROD-043"/>
    <s v="R015"/>
    <n v="10"/>
    <n v="3350"/>
    <n v="7.8"/>
    <n v="30887"/>
    <s v="Completed"/>
    <s v="Hyderabad"/>
    <x v="5"/>
    <m/>
    <s v="Retail"/>
    <n v="29"/>
    <x v="4"/>
  </r>
  <r>
    <s v="ORD-01555"/>
    <d v="2024-03-07T00:00:00"/>
    <s v="CUST-9841"/>
    <s v="PROD-043"/>
    <s v="R030"/>
    <n v="7"/>
    <n v="3350"/>
    <n v="14.5"/>
    <n v="20049.75"/>
    <s v="Completed"/>
    <s v="Bengaluru"/>
    <x v="5"/>
    <m/>
    <e v="#N/A"/>
    <e v="#N/A"/>
    <x v="0"/>
  </r>
  <r>
    <s v="ORD-01556"/>
    <d v="2024-05-28T00:00:00"/>
    <s v="CUST-0069"/>
    <s v="PROD-038"/>
    <s v="R014"/>
    <n v="6"/>
    <n v="5490"/>
    <n v="8"/>
    <n v="30304.799999999999"/>
    <s v="Completed"/>
    <s v="Chennai"/>
    <x v="3"/>
    <m/>
    <s v="Retail"/>
    <n v="51"/>
    <x v="0"/>
  </r>
  <r>
    <s v="ORD-01557"/>
    <d v="2024-11-22T00:00:00"/>
    <s v="CUST-0140"/>
    <s v="PROD-055"/>
    <s v="R018"/>
    <n v="3"/>
    <n v="2860"/>
    <n v="19.899999999999999"/>
    <n v="6872.58"/>
    <s v="Completed"/>
    <s v="Hyderabad"/>
    <x v="1"/>
    <m/>
    <s v="SMB"/>
    <n v="39"/>
    <x v="4"/>
  </r>
  <r>
    <s v="ORD-01558"/>
    <d v="2024-01-04T00:00:00"/>
    <s v="CUST-0138"/>
    <s v="PROD-010"/>
    <s v="R024"/>
    <n v="3"/>
    <n v="2640"/>
    <n v="29.3"/>
    <n v="5599.44"/>
    <s v="Completed"/>
    <s v="Chennai"/>
    <x v="4"/>
    <m/>
    <s v="Retail"/>
    <n v="24"/>
    <x v="3"/>
  </r>
  <r>
    <s v="ORD-01559"/>
    <d v="2024-04-02T00:00:00"/>
    <s v="CUST-0277"/>
    <s v="PROD-011"/>
    <s v="R029"/>
    <n v="8"/>
    <n v="3450"/>
    <n v="15.2"/>
    <n v="23404.799999999999"/>
    <s v="Cancelled"/>
    <s v="Chennai"/>
    <x v="0"/>
    <m/>
    <s v="Corporate"/>
    <n v="34"/>
    <x v="2"/>
  </r>
  <r>
    <s v="ORD-01560"/>
    <d v="2024-02-27T00:00:00"/>
    <s v="CUST-0017"/>
    <s v="PROD-032"/>
    <s v="R025"/>
    <n v="6"/>
    <n v="370"/>
    <n v="7"/>
    <n v="2064.6"/>
    <s v="Completed"/>
    <s v="Delhi"/>
    <x v="3"/>
    <m/>
    <s v="SMB"/>
    <n v="38"/>
    <x v="2"/>
  </r>
  <r>
    <s v="ORD-01561"/>
    <d v="2024-05-27T00:00:00"/>
    <s v="CUST-0170"/>
    <s v="PROD-025"/>
    <s v="R029"/>
    <n v="10"/>
    <n v="4060"/>
    <n v="4.7"/>
    <n v="38691.800000000003"/>
    <s v="Cancelled"/>
    <s v="Mumbai"/>
    <x v="2"/>
    <m/>
    <s v="SMB"/>
    <n v="22"/>
    <x v="2"/>
  </r>
  <r>
    <s v="ORD-01562"/>
    <d v="2024-05-14T00:00:00"/>
    <s v="CUST-0022"/>
    <s v="PROD-004"/>
    <s v="R024"/>
    <n v="1"/>
    <n v="3870"/>
    <n v="18.2"/>
    <n v="3165.66"/>
    <s v="Pending"/>
    <s v="Bengaluru"/>
    <x v="4"/>
    <m/>
    <s v="Corporate"/>
    <n v="55"/>
    <x v="0"/>
  </r>
  <r>
    <s v="ORD-01563"/>
    <d v="2024-04-03T00:00:00"/>
    <s v="CUST-0158"/>
    <s v="PROD-001"/>
    <s v="R006"/>
    <n v="1"/>
    <n v="5330"/>
    <n v="3.9"/>
    <n v="5122.13"/>
    <s v="Refunded"/>
    <s v="Pune"/>
    <x v="4"/>
    <m/>
    <s v="Corporate"/>
    <n v="42"/>
    <x v="0"/>
  </r>
  <r>
    <s v="ORD-01564"/>
    <d v="2024-01-21T00:00:00"/>
    <s v="CUST-0160"/>
    <s v="PROD-032"/>
    <s v="R020"/>
    <n v="8"/>
    <n v="370"/>
    <n v="1.3"/>
    <n v="2921.52"/>
    <s v="Completed"/>
    <s v="Hyderabad"/>
    <x v="3"/>
    <m/>
    <s v="Retail"/>
    <n v="27"/>
    <x v="1"/>
  </r>
  <r>
    <s v="ORD-01565"/>
    <d v="2024-11-26T00:00:00"/>
    <s v="CUST-0009"/>
    <s v="PROD-005"/>
    <s v="R020"/>
    <n v="7"/>
    <n v="300"/>
    <n v="7.1"/>
    <n v="1950.9"/>
    <s v="Completed"/>
    <s v="Mumbai"/>
    <x v="4"/>
    <m/>
    <s v="Retail"/>
    <n v="61"/>
    <x v="0"/>
  </r>
  <r>
    <s v="ORD-01566"/>
    <d v="2024-08-04T00:00:00"/>
    <s v="CUST-0151"/>
    <s v="PROD-043"/>
    <s v="R012"/>
    <n v="8"/>
    <n v="3350"/>
    <n v="11.2"/>
    <n v="23798.400000000001"/>
    <s v="Completed"/>
    <s v="Mumbai"/>
    <x v="5"/>
    <m/>
    <s v="Retail"/>
    <n v="53"/>
    <x v="0"/>
  </r>
  <r>
    <s v="ORD-01567"/>
    <d v="2024-08-24T00:00:00"/>
    <s v="CUST-0105"/>
    <s v="PROD-056"/>
    <s v="R009"/>
    <n v="6"/>
    <n v="6940"/>
    <n v="0.3"/>
    <n v="41515.08"/>
    <s v="Completed"/>
    <s v="Chennai"/>
    <x v="1"/>
    <m/>
    <s v="SMB"/>
    <n v="51"/>
    <x v="0"/>
  </r>
  <r>
    <s v="ORD-01568"/>
    <d v="2024-07-10T00:00:00"/>
    <s v="CUST-0292"/>
    <s v="PROD-049"/>
    <s v="R008"/>
    <n v="10"/>
    <n v="960"/>
    <n v="9.3000000000000007"/>
    <n v="8707.2000000000007"/>
    <s v="Cancelled"/>
    <s v="Bengaluru"/>
    <x v="5"/>
    <m/>
    <s v="Retail"/>
    <n v="32"/>
    <x v="4"/>
  </r>
  <r>
    <s v="ORD-01569"/>
    <d v="2024-11-29T00:00:00"/>
    <s v="CUST-0076"/>
    <s v="PROD-021"/>
    <s v="R021"/>
    <n v="10"/>
    <n v="2760"/>
    <n v="17.2"/>
    <n v="22852.799999999999"/>
    <s v="Completed"/>
    <s v="Mumbai"/>
    <x v="2"/>
    <m/>
    <s v="Retail"/>
    <n v="38"/>
    <x v="1"/>
  </r>
  <r>
    <s v="ORD-01570"/>
    <d v="2024-03-07T00:00:00"/>
    <s v="CUST-0152"/>
    <s v="PROD-024"/>
    <s v="R026"/>
    <n v="4"/>
    <n v="2270"/>
    <n v="26.8"/>
    <n v="6646.56"/>
    <s v="Completed"/>
    <s v="Bengaluru"/>
    <x v="2"/>
    <m/>
    <s v="SMB"/>
    <n v="64"/>
    <x v="0"/>
  </r>
  <r>
    <s v="ORD-01571"/>
    <d v="2024-02-20T00:00:00"/>
    <s v="CUST-0146"/>
    <s v="PROD-002"/>
    <s v="R021"/>
    <n v="2"/>
    <n v="2600"/>
    <n v="27"/>
    <n v="3796"/>
    <s v="Completed"/>
    <s v="Hyderabad"/>
    <x v="4"/>
    <m/>
    <s v="Retail"/>
    <n v="22"/>
    <x v="2"/>
  </r>
  <r>
    <s v="ORD-01572"/>
    <d v="2024-01-13T00:00:00"/>
    <s v="CUST-0127"/>
    <s v="PROD-003"/>
    <s v="R024"/>
    <n v="4"/>
    <n v="3570"/>
    <n v="12.3"/>
    <n v="12523.56"/>
    <s v="Completed"/>
    <s v="Bengaluru"/>
    <x v="4"/>
    <m/>
    <s v="SMB"/>
    <n v="36"/>
    <x v="3"/>
  </r>
  <r>
    <s v="ORD-01573"/>
    <d v="2024-01-25T00:00:00"/>
    <s v="CUST-0173"/>
    <s v="PROD-034"/>
    <s v="R016"/>
    <n v="5"/>
    <n v="5080"/>
    <n v="1.3"/>
    <n v="25069.8"/>
    <s v="Completed"/>
    <s v="Mumbai"/>
    <x v="3"/>
    <m/>
    <s v="Retail"/>
    <n v="65"/>
    <x v="0"/>
  </r>
  <r>
    <s v="ORD-01574"/>
    <d v="2024-02-18T00:00:00"/>
    <s v="CUST-0206"/>
    <s v="PROD-049"/>
    <s v="R016"/>
    <n v="5"/>
    <n v="960"/>
    <n v="25.2"/>
    <n v="3590.4"/>
    <s v="Completed"/>
    <s v="Mumbai"/>
    <x v="5"/>
    <m/>
    <s v="Retail"/>
    <n v="40"/>
    <x v="4"/>
  </r>
  <r>
    <s v="ORD-01575"/>
    <d v="2024-11-08T00:00:00"/>
    <s v="CUST-0072"/>
    <s v="PROD-053"/>
    <s v="R010"/>
    <n v="7"/>
    <n v="470"/>
    <n v="21.6"/>
    <n v="2579.36"/>
    <s v="Completed"/>
    <s v="Mumbai"/>
    <x v="1"/>
    <m/>
    <s v="Corporate"/>
    <n v="62"/>
    <x v="0"/>
  </r>
  <r>
    <s v="ORD-01576"/>
    <d v="2024-11-29T00:00:00"/>
    <s v="CUST-0004"/>
    <s v="PROD-009"/>
    <s v="R027"/>
    <n v="4"/>
    <n v="1220"/>
    <n v="12.6"/>
    <n v="4265.12"/>
    <s v="Completed"/>
    <s v="Delhi"/>
    <x v="4"/>
    <m/>
    <s v="Retail"/>
    <n v="53"/>
    <x v="0"/>
  </r>
  <r>
    <s v="ORD-01577"/>
    <d v="2024-01-02T00:00:00"/>
    <s v="CUST-0249"/>
    <s v="PROD-054"/>
    <s v="R008"/>
    <n v="4"/>
    <n v="1010"/>
    <n v="11.3"/>
    <n v="3583.48"/>
    <s v="Completed"/>
    <s v="Mumbai"/>
    <x v="1"/>
    <m/>
    <s v="Retail"/>
    <n v="44"/>
    <x v="0"/>
  </r>
  <r>
    <s v="ORD-01578"/>
    <d v="2024-06-11T00:00:00"/>
    <s v="CUST-0139"/>
    <s v="PROD-028"/>
    <s v="R005"/>
    <n v="4"/>
    <n v="3660"/>
    <n v="7.2"/>
    <n v="13585.92"/>
    <s v="Completed"/>
    <s v="Hyderabad"/>
    <x v="2"/>
    <m/>
    <s v="SMB"/>
    <n v="65"/>
    <x v="0"/>
  </r>
  <r>
    <s v="ORD-01579"/>
    <d v="2024-02-23T00:00:00"/>
    <s v="CUST-0019"/>
    <s v="PROD-038"/>
    <s v="R010"/>
    <n v="4"/>
    <n v="5490"/>
    <n v="8"/>
    <n v="20203.2"/>
    <s v="Completed"/>
    <s v="Chennai"/>
    <x v="3"/>
    <m/>
    <s v="Retail"/>
    <n v="22"/>
    <x v="1"/>
  </r>
  <r>
    <s v="ORD-01580"/>
    <d v="2024-12-19T00:00:00"/>
    <s v="CUST-0210"/>
    <s v="PROD-022"/>
    <s v="R003"/>
    <n v="6"/>
    <n v="2270"/>
    <n v="17.100000000000001"/>
    <n v="11290.98"/>
    <s v="Completed"/>
    <s v="Pune"/>
    <x v="2"/>
    <m/>
    <s v="Corporate"/>
    <n v="48"/>
    <x v="0"/>
  </r>
  <r>
    <s v="ORD-01581"/>
    <d v="2024-10-23T00:00:00"/>
    <s v="CUST-0168"/>
    <s v="PROD-022"/>
    <s v="R015"/>
    <n v="8"/>
    <n v="2270"/>
    <n v="11.9"/>
    <n v="15998.96"/>
    <s v="Pending"/>
    <s v="Pune"/>
    <x v="2"/>
    <m/>
    <s v="Retail"/>
    <n v="25"/>
    <x v="1"/>
  </r>
  <r>
    <s v="ORD-01582"/>
    <d v="2024-10-27T00:00:00"/>
    <s v="CUST-0094"/>
    <s v="PROD-002"/>
    <s v="R018"/>
    <n v="6"/>
    <n v="2600"/>
    <n v="5.0999999999999996"/>
    <n v="14804.4"/>
    <s v="Completed"/>
    <s v="Pune"/>
    <x v="4"/>
    <m/>
    <s v="SMB"/>
    <n v="60"/>
    <x v="0"/>
  </r>
  <r>
    <s v="ORD-01583"/>
    <d v="2024-04-21T00:00:00"/>
    <s v="CUST-0259"/>
    <s v="PROD-004"/>
    <s v="R027"/>
    <n v="9"/>
    <n v="3870"/>
    <n v="1.8"/>
    <n v="34203.06"/>
    <s v="Cancelled"/>
    <s v="Mumbai"/>
    <x v="4"/>
    <m/>
    <s v="Retail"/>
    <n v="34"/>
    <x v="3"/>
  </r>
  <r>
    <s v="ORD-01584"/>
    <d v="2024-06-16T00:00:00"/>
    <s v="CUST-0150"/>
    <s v="PROD-006"/>
    <s v="R006"/>
    <n v="3"/>
    <n v="3970"/>
    <n v="8.1999999999999993"/>
    <n v="10933.38"/>
    <s v="Completed"/>
    <s v="Pune"/>
    <x v="4"/>
    <m/>
    <s v="SMB"/>
    <n v="53"/>
    <x v="0"/>
  </r>
  <r>
    <s v="ORD-01585"/>
    <d v="2024-05-26T00:00:00"/>
    <s v="CUST-0040"/>
    <s v="PROD-049"/>
    <s v="R028"/>
    <n v="9"/>
    <n v="960"/>
    <n v="21.7"/>
    <n v="6765.12"/>
    <s v="Cancelled"/>
    <s v="Chennai"/>
    <x v="5"/>
    <m/>
    <s v="Retail"/>
    <n v="28"/>
    <x v="1"/>
  </r>
  <r>
    <s v="ORD-01586"/>
    <d v="2024-12-06T00:00:00"/>
    <s v="CUST-0290"/>
    <s v="PROD-052"/>
    <s v="R025"/>
    <n v="3"/>
    <n v="5410"/>
    <n v="20.3"/>
    <n v="12935.31"/>
    <s v="Completed"/>
    <s v="Delhi"/>
    <x v="1"/>
    <m/>
    <s v="Retail"/>
    <n v="63"/>
    <x v="0"/>
  </r>
  <r>
    <s v="ORD-01587"/>
    <d v="2024-10-14T00:00:00"/>
    <s v="CUST-0123"/>
    <s v="PROD-011"/>
    <s v="R005"/>
    <n v="3"/>
    <n v="3450"/>
    <n v="11.6"/>
    <n v="9149.4"/>
    <s v="Completed"/>
    <s v="Chennai"/>
    <x v="0"/>
    <m/>
    <s v="Corporate"/>
    <n v="44"/>
    <x v="0"/>
  </r>
  <r>
    <s v="ORD-01588"/>
    <d v="2024-04-10T00:00:00"/>
    <s v="CUST-0053"/>
    <s v="PROD-045"/>
    <s v="R008"/>
    <n v="2"/>
    <n v="3020"/>
    <n v="20.8"/>
    <n v="4783.68"/>
    <s v="Pending"/>
    <s v="Delhi"/>
    <x v="5"/>
    <m/>
    <s v="Retail"/>
    <n v="53"/>
    <x v="0"/>
  </r>
  <r>
    <s v="ORD-01589"/>
    <d v="2024-09-28T00:00:00"/>
    <s v="CUST-0179"/>
    <s v="PROD-060"/>
    <s v="R002"/>
    <n v="3"/>
    <n v="190"/>
    <n v="10.7"/>
    <n v="509.01"/>
    <s v="Completed"/>
    <s v="Mumbai"/>
    <x v="1"/>
    <m/>
    <s v="SMB"/>
    <n v="54"/>
    <x v="0"/>
  </r>
  <r>
    <s v="ORD-01590"/>
    <d v="2024-01-03T00:00:00"/>
    <s v="CUST-0006"/>
    <s v="PROD-031"/>
    <s v="R012"/>
    <n v="4"/>
    <n v="3730"/>
    <n v="6.9"/>
    <n v="13890.52"/>
    <s v="Completed"/>
    <s v="Pune"/>
    <x v="3"/>
    <m/>
    <s v="SMB"/>
    <n v="44"/>
    <x v="0"/>
  </r>
  <r>
    <s v="ORD-01591"/>
    <d v="2024-07-30T00:00:00"/>
    <s v="CUST-0272"/>
    <s v="PROD-051"/>
    <s v="R025"/>
    <n v="9"/>
    <n v="3450"/>
    <n v="22.2"/>
    <n v="24156.9"/>
    <s v="Cancelled"/>
    <s v="Mumbai"/>
    <x v="1"/>
    <m/>
    <s v="SMB"/>
    <n v="47"/>
    <x v="0"/>
  </r>
  <r>
    <s v="ORD-01592"/>
    <d v="2024-02-14T00:00:00"/>
    <s v="CUST-0274"/>
    <s v="PROD-006"/>
    <s v="R002"/>
    <n v="3"/>
    <n v="3970"/>
    <n v="6.8"/>
    <n v="11100.12"/>
    <s v="Completed"/>
    <s v="Bengaluru"/>
    <x v="4"/>
    <m/>
    <s v="Corporate"/>
    <n v="36"/>
    <x v="2"/>
  </r>
  <r>
    <s v="ORD-01593"/>
    <d v="2024-06-19T00:00:00"/>
    <s v="CUST-0262"/>
    <s v="PROD-035"/>
    <s v="R022"/>
    <n v="3"/>
    <n v="1090"/>
    <n v="23.7"/>
    <n v="2495.0100000000002"/>
    <s v="Completed"/>
    <s v="Mumbai"/>
    <x v="3"/>
    <m/>
    <s v="Retail"/>
    <n v="52"/>
    <x v="0"/>
  </r>
  <r>
    <s v="ORD-01594"/>
    <d v="2024-01-09T00:00:00"/>
    <s v="CUST-0087"/>
    <s v="PROD-033"/>
    <s v="R023"/>
    <n v="3"/>
    <n v="2030"/>
    <n v="18.8"/>
    <n v="4945.08"/>
    <s v="Completed"/>
    <s v="Pune"/>
    <x v="3"/>
    <m/>
    <s v="SMB"/>
    <n v="49"/>
    <x v="0"/>
  </r>
  <r>
    <s v="ORD-01595"/>
    <d v="2024-03-16T00:00:00"/>
    <s v="CUST-0198"/>
    <s v="PROD-026"/>
    <s v="R008"/>
    <n v="2"/>
    <n v="4070"/>
    <n v="14.3"/>
    <n v="6975.98"/>
    <s v="Completed"/>
    <s v="Chennai"/>
    <x v="2"/>
    <m/>
    <s v="Corporate"/>
    <n v="22"/>
    <x v="3"/>
  </r>
  <r>
    <s v="ORD-01596"/>
    <d v="2024-04-28T00:00:00"/>
    <s v="CUST-0065"/>
    <s v="PROD-014"/>
    <s v="R028"/>
    <n v="3"/>
    <n v="3620"/>
    <n v="13.5"/>
    <n v="9393.9"/>
    <s v="Completed"/>
    <s v="Chennai"/>
    <x v="0"/>
    <m/>
    <s v="Corporate"/>
    <n v="49"/>
    <x v="0"/>
  </r>
  <r>
    <s v="ORD-01597"/>
    <d v="2024-11-27T00:00:00"/>
    <s v="CUST-0209"/>
    <s v="PROD-054"/>
    <s v="R001"/>
    <n v="4"/>
    <n v="1010"/>
    <n v="3.3"/>
    <n v="3906.68"/>
    <s v="Completed"/>
    <s v="Pune"/>
    <x v="1"/>
    <m/>
    <s v="Retail"/>
    <n v="31"/>
    <x v="2"/>
  </r>
  <r>
    <s v="ORD-01598"/>
    <d v="2024-07-18T00:00:00"/>
    <s v="CUST-0181"/>
    <s v="PROD-030"/>
    <s v="R005"/>
    <n v="7"/>
    <n v="970"/>
    <n v="0.1"/>
    <n v="6783.21"/>
    <s v="Completed"/>
    <s v="Delhi"/>
    <x v="2"/>
    <m/>
    <s v="SMB"/>
    <n v="38"/>
    <x v="1"/>
  </r>
  <r>
    <s v="ORD-01599"/>
    <d v="2024-10-06T00:00:00"/>
    <s v="CUST-0007"/>
    <s v="PROD-053"/>
    <s v="R027"/>
    <n v="5"/>
    <n v="470"/>
    <n v="18.3"/>
    <n v="1919.95"/>
    <s v="Refunded"/>
    <s v="Bengaluru"/>
    <x v="1"/>
    <m/>
    <s v="Retail"/>
    <n v="47"/>
    <x v="0"/>
  </r>
  <r>
    <s v="ORD-01600"/>
    <d v="2024-04-11T00:00:00"/>
    <s v="CUST-0050"/>
    <s v="PROD-011"/>
    <s v="R010"/>
    <n v="8"/>
    <n v="3450"/>
    <n v="5.0999999999999996"/>
    <n v="26192.400000000001"/>
    <s v="Refunded"/>
    <s v="Mumbai"/>
    <x v="0"/>
    <m/>
    <s v="Retail"/>
    <n v="37"/>
    <x v="2"/>
  </r>
  <r>
    <s v="ORD-01601"/>
    <d v="2024-06-22T00:00:00"/>
    <s v="CUST-0155"/>
    <s v="PROD-010"/>
    <s v="R022"/>
    <n v="1"/>
    <n v="2640"/>
    <n v="5.9"/>
    <n v="2484.2399999999998"/>
    <s v="Completed"/>
    <s v="Pune"/>
    <x v="4"/>
    <m/>
    <s v="Corporate"/>
    <n v="40"/>
    <x v="4"/>
  </r>
  <r>
    <s v="ORD-01602"/>
    <d v="2024-03-03T00:00:00"/>
    <s v="CUST-0085"/>
    <s v="PROD-003"/>
    <s v="R020"/>
    <n v="10"/>
    <n v="3570"/>
    <n v="21.5"/>
    <n v="28024.5"/>
    <s v="Completed"/>
    <s v="Chennai"/>
    <x v="4"/>
    <m/>
    <s v="Retail"/>
    <n v="26"/>
    <x v="3"/>
  </r>
  <r>
    <s v="ORD-01603"/>
    <d v="2024-10-16T00:00:00"/>
    <s v="CUST-0285"/>
    <s v="PROD-007"/>
    <s v="R016"/>
    <n v="10"/>
    <n v="1430"/>
    <n v="11.4"/>
    <n v="12669.8"/>
    <s v="Cancelled"/>
    <s v="Hyderabad"/>
    <x v="4"/>
    <m/>
    <s v="Retail"/>
    <n v="22"/>
    <x v="3"/>
  </r>
  <r>
    <s v="ORD-01604"/>
    <d v="2024-12-17T00:00:00"/>
    <s v="CUST-0148"/>
    <s v="PROD-057"/>
    <s v="R013"/>
    <n v="7"/>
    <n v="960"/>
    <n v="22.9"/>
    <n v="5181.12"/>
    <s v="Completed"/>
    <s v="Chennai"/>
    <x v="1"/>
    <m/>
    <s v="Retail"/>
    <n v="32"/>
    <x v="4"/>
  </r>
  <r>
    <s v="ORD-01605"/>
    <d v="2024-11-10T00:00:00"/>
    <s v="CUST-0252"/>
    <s v="PROD-036"/>
    <s v="R010"/>
    <n v="8"/>
    <n v="3250"/>
    <n v="1.9"/>
    <n v="25506"/>
    <s v="Completed"/>
    <s v="Bengaluru"/>
    <x v="3"/>
    <m/>
    <s v="Retail"/>
    <n v="27"/>
    <x v="4"/>
  </r>
  <r>
    <s v="ORD-01606"/>
    <d v="2024-03-05T00:00:00"/>
    <s v="CUST-0141"/>
    <s v="PROD-051"/>
    <s v="R018"/>
    <n v="9"/>
    <n v="3450"/>
    <n v="18"/>
    <n v="25461"/>
    <s v="Completed"/>
    <s v="Hyderabad"/>
    <x v="1"/>
    <m/>
    <s v="Corporate"/>
    <n v="22"/>
    <x v="4"/>
  </r>
  <r>
    <s v="ORD-01607"/>
    <d v="2024-02-21T00:00:00"/>
    <s v="CUST-0101"/>
    <s v="PROD-024"/>
    <s v="R016"/>
    <n v="5"/>
    <n v="2270"/>
    <n v="11.5"/>
    <n v="10044.75"/>
    <s v="Completed"/>
    <s v="Hyderabad"/>
    <x v="2"/>
    <m/>
    <s v="SMB"/>
    <n v="40"/>
    <x v="3"/>
  </r>
  <r>
    <s v="ORD-01608"/>
    <d v="2024-06-06T00:00:00"/>
    <s v="CUST-0223"/>
    <s v="PROD-045"/>
    <s v="R019"/>
    <n v="6"/>
    <n v="3020"/>
    <n v="12.6"/>
    <n v="15836.88"/>
    <s v="Completed"/>
    <s v="Bengaluru"/>
    <x v="5"/>
    <m/>
    <s v="Retail"/>
    <n v="46"/>
    <x v="0"/>
  </r>
  <r>
    <s v="ORD-01609"/>
    <d v="2024-01-26T00:00:00"/>
    <s v="CUST-0197"/>
    <s v="PROD-010"/>
    <s v="R008"/>
    <n v="8"/>
    <n v="2640"/>
    <n v="14.5"/>
    <n v="18057.599999999999"/>
    <s v="Refunded"/>
    <s v="Bengaluru"/>
    <x v="4"/>
    <m/>
    <s v="Retail"/>
    <n v="55"/>
    <x v="0"/>
  </r>
  <r>
    <s v="ORD-01610"/>
    <d v="2024-09-26T00:00:00"/>
    <s v="CUST-0260"/>
    <s v="PROD-024"/>
    <s v="R027"/>
    <n v="2"/>
    <n v="2270"/>
    <n v="27"/>
    <n v="3314.2"/>
    <s v="Completed"/>
    <s v="Bengaluru"/>
    <x v="2"/>
    <m/>
    <s v="Retail"/>
    <n v="42"/>
    <x v="0"/>
  </r>
  <r>
    <s v="ORD-01611"/>
    <d v="2024-12-10T00:00:00"/>
    <s v="CUST-0180"/>
    <s v="PROD-021"/>
    <s v="R027"/>
    <n v="8"/>
    <n v="2760"/>
    <n v="18"/>
    <n v="18105.599999999999"/>
    <s v="Cancelled"/>
    <s v="Chennai"/>
    <x v="2"/>
    <m/>
    <s v="Retail"/>
    <n v="36"/>
    <x v="2"/>
  </r>
  <r>
    <s v="ORD-01612"/>
    <d v="2024-04-16T00:00:00"/>
    <s v="CUST-0166"/>
    <s v="PROD-014"/>
    <s v="R023"/>
    <n v="8"/>
    <n v="3620"/>
    <n v="7.1"/>
    <n v="26903.84"/>
    <s v="Completed"/>
    <s v="Hyderabad"/>
    <x v="0"/>
    <m/>
    <s v="Retail"/>
    <n v="31"/>
    <x v="2"/>
  </r>
  <r>
    <s v="ORD-01613"/>
    <d v="2024-07-04T00:00:00"/>
    <s v="CUST-0062"/>
    <s v="PROD-042"/>
    <s v="R021"/>
    <n v="8"/>
    <n v="2290"/>
    <n v="16.399999999999999"/>
    <n v="15315.52"/>
    <s v="Completed"/>
    <s v="Pune"/>
    <x v="5"/>
    <m/>
    <s v="Retail"/>
    <n v="54"/>
    <x v="0"/>
  </r>
  <r>
    <s v="ORD-01614"/>
    <d v="2024-06-19T00:00:00"/>
    <s v="CUST-0130"/>
    <s v="PROD-044"/>
    <s v="R019"/>
    <n v="3"/>
    <n v="1650"/>
    <n v="1.8"/>
    <n v="4860.8999999999996"/>
    <s v="Cancelled"/>
    <s v="Bengaluru"/>
    <x v="5"/>
    <m/>
    <s v="Corporate"/>
    <n v="41"/>
    <x v="0"/>
  </r>
  <r>
    <s v="ORD-01615"/>
    <d v="2024-12-16T00:00:00"/>
    <s v="CUST-0162"/>
    <s v="PROD-001"/>
    <s v="R018"/>
    <n v="3"/>
    <n v="5330"/>
    <n v="22.2"/>
    <n v="12440.22"/>
    <s v="Completed"/>
    <s v="Mumbai"/>
    <x v="4"/>
    <m/>
    <s v="Corporate"/>
    <n v="35"/>
    <x v="3"/>
  </r>
  <r>
    <s v="ORD-01616"/>
    <d v="2024-08-30T00:00:00"/>
    <s v="CUST-0153"/>
    <s v="PROD-040"/>
    <s v="R022"/>
    <n v="7"/>
    <n v="1080"/>
    <n v="17.899999999999999"/>
    <n v="6206.76"/>
    <s v="Completed"/>
    <s v="Mumbai"/>
    <x v="3"/>
    <m/>
    <s v="Retail"/>
    <n v="35"/>
    <x v="3"/>
  </r>
  <r>
    <s v="ORD-01617"/>
    <d v="2024-06-17T00:00:00"/>
    <s v="CUST-0071"/>
    <s v="PROD-009"/>
    <s v="R022"/>
    <n v="10"/>
    <n v="1220"/>
    <n v="5.7"/>
    <n v="11504.6"/>
    <s v="Completed"/>
    <s v="Delhi"/>
    <x v="4"/>
    <m/>
    <s v="Corporate"/>
    <n v="46"/>
    <x v="0"/>
  </r>
  <r>
    <s v="ORD-01618"/>
    <d v="2024-12-22T00:00:00"/>
    <s v="CUST-0200"/>
    <s v="PROD-037"/>
    <s v="R030"/>
    <n v="10"/>
    <n v="660"/>
    <n v="7.5"/>
    <n v="6105"/>
    <s v="Completed"/>
    <s v="Hyderabad"/>
    <x v="3"/>
    <m/>
    <s v="Corporate"/>
    <n v="46"/>
    <x v="0"/>
  </r>
  <r>
    <s v="ORD-01619"/>
    <d v="2024-09-22T00:00:00"/>
    <s v="CUST-0266"/>
    <s v="PROD-040"/>
    <s v="R020"/>
    <n v="6"/>
    <n v="1080"/>
    <n v="28.9"/>
    <n v="4607.28"/>
    <s v="Completed"/>
    <s v="Pune"/>
    <x v="3"/>
    <m/>
    <s v="Retail"/>
    <n v="65"/>
    <x v="0"/>
  </r>
  <r>
    <s v="ORD-01620"/>
    <d v="2024-10-19T00:00:00"/>
    <s v="CUST-0171"/>
    <s v="PROD-022"/>
    <s v="R020"/>
    <n v="7"/>
    <n v="2270"/>
    <n v="1.4"/>
    <n v="15667.54"/>
    <s v="Completed"/>
    <s v="Chennai"/>
    <x v="2"/>
    <m/>
    <s v="Corporate"/>
    <n v="30"/>
    <x v="3"/>
  </r>
  <r>
    <s v="ORD-01621"/>
    <d v="2024-07-02T00:00:00"/>
    <s v="CUST-0221"/>
    <s v="PROD-032"/>
    <s v="R028"/>
    <n v="3"/>
    <n v="370"/>
    <n v="9.6"/>
    <n v="1003.44"/>
    <s v="Refunded"/>
    <s v="Delhi"/>
    <x v="3"/>
    <m/>
    <s v="SMB"/>
    <n v="29"/>
    <x v="3"/>
  </r>
  <r>
    <s v="ORD-01622"/>
    <d v="2024-03-14T00:00:00"/>
    <s v="CUST-0038"/>
    <s v="PROD-030"/>
    <s v="R009"/>
    <n v="9"/>
    <n v="970"/>
    <n v="29.7"/>
    <n v="6137.19"/>
    <s v="Completed"/>
    <s v="Mumbai"/>
    <x v="2"/>
    <m/>
    <s v="Retail"/>
    <n v="57"/>
    <x v="0"/>
  </r>
  <r>
    <s v="ORD-00613"/>
    <d v="2024-04-23T00:00:00"/>
    <s v="CUST-0174"/>
    <s v="PROD-016"/>
    <s v="R003"/>
    <n v="1"/>
    <n v="620"/>
    <n v="10.4"/>
    <n v="555.52"/>
    <s v="Cancelled"/>
    <s v="Pune"/>
    <x v="0"/>
    <m/>
    <s v="Retail"/>
    <n v="54"/>
    <x v="0"/>
  </r>
  <r>
    <s v="ORD-01624"/>
    <d v="2024-08-29T00:00:00"/>
    <s v="CUST-0054"/>
    <s v="PROD-028"/>
    <s v="R029"/>
    <n v="5"/>
    <n v="3660"/>
    <n v="8"/>
    <n v="16836"/>
    <s v="Completed"/>
    <s v="Mumbai"/>
    <x v="2"/>
    <m/>
    <s v="Corporate"/>
    <n v="62"/>
    <x v="0"/>
  </r>
  <r>
    <s v="ORD-01625"/>
    <d v="2024-12-02T00:00:00"/>
    <s v="CUST-0071"/>
    <s v="PROD-029"/>
    <s v="R024"/>
    <n v="7"/>
    <n v="2210"/>
    <n v="13.7"/>
    <n v="13350.61"/>
    <s v="Refunded"/>
    <s v="Delhi"/>
    <x v="2"/>
    <m/>
    <s v="Corporate"/>
    <n v="46"/>
    <x v="0"/>
  </r>
  <r>
    <s v="ORD-01626"/>
    <d v="2024-12-05T00:00:00"/>
    <s v="CUST-0004"/>
    <s v="PROD-059"/>
    <s v="R028"/>
    <n v="1"/>
    <n v="3780"/>
    <n v="11.5"/>
    <n v="3345.3"/>
    <s v="Completed"/>
    <s v="Delhi"/>
    <x v="1"/>
    <m/>
    <s v="Retail"/>
    <n v="53"/>
    <x v="0"/>
  </r>
  <r>
    <s v="ORD-01627"/>
    <d v="2024-11-05T00:00:00"/>
    <s v="CUST-0033"/>
    <s v="PROD-002"/>
    <s v="R005"/>
    <n v="10"/>
    <n v="2600"/>
    <n v="29.4"/>
    <n v="18356"/>
    <s v="Completed"/>
    <s v="Delhi"/>
    <x v="4"/>
    <m/>
    <s v="Retail"/>
    <n v="35"/>
    <x v="2"/>
  </r>
  <r>
    <s v="ORD-01628"/>
    <d v="2024-03-14T00:00:00"/>
    <s v="CUST-0079"/>
    <s v="PROD-027"/>
    <s v="R017"/>
    <n v="3"/>
    <n v="3780"/>
    <n v="14.4"/>
    <n v="9707.0400000000009"/>
    <s v="Completed"/>
    <s v="Mumbai"/>
    <x v="2"/>
    <m/>
    <s v="Corporate"/>
    <n v="60"/>
    <x v="0"/>
  </r>
  <r>
    <s v="ORD-01629"/>
    <d v="2024-05-09T00:00:00"/>
    <s v="CUST-0176"/>
    <s v="PROD-010"/>
    <s v="R003"/>
    <n v="10"/>
    <n v="2640"/>
    <n v="26.8"/>
    <n v="19324.8"/>
    <s v="Pending"/>
    <s v="Bengaluru"/>
    <x v="4"/>
    <m/>
    <s v="SMB"/>
    <n v="34"/>
    <x v="3"/>
  </r>
  <r>
    <s v="ORD-01630"/>
    <d v="2024-02-25T00:00:00"/>
    <s v="CUST-0254"/>
    <s v="PROD-035"/>
    <s v="R013"/>
    <n v="3"/>
    <n v="1090"/>
    <n v="9.1"/>
    <n v="2972.43"/>
    <s v="Completed"/>
    <s v="Bengaluru"/>
    <x v="3"/>
    <m/>
    <s v="Retail"/>
    <n v="35"/>
    <x v="1"/>
  </r>
  <r>
    <s v="ORD-01631"/>
    <d v="2024-10-09T00:00:00"/>
    <s v="CUST-0212"/>
    <s v="PROD-011"/>
    <s v="R024"/>
    <n v="3"/>
    <n v="3450"/>
    <n v="23"/>
    <n v="7969.5"/>
    <s v="Pending"/>
    <s v="Chennai"/>
    <x v="0"/>
    <m/>
    <s v="SMB"/>
    <n v="46"/>
    <x v="0"/>
  </r>
  <r>
    <s v="ORD-01632"/>
    <d v="2024-03-14T00:00:00"/>
    <s v="CUST-0109"/>
    <s v="PROD-049"/>
    <s v="R015"/>
    <n v="1"/>
    <n v="960"/>
    <n v="1.1000000000000001"/>
    <n v="949.44"/>
    <s v="Completed"/>
    <s v="Pune"/>
    <x v="5"/>
    <m/>
    <s v="Retail"/>
    <n v="42"/>
    <x v="0"/>
  </r>
  <r>
    <s v="ORD-01633"/>
    <d v="2024-10-12T00:00:00"/>
    <s v="CUST-0087"/>
    <s v="PROD-028"/>
    <s v="R030"/>
    <n v="9"/>
    <n v="3660"/>
    <n v="9"/>
    <n v="29975.4"/>
    <s v="Completed"/>
    <s v="Pune"/>
    <x v="2"/>
    <m/>
    <s v="SMB"/>
    <n v="49"/>
    <x v="0"/>
  </r>
  <r>
    <s v="ORD-01634"/>
    <d v="2024-05-08T00:00:00"/>
    <s v="CUST-0167"/>
    <s v="PROD-031"/>
    <s v="R008"/>
    <n v="3"/>
    <n v="3730"/>
    <n v="15.8"/>
    <n v="9421.98"/>
    <s v="Completed"/>
    <s v="Delhi"/>
    <x v="3"/>
    <m/>
    <s v="Retail"/>
    <n v="43"/>
    <x v="0"/>
  </r>
  <r>
    <s v="ORD-01635"/>
    <d v="2024-02-25T00:00:00"/>
    <s v="CUST-0079"/>
    <s v="PROD-026"/>
    <s v="R004"/>
    <n v="6"/>
    <n v="4070"/>
    <n v="6.2"/>
    <n v="22905.96"/>
    <s v="Completed"/>
    <s v="Mumbai"/>
    <x v="2"/>
    <m/>
    <s v="Corporate"/>
    <n v="60"/>
    <x v="0"/>
  </r>
  <r>
    <s v="ORD-01636"/>
    <d v="2024-02-07T00:00:00"/>
    <s v="CUST-0115"/>
    <s v="PROD-008"/>
    <s v="R022"/>
    <n v="1"/>
    <n v="2660"/>
    <n v="14.6"/>
    <n v="2271.64"/>
    <s v="Completed"/>
    <s v="Mumbai"/>
    <x v="4"/>
    <m/>
    <s v="SMB"/>
    <n v="65"/>
    <x v="0"/>
  </r>
  <r>
    <s v="ORD-01637"/>
    <d v="2024-03-27T00:00:00"/>
    <s v="CUST-0184"/>
    <s v="PROD-033"/>
    <s v="R003"/>
    <n v="3"/>
    <n v="2030"/>
    <n v="13.3"/>
    <n v="5280.03"/>
    <s v="Cancelled"/>
    <s v="Pune"/>
    <x v="3"/>
    <m/>
    <s v="Retail"/>
    <n v="63"/>
    <x v="0"/>
  </r>
  <r>
    <s v="ORD-01638"/>
    <d v="2024-04-11T00:00:00"/>
    <s v="CUST-0084"/>
    <s v="PROD-028"/>
    <s v="R001"/>
    <n v="4"/>
    <n v="3660"/>
    <n v="2.2000000000000002"/>
    <n v="14317.92"/>
    <s v="Completed"/>
    <s v="Chennai"/>
    <x v="2"/>
    <m/>
    <s v="Retail"/>
    <n v="28"/>
    <x v="1"/>
  </r>
  <r>
    <s v="ORD-01639"/>
    <d v="2024-03-13T00:00:00"/>
    <s v="CUST-0186"/>
    <s v="PROD-008"/>
    <s v="R006"/>
    <n v="2"/>
    <n v="2660"/>
    <n v="7.2"/>
    <n v="4936.96"/>
    <s v="Cancelled"/>
    <s v="Bengaluru"/>
    <x v="4"/>
    <m/>
    <s v="Retail"/>
    <n v="42"/>
    <x v="0"/>
  </r>
  <r>
    <s v="ORD-01640"/>
    <d v="2024-11-28T00:00:00"/>
    <s v="CUST-0077"/>
    <s v="PROD-046"/>
    <s v="R013"/>
    <n v="2"/>
    <n v="4880"/>
    <n v="23.8"/>
    <n v="7437.12"/>
    <s v="Completed"/>
    <s v="Hyderabad"/>
    <x v="5"/>
    <m/>
    <s v="SMB"/>
    <n v="48"/>
    <x v="0"/>
  </r>
  <r>
    <s v="ORD-01641"/>
    <d v="2024-04-29T00:00:00"/>
    <s v="CUST-0093"/>
    <s v="PROD-011"/>
    <s v="R011"/>
    <n v="1"/>
    <n v="3450"/>
    <n v="1.7"/>
    <n v="3391.35"/>
    <s v="Completed"/>
    <s v="Pune"/>
    <x v="0"/>
    <m/>
    <s v="Retail"/>
    <n v="36"/>
    <x v="4"/>
  </r>
  <r>
    <s v="ORD-01642"/>
    <d v="2024-09-15T00:00:00"/>
    <s v="CUST-0018"/>
    <s v="PROD-045"/>
    <s v="R023"/>
    <n v="4"/>
    <n v="3020"/>
    <n v="17.8"/>
    <n v="9929.76"/>
    <s v="Completed"/>
    <s v="Pune"/>
    <x v="5"/>
    <m/>
    <s v="SMB"/>
    <n v="54"/>
    <x v="0"/>
  </r>
  <r>
    <s v="ORD-01643"/>
    <d v="2024-08-08T00:00:00"/>
    <s v="CUST-0034"/>
    <s v="PROD-056"/>
    <s v="R021"/>
    <n v="6"/>
    <n v="6940"/>
    <n v="8.9"/>
    <n v="37934.04"/>
    <s v="Completed"/>
    <s v="Delhi"/>
    <x v="1"/>
    <m/>
    <s v="Retail"/>
    <n v="47"/>
    <x v="0"/>
  </r>
  <r>
    <s v="ORD-01644"/>
    <d v="2024-08-19T00:00:00"/>
    <s v="CUST-0111"/>
    <s v="PROD-021"/>
    <s v="R023"/>
    <n v="10"/>
    <n v="2760"/>
    <n v="8.9"/>
    <n v="25143.599999999999"/>
    <s v="Completed"/>
    <s v="Chennai"/>
    <x v="2"/>
    <m/>
    <s v="SMB"/>
    <n v="64"/>
    <x v="0"/>
  </r>
  <r>
    <s v="ORD-01645"/>
    <d v="2024-01-19T00:00:00"/>
    <s v="CUST-0210"/>
    <s v="PROD-049"/>
    <s v="R020"/>
    <n v="8"/>
    <n v="960"/>
    <n v="20.9"/>
    <n v="6074.88"/>
    <s v="Completed"/>
    <s v="Pune"/>
    <x v="5"/>
    <m/>
    <s v="Corporate"/>
    <n v="48"/>
    <x v="0"/>
  </r>
  <r>
    <s v="ORD-01646"/>
    <d v="2024-07-25T00:00:00"/>
    <s v="CUST-0037"/>
    <s v="PROD-049"/>
    <s v="R012"/>
    <n v="4"/>
    <n v="960"/>
    <n v="29.1"/>
    <n v="2722.56"/>
    <s v="Completed"/>
    <s v="Bengaluru"/>
    <x v="5"/>
    <m/>
    <s v="Retail"/>
    <n v="52"/>
    <x v="0"/>
  </r>
  <r>
    <s v="ORD-01647"/>
    <d v="2024-04-28T00:00:00"/>
    <s v="CUST-0192"/>
    <s v="PROD-030"/>
    <s v="R021"/>
    <n v="1"/>
    <n v="970"/>
    <n v="8.4"/>
    <n v="888.52"/>
    <s v="Cancelled"/>
    <s v="Bengaluru"/>
    <x v="2"/>
    <m/>
    <s v="Retail"/>
    <n v="55"/>
    <x v="0"/>
  </r>
  <r>
    <s v="ORD-01648"/>
    <d v="2024-04-18T00:00:00"/>
    <s v="CUST-0038"/>
    <s v="PROD-050"/>
    <s v="R023"/>
    <n v="5"/>
    <n v="6080"/>
    <n v="17.600000000000001"/>
    <n v="25049.599999999999"/>
    <s v="Completed"/>
    <s v="Mumbai"/>
    <x v="5"/>
    <m/>
    <s v="Retail"/>
    <n v="57"/>
    <x v="0"/>
  </r>
  <r>
    <s v="ORD-01649"/>
    <d v="2024-08-21T00:00:00"/>
    <s v="CUST-0034"/>
    <s v="PROD-028"/>
    <s v="R013"/>
    <n v="4"/>
    <n v="3660"/>
    <n v="21.8"/>
    <n v="11448.48"/>
    <s v="Pending"/>
    <s v="Delhi"/>
    <x v="2"/>
    <m/>
    <s v="Retail"/>
    <n v="47"/>
    <x v="0"/>
  </r>
  <r>
    <s v="ORD-01650"/>
    <d v="2024-06-19T00:00:00"/>
    <s v="CUST-0248"/>
    <s v="PROD-031"/>
    <s v="R008"/>
    <n v="6"/>
    <n v="3730"/>
    <n v="13.3"/>
    <n v="19403.46"/>
    <s v="Cancelled"/>
    <s v="Chennai"/>
    <x v="3"/>
    <m/>
    <s v="SMB"/>
    <n v="57"/>
    <x v="0"/>
  </r>
  <r>
    <s v="ORD-01651"/>
    <d v="2024-11-29T00:00:00"/>
    <s v="CUST-0194"/>
    <s v="PROD-004"/>
    <s v="R029"/>
    <n v="8"/>
    <n v="3870"/>
    <n v="21.2"/>
    <n v="24396.48"/>
    <s v="Pending"/>
    <s v="Delhi"/>
    <x v="4"/>
    <m/>
    <s v="SMB"/>
    <n v="55"/>
    <x v="0"/>
  </r>
  <r>
    <s v="ORD-01652"/>
    <d v="2024-04-08T00:00:00"/>
    <s v="CUST-0114"/>
    <s v="PROD-021"/>
    <s v="R016"/>
    <n v="4"/>
    <n v="2760"/>
    <n v="14"/>
    <n v="9494.4"/>
    <s v="Completed"/>
    <s v="Bengaluru"/>
    <x v="2"/>
    <m/>
    <s v="Corporate"/>
    <n v="42"/>
    <x v="0"/>
  </r>
  <r>
    <s v="ORD-01653"/>
    <d v="2024-11-01T00:00:00"/>
    <s v="CUST-0118"/>
    <s v="PROD-023"/>
    <s v="R020"/>
    <n v="5"/>
    <n v="2380"/>
    <n v="16.399999999999999"/>
    <n v="9948.4"/>
    <s v="Completed"/>
    <s v="Hyderabad"/>
    <x v="2"/>
    <m/>
    <s v="Retail"/>
    <n v="26"/>
    <x v="4"/>
  </r>
  <r>
    <s v="ORD-01654"/>
    <d v="2024-01-16T00:00:00"/>
    <s v="CUST-9719"/>
    <s v="PROD-050"/>
    <s v="R015"/>
    <n v="2"/>
    <n v="6080"/>
    <n v="20.100000000000001"/>
    <n v="9715.84"/>
    <s v="Cancelled"/>
    <s v="Mumbai"/>
    <x v="5"/>
    <m/>
    <e v="#N/A"/>
    <e v="#N/A"/>
    <x v="0"/>
  </r>
  <r>
    <s v="ORD-01655"/>
    <d v="2024-10-03T00:00:00"/>
    <s v="CUST-0232"/>
    <s v="PROD-016"/>
    <s v="R016"/>
    <n v="2"/>
    <n v="620"/>
    <n v="4.3"/>
    <n v="1186.68"/>
    <s v="Completed"/>
    <s v="Hyderabad"/>
    <x v="0"/>
    <m/>
    <s v="Retail"/>
    <n v="38"/>
    <x v="4"/>
  </r>
  <r>
    <s v="ORD-01656"/>
    <d v="2024-12-28T00:00:00"/>
    <s v="CUST-0240"/>
    <s v="PROD-004"/>
    <s v="R012"/>
    <n v="7"/>
    <n v="3870"/>
    <n v="5.9"/>
    <n v="25491.69"/>
    <s v="Completed"/>
    <s v="Chennai"/>
    <x v="4"/>
    <m/>
    <s v="Corporate"/>
    <n v="35"/>
    <x v="4"/>
  </r>
  <r>
    <s v="ORD-01657"/>
    <d v="2024-04-30T00:00:00"/>
    <s v="CUST-0227"/>
    <s v="PROD-003"/>
    <s v="R020"/>
    <n v="8"/>
    <n v="3570"/>
    <n v="24.6"/>
    <n v="21534.240000000002"/>
    <s v="Completed"/>
    <s v="Bengaluru"/>
    <x v="4"/>
    <m/>
    <s v="SMB"/>
    <n v="44"/>
    <x v="0"/>
  </r>
  <r>
    <s v="ORD-01658"/>
    <d v="2024-12-27T00:00:00"/>
    <s v="CUST-0234"/>
    <s v="PROD-026"/>
    <s v="R010"/>
    <n v="1"/>
    <n v="4070"/>
    <n v="29.1"/>
    <n v="2885.63"/>
    <s v="Pending"/>
    <s v="Bengaluru"/>
    <x v="2"/>
    <m/>
    <s v="Retail"/>
    <n v="34"/>
    <x v="3"/>
  </r>
  <r>
    <s v="ORD-01659"/>
    <d v="2024-10-03T00:00:00"/>
    <s v="CUST-0041"/>
    <s v="PROD-020"/>
    <s v="R017"/>
    <n v="1"/>
    <n v="820"/>
    <n v="17.899999999999999"/>
    <n v="673.22"/>
    <s v="Completed"/>
    <s v="Bengaluru"/>
    <x v="0"/>
    <m/>
    <s v="SMB"/>
    <n v="26"/>
    <x v="4"/>
  </r>
  <r>
    <s v="ORD-01660"/>
    <d v="2024-12-17T00:00:00"/>
    <s v="CUST-0129"/>
    <s v="PROD-045"/>
    <s v="R029"/>
    <n v="5"/>
    <n v="3020"/>
    <n v="26.2"/>
    <n v="11143.8"/>
    <s v="Completed"/>
    <s v="Hyderabad"/>
    <x v="5"/>
    <m/>
    <s v="Retail"/>
    <n v="29"/>
    <x v="3"/>
  </r>
  <r>
    <s v="ORD-01661"/>
    <d v="2024-04-29T00:00:00"/>
    <s v="CUST-0141"/>
    <s v="PROD-018"/>
    <s v="R022"/>
    <n v="10"/>
    <n v="3560"/>
    <n v="15.4"/>
    <n v="30117.599999999999"/>
    <s v="Refunded"/>
    <s v="Hyderabad"/>
    <x v="0"/>
    <m/>
    <s v="Corporate"/>
    <n v="22"/>
    <x v="2"/>
  </r>
  <r>
    <s v="ORD-01662"/>
    <d v="2024-06-24T00:00:00"/>
    <s v="CUST-0282"/>
    <s v="PROD-043"/>
    <s v="R001"/>
    <n v="3"/>
    <n v="3350"/>
    <n v="8.1"/>
    <n v="9235.9500000000007"/>
    <s v="Completed"/>
    <s v="Hyderabad"/>
    <x v="5"/>
    <m/>
    <s v="Corporate"/>
    <n v="29"/>
    <x v="3"/>
  </r>
  <r>
    <s v="ORD-01663"/>
    <d v="2024-09-07T00:00:00"/>
    <s v="CUST-0269"/>
    <s v="PROD-042"/>
    <s v="R025"/>
    <n v="10"/>
    <n v="2290"/>
    <n v="7"/>
    <n v="21297"/>
    <s v="Completed"/>
    <s v="Pune"/>
    <x v="5"/>
    <m/>
    <s v="Retail"/>
    <n v="48"/>
    <x v="0"/>
  </r>
  <r>
    <s v="ORD-01664"/>
    <d v="2024-07-10T00:00:00"/>
    <s v="CUST-0239"/>
    <s v="PROD-028"/>
    <s v="R003"/>
    <n v="6"/>
    <n v="3660"/>
    <n v="29.9"/>
    <n v="15393.96"/>
    <s v="Completed"/>
    <s v="Mumbai"/>
    <x v="2"/>
    <m/>
    <s v="Retail"/>
    <n v="61"/>
    <x v="0"/>
  </r>
  <r>
    <s v="ORD-01665"/>
    <d v="2024-05-14T00:00:00"/>
    <s v="CUST-0075"/>
    <s v="PROD-010"/>
    <s v="R013"/>
    <n v="8"/>
    <n v="2640"/>
    <n v="4.2"/>
    <n v="20232.96"/>
    <s v="Refunded"/>
    <s v="Mumbai"/>
    <x v="4"/>
    <m/>
    <s v="Corporate"/>
    <n v="55"/>
    <x v="0"/>
  </r>
  <r>
    <s v="ORD-01666"/>
    <d v="2024-04-04T00:00:00"/>
    <s v="CUST-0184"/>
    <s v="PROD-032"/>
    <s v="R006"/>
    <n v="5"/>
    <n v="370"/>
    <n v="6"/>
    <n v="1739"/>
    <s v="Completed"/>
    <s v="Pune"/>
    <x v="3"/>
    <m/>
    <s v="Retail"/>
    <n v="63"/>
    <x v="0"/>
  </r>
  <r>
    <s v="ORD-01667"/>
    <d v="2024-03-26T00:00:00"/>
    <s v="CUST-0144"/>
    <s v="PROD-024"/>
    <s v="R007"/>
    <n v="9"/>
    <n v="2270"/>
    <n v="4.7"/>
    <n v="19469.79"/>
    <s v="Completed"/>
    <s v="Chennai"/>
    <x v="2"/>
    <m/>
    <s v="Retail"/>
    <n v="49"/>
    <x v="0"/>
  </r>
  <r>
    <s v="ORD-01668"/>
    <d v="2024-05-02T00:00:00"/>
    <s v="CUST-0039"/>
    <s v="PROD-037"/>
    <s v="R011"/>
    <n v="5"/>
    <n v="660"/>
    <n v="21"/>
    <n v="2607"/>
    <s v="Completed"/>
    <s v="Bengaluru"/>
    <x v="3"/>
    <m/>
    <s v="Retail"/>
    <n v="37"/>
    <x v="1"/>
  </r>
  <r>
    <s v="ORD-01669"/>
    <d v="2024-04-25T00:00:00"/>
    <s v="CUST-9765"/>
    <s v="PROD-057"/>
    <s v="R003"/>
    <n v="2"/>
    <n v="960"/>
    <n v="7.3"/>
    <n v="1779.84"/>
    <s v="Completed"/>
    <s v="Bengaluru"/>
    <x v="1"/>
    <m/>
    <e v="#N/A"/>
    <e v="#N/A"/>
    <x v="0"/>
  </r>
  <r>
    <s v="ORD-01670"/>
    <d v="2024-08-05T00:00:00"/>
    <s v="CUST-0159"/>
    <s v="PROD-048"/>
    <s v="R009"/>
    <n v="3"/>
    <n v="5100"/>
    <n v="21"/>
    <n v="12087"/>
    <s v="Completed"/>
    <s v="Hyderabad"/>
    <x v="5"/>
    <m/>
    <s v="Retail"/>
    <n v="32"/>
    <x v="1"/>
  </r>
  <r>
    <s v="ORD-01671"/>
    <d v="2024-10-01T00:00:00"/>
    <s v="CUST-0168"/>
    <s v="PROD-012"/>
    <s v="R004"/>
    <n v="3"/>
    <n v="3160"/>
    <n v="13.5"/>
    <n v="8200.2000000000007"/>
    <s v="Completed"/>
    <s v="Pune"/>
    <x v="0"/>
    <m/>
    <s v="Retail"/>
    <n v="25"/>
    <x v="4"/>
  </r>
  <r>
    <s v="ORD-01672"/>
    <d v="2024-08-20T00:00:00"/>
    <s v="CUST-9552"/>
    <s v="PROD-041"/>
    <s v="R005"/>
    <n v="9"/>
    <n v="1540"/>
    <n v="18.2"/>
    <n v="11337.48"/>
    <s v="Cancelled"/>
    <s v="Bengaluru"/>
    <x v="5"/>
    <m/>
    <e v="#N/A"/>
    <e v="#N/A"/>
    <x v="0"/>
  </r>
  <r>
    <s v="ORD-01673"/>
    <d v="2024-05-19T00:00:00"/>
    <s v="CUST-0056"/>
    <s v="PROD-047"/>
    <s v="R024"/>
    <n v="4"/>
    <n v="3450"/>
    <n v="26.4"/>
    <n v="10156.799999999999"/>
    <s v="Pending"/>
    <s v="Bengaluru"/>
    <x v="5"/>
    <m/>
    <s v="SMB"/>
    <n v="46"/>
    <x v="0"/>
  </r>
  <r>
    <s v="ORD-01674"/>
    <d v="2024-11-02T00:00:00"/>
    <s v="CUST-0239"/>
    <s v="PROD-023"/>
    <s v="R026"/>
    <n v="4"/>
    <n v="2380"/>
    <n v="6.9"/>
    <n v="8863.1200000000008"/>
    <s v="Completed"/>
    <s v="Mumbai"/>
    <x v="2"/>
    <m/>
    <s v="Retail"/>
    <n v="61"/>
    <x v="0"/>
  </r>
  <r>
    <s v="ORD-01675"/>
    <d v="2024-05-07T00:00:00"/>
    <s v="CUST-0168"/>
    <s v="PROD-031"/>
    <s v="R003"/>
    <n v="2"/>
    <n v="3730"/>
    <n v="22.9"/>
    <n v="5751.66"/>
    <s v="Completed"/>
    <s v="Pune"/>
    <x v="3"/>
    <m/>
    <s v="Retail"/>
    <n v="25"/>
    <x v="2"/>
  </r>
  <r>
    <s v="ORD-01676"/>
    <d v="2024-09-14T00:00:00"/>
    <s v="CUST-0012"/>
    <s v="PROD-036"/>
    <s v="R002"/>
    <n v="7"/>
    <n v="3250"/>
    <n v="6"/>
    <n v="21385"/>
    <s v="Completed"/>
    <s v="Pune"/>
    <x v="3"/>
    <m/>
    <s v="Retail"/>
    <n v="43"/>
    <x v="0"/>
  </r>
  <r>
    <s v="ORD-01677"/>
    <d v="2024-08-15T00:00:00"/>
    <s v="CUST-0057"/>
    <s v="PROD-053"/>
    <s v="R020"/>
    <n v="9"/>
    <n v="470"/>
    <n v="11.6"/>
    <n v="3739.32"/>
    <s v="Completed"/>
    <s v="Pune"/>
    <x v="1"/>
    <m/>
    <s v="Retail"/>
    <n v="35"/>
    <x v="1"/>
  </r>
  <r>
    <s v="ORD-01678"/>
    <d v="2024-10-09T00:00:00"/>
    <s v="CUST-0030"/>
    <s v="PROD-042"/>
    <s v="R026"/>
    <n v="5"/>
    <n v="2290"/>
    <n v="27.6"/>
    <n v="8289.7999999999993"/>
    <s v="Completed"/>
    <s v="Bengaluru"/>
    <x v="5"/>
    <m/>
    <s v="Corporate"/>
    <n v="43"/>
    <x v="0"/>
  </r>
  <r>
    <s v="ORD-01679"/>
    <d v="2024-06-19T00:00:00"/>
    <s v="CUST-0166"/>
    <s v="PROD-007"/>
    <s v="R029"/>
    <n v="6"/>
    <n v="1430"/>
    <n v="18.399999999999999"/>
    <n v="7001.28"/>
    <s v="Pending"/>
    <s v="Hyderabad"/>
    <x v="4"/>
    <m/>
    <s v="Retail"/>
    <n v="31"/>
    <x v="2"/>
  </r>
  <r>
    <s v="ORD-01680"/>
    <d v="2024-02-14T00:00:00"/>
    <s v="CUST-0188"/>
    <s v="PROD-055"/>
    <s v="R002"/>
    <n v="7"/>
    <n v="2860"/>
    <n v="19.5"/>
    <n v="16116.1"/>
    <s v="Completed"/>
    <s v="Bengaluru"/>
    <x v="1"/>
    <m/>
    <s v="Retail"/>
    <n v="54"/>
    <x v="0"/>
  </r>
  <r>
    <s v="ORD-01681"/>
    <d v="2024-05-27T00:00:00"/>
    <s v="CUST-0097"/>
    <s v="PROD-047"/>
    <s v="R020"/>
    <n v="8"/>
    <n v="3450"/>
    <n v="25.5"/>
    <n v="20562"/>
    <s v="Pending"/>
    <s v="Mumbai"/>
    <x v="5"/>
    <m/>
    <s v="Retail"/>
    <n v="65"/>
    <x v="0"/>
  </r>
  <r>
    <s v="ORD-01682"/>
    <d v="2024-10-13T00:00:00"/>
    <s v="CUST-0026"/>
    <s v="PROD-052"/>
    <s v="R019"/>
    <n v="7"/>
    <n v="5410"/>
    <n v="15.2"/>
    <n v="32113.759999999998"/>
    <s v="Cancelled"/>
    <s v="Pune"/>
    <x v="1"/>
    <m/>
    <s v="Retail"/>
    <n v="62"/>
    <x v="0"/>
  </r>
  <r>
    <s v="ORD-01683"/>
    <d v="2024-10-23T00:00:00"/>
    <s v="CUST-0026"/>
    <s v="PROD-040"/>
    <s v="R025"/>
    <n v="3"/>
    <n v="1080"/>
    <n v="26"/>
    <n v="2397.6"/>
    <s v="Completed"/>
    <s v="Pune"/>
    <x v="3"/>
    <m/>
    <s v="Retail"/>
    <n v="62"/>
    <x v="0"/>
  </r>
  <r>
    <s v="ORD-01684"/>
    <d v="2024-03-03T00:00:00"/>
    <s v="CUST-0020"/>
    <s v="PROD-055"/>
    <s v="R019"/>
    <n v="8"/>
    <n v="2860"/>
    <n v="14.8"/>
    <n v="19493.759999999998"/>
    <s v="Completed"/>
    <s v="Hyderabad"/>
    <x v="1"/>
    <m/>
    <s v="Retail"/>
    <n v="46"/>
    <x v="0"/>
  </r>
  <r>
    <s v="ORD-01685"/>
    <d v="2024-02-10T00:00:00"/>
    <s v="CUST-9740"/>
    <s v="PROD-045"/>
    <s v="R013"/>
    <n v="4"/>
    <n v="3020"/>
    <n v="8.1"/>
    <n v="11101.52"/>
    <s v="Completed"/>
    <s v="Hyderabad"/>
    <x v="5"/>
    <m/>
    <e v="#N/A"/>
    <e v="#N/A"/>
    <x v="0"/>
  </r>
  <r>
    <s v="ORD-01686"/>
    <d v="2024-12-23T00:00:00"/>
    <s v="CUST-0095"/>
    <s v="PROD-057"/>
    <s v="R025"/>
    <n v="4"/>
    <n v="960"/>
    <n v="6.4"/>
    <n v="3594.24"/>
    <s v="Cancelled"/>
    <s v="Mumbai"/>
    <x v="1"/>
    <m/>
    <s v="SMB"/>
    <n v="54"/>
    <x v="0"/>
  </r>
  <r>
    <s v="ORD-01687"/>
    <d v="2024-10-31T00:00:00"/>
    <s v="CUST-0079"/>
    <s v="PROD-004"/>
    <s v="R029"/>
    <n v="4"/>
    <n v="3870"/>
    <n v="15.9"/>
    <n v="13018.68"/>
    <s v="Completed"/>
    <s v="Mumbai"/>
    <x v="4"/>
    <m/>
    <s v="Corporate"/>
    <n v="60"/>
    <x v="0"/>
  </r>
  <r>
    <s v="ORD-01688"/>
    <d v="2024-03-27T00:00:00"/>
    <s v="CUST-0060"/>
    <s v="PROD-012"/>
    <s v="R020"/>
    <n v="5"/>
    <n v="3160"/>
    <n v="29.8"/>
    <n v="11091.6"/>
    <s v="Completed"/>
    <s v="Pune"/>
    <x v="0"/>
    <m/>
    <s v="Retail"/>
    <n v="39"/>
    <x v="2"/>
  </r>
  <r>
    <s v="ORD-01689"/>
    <d v="2024-04-21T00:00:00"/>
    <s v="CUST-0080"/>
    <s v="PROD-047"/>
    <s v="R027"/>
    <n v="5"/>
    <n v="3450"/>
    <n v="29.4"/>
    <n v="12178.5"/>
    <s v="Completed"/>
    <s v="Pune"/>
    <x v="5"/>
    <m/>
    <s v="SMB"/>
    <n v="30"/>
    <x v="3"/>
  </r>
  <r>
    <s v="ORD-01690"/>
    <d v="2024-08-31T00:00:00"/>
    <s v="CUST-0136"/>
    <s v="PROD-049"/>
    <s v="R018"/>
    <n v="10"/>
    <n v="960"/>
    <n v="27"/>
    <n v="7008"/>
    <s v="Cancelled"/>
    <s v="Chennai"/>
    <x v="5"/>
    <m/>
    <s v="SMB"/>
    <n v="26"/>
    <x v="2"/>
  </r>
  <r>
    <s v="ORD-01691"/>
    <d v="2024-05-17T00:00:00"/>
    <s v="CUST-0074"/>
    <s v="PROD-056"/>
    <s v="R018"/>
    <n v="10"/>
    <n v="6940"/>
    <n v="20.100000000000001"/>
    <n v="55450.6"/>
    <s v="Completed"/>
    <s v="Bengaluru"/>
    <x v="1"/>
    <m/>
    <s v="Retail"/>
    <n v="27"/>
    <x v="3"/>
  </r>
  <r>
    <s v="ORD-01692"/>
    <d v="2024-05-24T00:00:00"/>
    <s v="CUST-0090"/>
    <s v="PROD-058"/>
    <s v="R009"/>
    <n v="9"/>
    <n v="2400"/>
    <n v="7.8"/>
    <n v="19915.2"/>
    <s v="Completed"/>
    <s v="Bengaluru"/>
    <x v="1"/>
    <m/>
    <s v="Corporate"/>
    <n v="26"/>
    <x v="3"/>
  </r>
  <r>
    <s v="ORD-01693"/>
    <d v="2024-04-15T00:00:00"/>
    <s v="CUST-0300"/>
    <s v="PROD-052"/>
    <s v="R017"/>
    <n v="1"/>
    <n v="5410"/>
    <n v="22.8"/>
    <n v="4176.5200000000004"/>
    <s v="Completed"/>
    <s v="Mumbai"/>
    <x v="1"/>
    <m/>
    <s v="Retail"/>
    <n v="38"/>
    <x v="4"/>
  </r>
  <r>
    <s v="ORD-01694"/>
    <d v="2024-12-03T00:00:00"/>
    <s v="CUST-0188"/>
    <s v="PROD-009"/>
    <s v="R004"/>
    <n v="7"/>
    <n v="1220"/>
    <n v="18.8"/>
    <n v="6934.48"/>
    <s v="Pending"/>
    <s v="Bengaluru"/>
    <x v="4"/>
    <m/>
    <s v="Retail"/>
    <n v="54"/>
    <x v="0"/>
  </r>
  <r>
    <s v="ORD-01695"/>
    <d v="2024-10-30T00:00:00"/>
    <s v="CUST-0250"/>
    <s v="PROD-035"/>
    <s v="R019"/>
    <n v="1"/>
    <n v="1090"/>
    <n v="23.5"/>
    <n v="833.85"/>
    <s v="Completed"/>
    <s v="Delhi"/>
    <x v="3"/>
    <m/>
    <s v="Retail"/>
    <n v="31"/>
    <x v="1"/>
  </r>
  <r>
    <s v="ORD-01696"/>
    <d v="2024-08-27T00:00:00"/>
    <s v="CUST-0195"/>
    <s v="PROD-021"/>
    <s v="R023"/>
    <n v="2"/>
    <n v="2760"/>
    <n v="2.2999999999999998"/>
    <n v="5393.04"/>
    <s v="Completed"/>
    <s v="Bengaluru"/>
    <x v="2"/>
    <m/>
    <s v="Retail"/>
    <n v="28"/>
    <x v="3"/>
  </r>
  <r>
    <s v="ORD-01697"/>
    <d v="2024-11-30T00:00:00"/>
    <s v="CUST-0185"/>
    <s v="PROD-003"/>
    <s v="R026"/>
    <n v="3"/>
    <n v="3570"/>
    <n v="18.399999999999999"/>
    <n v="8739.36"/>
    <s v="Refunded"/>
    <s v="Hyderabad"/>
    <x v="4"/>
    <m/>
    <s v="SMB"/>
    <n v="43"/>
    <x v="0"/>
  </r>
  <r>
    <s v="ORD-01698"/>
    <d v="2024-07-29T00:00:00"/>
    <s v="CUST-0256"/>
    <s v="PROD-009"/>
    <s v="R004"/>
    <n v="7"/>
    <n v="1220"/>
    <n v="25.8"/>
    <n v="6336.68"/>
    <s v="Refunded"/>
    <s v="Hyderabad"/>
    <x v="4"/>
    <m/>
    <s v="Retail"/>
    <n v="28"/>
    <x v="2"/>
  </r>
  <r>
    <s v="ORD-01699"/>
    <d v="2024-07-28T00:00:00"/>
    <s v="CUST-0060"/>
    <s v="PROD-051"/>
    <s v="R029"/>
    <n v="6"/>
    <n v="3450"/>
    <n v="13.1"/>
    <n v="17988.3"/>
    <s v="Completed"/>
    <s v="Pune"/>
    <x v="1"/>
    <m/>
    <s v="Retail"/>
    <n v="39"/>
    <x v="1"/>
  </r>
  <r>
    <s v="ORD-01700"/>
    <d v="2024-05-23T00:00:00"/>
    <s v="CUST-0275"/>
    <s v="PROD-029"/>
    <s v="R004"/>
    <n v="10"/>
    <n v="2210"/>
    <n v="16.600000000000001"/>
    <n v="18431.400000000001"/>
    <s v="Completed"/>
    <s v="Mumbai"/>
    <x v="2"/>
    <m/>
    <s v="Retail"/>
    <n v="36"/>
    <x v="2"/>
  </r>
  <r>
    <s v="ORD-01701"/>
    <d v="2024-01-04T00:00:00"/>
    <s v="CUST-0114"/>
    <s v="PROD-019"/>
    <s v="R027"/>
    <n v="10"/>
    <n v="2480"/>
    <n v="17.5"/>
    <n v="20460"/>
    <s v="Completed"/>
    <s v="Bengaluru"/>
    <x v="0"/>
    <m/>
    <s v="Corporate"/>
    <n v="42"/>
    <x v="0"/>
  </r>
  <r>
    <s v="ORD-01702"/>
    <d v="2024-10-01T00:00:00"/>
    <s v="CUST-0060"/>
    <s v="PROD-036"/>
    <s v="R019"/>
    <n v="9"/>
    <n v="3250"/>
    <n v="25.9"/>
    <n v="21674.25"/>
    <s v="Completed"/>
    <s v="Pune"/>
    <x v="3"/>
    <m/>
    <s v="Retail"/>
    <n v="39"/>
    <x v="2"/>
  </r>
  <r>
    <s v="ORD-01703"/>
    <d v="2024-07-01T00:00:00"/>
    <s v="CUST-0039"/>
    <s v="PROD-058"/>
    <s v="R008"/>
    <n v="3"/>
    <n v="2400"/>
    <n v="17.5"/>
    <n v="5940"/>
    <s v="Completed"/>
    <s v="Bengaluru"/>
    <x v="1"/>
    <m/>
    <s v="Retail"/>
    <n v="37"/>
    <x v="3"/>
  </r>
  <r>
    <s v="ORD-01704"/>
    <d v="2024-03-21T00:00:00"/>
    <s v="CUST-0033"/>
    <s v="PROD-052"/>
    <s v="R006"/>
    <n v="8"/>
    <n v="5410"/>
    <n v="8.3000000000000007"/>
    <n v="39687.760000000002"/>
    <s v="Completed"/>
    <s v="Delhi"/>
    <x v="1"/>
    <m/>
    <s v="Retail"/>
    <n v="35"/>
    <x v="1"/>
  </r>
  <r>
    <s v="ORD-01705"/>
    <d v="2024-11-26T00:00:00"/>
    <s v="CUST-0037"/>
    <s v="PROD-002"/>
    <s v="R018"/>
    <n v="1"/>
    <n v="2600"/>
    <n v="5.9"/>
    <n v="2446.6"/>
    <s v="Completed"/>
    <s v="Bengaluru"/>
    <x v="4"/>
    <m/>
    <s v="Retail"/>
    <n v="52"/>
    <x v="0"/>
  </r>
  <r>
    <s v="ORD-01706"/>
    <d v="2024-11-07T00:00:00"/>
    <s v="CUST-0081"/>
    <s v="PROD-025"/>
    <s v="R003"/>
    <n v="10"/>
    <n v="4060"/>
    <n v="2.2999999999999998"/>
    <n v="39666.199999999997"/>
    <s v="Completed"/>
    <s v="Mumbai"/>
    <x v="2"/>
    <m/>
    <s v="Retail"/>
    <n v="25"/>
    <x v="3"/>
  </r>
  <r>
    <s v="ORD-01707"/>
    <d v="2024-03-01T00:00:00"/>
    <s v="CUST-0279"/>
    <s v="PROD-001"/>
    <s v="R020"/>
    <n v="9"/>
    <n v="5330"/>
    <n v="23.5"/>
    <n v="36697.050000000003"/>
    <s v="Completed"/>
    <s v="Mumbai"/>
    <x v="4"/>
    <m/>
    <s v="Retail"/>
    <n v="56"/>
    <x v="0"/>
  </r>
  <r>
    <s v="ORD-01708"/>
    <d v="2024-11-04T00:00:00"/>
    <s v="CUST-0129"/>
    <s v="PROD-043"/>
    <s v="R025"/>
    <n v="7"/>
    <n v="3350"/>
    <n v="13.4"/>
    <n v="20307.7"/>
    <s v="Pending"/>
    <s v="Hyderabad"/>
    <x v="5"/>
    <m/>
    <s v="Retail"/>
    <n v="29"/>
    <x v="3"/>
  </r>
  <r>
    <s v="ORD-01709"/>
    <d v="2024-12-05T00:00:00"/>
    <s v="CUST-0010"/>
    <s v="PROD-017"/>
    <s v="R014"/>
    <n v="4"/>
    <n v="2510"/>
    <n v="26.6"/>
    <n v="7369.36"/>
    <s v="Completed"/>
    <s v="Mumbai"/>
    <x v="0"/>
    <m/>
    <s v="SMB"/>
    <n v="61"/>
    <x v="0"/>
  </r>
  <r>
    <s v="ORD-01710"/>
    <d v="2024-06-13T00:00:00"/>
    <s v="CUST-0006"/>
    <s v="PROD-045"/>
    <s v="R021"/>
    <n v="1"/>
    <n v="3020"/>
    <n v="15.2"/>
    <n v="2560.96"/>
    <s v="Cancelled"/>
    <s v="Pune"/>
    <x v="5"/>
    <m/>
    <s v="SMB"/>
    <n v="44"/>
    <x v="0"/>
  </r>
  <r>
    <s v="ORD-01711"/>
    <d v="2024-09-04T00:00:00"/>
    <s v="CUST-0206"/>
    <s v="PROD-020"/>
    <s v="R029"/>
    <n v="1"/>
    <n v="820"/>
    <n v="6.3"/>
    <n v="768.34"/>
    <s v="Completed"/>
    <s v="Mumbai"/>
    <x v="0"/>
    <m/>
    <s v="Retail"/>
    <n v="40"/>
    <x v="3"/>
  </r>
  <r>
    <s v="ORD-01712"/>
    <d v="2024-07-15T00:00:00"/>
    <s v="CUST-0034"/>
    <s v="PROD-012"/>
    <s v="R027"/>
    <n v="4"/>
    <n v="3160"/>
    <n v="3.6"/>
    <n v="12184.96"/>
    <s v="Pending"/>
    <s v="Delhi"/>
    <x v="0"/>
    <m/>
    <s v="Retail"/>
    <n v="47"/>
    <x v="0"/>
  </r>
  <r>
    <s v="ORD-01713"/>
    <d v="2024-03-19T00:00:00"/>
    <s v="CUST-0121"/>
    <s v="PROD-028"/>
    <s v="R012"/>
    <n v="1"/>
    <n v="3660"/>
    <n v="28.2"/>
    <n v="2627.88"/>
    <s v="Pending"/>
    <s v="Delhi"/>
    <x v="2"/>
    <m/>
    <s v="SMB"/>
    <n v="55"/>
    <x v="0"/>
  </r>
  <r>
    <s v="ORD-01714"/>
    <d v="2024-04-12T00:00:00"/>
    <s v="CUST-0098"/>
    <s v="PROD-020"/>
    <s v="R026"/>
    <n v="2"/>
    <n v="820"/>
    <n v="7"/>
    <n v="1525.2"/>
    <s v="Completed"/>
    <s v="Delhi"/>
    <x v="0"/>
    <m/>
    <s v="Retail"/>
    <n v="52"/>
    <x v="0"/>
  </r>
  <r>
    <s v="ORD-01715"/>
    <d v="2024-06-03T00:00:00"/>
    <s v="CUST-0031"/>
    <s v="PROD-023"/>
    <s v="R022"/>
    <n v="5"/>
    <n v="2380"/>
    <n v="23"/>
    <n v="9163"/>
    <s v="Completed"/>
    <s v="Hyderabad"/>
    <x v="2"/>
    <m/>
    <s v="Retail"/>
    <n v="53"/>
    <x v="0"/>
  </r>
  <r>
    <s v="ORD-01716"/>
    <d v="2024-11-16T00:00:00"/>
    <s v="CUST-0185"/>
    <s v="PROD-004"/>
    <s v="R013"/>
    <n v="1"/>
    <n v="3870"/>
    <n v="27.3"/>
    <n v="2813.49"/>
    <s v="Completed"/>
    <s v="Hyderabad"/>
    <x v="4"/>
    <m/>
    <s v="SMB"/>
    <n v="43"/>
    <x v="0"/>
  </r>
  <r>
    <s v="ORD-01717"/>
    <d v="2024-01-10T00:00:00"/>
    <s v="CUST-0011"/>
    <s v="PROD-005"/>
    <s v="R007"/>
    <n v="10"/>
    <n v="300"/>
    <n v="14.1"/>
    <n v="2577"/>
    <s v="Cancelled"/>
    <s v="Chennai"/>
    <x v="4"/>
    <m/>
    <s v="Corporate"/>
    <n v="41"/>
    <x v="0"/>
  </r>
  <r>
    <s v="ORD-01718"/>
    <d v="2024-12-21T00:00:00"/>
    <s v="CUST-0223"/>
    <s v="PROD-048"/>
    <s v="R027"/>
    <n v="10"/>
    <n v="5100"/>
    <n v="12.7"/>
    <n v="44523"/>
    <s v="Completed"/>
    <s v="Bengaluru"/>
    <x v="5"/>
    <m/>
    <s v="Retail"/>
    <n v="46"/>
    <x v="0"/>
  </r>
  <r>
    <s v="ORD-01719"/>
    <d v="2024-10-24T00:00:00"/>
    <s v="CUST-0126"/>
    <s v="PROD-021"/>
    <s v="R013"/>
    <n v="1"/>
    <n v="2760"/>
    <n v="17.8"/>
    <n v="2268.7199999999998"/>
    <s v="Refunded"/>
    <s v="Mumbai"/>
    <x v="2"/>
    <m/>
    <s v="Retail"/>
    <n v="37"/>
    <x v="2"/>
  </r>
  <r>
    <s v="ORD-01720"/>
    <d v="2024-03-31T00:00:00"/>
    <s v="CUST-0284"/>
    <s v="PROD-001"/>
    <s v="R002"/>
    <n v="8"/>
    <n v="5330"/>
    <n v="16.399999999999999"/>
    <n v="35647.040000000001"/>
    <s v="Completed"/>
    <s v="Hyderabad"/>
    <x v="4"/>
    <m/>
    <s v="SMB"/>
    <n v="65"/>
    <x v="0"/>
  </r>
  <r>
    <s v="ORD-01721"/>
    <d v="2024-06-14T00:00:00"/>
    <s v="CUST-0011"/>
    <s v="PROD-054"/>
    <s v="R016"/>
    <n v="1"/>
    <n v="1010"/>
    <n v="20.399999999999999"/>
    <n v="803.96"/>
    <s v="Cancelled"/>
    <s v="Chennai"/>
    <x v="1"/>
    <m/>
    <s v="Corporate"/>
    <n v="41"/>
    <x v="0"/>
  </r>
  <r>
    <s v="ORD-01722"/>
    <d v="2024-03-25T00:00:00"/>
    <s v="CUST-0275"/>
    <s v="PROD-008"/>
    <s v="R019"/>
    <n v="10"/>
    <n v="2660"/>
    <n v="29.3"/>
    <n v="18806.2"/>
    <s v="Completed"/>
    <s v="Mumbai"/>
    <x v="4"/>
    <m/>
    <s v="Retail"/>
    <n v="36"/>
    <x v="4"/>
  </r>
  <r>
    <s v="ORD-01723"/>
    <d v="2024-08-02T00:00:00"/>
    <s v="CUST-0259"/>
    <s v="PROD-006"/>
    <s v="R011"/>
    <n v="9"/>
    <n v="3970"/>
    <n v="10.4"/>
    <n v="32014.080000000002"/>
    <s v="Pending"/>
    <s v="Mumbai"/>
    <x v="4"/>
    <m/>
    <s v="Retail"/>
    <n v="34"/>
    <x v="3"/>
  </r>
  <r>
    <s v="ORD-01724"/>
    <d v="2024-06-29T00:00:00"/>
    <s v="CUST-0089"/>
    <s v="PROD-014"/>
    <s v="R008"/>
    <n v="3"/>
    <n v="3620"/>
    <n v="22"/>
    <n v="8470.7999999999993"/>
    <s v="Completed"/>
    <s v="Mumbai"/>
    <x v="0"/>
    <m/>
    <s v="SMB"/>
    <n v="43"/>
    <x v="0"/>
  </r>
  <r>
    <s v="ORD-01725"/>
    <d v="2024-04-01T00:00:00"/>
    <s v="CUST-0232"/>
    <s v="PROD-022"/>
    <s v="R018"/>
    <n v="6"/>
    <n v="2270"/>
    <n v="11.1"/>
    <n v="12108.18"/>
    <s v="Cancelled"/>
    <s v="Hyderabad"/>
    <x v="2"/>
    <m/>
    <s v="Retail"/>
    <n v="38"/>
    <x v="1"/>
  </r>
  <r>
    <s v="ORD-01726"/>
    <d v="2024-09-08T00:00:00"/>
    <s v="CUST-0220"/>
    <s v="PROD-022"/>
    <s v="R014"/>
    <n v="4"/>
    <n v="2270"/>
    <n v="27.2"/>
    <n v="6610.24"/>
    <s v="Pending"/>
    <s v="Chennai"/>
    <x v="2"/>
    <m/>
    <s v="Retail"/>
    <n v="34"/>
    <x v="3"/>
  </r>
  <r>
    <s v="ORD-01727"/>
    <d v="2024-10-11T00:00:00"/>
    <s v="CUST-0137"/>
    <s v="PROD-039"/>
    <s v="R012"/>
    <n v="8"/>
    <n v="4610"/>
    <n v="24.5"/>
    <n v="27844.400000000001"/>
    <s v="Completed"/>
    <s v="Mumbai"/>
    <x v="3"/>
    <m/>
    <s v="Retail"/>
    <n v="41"/>
    <x v="0"/>
  </r>
  <r>
    <s v="ORD-01728"/>
    <d v="2024-03-15T00:00:00"/>
    <s v="CUST-0132"/>
    <s v="PROD-060"/>
    <s v="R020"/>
    <n v="6"/>
    <n v="190"/>
    <n v="8.6999999999999993"/>
    <n v="1040.82"/>
    <s v="Cancelled"/>
    <s v="Delhi"/>
    <x v="1"/>
    <m/>
    <s v="Retail"/>
    <n v="41"/>
    <x v="0"/>
  </r>
  <r>
    <s v="ORD-01729"/>
    <d v="2024-11-21T00:00:00"/>
    <s v="CUST-0226"/>
    <s v="PROD-033"/>
    <s v="R026"/>
    <n v="5"/>
    <n v="2030"/>
    <n v="0.9"/>
    <n v="10058.65"/>
    <s v="Cancelled"/>
    <s v="Chennai"/>
    <x v="3"/>
    <m/>
    <s v="Corporate"/>
    <n v="52"/>
    <x v="0"/>
  </r>
  <r>
    <s v="ORD-01730"/>
    <d v="2024-11-18T00:00:00"/>
    <s v="CUST-0080"/>
    <s v="PROD-026"/>
    <s v="R020"/>
    <n v="1"/>
    <n v="4070"/>
    <n v="9.3000000000000007"/>
    <n v="3691.49"/>
    <s v="Refunded"/>
    <s v="Pune"/>
    <x v="2"/>
    <m/>
    <s v="SMB"/>
    <n v="30"/>
    <x v="2"/>
  </r>
  <r>
    <s v="ORD-01731"/>
    <d v="2024-06-17T00:00:00"/>
    <s v="CUST-0068"/>
    <s v="PROD-042"/>
    <s v="R001"/>
    <n v="3"/>
    <n v="2290"/>
    <n v="12.1"/>
    <n v="6038.73"/>
    <s v="Completed"/>
    <s v="Delhi"/>
    <x v="5"/>
    <m/>
    <s v="SMB"/>
    <n v="48"/>
    <x v="0"/>
  </r>
  <r>
    <s v="ORD-01732"/>
    <d v="2024-08-10T00:00:00"/>
    <s v="CUST-0146"/>
    <s v="PROD-031"/>
    <s v="R020"/>
    <n v="7"/>
    <n v="3730"/>
    <n v="4.5"/>
    <n v="24935.05"/>
    <s v="Completed"/>
    <s v="Hyderabad"/>
    <x v="3"/>
    <m/>
    <s v="Retail"/>
    <n v="22"/>
    <x v="1"/>
  </r>
  <r>
    <s v="ORD-01733"/>
    <d v="2024-01-15T00:00:00"/>
    <s v="CUST-0106"/>
    <s v="PROD-016"/>
    <s v="R005"/>
    <n v="5"/>
    <n v="620"/>
    <n v="7.5"/>
    <n v="2867.5"/>
    <s v="Completed"/>
    <s v="Pune"/>
    <x v="0"/>
    <m/>
    <s v="Retail"/>
    <n v="22"/>
    <x v="3"/>
  </r>
  <r>
    <s v="ORD-01734"/>
    <d v="2024-06-12T00:00:00"/>
    <s v="CUST-0096"/>
    <s v="PROD-010"/>
    <s v="R010"/>
    <n v="8"/>
    <n v="2640"/>
    <n v="16.399999999999999"/>
    <n v="17656.32"/>
    <s v="Completed"/>
    <s v="Delhi"/>
    <x v="4"/>
    <m/>
    <s v="Corporate"/>
    <n v="27"/>
    <x v="1"/>
  </r>
  <r>
    <s v="ORD-01735"/>
    <d v="2024-09-29T00:00:00"/>
    <s v="CUST-0248"/>
    <s v="PROD-028"/>
    <s v="R004"/>
    <n v="6"/>
    <n v="3660"/>
    <n v="6.2"/>
    <n v="20598.48"/>
    <s v="Completed"/>
    <s v="Chennai"/>
    <x v="2"/>
    <m/>
    <s v="SMB"/>
    <n v="57"/>
    <x v="0"/>
  </r>
  <r>
    <s v="ORD-01736"/>
    <d v="2024-08-03T00:00:00"/>
    <s v="CUST-0297"/>
    <s v="PROD-020"/>
    <s v="R020"/>
    <n v="2"/>
    <n v="820"/>
    <n v="25.4"/>
    <n v="1223.44"/>
    <s v="Completed"/>
    <s v="Hyderabad"/>
    <x v="0"/>
    <m/>
    <s v="Retail"/>
    <n v="50"/>
    <x v="0"/>
  </r>
  <r>
    <s v="ORD-01737"/>
    <d v="2024-10-31T00:00:00"/>
    <s v="CUST-0120"/>
    <s v="PROD-019"/>
    <s v="R021"/>
    <n v="3"/>
    <n v="2480"/>
    <n v="28.7"/>
    <n v="5304.72"/>
    <s v="Pending"/>
    <s v="Mumbai"/>
    <x v="0"/>
    <m/>
    <s v="Retail"/>
    <n v="29"/>
    <x v="3"/>
  </r>
  <r>
    <s v="ORD-01738"/>
    <d v="2024-08-30T00:00:00"/>
    <s v="CUST-0148"/>
    <s v="PROD-050"/>
    <s v="R028"/>
    <n v="10"/>
    <n v="6080"/>
    <n v="18.899999999999999"/>
    <n v="49308.800000000003"/>
    <s v="Completed"/>
    <s v="Chennai"/>
    <x v="5"/>
    <m/>
    <s v="Retail"/>
    <n v="32"/>
    <x v="3"/>
  </r>
  <r>
    <s v="ORD-01739"/>
    <d v="2024-02-14T00:00:00"/>
    <s v="CUST-0008"/>
    <s v="PROD-060"/>
    <s v="R022"/>
    <n v="1"/>
    <n v="190"/>
    <n v="5.7"/>
    <n v="179.17"/>
    <s v="Completed"/>
    <s v="Pune"/>
    <x v="1"/>
    <m/>
    <s v="SMB"/>
    <n v="39"/>
    <x v="2"/>
  </r>
  <r>
    <s v="ORD-01740"/>
    <d v="2024-06-20T00:00:00"/>
    <s v="CUST-0013"/>
    <s v="PROD-059"/>
    <s v="R026"/>
    <n v="2"/>
    <n v="3780"/>
    <n v="11.8"/>
    <n v="6667.92"/>
    <s v="Completed"/>
    <s v="Delhi"/>
    <x v="1"/>
    <m/>
    <s v="Retail"/>
    <n v="41"/>
    <x v="0"/>
  </r>
  <r>
    <s v="ORD-01741"/>
    <d v="2024-11-06T00:00:00"/>
    <s v="CUST-0234"/>
    <s v="PROD-036"/>
    <s v="R001"/>
    <n v="5"/>
    <n v="3250"/>
    <n v="19.899999999999999"/>
    <n v="13016.25"/>
    <s v="Completed"/>
    <s v="Bengaluru"/>
    <x v="3"/>
    <m/>
    <s v="Retail"/>
    <n v="34"/>
    <x v="2"/>
  </r>
  <r>
    <s v="ORD-01742"/>
    <d v="2024-03-14T00:00:00"/>
    <s v="CUST-0207"/>
    <s v="PROD-033"/>
    <s v="R008"/>
    <n v="7"/>
    <n v="2030"/>
    <n v="4.0999999999999996"/>
    <n v="13627.39"/>
    <s v="Completed"/>
    <s v="Hyderabad"/>
    <x v="3"/>
    <m/>
    <s v="SMB"/>
    <n v="34"/>
    <x v="1"/>
  </r>
  <r>
    <s v="ORD-01743"/>
    <d v="2024-12-25T00:00:00"/>
    <s v="CUST-0245"/>
    <s v="PROD-046"/>
    <s v="R012"/>
    <n v="5"/>
    <n v="4880"/>
    <n v="22.9"/>
    <n v="18812.400000000001"/>
    <s v="Completed"/>
    <s v="Hyderabad"/>
    <x v="5"/>
    <m/>
    <s v="Retail"/>
    <n v="65"/>
    <x v="0"/>
  </r>
  <r>
    <s v="ORD-01744"/>
    <d v="2024-01-06T00:00:00"/>
    <s v="CUST-0044"/>
    <s v="PROD-043"/>
    <s v="R020"/>
    <n v="3"/>
    <n v="3350"/>
    <n v="15.2"/>
    <n v="8522.4"/>
    <s v="Pending"/>
    <s v="Hyderabad"/>
    <x v="5"/>
    <m/>
    <s v="SMB"/>
    <n v="29"/>
    <x v="4"/>
  </r>
  <r>
    <s v="ORD-01745"/>
    <d v="2024-05-13T00:00:00"/>
    <s v="CUST-0264"/>
    <s v="PROD-055"/>
    <s v="R029"/>
    <n v="10"/>
    <n v="2860"/>
    <n v="15"/>
    <n v="24310"/>
    <s v="Completed"/>
    <s v="Pune"/>
    <x v="1"/>
    <m/>
    <s v="Retail"/>
    <n v="59"/>
    <x v="0"/>
  </r>
  <r>
    <s v="ORD-01746"/>
    <d v="2024-06-01T00:00:00"/>
    <s v="CUST-0193"/>
    <s v="PROD-047"/>
    <s v="R018"/>
    <n v="5"/>
    <n v="3450"/>
    <n v="2.2999999999999998"/>
    <n v="16853.25"/>
    <s v="Completed"/>
    <s v="Bengaluru"/>
    <x v="5"/>
    <m/>
    <s v="Retail"/>
    <n v="42"/>
    <x v="0"/>
  </r>
  <r>
    <s v="ORD-01747"/>
    <d v="2024-04-15T00:00:00"/>
    <s v="CUST-0006"/>
    <s v="PROD-024"/>
    <s v="R015"/>
    <n v="3"/>
    <n v="2270"/>
    <n v="2.8"/>
    <n v="6619.32"/>
    <s v="Pending"/>
    <s v="Pune"/>
    <x v="2"/>
    <m/>
    <s v="SMB"/>
    <n v="44"/>
    <x v="0"/>
  </r>
  <r>
    <s v="ORD-01748"/>
    <d v="2024-03-03T00:00:00"/>
    <s v="CUST-0221"/>
    <s v="PROD-028"/>
    <s v="R007"/>
    <n v="8"/>
    <n v="3660"/>
    <n v="16.8"/>
    <n v="24360.959999999999"/>
    <s v="Completed"/>
    <s v="Delhi"/>
    <x v="2"/>
    <m/>
    <s v="SMB"/>
    <n v="29"/>
    <x v="4"/>
  </r>
  <r>
    <s v="ORD-01749"/>
    <d v="2024-06-26T00:00:00"/>
    <s v="CUST-0151"/>
    <s v="PROD-045"/>
    <s v="R008"/>
    <n v="7"/>
    <n v="3020"/>
    <n v="17.8"/>
    <n v="17377.080000000002"/>
    <s v="Completed"/>
    <s v="Mumbai"/>
    <x v="5"/>
    <m/>
    <s v="Retail"/>
    <n v="53"/>
    <x v="0"/>
  </r>
  <r>
    <s v="ORD-01750"/>
    <d v="2024-10-22T00:00:00"/>
    <s v="CUST-0188"/>
    <s v="PROD-040"/>
    <s v="R014"/>
    <n v="7"/>
    <n v="1080"/>
    <n v="12.9"/>
    <n v="6584.76"/>
    <s v="Completed"/>
    <s v="Bengaluru"/>
    <x v="3"/>
    <m/>
    <s v="Retail"/>
    <n v="54"/>
    <x v="0"/>
  </r>
  <r>
    <s v="ORD-01751"/>
    <d v="2024-07-21T00:00:00"/>
    <s v="CUST-0010"/>
    <s v="PROD-022"/>
    <s v="R012"/>
    <n v="2"/>
    <n v="2270"/>
    <n v="8.6"/>
    <n v="4149.5600000000004"/>
    <s v="Cancelled"/>
    <s v="Mumbai"/>
    <x v="2"/>
    <m/>
    <s v="SMB"/>
    <n v="61"/>
    <x v="0"/>
  </r>
  <r>
    <s v="ORD-01752"/>
    <d v="2024-06-02T00:00:00"/>
    <s v="CUST-0018"/>
    <s v="PROD-016"/>
    <s v="R012"/>
    <n v="10"/>
    <n v="620"/>
    <n v="26.1"/>
    <n v="4581.8"/>
    <s v="Completed"/>
    <s v="Pune"/>
    <x v="0"/>
    <m/>
    <s v="SMB"/>
    <n v="54"/>
    <x v="0"/>
  </r>
  <r>
    <s v="ORD-01753"/>
    <d v="2024-09-26T00:00:00"/>
    <s v="CUST-0262"/>
    <s v="PROD-025"/>
    <s v="R015"/>
    <n v="2"/>
    <n v="4060"/>
    <n v="3.8"/>
    <n v="7811.44"/>
    <s v="Completed"/>
    <s v="Mumbai"/>
    <x v="2"/>
    <m/>
    <s v="Retail"/>
    <n v="52"/>
    <x v="0"/>
  </r>
  <r>
    <s v="ORD-01754"/>
    <d v="2024-07-15T00:00:00"/>
    <s v="CUST-0282"/>
    <s v="PROD-027"/>
    <s v="R012"/>
    <n v="1"/>
    <n v="3780"/>
    <n v="27.9"/>
    <n v="2725.38"/>
    <s v="Completed"/>
    <s v="Hyderabad"/>
    <x v="2"/>
    <m/>
    <s v="Corporate"/>
    <n v="29"/>
    <x v="4"/>
  </r>
  <r>
    <s v="ORD-01755"/>
    <d v="2024-11-21T00:00:00"/>
    <s v="CUST-0194"/>
    <s v="PROD-023"/>
    <s v="R022"/>
    <n v="8"/>
    <n v="2380"/>
    <n v="3.8"/>
    <n v="18316.48"/>
    <s v="Completed"/>
    <s v="Delhi"/>
    <x v="2"/>
    <m/>
    <s v="SMB"/>
    <n v="55"/>
    <x v="0"/>
  </r>
  <r>
    <s v="ORD-01756"/>
    <d v="2024-03-27T00:00:00"/>
    <s v="CUST-0161"/>
    <s v="PROD-026"/>
    <s v="R024"/>
    <n v="7"/>
    <n v="4070"/>
    <n v="0.3"/>
    <n v="28404.53"/>
    <s v="Completed"/>
    <s v="Chennai"/>
    <x v="2"/>
    <m/>
    <s v="Retail"/>
    <n v="38"/>
    <x v="3"/>
  </r>
  <r>
    <s v="ORD-01757"/>
    <d v="2024-06-16T00:00:00"/>
    <s v="CUST-0120"/>
    <s v="PROD-010"/>
    <s v="R020"/>
    <n v="6"/>
    <n v="2640"/>
    <n v="3.4"/>
    <n v="15301.44"/>
    <s v="Completed"/>
    <s v="Mumbai"/>
    <x v="4"/>
    <m/>
    <s v="Retail"/>
    <n v="29"/>
    <x v="2"/>
  </r>
  <r>
    <s v="ORD-01758"/>
    <d v="2024-03-26T00:00:00"/>
    <s v="CUST-0250"/>
    <s v="PROD-059"/>
    <s v="R030"/>
    <n v="10"/>
    <n v="3780"/>
    <n v="13.3"/>
    <n v="32772.6"/>
    <s v="Completed"/>
    <s v="Delhi"/>
    <x v="1"/>
    <m/>
    <s v="Retail"/>
    <n v="31"/>
    <x v="3"/>
  </r>
  <r>
    <s v="ORD-01759"/>
    <d v="2024-01-11T00:00:00"/>
    <s v="CUST-0054"/>
    <s v="PROD-043"/>
    <s v="R009"/>
    <n v="9"/>
    <n v="3350"/>
    <n v="12.8"/>
    <n v="26290.799999999999"/>
    <s v="Completed"/>
    <s v="Mumbai"/>
    <x v="5"/>
    <m/>
    <s v="Corporate"/>
    <n v="62"/>
    <x v="0"/>
  </r>
  <r>
    <s v="ORD-01760"/>
    <d v="2024-06-16T00:00:00"/>
    <s v="CUST-0247"/>
    <s v="PROD-012"/>
    <s v="R024"/>
    <n v="7"/>
    <n v="3160"/>
    <n v="15.3"/>
    <n v="18735.64"/>
    <s v="Completed"/>
    <s v="Pune"/>
    <x v="0"/>
    <m/>
    <s v="SMB"/>
    <n v="35"/>
    <x v="4"/>
  </r>
  <r>
    <s v="ORD-01761"/>
    <d v="2024-05-16T00:00:00"/>
    <s v="CUST-0127"/>
    <s v="PROD-055"/>
    <s v="R004"/>
    <n v="6"/>
    <n v="2860"/>
    <n v="17.5"/>
    <n v="14157"/>
    <s v="Completed"/>
    <s v="Bengaluru"/>
    <x v="1"/>
    <m/>
    <s v="SMB"/>
    <n v="36"/>
    <x v="2"/>
  </r>
  <r>
    <s v="ORD-01762"/>
    <d v="2024-02-19T00:00:00"/>
    <s v="CUST-0030"/>
    <s v="PROD-005"/>
    <s v="R010"/>
    <n v="9"/>
    <n v="300"/>
    <n v="25.2"/>
    <n v="2019.6"/>
    <s v="Completed"/>
    <s v="Bengaluru"/>
    <x v="4"/>
    <m/>
    <s v="Corporate"/>
    <n v="43"/>
    <x v="0"/>
  </r>
  <r>
    <s v="ORD-01763"/>
    <d v="2024-01-05T00:00:00"/>
    <s v="CUST-0205"/>
    <s v="PROD-060"/>
    <s v="R020"/>
    <n v="5"/>
    <n v="190"/>
    <n v="1.8"/>
    <n v="932.9"/>
    <s v="Completed"/>
    <s v="Pune"/>
    <x v="1"/>
    <m/>
    <s v="Corporate"/>
    <n v="29"/>
    <x v="4"/>
  </r>
  <r>
    <s v="ORD-01764"/>
    <d v="2024-08-29T00:00:00"/>
    <s v="CUST-0172"/>
    <s v="PROD-054"/>
    <s v="R021"/>
    <n v="7"/>
    <n v="1010"/>
    <n v="11.2"/>
    <n v="6278.16"/>
    <s v="Completed"/>
    <s v="Pune"/>
    <x v="1"/>
    <m/>
    <s v="Retail"/>
    <n v="65"/>
    <x v="0"/>
  </r>
  <r>
    <s v="ORD-01765"/>
    <d v="2024-08-11T00:00:00"/>
    <s v="CUST-0283"/>
    <s v="PROD-051"/>
    <s v="R001"/>
    <n v="8"/>
    <n v="3450"/>
    <n v="8.4"/>
    <n v="25281.599999999999"/>
    <s v="Completed"/>
    <s v="Delhi"/>
    <x v="1"/>
    <m/>
    <s v="SMB"/>
    <n v="50"/>
    <x v="0"/>
  </r>
  <r>
    <s v="ORD-01766"/>
    <d v="2024-11-01T00:00:00"/>
    <s v="CUST-0005"/>
    <s v="PROD-005"/>
    <s v="R001"/>
    <n v="3"/>
    <n v="300"/>
    <n v="7.5"/>
    <n v="832.5"/>
    <s v="Refunded"/>
    <s v="Chennai"/>
    <x v="4"/>
    <m/>
    <s v="Corporate"/>
    <n v="52"/>
    <x v="0"/>
  </r>
  <r>
    <s v="ORD-01767"/>
    <d v="2024-03-19T00:00:00"/>
    <s v="CUST-0095"/>
    <s v="PROD-031"/>
    <s v="R018"/>
    <n v="4"/>
    <n v="3730"/>
    <n v="24.8"/>
    <n v="11219.84"/>
    <s v="Completed"/>
    <s v="Mumbai"/>
    <x v="3"/>
    <m/>
    <s v="SMB"/>
    <n v="54"/>
    <x v="0"/>
  </r>
  <r>
    <s v="ORD-01768"/>
    <d v="2024-06-19T00:00:00"/>
    <s v="CUST-0142"/>
    <s v="PROD-058"/>
    <s v="R020"/>
    <n v="5"/>
    <n v="2400"/>
    <n v="9.1999999999999993"/>
    <n v="10896"/>
    <s v="Completed"/>
    <s v="Chennai"/>
    <x v="1"/>
    <m/>
    <s v="Corporate"/>
    <n v="55"/>
    <x v="0"/>
  </r>
  <r>
    <s v="ORD-01769"/>
    <d v="2024-11-13T00:00:00"/>
    <s v="CUST-0028"/>
    <s v="PROD-021"/>
    <s v="R001"/>
    <n v="3"/>
    <n v="2760"/>
    <n v="2.4"/>
    <n v="8081.28"/>
    <s v="Completed"/>
    <s v="Bengaluru"/>
    <x v="2"/>
    <m/>
    <s v="Retail"/>
    <n v="59"/>
    <x v="0"/>
  </r>
  <r>
    <s v="ORD-01770"/>
    <d v="2024-09-13T00:00:00"/>
    <s v="CUST-0118"/>
    <s v="PROD-053"/>
    <s v="R009"/>
    <n v="8"/>
    <n v="470"/>
    <n v="24.8"/>
    <n v="2827.52"/>
    <s v="Pending"/>
    <s v="Hyderabad"/>
    <x v="1"/>
    <m/>
    <s v="Retail"/>
    <n v="26"/>
    <x v="1"/>
  </r>
  <r>
    <s v="ORD-01771"/>
    <d v="2024-12-07T00:00:00"/>
    <s v="CUST-0231"/>
    <s v="PROD-053"/>
    <s v="R027"/>
    <n v="3"/>
    <n v="470"/>
    <n v="18.600000000000001"/>
    <n v="1147.74"/>
    <s v="Completed"/>
    <s v="Chennai"/>
    <x v="1"/>
    <m/>
    <s v="Retail"/>
    <n v="61"/>
    <x v="0"/>
  </r>
  <r>
    <s v="ORD-01772"/>
    <d v="2024-10-15T00:00:00"/>
    <s v="CUST-0264"/>
    <s v="PROD-032"/>
    <s v="R028"/>
    <n v="2"/>
    <n v="370"/>
    <n v="24"/>
    <n v="562.4"/>
    <s v="Completed"/>
    <s v="Pune"/>
    <x v="3"/>
    <m/>
    <s v="Retail"/>
    <n v="59"/>
    <x v="0"/>
  </r>
  <r>
    <s v="ORD-01773"/>
    <d v="2024-02-07T00:00:00"/>
    <s v="CUST-0120"/>
    <s v="PROD-029"/>
    <s v="R001"/>
    <n v="6"/>
    <n v="2210"/>
    <n v="28.3"/>
    <n v="9507.42"/>
    <s v="Cancelled"/>
    <s v="Mumbai"/>
    <x v="2"/>
    <m/>
    <s v="Retail"/>
    <n v="29"/>
    <x v="2"/>
  </r>
  <r>
    <s v="ORD-01774"/>
    <d v="2024-09-14T00:00:00"/>
    <s v="CUST-0185"/>
    <s v="PROD-056"/>
    <s v="R002"/>
    <n v="3"/>
    <n v="6940"/>
    <n v="27.2"/>
    <n v="15156.96"/>
    <s v="Refunded"/>
    <s v="Hyderabad"/>
    <x v="1"/>
    <m/>
    <s v="SMB"/>
    <n v="43"/>
    <x v="0"/>
  </r>
  <r>
    <s v="ORD-01775"/>
    <d v="2024-05-11T00:00:00"/>
    <s v="CUST-0174"/>
    <s v="PROD-033"/>
    <s v="R018"/>
    <n v="10"/>
    <n v="2030"/>
    <n v="25.6"/>
    <n v="15103.2"/>
    <s v="Completed"/>
    <s v="Pune"/>
    <x v="3"/>
    <m/>
    <s v="Retail"/>
    <n v="54"/>
    <x v="0"/>
  </r>
  <r>
    <s v="ORD-01776"/>
    <d v="2024-08-29T00:00:00"/>
    <s v="CUST-0174"/>
    <s v="PROD-054"/>
    <s v="R017"/>
    <n v="9"/>
    <n v="1010"/>
    <n v="9.3000000000000007"/>
    <n v="8244.6299999999992"/>
    <s v="Completed"/>
    <s v="Pune"/>
    <x v="1"/>
    <m/>
    <s v="Retail"/>
    <n v="54"/>
    <x v="0"/>
  </r>
  <r>
    <s v="ORD-01777"/>
    <d v="2024-10-06T00:00:00"/>
    <s v="CUST-0084"/>
    <s v="PROD-017"/>
    <s v="R002"/>
    <n v="5"/>
    <n v="2510"/>
    <n v="22.2"/>
    <n v="9763.9"/>
    <s v="Completed"/>
    <s v="Chennai"/>
    <x v="0"/>
    <m/>
    <s v="Retail"/>
    <n v="28"/>
    <x v="3"/>
  </r>
  <r>
    <s v="ORD-01778"/>
    <d v="2024-05-29T00:00:00"/>
    <s v="CUST-0270"/>
    <s v="PROD-032"/>
    <s v="R002"/>
    <n v="10"/>
    <n v="370"/>
    <n v="29"/>
    <n v="2627"/>
    <s v="Completed"/>
    <s v="Bengaluru"/>
    <x v="3"/>
    <m/>
    <s v="Retail"/>
    <n v="29"/>
    <x v="1"/>
  </r>
  <r>
    <s v="ORD-01779"/>
    <d v="2024-04-21T00:00:00"/>
    <s v="CUST-0178"/>
    <s v="PROD-019"/>
    <s v="R021"/>
    <n v="3"/>
    <n v="2480"/>
    <n v="9.6"/>
    <n v="6725.76"/>
    <s v="Completed"/>
    <s v="Hyderabad"/>
    <x v="0"/>
    <m/>
    <s v="Retail"/>
    <n v="25"/>
    <x v="1"/>
  </r>
  <r>
    <s v="ORD-01780"/>
    <d v="2024-12-18T00:00:00"/>
    <s v="CUST-0019"/>
    <s v="PROD-010"/>
    <s v="R017"/>
    <n v="3"/>
    <n v="2640"/>
    <n v="10.199999999999999"/>
    <n v="7112.16"/>
    <s v="Cancelled"/>
    <s v="Chennai"/>
    <x v="4"/>
    <m/>
    <s v="Retail"/>
    <n v="22"/>
    <x v="3"/>
  </r>
  <r>
    <s v="ORD-01781"/>
    <d v="2024-07-31T00:00:00"/>
    <s v="CUST-0276"/>
    <s v="PROD-035"/>
    <s v="R020"/>
    <n v="1"/>
    <n v="1090"/>
    <n v="21.6"/>
    <n v="854.56"/>
    <s v="Cancelled"/>
    <s v="Chennai"/>
    <x v="3"/>
    <m/>
    <s v="Retail"/>
    <n v="26"/>
    <x v="3"/>
  </r>
  <r>
    <s v="ORD-01782"/>
    <d v="2024-11-10T00:00:00"/>
    <s v="CUST-0076"/>
    <s v="PROD-043"/>
    <s v="R002"/>
    <n v="10"/>
    <n v="3350"/>
    <n v="12.1"/>
    <n v="29446.5"/>
    <s v="Completed"/>
    <s v="Mumbai"/>
    <x v="5"/>
    <m/>
    <s v="Retail"/>
    <n v="38"/>
    <x v="3"/>
  </r>
  <r>
    <s v="ORD-01783"/>
    <d v="2024-09-27T00:00:00"/>
    <s v="CUST-0085"/>
    <s v="PROD-050"/>
    <s v="R015"/>
    <n v="4"/>
    <n v="6080"/>
    <n v="26.7"/>
    <n v="17826.560000000001"/>
    <s v="Cancelled"/>
    <s v="Chennai"/>
    <x v="5"/>
    <m/>
    <s v="Retail"/>
    <n v="26"/>
    <x v="1"/>
  </r>
  <r>
    <s v="ORD-01784"/>
    <d v="2024-03-21T00:00:00"/>
    <s v="CUST-0245"/>
    <s v="PROD-049"/>
    <s v="R002"/>
    <n v="3"/>
    <n v="960"/>
    <n v="13.2"/>
    <n v="2499.84"/>
    <s v="Completed"/>
    <s v="Hyderabad"/>
    <x v="5"/>
    <m/>
    <s v="Retail"/>
    <n v="65"/>
    <x v="0"/>
  </r>
  <r>
    <s v="ORD-01785"/>
    <d v="2024-11-14T00:00:00"/>
    <s v="CUST-0135"/>
    <s v="PROD-028"/>
    <s v="R007"/>
    <n v="9"/>
    <n v="3660"/>
    <n v="9.3000000000000007"/>
    <n v="29876.58"/>
    <s v="Cancelled"/>
    <s v="Pune"/>
    <x v="2"/>
    <m/>
    <s v="SMB"/>
    <n v="24"/>
    <x v="1"/>
  </r>
  <r>
    <s v="ORD-01786"/>
    <d v="2024-04-06T00:00:00"/>
    <s v="CUST-0224"/>
    <s v="PROD-047"/>
    <s v="R019"/>
    <n v="6"/>
    <n v="3450"/>
    <n v="8.1999999999999993"/>
    <n v="19002.599999999999"/>
    <s v="Completed"/>
    <s v="Chennai"/>
    <x v="5"/>
    <m/>
    <s v="Corporate"/>
    <n v="24"/>
    <x v="1"/>
  </r>
  <r>
    <s v="ORD-01787"/>
    <d v="2024-05-09T00:00:00"/>
    <s v="CUST-0036"/>
    <s v="PROD-039"/>
    <s v="R020"/>
    <n v="7"/>
    <n v="4610"/>
    <n v="10.4"/>
    <n v="28913.919999999998"/>
    <s v="Completed"/>
    <s v="Mumbai"/>
    <x v="3"/>
    <m/>
    <s v="Retail"/>
    <n v="35"/>
    <x v="3"/>
  </r>
  <r>
    <s v="ORD-01788"/>
    <d v="2024-08-25T00:00:00"/>
    <s v="CUST-0197"/>
    <s v="PROD-057"/>
    <s v="R009"/>
    <n v="2"/>
    <n v="960"/>
    <n v="16.5"/>
    <n v="1603.2"/>
    <s v="Completed"/>
    <s v="Bengaluru"/>
    <x v="1"/>
    <m/>
    <s v="Retail"/>
    <n v="55"/>
    <x v="0"/>
  </r>
  <r>
    <s v="ORD-01789"/>
    <d v="2024-09-18T00:00:00"/>
    <s v="CUST-0111"/>
    <s v="PROD-032"/>
    <s v="R023"/>
    <n v="7"/>
    <n v="370"/>
    <n v="1.4"/>
    <n v="2553.7399999999998"/>
    <s v="Refunded"/>
    <s v="Chennai"/>
    <x v="3"/>
    <m/>
    <s v="SMB"/>
    <n v="64"/>
    <x v="0"/>
  </r>
  <r>
    <s v="ORD-01790"/>
    <d v="2024-08-31T00:00:00"/>
    <s v="CUST-0198"/>
    <s v="PROD-024"/>
    <s v="R004"/>
    <n v="3"/>
    <n v="2270"/>
    <n v="12.6"/>
    <n v="5951.94"/>
    <s v="Completed"/>
    <s v="Chennai"/>
    <x v="2"/>
    <m/>
    <s v="Corporate"/>
    <n v="22"/>
    <x v="3"/>
  </r>
  <r>
    <s v="ORD-00268"/>
    <d v="2024-01-10T00:00:00"/>
    <s v="CUST-0049"/>
    <s v="PROD-036"/>
    <s v="R014"/>
    <n v="1"/>
    <n v="3250"/>
    <n v="17.8"/>
    <n v="2671.5"/>
    <s v="Completed"/>
    <s v="Mumbai"/>
    <x v="3"/>
    <m/>
    <s v="Corporate"/>
    <n v="42"/>
    <x v="0"/>
  </r>
  <r>
    <s v="ORD-01792"/>
    <d v="2024-04-22T00:00:00"/>
    <s v="CUST-0029"/>
    <s v="PROD-016"/>
    <s v="R018"/>
    <n v="5"/>
    <n v="620"/>
    <n v="19.399999999999999"/>
    <n v="2498.6"/>
    <s v="Pending"/>
    <s v="Chennai"/>
    <x v="0"/>
    <m/>
    <s v="Corporate"/>
    <n v="54"/>
    <x v="0"/>
  </r>
  <r>
    <s v="ORD-01793"/>
    <d v="2024-11-04T00:00:00"/>
    <s v="CUST-0018"/>
    <s v="PROD-008"/>
    <s v="R005"/>
    <n v="6"/>
    <n v="2660"/>
    <n v="14.9"/>
    <n v="13581.96"/>
    <s v="Completed"/>
    <s v="Pune"/>
    <x v="4"/>
    <m/>
    <s v="SMB"/>
    <n v="54"/>
    <x v="0"/>
  </r>
  <r>
    <s v="ORD-01794"/>
    <d v="2024-08-22T00:00:00"/>
    <s v="CUST-0007"/>
    <s v="PROD-014"/>
    <s v="R001"/>
    <n v="5"/>
    <n v="3620"/>
    <n v="21"/>
    <n v="14299"/>
    <s v="Cancelled"/>
    <s v="Bengaluru"/>
    <x v="0"/>
    <m/>
    <s v="Retail"/>
    <n v="47"/>
    <x v="0"/>
  </r>
  <r>
    <s v="ORD-01795"/>
    <d v="2024-10-15T00:00:00"/>
    <s v="CUST-0014"/>
    <s v="PROD-013"/>
    <s v="R021"/>
    <n v="1"/>
    <n v="3640"/>
    <n v="15.8"/>
    <n v="3064.88"/>
    <s v="Completed"/>
    <s v="Bengaluru"/>
    <x v="0"/>
    <m/>
    <s v="Retail"/>
    <n v="48"/>
    <x v="0"/>
  </r>
  <r>
    <s v="ORD-01796"/>
    <d v="2024-06-01T00:00:00"/>
    <s v="CUST-0215"/>
    <s v="PROD-009"/>
    <s v="R007"/>
    <n v="1"/>
    <n v="1220"/>
    <n v="0.6"/>
    <n v="1212.68"/>
    <s v="Refunded"/>
    <s v="Hyderabad"/>
    <x v="4"/>
    <m/>
    <s v="Retail"/>
    <n v="52"/>
    <x v="0"/>
  </r>
  <r>
    <s v="ORD-01797"/>
    <d v="2024-02-28T00:00:00"/>
    <s v="CUST-0056"/>
    <s v="PROD-019"/>
    <s v="R002"/>
    <n v="10"/>
    <n v="2480"/>
    <n v="0.6"/>
    <n v="24651.200000000001"/>
    <s v="Completed"/>
    <s v="Bengaluru"/>
    <x v="0"/>
    <m/>
    <s v="SMB"/>
    <n v="46"/>
    <x v="0"/>
  </r>
  <r>
    <s v="ORD-01798"/>
    <d v="2024-12-08T00:00:00"/>
    <s v="CUST-0231"/>
    <s v="PROD-044"/>
    <s v="R027"/>
    <n v="9"/>
    <n v="1650"/>
    <n v="26.8"/>
    <n v="10870.2"/>
    <s v="Completed"/>
    <s v="Chennai"/>
    <x v="5"/>
    <m/>
    <s v="Retail"/>
    <n v="61"/>
    <x v="0"/>
  </r>
  <r>
    <s v="ORD-01799"/>
    <d v="2024-09-25T00:00:00"/>
    <s v="CUST-0138"/>
    <s v="PROD-045"/>
    <s v="R008"/>
    <n v="10"/>
    <n v="3020"/>
    <n v="2.6"/>
    <n v="29414.799999999999"/>
    <s v="Completed"/>
    <s v="Chennai"/>
    <x v="5"/>
    <m/>
    <s v="Retail"/>
    <n v="24"/>
    <x v="2"/>
  </r>
  <r>
    <s v="ORD-01800"/>
    <d v="2024-09-09T00:00:00"/>
    <s v="CUST-0007"/>
    <s v="PROD-011"/>
    <s v="R014"/>
    <n v="5"/>
    <n v="3450"/>
    <n v="25.3"/>
    <n v="12885.75"/>
    <s v="Completed"/>
    <s v="Bengaluru"/>
    <x v="0"/>
    <m/>
    <s v="Retail"/>
    <n v="47"/>
    <x v="0"/>
  </r>
  <r>
    <s v="ORD-01801"/>
    <d v="2024-06-14T00:00:00"/>
    <s v="CUST-0118"/>
    <s v="PROD-009"/>
    <s v="R019"/>
    <n v="7"/>
    <n v="1220"/>
    <n v="13.1"/>
    <n v="7421.26"/>
    <s v="Completed"/>
    <s v="Hyderabad"/>
    <x v="4"/>
    <m/>
    <s v="Retail"/>
    <n v="26"/>
    <x v="4"/>
  </r>
  <r>
    <s v="ORD-01802"/>
    <d v="2024-10-13T00:00:00"/>
    <s v="CUST-0064"/>
    <s v="PROD-027"/>
    <s v="R005"/>
    <n v="10"/>
    <n v="3780"/>
    <n v="23.7"/>
    <n v="28841.4"/>
    <s v="Completed"/>
    <s v="Hyderabad"/>
    <x v="2"/>
    <m/>
    <s v="SMB"/>
    <n v="40"/>
    <x v="3"/>
  </r>
  <r>
    <s v="ORD-01803"/>
    <d v="2024-04-23T00:00:00"/>
    <s v="CUST-0298"/>
    <s v="PROD-008"/>
    <s v="R002"/>
    <n v="8"/>
    <n v="2660"/>
    <n v="16.100000000000001"/>
    <n v="17853.919999999998"/>
    <s v="Completed"/>
    <s v="Delhi"/>
    <x v="4"/>
    <m/>
    <s v="Retail"/>
    <n v="44"/>
    <x v="0"/>
  </r>
  <r>
    <s v="ORD-01804"/>
    <d v="2024-02-16T00:00:00"/>
    <s v="CUST-0020"/>
    <s v="PROD-035"/>
    <s v="R008"/>
    <n v="6"/>
    <n v="1090"/>
    <n v="20"/>
    <n v="5232"/>
    <s v="Pending"/>
    <s v="Hyderabad"/>
    <x v="3"/>
    <m/>
    <s v="Retail"/>
    <n v="46"/>
    <x v="0"/>
  </r>
  <r>
    <s v="ORD-01805"/>
    <d v="2024-02-02T00:00:00"/>
    <s v="CUST-9725"/>
    <s v="PROD-037"/>
    <s v="R016"/>
    <n v="2"/>
    <n v="660"/>
    <n v="18.7"/>
    <n v="1073.1600000000001"/>
    <s v="Completed"/>
    <s v="Mumbai"/>
    <x v="3"/>
    <m/>
    <e v="#N/A"/>
    <e v="#N/A"/>
    <x v="0"/>
  </r>
  <r>
    <s v="ORD-01806"/>
    <d v="2024-02-10T00:00:00"/>
    <s v="CUST-0063"/>
    <s v="PROD-035"/>
    <s v="R015"/>
    <n v="7"/>
    <n v="1090"/>
    <n v="19.399999999999999"/>
    <n v="6149.78"/>
    <s v="Pending"/>
    <s v="Mumbai"/>
    <x v="3"/>
    <m/>
    <s v="SMB"/>
    <n v="53"/>
    <x v="0"/>
  </r>
  <r>
    <s v="ORD-01807"/>
    <d v="2024-05-17T00:00:00"/>
    <s v="CUST-0193"/>
    <s v="PROD-029"/>
    <s v="R015"/>
    <n v="3"/>
    <n v="2210"/>
    <n v="11"/>
    <n v="5900.7"/>
    <s v="Completed"/>
    <s v="Bengaluru"/>
    <x v="2"/>
    <m/>
    <s v="Retail"/>
    <n v="42"/>
    <x v="0"/>
  </r>
  <r>
    <s v="ORD-01808"/>
    <d v="2024-05-08T00:00:00"/>
    <s v="CUST-0142"/>
    <s v="PROD-006"/>
    <s v="R029"/>
    <n v="2"/>
    <n v="3970"/>
    <n v="24.9"/>
    <n v="5962.94"/>
    <s v="Completed"/>
    <s v="Chennai"/>
    <x v="4"/>
    <m/>
    <s v="Corporate"/>
    <n v="55"/>
    <x v="0"/>
  </r>
  <r>
    <s v="ORD-01809"/>
    <d v="2024-04-21T00:00:00"/>
    <s v="CUST-0264"/>
    <s v="PROD-039"/>
    <s v="R021"/>
    <n v="7"/>
    <n v="4610"/>
    <n v="6.3"/>
    <n v="30236.99"/>
    <s v="Completed"/>
    <s v="Pune"/>
    <x v="3"/>
    <m/>
    <s v="Retail"/>
    <n v="59"/>
    <x v="0"/>
  </r>
  <r>
    <s v="ORD-01810"/>
    <d v="2024-04-21T00:00:00"/>
    <s v="CUST-0121"/>
    <s v="PROD-049"/>
    <s v="R026"/>
    <n v="10"/>
    <n v="960"/>
    <n v="14.6"/>
    <n v="8198.4"/>
    <s v="Completed"/>
    <s v="Delhi"/>
    <x v="5"/>
    <m/>
    <s v="SMB"/>
    <n v="55"/>
    <x v="0"/>
  </r>
  <r>
    <s v="ORD-01811"/>
    <d v="2024-11-04T00:00:00"/>
    <s v="CUST-0152"/>
    <s v="PROD-045"/>
    <s v="R016"/>
    <n v="8"/>
    <n v="3020"/>
    <n v="14.5"/>
    <n v="20656.8"/>
    <s v="Completed"/>
    <s v="Bengaluru"/>
    <x v="5"/>
    <m/>
    <s v="SMB"/>
    <n v="64"/>
    <x v="0"/>
  </r>
  <r>
    <s v="ORD-01812"/>
    <d v="2024-12-03T00:00:00"/>
    <s v="CUST-0008"/>
    <s v="PROD-019"/>
    <s v="R026"/>
    <n v="7"/>
    <n v="2480"/>
    <n v="17.3"/>
    <n v="14356.72"/>
    <s v="Completed"/>
    <s v="Pune"/>
    <x v="0"/>
    <m/>
    <s v="SMB"/>
    <n v="39"/>
    <x v="4"/>
  </r>
  <r>
    <s v="ORD-01813"/>
    <d v="2024-02-08T00:00:00"/>
    <s v="CUST-0285"/>
    <s v="PROD-004"/>
    <s v="R013"/>
    <n v="10"/>
    <n v="3870"/>
    <n v="22.4"/>
    <n v="30031.200000000001"/>
    <s v="Pending"/>
    <s v="Hyderabad"/>
    <x v="4"/>
    <m/>
    <s v="Retail"/>
    <n v="22"/>
    <x v="2"/>
  </r>
  <r>
    <s v="ORD-01814"/>
    <d v="2024-09-16T00:00:00"/>
    <s v="CUST-0072"/>
    <s v="PROD-037"/>
    <s v="R022"/>
    <n v="6"/>
    <n v="660"/>
    <n v="27.3"/>
    <n v="2878.92"/>
    <s v="Completed"/>
    <s v="Mumbai"/>
    <x v="3"/>
    <m/>
    <s v="Corporate"/>
    <n v="62"/>
    <x v="0"/>
  </r>
  <r>
    <s v="ORD-01815"/>
    <d v="2024-01-30T00:00:00"/>
    <s v="CUST-9630"/>
    <s v="PROD-004"/>
    <s v="R026"/>
    <n v="3"/>
    <n v="3870"/>
    <n v="7.6"/>
    <n v="10727.64"/>
    <s v="Cancelled"/>
    <s v="Chennai"/>
    <x v="4"/>
    <m/>
    <e v="#N/A"/>
    <e v="#N/A"/>
    <x v="0"/>
  </r>
  <r>
    <s v="ORD-01816"/>
    <d v="2024-09-07T00:00:00"/>
    <s v="CUST-0243"/>
    <s v="PROD-019"/>
    <s v="R006"/>
    <n v="10"/>
    <n v="2480"/>
    <n v="21.5"/>
    <n v="19468"/>
    <s v="Pending"/>
    <s v="Pune"/>
    <x v="0"/>
    <m/>
    <s v="SMB"/>
    <n v="44"/>
    <x v="0"/>
  </r>
  <r>
    <s v="ORD-01817"/>
    <d v="2024-12-17T00:00:00"/>
    <s v="CUST-0231"/>
    <s v="PROD-010"/>
    <s v="R001"/>
    <n v="8"/>
    <n v="2640"/>
    <n v="22.3"/>
    <n v="16410.240000000002"/>
    <s v="Completed"/>
    <s v="Chennai"/>
    <x v="4"/>
    <m/>
    <s v="Retail"/>
    <n v="61"/>
    <x v="0"/>
  </r>
  <r>
    <s v="ORD-01818"/>
    <d v="2024-09-24T00:00:00"/>
    <s v="CUST-0229"/>
    <s v="PROD-030"/>
    <s v="R001"/>
    <n v="8"/>
    <n v="970"/>
    <n v="13.1"/>
    <n v="6743.44"/>
    <s v="Completed"/>
    <s v="Hyderabad"/>
    <x v="2"/>
    <m/>
    <s v="SMB"/>
    <n v="25"/>
    <x v="1"/>
  </r>
  <r>
    <s v="ORD-01819"/>
    <d v="2024-05-04T00:00:00"/>
    <s v="CUST-0218"/>
    <s v="PROD-057"/>
    <s v="R001"/>
    <n v="6"/>
    <n v="960"/>
    <n v="3.2"/>
    <n v="5575.68"/>
    <s v="Completed"/>
    <s v="Mumbai"/>
    <x v="1"/>
    <m/>
    <s v="Retail"/>
    <n v="39"/>
    <x v="1"/>
  </r>
  <r>
    <s v="ORD-01820"/>
    <d v="2024-06-26T00:00:00"/>
    <s v="CUST-0015"/>
    <s v="PROD-033"/>
    <s v="R008"/>
    <n v="9"/>
    <n v="2030"/>
    <n v="12.6"/>
    <n v="15967.98"/>
    <s v="Cancelled"/>
    <s v="Chennai"/>
    <x v="3"/>
    <m/>
    <s v="Retail"/>
    <n v="31"/>
    <x v="1"/>
  </r>
  <r>
    <s v="ORD-01821"/>
    <d v="2024-04-05T00:00:00"/>
    <s v="CUST-0291"/>
    <s v="PROD-042"/>
    <s v="R024"/>
    <n v="10"/>
    <n v="2290"/>
    <n v="22.2"/>
    <n v="17816.2"/>
    <s v="Completed"/>
    <s v="Pune"/>
    <x v="5"/>
    <m/>
    <s v="SMB"/>
    <n v="29"/>
    <x v="1"/>
  </r>
  <r>
    <s v="ORD-01822"/>
    <d v="2024-03-22T00:00:00"/>
    <s v="CUST-0276"/>
    <s v="PROD-020"/>
    <s v="R027"/>
    <n v="7"/>
    <n v="820"/>
    <n v="6.4"/>
    <n v="5372.64"/>
    <s v="Refunded"/>
    <s v="Chennai"/>
    <x v="0"/>
    <m/>
    <s v="Retail"/>
    <n v="26"/>
    <x v="2"/>
  </r>
  <r>
    <s v="ORD-01823"/>
    <d v="2024-11-18T00:00:00"/>
    <s v="CUST-0139"/>
    <s v="PROD-040"/>
    <s v="R030"/>
    <n v="5"/>
    <n v="1080"/>
    <n v="6"/>
    <n v="5076"/>
    <s v="Completed"/>
    <s v="Hyderabad"/>
    <x v="3"/>
    <m/>
    <s v="SMB"/>
    <n v="65"/>
    <x v="0"/>
  </r>
  <r>
    <s v="ORD-01824"/>
    <d v="2024-01-19T00:00:00"/>
    <s v="CUST-0087"/>
    <s v="PROD-060"/>
    <s v="R028"/>
    <n v="4"/>
    <n v="190"/>
    <n v="6.3"/>
    <n v="712.12"/>
    <s v="Refunded"/>
    <s v="Pune"/>
    <x v="1"/>
    <m/>
    <s v="SMB"/>
    <n v="49"/>
    <x v="0"/>
  </r>
  <r>
    <s v="ORD-01825"/>
    <d v="2024-01-28T00:00:00"/>
    <s v="CUST-0203"/>
    <s v="PROD-017"/>
    <s v="R029"/>
    <n v="6"/>
    <n v="2510"/>
    <n v="11.5"/>
    <n v="13328.1"/>
    <s v="Completed"/>
    <s v="Chennai"/>
    <x v="0"/>
    <m/>
    <s v="SMB"/>
    <n v="55"/>
    <x v="0"/>
  </r>
  <r>
    <s v="ORD-01826"/>
    <d v="2024-01-08T00:00:00"/>
    <s v="CUST-0180"/>
    <s v="PROD-018"/>
    <s v="R015"/>
    <n v="2"/>
    <n v="3560"/>
    <n v="10.5"/>
    <n v="6372.4"/>
    <s v="Completed"/>
    <s v="Chennai"/>
    <x v="0"/>
    <m/>
    <s v="Retail"/>
    <n v="36"/>
    <x v="2"/>
  </r>
  <r>
    <s v="ORD-01827"/>
    <d v="2024-09-21T00:00:00"/>
    <s v="CUST-0130"/>
    <s v="PROD-020"/>
    <s v="R013"/>
    <n v="3"/>
    <n v="820"/>
    <n v="13"/>
    <n v="2140.1999999999998"/>
    <s v="Cancelled"/>
    <s v="Bengaluru"/>
    <x v="0"/>
    <m/>
    <s v="Corporate"/>
    <n v="41"/>
    <x v="0"/>
  </r>
  <r>
    <s v="ORD-01828"/>
    <d v="2024-07-27T00:00:00"/>
    <s v="CUST-0049"/>
    <s v="PROD-013"/>
    <s v="R003"/>
    <n v="6"/>
    <n v="3640"/>
    <n v="14"/>
    <n v="18782.400000000001"/>
    <s v="Completed"/>
    <s v="Mumbai"/>
    <x v="0"/>
    <m/>
    <s v="Corporate"/>
    <n v="42"/>
    <x v="0"/>
  </r>
  <r>
    <s v="ORD-01829"/>
    <d v="2024-03-19T00:00:00"/>
    <s v="CUST-0182"/>
    <s v="PROD-028"/>
    <s v="R019"/>
    <n v="5"/>
    <n v="3660"/>
    <n v="28.7"/>
    <n v="13047.9"/>
    <s v="Completed"/>
    <s v="Mumbai"/>
    <x v="2"/>
    <m/>
    <s v="Retail"/>
    <n v="54"/>
    <x v="0"/>
  </r>
  <r>
    <s v="ORD-01830"/>
    <d v="2024-08-17T00:00:00"/>
    <s v="CUST-0291"/>
    <s v="PROD-055"/>
    <s v="R030"/>
    <n v="2"/>
    <n v="2860"/>
    <n v="21.1"/>
    <n v="4513.08"/>
    <s v="Completed"/>
    <s v="Pune"/>
    <x v="1"/>
    <m/>
    <s v="SMB"/>
    <n v="29"/>
    <x v="3"/>
  </r>
  <r>
    <s v="ORD-01831"/>
    <d v="2024-07-08T00:00:00"/>
    <s v="CUST-0167"/>
    <s v="PROD-015"/>
    <s v="R019"/>
    <n v="1"/>
    <n v="2720"/>
    <n v="22.1"/>
    <n v="2118.88"/>
    <s v="Completed"/>
    <s v="Delhi"/>
    <x v="0"/>
    <m/>
    <s v="Retail"/>
    <n v="43"/>
    <x v="0"/>
  </r>
  <r>
    <s v="ORD-01832"/>
    <d v="2024-12-07T00:00:00"/>
    <s v="CUST-0223"/>
    <s v="PROD-055"/>
    <s v="R004"/>
    <n v="6"/>
    <n v="2860"/>
    <n v="10.5"/>
    <n v="15358.2"/>
    <s v="Cancelled"/>
    <s v="Bengaluru"/>
    <x v="1"/>
    <m/>
    <s v="Retail"/>
    <n v="46"/>
    <x v="0"/>
  </r>
  <r>
    <s v="ORD-01833"/>
    <d v="2024-01-14T00:00:00"/>
    <s v="CUST-0050"/>
    <s v="PROD-017"/>
    <s v="R020"/>
    <n v="1"/>
    <n v="2510"/>
    <n v="12"/>
    <n v="2208.8000000000002"/>
    <s v="Completed"/>
    <s v="Mumbai"/>
    <x v="0"/>
    <m/>
    <s v="Retail"/>
    <n v="37"/>
    <x v="1"/>
  </r>
  <r>
    <s v="ORD-01834"/>
    <d v="2024-10-28T00:00:00"/>
    <s v="CUST-0242"/>
    <s v="PROD-017"/>
    <s v="R020"/>
    <n v="4"/>
    <n v="2510"/>
    <n v="23.2"/>
    <n v="7710.72"/>
    <s v="Completed"/>
    <s v="Chennai"/>
    <x v="0"/>
    <m/>
    <s v="SMB"/>
    <n v="59"/>
    <x v="0"/>
  </r>
  <r>
    <s v="ORD-01835"/>
    <d v="2024-09-20T00:00:00"/>
    <s v="CUST-0144"/>
    <s v="PROD-049"/>
    <s v="R005"/>
    <n v="8"/>
    <n v="960"/>
    <n v="20.3"/>
    <n v="6120.96"/>
    <s v="Pending"/>
    <s v="Chennai"/>
    <x v="5"/>
    <m/>
    <s v="Retail"/>
    <n v="49"/>
    <x v="0"/>
  </r>
  <r>
    <s v="ORD-01836"/>
    <d v="2024-04-24T00:00:00"/>
    <s v="CUST-0140"/>
    <s v="PROD-038"/>
    <s v="R010"/>
    <n v="3"/>
    <n v="5490"/>
    <n v="25.2"/>
    <n v="12319.56"/>
    <s v="Completed"/>
    <s v="Hyderabad"/>
    <x v="3"/>
    <m/>
    <s v="SMB"/>
    <n v="39"/>
    <x v="1"/>
  </r>
  <r>
    <s v="ORD-01837"/>
    <d v="2024-12-21T00:00:00"/>
    <s v="CUST-0174"/>
    <s v="PROD-017"/>
    <s v="R006"/>
    <n v="2"/>
    <n v="2510"/>
    <n v="28.2"/>
    <n v="3604.36"/>
    <s v="Completed"/>
    <s v="Pune"/>
    <x v="0"/>
    <m/>
    <s v="Retail"/>
    <n v="54"/>
    <x v="0"/>
  </r>
  <r>
    <s v="ORD-01838"/>
    <d v="2024-04-04T00:00:00"/>
    <s v="CUST-0290"/>
    <s v="PROD-020"/>
    <s v="R011"/>
    <n v="1"/>
    <n v="820"/>
    <n v="4.7"/>
    <n v="781.46"/>
    <s v="Completed"/>
    <s v="Delhi"/>
    <x v="0"/>
    <m/>
    <s v="Retail"/>
    <n v="63"/>
    <x v="0"/>
  </r>
  <r>
    <s v="ORD-01839"/>
    <d v="2024-06-10T00:00:00"/>
    <s v="CUST-0170"/>
    <s v="PROD-005"/>
    <s v="R018"/>
    <n v="6"/>
    <n v="300"/>
    <n v="13.3"/>
    <n v="1560.6"/>
    <s v="Completed"/>
    <s v="Mumbai"/>
    <x v="4"/>
    <m/>
    <s v="SMB"/>
    <n v="22"/>
    <x v="4"/>
  </r>
  <r>
    <s v="ORD-01840"/>
    <d v="2024-07-19T00:00:00"/>
    <s v="CUST-0180"/>
    <s v="PROD-043"/>
    <s v="R016"/>
    <n v="4"/>
    <n v="3350"/>
    <n v="5.8"/>
    <n v="12622.8"/>
    <s v="Pending"/>
    <s v="Chennai"/>
    <x v="5"/>
    <m/>
    <s v="Retail"/>
    <n v="36"/>
    <x v="3"/>
  </r>
  <r>
    <s v="ORD-01841"/>
    <d v="2024-11-09T00:00:00"/>
    <s v="CUST-0286"/>
    <s v="PROD-036"/>
    <s v="R025"/>
    <n v="3"/>
    <n v="3250"/>
    <n v="19.600000000000001"/>
    <n v="7839"/>
    <s v="Pending"/>
    <s v="Delhi"/>
    <x v="3"/>
    <m/>
    <s v="Retail"/>
    <n v="62"/>
    <x v="0"/>
  </r>
  <r>
    <s v="ORD-01842"/>
    <d v="2024-02-22T00:00:00"/>
    <s v="CUST-0056"/>
    <s v="PROD-044"/>
    <s v="R027"/>
    <n v="10"/>
    <n v="1650"/>
    <n v="22.5"/>
    <n v="12787.5"/>
    <s v="Cancelled"/>
    <s v="Bengaluru"/>
    <x v="5"/>
    <m/>
    <s v="SMB"/>
    <n v="46"/>
    <x v="0"/>
  </r>
  <r>
    <s v="ORD-01843"/>
    <d v="2024-08-02T00:00:00"/>
    <s v="CUST-0292"/>
    <s v="PROD-009"/>
    <s v="R026"/>
    <n v="2"/>
    <n v="1220"/>
    <n v="10.5"/>
    <n v="2183.8000000000002"/>
    <s v="Completed"/>
    <s v="Bengaluru"/>
    <x v="4"/>
    <m/>
    <s v="Retail"/>
    <n v="32"/>
    <x v="2"/>
  </r>
  <r>
    <s v="ORD-01844"/>
    <d v="2024-08-17T00:00:00"/>
    <s v="CUST-0020"/>
    <s v="PROD-049"/>
    <s v="R026"/>
    <n v="7"/>
    <n v="960"/>
    <n v="5.4"/>
    <n v="6357.12"/>
    <s v="Refunded"/>
    <s v="Hyderabad"/>
    <x v="5"/>
    <m/>
    <s v="Retail"/>
    <n v="46"/>
    <x v="0"/>
  </r>
  <r>
    <s v="ORD-01845"/>
    <d v="2024-04-07T00:00:00"/>
    <s v="CUST-0089"/>
    <s v="PROD-046"/>
    <s v="R014"/>
    <n v="3"/>
    <n v="4880"/>
    <n v="17.100000000000001"/>
    <n v="12136.56"/>
    <s v="Completed"/>
    <s v="Mumbai"/>
    <x v="5"/>
    <m/>
    <s v="SMB"/>
    <n v="43"/>
    <x v="0"/>
  </r>
  <r>
    <s v="ORD-01846"/>
    <d v="2024-04-08T00:00:00"/>
    <s v="CUST-0242"/>
    <s v="PROD-024"/>
    <s v="R028"/>
    <n v="5"/>
    <n v="2270"/>
    <n v="12.4"/>
    <n v="9942.6"/>
    <s v="Completed"/>
    <s v="Chennai"/>
    <x v="2"/>
    <m/>
    <s v="SMB"/>
    <n v="59"/>
    <x v="0"/>
  </r>
  <r>
    <s v="ORD-01847"/>
    <d v="2024-05-01T00:00:00"/>
    <s v="CUST-0249"/>
    <s v="PROD-035"/>
    <s v="R028"/>
    <n v="1"/>
    <n v="1090"/>
    <n v="17.3"/>
    <n v="901.43"/>
    <s v="Completed"/>
    <s v="Mumbai"/>
    <x v="3"/>
    <m/>
    <s v="Retail"/>
    <n v="44"/>
    <x v="0"/>
  </r>
  <r>
    <s v="ORD-01848"/>
    <d v="2024-08-31T00:00:00"/>
    <s v="CUST-0032"/>
    <s v="PROD-034"/>
    <s v="R029"/>
    <n v="8"/>
    <n v="5080"/>
    <n v="0.9"/>
    <n v="40274.239999999998"/>
    <s v="Completed"/>
    <s v="Hyderabad"/>
    <x v="3"/>
    <m/>
    <s v="Retail"/>
    <n v="28"/>
    <x v="2"/>
  </r>
  <r>
    <s v="ORD-01849"/>
    <d v="2024-10-04T00:00:00"/>
    <s v="CUST-0217"/>
    <s v="PROD-039"/>
    <s v="R017"/>
    <n v="7"/>
    <n v="4610"/>
    <n v="0.9"/>
    <n v="31979.57"/>
    <s v="Completed"/>
    <s v="Pune"/>
    <x v="3"/>
    <m/>
    <s v="SMB"/>
    <n v="59"/>
    <x v="0"/>
  </r>
  <r>
    <s v="ORD-01850"/>
    <d v="2024-08-23T00:00:00"/>
    <s v="CUST-0284"/>
    <s v="PROD-045"/>
    <s v="R028"/>
    <n v="1"/>
    <n v="3020"/>
    <n v="10.3"/>
    <n v="2708.94"/>
    <s v="Completed"/>
    <s v="Hyderabad"/>
    <x v="5"/>
    <m/>
    <s v="SMB"/>
    <n v="65"/>
    <x v="0"/>
  </r>
  <r>
    <s v="ORD-01851"/>
    <d v="2024-06-10T00:00:00"/>
    <s v="CUST-0167"/>
    <s v="PROD-022"/>
    <s v="R028"/>
    <n v="6"/>
    <n v="2270"/>
    <n v="23.1"/>
    <n v="10473.780000000001"/>
    <s v="Completed"/>
    <s v="Delhi"/>
    <x v="2"/>
    <m/>
    <s v="Retail"/>
    <n v="43"/>
    <x v="0"/>
  </r>
  <r>
    <s v="ORD-01852"/>
    <d v="2024-11-09T00:00:00"/>
    <s v="CUST-0008"/>
    <s v="PROD-026"/>
    <s v="R010"/>
    <n v="6"/>
    <n v="4070"/>
    <n v="28.9"/>
    <n v="17362.62"/>
    <s v="Completed"/>
    <s v="Pune"/>
    <x v="2"/>
    <m/>
    <s v="SMB"/>
    <n v="39"/>
    <x v="2"/>
  </r>
  <r>
    <s v="ORD-01853"/>
    <d v="2024-12-24T00:00:00"/>
    <s v="CUST-0277"/>
    <s v="PROD-009"/>
    <s v="R017"/>
    <n v="5"/>
    <n v="1220"/>
    <n v="18.7"/>
    <n v="4959.3"/>
    <s v="Completed"/>
    <s v="Chennai"/>
    <x v="4"/>
    <m/>
    <s v="Corporate"/>
    <n v="34"/>
    <x v="4"/>
  </r>
  <r>
    <s v="ORD-01854"/>
    <d v="2024-04-30T00:00:00"/>
    <s v="CUST-0025"/>
    <s v="PROD-019"/>
    <s v="R024"/>
    <n v="8"/>
    <n v="2480"/>
    <n v="3.2"/>
    <n v="19205.12"/>
    <s v="Cancelled"/>
    <s v="Bengaluru"/>
    <x v="0"/>
    <m/>
    <s v="Retail"/>
    <n v="23"/>
    <x v="3"/>
  </r>
  <r>
    <s v="ORD-01855"/>
    <d v="2024-09-19T00:00:00"/>
    <s v="CUST-0228"/>
    <s v="PROD-055"/>
    <s v="R007"/>
    <n v="7"/>
    <n v="2860"/>
    <n v="8.4"/>
    <n v="18338.32"/>
    <s v="Completed"/>
    <s v="Pune"/>
    <x v="1"/>
    <m/>
    <s v="Corporate"/>
    <n v="37"/>
    <x v="2"/>
  </r>
  <r>
    <s v="ORD-01856"/>
    <d v="2024-03-14T00:00:00"/>
    <s v="CUST-0078"/>
    <s v="PROD-027"/>
    <s v="R024"/>
    <n v="1"/>
    <n v="3780"/>
    <n v="16.3"/>
    <n v="3163.86"/>
    <s v="Cancelled"/>
    <s v="Delhi"/>
    <x v="2"/>
    <m/>
    <s v="Retail"/>
    <n v="31"/>
    <x v="1"/>
  </r>
  <r>
    <s v="ORD-01857"/>
    <d v="2024-07-31T00:00:00"/>
    <s v="CUST-0205"/>
    <s v="PROD-055"/>
    <s v="R025"/>
    <n v="6"/>
    <n v="2860"/>
    <n v="10.7"/>
    <n v="15323.88"/>
    <s v="Completed"/>
    <s v="Pune"/>
    <x v="1"/>
    <m/>
    <s v="Corporate"/>
    <n v="29"/>
    <x v="2"/>
  </r>
  <r>
    <s v="ORD-01858"/>
    <d v="2024-12-26T00:00:00"/>
    <s v="CUST-0044"/>
    <s v="PROD-058"/>
    <s v="R027"/>
    <n v="3"/>
    <n v="2400"/>
    <n v="20.7"/>
    <n v="5709.6"/>
    <s v="Completed"/>
    <s v="Hyderabad"/>
    <x v="1"/>
    <m/>
    <s v="SMB"/>
    <n v="29"/>
    <x v="2"/>
  </r>
  <r>
    <s v="ORD-01859"/>
    <d v="2024-02-08T00:00:00"/>
    <s v="CUST-0188"/>
    <s v="PROD-023"/>
    <s v="R025"/>
    <n v="8"/>
    <n v="2380"/>
    <n v="22.3"/>
    <n v="14794.08"/>
    <s v="Refunded"/>
    <s v="Bengaluru"/>
    <x v="2"/>
    <m/>
    <s v="Retail"/>
    <n v="54"/>
    <x v="0"/>
  </r>
  <r>
    <s v="ORD-01860"/>
    <d v="2024-08-29T00:00:00"/>
    <s v="CUST-0165"/>
    <s v="PROD-048"/>
    <s v="R006"/>
    <n v="7"/>
    <n v="5100"/>
    <n v="22.9"/>
    <n v="27524.7"/>
    <s v="Cancelled"/>
    <s v="Pune"/>
    <x v="5"/>
    <m/>
    <s v="Retail"/>
    <n v="29"/>
    <x v="2"/>
  </r>
  <r>
    <s v="ORD-01861"/>
    <d v="2024-06-20T00:00:00"/>
    <s v="CUST-0059"/>
    <s v="PROD-005"/>
    <s v="R015"/>
    <n v="7"/>
    <n v="300"/>
    <n v="15.3"/>
    <n v="1778.7"/>
    <s v="Completed"/>
    <s v="Pune"/>
    <x v="4"/>
    <m/>
    <s v="Corporate"/>
    <n v="29"/>
    <x v="1"/>
  </r>
  <r>
    <s v="ORD-01862"/>
    <d v="2024-05-16T00:00:00"/>
    <s v="CUST-0280"/>
    <s v="PROD-051"/>
    <s v="R010"/>
    <n v="5"/>
    <n v="3450"/>
    <n v="16.8"/>
    <n v="14352"/>
    <s v="Completed"/>
    <s v="Delhi"/>
    <x v="1"/>
    <m/>
    <s v="SMB"/>
    <n v="27"/>
    <x v="4"/>
  </r>
  <r>
    <s v="ORD-01863"/>
    <d v="2024-12-08T00:00:00"/>
    <s v="CUST-0153"/>
    <s v="PROD-055"/>
    <s v="R014"/>
    <n v="4"/>
    <n v="2860"/>
    <n v="14.3"/>
    <n v="9804.08"/>
    <s v="Completed"/>
    <s v="Mumbai"/>
    <x v="1"/>
    <m/>
    <s v="Retail"/>
    <n v="35"/>
    <x v="4"/>
  </r>
  <r>
    <s v="ORD-01864"/>
    <d v="2024-12-01T00:00:00"/>
    <s v="CUST-0251"/>
    <s v="PROD-015"/>
    <s v="R001"/>
    <n v="6"/>
    <n v="2720"/>
    <n v="25.1"/>
    <n v="12223.68"/>
    <s v="Cancelled"/>
    <s v="Mumbai"/>
    <x v="0"/>
    <m/>
    <s v="Retail"/>
    <n v="44"/>
    <x v="0"/>
  </r>
  <r>
    <s v="ORD-01865"/>
    <d v="2024-05-17T00:00:00"/>
    <s v="CUST-0255"/>
    <s v="PROD-031"/>
    <s v="R028"/>
    <n v="3"/>
    <n v="3730"/>
    <n v="24.8"/>
    <n v="8414.8799999999992"/>
    <s v="Completed"/>
    <s v="Chennai"/>
    <x v="3"/>
    <m/>
    <s v="Corporate"/>
    <n v="51"/>
    <x v="0"/>
  </r>
  <r>
    <s v="ORD-01866"/>
    <d v="2024-12-22T00:00:00"/>
    <s v="CUST-0076"/>
    <s v="PROD-025"/>
    <s v="R002"/>
    <n v="2"/>
    <n v="4060"/>
    <n v="11.3"/>
    <n v="7202.44"/>
    <s v="Completed"/>
    <s v="Mumbai"/>
    <x v="2"/>
    <m/>
    <s v="Retail"/>
    <n v="38"/>
    <x v="2"/>
  </r>
  <r>
    <s v="ORD-01867"/>
    <d v="2024-01-04T00:00:00"/>
    <s v="CUST-0195"/>
    <s v="PROD-042"/>
    <s v="R018"/>
    <n v="6"/>
    <n v="2290"/>
    <n v="26.8"/>
    <n v="10057.68"/>
    <s v="Refunded"/>
    <s v="Bengaluru"/>
    <x v="5"/>
    <m/>
    <s v="Retail"/>
    <n v="28"/>
    <x v="1"/>
  </r>
  <r>
    <s v="ORD-01868"/>
    <d v="2024-05-06T00:00:00"/>
    <s v="CUST-0164"/>
    <s v="PROD-056"/>
    <s v="R013"/>
    <n v="1"/>
    <n v="6940"/>
    <n v="15.7"/>
    <n v="5850.42"/>
    <s v="Completed"/>
    <s v="Chennai"/>
    <x v="1"/>
    <m/>
    <s v="Retail"/>
    <n v="60"/>
    <x v="0"/>
  </r>
  <r>
    <s v="ORD-01869"/>
    <d v="2024-11-27T00:00:00"/>
    <s v="CUST-0239"/>
    <s v="PROD-031"/>
    <s v="R009"/>
    <n v="3"/>
    <n v="3730"/>
    <n v="18.100000000000001"/>
    <n v="9164.61"/>
    <s v="Completed"/>
    <s v="Mumbai"/>
    <x v="3"/>
    <m/>
    <s v="Retail"/>
    <n v="61"/>
    <x v="0"/>
  </r>
  <r>
    <s v="ORD-01870"/>
    <d v="2024-08-24T00:00:00"/>
    <s v="CUST-0133"/>
    <s v="PROD-031"/>
    <s v="R002"/>
    <n v="8"/>
    <n v="3730"/>
    <n v="12.5"/>
    <n v="26110"/>
    <s v="Completed"/>
    <s v="Chennai"/>
    <x v="3"/>
    <m/>
    <s v="Retail"/>
    <n v="26"/>
    <x v="4"/>
  </r>
  <r>
    <s v="ORD-01871"/>
    <d v="2024-12-18T00:00:00"/>
    <s v="CUST-0286"/>
    <s v="PROD-023"/>
    <s v="R015"/>
    <n v="9"/>
    <n v="2380"/>
    <n v="8.1"/>
    <n v="19684.98"/>
    <s v="Cancelled"/>
    <s v="Delhi"/>
    <x v="2"/>
    <m/>
    <s v="Retail"/>
    <n v="62"/>
    <x v="0"/>
  </r>
  <r>
    <s v="ORD-01872"/>
    <d v="2024-07-02T00:00:00"/>
    <s v="CUST-0122"/>
    <s v="PROD-040"/>
    <s v="R002"/>
    <n v="6"/>
    <n v="1080"/>
    <n v="8.8000000000000007"/>
    <n v="5909.76"/>
    <s v="Completed"/>
    <s v="Mumbai"/>
    <x v="3"/>
    <m/>
    <s v="Retail"/>
    <n v="44"/>
    <x v="0"/>
  </r>
  <r>
    <s v="ORD-01712"/>
    <d v="2024-04-19T00:00:00"/>
    <s v="CUST-0285"/>
    <s v="PROD-053"/>
    <s v="R013"/>
    <n v="5"/>
    <n v="470"/>
    <n v="1.3"/>
    <n v="2319.4499999999998"/>
    <s v="Completed"/>
    <s v="Hyderabad"/>
    <x v="1"/>
    <m/>
    <s v="Retail"/>
    <n v="22"/>
    <x v="1"/>
  </r>
  <r>
    <s v="ORD-01874"/>
    <d v="2024-08-12T00:00:00"/>
    <s v="CUST-0174"/>
    <s v="PROD-032"/>
    <s v="R026"/>
    <n v="4"/>
    <n v="370"/>
    <n v="13.1"/>
    <n v="1286.1199999999999"/>
    <s v="Completed"/>
    <s v="Pune"/>
    <x v="3"/>
    <m/>
    <s v="Retail"/>
    <n v="54"/>
    <x v="0"/>
  </r>
  <r>
    <s v="ORD-01875"/>
    <d v="2024-08-13T00:00:00"/>
    <s v="CUST-0115"/>
    <s v="PROD-012"/>
    <s v="R007"/>
    <n v="7"/>
    <n v="3160"/>
    <n v="12.3"/>
    <n v="19399.240000000002"/>
    <s v="Completed"/>
    <s v="Mumbai"/>
    <x v="0"/>
    <m/>
    <s v="SMB"/>
    <n v="65"/>
    <x v="0"/>
  </r>
  <r>
    <s v="ORD-01876"/>
    <d v="2024-12-19T00:00:00"/>
    <s v="CUST-0028"/>
    <s v="PROD-018"/>
    <s v="R024"/>
    <n v="5"/>
    <n v="3560"/>
    <n v="24"/>
    <n v="13528"/>
    <s v="Completed"/>
    <s v="Bengaluru"/>
    <x v="0"/>
    <m/>
    <s v="Retail"/>
    <n v="59"/>
    <x v="0"/>
  </r>
  <r>
    <s v="ORD-01877"/>
    <d v="2024-05-05T00:00:00"/>
    <s v="CUST-0111"/>
    <s v="PROD-033"/>
    <s v="R021"/>
    <n v="6"/>
    <n v="2030"/>
    <n v="20.5"/>
    <n v="9683.1"/>
    <s v="Completed"/>
    <s v="Chennai"/>
    <x v="3"/>
    <m/>
    <s v="SMB"/>
    <n v="64"/>
    <x v="0"/>
  </r>
  <r>
    <s v="ORD-01878"/>
    <d v="2024-02-29T00:00:00"/>
    <s v="CUST-0240"/>
    <s v="PROD-010"/>
    <s v="R018"/>
    <n v="5"/>
    <n v="2640"/>
    <n v="21.3"/>
    <n v="10388.4"/>
    <s v="Pending"/>
    <s v="Chennai"/>
    <x v="4"/>
    <m/>
    <s v="Corporate"/>
    <n v="35"/>
    <x v="3"/>
  </r>
  <r>
    <s v="ORD-01879"/>
    <d v="2024-12-03T00:00:00"/>
    <s v="CUST-0222"/>
    <s v="PROD-022"/>
    <s v="R002"/>
    <n v="4"/>
    <n v="2270"/>
    <n v="15.8"/>
    <n v="7645.36"/>
    <s v="Completed"/>
    <s v="Chennai"/>
    <x v="2"/>
    <m/>
    <s v="Retail"/>
    <n v="37"/>
    <x v="3"/>
  </r>
  <r>
    <s v="ORD-01880"/>
    <d v="2024-10-23T00:00:00"/>
    <s v="CUST-0251"/>
    <s v="PROD-032"/>
    <s v="R002"/>
    <n v="1"/>
    <n v="370"/>
    <n v="27"/>
    <n v="270.10000000000002"/>
    <s v="Pending"/>
    <s v="Mumbai"/>
    <x v="3"/>
    <m/>
    <s v="Retail"/>
    <n v="44"/>
    <x v="0"/>
  </r>
  <r>
    <s v="ORD-01881"/>
    <d v="2024-03-15T00:00:00"/>
    <s v="CUST-0203"/>
    <s v="PROD-048"/>
    <s v="R017"/>
    <n v="9"/>
    <n v="5100"/>
    <n v="2.4"/>
    <n v="44798.400000000001"/>
    <s v="Completed"/>
    <s v="Chennai"/>
    <x v="5"/>
    <m/>
    <s v="SMB"/>
    <n v="55"/>
    <x v="0"/>
  </r>
  <r>
    <s v="ORD-01882"/>
    <d v="2024-01-31T00:00:00"/>
    <s v="CUST-0285"/>
    <s v="PROD-032"/>
    <s v="R023"/>
    <n v="6"/>
    <n v="370"/>
    <n v="18.7"/>
    <n v="1804.86"/>
    <s v="Cancelled"/>
    <s v="Hyderabad"/>
    <x v="3"/>
    <m/>
    <s v="Retail"/>
    <n v="22"/>
    <x v="3"/>
  </r>
  <r>
    <s v="ORD-01883"/>
    <d v="2024-06-22T00:00:00"/>
    <s v="CUST-0135"/>
    <s v="PROD-030"/>
    <s v="R004"/>
    <n v="6"/>
    <n v="970"/>
    <n v="21.6"/>
    <n v="4562.88"/>
    <s v="Completed"/>
    <s v="Pune"/>
    <x v="2"/>
    <m/>
    <s v="SMB"/>
    <n v="24"/>
    <x v="3"/>
  </r>
  <r>
    <s v="ORD-01884"/>
    <d v="2024-11-26T00:00:00"/>
    <s v="CUST-9967"/>
    <s v="PROD-029"/>
    <s v="R029"/>
    <n v="3"/>
    <n v="2210"/>
    <n v="8.5"/>
    <n v="6066.45"/>
    <s v="Completed"/>
    <s v="Delhi"/>
    <x v="2"/>
    <m/>
    <e v="#N/A"/>
    <e v="#N/A"/>
    <x v="0"/>
  </r>
  <r>
    <s v="ORD-01885"/>
    <d v="2024-06-14T00:00:00"/>
    <s v="CUST-0096"/>
    <s v="PROD-044"/>
    <s v="R002"/>
    <n v="1"/>
    <n v="1650"/>
    <n v="19.7"/>
    <n v="1324.95"/>
    <s v="Completed"/>
    <s v="Delhi"/>
    <x v="5"/>
    <m/>
    <s v="Corporate"/>
    <n v="27"/>
    <x v="2"/>
  </r>
  <r>
    <s v="ORD-01886"/>
    <d v="2024-07-07T00:00:00"/>
    <s v="CUST-0266"/>
    <s v="PROD-056"/>
    <s v="R003"/>
    <n v="5"/>
    <n v="6940"/>
    <n v="7.7"/>
    <n v="32028.1"/>
    <s v="Completed"/>
    <s v="Pune"/>
    <x v="1"/>
    <m/>
    <s v="Retail"/>
    <n v="65"/>
    <x v="0"/>
  </r>
  <r>
    <s v="ORD-01887"/>
    <d v="2024-04-10T00:00:00"/>
    <s v="CUST-0059"/>
    <s v="PROD-029"/>
    <s v="R022"/>
    <n v="2"/>
    <n v="2210"/>
    <n v="5.6"/>
    <n v="4172.4799999999996"/>
    <s v="Cancelled"/>
    <s v="Pune"/>
    <x v="2"/>
    <m/>
    <s v="Corporate"/>
    <n v="29"/>
    <x v="1"/>
  </r>
  <r>
    <s v="ORD-01888"/>
    <d v="2024-03-29T00:00:00"/>
    <s v="CUST-0094"/>
    <s v="PROD-002"/>
    <s v="R014"/>
    <n v="9"/>
    <n v="2600"/>
    <n v="3.1"/>
    <n v="22674.6"/>
    <s v="Completed"/>
    <s v="Pune"/>
    <x v="4"/>
    <m/>
    <s v="SMB"/>
    <n v="60"/>
    <x v="0"/>
  </r>
  <r>
    <s v="ORD-01889"/>
    <d v="2024-07-21T00:00:00"/>
    <s v="CUST-0254"/>
    <s v="PROD-059"/>
    <s v="R003"/>
    <n v="7"/>
    <n v="3780"/>
    <n v="13.3"/>
    <n v="22940.82"/>
    <s v="Completed"/>
    <s v="Bengaluru"/>
    <x v="1"/>
    <m/>
    <s v="Retail"/>
    <n v="35"/>
    <x v="4"/>
  </r>
  <r>
    <s v="ORD-01890"/>
    <d v="2024-11-25T00:00:00"/>
    <s v="CUST-0022"/>
    <s v="PROD-058"/>
    <s v="R013"/>
    <n v="4"/>
    <n v="2400"/>
    <n v="16.600000000000001"/>
    <n v="8006.4"/>
    <s v="Pending"/>
    <s v="Bengaluru"/>
    <x v="1"/>
    <m/>
    <s v="Corporate"/>
    <n v="55"/>
    <x v="0"/>
  </r>
  <r>
    <s v="ORD-01891"/>
    <d v="2024-11-07T00:00:00"/>
    <s v="CUST-0168"/>
    <s v="PROD-005"/>
    <s v="R005"/>
    <n v="10"/>
    <n v="300"/>
    <n v="23.9"/>
    <n v="2283"/>
    <s v="Completed"/>
    <s v="Pune"/>
    <x v="4"/>
    <m/>
    <s v="Retail"/>
    <n v="25"/>
    <x v="4"/>
  </r>
  <r>
    <s v="ORD-01892"/>
    <d v="2024-12-14T00:00:00"/>
    <s v="CUST-0175"/>
    <s v="PROD-028"/>
    <s v="R010"/>
    <n v="1"/>
    <n v="3660"/>
    <n v="1.5"/>
    <n v="3605.1"/>
    <s v="Pending"/>
    <s v="Delhi"/>
    <x v="2"/>
    <m/>
    <s v="Corporate"/>
    <n v="55"/>
    <x v="0"/>
  </r>
  <r>
    <s v="ORD-01893"/>
    <d v="2024-08-30T00:00:00"/>
    <s v="CUST-0193"/>
    <s v="PROD-051"/>
    <s v="R011"/>
    <n v="9"/>
    <n v="3450"/>
    <n v="21.8"/>
    <n v="24281.1"/>
    <s v="Completed"/>
    <s v="Bengaluru"/>
    <x v="1"/>
    <m/>
    <s v="Retail"/>
    <n v="42"/>
    <x v="0"/>
  </r>
  <r>
    <s v="ORD-01894"/>
    <d v="2024-04-28T00:00:00"/>
    <s v="CUST-0284"/>
    <s v="PROD-011"/>
    <s v="R007"/>
    <n v="10"/>
    <n v="3450"/>
    <n v="15.7"/>
    <n v="29083.5"/>
    <s v="Cancelled"/>
    <s v="Hyderabad"/>
    <x v="0"/>
    <m/>
    <s v="SMB"/>
    <n v="65"/>
    <x v="0"/>
  </r>
  <r>
    <s v="ORD-01895"/>
    <d v="2024-04-30T00:00:00"/>
    <s v="CUST-0071"/>
    <s v="PROD-026"/>
    <s v="R008"/>
    <n v="2"/>
    <n v="4070"/>
    <n v="10.8"/>
    <n v="7260.88"/>
    <s v="Completed"/>
    <s v="Delhi"/>
    <x v="2"/>
    <m/>
    <s v="Corporate"/>
    <n v="46"/>
    <x v="0"/>
  </r>
  <r>
    <s v="ORD-01896"/>
    <d v="2024-03-21T00:00:00"/>
    <s v="CUST-0102"/>
    <s v="PROD-059"/>
    <s v="R023"/>
    <n v="4"/>
    <n v="3780"/>
    <n v="17.100000000000001"/>
    <n v="12534.48"/>
    <s v="Completed"/>
    <s v="Chennai"/>
    <x v="1"/>
    <m/>
    <s v="SMB"/>
    <n v="62"/>
    <x v="0"/>
  </r>
  <r>
    <s v="ORD-01897"/>
    <d v="2024-11-26T00:00:00"/>
    <s v="CUST-0036"/>
    <s v="PROD-021"/>
    <s v="R004"/>
    <n v="1"/>
    <n v="2760"/>
    <n v="2.5"/>
    <n v="2691"/>
    <s v="Cancelled"/>
    <s v="Mumbai"/>
    <x v="2"/>
    <m/>
    <s v="Retail"/>
    <n v="35"/>
    <x v="3"/>
  </r>
  <r>
    <s v="ORD-01898"/>
    <d v="2024-07-20T00:00:00"/>
    <s v="CUST-0273"/>
    <s v="PROD-046"/>
    <s v="R030"/>
    <n v="2"/>
    <n v="4880"/>
    <n v="11"/>
    <n v="8686.4"/>
    <s v="Completed"/>
    <s v="Hyderabad"/>
    <x v="5"/>
    <m/>
    <s v="Corporate"/>
    <n v="32"/>
    <x v="1"/>
  </r>
  <r>
    <s v="ORD-01899"/>
    <d v="2024-10-15T00:00:00"/>
    <s v="CUST-0262"/>
    <s v="PROD-023"/>
    <s v="R022"/>
    <n v="10"/>
    <n v="2380"/>
    <n v="28.3"/>
    <n v="17064.599999999999"/>
    <s v="Completed"/>
    <s v="Mumbai"/>
    <x v="2"/>
    <m/>
    <s v="Retail"/>
    <n v="52"/>
    <x v="0"/>
  </r>
  <r>
    <s v="ORD-01900"/>
    <d v="2024-06-06T00:00:00"/>
    <s v="CUST-0083"/>
    <s v="PROD-042"/>
    <s v="R003"/>
    <n v="3"/>
    <n v="2290"/>
    <n v="11.1"/>
    <n v="6107.43"/>
    <s v="Cancelled"/>
    <s v="Bengaluru"/>
    <x v="5"/>
    <m/>
    <s v="Corporate"/>
    <n v="31"/>
    <x v="3"/>
  </r>
  <r>
    <s v="ORD-01901"/>
    <d v="2024-05-05T00:00:00"/>
    <s v="CUST-0273"/>
    <s v="PROD-021"/>
    <s v="R004"/>
    <n v="6"/>
    <n v="2760"/>
    <n v="16.5"/>
    <n v="13827.6"/>
    <s v="Completed"/>
    <s v="Hyderabad"/>
    <x v="2"/>
    <m/>
    <s v="Corporate"/>
    <n v="32"/>
    <x v="1"/>
  </r>
  <r>
    <s v="ORD-01902"/>
    <d v="2024-08-19T00:00:00"/>
    <s v="CUST-0047"/>
    <s v="PROD-025"/>
    <s v="R027"/>
    <n v="5"/>
    <n v="4060"/>
    <n v="22.5"/>
    <n v="15732.5"/>
    <s v="Completed"/>
    <s v="Pune"/>
    <x v="2"/>
    <m/>
    <s v="Retail"/>
    <n v="49"/>
    <x v="0"/>
  </r>
  <r>
    <s v="ORD-01903"/>
    <d v="2024-03-16T00:00:00"/>
    <s v="CUST-0084"/>
    <s v="PROD-010"/>
    <s v="R006"/>
    <n v="8"/>
    <n v="2640"/>
    <n v="11.8"/>
    <n v="18627.84"/>
    <s v="Completed"/>
    <s v="Chennai"/>
    <x v="4"/>
    <m/>
    <s v="Retail"/>
    <n v="28"/>
    <x v="2"/>
  </r>
  <r>
    <s v="ORD-01904"/>
    <d v="2024-01-18T00:00:00"/>
    <s v="CUST-0093"/>
    <s v="PROD-039"/>
    <s v="R005"/>
    <n v="2"/>
    <n v="4610"/>
    <n v="10.4"/>
    <n v="8261.1200000000008"/>
    <s v="Pending"/>
    <s v="Pune"/>
    <x v="3"/>
    <m/>
    <s v="Retail"/>
    <n v="36"/>
    <x v="1"/>
  </r>
  <r>
    <s v="ORD-01905"/>
    <d v="2024-04-01T00:00:00"/>
    <s v="CUST-0282"/>
    <s v="PROD-029"/>
    <s v="R028"/>
    <n v="6"/>
    <n v="2210"/>
    <n v="22.5"/>
    <n v="10276.5"/>
    <s v="Cancelled"/>
    <s v="Hyderabad"/>
    <x v="2"/>
    <m/>
    <s v="Corporate"/>
    <n v="29"/>
    <x v="1"/>
  </r>
  <r>
    <s v="ORD-01906"/>
    <d v="2024-05-08T00:00:00"/>
    <s v="CUST-0246"/>
    <s v="PROD-029"/>
    <s v="R011"/>
    <n v="4"/>
    <n v="2210"/>
    <n v="21.5"/>
    <n v="6939.4"/>
    <s v="Pending"/>
    <s v="Delhi"/>
    <x v="2"/>
    <m/>
    <s v="SMB"/>
    <n v="29"/>
    <x v="2"/>
  </r>
  <r>
    <s v="ORD-01907"/>
    <d v="2024-04-18T00:00:00"/>
    <s v="CUST-0243"/>
    <s v="PROD-035"/>
    <s v="R013"/>
    <n v="6"/>
    <n v="1090"/>
    <n v="28.3"/>
    <n v="4689.18"/>
    <s v="Completed"/>
    <s v="Pune"/>
    <x v="3"/>
    <m/>
    <s v="SMB"/>
    <n v="44"/>
    <x v="0"/>
  </r>
  <r>
    <s v="ORD-01908"/>
    <d v="2024-11-29T00:00:00"/>
    <s v="CUST-0298"/>
    <s v="PROD-032"/>
    <s v="R003"/>
    <n v="9"/>
    <n v="370"/>
    <n v="13.8"/>
    <n v="2870.46"/>
    <s v="Completed"/>
    <s v="Delhi"/>
    <x v="3"/>
    <m/>
    <s v="Retail"/>
    <n v="44"/>
    <x v="0"/>
  </r>
  <r>
    <s v="ORD-01909"/>
    <d v="2024-09-20T00:00:00"/>
    <s v="CUST-0124"/>
    <s v="PROD-003"/>
    <s v="R025"/>
    <n v="10"/>
    <n v="3570"/>
    <n v="3"/>
    <n v="34629"/>
    <s v="Cancelled"/>
    <s v="Pune"/>
    <x v="4"/>
    <m/>
    <s v="Retail"/>
    <n v="57"/>
    <x v="0"/>
  </r>
  <r>
    <s v="ORD-01910"/>
    <d v="2024-08-05T00:00:00"/>
    <s v="CUST-0070"/>
    <s v="PROD-036"/>
    <s v="R016"/>
    <n v="10"/>
    <n v="3250"/>
    <n v="20.3"/>
    <n v="25902.5"/>
    <s v="Completed"/>
    <s v="Mumbai"/>
    <x v="3"/>
    <m/>
    <s v="Retail"/>
    <n v="42"/>
    <x v="0"/>
  </r>
  <r>
    <s v="ORD-01911"/>
    <d v="2024-05-24T00:00:00"/>
    <s v="CUST-0054"/>
    <s v="PROD-036"/>
    <s v="R028"/>
    <n v="6"/>
    <n v="3250"/>
    <n v="25.8"/>
    <n v="14469"/>
    <s v="Pending"/>
    <s v="Mumbai"/>
    <x v="3"/>
    <m/>
    <s v="Corporate"/>
    <n v="62"/>
    <x v="0"/>
  </r>
  <r>
    <s v="ORD-01912"/>
    <d v="2024-11-14T00:00:00"/>
    <s v="CUST-0208"/>
    <s v="PROD-057"/>
    <s v="R024"/>
    <n v="9"/>
    <n v="960"/>
    <n v="29"/>
    <n v="6134.4"/>
    <s v="Completed"/>
    <s v="Mumbai"/>
    <x v="1"/>
    <m/>
    <s v="Retail"/>
    <n v="49"/>
    <x v="0"/>
  </r>
  <r>
    <s v="ORD-01913"/>
    <d v="2024-08-31T00:00:00"/>
    <s v="CUST-0181"/>
    <s v="PROD-050"/>
    <s v="R015"/>
    <n v="9"/>
    <n v="6080"/>
    <n v="21"/>
    <n v="43228.800000000003"/>
    <s v="Completed"/>
    <s v="Delhi"/>
    <x v="5"/>
    <m/>
    <s v="SMB"/>
    <n v="38"/>
    <x v="2"/>
  </r>
  <r>
    <s v="ORD-01914"/>
    <d v="2024-03-15T00:00:00"/>
    <s v="CUST-0259"/>
    <s v="PROD-039"/>
    <s v="R020"/>
    <n v="6"/>
    <n v="4610"/>
    <n v="13.5"/>
    <n v="23925.9"/>
    <s v="Completed"/>
    <s v="Mumbai"/>
    <x v="3"/>
    <m/>
    <s v="Retail"/>
    <n v="34"/>
    <x v="4"/>
  </r>
  <r>
    <s v="ORD-01915"/>
    <d v="2024-06-03T00:00:00"/>
    <s v="CUST-0277"/>
    <s v="PROD-034"/>
    <s v="R021"/>
    <n v="7"/>
    <n v="5080"/>
    <n v="25.4"/>
    <n v="26527.759999999998"/>
    <s v="Completed"/>
    <s v="Chennai"/>
    <x v="3"/>
    <m/>
    <s v="Corporate"/>
    <n v="34"/>
    <x v="3"/>
  </r>
  <r>
    <s v="ORD-01916"/>
    <d v="2024-09-15T00:00:00"/>
    <s v="CUST-0173"/>
    <s v="PROD-043"/>
    <s v="R017"/>
    <n v="5"/>
    <n v="3350"/>
    <n v="2.2000000000000002"/>
    <n v="16381.5"/>
    <s v="Completed"/>
    <s v="Mumbai"/>
    <x v="5"/>
    <m/>
    <s v="Retail"/>
    <n v="65"/>
    <x v="0"/>
  </r>
  <r>
    <s v="ORD-01917"/>
    <d v="2024-11-04T00:00:00"/>
    <s v="CUST-0091"/>
    <s v="PROD-027"/>
    <s v="R014"/>
    <n v="1"/>
    <n v="3780"/>
    <n v="13.7"/>
    <n v="3262.14"/>
    <s v="Completed"/>
    <s v="Delhi"/>
    <x v="2"/>
    <m/>
    <s v="Retail"/>
    <n v="55"/>
    <x v="0"/>
  </r>
  <r>
    <s v="ORD-01918"/>
    <d v="2024-03-01T00:00:00"/>
    <s v="CUST-0142"/>
    <s v="PROD-046"/>
    <s v="R020"/>
    <n v="4"/>
    <n v="4880"/>
    <n v="11.6"/>
    <n v="17255.68"/>
    <s v="Completed"/>
    <s v="Chennai"/>
    <x v="5"/>
    <m/>
    <s v="Corporate"/>
    <n v="55"/>
    <x v="0"/>
  </r>
  <r>
    <s v="ORD-01919"/>
    <d v="2024-04-03T00:00:00"/>
    <s v="CUST-0011"/>
    <s v="PROD-048"/>
    <s v="R029"/>
    <n v="3"/>
    <n v="5100"/>
    <n v="24.2"/>
    <n v="11597.4"/>
    <s v="Completed"/>
    <s v=" Chennai "/>
    <x v="5"/>
    <m/>
    <s v="Corporate"/>
    <n v="41"/>
    <x v="0"/>
  </r>
  <r>
    <s v="ORD-01920"/>
    <d v="2024-12-08T00:00:00"/>
    <s v="CUST-0074"/>
    <s v="PROD-008"/>
    <s v="R023"/>
    <n v="5"/>
    <n v="2660"/>
    <n v="4.7"/>
    <n v="12674.9"/>
    <s v="Completed"/>
    <s v="Bengaluru"/>
    <x v="4"/>
    <m/>
    <s v="Retail"/>
    <n v="27"/>
    <x v="2"/>
  </r>
  <r>
    <s v="ORD-01921"/>
    <d v="2024-06-01T00:00:00"/>
    <s v="CUST-0131"/>
    <s v="PROD-023"/>
    <s v="R017"/>
    <n v="10"/>
    <n v="2380"/>
    <n v="1"/>
    <n v="23562"/>
    <s v="Completed"/>
    <s v="Delhi"/>
    <x v="2"/>
    <m/>
    <s v="SMB"/>
    <n v="28"/>
    <x v="3"/>
  </r>
  <r>
    <s v="ORD-01922"/>
    <d v="2024-09-18T00:00:00"/>
    <s v="CUST-0093"/>
    <s v="PROD-046"/>
    <s v="R002"/>
    <n v="9"/>
    <n v="4880"/>
    <n v="7.2"/>
    <n v="40757.760000000002"/>
    <s v="Completed"/>
    <s v="Pune"/>
    <x v="5"/>
    <m/>
    <s v="Retail"/>
    <n v="36"/>
    <x v="3"/>
  </r>
  <r>
    <s v="ORD-01923"/>
    <d v="2024-04-29T00:00:00"/>
    <s v="CUST-0229"/>
    <s v="PROD-031"/>
    <s v="R014"/>
    <n v="1"/>
    <n v="3730"/>
    <n v="15.3"/>
    <n v="3159.31"/>
    <s v="Completed"/>
    <s v="Hyderabad"/>
    <x v="3"/>
    <m/>
    <s v="SMB"/>
    <n v="25"/>
    <x v="1"/>
  </r>
  <r>
    <s v="ORD-01924"/>
    <d v="2024-05-30T00:00:00"/>
    <s v="CUST-0293"/>
    <s v="PROD-059"/>
    <s v="R003"/>
    <n v="10"/>
    <n v="3780"/>
    <n v="2.7"/>
    <n v="36779.4"/>
    <s v="Completed"/>
    <s v="Bengaluru"/>
    <x v="1"/>
    <m/>
    <s v="Retail"/>
    <n v="27"/>
    <x v="4"/>
  </r>
  <r>
    <s v="ORD-01925"/>
    <d v="2024-03-30T00:00:00"/>
    <s v="CUST-0105"/>
    <s v="PROD-014"/>
    <s v="R023"/>
    <n v="2"/>
    <n v="3620"/>
    <n v="23"/>
    <n v="5574.8"/>
    <s v="Completed"/>
    <s v="Chennai"/>
    <x v="0"/>
    <m/>
    <s v="SMB"/>
    <n v="51"/>
    <x v="0"/>
  </r>
  <r>
    <s v="ORD-01926"/>
    <d v="2024-09-01T00:00:00"/>
    <s v="CUST-0003"/>
    <s v="PROD-034"/>
    <s v="R021"/>
    <n v="9"/>
    <n v="5080"/>
    <n v="19.899999999999999"/>
    <n v="36621.72"/>
    <s v="Completed"/>
    <s v="Mumbai"/>
    <x v="3"/>
    <m/>
    <s v="Retail"/>
    <n v="33"/>
    <x v="3"/>
  </r>
  <r>
    <s v="ORD-01927"/>
    <d v="2024-09-26T00:00:00"/>
    <s v="CUST-0092"/>
    <s v="PROD-018"/>
    <s v="R024"/>
    <n v="2"/>
    <n v="3560"/>
    <n v="5.5"/>
    <n v="6728.4"/>
    <s v="Completed"/>
    <s v="Bengaluru"/>
    <x v="0"/>
    <m/>
    <s v="SMB"/>
    <n v="28"/>
    <x v="3"/>
  </r>
  <r>
    <s v="ORD-01928"/>
    <d v="2024-02-27T00:00:00"/>
    <s v="CUST-0050"/>
    <s v="PROD-030"/>
    <s v="R001"/>
    <n v="6"/>
    <n v="970"/>
    <n v="22.5"/>
    <n v="4510.5"/>
    <s v="Refunded"/>
    <s v="Mumbai"/>
    <x v="2"/>
    <m/>
    <s v="Retail"/>
    <n v="37"/>
    <x v="2"/>
  </r>
  <r>
    <s v="ORD-01929"/>
    <d v="2024-12-24T00:00:00"/>
    <s v="CUST-0237"/>
    <s v="PROD-043"/>
    <s v="R014"/>
    <n v="9"/>
    <n v="3350"/>
    <n v="5.0999999999999996"/>
    <n v="28612.35"/>
    <s v="Completed"/>
    <s v="Mumbai"/>
    <x v="5"/>
    <m/>
    <s v="Retail"/>
    <n v="49"/>
    <x v="0"/>
  </r>
  <r>
    <s v="ORD-01930"/>
    <d v="2024-08-21T00:00:00"/>
    <s v="CUST-9905"/>
    <s v="PROD-032"/>
    <s v="R011"/>
    <n v="6"/>
    <n v="370"/>
    <n v="17.8"/>
    <n v="1824.84"/>
    <s v="Completed"/>
    <s v="Mumbai"/>
    <x v="3"/>
    <m/>
    <e v="#N/A"/>
    <e v="#N/A"/>
    <x v="0"/>
  </r>
  <r>
    <s v="ORD-01931"/>
    <d v="2024-03-14T00:00:00"/>
    <s v="CUST-0175"/>
    <s v="PROD-024"/>
    <s v="R011"/>
    <n v="3"/>
    <n v="2270"/>
    <n v="8.4"/>
    <n v="6237.96"/>
    <s v="Pending"/>
    <s v="Delhi"/>
    <x v="2"/>
    <m/>
    <s v="Corporate"/>
    <n v="55"/>
    <x v="0"/>
  </r>
  <r>
    <s v="ORD-01932"/>
    <d v="2024-06-21T00:00:00"/>
    <s v="CUST-0271"/>
    <s v="PROD-051"/>
    <s v="R021"/>
    <n v="3"/>
    <n v="3450"/>
    <n v="7.2"/>
    <n v="9604.7999999999993"/>
    <s v="Completed"/>
    <s v="Bengaluru"/>
    <x v="1"/>
    <m/>
    <s v="Corporate"/>
    <n v="41"/>
    <x v="0"/>
  </r>
  <r>
    <s v="ORD-01933"/>
    <d v="2024-12-07T00:00:00"/>
    <s v="CUST-0129"/>
    <s v="PROD-054"/>
    <s v="R008"/>
    <n v="9"/>
    <n v="1010"/>
    <n v="17.8"/>
    <n v="7471.98"/>
    <s v="Completed"/>
    <s v="Hyderabad"/>
    <x v="1"/>
    <m/>
    <s v="Retail"/>
    <n v="29"/>
    <x v="3"/>
  </r>
  <r>
    <s v="ORD-01934"/>
    <d v="2024-03-22T00:00:00"/>
    <s v="CUST-0156"/>
    <s v="PROD-039"/>
    <s v="R003"/>
    <n v="5"/>
    <n v="4610"/>
    <n v="29.8"/>
    <n v="16181.1"/>
    <s v="Cancelled"/>
    <s v="Mumbai"/>
    <x v="3"/>
    <m/>
    <s v="Retail"/>
    <n v="33"/>
    <x v="1"/>
  </r>
  <r>
    <s v="ORD-01935"/>
    <d v="2024-07-24T00:00:00"/>
    <s v="CUST-0048"/>
    <s v="PROD-032"/>
    <s v="R003"/>
    <n v="6"/>
    <n v="370"/>
    <n v="17.899999999999999"/>
    <n v="1822.62"/>
    <s v="Completed"/>
    <s v="Delhi"/>
    <x v="3"/>
    <m/>
    <s v="Retail"/>
    <n v="59"/>
    <x v="0"/>
  </r>
  <r>
    <s v="ORD-01936"/>
    <d v="2024-03-01T00:00:00"/>
    <s v="CUST-0224"/>
    <s v="PROD-023"/>
    <s v="R026"/>
    <n v="6"/>
    <n v="2380"/>
    <n v="13.6"/>
    <n v="12337.92"/>
    <s v="Cancelled"/>
    <s v="Chennai"/>
    <x v="2"/>
    <m/>
    <s v="Corporate"/>
    <n v="24"/>
    <x v="1"/>
  </r>
  <r>
    <s v="ORD-01937"/>
    <d v="2024-03-28T00:00:00"/>
    <s v="CUST-0101"/>
    <s v="PROD-049"/>
    <s v="R023"/>
    <n v="6"/>
    <n v="960"/>
    <n v="15"/>
    <n v="4896"/>
    <s v="Pending"/>
    <s v="Hyderabad"/>
    <x v="5"/>
    <m/>
    <s v="SMB"/>
    <n v="40"/>
    <x v="2"/>
  </r>
  <r>
    <s v="ORD-01938"/>
    <d v="2024-05-10T00:00:00"/>
    <s v="CUST-0269"/>
    <s v="PROD-057"/>
    <s v="R002"/>
    <n v="3"/>
    <n v="960"/>
    <n v="12.3"/>
    <n v="2525.7600000000002"/>
    <s v="Completed"/>
    <s v="Pune"/>
    <x v="1"/>
    <m/>
    <s v="Retail"/>
    <n v="48"/>
    <x v="0"/>
  </r>
  <r>
    <s v="ORD-01939"/>
    <d v="2024-05-01T00:00:00"/>
    <s v="CUST-0097"/>
    <s v="PROD-016"/>
    <s v="R029"/>
    <n v="7"/>
    <n v="620"/>
    <n v="5.8"/>
    <n v="4088.28"/>
    <s v="Completed"/>
    <s v="Mumbai"/>
    <x v="0"/>
    <m/>
    <s v="Retail"/>
    <n v="65"/>
    <x v="0"/>
  </r>
  <r>
    <s v="ORD-01940"/>
    <d v="2024-06-24T00:00:00"/>
    <s v="CUST-0062"/>
    <s v="PROD-057"/>
    <s v="R020"/>
    <n v="1"/>
    <n v="960"/>
    <n v="4.5999999999999996"/>
    <n v="915.84"/>
    <s v="Completed"/>
    <s v="Pune"/>
    <x v="1"/>
    <m/>
    <s v="Retail"/>
    <n v="54"/>
    <x v="0"/>
  </r>
  <r>
    <s v="ORD-01941"/>
    <d v="2024-08-16T00:00:00"/>
    <s v="CUST-0124"/>
    <s v="PROD-047"/>
    <s v="R028"/>
    <n v="4"/>
    <n v="3450"/>
    <n v="13.3"/>
    <n v="11964.6"/>
    <s v="Completed"/>
    <s v="Pune"/>
    <x v="5"/>
    <m/>
    <s v="Retail"/>
    <n v="57"/>
    <x v="0"/>
  </r>
  <r>
    <s v="ORD-01942"/>
    <d v="2024-11-30T00:00:00"/>
    <s v="CUST-0185"/>
    <s v="PROD-015"/>
    <s v="R019"/>
    <n v="10"/>
    <n v="2720"/>
    <n v="3.4"/>
    <n v="26275.200000000001"/>
    <s v="Completed"/>
    <s v="Hyderabad"/>
    <x v="0"/>
    <m/>
    <s v="SMB"/>
    <n v="43"/>
    <x v="0"/>
  </r>
  <r>
    <s v="ORD-01943"/>
    <d v="2024-06-09T00:00:00"/>
    <s v="CUST-0115"/>
    <s v="PROD-047"/>
    <s v="R019"/>
    <n v="1"/>
    <n v="3450"/>
    <n v="29.4"/>
    <n v="2435.6999999999998"/>
    <s v="Completed"/>
    <s v="Mumbai"/>
    <x v="5"/>
    <m/>
    <s v="SMB"/>
    <n v="65"/>
    <x v="0"/>
  </r>
  <r>
    <s v="ORD-01944"/>
    <d v="2024-08-25T00:00:00"/>
    <s v="CUST-0097"/>
    <s v="PROD-044"/>
    <s v="R024"/>
    <n v="5"/>
    <n v="1650"/>
    <n v="29.4"/>
    <n v="5824.5"/>
    <s v="Completed"/>
    <s v="Mumbai"/>
    <x v="5"/>
    <m/>
    <s v="Retail"/>
    <n v="65"/>
    <x v="0"/>
  </r>
  <r>
    <s v="ORD-01945"/>
    <d v="2024-12-13T00:00:00"/>
    <s v="CUST-0221"/>
    <s v="PROD-014"/>
    <s v="R009"/>
    <n v="2"/>
    <n v="3620"/>
    <n v="15.6"/>
    <n v="6110.56"/>
    <s v="Completed"/>
    <s v="Delhi"/>
    <x v="0"/>
    <m/>
    <s v="SMB"/>
    <n v="29"/>
    <x v="2"/>
  </r>
  <r>
    <s v="ORD-01946"/>
    <d v="2024-10-27T00:00:00"/>
    <s v="CUST-0098"/>
    <s v="PROD-005"/>
    <s v="R012"/>
    <n v="3"/>
    <n v="300"/>
    <n v="24.8"/>
    <n v="676.8"/>
    <s v="Completed"/>
    <s v="Delhi"/>
    <x v="4"/>
    <m/>
    <s v="Retail"/>
    <n v="52"/>
    <x v="0"/>
  </r>
  <r>
    <s v="ORD-01947"/>
    <d v="2024-02-16T00:00:00"/>
    <s v="CUST-0203"/>
    <s v="PROD-041"/>
    <s v="R001"/>
    <n v="3"/>
    <n v="1540"/>
    <n v="29.5"/>
    <n v="3257.1"/>
    <s v="Completed"/>
    <s v="Chennai"/>
    <x v="5"/>
    <m/>
    <s v="SMB"/>
    <n v="55"/>
    <x v="0"/>
  </r>
  <r>
    <s v="ORD-01948"/>
    <d v="2024-09-16T00:00:00"/>
    <s v="CUST-0074"/>
    <s v="PROD-024"/>
    <s v="R019"/>
    <n v="10"/>
    <n v="2270"/>
    <n v="5.5"/>
    <n v="21451.5"/>
    <s v="Cancelled"/>
    <s v="Bengaluru"/>
    <x v="2"/>
    <m/>
    <s v="Retail"/>
    <n v="27"/>
    <x v="1"/>
  </r>
  <r>
    <s v="ORD-01949"/>
    <d v="2024-02-28T00:00:00"/>
    <s v="CUST-0217"/>
    <s v="PROD-010"/>
    <s v="R008"/>
    <n v="3"/>
    <n v="2640"/>
    <n v="28.2"/>
    <n v="5686.56"/>
    <s v="Refunded"/>
    <s v="Pune"/>
    <x v="4"/>
    <m/>
    <s v="SMB"/>
    <n v="59"/>
    <x v="0"/>
  </r>
  <r>
    <s v="ORD-01950"/>
    <d v="2024-08-03T00:00:00"/>
    <s v="CUST-0021"/>
    <s v="PROD-010"/>
    <s v="R015"/>
    <n v="10"/>
    <n v="2640"/>
    <n v="25.9"/>
    <n v="19562.400000000001"/>
    <s v="Completed"/>
    <s v="Pune"/>
    <x v="4"/>
    <m/>
    <s v="Retail"/>
    <n v="44"/>
    <x v="0"/>
  </r>
  <r>
    <s v="ORD-01951"/>
    <d v="2024-09-03T00:00:00"/>
    <s v="CUST-0004"/>
    <s v="PROD-007"/>
    <s v="R030"/>
    <n v="2"/>
    <n v="1430"/>
    <n v="5"/>
    <n v="2717"/>
    <s v="Cancelled"/>
    <s v="Delhi"/>
    <x v="4"/>
    <m/>
    <s v="Retail"/>
    <n v="30"/>
    <x v="4"/>
  </r>
  <r>
    <s v="ORD-01952"/>
    <d v="2024-11-22T00:00:00"/>
    <s v="CUST-0080"/>
    <s v="PROD-003"/>
    <s v="R020"/>
    <n v="6"/>
    <n v="3570"/>
    <n v="28.5"/>
    <n v="15315.3"/>
    <s v="Cancelled"/>
    <s v="Pune"/>
    <x v="4"/>
    <m/>
    <s v="SMB"/>
    <n v="30"/>
    <x v="2"/>
  </r>
  <r>
    <s v="ORD-01953"/>
    <d v="2024-06-01T00:00:00"/>
    <s v="CUST-0113"/>
    <s v="PROD-003"/>
    <s v="R024"/>
    <n v="1"/>
    <n v="3570"/>
    <n v="7.7"/>
    <n v="3295.11"/>
    <s v="Completed"/>
    <s v="Delhi"/>
    <x v="4"/>
    <m/>
    <s v="Retail"/>
    <n v="30"/>
    <x v="3"/>
  </r>
  <r>
    <s v="ORD-01954"/>
    <d v="2024-03-26T00:00:00"/>
    <s v="CUST-0023"/>
    <s v="PROD-004"/>
    <s v="R030"/>
    <n v="9"/>
    <n v="3870"/>
    <n v="11.9"/>
    <n v="30685.23"/>
    <s v="Cancelled"/>
    <s v="Chennai"/>
    <x v="4"/>
    <m/>
    <s v="SMB"/>
    <n v="43"/>
    <x v="0"/>
  </r>
  <r>
    <s v="ORD-01955"/>
    <d v="2024-08-11T00:00:00"/>
    <s v="CUST-0136"/>
    <s v="PROD-056"/>
    <s v="R014"/>
    <n v="5"/>
    <n v="6940"/>
    <n v="17.399999999999999"/>
    <n v="28662.2"/>
    <s v="Completed"/>
    <s v="Chennai"/>
    <x v="1"/>
    <m/>
    <s v="SMB"/>
    <n v="26"/>
    <x v="2"/>
  </r>
  <r>
    <s v="ORD-01956"/>
    <d v="2024-01-21T00:00:00"/>
    <s v="CUST-0031"/>
    <s v="PROD-032"/>
    <s v="R026"/>
    <n v="6"/>
    <n v="370"/>
    <n v="8.1"/>
    <n v="2040.18"/>
    <s v="Cancelled"/>
    <s v="Hyderabad"/>
    <x v="3"/>
    <m/>
    <s v="Retail"/>
    <n v="53"/>
    <x v="0"/>
  </r>
  <r>
    <s v="ORD-01957"/>
    <d v="2024-09-14T00:00:00"/>
    <s v="CUST-0175"/>
    <s v="PROD-018"/>
    <s v="R027"/>
    <n v="8"/>
    <n v="3560"/>
    <n v="23.3"/>
    <n v="21844.16"/>
    <s v="Completed"/>
    <s v="Delhi"/>
    <x v="0"/>
    <m/>
    <s v="Corporate"/>
    <n v="55"/>
    <x v="0"/>
  </r>
  <r>
    <s v="ORD-01958"/>
    <d v="2024-12-07T00:00:00"/>
    <s v="CUST-0249"/>
    <s v="PROD-009"/>
    <s v="R028"/>
    <n v="4"/>
    <n v="1220"/>
    <n v="2.7"/>
    <n v="4748.24"/>
    <s v="Completed"/>
    <s v="Mumbai"/>
    <x v="4"/>
    <m/>
    <s v="Retail"/>
    <n v="44"/>
    <x v="0"/>
  </r>
  <r>
    <s v="ORD-01959"/>
    <d v="2024-11-02T00:00:00"/>
    <s v="CUST-0138"/>
    <s v="PROD-026"/>
    <s v="R020"/>
    <n v="10"/>
    <n v="4070"/>
    <n v="11.6"/>
    <n v="35978.800000000003"/>
    <s v="Completed"/>
    <s v="Chennai"/>
    <x v="2"/>
    <m/>
    <s v="Retail"/>
    <n v="24"/>
    <x v="2"/>
  </r>
  <r>
    <s v="ORD-01960"/>
    <d v="2024-02-14T00:00:00"/>
    <s v="CUST-0290"/>
    <s v="PROD-028"/>
    <s v="R019"/>
    <n v="10"/>
    <n v="3660"/>
    <n v="28.8"/>
    <n v="26059.200000000001"/>
    <s v="Completed"/>
    <s v="Delhi"/>
    <x v="2"/>
    <m/>
    <s v="Retail"/>
    <n v="63"/>
    <x v="0"/>
  </r>
  <r>
    <s v="ORD-01961"/>
    <d v="2024-06-06T00:00:00"/>
    <s v="CUST-0151"/>
    <s v="PROD-034"/>
    <s v="R018"/>
    <n v="5"/>
    <n v="5080"/>
    <n v="12.1"/>
    <n v="22326.6"/>
    <s v="Completed"/>
    <s v="Mumbai"/>
    <x v="3"/>
    <m/>
    <s v="Retail"/>
    <n v="53"/>
    <x v="0"/>
  </r>
  <r>
    <s v="ORD-01962"/>
    <d v="2024-02-16T00:00:00"/>
    <s v="CUST-0290"/>
    <s v="PROD-039"/>
    <s v="R013"/>
    <n v="10"/>
    <n v="4610"/>
    <n v="22.5"/>
    <n v="35727.5"/>
    <s v="Completed"/>
    <s v="Delhi"/>
    <x v="3"/>
    <m/>
    <s v="Retail"/>
    <n v="63"/>
    <x v="0"/>
  </r>
  <r>
    <s v="ORD-01963"/>
    <d v="2024-01-26T00:00:00"/>
    <s v="CUST-0074"/>
    <s v="PROD-008"/>
    <s v="R007"/>
    <n v="3"/>
    <n v="2660"/>
    <n v="15"/>
    <n v="6783"/>
    <s v="Completed"/>
    <s v="Bengaluru"/>
    <x v="4"/>
    <m/>
    <s v="Retail"/>
    <n v="27"/>
    <x v="4"/>
  </r>
  <r>
    <s v="ORD-01964"/>
    <d v="2024-04-02T00:00:00"/>
    <s v="CUST-0295"/>
    <s v="PROD-012"/>
    <s v="R006"/>
    <n v="5"/>
    <n v="3160"/>
    <n v="1.3"/>
    <n v="15594.6"/>
    <s v="Completed"/>
    <s v="Delhi"/>
    <x v="0"/>
    <m/>
    <s v="SMB"/>
    <n v="48"/>
    <x v="0"/>
  </r>
  <r>
    <s v="ORD-01965"/>
    <d v="2024-02-03T00:00:00"/>
    <s v="CUST-0132"/>
    <s v="PROD-032"/>
    <s v="R004"/>
    <n v="10"/>
    <n v="370"/>
    <n v="29"/>
    <n v="2627"/>
    <s v="Completed"/>
    <s v="Delhi"/>
    <x v="3"/>
    <m/>
    <s v="Retail"/>
    <n v="41"/>
    <x v="0"/>
  </r>
  <r>
    <s v="ORD-01966"/>
    <d v="2024-03-07T00:00:00"/>
    <s v="CUST-0289"/>
    <s v="PROD-054"/>
    <s v="R008"/>
    <n v="10"/>
    <n v="1010"/>
    <n v="14.1"/>
    <n v="8675.9"/>
    <s v="Refunded"/>
    <s v="Mumbai"/>
    <x v="1"/>
    <m/>
    <s v="Retail"/>
    <n v="54"/>
    <x v="0"/>
  </r>
  <r>
    <s v="ORD-01967"/>
    <d v="2024-10-21T00:00:00"/>
    <s v="CUST-0139"/>
    <s v="PROD-018"/>
    <s v="R030"/>
    <n v="3"/>
    <n v="3560"/>
    <n v="23.6"/>
    <n v="8159.52"/>
    <s v="Completed"/>
    <s v="Hyderabad"/>
    <x v="0"/>
    <m/>
    <s v="SMB"/>
    <n v="65"/>
    <x v="0"/>
  </r>
  <r>
    <s v="ORD-01968"/>
    <d v="2024-02-18T00:00:00"/>
    <s v="CUST-0032"/>
    <s v="PROD-009"/>
    <s v="R028"/>
    <n v="9"/>
    <n v="1220"/>
    <n v="16.600000000000001"/>
    <n v="9157.32"/>
    <s v="Completed"/>
    <s v="Hyderabad"/>
    <x v="4"/>
    <m/>
    <s v="Retail"/>
    <n v="28"/>
    <x v="2"/>
  </r>
  <r>
    <s v="ORD-01969"/>
    <d v="2024-02-21T00:00:00"/>
    <s v="CUST-0109"/>
    <s v="PROD-060"/>
    <s v="R008"/>
    <n v="8"/>
    <n v="190"/>
    <n v="22.3"/>
    <n v="1181.04"/>
    <s v="Completed"/>
    <s v="Pune"/>
    <x v="1"/>
    <m/>
    <s v="Retail"/>
    <n v="42"/>
    <x v="0"/>
  </r>
  <r>
    <s v="ORD-01970"/>
    <d v="2024-06-25T00:00:00"/>
    <s v="CUST-0224"/>
    <s v="PROD-054"/>
    <s v="R002"/>
    <n v="2"/>
    <n v="1010"/>
    <n v="3.8"/>
    <n v="1943.24"/>
    <s v="Completed"/>
    <s v="Chennai"/>
    <x v="1"/>
    <m/>
    <s v="Corporate"/>
    <n v="24"/>
    <x v="1"/>
  </r>
  <r>
    <s v="ORD-01971"/>
    <d v="2024-05-27T00:00:00"/>
    <s v="CUST-0038"/>
    <s v="PROD-002"/>
    <s v="R009"/>
    <n v="4"/>
    <n v="2600"/>
    <n v="29.1"/>
    <n v="7373.6"/>
    <s v="Completed"/>
    <s v="Mumbai"/>
    <x v="4"/>
    <m/>
    <s v="Retail"/>
    <n v="57"/>
    <x v="0"/>
  </r>
  <r>
    <s v="ORD-01972"/>
    <d v="2024-08-13T00:00:00"/>
    <s v="CUST-0132"/>
    <s v="PROD-011"/>
    <s v="R029"/>
    <n v="7"/>
    <n v="3450"/>
    <n v="4"/>
    <n v="23184"/>
    <s v="Completed"/>
    <s v="Delhi"/>
    <x v="0"/>
    <m/>
    <s v="Retail"/>
    <n v="41"/>
    <x v="0"/>
  </r>
  <r>
    <s v="ORD-01973"/>
    <d v="2024-01-20T00:00:00"/>
    <s v="CUST-0226"/>
    <s v="PROD-017"/>
    <s v="R019"/>
    <n v="6"/>
    <n v="2510"/>
    <n v="12.7"/>
    <n v="13147.38"/>
    <s v="Completed"/>
    <s v="Chennai"/>
    <x v="0"/>
    <m/>
    <s v="Corporate"/>
    <n v="52"/>
    <x v="0"/>
  </r>
  <r>
    <s v="ORD-01974"/>
    <d v="2024-09-25T00:00:00"/>
    <s v="CUST-0275"/>
    <s v="PROD-060"/>
    <s v="R027"/>
    <n v="6"/>
    <n v="190"/>
    <n v="20"/>
    <n v="912"/>
    <s v="Cancelled"/>
    <s v="Mumbai"/>
    <x v="1"/>
    <m/>
    <s v="Retail"/>
    <n v="36"/>
    <x v="3"/>
  </r>
  <r>
    <s v="ORD-01975"/>
    <d v="2024-08-25T00:00:00"/>
    <s v="CUST-0109"/>
    <s v="PROD-044"/>
    <s v="R029"/>
    <n v="10"/>
    <n v="1650"/>
    <n v="21.5"/>
    <n v="12952.5"/>
    <s v="Completed"/>
    <s v="Pune"/>
    <x v="5"/>
    <m/>
    <s v="Retail"/>
    <n v="42"/>
    <x v="0"/>
  </r>
  <r>
    <s v="ORD-01976"/>
    <d v="2024-02-22T00:00:00"/>
    <s v="CUST-0281"/>
    <s v="PROD-055"/>
    <s v="R009"/>
    <n v="4"/>
    <n v="2860"/>
    <n v="15.2"/>
    <n v="9701.1200000000008"/>
    <s v="Completed"/>
    <s v="Bengaluru"/>
    <x v="1"/>
    <m/>
    <s v="Corporate"/>
    <n v="57"/>
    <x v="0"/>
  </r>
  <r>
    <s v="ORD-01977"/>
    <d v="2024-10-24T00:00:00"/>
    <s v="CUST-0174"/>
    <s v="PROD-053"/>
    <s v="R028"/>
    <n v="3"/>
    <n v="470"/>
    <n v="14.2"/>
    <n v="1209.78"/>
    <s v="Completed"/>
    <s v="Pune"/>
    <x v="1"/>
    <m/>
    <s v="Retail"/>
    <n v="54"/>
    <x v="0"/>
  </r>
  <r>
    <s v="ORD-01978"/>
    <d v="2024-06-26T00:00:00"/>
    <s v="CUST-0103"/>
    <s v="PROD-055"/>
    <s v="R030"/>
    <n v="2"/>
    <n v="2860"/>
    <n v="17.899999999999999"/>
    <n v="4696.12"/>
    <s v="Completed"/>
    <s v="Hyderabad"/>
    <x v="1"/>
    <m/>
    <s v="Corporate"/>
    <n v="54"/>
    <x v="0"/>
  </r>
  <r>
    <s v="ORD-01979"/>
    <d v="2024-04-25T00:00:00"/>
    <s v="CUST-0076"/>
    <s v="PROD-019"/>
    <s v="R018"/>
    <n v="2"/>
    <n v="2480"/>
    <n v="11.5"/>
    <n v="4389.6000000000004"/>
    <s v="Cancelled"/>
    <s v="Mumbai"/>
    <x v="0"/>
    <m/>
    <s v="Retail"/>
    <n v="38"/>
    <x v="2"/>
  </r>
  <r>
    <s v="ORD-01980"/>
    <d v="2024-12-09T00:00:00"/>
    <s v="CUST-0227"/>
    <s v="PROD-033"/>
    <s v="R006"/>
    <n v="10"/>
    <n v="2030"/>
    <n v="29.2"/>
    <n v="14372.4"/>
    <s v="Completed"/>
    <s v="Bengaluru"/>
    <x v="3"/>
    <m/>
    <s v="SMB"/>
    <n v="44"/>
    <x v="0"/>
  </r>
  <r>
    <s v="ORD-01981"/>
    <d v="2024-07-16T00:00:00"/>
    <s v="CUST-0006"/>
    <s v="PROD-047"/>
    <s v="R012"/>
    <n v="6"/>
    <n v="3450"/>
    <n v="3.5"/>
    <n v="19975.5"/>
    <s v="Refunded"/>
    <s v="Pune"/>
    <x v="5"/>
    <m/>
    <s v="SMB"/>
    <n v="44"/>
    <x v="0"/>
  </r>
  <r>
    <s v="ORD-01982"/>
    <d v="2024-03-05T00:00:00"/>
    <s v="CUST-0231"/>
    <s v="PROD-007"/>
    <s v="R011"/>
    <n v="10"/>
    <n v="1430"/>
    <n v="3.5"/>
    <n v="13799.5"/>
    <s v="Completed"/>
    <s v="Chennai"/>
    <x v="4"/>
    <m/>
    <s v="Retail"/>
    <n v="61"/>
    <x v="0"/>
  </r>
  <r>
    <s v="ORD-01983"/>
    <d v="2024-05-10T00:00:00"/>
    <s v="CUST-0085"/>
    <s v="PROD-020"/>
    <s v="R017"/>
    <n v="1"/>
    <n v="820"/>
    <n v="14.5"/>
    <n v="701.1"/>
    <s v="Cancelled"/>
    <s v="Chennai"/>
    <x v="0"/>
    <m/>
    <s v="Retail"/>
    <n v="26"/>
    <x v="4"/>
  </r>
  <r>
    <s v="ORD-01984"/>
    <d v="2024-02-11T00:00:00"/>
    <s v="CUST-0022"/>
    <s v="PROD-046"/>
    <s v="R023"/>
    <n v="5"/>
    <n v="4880"/>
    <n v="1.8"/>
    <n v="23960.799999999999"/>
    <s v="Completed"/>
    <s v="Bengaluru"/>
    <x v="5"/>
    <m/>
    <s v="Corporate"/>
    <n v="55"/>
    <x v="0"/>
  </r>
  <r>
    <s v="ORD-01985"/>
    <d v="2024-04-03T00:00:00"/>
    <s v="CUST-0275"/>
    <s v="PROD-043"/>
    <s v="R016"/>
    <n v="8"/>
    <n v="3350"/>
    <n v="26.3"/>
    <n v="19751.599999999999"/>
    <s v="Cancelled"/>
    <s v="Mumbai"/>
    <x v="5"/>
    <m/>
    <s v="Retail"/>
    <n v="36"/>
    <x v="3"/>
  </r>
  <r>
    <s v="ORD-01986"/>
    <d v="2024-01-07T00:00:00"/>
    <s v="CUST-0159"/>
    <s v="PROD-019"/>
    <s v="R022"/>
    <n v="9"/>
    <n v="2480"/>
    <n v="24.3"/>
    <n v="16896.240000000002"/>
    <s v="Completed"/>
    <s v="Hyderabad"/>
    <x v="0"/>
    <m/>
    <s v="Retail"/>
    <n v="32"/>
    <x v="4"/>
  </r>
  <r>
    <s v="ORD-01987"/>
    <d v="2024-07-27T00:00:00"/>
    <s v="CUST-0152"/>
    <s v="PROD-039"/>
    <s v="R024"/>
    <n v="9"/>
    <n v="4610"/>
    <n v="10"/>
    <n v="37341"/>
    <s v="Completed"/>
    <s v="Bengaluru"/>
    <x v="3"/>
    <m/>
    <s v="SMB"/>
    <n v="64"/>
    <x v="0"/>
  </r>
  <r>
    <s v="ORD-01988"/>
    <d v="2024-04-27T00:00:00"/>
    <s v="CUST-0289"/>
    <s v="PROD-027"/>
    <s v="R004"/>
    <n v="1"/>
    <n v="3780"/>
    <n v="2.2000000000000002"/>
    <n v="3696.84"/>
    <s v="Completed"/>
    <s v="Mumbai"/>
    <x v="2"/>
    <m/>
    <s v="Retail"/>
    <n v="54"/>
    <x v="0"/>
  </r>
  <r>
    <s v="ORD-01989"/>
    <d v="2024-04-19T00:00:00"/>
    <s v="CUST-0004"/>
    <s v="PROD-045"/>
    <s v="R026"/>
    <n v="3"/>
    <n v="3020"/>
    <n v="21.4"/>
    <n v="7121.16"/>
    <s v="Cancelled"/>
    <s v="Delhi"/>
    <x v="5"/>
    <m/>
    <s v="Retail"/>
    <n v="53"/>
    <x v="0"/>
  </r>
  <r>
    <s v="ORD-01990"/>
    <d v="2024-12-19T00:00:00"/>
    <s v="CUST-0159"/>
    <s v="PROD-035"/>
    <s v="R006"/>
    <n v="10"/>
    <n v="1090"/>
    <n v="29.2"/>
    <n v="7717.2"/>
    <s v="Cancelled"/>
    <s v="Hyderabad"/>
    <x v="3"/>
    <m/>
    <s v="Retail"/>
    <n v="32"/>
    <x v="2"/>
  </r>
  <r>
    <s v="ORD-01991"/>
    <d v="2024-11-20T00:00:00"/>
    <s v="CUST-0083"/>
    <s v="PROD-048"/>
    <s v="R013"/>
    <n v="5"/>
    <n v="5100"/>
    <n v="28.4"/>
    <n v="18258"/>
    <s v="Completed"/>
    <s v="Bengaluru"/>
    <x v="5"/>
    <m/>
    <s v="Corporate"/>
    <n v="31"/>
    <x v="1"/>
  </r>
  <r>
    <s v="ORD-01992"/>
    <d v="2024-03-01T00:00:00"/>
    <s v="CUST-0242"/>
    <s v="PROD-046"/>
    <s v="R008"/>
    <n v="6"/>
    <n v="4880"/>
    <n v="16.8"/>
    <n v="24360.959999999999"/>
    <s v="Completed"/>
    <s v="Chennai"/>
    <x v="5"/>
    <m/>
    <s v="SMB"/>
    <n v="59"/>
    <x v="0"/>
  </r>
  <r>
    <s v="ORD-01993"/>
    <d v="2024-06-08T00:00:00"/>
    <s v="CUST-0245"/>
    <s v="PROD-001"/>
    <s v="R027"/>
    <n v="1"/>
    <n v="5330"/>
    <n v="27.5"/>
    <n v="3864.25"/>
    <s v="Completed"/>
    <s v="Hyderabad"/>
    <x v="4"/>
    <m/>
    <s v="Retail"/>
    <n v="65"/>
    <x v="0"/>
  </r>
  <r>
    <s v="ORD-01994"/>
    <d v="2024-07-04T00:00:00"/>
    <s v="CUST-0008"/>
    <s v="PROD-033"/>
    <s v="R029"/>
    <n v="7"/>
    <n v="2030"/>
    <n v="5.3"/>
    <n v="13456.87"/>
    <s v="Cancelled"/>
    <s v="Pune"/>
    <x v="3"/>
    <m/>
    <s v="SMB"/>
    <n v="39"/>
    <x v="2"/>
  </r>
  <r>
    <s v="ORD-01995"/>
    <d v="2024-03-09T00:00:00"/>
    <s v="CUST-0260"/>
    <s v="PROD-043"/>
    <s v="R024"/>
    <n v="7"/>
    <n v="3350"/>
    <n v="0.4"/>
    <n v="23356.2"/>
    <s v="Completed"/>
    <s v="Bengaluru"/>
    <x v="5"/>
    <m/>
    <s v="Retail"/>
    <n v="42"/>
    <x v="0"/>
  </r>
  <r>
    <s v="ORD-01996"/>
    <d v="2024-01-01T00:00:00"/>
    <s v="CUST-0265"/>
    <s v="PROD-031"/>
    <s v="R015"/>
    <n v="6"/>
    <n v="3730"/>
    <n v="13.8"/>
    <n v="19291.560000000001"/>
    <s v="Completed"/>
    <s v="Chennai"/>
    <x v="3"/>
    <m/>
    <s v="Retail"/>
    <n v="49"/>
    <x v="0"/>
  </r>
  <r>
    <s v="ORD-01997"/>
    <d v="2024-10-20T00:00:00"/>
    <s v="CUST-0135"/>
    <s v="PROD-006"/>
    <s v="R017"/>
    <n v="6"/>
    <n v="3970"/>
    <n v="5.8"/>
    <n v="22438.44"/>
    <s v="Pending"/>
    <s v="Pune"/>
    <x v="4"/>
    <m/>
    <s v="SMB"/>
    <n v="24"/>
    <x v="4"/>
  </r>
  <r>
    <s v="ORD-01998"/>
    <d v="2024-10-27T00:00:00"/>
    <s v="CUST-0030"/>
    <s v="PROD-029"/>
    <s v="R011"/>
    <n v="4"/>
    <n v="2210"/>
    <n v="18.2"/>
    <n v="7231.12"/>
    <s v="Pending"/>
    <s v="Bengaluru"/>
    <x v="2"/>
    <m/>
    <s v="Corporate"/>
    <n v="43"/>
    <x v="0"/>
  </r>
  <r>
    <s v="ORD-01999"/>
    <d v="2024-03-19T00:00:00"/>
    <s v="CUST-0167"/>
    <s v="PROD-052"/>
    <s v="R008"/>
    <n v="6"/>
    <n v="5410"/>
    <n v="15.5"/>
    <n v="27428.7"/>
    <s v="Completed"/>
    <s v="Delhi"/>
    <x v="1"/>
    <m/>
    <s v="Retail"/>
    <n v="43"/>
    <x v="0"/>
  </r>
  <r>
    <s v="ORD-02000"/>
    <d v="2024-02-03T00:00:00"/>
    <s v="CUST-0238"/>
    <s v="PROD-034"/>
    <s v="R023"/>
    <n v="6"/>
    <n v="5080"/>
    <n v="28.1"/>
    <n v="21915.119999999999"/>
    <s v="Completed"/>
    <s v="Delhi"/>
    <x v="3"/>
    <m/>
    <s v="Retail"/>
    <n v="49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d v="2024-09-14T00:00:00"/>
    <s v="CUST-0243"/>
    <s v="PROD-014"/>
    <x v="0"/>
    <n v="8"/>
    <n v="3620"/>
    <n v="15.4"/>
    <n v="24500.16"/>
    <s v="Completed"/>
    <s v="Pune"/>
  </r>
  <r>
    <s v="ORD-00002"/>
    <d v="2024-02-18T00:00:00"/>
    <s v="CUST-0202"/>
    <s v="PROD-020"/>
    <x v="1"/>
    <n v="2"/>
    <n v="820"/>
    <n v="10.8"/>
    <n v="1462.88"/>
    <s v="Pending"/>
    <s v="Chennai"/>
  </r>
  <r>
    <s v="ORD-00003"/>
    <d v="2024-03-20T00:00:00"/>
    <s v="CUST-0098"/>
    <s v="PROD-053"/>
    <x v="2"/>
    <n v="8"/>
    <n v="470"/>
    <n v="3.3"/>
    <n v="3635.92"/>
    <s v="Pending"/>
    <s v="Delhi"/>
  </r>
  <r>
    <s v="ORD-00004"/>
    <d v="2024-05-01T00:00:00"/>
    <s v="CUST-0071"/>
    <s v="PROD-028"/>
    <x v="3"/>
    <n v="1"/>
    <n v="3660"/>
    <n v="15.7"/>
    <n v="3085.38"/>
    <s v="Completed"/>
    <s v="Delhi"/>
  </r>
  <r>
    <s v="ORD-00005"/>
    <d v="2024-11-15T00:00:00"/>
    <s v="CUST-0180"/>
    <s v="PROD-012"/>
    <x v="4"/>
    <n v="1"/>
    <n v="3160"/>
    <n v="26"/>
    <n v="2338.4"/>
    <s v="Completed"/>
    <s v="Chennai"/>
  </r>
  <r>
    <s v="ORD-00006"/>
    <d v="2024-04-24T00:00:00"/>
    <s v="CUST-0275"/>
    <s v="PROD-032"/>
    <x v="5"/>
    <n v="4"/>
    <n v="370"/>
    <n v="29"/>
    <n v="1050.8"/>
    <s v="Completed"/>
    <s v="Mumbai"/>
  </r>
  <r>
    <s v="ORD-00007"/>
    <d v="2024-06-12T00:00:00"/>
    <s v="CUST-0293"/>
    <s v="PROD-057"/>
    <x v="6"/>
    <n v="3"/>
    <n v="960"/>
    <n v="5.8"/>
    <n v="2712.96"/>
    <s v="Completed"/>
    <s v="Bengaluru"/>
  </r>
  <r>
    <s v="ORD-00008"/>
    <d v="2024-11-21T00:00:00"/>
    <s v="CUST-0281"/>
    <s v="PROD-007"/>
    <x v="7"/>
    <n v="8"/>
    <n v="1430"/>
    <n v="2.4"/>
    <n v="11165.44"/>
    <s v="Completed"/>
    <s v="Bengaluru"/>
  </r>
  <r>
    <s v="ORD-00009"/>
    <d v="2024-09-14T00:00:00"/>
    <s v="CUST-0260"/>
    <s v="PROD-038"/>
    <x v="4"/>
    <n v="3"/>
    <n v="5490"/>
    <n v="14.2"/>
    <n v="14131.26"/>
    <s v="Completed"/>
    <s v="Bengaluru"/>
  </r>
  <r>
    <s v="ORD-00010"/>
    <d v="2024-04-14T00:00:00"/>
    <s v="CUST-0147"/>
    <s v="PROD-030"/>
    <x v="8"/>
    <n v="3"/>
    <n v="970"/>
    <n v="1.2"/>
    <n v="2875.08"/>
    <s v="Completed"/>
    <s v="Pune"/>
  </r>
  <r>
    <s v="ORD-00011"/>
    <d v="2024-09-25T00:00:00"/>
    <s v="CUST-0204"/>
    <s v="PROD-024"/>
    <x v="9"/>
    <n v="7"/>
    <n v="2270"/>
    <n v="7.1"/>
    <n v="14761.81"/>
    <s v="Pending"/>
    <s v="Hyderabad"/>
  </r>
  <r>
    <s v="ORD-00012"/>
    <d v="2024-02-10T00:00:00"/>
    <s v="CUST-0147"/>
    <s v="PROD-010"/>
    <x v="6"/>
    <n v="9"/>
    <n v="2640"/>
    <n v="21.7"/>
    <n v="18604.080000000002"/>
    <s v="Completed"/>
    <s v="Pune"/>
  </r>
  <r>
    <s v="ORD-00013"/>
    <d v="2024-08-03T00:00:00"/>
    <s v="CUST-0280"/>
    <s v="PROD-002"/>
    <x v="10"/>
    <n v="3"/>
    <n v="2600"/>
    <n v="4.3"/>
    <n v="7464.6"/>
    <s v="Cancelled"/>
    <s v="Delhi"/>
  </r>
  <r>
    <s v="ORD-00014"/>
    <d v="2024-06-23T00:00:00"/>
    <s v="CUST-0008"/>
    <s v="PROD-036"/>
    <x v="5"/>
    <n v="3"/>
    <n v="3250"/>
    <n v="14.1"/>
    <n v="8375.25"/>
    <s v="Refunded"/>
    <s v="Pune"/>
  </r>
  <r>
    <s v="ORD-00015"/>
    <d v="2024-03-14T00:00:00"/>
    <s v="CUST-0052"/>
    <s v="PROD-060"/>
    <x v="11"/>
    <n v="1"/>
    <n v="190"/>
    <n v="20.7"/>
    <n v="150.66999999999999"/>
    <s v="Completed"/>
    <s v="Pune"/>
  </r>
  <r>
    <s v="ORD-00016"/>
    <d v="2024-09-11T00:00:00"/>
    <s v="CUST-0184"/>
    <s v="PROD-058"/>
    <x v="2"/>
    <n v="7"/>
    <n v="2400"/>
    <n v="10.199999999999999"/>
    <n v="15086.4"/>
    <s v="Pending"/>
    <s v="Pune"/>
  </r>
  <r>
    <s v="ORD-00017"/>
    <d v="2024-08-08T00:00:00"/>
    <s v="CUST-0056"/>
    <s v="PROD-028"/>
    <x v="12"/>
    <n v="4"/>
    <n v="3660"/>
    <n v="2.6"/>
    <n v="14259.36"/>
    <s v="Completed"/>
    <s v="Bengaluru"/>
  </r>
  <r>
    <s v="ORD-00018"/>
    <d v="2024-12-28T00:00:00"/>
    <s v="CUST-0273"/>
    <s v="PROD-047"/>
    <x v="13"/>
    <n v="8"/>
    <n v="3450"/>
    <n v="18.5"/>
    <n v="22494"/>
    <s v="Completed"/>
    <s v="Hyderabad"/>
  </r>
  <r>
    <s v="ORD-00019"/>
    <d v="2024-11-30T00:00:00"/>
    <s v="CUST-0182"/>
    <s v="PROD-051"/>
    <x v="12"/>
    <n v="5"/>
    <n v="3450"/>
    <n v="7.3"/>
    <n v="15990.75"/>
    <s v="Completed"/>
    <s v="Mumbai"/>
  </r>
  <r>
    <s v="ORD-00020"/>
    <d v="2024-04-12T00:00:00"/>
    <s v="CUST-0265"/>
    <s v="PROD-040"/>
    <x v="12"/>
    <n v="8"/>
    <n v="1080"/>
    <n v="2.2000000000000002"/>
    <n v="8449.92"/>
    <s v="Completed"/>
    <s v="Chennai"/>
  </r>
  <r>
    <s v="ORD-00021"/>
    <d v="2024-06-27T00:00:00"/>
    <s v="CUST-0159"/>
    <s v="PROD-019"/>
    <x v="3"/>
    <n v="7"/>
    <n v="2480"/>
    <n v="28.7"/>
    <n v="12377.68"/>
    <s v="Completed"/>
    <s v="Hyderabad"/>
  </r>
  <r>
    <s v="ORD-00022"/>
    <d v="2024-03-03T00:00:00"/>
    <s v="CUST-0259"/>
    <s v="PROD-036"/>
    <x v="14"/>
    <n v="4"/>
    <n v="3250"/>
    <n v="24.6"/>
    <n v="9802"/>
    <s v="Completed"/>
    <s v="Mumbai"/>
  </r>
  <r>
    <s v="ORD-00023"/>
    <d v="2024-08-26T00:00:00"/>
    <s v="CUST-0107"/>
    <s v="PROD-015"/>
    <x v="14"/>
    <n v="9"/>
    <n v="2720"/>
    <n v="26.2"/>
    <n v="18066.240000000002"/>
    <s v="Completed"/>
    <s v="Pune"/>
  </r>
  <r>
    <s v="ORD-00024"/>
    <d v="2024-06-29T00:00:00"/>
    <s v="CUST-0101"/>
    <s v="PROD-044"/>
    <x v="11"/>
    <n v="2"/>
    <n v="1650"/>
    <n v="9.4"/>
    <n v="2989.8"/>
    <s v="Completed"/>
    <s v="Hyderabad"/>
  </r>
  <r>
    <s v="ORD-00025"/>
    <d v="2024-04-12T00:00:00"/>
    <s v="CUST-0142"/>
    <s v="PROD-043"/>
    <x v="12"/>
    <n v="6"/>
    <n v="3350"/>
    <n v="6.1"/>
    <n v="18873.900000000001"/>
    <s v="Pending"/>
    <s v="Chennai"/>
  </r>
  <r>
    <s v="ORD-00026"/>
    <d v="2024-10-05T00:00:00"/>
    <s v="CUST-0250"/>
    <s v="PROD-054"/>
    <x v="7"/>
    <n v="2"/>
    <n v="1010"/>
    <n v="16.5"/>
    <n v="1686.7"/>
    <s v="Cancelled"/>
    <s v="Delhi"/>
  </r>
  <r>
    <s v="ORD-00027"/>
    <d v="2024-04-19T00:00:00"/>
    <s v="CUST-0098"/>
    <s v="PROD-046"/>
    <x v="3"/>
    <n v="5"/>
    <n v="4880"/>
    <n v="23.6"/>
    <n v="18641.599999999999"/>
    <s v="Completed"/>
    <s v="Delhi"/>
  </r>
  <r>
    <s v="ORD-00028"/>
    <d v="2024-08-13T00:00:00"/>
    <s v="CUST-0143"/>
    <s v="PROD-003"/>
    <x v="15"/>
    <n v="7"/>
    <n v="3570"/>
    <n v="5.8"/>
    <n v="23540.58"/>
    <s v="Cancelled"/>
    <s v="Chennai"/>
  </r>
  <r>
    <s v="ORD-00029"/>
    <d v="2024-03-12T00:00:00"/>
    <s v="CUST-0086"/>
    <s v="PROD-048"/>
    <x v="16"/>
    <n v="9"/>
    <n v="5100"/>
    <n v="16.7"/>
    <n v="38234.699999999997"/>
    <s v="Completed"/>
    <s v="Hyderabad"/>
  </r>
  <r>
    <s v="ORD-00030"/>
    <d v="2024-03-16T00:00:00"/>
    <s v="CUST-0006"/>
    <s v="PROD-055"/>
    <x v="1"/>
    <n v="3"/>
    <n v="2860"/>
    <n v="25.8"/>
    <n v="6366.36"/>
    <s v="Completed"/>
    <s v="Pune"/>
  </r>
  <r>
    <s v="ORD-00031"/>
    <d v="2024-10-04T00:00:00"/>
    <s v="CUST-0241"/>
    <s v="PROD-030"/>
    <x v="3"/>
    <n v="7"/>
    <n v="970"/>
    <n v="29.8"/>
    <n v="4766.58"/>
    <s v="Completed"/>
    <s v="Pune"/>
  </r>
  <r>
    <s v="ORD-00032"/>
    <d v="2024-12-15T00:00:00"/>
    <s v="CUST-0035"/>
    <s v="PROD-021"/>
    <x v="17"/>
    <n v="4"/>
    <n v="2760"/>
    <n v="5.9"/>
    <n v="10388.64"/>
    <s v="Completed"/>
    <s v="Hyderabad"/>
  </r>
  <r>
    <s v="ORD-00033"/>
    <d v="2024-02-21T00:00:00"/>
    <s v="CUST-0273"/>
    <s v="PROD-037"/>
    <x v="18"/>
    <n v="10"/>
    <n v="660"/>
    <n v="18.3"/>
    <n v="5392.2"/>
    <s v="Pending"/>
    <s v="Hyderabad"/>
  </r>
  <r>
    <s v="ORD-00034"/>
    <d v="2024-10-11T00:00:00"/>
    <s v="CUST-0064"/>
    <s v="PROD-036"/>
    <x v="7"/>
    <n v="1"/>
    <n v="3250"/>
    <n v="10.7"/>
    <n v="2902.25"/>
    <s v="Completed"/>
    <s v="Hyderabad"/>
  </r>
  <r>
    <s v="ORD-00035"/>
    <d v="2024-06-19T00:00:00"/>
    <s v="CUST-0118"/>
    <s v="PROD-048"/>
    <x v="7"/>
    <n v="8"/>
    <n v="5100"/>
    <n v="26.4"/>
    <n v="30028.799999999999"/>
    <s v="Cancelled"/>
    <s v="Hyderabad"/>
  </r>
  <r>
    <s v="ORD-00036"/>
    <d v="2024-05-30T00:00:00"/>
    <s v="CUST-0013"/>
    <s v="PROD-040"/>
    <x v="13"/>
    <n v="1"/>
    <n v="1080"/>
    <n v="5.0999999999999996"/>
    <n v="1024.92"/>
    <s v="Completed"/>
    <s v="Delhi"/>
  </r>
  <r>
    <s v="ORD-00037"/>
    <d v="2024-12-20T00:00:00"/>
    <s v="CUST-0177"/>
    <s v="PROD-038"/>
    <x v="18"/>
    <n v="2"/>
    <n v="5490"/>
    <n v="21.1"/>
    <n v="8663.2199999999993"/>
    <s v="Cancelled"/>
    <s v="Mumbai"/>
  </r>
  <r>
    <s v="ORD-00038"/>
    <d v="2024-07-05T00:00:00"/>
    <s v="CUST-0186"/>
    <s v="PROD-060"/>
    <x v="19"/>
    <n v="7"/>
    <n v="190"/>
    <n v="28.7"/>
    <n v="948.29"/>
    <s v="Completed"/>
    <s v="Bengaluru"/>
  </r>
  <r>
    <s v="ORD-00039"/>
    <d v="2024-03-04T00:00:00"/>
    <s v="CUST-0069"/>
    <s v="PROD-058"/>
    <x v="15"/>
    <n v="6"/>
    <n v="2400"/>
    <n v="2.7"/>
    <n v="14011.2"/>
    <s v="Completed"/>
    <s v="Chennai"/>
  </r>
  <r>
    <s v="ORD-00040"/>
    <d v="2024-11-03T00:00:00"/>
    <s v="CUST-0283"/>
    <s v="PROD-044"/>
    <x v="12"/>
    <n v="9"/>
    <n v="1650"/>
    <n v="11.6"/>
    <n v="13127.4"/>
    <s v="Completed"/>
    <s v="Delhi"/>
  </r>
  <r>
    <s v="ORD-00041"/>
    <d v="2024-11-10T00:00:00"/>
    <s v="CUST-9507"/>
    <s v="PROD-038"/>
    <x v="3"/>
    <n v="4"/>
    <n v="5490"/>
    <n v="12.8"/>
    <n v="19149.12"/>
    <s v="Cancelled"/>
    <s v="Chennai"/>
  </r>
  <r>
    <s v="ORD-00042"/>
    <d v="2024-05-20T00:00:00"/>
    <s v="CUST-0053"/>
    <s v="PROD-046"/>
    <x v="2"/>
    <n v="10"/>
    <n v="4880"/>
    <n v="12.7"/>
    <n v="42602.400000000001"/>
    <s v="Completed"/>
    <s v="Delhi"/>
  </r>
  <r>
    <s v="ORD-00043"/>
    <d v="2024-04-10T00:00:00"/>
    <s v="CUST-0222"/>
    <s v="PROD-031"/>
    <x v="7"/>
    <n v="2"/>
    <n v="3730"/>
    <n v="25.8"/>
    <n v="5535.32"/>
    <s v="Completed"/>
    <s v="Chennai"/>
  </r>
  <r>
    <s v="ORD-00044"/>
    <d v="2024-04-14T00:00:00"/>
    <s v="CUST-0095"/>
    <s v="PROD-047"/>
    <x v="20"/>
    <n v="4"/>
    <n v="3450"/>
    <n v="20.7"/>
    <n v="10943.4"/>
    <s v="Completed"/>
    <s v="Mumbai"/>
  </r>
  <r>
    <s v="ORD-00045"/>
    <d v="2024-03-22T00:00:00"/>
    <s v="CUST-0152"/>
    <s v="PROD-019"/>
    <x v="7"/>
    <n v="2"/>
    <n v="2480"/>
    <n v="17.3"/>
    <n v="4101.92"/>
    <s v="Completed"/>
    <s v="Bengaluru"/>
  </r>
  <r>
    <s v="ORD-00046"/>
    <d v="2024-01-21T00:00:00"/>
    <s v="CUST-0291"/>
    <s v="PROD-027"/>
    <x v="15"/>
    <n v="9"/>
    <n v="3780"/>
    <n v="8.6999999999999993"/>
    <n v="31060.26"/>
    <s v="Pending"/>
    <s v="Pune"/>
  </r>
  <r>
    <s v="ORD-00047"/>
    <d v="2024-02-18T00:00:00"/>
    <s v="CUST-0112"/>
    <s v="PROD-013"/>
    <x v="21"/>
    <n v="4"/>
    <n v="3640"/>
    <n v="20.7"/>
    <n v="11546.08"/>
    <s v="Completed"/>
    <s v="Hyderabad"/>
  </r>
  <r>
    <s v="ORD-00048"/>
    <d v="2024-03-19T00:00:00"/>
    <s v="CUST-9800"/>
    <s v="PROD-050"/>
    <x v="11"/>
    <n v="8"/>
    <n v="6080"/>
    <n v="24.4"/>
    <n v="36771.839999999997"/>
    <s v="Completed"/>
    <s v="Pune"/>
  </r>
  <r>
    <s v="ORD-00049"/>
    <d v="2024-04-07T00:00:00"/>
    <s v="CUST-0143"/>
    <s v="PROD-030"/>
    <x v="0"/>
    <n v="10"/>
    <n v="970"/>
    <n v="0.6"/>
    <n v="9641.7999999999993"/>
    <s v="Cancelled"/>
    <s v="Chennai"/>
  </r>
  <r>
    <s v="ORD-00050"/>
    <d v="2024-09-30T00:00:00"/>
    <s v="CUST-0226"/>
    <s v="PROD-022"/>
    <x v="8"/>
    <n v="1"/>
    <n v="2270"/>
    <n v="11.5"/>
    <n v="2008.95"/>
    <s v="Pending"/>
    <s v="Chennai"/>
  </r>
  <r>
    <s v="ORD-00051"/>
    <d v="2024-02-01T00:00:00"/>
    <s v="CUST-0234"/>
    <s v="PROD-004"/>
    <x v="12"/>
    <n v="7"/>
    <n v="3870"/>
    <n v="0.3"/>
    <n v="27008.73"/>
    <s v="Cancelled"/>
    <s v="Bengaluru"/>
  </r>
  <r>
    <s v="ORD-00052"/>
    <d v="2024-08-02T00:00:00"/>
    <s v="CUST-0176"/>
    <s v="PROD-046"/>
    <x v="18"/>
    <n v="1"/>
    <n v="4880"/>
    <n v="23.9"/>
    <n v="3713.68"/>
    <s v="Pending"/>
    <s v="Bengaluru"/>
  </r>
  <r>
    <s v="ORD-00053"/>
    <d v="2024-11-20T00:00:00"/>
    <s v="CUST-0180"/>
    <s v="PROD-027"/>
    <x v="22"/>
    <n v="5"/>
    <n v="3780"/>
    <n v="18.5"/>
    <n v="15403.5"/>
    <s v="Completed"/>
    <s v="Chennai"/>
  </r>
  <r>
    <s v="ORD-00054"/>
    <d v="2024-05-16T00:00:00"/>
    <s v="CUST-0088"/>
    <s v="PROD-036"/>
    <x v="16"/>
    <n v="10"/>
    <n v="3250"/>
    <n v="25.5"/>
    <n v="24212.5"/>
    <s v="Completed"/>
    <s v="Chennai"/>
  </r>
  <r>
    <s v="ORD-00055"/>
    <d v="2024-08-11T00:00:00"/>
    <s v="CUST-0267"/>
    <s v="PROD-013"/>
    <x v="0"/>
    <n v="4"/>
    <n v="3640"/>
    <n v="9.9"/>
    <n v="13118.56"/>
    <s v="Refunded"/>
    <s v="Hyderabad"/>
  </r>
  <r>
    <s v="ORD-00056"/>
    <d v="2024-12-23T00:00:00"/>
    <s v="CUST-0194"/>
    <s v="PROD-041"/>
    <x v="12"/>
    <n v="4"/>
    <n v="1540"/>
    <n v="28.8"/>
    <n v="4385.92"/>
    <s v="Completed"/>
    <s v="Delhi"/>
  </r>
  <r>
    <s v="ORD-00057"/>
    <d v="2024-11-20T00:00:00"/>
    <s v="CUST-0261"/>
    <s v="PROD-040"/>
    <x v="21"/>
    <n v="1"/>
    <n v="1080"/>
    <n v="23"/>
    <n v="831.6"/>
    <s v="Cancelled"/>
    <s v="Delhi"/>
  </r>
  <r>
    <s v="ORD-00058"/>
    <d v="2024-10-08T00:00:00"/>
    <s v="CUST-0031"/>
    <s v="PROD-026"/>
    <x v="0"/>
    <n v="1"/>
    <n v="4070"/>
    <n v="6.7"/>
    <n v="3797.31"/>
    <s v="Completed"/>
    <s v="Hyderabad"/>
  </r>
  <r>
    <s v="ORD-00059"/>
    <d v="2024-05-05T00:00:00"/>
    <s v="CUST-0175"/>
    <s v="PROD-009"/>
    <x v="14"/>
    <n v="2"/>
    <n v="1220"/>
    <n v="11.7"/>
    <n v="2154.52"/>
    <s v="Cancelled"/>
    <s v="Delhi"/>
  </r>
  <r>
    <s v="ORD-00060"/>
    <d v="2024-05-13T00:00:00"/>
    <s v="CUST-0263"/>
    <s v="PROD-039"/>
    <x v="20"/>
    <n v="4"/>
    <n v="4610"/>
    <n v="26.9"/>
    <n v="13479.64"/>
    <s v="Pending"/>
    <s v="Mumbai"/>
  </r>
  <r>
    <s v="ORD-00061"/>
    <d v="2024-10-24T00:00:00"/>
    <s v="CUST-0203"/>
    <s v="PROD-040"/>
    <x v="23"/>
    <n v="8"/>
    <n v="1080"/>
    <n v="28.4"/>
    <n v="6186.24"/>
    <s v="Completed"/>
    <s v="Chennai"/>
  </r>
  <r>
    <s v="ORD-00062"/>
    <d v="2024-07-15T00:00:00"/>
    <s v="CUST-0258"/>
    <s v="PROD-045"/>
    <x v="3"/>
    <n v="10"/>
    <n v="3020"/>
    <n v="25.4"/>
    <n v="22529.200000000001"/>
    <s v="Completed"/>
    <s v="Pune"/>
  </r>
  <r>
    <s v="ORD-00063"/>
    <d v="2024-06-22T00:00:00"/>
    <s v="CUST-0282"/>
    <s v="PROD-008"/>
    <x v="21"/>
    <n v="7"/>
    <n v="2660"/>
    <n v="5.3"/>
    <n v="17633.14"/>
    <s v="Completed"/>
    <s v="Hyderabad"/>
  </r>
  <r>
    <s v="ORD-00064"/>
    <d v="2024-11-03T00:00:00"/>
    <s v="CUST-0168"/>
    <s v="PROD-005"/>
    <x v="11"/>
    <n v="9"/>
    <n v="300"/>
    <n v="25.3"/>
    <n v="2016.9"/>
    <s v="Completed"/>
    <s v="Pune"/>
  </r>
  <r>
    <s v="ORD-00065"/>
    <d v="2024-01-26T00:00:00"/>
    <s v="CUST-0040"/>
    <s v="PROD-010"/>
    <x v="24"/>
    <n v="10"/>
    <n v="2640"/>
    <n v="18.7"/>
    <n v="21463.200000000001"/>
    <s v="Cancelled"/>
    <s v="Chennai"/>
  </r>
  <r>
    <s v="ORD-00066"/>
    <d v="2024-06-19T00:00:00"/>
    <s v="CUST-0283"/>
    <s v="PROD-020"/>
    <x v="16"/>
    <n v="8"/>
    <n v="820"/>
    <n v="24"/>
    <n v="4985.6000000000004"/>
    <s v="Completed"/>
    <s v="Delhi"/>
  </r>
  <r>
    <s v="ORD-00067"/>
    <d v="2024-07-26T00:00:00"/>
    <s v="CUST-0202"/>
    <s v="PROD-021"/>
    <x v="8"/>
    <n v="1"/>
    <n v="2760"/>
    <n v="4.8"/>
    <n v="2627.52"/>
    <s v="Completed"/>
    <s v="Chennai"/>
  </r>
  <r>
    <s v="ORD-00068"/>
    <d v="2024-02-06T00:00:00"/>
    <s v="CUST-0161"/>
    <s v="PROD-014"/>
    <x v="21"/>
    <n v="2"/>
    <n v="3620"/>
    <n v="19.100000000000001"/>
    <n v="5857.16"/>
    <s v="Completed"/>
    <s v="Chennai"/>
  </r>
  <r>
    <s v="ORD-00069"/>
    <d v="2024-06-16T00:00:00"/>
    <s v="CUST-0033"/>
    <s v="PROD-016"/>
    <x v="5"/>
    <n v="1"/>
    <n v="620"/>
    <n v="1"/>
    <n v="613.79999999999995"/>
    <s v="Completed"/>
    <s v="Delhi"/>
  </r>
  <r>
    <s v="ORD-00070"/>
    <d v="2024-04-16T00:00:00"/>
    <s v="CUST-0191"/>
    <s v="PROD-033"/>
    <x v="14"/>
    <n v="1"/>
    <n v="2030"/>
    <n v="3.3"/>
    <n v="1963.01"/>
    <s v="Completed"/>
    <s v="Hyderabad"/>
  </r>
  <r>
    <s v="ORD-00071"/>
    <d v="2024-06-27T00:00:00"/>
    <s v="CUST-0180"/>
    <s v="PROD-012"/>
    <x v="25"/>
    <n v="10"/>
    <n v="3160"/>
    <n v="15.8"/>
    <n v="26607.200000000001"/>
    <s v="Completed"/>
    <s v="Chennai"/>
  </r>
  <r>
    <s v="ORD-00072"/>
    <d v="2024-02-24T00:00:00"/>
    <s v="CUST-0129"/>
    <s v="PROD-030"/>
    <x v="19"/>
    <n v="5"/>
    <n v="970"/>
    <n v="12.2"/>
    <n v="4258.3"/>
    <s v="Completed"/>
    <s v="Hyderabad"/>
  </r>
  <r>
    <s v="ORD-00073"/>
    <d v="2024-07-10T00:00:00"/>
    <s v="CUST-0189"/>
    <s v="PROD-043"/>
    <x v="11"/>
    <n v="9"/>
    <n v="3350"/>
    <n v="25.8"/>
    <n v="22371.3"/>
    <s v="Pending"/>
    <s v="Chennai"/>
  </r>
  <r>
    <s v="ORD-00074"/>
    <d v="2024-10-20T00:00:00"/>
    <s v="CUST-0194"/>
    <s v="PROD-032"/>
    <x v="26"/>
    <n v="1"/>
    <n v="370"/>
    <n v="28.9"/>
    <n v="263.07"/>
    <s v="Completed"/>
    <s v="Delhi"/>
  </r>
  <r>
    <s v="ORD-00075"/>
    <d v="2024-07-27T00:00:00"/>
    <s v="CUST-0200"/>
    <s v="PROD-030"/>
    <x v="9"/>
    <n v="3"/>
    <n v="970"/>
    <n v="4.3"/>
    <n v="2784.87"/>
    <s v="Cancelled"/>
    <s v="Hyderabad"/>
  </r>
  <r>
    <s v="ORD-00076"/>
    <d v="2024-03-24T00:00:00"/>
    <s v="CUST-0008"/>
    <s v="PROD-021"/>
    <x v="24"/>
    <n v="6"/>
    <n v="2760"/>
    <n v="19.899999999999999"/>
    <n v="13264.56"/>
    <s v="Pending"/>
    <s v="Pune"/>
  </r>
  <r>
    <s v="ORD-00077"/>
    <d v="2024-05-31T00:00:00"/>
    <s v="CUST-0051"/>
    <s v="PROD-021"/>
    <x v="7"/>
    <n v="7"/>
    <n v="2760"/>
    <n v="25.2"/>
    <n v="14451.36"/>
    <s v="Completed"/>
    <s v="Pune"/>
  </r>
  <r>
    <s v="ORD-00078"/>
    <d v="2024-04-08T00:00:00"/>
    <s v="CUST-0193"/>
    <s v="PROD-009"/>
    <x v="24"/>
    <n v="4"/>
    <n v="1220"/>
    <n v="8.4"/>
    <n v="4470.08"/>
    <s v="Completed"/>
    <s v="Bengaluru"/>
  </r>
  <r>
    <s v="ORD-00079"/>
    <d v="2024-11-19T00:00:00"/>
    <s v="CUST-0020"/>
    <s v="PROD-002"/>
    <x v="8"/>
    <n v="2"/>
    <n v="2600"/>
    <n v="1.9"/>
    <n v="5101.2"/>
    <s v="Pending"/>
    <s v="Hyderabad"/>
  </r>
  <r>
    <s v="ORD-00080"/>
    <d v="2024-07-25T00:00:00"/>
    <s v="CUST-0230"/>
    <s v="PROD-026"/>
    <x v="14"/>
    <n v="9"/>
    <n v="4070"/>
    <n v="28.8"/>
    <n v="26080.560000000001"/>
    <s v="Completed"/>
    <s v="Pune"/>
  </r>
  <r>
    <s v="ORD-00081"/>
    <d v="2024-08-11T00:00:00"/>
    <s v="CUST-0094"/>
    <s v="PROD-024"/>
    <x v="1"/>
    <n v="2"/>
    <n v="2270"/>
    <n v="18"/>
    <n v="3722.8"/>
    <s v="Refunded"/>
    <s v="Pune"/>
  </r>
  <r>
    <s v="ORD-00082"/>
    <d v="2024-08-24T00:00:00"/>
    <s v="CUST-0248"/>
    <s v="PROD-012"/>
    <x v="21"/>
    <n v="2"/>
    <n v="3160"/>
    <n v="18.3"/>
    <n v="5163.4399999999996"/>
    <s v="Completed"/>
    <s v="Chennai"/>
  </r>
  <r>
    <s v="ORD-00083"/>
    <d v="2024-04-20T00:00:00"/>
    <s v="CUST-0082"/>
    <s v="PROD-019"/>
    <x v="0"/>
    <n v="4"/>
    <n v="2480"/>
    <n v="1.1000000000000001"/>
    <n v="9810.8799999999992"/>
    <s v="Pending"/>
    <s v="Hyderabad"/>
  </r>
  <r>
    <s v="ORD-00084"/>
    <d v="2024-09-12T00:00:00"/>
    <s v="CUST-0078"/>
    <s v="PROD-008"/>
    <x v="17"/>
    <n v="1"/>
    <n v="2660"/>
    <n v="21"/>
    <n v="2101.4"/>
    <s v="Completed"/>
    <s v="Delhi"/>
  </r>
  <r>
    <s v="ORD-00085"/>
    <d v="2024-05-12T00:00:00"/>
    <s v="CUST-0032"/>
    <s v="PROD-045"/>
    <x v="27"/>
    <n v="5"/>
    <n v="3020"/>
    <n v="22.2"/>
    <n v="11747.8"/>
    <s v="Completed"/>
    <s v="Hyderabad"/>
  </r>
  <r>
    <s v="ORD-00086"/>
    <d v="2024-06-18T00:00:00"/>
    <s v="CUST-0006"/>
    <s v="PROD-016"/>
    <x v="14"/>
    <n v="9"/>
    <n v="620"/>
    <n v="23.3"/>
    <n v="4279.8599999999997"/>
    <s v="Completed"/>
    <s v="Pune"/>
  </r>
  <r>
    <s v="ORD-00087"/>
    <d v="2024-11-04T00:00:00"/>
    <s v="CUST-0084"/>
    <s v="PROD-053"/>
    <x v="17"/>
    <n v="2"/>
    <n v="470"/>
    <n v="5.4"/>
    <n v="889.24"/>
    <s v="Completed"/>
    <s v="Chennai"/>
  </r>
  <r>
    <s v="ORD-00088"/>
    <d v="2024-10-22T00:00:00"/>
    <s v="CUST-0107"/>
    <s v="PROD-007"/>
    <x v="9"/>
    <n v="3"/>
    <n v="1430"/>
    <n v="6.5"/>
    <n v="4011.15"/>
    <s v="Completed"/>
    <s v="Pune"/>
  </r>
  <r>
    <s v="ORD-00089"/>
    <d v="2024-08-14T00:00:00"/>
    <s v="CUST-0108"/>
    <s v="PROD-016"/>
    <x v="10"/>
    <n v="6"/>
    <n v="620"/>
    <n v="2.6"/>
    <n v="3623.28"/>
    <s v="Completed"/>
    <s v="Bengaluru"/>
  </r>
  <r>
    <s v="ORD-00090"/>
    <d v="2024-08-29T00:00:00"/>
    <s v="CUST-0139"/>
    <s v="PROD-003"/>
    <x v="27"/>
    <n v="4"/>
    <n v="3570"/>
    <n v="4.5"/>
    <n v="13637.4"/>
    <s v="Pending"/>
    <s v="Hyderabad"/>
  </r>
  <r>
    <s v="ORD-00091"/>
    <d v="2024-11-26T00:00:00"/>
    <s v="CUST-0200"/>
    <s v="PROD-022"/>
    <x v="9"/>
    <n v="6"/>
    <n v="2270"/>
    <n v="2"/>
    <n v="13347.6"/>
    <s v="Completed"/>
    <s v="Hyderabad"/>
  </r>
  <r>
    <s v="ORD-00092"/>
    <d v="2024-02-06T00:00:00"/>
    <s v="CUST-0208"/>
    <s v="PROD-015"/>
    <x v="2"/>
    <n v="7"/>
    <n v="2720"/>
    <n v="15.4"/>
    <n v="16107.84"/>
    <s v="Completed"/>
    <s v="Mumbai"/>
  </r>
  <r>
    <s v="ORD-00093"/>
    <d v="2024-03-29T00:00:00"/>
    <s v="CUST-0161"/>
    <s v="PROD-029"/>
    <x v="19"/>
    <n v="9"/>
    <n v="2210"/>
    <n v="12.4"/>
    <n v="17423.64"/>
    <s v="Completed"/>
    <s v="Chennai"/>
  </r>
  <r>
    <s v="ORD-00094"/>
    <d v="2024-12-22T00:00:00"/>
    <s v="CUST-0042"/>
    <s v="PROD-060"/>
    <x v="17"/>
    <n v="6"/>
    <n v="190"/>
    <n v="19.2"/>
    <n v="921.12"/>
    <s v="Completed"/>
    <s v="Pune"/>
  </r>
  <r>
    <s v="ORD-00095"/>
    <d v="2024-11-11T00:00:00"/>
    <s v="CUST-0133"/>
    <s v="PROD-048"/>
    <x v="28"/>
    <n v="10"/>
    <n v="5100"/>
    <n v="25.4"/>
    <n v="38046"/>
    <s v="Refunded"/>
    <s v="Chennai"/>
  </r>
  <r>
    <s v="ORD-00096"/>
    <d v="2024-05-02T00:00:00"/>
    <s v="CUST-0219"/>
    <s v="PROD-054"/>
    <x v="29"/>
    <n v="5"/>
    <n v="1010"/>
    <n v="1.6"/>
    <n v="4969.2"/>
    <s v="Completed"/>
    <s v="Chennai"/>
  </r>
  <r>
    <s v="ORD-00097"/>
    <d v="2024-02-06T00:00:00"/>
    <s v="CUST-0031"/>
    <s v="PROD-031"/>
    <x v="5"/>
    <n v="1"/>
    <n v="3730"/>
    <n v="22.7"/>
    <n v="2883.29"/>
    <s v="Completed"/>
    <s v="Hyderabad"/>
  </r>
  <r>
    <s v="ORD-00098"/>
    <d v="2024-03-22T00:00:00"/>
    <s v="CUST-0189"/>
    <s v="PROD-002"/>
    <x v="8"/>
    <n v="10"/>
    <n v="2600"/>
    <n v="20.7"/>
    <n v="20618"/>
    <s v="Completed"/>
    <s v="Chennai"/>
  </r>
  <r>
    <s v="ORD-00099"/>
    <d v="2024-06-15T00:00:00"/>
    <s v="CUST-0170"/>
    <s v="PROD-025"/>
    <x v="3"/>
    <n v="4"/>
    <n v="4060"/>
    <n v="13.9"/>
    <n v="13982.64"/>
    <s v="Completed"/>
    <s v="Mumbai"/>
  </r>
  <r>
    <s v="ORD-00100"/>
    <d v="2024-05-14T00:00:00"/>
    <s v="CUST-0164"/>
    <s v="PROD-050"/>
    <x v="28"/>
    <n v="6"/>
    <n v="6080"/>
    <n v="16.5"/>
    <n v="30460.799999999999"/>
    <s v="Completed"/>
    <s v="Chennai"/>
  </r>
  <r>
    <s v="ORD-00101"/>
    <d v="2024-09-22T00:00:00"/>
    <s v="CUST-0006"/>
    <s v="PROD-017"/>
    <x v="8"/>
    <n v="6"/>
    <n v="2510"/>
    <n v="11.7"/>
    <n v="13297.98"/>
    <s v="Completed"/>
    <s v="Pune"/>
  </r>
  <r>
    <s v="ORD-00102"/>
    <d v="2024-08-05T00:00:00"/>
    <s v="CUST-0181"/>
    <s v="PROD-036"/>
    <x v="17"/>
    <n v="5"/>
    <n v="3250"/>
    <n v="18.399999999999999"/>
    <n v="13260"/>
    <s v="Completed"/>
    <s v="Delhi"/>
  </r>
  <r>
    <s v="ORD-00103"/>
    <d v="2024-02-07T00:00:00"/>
    <s v="CUST-0131"/>
    <s v="PROD-052"/>
    <x v="1"/>
    <n v="4"/>
    <n v="5410"/>
    <n v="9.8000000000000007"/>
    <n v="19519.28"/>
    <s v="Cancelled"/>
    <s v="Delhi"/>
  </r>
  <r>
    <s v="ORD-00104"/>
    <d v="2024-04-29T00:00:00"/>
    <s v="CUST-0255"/>
    <s v="PROD-003"/>
    <x v="26"/>
    <n v="8"/>
    <n v="3570"/>
    <n v="11.1"/>
    <n v="25389.84"/>
    <s v="Completed"/>
    <s v="Chennai"/>
  </r>
  <r>
    <s v="ORD-00105"/>
    <d v="2024-01-06T00:00:00"/>
    <s v="CUST-0170"/>
    <s v="PROD-001"/>
    <x v="11"/>
    <n v="10"/>
    <n v="5330"/>
    <n v="21.2"/>
    <n v="42000.4"/>
    <s v="Completed"/>
    <s v="Mumbai"/>
  </r>
  <r>
    <s v="ORD-00106"/>
    <d v="2024-12-14T00:00:00"/>
    <s v="CUST-0081"/>
    <s v="PROD-023"/>
    <x v="21"/>
    <n v="4"/>
    <n v="2380"/>
    <n v="26.2"/>
    <n v="7025.76"/>
    <s v="Completed"/>
    <s v="Mumbai"/>
  </r>
  <r>
    <s v="ORD-00107"/>
    <d v="2024-01-31T00:00:00"/>
    <s v="CUST-0102"/>
    <s v="PROD-054"/>
    <x v="28"/>
    <n v="1"/>
    <n v="1010"/>
    <n v="19.5"/>
    <n v="813.05"/>
    <s v="Cancelled"/>
    <s v="Chennai"/>
  </r>
  <r>
    <s v="ORD-00108"/>
    <d v="2024-05-02T00:00:00"/>
    <s v="CUST-0070"/>
    <s v="PROD-028"/>
    <x v="5"/>
    <n v="1"/>
    <n v="3660"/>
    <n v="1.3"/>
    <n v="3612.42"/>
    <s v="Completed"/>
    <s v="Mumbai"/>
  </r>
  <r>
    <s v="ORD-00109"/>
    <d v="2024-10-27T00:00:00"/>
    <s v="CUST-0012"/>
    <s v="PROD-026"/>
    <x v="22"/>
    <n v="2"/>
    <n v="4070"/>
    <n v="29"/>
    <n v="5779.4"/>
    <s v="Cancelled"/>
    <s v="Pune"/>
  </r>
  <r>
    <s v="ORD-00110"/>
    <d v="2024-05-27T00:00:00"/>
    <s v="CUST-0086"/>
    <s v="PROD-037"/>
    <x v="20"/>
    <n v="6"/>
    <n v="660"/>
    <n v="20.2"/>
    <n v="3160.08"/>
    <s v="Pending"/>
    <s v="Hyderabad"/>
  </r>
  <r>
    <s v="ORD-00111"/>
    <d v="2024-07-13T00:00:00"/>
    <s v="CUST-0145"/>
    <s v="PROD-040"/>
    <x v="6"/>
    <n v="3"/>
    <n v="1080"/>
    <n v="29.7"/>
    <n v="2277.7199999999998"/>
    <s v="Completed"/>
    <s v="Bengaluru"/>
  </r>
  <r>
    <s v="ORD-00112"/>
    <d v="2024-12-03T00:00:00"/>
    <s v="CUST-0287"/>
    <s v="PROD-020"/>
    <x v="3"/>
    <n v="7"/>
    <n v="820"/>
    <n v="13.5"/>
    <n v="4965.1000000000004"/>
    <s v="Cancelled"/>
    <s v="Chennai"/>
  </r>
  <r>
    <s v="ORD-00113"/>
    <d v="2024-04-12T00:00:00"/>
    <s v="CUST-0280"/>
    <s v="PROD-049"/>
    <x v="28"/>
    <n v="4"/>
    <n v="960"/>
    <n v="26"/>
    <n v="2841.6"/>
    <s v="Completed"/>
    <s v="Delhi"/>
  </r>
  <r>
    <s v="ORD-00114"/>
    <d v="2024-06-10T00:00:00"/>
    <s v="CUST-0096"/>
    <s v="PROD-002"/>
    <x v="2"/>
    <n v="3"/>
    <n v="2600"/>
    <n v="18.2"/>
    <n v="6380.4"/>
    <s v="Completed"/>
    <s v="Delhi"/>
  </r>
  <r>
    <s v="ORD-00115"/>
    <d v="2024-03-19T00:00:00"/>
    <s v="CUST-0184"/>
    <s v="PROD-033"/>
    <x v="20"/>
    <n v="9"/>
    <n v="2030"/>
    <n v="26.1"/>
    <n v="13501.53"/>
    <s v="Completed"/>
    <s v="Pune"/>
  </r>
  <r>
    <s v="ORD-00116"/>
    <d v="2024-11-01T00:00:00"/>
    <s v="CUST-0025"/>
    <s v="PROD-042"/>
    <x v="8"/>
    <n v="8"/>
    <n v="2290"/>
    <n v="20.8"/>
    <n v="14509.44"/>
    <s v="Completed"/>
    <s v="Bengaluru"/>
  </r>
  <r>
    <s v="ORD-00117"/>
    <d v="2024-08-27T00:00:00"/>
    <s v="CUST-0149"/>
    <s v="PROD-031"/>
    <x v="20"/>
    <n v="3"/>
    <n v="3730"/>
    <n v="7.9"/>
    <n v="10305.99"/>
    <s v="Completed"/>
    <s v="Hyderabad"/>
  </r>
  <r>
    <s v="ORD-00118"/>
    <d v="2024-10-31T00:00:00"/>
    <s v="CUST-0018"/>
    <s v="PROD-005"/>
    <x v="2"/>
    <n v="1"/>
    <n v="300"/>
    <n v="16.899999999999999"/>
    <n v="249.3"/>
    <s v="Pending"/>
    <s v="Pune"/>
  </r>
  <r>
    <s v="ORD-00119"/>
    <d v="2024-05-08T00:00:00"/>
    <s v="CUST-0216"/>
    <s v="PROD-005"/>
    <x v="27"/>
    <n v="3"/>
    <n v="300"/>
    <n v="0.6"/>
    <n v="894.6"/>
    <s v="Completed"/>
    <s v="Mumbai"/>
  </r>
  <r>
    <s v="ORD-00120"/>
    <d v="2024-02-07T00:00:00"/>
    <s v="CUST-0092"/>
    <s v="PROD-043"/>
    <x v="0"/>
    <n v="6"/>
    <n v="3350"/>
    <n v="2.2999999999999998"/>
    <n v="19637.7"/>
    <s v="Cancelled"/>
    <s v="Bengaluru"/>
  </r>
  <r>
    <s v="ORD-00121"/>
    <d v="2024-05-04T00:00:00"/>
    <s v="CUST-0056"/>
    <s v="PROD-001"/>
    <x v="11"/>
    <n v="4"/>
    <n v="5330"/>
    <n v="29.3"/>
    <n v="15073.24"/>
    <s v="Completed"/>
    <s v="Bengaluru"/>
  </r>
  <r>
    <s v="ORD-00122"/>
    <d v="2024-11-18T00:00:00"/>
    <s v="CUST-0113"/>
    <s v="PROD-014"/>
    <x v="25"/>
    <n v="6"/>
    <n v="3620"/>
    <n v="10.8"/>
    <n v="19374.240000000002"/>
    <s v="Completed"/>
    <s v="Delhi"/>
  </r>
  <r>
    <s v="ORD-00123"/>
    <d v="2024-10-28T00:00:00"/>
    <s v="CUST-0253"/>
    <s v="PROD-014"/>
    <x v="1"/>
    <n v="6"/>
    <n v="3620"/>
    <n v="21.7"/>
    <n v="17006.759999999998"/>
    <s v="Completed"/>
    <s v="Delhi"/>
  </r>
  <r>
    <s v="ORD-00124"/>
    <d v="2024-03-09T00:00:00"/>
    <s v="CUST-0187"/>
    <s v="PROD-057"/>
    <x v="4"/>
    <n v="8"/>
    <n v="960"/>
    <n v="27.9"/>
    <n v="5537.28"/>
    <s v="Completed"/>
    <s v="Chennai"/>
  </r>
  <r>
    <s v="ORD-00125"/>
    <d v="2024-12-02T00:00:00"/>
    <s v="CUST-0028"/>
    <s v="PROD-044"/>
    <x v="5"/>
    <n v="5"/>
    <n v="1650"/>
    <n v="4.9000000000000004"/>
    <n v="7845.75"/>
    <s v="Completed"/>
    <s v="Bengaluru"/>
  </r>
  <r>
    <s v="ORD-00126"/>
    <d v="2024-10-27T00:00:00"/>
    <s v="CUST-0224"/>
    <s v="PROD-049"/>
    <x v="9"/>
    <n v="9"/>
    <n v="960"/>
    <n v="25.1"/>
    <n v="6471.36"/>
    <s v="Refunded"/>
    <s v="Chennai"/>
  </r>
  <r>
    <s v="ORD-00127"/>
    <d v="2024-06-10T00:00:00"/>
    <s v="CUST-0150"/>
    <s v="PROD-006"/>
    <x v="11"/>
    <n v="7"/>
    <n v="3970"/>
    <n v="13.8"/>
    <n v="23954.98"/>
    <s v="Pending"/>
    <s v="Pune"/>
  </r>
  <r>
    <s v="ORD-00128"/>
    <d v="2024-11-16T00:00:00"/>
    <s v="CUST-0129"/>
    <s v="PROD-030"/>
    <x v="1"/>
    <n v="7"/>
    <n v="970"/>
    <n v="21.6"/>
    <n v="5323.36"/>
    <s v="Pending"/>
    <s v="Hyderabad"/>
  </r>
  <r>
    <s v="ORD-00129"/>
    <d v="2024-09-06T00:00:00"/>
    <s v="CUST-0239"/>
    <s v="PROD-033"/>
    <x v="19"/>
    <n v="10"/>
    <n v="2030"/>
    <n v="1.2"/>
    <n v="20056.400000000001"/>
    <s v="Completed"/>
    <s v="Mumbai"/>
  </r>
  <r>
    <s v="ORD-00130"/>
    <d v="2024-12-14T00:00:00"/>
    <s v="CUST-0106"/>
    <s v="PROD-024"/>
    <x v="13"/>
    <n v="9"/>
    <n v="2270"/>
    <n v="13.2"/>
    <n v="17733.240000000002"/>
    <s v="Pending"/>
    <s v="Pune"/>
  </r>
  <r>
    <s v="ORD-00131"/>
    <d v="2024-08-20T00:00:00"/>
    <s v="CUST-0273"/>
    <s v="PROD-046"/>
    <x v="11"/>
    <n v="8"/>
    <n v="4880"/>
    <n v="13.4"/>
    <n v="33808.639999999999"/>
    <s v="Completed"/>
    <s v="Hyderabad"/>
  </r>
  <r>
    <s v="ORD-00132"/>
    <d v="2024-02-22T00:00:00"/>
    <s v="CUST-0114"/>
    <s v="PROD-004"/>
    <x v="23"/>
    <n v="10"/>
    <n v="3870"/>
    <n v="23.9"/>
    <n v="29450.7"/>
    <s v="Completed"/>
    <s v="Bengaluru"/>
  </r>
  <r>
    <s v="ORD-00133"/>
    <d v="2024-06-20T00:00:00"/>
    <s v="CUST-0146"/>
    <s v="PROD-042"/>
    <x v="25"/>
    <n v="4"/>
    <n v="2290"/>
    <n v="15.2"/>
    <n v="7767.68"/>
    <s v="Completed"/>
    <s v="Hyderabad"/>
  </r>
  <r>
    <s v="ORD-00134"/>
    <d v="2024-05-31T00:00:00"/>
    <s v="CUST-0298"/>
    <s v="PROD-023"/>
    <x v="16"/>
    <n v="8"/>
    <n v="2380"/>
    <n v="4.2"/>
    <n v="18240.32"/>
    <s v="Completed"/>
    <s v="Delhi"/>
  </r>
  <r>
    <s v="ORD-00135"/>
    <d v="2024-01-10T00:00:00"/>
    <s v="CUST-0111"/>
    <s v="PROD-029"/>
    <x v="22"/>
    <n v="8"/>
    <n v="2210"/>
    <n v="11.5"/>
    <n v="15646.8"/>
    <s v="Completed"/>
    <s v="Chennai"/>
  </r>
  <r>
    <s v="ORD-01445"/>
    <d v="2024-03-09T00:00:00"/>
    <s v="CUST-0291"/>
    <s v="PROD-001"/>
    <x v="24"/>
    <n v="4"/>
    <n v="5330"/>
    <n v="22.6"/>
    <n v="16501.68"/>
    <s v="Pending"/>
    <s v="Pune"/>
  </r>
  <r>
    <s v="ORD-00137"/>
    <d v="2024-09-24T00:00:00"/>
    <s v="CUST-0024"/>
    <s v="PROD-006"/>
    <x v="24"/>
    <n v="8"/>
    <n v="3970"/>
    <n v="21.8"/>
    <n v="24836.32"/>
    <s v="Completed"/>
    <s v="Chennai"/>
  </r>
  <r>
    <s v="ORD-00138"/>
    <d v="2024-09-11T00:00:00"/>
    <s v="CUST-0210"/>
    <s v="PROD-012"/>
    <x v="16"/>
    <n v="10"/>
    <n v="3160"/>
    <n v="16.100000000000001"/>
    <n v="26512.400000000001"/>
    <s v="Cancelled"/>
    <s v="Pune"/>
  </r>
  <r>
    <s v="ORD-00139"/>
    <d v="2024-05-13T00:00:00"/>
    <s v="CUST-0192"/>
    <s v="PROD-060"/>
    <x v="18"/>
    <n v="5"/>
    <n v="190"/>
    <n v="14.8"/>
    <n v="809.4"/>
    <s v="Completed"/>
    <s v="Bengaluru"/>
  </r>
  <r>
    <s v="ORD-00140"/>
    <d v="2024-02-29T00:00:00"/>
    <s v="CUST-0078"/>
    <s v="PROD-021"/>
    <x v="0"/>
    <n v="6"/>
    <n v="2760"/>
    <n v="19.8"/>
    <n v="13281.12"/>
    <s v="Completed"/>
    <s v="Delhi"/>
  </r>
  <r>
    <s v="ORD-00141"/>
    <d v="2024-11-08T00:00:00"/>
    <s v="CUST-0070"/>
    <s v="PROD-022"/>
    <x v="7"/>
    <n v="9"/>
    <n v="2270"/>
    <n v="20.8"/>
    <n v="16180.56"/>
    <s v="Cancelled"/>
    <s v="Mumbai"/>
  </r>
  <r>
    <s v="ORD-00142"/>
    <d v="2024-02-06T00:00:00"/>
    <s v="CUST-0159"/>
    <s v="PROD-052"/>
    <x v="19"/>
    <n v="8"/>
    <n v="5410"/>
    <n v="12.9"/>
    <n v="37696.879999999997"/>
    <s v="Completed"/>
    <s v="Hyderabad"/>
  </r>
  <r>
    <s v="ORD-00143"/>
    <d v="2024-08-04T00:00:00"/>
    <s v="CUST-0294"/>
    <s v="PROD-024"/>
    <x v="18"/>
    <n v="9"/>
    <n v="2270"/>
    <n v="6.8"/>
    <n v="19040.759999999998"/>
    <s v="Completed"/>
    <s v="Delhi"/>
  </r>
  <r>
    <s v="ORD-00144"/>
    <d v="2024-01-18T00:00:00"/>
    <s v="CUST-0280"/>
    <s v="PROD-012"/>
    <x v="19"/>
    <n v="3"/>
    <n v="3160"/>
    <n v="12.8"/>
    <n v="8266.56"/>
    <s v="Completed"/>
    <s v="Delhi"/>
  </r>
  <r>
    <s v="ORD-00145"/>
    <d v="2024-06-05T00:00:00"/>
    <s v="CUST-0291"/>
    <s v="PROD-025"/>
    <x v="8"/>
    <n v="8"/>
    <n v="4060"/>
    <n v="20.9"/>
    <n v="25691.68"/>
    <s v="Completed"/>
    <s v="Pune"/>
  </r>
  <r>
    <s v="ORD-00146"/>
    <d v="2024-06-06T00:00:00"/>
    <s v="CUST-9657"/>
    <s v="PROD-020"/>
    <x v="26"/>
    <n v="5"/>
    <n v="820"/>
    <n v="9.1"/>
    <n v="3726.9"/>
    <s v="Refunded"/>
    <s v="Pune"/>
  </r>
  <r>
    <s v="ORD-00147"/>
    <d v="2024-09-20T00:00:00"/>
    <s v="CUST-0080"/>
    <s v="PROD-032"/>
    <x v="0"/>
    <n v="5"/>
    <n v="370"/>
    <n v="11.5"/>
    <n v="1637.25"/>
    <s v="Completed"/>
    <s v="Pune"/>
  </r>
  <r>
    <s v="ORD-00148"/>
    <d v="2024-02-19T00:00:00"/>
    <s v="CUST-0172"/>
    <s v="PROD-034"/>
    <x v="25"/>
    <n v="9"/>
    <n v="5080"/>
    <n v="27.5"/>
    <n v="33147"/>
    <s v="Completed"/>
    <s v="Pune"/>
  </r>
  <r>
    <s v="ORD-00149"/>
    <d v="2024-05-10T00:00:00"/>
    <s v="CUST-0051"/>
    <s v="PROD-026"/>
    <x v="27"/>
    <n v="6"/>
    <n v="4070"/>
    <n v="12.5"/>
    <n v="21367.5"/>
    <s v="Completed"/>
    <s v="Pune"/>
  </r>
  <r>
    <s v="ORD-00150"/>
    <d v="2024-02-24T00:00:00"/>
    <s v="CUST-0080"/>
    <s v="PROD-005"/>
    <x v="6"/>
    <n v="5"/>
    <n v="300"/>
    <n v="25.8"/>
    <n v="1113"/>
    <s v="Completed"/>
    <s v="Pune"/>
  </r>
  <r>
    <s v="ORD-00151"/>
    <d v="2024-01-27T00:00:00"/>
    <s v="CUST-0137"/>
    <s v="PROD-048"/>
    <x v="23"/>
    <n v="7"/>
    <n v="5100"/>
    <n v="28.8"/>
    <n v="25418.400000000001"/>
    <s v="Completed"/>
    <s v="Mumbai"/>
  </r>
  <r>
    <s v="ORD-00152"/>
    <d v="2024-08-17T00:00:00"/>
    <s v="CUST-0222"/>
    <s v="PROD-038"/>
    <x v="27"/>
    <n v="2"/>
    <n v="5490"/>
    <n v="5.5"/>
    <n v="10376.1"/>
    <s v="Completed"/>
    <s v="Chennai"/>
  </r>
  <r>
    <s v="ORD-00153"/>
    <d v="2024-10-30T00:00:00"/>
    <s v="CUST-0117"/>
    <s v="PROD-011"/>
    <x v="15"/>
    <n v="2"/>
    <n v="3450"/>
    <n v="1.2"/>
    <n v="6817.2"/>
    <s v="Completed"/>
    <s v="Delhi"/>
  </r>
  <r>
    <s v="ORD-00154"/>
    <d v="2024-08-26T00:00:00"/>
    <s v="CUST-0104"/>
    <s v="PROD-029"/>
    <x v="25"/>
    <n v="10"/>
    <n v="2210"/>
    <n v="18.8"/>
    <n v="17945.2"/>
    <s v="Completed"/>
    <s v="Hyderabad"/>
  </r>
  <r>
    <s v="ORD-00155"/>
    <d v="2024-12-18T00:00:00"/>
    <s v="CUST-0082"/>
    <s v="PROD-036"/>
    <x v="22"/>
    <n v="2"/>
    <n v="3250"/>
    <n v="26.2"/>
    <n v="4797"/>
    <s v="Completed"/>
    <s v="Hyderabad"/>
  </r>
  <r>
    <s v="ORD-00156"/>
    <d v="2024-01-07T00:00:00"/>
    <s v="CUST-0165"/>
    <s v="PROD-012"/>
    <x v="19"/>
    <n v="5"/>
    <n v="3160"/>
    <n v="0.9"/>
    <n v="15657.8"/>
    <s v="Completed"/>
    <s v="Pune"/>
  </r>
  <r>
    <s v="ORD-00157"/>
    <d v="2024-06-04T00:00:00"/>
    <s v="CUST-0150"/>
    <s v="PROD-004"/>
    <x v="14"/>
    <n v="4"/>
    <n v="3870"/>
    <n v="29.6"/>
    <n v="10897.92"/>
    <s v="Cancelled"/>
    <s v="Pune"/>
  </r>
  <r>
    <s v="ORD-00158"/>
    <d v="2024-11-05T00:00:00"/>
    <s v="CUST-0228"/>
    <s v="PROD-059"/>
    <x v="24"/>
    <n v="4"/>
    <n v="3780"/>
    <n v="3.5"/>
    <n v="14590.8"/>
    <s v="Cancelled"/>
    <s v="Pune"/>
  </r>
  <r>
    <s v="ORD-00159"/>
    <d v="2024-05-16T00:00:00"/>
    <s v="CUST-0197"/>
    <s v="PROD-045"/>
    <x v="13"/>
    <n v="4"/>
    <n v="3020"/>
    <n v="18.899999999999999"/>
    <n v="9796.8799999999992"/>
    <s v="Completed"/>
    <s v="Bengaluru"/>
  </r>
  <r>
    <s v="ORD-00160"/>
    <d v="2024-04-27T00:00:00"/>
    <s v="CUST-0009"/>
    <s v="PROD-031"/>
    <x v="15"/>
    <n v="1"/>
    <n v="3730"/>
    <n v="10.8"/>
    <n v="3327.16"/>
    <s v="Refunded"/>
    <s v="Mumbai"/>
  </r>
  <r>
    <s v="ORD-00161"/>
    <d v="2024-04-12T00:00:00"/>
    <s v="CUST-0139"/>
    <s v="PROD-046"/>
    <x v="26"/>
    <n v="8"/>
    <n v="4880"/>
    <n v="20.3"/>
    <n v="31114.880000000001"/>
    <s v="Completed"/>
    <s v="Hyderabad"/>
  </r>
  <r>
    <s v="ORD-00162"/>
    <d v="2024-10-14T00:00:00"/>
    <s v="CUST-0184"/>
    <s v="PROD-030"/>
    <x v="17"/>
    <n v="9"/>
    <n v="970"/>
    <n v="18.2"/>
    <n v="7141.14"/>
    <s v="Completed"/>
    <s v="Pune"/>
  </r>
  <r>
    <s v="ORD-00163"/>
    <d v="2024-05-30T00:00:00"/>
    <s v="CUST-0119"/>
    <s v="PROD-008"/>
    <x v="21"/>
    <n v="8"/>
    <n v="2660"/>
    <n v="17.600000000000001"/>
    <n v="17534.72"/>
    <s v="Completed"/>
    <s v="Bengaluru"/>
  </r>
  <r>
    <s v="ORD-00164"/>
    <d v="2024-05-02T00:00:00"/>
    <s v="CUST-0280"/>
    <s v="PROD-020"/>
    <x v="15"/>
    <n v="2"/>
    <n v="820"/>
    <n v="18.100000000000001"/>
    <n v="1343.16"/>
    <s v="Cancelled"/>
    <s v="Delhi"/>
  </r>
  <r>
    <s v="ORD-00165"/>
    <d v="2024-02-27T00:00:00"/>
    <s v="CUST-0240"/>
    <s v="PROD-033"/>
    <x v="18"/>
    <n v="7"/>
    <n v="2030"/>
    <n v="23.7"/>
    <n v="10842.23"/>
    <s v="Pending"/>
    <s v="Chennai"/>
  </r>
  <r>
    <s v="ORD-00166"/>
    <d v="2024-08-29T00:00:00"/>
    <s v="CUST-0067"/>
    <s v="PROD-016"/>
    <x v="18"/>
    <n v="5"/>
    <n v="620"/>
    <n v="13.8"/>
    <n v="2672.2"/>
    <s v="Completed"/>
    <s v="Delhi"/>
  </r>
  <r>
    <s v="ORD-00167"/>
    <d v="2024-07-16T00:00:00"/>
    <s v="CUST-0117"/>
    <s v="PROD-022"/>
    <x v="24"/>
    <n v="7"/>
    <n v="2270"/>
    <n v="5.5"/>
    <n v="15016.05"/>
    <s v="Completed"/>
    <s v="Delhi"/>
  </r>
  <r>
    <s v="ORD-00168"/>
    <d v="2024-06-14T00:00:00"/>
    <s v="CUST-0101"/>
    <s v="PROD-053"/>
    <x v="29"/>
    <n v="1"/>
    <n v="470"/>
    <n v="13.7"/>
    <n v="405.61"/>
    <s v="Pending"/>
    <s v="Hyderabad"/>
  </r>
  <r>
    <s v="ORD-00169"/>
    <d v="2024-11-05T00:00:00"/>
    <s v="CUST-0184"/>
    <s v="PROD-001"/>
    <x v="0"/>
    <n v="6"/>
    <n v="5330"/>
    <n v="17.899999999999999"/>
    <n v="26255.58"/>
    <s v="Completed"/>
    <s v="Pune"/>
  </r>
  <r>
    <s v="ORD-00170"/>
    <d v="2024-01-03T00:00:00"/>
    <s v="CUST-0087"/>
    <s v="PROD-050"/>
    <x v="25"/>
    <n v="1"/>
    <n v="6080"/>
    <n v="25.5"/>
    <n v="4529.6000000000004"/>
    <s v="Completed"/>
    <s v="Pune"/>
  </r>
  <r>
    <s v="ORD-00171"/>
    <d v="2024-02-23T00:00:00"/>
    <s v="CUST-0261"/>
    <s v="PROD-027"/>
    <x v="24"/>
    <n v="5"/>
    <n v="3780"/>
    <n v="28.6"/>
    <n v="13494.6"/>
    <s v="Completed"/>
    <s v="Delhi"/>
  </r>
  <r>
    <s v="ORD-00172"/>
    <d v="2024-04-09T00:00:00"/>
    <s v="CUST-0027"/>
    <s v="PROD-016"/>
    <x v="9"/>
    <n v="5"/>
    <n v="620"/>
    <n v="6.9"/>
    <n v="2886.1"/>
    <s v="Cancelled"/>
    <s v="Hyderabad"/>
  </r>
  <r>
    <s v="ORD-00173"/>
    <d v="2024-05-07T00:00:00"/>
    <s v="CUST-0210"/>
    <s v="PROD-017"/>
    <x v="28"/>
    <n v="8"/>
    <n v="2510"/>
    <n v="0.7"/>
    <n v="19939.439999999999"/>
    <s v="Completed"/>
    <s v="Pune"/>
  </r>
  <r>
    <s v="ORD-00174"/>
    <d v="2024-01-15T00:00:00"/>
    <s v="CUST-0163"/>
    <s v="PROD-015"/>
    <x v="16"/>
    <n v="1"/>
    <n v="2720"/>
    <n v="13.7"/>
    <n v="2347.36"/>
    <s v="Completed"/>
    <s v="Pune"/>
  </r>
  <r>
    <s v="ORD-00175"/>
    <d v="2024-09-11T00:00:00"/>
    <s v="CUST-0059"/>
    <s v="PROD-053"/>
    <x v="26"/>
    <n v="9"/>
    <n v="470"/>
    <n v="23.6"/>
    <n v="3231.72"/>
    <s v="Completed"/>
    <s v="Pune"/>
  </r>
  <r>
    <s v="ORD-00176"/>
    <d v="2024-12-07T00:00:00"/>
    <s v="CUST-0020"/>
    <s v="PROD-036"/>
    <x v="26"/>
    <n v="10"/>
    <n v="3250"/>
    <n v="21"/>
    <n v="25675"/>
    <s v="Cancelled"/>
    <s v="Hyderabad"/>
  </r>
  <r>
    <s v="ORD-00177"/>
    <d v="2024-12-23T00:00:00"/>
    <s v="CUST-0048"/>
    <s v="PROD-034"/>
    <x v="8"/>
    <n v="6"/>
    <n v="5080"/>
    <n v="16.8"/>
    <n v="25359.360000000001"/>
    <s v="Pending"/>
    <s v="Delhi"/>
  </r>
  <r>
    <s v="ORD-00178"/>
    <d v="2024-01-21T00:00:00"/>
    <s v="CUST-0172"/>
    <s v="PROD-003"/>
    <x v="27"/>
    <n v="2"/>
    <n v="3570"/>
    <n v="6.7"/>
    <n v="6661.62"/>
    <s v="Cancelled"/>
    <s v="Pune"/>
  </r>
  <r>
    <s v="ORD-00179"/>
    <d v="2024-03-31T00:00:00"/>
    <s v="CUST-0124"/>
    <s v="PROD-013"/>
    <x v="27"/>
    <n v="4"/>
    <n v="3640"/>
    <n v="18.399999999999999"/>
    <n v="11880.96"/>
    <s v="Completed"/>
    <s v="Pune"/>
  </r>
  <r>
    <s v="ORD-00180"/>
    <d v="2024-08-20T00:00:00"/>
    <s v="CUST-0184"/>
    <s v="PROD-026"/>
    <x v="19"/>
    <n v="8"/>
    <n v="4070"/>
    <n v="6.6"/>
    <n v="30411.040000000001"/>
    <s v="Completed"/>
    <s v="Pune"/>
  </r>
  <r>
    <s v="ORD-00181"/>
    <d v="2024-04-10T00:00:00"/>
    <s v="CUST-0259"/>
    <s v="PROD-011"/>
    <x v="27"/>
    <n v="6"/>
    <n v="3450"/>
    <n v="14.4"/>
    <n v="17719.2"/>
    <s v="Pending"/>
    <s v="Mumbai"/>
  </r>
  <r>
    <s v="ORD-00182"/>
    <d v="2024-05-31T00:00:00"/>
    <s v="CUST-0204"/>
    <s v="PROD-034"/>
    <x v="20"/>
    <n v="7"/>
    <n v="5080"/>
    <n v="25.4"/>
    <n v="26527.759999999998"/>
    <s v="Pending"/>
    <s v="Hyderabad"/>
  </r>
  <r>
    <s v="ORD-00183"/>
    <d v="2024-02-11T00:00:00"/>
    <s v="CUST-0032"/>
    <s v="PROD-021"/>
    <x v="8"/>
    <n v="10"/>
    <n v="2760"/>
    <n v="20.100000000000001"/>
    <n v="22052.400000000001"/>
    <s v="Completed"/>
    <s v="Hyderabad"/>
  </r>
  <r>
    <s v="ORD-00184"/>
    <d v="2024-06-13T00:00:00"/>
    <s v="CUST-0239"/>
    <s v="PROD-044"/>
    <x v="29"/>
    <n v="6"/>
    <n v="1650"/>
    <n v="11.3"/>
    <n v="8781.2999999999993"/>
    <s v="Pending"/>
    <s v="Mumbai"/>
  </r>
  <r>
    <s v="ORD-00185"/>
    <d v="2024-01-04T00:00:00"/>
    <s v="CUST-0191"/>
    <s v="PROD-004"/>
    <x v="0"/>
    <n v="9"/>
    <n v="3870"/>
    <n v="27.5"/>
    <n v="25251.75"/>
    <s v="Completed"/>
    <s v="Hyderabad"/>
  </r>
  <r>
    <s v="ORD-00186"/>
    <d v="2024-08-28T00:00:00"/>
    <s v="CUST-0284"/>
    <s v="PROD-035"/>
    <x v="24"/>
    <n v="2"/>
    <n v="1090"/>
    <n v="18.7"/>
    <n v="1772.34"/>
    <s v="Refunded"/>
    <s v="Hyderabad"/>
  </r>
  <r>
    <s v="ORD-00187"/>
    <d v="2024-09-29T00:00:00"/>
    <s v="CUST-0274"/>
    <s v="PROD-049"/>
    <x v="5"/>
    <n v="4"/>
    <n v="960"/>
    <n v="23.4"/>
    <n v="2941.44"/>
    <s v="Completed"/>
    <s v="Bengaluru"/>
  </r>
  <r>
    <s v="ORD-00188"/>
    <d v="2024-09-04T00:00:00"/>
    <s v="CUST-0234"/>
    <s v="PROD-043"/>
    <x v="13"/>
    <n v="3"/>
    <n v="3350"/>
    <n v="17.899999999999999"/>
    <n v="8251.0499999999993"/>
    <s v="Completed"/>
    <s v="Bengaluru"/>
  </r>
  <r>
    <s v="ORD-00189"/>
    <d v="2024-11-09T00:00:00"/>
    <s v="CUST-0264"/>
    <s v="PROD-022"/>
    <x v="1"/>
    <n v="4"/>
    <n v="2270"/>
    <n v="29"/>
    <n v="6446.8"/>
    <s v="Completed"/>
    <s v="Pune"/>
  </r>
  <r>
    <s v="ORD-00190"/>
    <d v="2024-06-17T00:00:00"/>
    <s v="CUST-0192"/>
    <s v="PROD-039"/>
    <x v="12"/>
    <n v="9"/>
    <n v="4610"/>
    <n v="28.3"/>
    <n v="29748.33"/>
    <s v="Pending"/>
    <s v="Bengaluru"/>
  </r>
  <r>
    <s v="ORD-00191"/>
    <d v="2024-09-03T00:00:00"/>
    <s v="CUST-0041"/>
    <s v="PROD-012"/>
    <x v="18"/>
    <n v="3"/>
    <n v="3160"/>
    <n v="7.3"/>
    <n v="8787.9599999999991"/>
    <s v="Completed"/>
    <s v="Bengaluru"/>
  </r>
  <r>
    <s v="ORD-00192"/>
    <d v="2024-10-08T00:00:00"/>
    <s v="CUST-0043"/>
    <s v="PROD-022"/>
    <x v="10"/>
    <n v="8"/>
    <n v="2270"/>
    <n v="15.6"/>
    <n v="15327.04"/>
    <s v="Completed"/>
    <s v="Hyderabad"/>
  </r>
  <r>
    <s v="ORD-00193"/>
    <d v="2024-07-10T00:00:00"/>
    <s v="CUST-0147"/>
    <s v="PROD-045"/>
    <x v="8"/>
    <n v="8"/>
    <n v="3020"/>
    <n v="16.3"/>
    <n v="20221.919999999998"/>
    <s v="Cancelled"/>
    <s v="Pune"/>
  </r>
  <r>
    <s v="ORD-00194"/>
    <d v="2024-11-21T00:00:00"/>
    <s v="CUST-0056"/>
    <s v="PROD-056"/>
    <x v="14"/>
    <n v="7"/>
    <n v="6940"/>
    <n v="8.5"/>
    <n v="44450.7"/>
    <s v="Completed"/>
    <s v="Bengaluru"/>
  </r>
  <r>
    <s v="ORD-00195"/>
    <d v="2024-09-11T00:00:00"/>
    <s v="CUST-0059"/>
    <s v="PROD-041"/>
    <x v="27"/>
    <n v="8"/>
    <n v="1540"/>
    <n v="21"/>
    <n v="9732.7999999999993"/>
    <s v="Completed"/>
    <s v="Pune"/>
  </r>
  <r>
    <s v="ORD-00196"/>
    <d v="2024-03-29T00:00:00"/>
    <s v="CUST-0047"/>
    <s v="PROD-019"/>
    <x v="20"/>
    <n v="6"/>
    <n v="2480"/>
    <n v="27.9"/>
    <n v="10728.48"/>
    <s v="Completed"/>
    <s v="Pune"/>
  </r>
  <r>
    <s v="ORD-00197"/>
    <d v="2024-01-29T00:00:00"/>
    <s v="CUST-0162"/>
    <s v="PROD-060"/>
    <x v="24"/>
    <n v="4"/>
    <n v="190"/>
    <n v="21.5"/>
    <n v="596.6"/>
    <s v="Completed"/>
    <s v="Mumbai"/>
  </r>
  <r>
    <s v="ORD-00198"/>
    <d v="2024-03-04T00:00:00"/>
    <s v="CUST-0121"/>
    <s v="PROD-055"/>
    <x v="2"/>
    <n v="1"/>
    <n v="2860"/>
    <n v="15.3"/>
    <n v="2422.42"/>
    <s v="Completed"/>
    <s v="Delhi"/>
  </r>
  <r>
    <s v="ORD-00199"/>
    <d v="2024-02-28T00:00:00"/>
    <s v="CUST-0075"/>
    <s v="PROD-017"/>
    <x v="15"/>
    <n v="4"/>
    <n v="2510"/>
    <n v="10.1"/>
    <n v="9025.9599999999991"/>
    <s v="Refunded"/>
    <s v="Mumbai"/>
  </r>
  <r>
    <s v="ORD-00200"/>
    <d v="2024-10-22T00:00:00"/>
    <s v="CUST-0025"/>
    <s v="PROD-003"/>
    <x v="11"/>
    <n v="2"/>
    <n v="3570"/>
    <n v="11.6"/>
    <n v="6311.76"/>
    <s v="Pending"/>
    <s v="Bengaluru"/>
  </r>
  <r>
    <s v="ORD-00201"/>
    <d v="2024-02-22T00:00:00"/>
    <s v="CUST-0048"/>
    <s v="PROD-031"/>
    <x v="29"/>
    <n v="7"/>
    <n v="3730"/>
    <n v="2.5"/>
    <n v="25457.25"/>
    <s v="Cancelled"/>
    <s v="Delhi"/>
  </r>
  <r>
    <s v="ORD-00202"/>
    <d v="2024-07-19T00:00:00"/>
    <s v="CUST-0251"/>
    <s v="PROD-032"/>
    <x v="14"/>
    <n v="6"/>
    <n v="370"/>
    <n v="9.9"/>
    <n v="2000.22"/>
    <s v="Completed"/>
    <s v="Mumbai"/>
  </r>
  <r>
    <s v="ORD-00203"/>
    <d v="2024-07-17T00:00:00"/>
    <s v="CUST-0125"/>
    <s v="PROD-008"/>
    <x v="2"/>
    <n v="4"/>
    <n v="2660"/>
    <n v="29.7"/>
    <n v="7479.92"/>
    <s v="Completed"/>
    <s v="Delhi"/>
  </r>
  <r>
    <s v="ORD-00204"/>
    <d v="2024-09-03T00:00:00"/>
    <s v="CUST-0025"/>
    <s v="PROD-021"/>
    <x v="15"/>
    <n v="6"/>
    <n v="2760"/>
    <n v="0.9"/>
    <n v="16410.96"/>
    <s v="Completed"/>
    <s v="Bengaluru"/>
  </r>
  <r>
    <s v="ORD-00205"/>
    <d v="2024-10-26T00:00:00"/>
    <s v="CUST-0068"/>
    <s v="PROD-043"/>
    <x v="18"/>
    <n v="6"/>
    <n v="3350"/>
    <n v="17.899999999999999"/>
    <n v="16502.099999999999"/>
    <s v="Completed"/>
    <s v="Delhi"/>
  </r>
  <r>
    <s v="ORD-00206"/>
    <d v="2024-01-28T00:00:00"/>
    <s v="CUST-0080"/>
    <s v="PROD-005"/>
    <x v="21"/>
    <n v="8"/>
    <n v="300"/>
    <n v="20.6"/>
    <n v="1905.6"/>
    <s v="Refunded"/>
    <s v="Pune"/>
  </r>
  <r>
    <s v="ORD-00207"/>
    <d v="2024-08-23T00:00:00"/>
    <s v="CUST-0251"/>
    <s v="PROD-015"/>
    <x v="25"/>
    <n v="5"/>
    <n v="2720"/>
    <n v="17.100000000000001"/>
    <n v="11274.4"/>
    <s v="Pending"/>
    <s v="Mumbai"/>
  </r>
  <r>
    <s v="ORD-00208"/>
    <d v="2024-10-07T00:00:00"/>
    <s v="CUST-0077"/>
    <s v="PROD-004"/>
    <x v="15"/>
    <n v="1"/>
    <n v="3870"/>
    <n v="23.5"/>
    <n v="2960.55"/>
    <s v="Pending"/>
    <s v="Hyderabad"/>
  </r>
  <r>
    <s v="ORD-00209"/>
    <d v="2024-12-11T00:00:00"/>
    <s v="CUST-0232"/>
    <s v="PROD-031"/>
    <x v="27"/>
    <n v="3"/>
    <n v="3730"/>
    <n v="0.7"/>
    <n v="11111.67"/>
    <s v="Pending"/>
    <s v="Hyderabad"/>
  </r>
  <r>
    <s v="ORD-00210"/>
    <d v="2024-01-24T00:00:00"/>
    <s v="CUST-0277"/>
    <s v="PROD-019"/>
    <x v="27"/>
    <n v="8"/>
    <n v="2480"/>
    <n v="18.2"/>
    <n v="16229.12"/>
    <s v="Cancelled"/>
    <s v="Chennai"/>
  </r>
  <r>
    <s v="ORD-00211"/>
    <d v="2024-03-23T00:00:00"/>
    <s v="CUST-0149"/>
    <s v="PROD-057"/>
    <x v="7"/>
    <n v="2"/>
    <n v="960"/>
    <n v="2.2000000000000002"/>
    <n v="1877.76"/>
    <s v="Completed"/>
    <s v="Hyderabad"/>
  </r>
  <r>
    <s v="ORD-00212"/>
    <d v="2024-02-13T00:00:00"/>
    <s v="CUST-0178"/>
    <s v="PROD-046"/>
    <x v="26"/>
    <n v="8"/>
    <n v="4880"/>
    <n v="11.9"/>
    <n v="34394.239999999998"/>
    <s v="Completed"/>
    <s v="Hyderabad"/>
  </r>
  <r>
    <s v="ORD-00213"/>
    <d v="2024-12-30T00:00:00"/>
    <s v="CUST-0246"/>
    <s v="PROD-014"/>
    <x v="14"/>
    <n v="2"/>
    <n v="3620"/>
    <n v="1.1000000000000001"/>
    <n v="7160.36"/>
    <s v="Pending"/>
    <s v="Delhi"/>
  </r>
  <r>
    <s v="ORD-00214"/>
    <d v="2024-10-08T00:00:00"/>
    <s v="CUST-0033"/>
    <s v="PROD-006"/>
    <x v="4"/>
    <n v="8"/>
    <n v="3970"/>
    <n v="18.100000000000001"/>
    <n v="26011.439999999999"/>
    <s v="Completed"/>
    <s v="Delhi"/>
  </r>
  <r>
    <s v="ORD-00215"/>
    <d v="2024-08-30T00:00:00"/>
    <s v="CUST-0159"/>
    <s v="PROD-022"/>
    <x v="17"/>
    <n v="8"/>
    <n v="2270"/>
    <n v="19.600000000000001"/>
    <n v="14600.64"/>
    <s v="Completed"/>
    <s v="Hyderabad"/>
  </r>
  <r>
    <s v="ORD-00216"/>
    <d v="2024-12-13T00:00:00"/>
    <s v="CUST-0175"/>
    <s v="PROD-027"/>
    <x v="22"/>
    <n v="1"/>
    <n v="3780"/>
    <n v="22.6"/>
    <n v="2925.72"/>
    <s v="Completed"/>
    <s v="Delhi"/>
  </r>
  <r>
    <s v="ORD-00217"/>
    <d v="2024-12-27T00:00:00"/>
    <s v="CUST-0079"/>
    <s v="PROD-026"/>
    <x v="24"/>
    <n v="9"/>
    <n v="4070"/>
    <n v="28.2"/>
    <n v="26300.34"/>
    <s v="Completed"/>
    <s v="Mumbai"/>
  </r>
  <r>
    <s v="ORD-00218"/>
    <d v="2024-05-12T00:00:00"/>
    <s v="CUST-0173"/>
    <s v="PROD-008"/>
    <x v="3"/>
    <n v="9"/>
    <n v="2660"/>
    <n v="13.1"/>
    <n v="20803.86"/>
    <s v="Pending"/>
    <s v="Mumbai"/>
  </r>
  <r>
    <s v="ORD-00219"/>
    <d v="2024-04-18T00:00:00"/>
    <s v="CUST-0050"/>
    <s v="PROD-003"/>
    <x v="10"/>
    <n v="4"/>
    <n v="3570"/>
    <n v="1.5"/>
    <n v="14065.8"/>
    <s v="Cancelled"/>
    <s v="Mumbai"/>
  </r>
  <r>
    <s v="ORD-00220"/>
    <d v="2024-08-27T00:00:00"/>
    <s v="CUST-0097"/>
    <s v="PROD-049"/>
    <x v="19"/>
    <n v="2"/>
    <n v="960"/>
    <n v="18.600000000000001"/>
    <n v="1562.88"/>
    <s v="Completed"/>
    <s v="Mumbai"/>
  </r>
  <r>
    <s v="ORD-00221"/>
    <d v="2024-09-11T00:00:00"/>
    <s v="CUST-0026"/>
    <s v="PROD-047"/>
    <x v="26"/>
    <n v="2"/>
    <n v="3450"/>
    <n v="3.7"/>
    <n v="6644.7"/>
    <s v="Completed"/>
    <s v="Pune"/>
  </r>
  <r>
    <s v="ORD-00222"/>
    <d v="2024-11-12T00:00:00"/>
    <s v="CUST-0185"/>
    <s v="PROD-048"/>
    <x v="0"/>
    <n v="6"/>
    <n v="5100"/>
    <n v="1.2"/>
    <n v="30232.799999999999"/>
    <s v="Completed"/>
    <s v="Hyderabad"/>
  </r>
  <r>
    <s v="ORD-00223"/>
    <d v="2024-11-18T00:00:00"/>
    <s v="CUST-0135"/>
    <s v="PROD-005"/>
    <x v="1"/>
    <n v="9"/>
    <n v="300"/>
    <n v="25.4"/>
    <n v="2014.2"/>
    <s v="Cancelled"/>
    <s v="Pune"/>
  </r>
  <r>
    <s v="ORD-00224"/>
    <d v="2024-04-23T00:00:00"/>
    <s v="CUST-0010"/>
    <s v="PROD-046"/>
    <x v="16"/>
    <n v="7"/>
    <n v="4880"/>
    <n v="16.899999999999999"/>
    <n v="28386.959999999999"/>
    <s v="Pending"/>
    <s v="Mumbai"/>
  </r>
  <r>
    <s v="ORD-00225"/>
    <d v="2024-07-31T00:00:00"/>
    <s v="CUST-0271"/>
    <s v="PROD-036"/>
    <x v="12"/>
    <n v="9"/>
    <n v="3250"/>
    <n v="10.8"/>
    <n v="26091"/>
    <s v="Cancelled"/>
    <s v="Bengaluru"/>
  </r>
  <r>
    <s v="ORD-00226"/>
    <d v="2024-01-07T00:00:00"/>
    <s v="CUST-0172"/>
    <s v="PROD-047"/>
    <x v="3"/>
    <n v="3"/>
    <n v="3450"/>
    <n v="5.4"/>
    <n v="9791.1"/>
    <s v="Pending"/>
    <s v="Pune"/>
  </r>
  <r>
    <s v="ORD-00227"/>
    <d v="2024-02-24T00:00:00"/>
    <s v="CUST-0296"/>
    <s v="PROD-050"/>
    <x v="13"/>
    <n v="5"/>
    <n v="6080"/>
    <n v="18"/>
    <n v="24928"/>
    <s v="Completed"/>
    <s v="Delhi"/>
  </r>
  <r>
    <s v="ORD-00228"/>
    <d v="2024-07-14T00:00:00"/>
    <s v="CUST-0080"/>
    <s v="PROD-050"/>
    <x v="24"/>
    <n v="7"/>
    <n v="6080"/>
    <n v="9.1999999999999993"/>
    <n v="38644.480000000003"/>
    <s v="Completed"/>
    <s v="Pune"/>
  </r>
  <r>
    <s v="ORD-00229"/>
    <d v="2024-10-20T00:00:00"/>
    <s v="CUST-0232"/>
    <s v="PROD-024"/>
    <x v="2"/>
    <n v="5"/>
    <n v="2270"/>
    <n v="0.4"/>
    <n v="11304.6"/>
    <s v="Cancelled"/>
    <s v="Hyderabad"/>
  </r>
  <r>
    <s v="ORD-00230"/>
    <d v="2024-03-22T00:00:00"/>
    <s v="CUST-0070"/>
    <s v="PROD-046"/>
    <x v="29"/>
    <n v="10"/>
    <n v="4880"/>
    <n v="24.5"/>
    <n v="36844"/>
    <s v="Refunded"/>
    <s v="Mumbai"/>
  </r>
  <r>
    <s v="ORD-00231"/>
    <d v="2024-01-02T00:00:00"/>
    <s v="CUST-0142"/>
    <s v="PROD-023"/>
    <x v="25"/>
    <n v="2"/>
    <n v="2380"/>
    <n v="2.2999999999999998"/>
    <n v="4650.5200000000004"/>
    <s v="Completed"/>
    <s v="Chennai"/>
  </r>
  <r>
    <s v="ORD-00232"/>
    <d v="2024-07-25T00:00:00"/>
    <s v="CUST-0161"/>
    <s v="PROD-054"/>
    <x v="5"/>
    <n v="1"/>
    <n v="1010"/>
    <n v="29.9"/>
    <n v="708.01"/>
    <s v="Completed"/>
    <s v="Chennai"/>
  </r>
  <r>
    <s v="ORD-00233"/>
    <d v="2024-12-17T00:00:00"/>
    <s v="CUST-0020"/>
    <s v="PROD-056"/>
    <x v="20"/>
    <n v="7"/>
    <n v="6940"/>
    <n v="25.8"/>
    <n v="36046.36"/>
    <s v="Completed"/>
    <s v="Hyderabad"/>
  </r>
  <r>
    <s v="ORD-00234"/>
    <d v="2024-09-07T00:00:00"/>
    <s v="CUST-0173"/>
    <s v="PROD-042"/>
    <x v="6"/>
    <n v="6"/>
    <n v="2290"/>
    <n v="25.9"/>
    <n v="10181.34"/>
    <s v="Pending"/>
    <s v="Mumbai"/>
  </r>
  <r>
    <s v="ORD-00235"/>
    <d v="2024-08-04T00:00:00"/>
    <s v="CUST-0280"/>
    <s v="PROD-032"/>
    <x v="2"/>
    <n v="2"/>
    <n v="370"/>
    <n v="3.9"/>
    <n v="711.14"/>
    <s v="Completed"/>
    <s v="Delhi"/>
  </r>
  <r>
    <s v="ORD-00236"/>
    <d v="2024-03-02T00:00:00"/>
    <s v="CUST-0073"/>
    <s v="PROD-022"/>
    <x v="16"/>
    <n v="1"/>
    <n v="2270"/>
    <n v="25.3"/>
    <n v="1695.69"/>
    <s v="Completed"/>
    <s v="Pune"/>
  </r>
  <r>
    <s v="ORD-00237"/>
    <d v="2024-02-22T00:00:00"/>
    <s v="CUST-0242"/>
    <s v="PROD-050"/>
    <x v="25"/>
    <n v="4"/>
    <n v="6080"/>
    <n v="28.8"/>
    <n v="17315.84"/>
    <s v="Pending"/>
    <s v="Chennai"/>
  </r>
  <r>
    <s v="ORD-00238"/>
    <d v="2024-04-07T00:00:00"/>
    <s v="CUST-0234"/>
    <s v="PROD-001"/>
    <x v="26"/>
    <n v="2"/>
    <n v="5330"/>
    <n v="23.8"/>
    <n v="8122.92"/>
    <s v="Pending"/>
    <s v="Bengaluru"/>
  </r>
  <r>
    <s v="ORD-00239"/>
    <d v="2024-02-22T00:00:00"/>
    <s v="CUST-0085"/>
    <s v="PROD-026"/>
    <x v="6"/>
    <n v="2"/>
    <n v="4070"/>
    <n v="4.3"/>
    <n v="7789.98"/>
    <s v="Completed"/>
    <s v="Chennai"/>
  </r>
  <r>
    <s v="ORD-00240"/>
    <d v="2024-07-07T00:00:00"/>
    <s v="CUST-0228"/>
    <s v="PROD-005"/>
    <x v="10"/>
    <n v="6"/>
    <n v="300"/>
    <n v="17.399999999999999"/>
    <n v="1486.8"/>
    <s v="Cancelled"/>
    <s v="Pune"/>
  </r>
  <r>
    <s v="ORD-00241"/>
    <d v="2024-07-15T00:00:00"/>
    <s v="CUST-0147"/>
    <s v="PROD-046"/>
    <x v="2"/>
    <n v="1"/>
    <n v="4880"/>
    <n v="17.5"/>
    <n v="4026"/>
    <s v="Completed"/>
    <s v="Pune"/>
  </r>
  <r>
    <s v="ORD-00242"/>
    <d v="2024-02-04T00:00:00"/>
    <s v="CUST-0171"/>
    <s v="PROD-055"/>
    <x v="28"/>
    <n v="3"/>
    <n v="2860"/>
    <n v="20.100000000000001"/>
    <n v="6855.42"/>
    <s v="Completed"/>
    <s v="Chennai"/>
  </r>
  <r>
    <s v="ORD-00243"/>
    <d v="2024-12-01T00:00:00"/>
    <s v="CUST-0051"/>
    <s v="PROD-041"/>
    <x v="25"/>
    <n v="3"/>
    <n v="1540"/>
    <n v="20.9"/>
    <n v="3654.42"/>
    <s v="Completed"/>
    <s v="Pune"/>
  </r>
  <r>
    <s v="ORD-00244"/>
    <d v="2024-10-11T00:00:00"/>
    <s v="CUST-0285"/>
    <s v="PROD-010"/>
    <x v="9"/>
    <n v="10"/>
    <n v="2640"/>
    <n v="11.2"/>
    <n v="23443.200000000001"/>
    <s v="Pending"/>
    <s v="Hyderabad"/>
  </r>
  <r>
    <s v="ORD-00245"/>
    <d v="2024-01-26T00:00:00"/>
    <s v="CUST-0114"/>
    <s v="PROD-012"/>
    <x v="22"/>
    <n v="1"/>
    <n v="3160"/>
    <n v="11.5"/>
    <n v="2796.6"/>
    <s v="Completed"/>
    <s v="Bengaluru"/>
  </r>
  <r>
    <s v="ORD-00246"/>
    <d v="2024-12-24T00:00:00"/>
    <s v="CUST-0295"/>
    <s v="PROD-040"/>
    <x v="0"/>
    <n v="4"/>
    <n v="1080"/>
    <n v="20.7"/>
    <n v="3425.76"/>
    <s v="Pending"/>
    <s v="Delhi"/>
  </r>
  <r>
    <s v="ORD-00247"/>
    <d v="2024-10-20T00:00:00"/>
    <s v="CUST-0218"/>
    <s v="PROD-054"/>
    <x v="22"/>
    <n v="4"/>
    <n v="1010"/>
    <n v="29.5"/>
    <n v="2848.2"/>
    <s v="Pending"/>
    <s v="Mumbai"/>
  </r>
  <r>
    <s v="ORD-00248"/>
    <d v="2024-09-10T00:00:00"/>
    <s v="CUST-0090"/>
    <s v="PROD-002"/>
    <x v="28"/>
    <n v="7"/>
    <n v="2600"/>
    <n v="6.6"/>
    <n v="16998.8"/>
    <s v="Completed"/>
    <s v="Bengaluru"/>
  </r>
  <r>
    <s v="ORD-00249"/>
    <d v="2024-04-13T00:00:00"/>
    <s v="CUST-0194"/>
    <s v="PROD-017"/>
    <x v="18"/>
    <n v="4"/>
    <n v="2510"/>
    <n v="1"/>
    <n v="9939.6"/>
    <s v="Completed"/>
    <s v="Delhi"/>
  </r>
  <r>
    <s v="ORD-00250"/>
    <d v="2024-12-10T00:00:00"/>
    <s v="CUST-0231"/>
    <s v="PROD-026"/>
    <x v="24"/>
    <n v="9"/>
    <n v="4070"/>
    <n v="6.7"/>
    <n v="34175.79"/>
    <s v="Cancelled"/>
    <s v="Chennai"/>
  </r>
  <r>
    <s v="ORD-00251"/>
    <d v="2024-11-16T00:00:00"/>
    <s v="CUST-0055"/>
    <s v="PROD-020"/>
    <x v="9"/>
    <n v="6"/>
    <n v="820"/>
    <n v="14"/>
    <n v="4231.2"/>
    <s v="Completed"/>
    <s v="Bengaluru"/>
  </r>
  <r>
    <s v="ORD-00252"/>
    <d v="2024-07-22T00:00:00"/>
    <s v="CUST-0262"/>
    <s v="PROD-030"/>
    <x v="1"/>
    <n v="2"/>
    <n v="970"/>
    <n v="23.8"/>
    <n v="1478.28"/>
    <s v="Completed"/>
    <s v="Mumbai"/>
  </r>
  <r>
    <s v="ORD-00253"/>
    <d v="2024-02-15T00:00:00"/>
    <s v="CUST-0155"/>
    <s v="PROD-026"/>
    <x v="27"/>
    <n v="4"/>
    <n v="4070"/>
    <n v="19"/>
    <n v="13186.8"/>
    <s v="Pending"/>
    <s v="Pune"/>
  </r>
  <r>
    <s v="ORD-00254"/>
    <d v="2024-02-11T00:00:00"/>
    <s v="CUST-0169"/>
    <s v="PROD-047"/>
    <x v="21"/>
    <n v="3"/>
    <n v="3450"/>
    <n v="4.4000000000000004"/>
    <n v="9894.6"/>
    <s v="Cancelled"/>
    <s v="Bengaluru"/>
  </r>
  <r>
    <s v="ORD-00255"/>
    <d v="2024-08-07T00:00:00"/>
    <s v="CUST-0208"/>
    <s v="PROD-027"/>
    <x v="9"/>
    <n v="5"/>
    <n v="3780"/>
    <n v="13.5"/>
    <n v="16348.5"/>
    <s v="Completed"/>
    <s v="Mumbai"/>
  </r>
  <r>
    <s v="ORD-00256"/>
    <d v="2024-10-30T00:00:00"/>
    <s v="CUST-0249"/>
    <s v="PROD-057"/>
    <x v="10"/>
    <n v="1"/>
    <n v="960"/>
    <n v="29.2"/>
    <n v="679.68"/>
    <s v="Completed"/>
    <s v="Mumbai"/>
  </r>
  <r>
    <s v="ORD-00257"/>
    <d v="2024-01-30T00:00:00"/>
    <s v="CUST-0151"/>
    <s v="PROD-003"/>
    <x v="24"/>
    <n v="10"/>
    <n v="3570"/>
    <n v="10.7"/>
    <n v="31880.1"/>
    <s v="Completed"/>
    <s v="Mumbai"/>
  </r>
  <r>
    <s v="ORD-00258"/>
    <d v="2024-08-07T00:00:00"/>
    <s v="CUST-0115"/>
    <s v="PROD-003"/>
    <x v="6"/>
    <n v="7"/>
    <n v="3570"/>
    <n v="12.2"/>
    <n v="21941.22"/>
    <s v="Completed"/>
    <s v="Mumbai"/>
  </r>
  <r>
    <s v="ORD-00259"/>
    <d v="2024-10-10T00:00:00"/>
    <s v="CUST-0041"/>
    <s v="PROD-040"/>
    <x v="2"/>
    <n v="6"/>
    <n v="1080"/>
    <n v="19.8"/>
    <n v="5196.96"/>
    <s v="Completed"/>
    <s v="Bengaluru"/>
  </r>
  <r>
    <s v="ORD-00260"/>
    <d v="2024-12-23T00:00:00"/>
    <s v="CUST-0101"/>
    <s v="PROD-011"/>
    <x v="9"/>
    <n v="8"/>
    <n v="3450"/>
    <n v="19"/>
    <n v="22356"/>
    <s v="Completed"/>
    <s v="Hyderabad"/>
  </r>
  <r>
    <s v="ORD-00261"/>
    <d v="2024-03-20T00:00:00"/>
    <s v="CUST-0198"/>
    <s v="PROD-008"/>
    <x v="12"/>
    <n v="4"/>
    <n v="2660"/>
    <n v="18.8"/>
    <n v="8639.68"/>
    <s v="Pending"/>
    <s v="Chennai"/>
  </r>
  <r>
    <s v="ORD-00262"/>
    <d v="2024-08-18T00:00:00"/>
    <s v="CUST-0200"/>
    <s v="PROD-058"/>
    <x v="18"/>
    <n v="4"/>
    <n v="2400"/>
    <n v="5.6"/>
    <n v="9062.4"/>
    <s v="Completed"/>
    <s v="Hyderabad"/>
  </r>
  <r>
    <s v="ORD-00263"/>
    <d v="2024-08-09T00:00:00"/>
    <s v="CUST-0110"/>
    <s v="PROD-002"/>
    <x v="11"/>
    <n v="10"/>
    <n v="2600"/>
    <n v="24.7"/>
    <n v="19578"/>
    <s v="Completed"/>
    <s v="Pune"/>
  </r>
  <r>
    <s v="ORD-00264"/>
    <d v="2024-08-09T00:00:00"/>
    <s v="CUST-0134"/>
    <s v="PROD-025"/>
    <x v="10"/>
    <n v="3"/>
    <n v="4060"/>
    <n v="6.9"/>
    <n v="11339.58"/>
    <s v="Completed"/>
    <s v="Delhi"/>
  </r>
  <r>
    <s v="ORD-00265"/>
    <d v="2024-06-22T00:00:00"/>
    <s v="CUST-0141"/>
    <s v="PROD-038"/>
    <x v="12"/>
    <n v="6"/>
    <n v="5490"/>
    <n v="8.4"/>
    <n v="30173.040000000001"/>
    <s v="Completed"/>
    <s v="Hyderabad"/>
  </r>
  <r>
    <s v="ORD-00266"/>
    <d v="2024-04-25T00:00:00"/>
    <s v="CUST-0163"/>
    <s v="PROD-032"/>
    <x v="26"/>
    <n v="6"/>
    <n v="370"/>
    <n v="15.1"/>
    <n v="1884.78"/>
    <s v="Completed"/>
    <s v="Pune"/>
  </r>
  <r>
    <s v="ORD-00267"/>
    <d v="2024-04-23T00:00:00"/>
    <s v="CUST-0181"/>
    <s v="PROD-016"/>
    <x v="12"/>
    <n v="5"/>
    <n v="620"/>
    <n v="13.1"/>
    <n v="2693.9"/>
    <s v="Cancelled"/>
    <s v="Delhi"/>
  </r>
  <r>
    <s v="ORD-00268"/>
    <d v="2024-02-10T00:00:00"/>
    <s v="CUST-0133"/>
    <s v="PROD-036"/>
    <x v="20"/>
    <n v="9"/>
    <n v="3250"/>
    <n v="16.5"/>
    <n v="24423.75"/>
    <s v="Completed"/>
    <s v="Chennai"/>
  </r>
  <r>
    <s v="ORD-00269"/>
    <d v="2024-01-08T00:00:00"/>
    <s v="CUST-0095"/>
    <s v="PROD-050"/>
    <x v="23"/>
    <n v="1"/>
    <n v="6080"/>
    <n v="0.1"/>
    <n v="6073.92"/>
    <s v="Completed"/>
    <s v="Mumbai"/>
  </r>
  <r>
    <s v="ORD-00270"/>
    <d v="2024-04-04T00:00:00"/>
    <s v="CUST-0171"/>
    <s v="PROD-013"/>
    <x v="2"/>
    <n v="8"/>
    <n v="3640"/>
    <n v="13.5"/>
    <n v="25188.799999999999"/>
    <s v="Completed"/>
    <s v="Chennai"/>
  </r>
  <r>
    <s v="ORD-00271"/>
    <d v="2024-06-29T00:00:00"/>
    <s v="CUST-0238"/>
    <s v="PROD-012"/>
    <x v="1"/>
    <n v="9"/>
    <n v="3160"/>
    <n v="29.7"/>
    <n v="19993.32"/>
    <s v="Completed"/>
    <s v="Delhi"/>
  </r>
  <r>
    <s v="ORD-00272"/>
    <d v="2024-05-16T00:00:00"/>
    <s v="CUST-0185"/>
    <s v="PROD-004"/>
    <x v="0"/>
    <n v="2"/>
    <n v="3870"/>
    <n v="18.100000000000001"/>
    <n v="6339.06"/>
    <s v="Cancelled"/>
    <s v="Hyderabad"/>
  </r>
  <r>
    <s v="ORD-00273"/>
    <d v="2024-05-18T00:00:00"/>
    <s v="CUST-0167"/>
    <s v="PROD-037"/>
    <x v="14"/>
    <n v="3"/>
    <n v="660"/>
    <n v="9.1999999999999993"/>
    <n v="1797.84"/>
    <s v="Completed"/>
    <s v="Delhi"/>
  </r>
  <r>
    <s v="ORD-00274"/>
    <d v="2024-05-06T00:00:00"/>
    <s v="CUST-0224"/>
    <s v="PROD-025"/>
    <x v="22"/>
    <n v="4"/>
    <n v="4060"/>
    <n v="28"/>
    <n v="11692.8"/>
    <s v="Completed"/>
    <s v="Chennai"/>
  </r>
  <r>
    <s v="ORD-00275"/>
    <d v="2024-03-09T00:00:00"/>
    <s v="CUST-0181"/>
    <s v="PROD-034"/>
    <x v="29"/>
    <n v="2"/>
    <n v="5080"/>
    <n v="7.7"/>
    <n v="9377.68"/>
    <s v="Refunded"/>
    <s v="Delhi"/>
  </r>
  <r>
    <s v="ORD-00276"/>
    <d v="2024-01-05T00:00:00"/>
    <s v="CUST-0020"/>
    <s v="PROD-003"/>
    <x v="1"/>
    <n v="3"/>
    <n v="3570"/>
    <n v="9.5"/>
    <n v="9692.5499999999993"/>
    <s v="Completed"/>
    <s v="Hyderabad"/>
  </r>
  <r>
    <s v="ORD-00277"/>
    <d v="2024-06-17T00:00:00"/>
    <s v="CUST-0183"/>
    <s v="PROD-016"/>
    <x v="16"/>
    <n v="2"/>
    <n v="620"/>
    <n v="29.5"/>
    <n v="874.2"/>
    <s v="Completed"/>
    <s v="Mumbai"/>
  </r>
  <r>
    <s v="ORD-00278"/>
    <d v="2024-12-12T00:00:00"/>
    <s v="CUST-0028"/>
    <s v="PROD-011"/>
    <x v="22"/>
    <n v="3"/>
    <n v="3450"/>
    <n v="3"/>
    <n v="10039.5"/>
    <s v="Completed"/>
    <s v="Bengaluru"/>
  </r>
  <r>
    <s v="ORD-00279"/>
    <d v="2024-04-26T00:00:00"/>
    <s v="CUST-0121"/>
    <s v="PROD-048"/>
    <x v="3"/>
    <n v="7"/>
    <n v="5100"/>
    <n v="4.3"/>
    <n v="34164.9"/>
    <s v="Completed"/>
    <s v="Delhi"/>
  </r>
  <r>
    <s v="ORD-00280"/>
    <d v="2024-09-06T00:00:00"/>
    <s v="CUST-0192"/>
    <s v="PROD-004"/>
    <x v="11"/>
    <n v="9"/>
    <n v="3870"/>
    <n v="4.8"/>
    <n v="33158.160000000003"/>
    <s v="Completed"/>
    <s v="Bengaluru"/>
  </r>
  <r>
    <s v="ORD-00281"/>
    <d v="2024-12-07T00:00:00"/>
    <s v="CUST-0155"/>
    <s v="PROD-009"/>
    <x v="20"/>
    <n v="5"/>
    <n v="1220"/>
    <n v="4"/>
    <n v="5856"/>
    <s v="Cancelled"/>
    <s v="Pune"/>
  </r>
  <r>
    <s v="ORD-00282"/>
    <d v="2024-02-16T00:00:00"/>
    <s v="CUST-0159"/>
    <s v="PROD-038"/>
    <x v="12"/>
    <n v="5"/>
    <n v="5490"/>
    <n v="19.8"/>
    <n v="22014.9"/>
    <s v="Completed"/>
    <s v="Hyderabad"/>
  </r>
  <r>
    <s v="ORD-00283"/>
    <d v="2024-08-25T00:00:00"/>
    <s v="CUST-0025"/>
    <s v="PROD-044"/>
    <x v="19"/>
    <n v="1"/>
    <n v="1650"/>
    <n v="26.2"/>
    <n v="1217.7"/>
    <s v="Completed"/>
    <s v="Bengaluru"/>
  </r>
  <r>
    <s v="ORD-00284"/>
    <d v="2024-06-17T00:00:00"/>
    <s v="CUST-0297"/>
    <s v="PROD-008"/>
    <x v="11"/>
    <n v="1"/>
    <n v="2660"/>
    <n v="21"/>
    <n v="2101.4"/>
    <s v="Completed"/>
    <s v="Hyderabad"/>
  </r>
  <r>
    <s v="ORD-00285"/>
    <d v="2024-03-24T00:00:00"/>
    <s v="CUST-0108"/>
    <s v="PROD-029"/>
    <x v="11"/>
    <n v="6"/>
    <n v="2210"/>
    <n v="9.8000000000000007"/>
    <n v="11960.52"/>
    <s v="Pending"/>
    <s v="Bengaluru"/>
  </r>
  <r>
    <s v="ORD-00286"/>
    <d v="2024-01-19T00:00:00"/>
    <s v="CUST-0121"/>
    <s v="PROD-002"/>
    <x v="19"/>
    <n v="9"/>
    <n v="2600"/>
    <n v="15.7"/>
    <n v="19726.2"/>
    <s v="Completed"/>
    <s v="Delhi"/>
  </r>
  <r>
    <s v="ORD-00287"/>
    <d v="2024-01-23T00:00:00"/>
    <s v="CUST-0160"/>
    <s v="PROD-045"/>
    <x v="5"/>
    <n v="3"/>
    <n v="3020"/>
    <n v="22.6"/>
    <n v="7012.44"/>
    <s v="Completed"/>
    <s v="Hyderabad"/>
  </r>
  <r>
    <s v="ORD-00288"/>
    <d v="2024-06-16T00:00:00"/>
    <s v="CUST-0230"/>
    <s v="PROD-032"/>
    <x v="1"/>
    <n v="6"/>
    <n v="370"/>
    <n v="12.4"/>
    <n v="1944.72"/>
    <s v="Completed"/>
    <s v="Pune"/>
  </r>
  <r>
    <s v="ORD-00289"/>
    <d v="2024-01-21T00:00:00"/>
    <s v="CUST-0151"/>
    <s v="PROD-001"/>
    <x v="3"/>
    <n v="8"/>
    <n v="5330"/>
    <n v="16.2"/>
    <n v="35732.32"/>
    <s v="Completed"/>
    <s v="Mumbai"/>
  </r>
  <r>
    <s v="ORD-00290"/>
    <d v="2024-07-27T00:00:00"/>
    <s v="CUST-0222"/>
    <s v="PROD-018"/>
    <x v="14"/>
    <n v="4"/>
    <n v="3560"/>
    <n v="10.5"/>
    <n v="12744.8"/>
    <s v="Completed"/>
    <s v="Chennai"/>
  </r>
  <r>
    <s v="ORD-00291"/>
    <d v="2024-04-07T00:00:00"/>
    <s v="CUST-0055"/>
    <s v="PROD-054"/>
    <x v="14"/>
    <n v="10"/>
    <n v="1010"/>
    <n v="10.8"/>
    <n v="9009.2000000000007"/>
    <s v="Completed"/>
    <s v="Bengaluru"/>
  </r>
  <r>
    <s v="ORD-00292"/>
    <d v="2024-11-23T00:00:00"/>
    <s v="CUST-0011"/>
    <s v="PROD-056"/>
    <x v="3"/>
    <n v="8"/>
    <n v="6940"/>
    <n v="3.2"/>
    <n v="53743.360000000001"/>
    <s v="Cancelled"/>
    <s v="Chennai"/>
  </r>
  <r>
    <s v="ORD-00335"/>
    <d v="2024-11-21T00:00:00"/>
    <s v="CUST-0020"/>
    <s v="PROD-012"/>
    <x v="15"/>
    <n v="7"/>
    <n v="3160"/>
    <n v="3.6"/>
    <n v="21323.68"/>
    <s v="Completed"/>
    <s v="Hyderabad"/>
  </r>
  <r>
    <s v="ORD-00294"/>
    <d v="2024-12-14T00:00:00"/>
    <s v="CUST-0163"/>
    <s v="PROD-028"/>
    <x v="4"/>
    <n v="2"/>
    <n v="3660"/>
    <n v="30"/>
    <n v="5124"/>
    <s v="Pending"/>
    <s v="Pune"/>
  </r>
  <r>
    <s v="ORD-00295"/>
    <d v="2024-04-19T00:00:00"/>
    <s v="CUST-0081"/>
    <s v="PROD-024"/>
    <x v="1"/>
    <n v="1"/>
    <n v="2270"/>
    <n v="4.8"/>
    <n v="2161.04"/>
    <s v="Cancelled"/>
    <s v="Mumbai"/>
  </r>
  <r>
    <s v="ORD-00296"/>
    <d v="2024-04-23T00:00:00"/>
    <s v="CUST-0053"/>
    <s v="PROD-059"/>
    <x v="5"/>
    <n v="8"/>
    <n v="3780"/>
    <n v="13"/>
    <n v="26308.799999999999"/>
    <s v="Completed"/>
    <s v="Delhi"/>
  </r>
  <r>
    <s v="ORD-01770"/>
    <d v="2024-09-02T00:00:00"/>
    <s v="CUST-0115"/>
    <s v="PROD-013"/>
    <x v="27"/>
    <n v="1"/>
    <n v="3640"/>
    <n v="15.3"/>
    <n v="3083.08"/>
    <s v="Pending"/>
    <s v="Mumbai"/>
  </r>
  <r>
    <s v="ORD-00298"/>
    <d v="2024-07-02T00:00:00"/>
    <s v="CUST-0166"/>
    <s v="PROD-009"/>
    <x v="18"/>
    <n v="8"/>
    <n v="1220"/>
    <n v="28.2"/>
    <n v="7007.68"/>
    <s v="Completed"/>
    <s v="Hyderabad"/>
  </r>
  <r>
    <s v="ORD-00299"/>
    <d v="2024-11-28T00:00:00"/>
    <s v="CUST-0263"/>
    <s v="PROD-017"/>
    <x v="14"/>
    <n v="3"/>
    <n v="2510"/>
    <n v="17.399999999999999"/>
    <n v="6219.78"/>
    <s v="Completed"/>
    <s v="Mumbai"/>
  </r>
  <r>
    <s v="ORD-00300"/>
    <d v="2024-12-09T00:00:00"/>
    <s v="CUST-0010"/>
    <s v="PROD-040"/>
    <x v="10"/>
    <n v="1"/>
    <n v="1080"/>
    <n v="13.9"/>
    <n v="929.88"/>
    <s v="Completed"/>
    <s v="Mumbai"/>
  </r>
  <r>
    <s v="ORD-00301"/>
    <d v="2024-04-13T00:00:00"/>
    <s v="CUST-0036"/>
    <s v="PROD-033"/>
    <x v="29"/>
    <n v="7"/>
    <n v="2030"/>
    <n v="29.2"/>
    <n v="10060.68"/>
    <s v="Completed"/>
    <s v="Mumbai"/>
  </r>
  <r>
    <s v="ORD-00302"/>
    <d v="2024-05-03T00:00:00"/>
    <s v="CUST-0259"/>
    <s v="PROD-059"/>
    <x v="16"/>
    <n v="6"/>
    <n v="3780"/>
    <n v="20.9"/>
    <n v="17939.88"/>
    <s v="Refunded"/>
    <s v="Mumbai"/>
  </r>
  <r>
    <s v="ORD-00303"/>
    <d v="2024-12-27T00:00:00"/>
    <s v="CUST-0247"/>
    <s v="PROD-012"/>
    <x v="29"/>
    <n v="1"/>
    <n v="3160"/>
    <n v="10.7"/>
    <n v="2821.88"/>
    <s v="Completed"/>
    <s v="Pune"/>
  </r>
  <r>
    <s v="ORD-00881"/>
    <d v="2024-09-29T00:00:00"/>
    <s v="CUST-0191"/>
    <s v="PROD-046"/>
    <x v="9"/>
    <n v="5"/>
    <n v="4880"/>
    <n v="11.4"/>
    <n v="21618.400000000001"/>
    <s v="Completed"/>
    <s v="Hyderabad"/>
  </r>
  <r>
    <s v="ORD-00305"/>
    <d v="2024-12-07T00:00:00"/>
    <s v="CUST-0167"/>
    <s v="PROD-031"/>
    <x v="18"/>
    <n v="9"/>
    <n v="3730"/>
    <n v="10"/>
    <n v="30213"/>
    <s v="Completed"/>
    <s v="Delhi"/>
  </r>
  <r>
    <s v="ORD-00306"/>
    <d v="2024-01-18T00:00:00"/>
    <s v="CUST-0196"/>
    <s v="PROD-034"/>
    <x v="10"/>
    <n v="5"/>
    <n v="5080"/>
    <n v="15.3"/>
    <n v="21513.8"/>
    <s v="Completed"/>
    <s v="Chennai"/>
  </r>
  <r>
    <s v="ORD-00307"/>
    <d v="2024-04-21T00:00:00"/>
    <s v="CUST-0182"/>
    <s v="PROD-042"/>
    <x v="22"/>
    <n v="9"/>
    <n v="2290"/>
    <n v="3.3"/>
    <n v="19929.87"/>
    <s v="Pending"/>
    <s v="Mumbai"/>
  </r>
  <r>
    <s v="ORD-00308"/>
    <d v="2024-09-19T00:00:00"/>
    <s v="CUST-0246"/>
    <s v="PROD-008"/>
    <x v="9"/>
    <n v="5"/>
    <n v="2660"/>
    <n v="8.3000000000000007"/>
    <n v="12196.1"/>
    <s v="Completed"/>
    <s v="Delhi"/>
  </r>
  <r>
    <s v="ORD-00309"/>
    <d v="2024-08-25T00:00:00"/>
    <s v="CUST-0132"/>
    <s v="PROD-027"/>
    <x v="5"/>
    <n v="6"/>
    <n v="3780"/>
    <n v="28.3"/>
    <n v="16261.56"/>
    <s v="Completed"/>
    <s v="Delhi"/>
  </r>
  <r>
    <s v="ORD-00310"/>
    <d v="2024-01-09T00:00:00"/>
    <s v="CUST-0153"/>
    <s v="PROD-021"/>
    <x v="8"/>
    <n v="5"/>
    <n v="2760"/>
    <n v="4.9000000000000004"/>
    <n v="13123.8"/>
    <s v="Completed"/>
    <s v="Mumbai"/>
  </r>
  <r>
    <s v="ORD-00311"/>
    <d v="2024-03-17T00:00:00"/>
    <s v="CUST-0139"/>
    <s v="PROD-041"/>
    <x v="3"/>
    <n v="8"/>
    <n v="1540"/>
    <n v="29.4"/>
    <n v="8697.92"/>
    <s v="Cancelled"/>
    <s v="Hyderabad"/>
  </r>
  <r>
    <s v="ORD-00312"/>
    <d v="2024-03-23T00:00:00"/>
    <s v="CUST-0256"/>
    <s v="PROD-046"/>
    <x v="24"/>
    <n v="1"/>
    <n v="4880"/>
    <n v="18.100000000000001"/>
    <n v="3996.72"/>
    <s v="Completed"/>
    <s v="Hyderabad"/>
  </r>
  <r>
    <s v="ORD-00313"/>
    <d v="2024-10-27T00:00:00"/>
    <s v="CUST-0027"/>
    <s v="PROD-024"/>
    <x v="15"/>
    <n v="8"/>
    <n v="2270"/>
    <n v="19.8"/>
    <n v="14564.32"/>
    <s v="Pending"/>
    <s v="Hyderabad"/>
  </r>
  <r>
    <s v="ORD-00314"/>
    <d v="2024-08-04T00:00:00"/>
    <s v="CUST-0151"/>
    <s v="PROD-019"/>
    <x v="9"/>
    <n v="10"/>
    <n v="2480"/>
    <n v="24.4"/>
    <n v="18748.8"/>
    <s v="Pending"/>
    <s v="Mumbai"/>
  </r>
  <r>
    <s v="ORD-00315"/>
    <d v="2024-07-08T00:00:00"/>
    <s v="CUST-0204"/>
    <s v="PROD-045"/>
    <x v="2"/>
    <n v="8"/>
    <n v="3020"/>
    <n v="15.2"/>
    <n v="20487.68"/>
    <s v="Pending"/>
    <s v="Hyderabad"/>
  </r>
  <r>
    <s v="ORD-00316"/>
    <d v="2024-08-13T00:00:00"/>
    <s v="CUST-0084"/>
    <s v="PROD-041"/>
    <x v="7"/>
    <n v="10"/>
    <n v="1540"/>
    <n v="0.6"/>
    <n v="15307.6"/>
    <s v="Completed"/>
    <s v="Chennai"/>
  </r>
  <r>
    <s v="ORD-00317"/>
    <d v="2024-12-06T00:00:00"/>
    <s v="CUST-0048"/>
    <s v="PROD-012"/>
    <x v="19"/>
    <n v="7"/>
    <n v="3160"/>
    <n v="8.9"/>
    <n v="20151.32"/>
    <s v="Completed"/>
    <s v="Delhi"/>
  </r>
  <r>
    <s v="ORD-00318"/>
    <d v="2024-10-27T00:00:00"/>
    <s v="CUST-0013"/>
    <s v="PROD-054"/>
    <x v="22"/>
    <n v="6"/>
    <n v="1010"/>
    <n v="12.9"/>
    <n v="5278.26"/>
    <s v="Completed"/>
    <s v="Delhi"/>
  </r>
  <r>
    <s v="ORD-00319"/>
    <d v="2024-06-07T00:00:00"/>
    <s v="CUST-0245"/>
    <s v="PROD-039"/>
    <x v="16"/>
    <n v="4"/>
    <n v="4610"/>
    <n v="18.2"/>
    <n v="15083.92"/>
    <s v="Completed"/>
    <s v="Hyderabad"/>
  </r>
  <r>
    <s v="ORD-00320"/>
    <d v="2024-02-21T00:00:00"/>
    <s v="CUST-0031"/>
    <s v="PROD-025"/>
    <x v="20"/>
    <n v="6"/>
    <n v="4060"/>
    <n v="24.3"/>
    <n v="18440.52"/>
    <s v="Completed"/>
    <s v="Hyderabad"/>
  </r>
  <r>
    <s v="ORD-00321"/>
    <d v="2024-08-05T00:00:00"/>
    <s v="CUST-0212"/>
    <s v="PROD-016"/>
    <x v="19"/>
    <n v="5"/>
    <n v="620"/>
    <n v="10.7"/>
    <n v="2768.3"/>
    <s v="Refunded"/>
    <s v="Chennai"/>
  </r>
  <r>
    <s v="ORD-00322"/>
    <d v="2024-08-09T00:00:00"/>
    <s v="CUST-0104"/>
    <s v="PROD-018"/>
    <x v="11"/>
    <n v="3"/>
    <n v="3560"/>
    <n v="4.0999999999999996"/>
    <n v="10242.120000000001"/>
    <s v="Completed"/>
    <s v="Hyderabad"/>
  </r>
  <r>
    <s v="ORD-00323"/>
    <d v="2024-07-27T00:00:00"/>
    <s v="CUST-0157"/>
    <s v="PROD-058"/>
    <x v="27"/>
    <n v="2"/>
    <n v="2400"/>
    <n v="13"/>
    <n v="4176"/>
    <s v="Completed"/>
    <s v="Pune"/>
  </r>
  <r>
    <s v="ORD-00324"/>
    <d v="2024-04-25T00:00:00"/>
    <s v="CUST-0004"/>
    <s v="PROD-056"/>
    <x v="3"/>
    <n v="9"/>
    <n v="6940"/>
    <n v="26.2"/>
    <n v="46095.48"/>
    <s v="Completed"/>
    <s v="Delhi"/>
  </r>
  <r>
    <s v="ORD-00325"/>
    <d v="2024-04-03T00:00:00"/>
    <s v="CUST-0003"/>
    <s v="PROD-023"/>
    <x v="5"/>
    <n v="9"/>
    <n v="2380"/>
    <n v="22.7"/>
    <n v="16557.66"/>
    <s v="Completed"/>
    <s v="Mumbai"/>
  </r>
  <r>
    <s v="ORD-00326"/>
    <d v="2024-09-07T00:00:00"/>
    <s v="CUST-0175"/>
    <s v="PROD-014"/>
    <x v="8"/>
    <n v="6"/>
    <n v="3620"/>
    <n v="9.1999999999999993"/>
    <n v="19721.759999999998"/>
    <s v="Completed"/>
    <s v="Delhi"/>
  </r>
  <r>
    <s v="ORD-00327"/>
    <d v="2024-05-10T00:00:00"/>
    <s v="CUST-0104"/>
    <s v="PROD-050"/>
    <x v="10"/>
    <n v="1"/>
    <n v="6080"/>
    <n v="29.4"/>
    <n v="4292.4799999999996"/>
    <s v="Cancelled"/>
    <s v="Hyderabad"/>
  </r>
  <r>
    <s v="ORD-00328"/>
    <d v="2024-02-21T00:00:00"/>
    <s v="CUST-0196"/>
    <s v="PROD-020"/>
    <x v="26"/>
    <n v="6"/>
    <n v="820"/>
    <n v="29.1"/>
    <n v="3488.28"/>
    <s v="Completed"/>
    <s v="Chennai"/>
  </r>
  <r>
    <s v="ORD-00329"/>
    <d v="2024-12-20T00:00:00"/>
    <s v="CUST-0299"/>
    <s v="PROD-045"/>
    <x v="6"/>
    <n v="9"/>
    <n v="3020"/>
    <n v="7.9"/>
    <n v="25032.78"/>
    <s v="Completed"/>
    <s v="Mumbai"/>
  </r>
  <r>
    <s v="ORD-00330"/>
    <d v="2024-12-19T00:00:00"/>
    <s v="CUST-0066"/>
    <s v="PROD-004"/>
    <x v="20"/>
    <n v="8"/>
    <n v="3870"/>
    <n v="11.9"/>
    <n v="27275.759999999998"/>
    <s v="Completed"/>
    <s v="Delhi"/>
  </r>
  <r>
    <s v="ORD-00331"/>
    <d v="2024-08-24T00:00:00"/>
    <s v="CUST-0080"/>
    <s v="PROD-047"/>
    <x v="14"/>
    <n v="6"/>
    <n v="3450"/>
    <n v="13.9"/>
    <n v="17822.7"/>
    <s v="Completed"/>
    <s v="Pune"/>
  </r>
  <r>
    <s v="ORD-00332"/>
    <d v="2024-12-29T00:00:00"/>
    <s v="CUST-0138"/>
    <s v="PROD-048"/>
    <x v="4"/>
    <n v="9"/>
    <n v="5100"/>
    <n v="2.1"/>
    <n v="44936.1"/>
    <s v="Completed"/>
    <s v="Chennai"/>
  </r>
  <r>
    <s v="ORD-00333"/>
    <d v="2024-08-14T00:00:00"/>
    <s v="CUST-0253"/>
    <s v="PROD-026"/>
    <x v="4"/>
    <n v="2"/>
    <n v="4070"/>
    <n v="28.6"/>
    <n v="5811.96"/>
    <s v="Completed"/>
    <s v="Delhi"/>
  </r>
  <r>
    <s v="ORD-00334"/>
    <d v="2024-02-17T00:00:00"/>
    <s v="CUST-0247"/>
    <s v="PROD-001"/>
    <x v="0"/>
    <n v="9"/>
    <n v="5330"/>
    <n v="6.2"/>
    <n v="44995.86"/>
    <s v="Completed"/>
    <s v="Pune"/>
  </r>
  <r>
    <s v="ORD-00335"/>
    <d v="2024-01-28T00:00:00"/>
    <s v="CUST-0269"/>
    <s v="PROD-024"/>
    <x v="16"/>
    <n v="6"/>
    <n v="2270"/>
    <n v="23.7"/>
    <n v="10392.06"/>
    <s v="Completed"/>
    <s v="Pune"/>
  </r>
  <r>
    <s v="ORD-00336"/>
    <d v="2024-11-22T00:00:00"/>
    <s v="CUST-0008"/>
    <s v="PROD-017"/>
    <x v="6"/>
    <n v="5"/>
    <n v="2510"/>
    <n v="25"/>
    <n v="9412.5"/>
    <s v="Completed"/>
    <s v="Pune"/>
  </r>
  <r>
    <s v="ORD-00337"/>
    <d v="2024-02-13T00:00:00"/>
    <s v="CUST-0134"/>
    <s v="PROD-023"/>
    <x v="7"/>
    <n v="9"/>
    <n v="2380"/>
    <n v="16.8"/>
    <n v="17821.439999999999"/>
    <s v="Completed"/>
    <s v="Delhi"/>
  </r>
  <r>
    <s v="ORD-00338"/>
    <d v="2024-05-08T00:00:00"/>
    <s v="CUST-0016"/>
    <s v="PROD-011"/>
    <x v="4"/>
    <n v="1"/>
    <n v="3450"/>
    <n v="1.5"/>
    <n v="3398.25"/>
    <s v="Refunded"/>
    <s v="Delhi"/>
  </r>
  <r>
    <s v="ORD-00339"/>
    <d v="2024-01-04T00:00:00"/>
    <s v="CUST-0281"/>
    <s v="PROD-003"/>
    <x v="25"/>
    <n v="5"/>
    <n v="3570"/>
    <n v="12.8"/>
    <n v="15565.2"/>
    <s v="Completed"/>
    <s v="Bengaluru"/>
  </r>
  <r>
    <s v="ORD-00340"/>
    <d v="2024-10-25T00:00:00"/>
    <s v="CUST-0267"/>
    <s v="PROD-001"/>
    <x v="20"/>
    <n v="3"/>
    <n v="5330"/>
    <n v="16.2"/>
    <n v="13399.62"/>
    <s v="Completed"/>
    <s v="Hyderabad"/>
  </r>
  <r>
    <s v="ORD-00341"/>
    <d v="2024-02-19T00:00:00"/>
    <s v="CUST-0279"/>
    <s v="PROD-028"/>
    <x v="28"/>
    <n v="3"/>
    <n v="3660"/>
    <n v="25.3"/>
    <n v="8202.06"/>
    <s v="Completed"/>
    <s v="Mumbai"/>
  </r>
  <r>
    <s v="ORD-00342"/>
    <d v="2024-11-04T00:00:00"/>
    <s v="CUST-0036"/>
    <s v="PROD-054"/>
    <x v="15"/>
    <n v="2"/>
    <n v="1010"/>
    <n v="29.2"/>
    <n v="1430.16"/>
    <s v="Completed"/>
    <s v="Mumbai"/>
  </r>
  <r>
    <s v="ORD-00343"/>
    <d v="2024-08-02T00:00:00"/>
    <s v="CUST-0295"/>
    <s v="PROD-040"/>
    <x v="15"/>
    <n v="1"/>
    <n v="1080"/>
    <n v="1.8"/>
    <n v="1060.56"/>
    <s v="Completed"/>
    <s v="Delhi"/>
  </r>
  <r>
    <s v="ORD-00344"/>
    <d v="2024-05-02T00:00:00"/>
    <s v="CUST-0106"/>
    <s v="PROD-051"/>
    <x v="9"/>
    <n v="8"/>
    <n v="3450"/>
    <n v="20.399999999999999"/>
    <n v="21969.599999999999"/>
    <s v="Completed"/>
    <s v="Pune"/>
  </r>
  <r>
    <s v="ORD-00593"/>
    <d v="2024-09-18T00:00:00"/>
    <s v="CUST-0070"/>
    <s v="PROD-056"/>
    <x v="15"/>
    <n v="8"/>
    <n v="6940"/>
    <n v="19.399999999999999"/>
    <n v="44749.120000000003"/>
    <s v="Completed"/>
    <s v="Mumbai"/>
  </r>
  <r>
    <s v="ORD-00346"/>
    <d v="2024-05-22T00:00:00"/>
    <s v="CUST-0062"/>
    <s v="PROD-041"/>
    <x v="11"/>
    <n v="2"/>
    <n v="1540"/>
    <n v="9.3000000000000007"/>
    <n v="2793.56"/>
    <s v="Completed"/>
    <s v="Pune"/>
  </r>
  <r>
    <s v="ORD-00347"/>
    <d v="2024-06-03T00:00:00"/>
    <s v="CUST-0241"/>
    <s v="PROD-010"/>
    <x v="15"/>
    <n v="4"/>
    <n v="2640"/>
    <n v="23.2"/>
    <n v="8110.08"/>
    <s v="Refunded"/>
    <s v="Pune"/>
  </r>
  <r>
    <s v="ORD-00348"/>
    <d v="2024-11-30T00:00:00"/>
    <s v="CUST-0001"/>
    <s v="PROD-052"/>
    <x v="6"/>
    <n v="6"/>
    <n v="5410"/>
    <n v="29.4"/>
    <n v="22916.76"/>
    <s v="Completed"/>
    <s v="Pune"/>
  </r>
  <r>
    <s v="ORD-00349"/>
    <d v="2024-06-16T00:00:00"/>
    <s v="CUST-0181"/>
    <s v="PROD-003"/>
    <x v="28"/>
    <n v="1"/>
    <n v="3570"/>
    <n v="4.3"/>
    <n v="3416.49"/>
    <s v="Completed"/>
    <s v="Delhi"/>
  </r>
  <r>
    <s v="ORD-00350"/>
    <d v="2024-08-16T00:00:00"/>
    <s v="CUST-0044"/>
    <s v="PROD-032"/>
    <x v="8"/>
    <n v="2"/>
    <n v="370"/>
    <n v="7.2"/>
    <n v="686.72"/>
    <s v="Completed"/>
    <s v="Hyderabad"/>
  </r>
  <r>
    <s v="ORD-00351"/>
    <d v="2024-01-23T00:00:00"/>
    <s v="CUST-0218"/>
    <s v="PROD-017"/>
    <x v="21"/>
    <n v="1"/>
    <n v="2510"/>
    <n v="2.4"/>
    <n v="2449.7600000000002"/>
    <s v="Completed"/>
    <s v="Mumbai"/>
  </r>
  <r>
    <s v="ORD-00352"/>
    <d v="2024-07-07T00:00:00"/>
    <s v="CUST-0061"/>
    <s v="PROD-013"/>
    <x v="24"/>
    <n v="8"/>
    <n v="3640"/>
    <n v="28.7"/>
    <n v="20762.560000000001"/>
    <s v="Pending"/>
    <s v="Hyderabad"/>
  </r>
  <r>
    <s v="ORD-00353"/>
    <d v="2024-08-16T00:00:00"/>
    <s v="CUST-0143"/>
    <s v="PROD-044"/>
    <x v="20"/>
    <n v="5"/>
    <n v="1650"/>
    <n v="13.4"/>
    <n v="7144.5"/>
    <s v="Pending"/>
    <s v="Chennai"/>
  </r>
  <r>
    <s v="ORD-00354"/>
    <d v="2024-03-09T00:00:00"/>
    <s v="CUST-0164"/>
    <s v="PROD-049"/>
    <x v="6"/>
    <n v="9"/>
    <n v="960"/>
    <n v="28.6"/>
    <n v="6168.96"/>
    <s v="Pending"/>
    <s v="Chennai"/>
  </r>
  <r>
    <s v="ORD-00355"/>
    <d v="2024-07-13T00:00:00"/>
    <s v="CUST-0152"/>
    <s v="PROD-027"/>
    <x v="13"/>
    <n v="4"/>
    <n v="3780"/>
    <n v="25.3"/>
    <n v="11294.64"/>
    <s v="Completed"/>
    <s v="Bengaluru"/>
  </r>
  <r>
    <s v="ORD-00356"/>
    <d v="2024-09-09T00:00:00"/>
    <s v="CUST-0143"/>
    <s v="PROD-044"/>
    <x v="2"/>
    <n v="4"/>
    <n v="1650"/>
    <n v="13.7"/>
    <n v="5695.8"/>
    <s v="Cancelled"/>
    <s v="Chennai"/>
  </r>
  <r>
    <s v="ORD-00357"/>
    <d v="2024-10-15T00:00:00"/>
    <s v="CUST-0232"/>
    <s v="PROD-014"/>
    <x v="27"/>
    <n v="6"/>
    <n v="3620"/>
    <n v="21.3"/>
    <n v="17093.64"/>
    <s v="Pending"/>
    <s v="Hyderabad"/>
  </r>
  <r>
    <s v="ORD-00358"/>
    <d v="2024-01-21T00:00:00"/>
    <s v="CUST-0067"/>
    <s v="PROD-022"/>
    <x v="14"/>
    <n v="10"/>
    <n v="2270"/>
    <n v="17.7"/>
    <n v="18682.099999999999"/>
    <s v="Completed"/>
    <s v="Delhi"/>
  </r>
  <r>
    <s v="ORD-00359"/>
    <d v="2024-06-04T00:00:00"/>
    <s v="CUST-0292"/>
    <s v="PROD-041"/>
    <x v="22"/>
    <n v="9"/>
    <n v="1540"/>
    <n v="10.7"/>
    <n v="12376.98"/>
    <s v="Completed"/>
    <s v="Bengaluru"/>
  </r>
  <r>
    <s v="ORD-00360"/>
    <d v="2024-11-11T00:00:00"/>
    <s v="CUST-0118"/>
    <s v="PROD-055"/>
    <x v="13"/>
    <n v="9"/>
    <n v="2860"/>
    <n v="12.9"/>
    <n v="22419.54"/>
    <s v="Completed"/>
    <s v="Hyderabad"/>
  </r>
  <r>
    <s v="ORD-00361"/>
    <d v="2024-03-28T00:00:00"/>
    <s v="CUST-0212"/>
    <s v="PROD-029"/>
    <x v="29"/>
    <n v="5"/>
    <n v="2210"/>
    <n v="5.0999999999999996"/>
    <n v="10486.45"/>
    <s v="Completed"/>
    <s v="Chennai"/>
  </r>
  <r>
    <s v="ORD-00362"/>
    <d v="2024-10-26T00:00:00"/>
    <s v="CUST-0287"/>
    <s v="PROD-009"/>
    <x v="20"/>
    <n v="1"/>
    <n v="1220"/>
    <n v="16.100000000000001"/>
    <n v="1023.58"/>
    <s v="Completed"/>
    <s v="Chennai"/>
  </r>
  <r>
    <s v="ORD-00363"/>
    <d v="2024-09-26T00:00:00"/>
    <s v="CUST-0030"/>
    <s v="PROD-003"/>
    <x v="3"/>
    <n v="2"/>
    <n v="3570"/>
    <n v="1.1000000000000001"/>
    <n v="7061.46"/>
    <s v="Completed"/>
    <s v="Bengaluru"/>
  </r>
  <r>
    <s v="ORD-00364"/>
    <d v="2024-01-17T00:00:00"/>
    <s v="CUST-0270"/>
    <s v="PROD-011"/>
    <x v="29"/>
    <n v="10"/>
    <n v="3450"/>
    <n v="12.6"/>
    <n v="30153"/>
    <s v="Completed"/>
    <s v="Bengaluru"/>
  </r>
  <r>
    <s v="ORD-00365"/>
    <d v="2024-09-28T00:00:00"/>
    <s v="CUST-0001"/>
    <s v="PROD-029"/>
    <x v="13"/>
    <n v="4"/>
    <n v="2210"/>
    <n v="5.4"/>
    <n v="8362.64"/>
    <s v="Completed"/>
    <s v="Pune"/>
  </r>
  <r>
    <s v="ORD-00366"/>
    <d v="2024-07-03T00:00:00"/>
    <s v="CUST-0215"/>
    <s v="PROD-035"/>
    <x v="2"/>
    <n v="6"/>
    <n v="1090"/>
    <n v="2.9"/>
    <n v="6350.34"/>
    <s v="Cancelled"/>
    <s v="Hyderabad"/>
  </r>
  <r>
    <s v="ORD-00367"/>
    <d v="2024-03-13T00:00:00"/>
    <s v="CUST-0225"/>
    <s v="PROD-041"/>
    <x v="21"/>
    <n v="8"/>
    <n v="1540"/>
    <n v="17.899999999999999"/>
    <n v="10114.719999999999"/>
    <s v="Pending"/>
    <s v="Chennai"/>
  </r>
  <r>
    <s v="ORD-00368"/>
    <d v="2024-03-20T00:00:00"/>
    <s v="CUST-0163"/>
    <s v="PROD-002"/>
    <x v="8"/>
    <n v="9"/>
    <n v="2600"/>
    <n v="4.0999999999999996"/>
    <n v="22440.6"/>
    <s v="Completed"/>
    <s v="Pune"/>
  </r>
  <r>
    <s v="ORD-00369"/>
    <d v="2024-11-27T00:00:00"/>
    <s v="CUST-0196"/>
    <s v="PROD-060"/>
    <x v="0"/>
    <n v="2"/>
    <n v="190"/>
    <n v="4.8"/>
    <n v="361.76"/>
    <s v="Completed"/>
    <s v="Chennai"/>
  </r>
  <r>
    <s v="ORD-00370"/>
    <d v="2024-05-29T00:00:00"/>
    <s v="CUST-0002"/>
    <s v="PROD-019"/>
    <x v="2"/>
    <n v="9"/>
    <n v="2480"/>
    <n v="28.3"/>
    <n v="16003.44"/>
    <s v="Completed"/>
    <s v="Pune"/>
  </r>
  <r>
    <s v="ORD-00371"/>
    <d v="2024-05-30T00:00:00"/>
    <s v="CUST-0057"/>
    <s v="PROD-042"/>
    <x v="3"/>
    <n v="7"/>
    <n v="2290"/>
    <n v="25"/>
    <n v="12022.5"/>
    <s v="Cancelled"/>
    <s v="Pune"/>
  </r>
  <r>
    <s v="ORD-00372"/>
    <d v="2024-10-02T00:00:00"/>
    <s v="CUST-0112"/>
    <s v="PROD-041"/>
    <x v="15"/>
    <n v="9"/>
    <n v="1540"/>
    <n v="23.3"/>
    <n v="10630.62"/>
    <s v="Completed"/>
    <s v="Hyderabad"/>
  </r>
  <r>
    <s v="ORD-00373"/>
    <d v="2024-12-27T00:00:00"/>
    <s v="CUST-0131"/>
    <s v="PROD-034"/>
    <x v="5"/>
    <n v="2"/>
    <n v="5080"/>
    <n v="2.5"/>
    <n v="9906"/>
    <s v="Cancelled"/>
    <s v="Delhi"/>
  </r>
  <r>
    <s v="ORD-00374"/>
    <d v="2024-02-09T00:00:00"/>
    <s v="CUST-0124"/>
    <s v="PROD-017"/>
    <x v="29"/>
    <n v="4"/>
    <n v="2510"/>
    <n v="23.6"/>
    <n v="7670.56"/>
    <s v="Completed"/>
    <s v="Pune"/>
  </r>
  <r>
    <s v="ORD-00375"/>
    <d v="2024-02-10T00:00:00"/>
    <s v="CUST-0131"/>
    <s v="PROD-042"/>
    <x v="23"/>
    <n v="5"/>
    <n v="2290"/>
    <n v="17"/>
    <n v="9503.5"/>
    <s v="Completed"/>
    <s v="Delhi"/>
  </r>
  <r>
    <s v="ORD-00376"/>
    <d v="2024-02-18T00:00:00"/>
    <s v="CUST-0084"/>
    <s v="PROD-053"/>
    <x v="3"/>
    <n v="8"/>
    <n v="470"/>
    <n v="9.3000000000000007"/>
    <n v="3410.32"/>
    <s v="Completed"/>
    <s v="Chennai"/>
  </r>
  <r>
    <s v="ORD-00377"/>
    <d v="2024-09-29T00:00:00"/>
    <s v="CUST-0082"/>
    <s v="PROD-048"/>
    <x v="18"/>
    <n v="8"/>
    <n v="5100"/>
    <n v="4.5999999999999996"/>
    <n v="38923.199999999997"/>
    <s v="Completed"/>
    <s v="Hyderabad"/>
  </r>
  <r>
    <s v="ORD-00378"/>
    <d v="2024-01-05T00:00:00"/>
    <s v="CUST-0242"/>
    <s v="PROD-001"/>
    <x v="9"/>
    <n v="7"/>
    <n v="5330"/>
    <n v="2.5"/>
    <n v="36377.25"/>
    <s v="Completed"/>
    <s v="Chennai"/>
  </r>
  <r>
    <s v="ORD-00379"/>
    <d v="2024-03-13T00:00:00"/>
    <s v="CUST-0074"/>
    <s v="PROD-033"/>
    <x v="8"/>
    <n v="10"/>
    <n v="2030"/>
    <n v="8.5"/>
    <n v="18574.5"/>
    <s v="Completed"/>
    <s v="Bengaluru"/>
  </r>
  <r>
    <s v="ORD-00380"/>
    <d v="2024-09-25T00:00:00"/>
    <s v="CUST-0221"/>
    <s v="PROD-034"/>
    <x v="11"/>
    <n v="8"/>
    <n v="5080"/>
    <n v="9.6"/>
    <n v="36738.559999999998"/>
    <s v="Cancelled"/>
    <s v="Delhi"/>
  </r>
  <r>
    <s v="ORD-00381"/>
    <d v="2024-03-27T00:00:00"/>
    <s v="CUST-0101"/>
    <s v="PROD-023"/>
    <x v="2"/>
    <n v="1"/>
    <n v="2380"/>
    <n v="11.6"/>
    <n v="2103.92"/>
    <s v="Pending"/>
    <s v="Hyderabad"/>
  </r>
  <r>
    <s v="ORD-00382"/>
    <d v="2024-10-25T00:00:00"/>
    <s v="CUST-0203"/>
    <s v="PROD-041"/>
    <x v="28"/>
    <n v="8"/>
    <n v="1540"/>
    <n v="27.8"/>
    <n v="8895.0400000000009"/>
    <s v="Completed"/>
    <s v="Chennai"/>
  </r>
  <r>
    <s v="ORD-00383"/>
    <d v="2024-10-26T00:00:00"/>
    <s v="CUST-0209"/>
    <s v="PROD-024"/>
    <x v="6"/>
    <n v="1"/>
    <n v="2270"/>
    <n v="6.5"/>
    <n v="2122.4499999999998"/>
    <s v="Pending"/>
    <s v="Pune"/>
  </r>
  <r>
    <s v="ORD-00384"/>
    <d v="2024-07-30T00:00:00"/>
    <s v="CUST-0094"/>
    <s v="PROD-019"/>
    <x v="8"/>
    <n v="6"/>
    <n v="2480"/>
    <n v="25.9"/>
    <n v="11026.08"/>
    <s v="Completed"/>
    <s v="Pune"/>
  </r>
  <r>
    <s v="ORD-00385"/>
    <d v="2024-11-12T00:00:00"/>
    <s v="CUST-0248"/>
    <s v="PROD-018"/>
    <x v="7"/>
    <n v="3"/>
    <n v="3560"/>
    <n v="0.4"/>
    <n v="10637.28"/>
    <s v="Refunded"/>
    <s v="Chennai"/>
  </r>
  <r>
    <s v="ORD-00386"/>
    <d v="2024-05-10T00:00:00"/>
    <s v="CUST-0297"/>
    <s v="PROD-008"/>
    <x v="3"/>
    <n v="4"/>
    <n v="2660"/>
    <n v="19.7"/>
    <n v="8543.92"/>
    <s v="Cancelled"/>
    <s v="Hyderabad"/>
  </r>
  <r>
    <s v="ORD-00387"/>
    <d v="2024-04-04T00:00:00"/>
    <s v="CUST-0107"/>
    <s v="PROD-009"/>
    <x v="22"/>
    <n v="10"/>
    <n v="1220"/>
    <n v="10.1"/>
    <n v="10967.8"/>
    <s v="Cancelled"/>
    <s v="Pune"/>
  </r>
  <r>
    <s v="ORD-00388"/>
    <d v="2024-10-19T00:00:00"/>
    <s v="CUST-0247"/>
    <s v="PROD-002"/>
    <x v="2"/>
    <n v="8"/>
    <n v="2600"/>
    <n v="26.7"/>
    <n v="15246.4"/>
    <s v="Completed"/>
    <s v="Pune"/>
  </r>
  <r>
    <s v="ORD-00389"/>
    <d v="2024-05-28T00:00:00"/>
    <s v="CUST-0047"/>
    <s v="PROD-011"/>
    <x v="16"/>
    <n v="10"/>
    <n v="3450"/>
    <n v="20.399999999999999"/>
    <n v="27462"/>
    <s v="Completed"/>
    <s v="Pune"/>
  </r>
  <r>
    <s v="ORD-00390"/>
    <d v="2024-05-28T00:00:00"/>
    <s v="CUST-0118"/>
    <s v="PROD-056"/>
    <x v="7"/>
    <n v="1"/>
    <n v="6940"/>
    <n v="9.6999999999999993"/>
    <n v="6266.82"/>
    <s v="Completed"/>
    <s v="Hyderabad"/>
  </r>
  <r>
    <s v="ORD-00391"/>
    <d v="2024-03-07T00:00:00"/>
    <s v="CUST-0019"/>
    <s v="PROD-043"/>
    <x v="3"/>
    <n v="10"/>
    <n v="3350"/>
    <n v="3.2"/>
    <n v="32428"/>
    <s v="Completed"/>
    <s v="Chennai"/>
  </r>
  <r>
    <s v="ORD-00392"/>
    <d v="2024-04-05T00:00:00"/>
    <s v="CUST-0290"/>
    <s v="PROD-041"/>
    <x v="17"/>
    <n v="7"/>
    <n v="1540"/>
    <n v="0.5"/>
    <n v="10726.1"/>
    <s v="Completed"/>
    <s v="Delhi"/>
  </r>
  <r>
    <s v="ORD-00393"/>
    <d v="2024-12-29T00:00:00"/>
    <s v="CUST-9557"/>
    <s v="PROD-014"/>
    <x v="17"/>
    <n v="10"/>
    <n v="3620"/>
    <n v="22"/>
    <n v="28236"/>
    <s v="Completed"/>
    <s v="Pune"/>
  </r>
  <r>
    <s v="ORD-00394"/>
    <d v="2024-12-03T00:00:00"/>
    <s v="CUST-0291"/>
    <s v="PROD-053"/>
    <x v="17"/>
    <n v="2"/>
    <n v="470"/>
    <n v="26.5"/>
    <n v="690.9"/>
    <s v="Pending"/>
    <s v="Pune"/>
  </r>
  <r>
    <s v="ORD-00395"/>
    <d v="2024-02-01T00:00:00"/>
    <s v="CUST-0045"/>
    <s v="PROD-028"/>
    <x v="9"/>
    <n v="6"/>
    <n v="3660"/>
    <n v="1.5"/>
    <n v="21630.6"/>
    <s v="Completed"/>
    <s v="Chennai"/>
  </r>
  <r>
    <s v="ORD-00396"/>
    <d v="2024-05-20T00:00:00"/>
    <s v="CUST-0281"/>
    <s v="PROD-056"/>
    <x v="21"/>
    <n v="10"/>
    <n v="6940"/>
    <n v="1.9"/>
    <n v="68081.399999999994"/>
    <s v="Completed"/>
    <s v="Bengaluru"/>
  </r>
  <r>
    <s v="ORD-00397"/>
    <d v="2024-04-15T00:00:00"/>
    <s v="CUST-0073"/>
    <s v="PROD-042"/>
    <x v="1"/>
    <n v="8"/>
    <n v="2290"/>
    <n v="27.9"/>
    <n v="13208.72"/>
    <s v="Completed"/>
    <s v="Pune"/>
  </r>
  <r>
    <s v="ORD-00398"/>
    <d v="2024-10-08T00:00:00"/>
    <s v="CUST-0043"/>
    <s v="PROD-012"/>
    <x v="6"/>
    <n v="9"/>
    <n v="3160"/>
    <n v="10.199999999999999"/>
    <n v="25539.119999999999"/>
    <s v="Completed"/>
    <s v="Hyderabad"/>
  </r>
  <r>
    <s v="ORD-00399"/>
    <d v="2024-01-16T00:00:00"/>
    <s v="CUST-0154"/>
    <s v="PROD-034"/>
    <x v="8"/>
    <n v="6"/>
    <n v="5080"/>
    <n v="25.4"/>
    <n v="22738.080000000002"/>
    <s v="Completed"/>
    <s v="Pune"/>
  </r>
  <r>
    <s v="ORD-00400"/>
    <d v="2024-11-24T00:00:00"/>
    <s v="CUST-0061"/>
    <s v="PROD-021"/>
    <x v="27"/>
    <n v="6"/>
    <n v="2760"/>
    <n v="21.3"/>
    <n v="13032.72"/>
    <s v="Completed"/>
    <s v="Hyderabad"/>
  </r>
  <r>
    <s v="ORD-00401"/>
    <d v="2024-06-19T00:00:00"/>
    <s v="CUST-9654"/>
    <s v="PROD-009"/>
    <x v="27"/>
    <n v="5"/>
    <n v="1220"/>
    <n v="7.6"/>
    <n v="5636.4"/>
    <s v="Completed"/>
    <s v="Mumbai"/>
  </r>
  <r>
    <s v="ORD-00402"/>
    <d v="2024-11-26T00:00:00"/>
    <s v="CUST-0189"/>
    <s v="PROD-046"/>
    <x v="8"/>
    <n v="5"/>
    <n v="4880"/>
    <n v="8.5"/>
    <n v="22326"/>
    <s v="Completed"/>
    <s v="Chennai"/>
  </r>
  <r>
    <s v="ORD-00403"/>
    <d v="2024-10-31T00:00:00"/>
    <s v="CUST-0152"/>
    <s v="PROD-026"/>
    <x v="24"/>
    <n v="7"/>
    <n v="4070"/>
    <n v="28"/>
    <n v="20512.8"/>
    <s v="Completed"/>
    <s v="Bengaluru"/>
  </r>
  <r>
    <s v="ORD-00404"/>
    <d v="2024-08-02T00:00:00"/>
    <s v="CUST-0284"/>
    <s v="PROD-006"/>
    <x v="8"/>
    <n v="2"/>
    <n v="3970"/>
    <n v="14"/>
    <n v="6828.4"/>
    <s v="Completed"/>
    <s v="Hyderabad"/>
  </r>
  <r>
    <s v="ORD-00405"/>
    <d v="2024-02-27T00:00:00"/>
    <s v="CUST-0175"/>
    <s v="PROD-008"/>
    <x v="26"/>
    <n v="9"/>
    <n v="2660"/>
    <n v="10.1"/>
    <n v="21522.06"/>
    <s v="Completed"/>
    <s v="Delhi"/>
  </r>
  <r>
    <s v="ORD-00406"/>
    <d v="2024-04-25T00:00:00"/>
    <s v="CUST-0093"/>
    <s v="PROD-055"/>
    <x v="24"/>
    <n v="9"/>
    <n v="2860"/>
    <n v="10.1"/>
    <n v="23140.26"/>
    <s v="Refunded"/>
    <s v="Pune"/>
  </r>
  <r>
    <s v="ORD-00407"/>
    <d v="2024-10-26T00:00:00"/>
    <s v="CUST-0033"/>
    <s v="PROD-009"/>
    <x v="0"/>
    <n v="7"/>
    <n v="1220"/>
    <n v="23.5"/>
    <n v="6533.1"/>
    <s v="Refunded"/>
    <s v="Delhi"/>
  </r>
  <r>
    <s v="ORD-00408"/>
    <d v="2024-10-19T00:00:00"/>
    <s v="CUST-0294"/>
    <s v="PROD-022"/>
    <x v="17"/>
    <n v="1"/>
    <n v="2270"/>
    <n v="5.8"/>
    <n v="2138.34"/>
    <s v="Cancelled"/>
    <s v="Delhi"/>
  </r>
  <r>
    <s v="ORD-00409"/>
    <d v="2024-10-16T00:00:00"/>
    <s v="CUST-0115"/>
    <s v="PROD-037"/>
    <x v="25"/>
    <n v="2"/>
    <n v="660"/>
    <n v="2.2999999999999998"/>
    <n v="1289.6400000000001"/>
    <s v="Completed"/>
    <s v="Mumbai"/>
  </r>
  <r>
    <s v="ORD-00410"/>
    <d v="2024-05-29T00:00:00"/>
    <s v="CUST-0219"/>
    <s v="PROD-012"/>
    <x v="2"/>
    <n v="1"/>
    <n v="3160"/>
    <n v="5.6"/>
    <n v="2983.04"/>
    <s v="Completed"/>
    <s v="Chennai"/>
  </r>
  <r>
    <s v="ORD-00411"/>
    <d v="2024-04-26T00:00:00"/>
    <s v="CUST-0180"/>
    <s v="PROD-002"/>
    <x v="22"/>
    <n v="1"/>
    <n v="2600"/>
    <n v="1"/>
    <n v="2574"/>
    <s v="Completed"/>
    <s v="Chennai"/>
  </r>
  <r>
    <s v="ORD-00412"/>
    <d v="2024-08-11T00:00:00"/>
    <s v="CUST-0148"/>
    <s v="PROD-039"/>
    <x v="2"/>
    <n v="4"/>
    <n v="4610"/>
    <n v="18.7"/>
    <n v="14991.72"/>
    <s v="Completed"/>
    <s v="Chennai"/>
  </r>
  <r>
    <s v="ORD-00413"/>
    <d v="2024-04-30T00:00:00"/>
    <s v="CUST-0026"/>
    <s v="PROD-013"/>
    <x v="26"/>
    <n v="3"/>
    <n v="3640"/>
    <n v="9.6999999999999993"/>
    <n v="9860.76"/>
    <s v="Cancelled"/>
    <s v="Pune"/>
  </r>
  <r>
    <s v="ORD-00414"/>
    <d v="2024-06-05T00:00:00"/>
    <s v="CUST-0246"/>
    <s v="PROD-015"/>
    <x v="10"/>
    <n v="6"/>
    <n v="2720"/>
    <n v="13"/>
    <n v="14198.4"/>
    <s v="Pending"/>
    <s v="Delhi"/>
  </r>
  <r>
    <s v="ORD-00415"/>
    <d v="2024-12-18T00:00:00"/>
    <s v="CUST-0125"/>
    <s v="PROD-059"/>
    <x v="4"/>
    <n v="5"/>
    <n v="3780"/>
    <n v="15.2"/>
    <n v="16027.2"/>
    <s v="Completed"/>
    <s v="Delhi"/>
  </r>
  <r>
    <s v="ORD-00416"/>
    <d v="2024-04-25T00:00:00"/>
    <s v="CUST-0190"/>
    <s v="PROD-035"/>
    <x v="14"/>
    <n v="9"/>
    <n v="1090"/>
    <n v="28.5"/>
    <n v="7014.15"/>
    <s v="Completed"/>
    <s v="Hyderabad"/>
  </r>
  <r>
    <s v="ORD-00417"/>
    <d v="2024-10-16T00:00:00"/>
    <s v="CUST-0085"/>
    <s v="PROD-035"/>
    <x v="8"/>
    <n v="6"/>
    <n v="1090"/>
    <n v="28.7"/>
    <n v="4663.0200000000004"/>
    <s v="Completed"/>
    <s v="Chennai"/>
  </r>
  <r>
    <s v="ORD-00418"/>
    <d v="2024-03-15T00:00:00"/>
    <s v="CUST-0249"/>
    <s v="PROD-017"/>
    <x v="14"/>
    <n v="5"/>
    <n v="2510"/>
    <n v="25"/>
    <n v="9412.5"/>
    <s v="Completed"/>
    <s v="Mumbai"/>
  </r>
  <r>
    <s v="ORD-00419"/>
    <d v="2024-10-12T00:00:00"/>
    <s v="CUST-0012"/>
    <s v="PROD-006"/>
    <x v="9"/>
    <n v="5"/>
    <n v="3970"/>
    <n v="26"/>
    <n v="14689"/>
    <s v="Completed"/>
    <s v="Pune"/>
  </r>
  <r>
    <s v="ORD-00420"/>
    <d v="2024-02-11T00:00:00"/>
    <s v="CUST-0251"/>
    <s v="PROD-026"/>
    <x v="19"/>
    <n v="9"/>
    <n v="4070"/>
    <n v="15.7"/>
    <n v="30879.09"/>
    <s v="Completed"/>
    <s v="Mumbai"/>
  </r>
  <r>
    <s v="ORD-00421"/>
    <d v="2024-05-06T00:00:00"/>
    <s v="CUST-0088"/>
    <s v="PROD-038"/>
    <x v="10"/>
    <n v="6"/>
    <n v="5490"/>
    <n v="8.5"/>
    <n v="30140.1"/>
    <s v="Refunded"/>
    <s v="Chennai"/>
  </r>
  <r>
    <s v="ORD-00422"/>
    <d v="2024-11-19T00:00:00"/>
    <s v="CUST-0037"/>
    <s v="PROD-054"/>
    <x v="24"/>
    <n v="9"/>
    <n v="1010"/>
    <n v="3.6"/>
    <n v="8762.76"/>
    <s v="Completed"/>
    <s v="Bengaluru"/>
  </r>
  <r>
    <s v="ORD-00423"/>
    <d v="2024-12-05T00:00:00"/>
    <s v="CUST-0039"/>
    <s v="PROD-028"/>
    <x v="4"/>
    <n v="6"/>
    <n v="3660"/>
    <n v="10.8"/>
    <n v="19588.32"/>
    <s v="Completed"/>
    <s v="Bengaluru"/>
  </r>
  <r>
    <s v="ORD-00424"/>
    <d v="2024-08-20T00:00:00"/>
    <s v="CUST-0106"/>
    <s v="PROD-047"/>
    <x v="29"/>
    <n v="6"/>
    <n v="3450"/>
    <n v="10.7"/>
    <n v="18485.099999999999"/>
    <s v="Completed"/>
    <s v="Pune"/>
  </r>
  <r>
    <s v="ORD-00425"/>
    <d v="2024-03-28T00:00:00"/>
    <s v="CUST-0222"/>
    <s v="PROD-026"/>
    <x v="23"/>
    <n v="10"/>
    <n v="4070"/>
    <n v="23.4"/>
    <n v="31176.2"/>
    <s v="Refunded"/>
    <s v="Chennai"/>
  </r>
  <r>
    <s v="ORD-00426"/>
    <d v="2024-06-11T00:00:00"/>
    <s v="CUST-0130"/>
    <s v="PROD-003"/>
    <x v="5"/>
    <n v="9"/>
    <n v="3570"/>
    <n v="15.2"/>
    <n v="27246.240000000002"/>
    <s v="Completed"/>
    <s v="Bengaluru"/>
  </r>
  <r>
    <s v="ORD-00427"/>
    <d v="2024-09-27T00:00:00"/>
    <s v="CUST-0281"/>
    <s v="PROD-056"/>
    <x v="1"/>
    <n v="10"/>
    <n v="6940"/>
    <n v="21.8"/>
    <n v="54270.8"/>
    <s v="Pending"/>
    <s v="Bengaluru"/>
  </r>
  <r>
    <s v="ORD-00428"/>
    <d v="2024-07-16T00:00:00"/>
    <s v="CUST-0094"/>
    <s v="PROD-044"/>
    <x v="2"/>
    <n v="9"/>
    <n v="1650"/>
    <n v="24.3"/>
    <n v="11241.45"/>
    <s v="Completed"/>
    <s v="Pune"/>
  </r>
  <r>
    <s v="ORD-00429"/>
    <d v="2024-11-28T00:00:00"/>
    <s v="CUST-0271"/>
    <s v="PROD-007"/>
    <x v="2"/>
    <n v="10"/>
    <n v="1430"/>
    <n v="25.2"/>
    <n v="10696.4"/>
    <s v="Completed"/>
    <s v="Bengaluru"/>
  </r>
  <r>
    <s v="ORD-00430"/>
    <d v="2024-07-07T00:00:00"/>
    <s v="CUST-0110"/>
    <s v="PROD-025"/>
    <x v="9"/>
    <n v="4"/>
    <n v="4060"/>
    <n v="1.6"/>
    <n v="15980.16"/>
    <s v="Completed"/>
    <s v="Pune"/>
  </r>
  <r>
    <s v="ORD-00431"/>
    <d v="2024-05-08T00:00:00"/>
    <s v="CUST-0262"/>
    <s v="PROD-032"/>
    <x v="1"/>
    <n v="9"/>
    <n v="370"/>
    <n v="17"/>
    <n v="2763.9"/>
    <s v="Completed"/>
    <s v="Mumbai"/>
  </r>
  <r>
    <s v="ORD-00432"/>
    <d v="2024-01-31T00:00:00"/>
    <s v="CUST-0157"/>
    <s v="PROD-041"/>
    <x v="9"/>
    <n v="1"/>
    <n v="1540"/>
    <n v="24"/>
    <n v="1170.4000000000001"/>
    <s v="Cancelled"/>
    <s v="Pune"/>
  </r>
  <r>
    <s v="ORD-00433"/>
    <d v="2024-03-31T00:00:00"/>
    <s v="CUST-0135"/>
    <s v="PROD-002"/>
    <x v="5"/>
    <n v="9"/>
    <n v="2600"/>
    <n v="7.7"/>
    <n v="21598.2"/>
    <s v="Completed"/>
    <s v="Pune"/>
  </r>
  <r>
    <s v="ORD-00434"/>
    <d v="2024-07-24T00:00:00"/>
    <s v="CUST-0136"/>
    <s v="PROD-017"/>
    <x v="15"/>
    <n v="8"/>
    <n v="2510"/>
    <n v="3.7"/>
    <n v="19337.04"/>
    <s v="Completed"/>
    <s v="Chennai"/>
  </r>
  <r>
    <s v="ORD-00435"/>
    <d v="2024-08-06T00:00:00"/>
    <s v="CUST-0110"/>
    <s v="PROD-001"/>
    <x v="11"/>
    <n v="6"/>
    <n v="5330"/>
    <n v="8.4"/>
    <n v="29293.68"/>
    <s v="Completed"/>
    <s v="Pune"/>
  </r>
  <r>
    <s v="ORD-00436"/>
    <d v="2024-08-18T00:00:00"/>
    <s v="CUST-0192"/>
    <s v="PROD-034"/>
    <x v="2"/>
    <n v="5"/>
    <n v="5080"/>
    <n v="10.3"/>
    <n v="22783.8"/>
    <s v="Completed"/>
    <s v="Bengaluru"/>
  </r>
  <r>
    <s v="ORD-00437"/>
    <d v="2024-03-30T00:00:00"/>
    <s v="CUST-0169"/>
    <s v="PROD-026"/>
    <x v="5"/>
    <n v="3"/>
    <n v="4070"/>
    <n v="23.7"/>
    <n v="9316.23"/>
    <s v="Completed"/>
    <s v="Bengaluru"/>
  </r>
  <r>
    <s v="ORD-00438"/>
    <d v="2024-08-07T00:00:00"/>
    <s v="CUST-0086"/>
    <s v="PROD-016"/>
    <x v="22"/>
    <n v="4"/>
    <n v="620"/>
    <n v="18.8"/>
    <n v="2013.76"/>
    <s v="Completed"/>
    <s v="Hyderabad"/>
  </r>
  <r>
    <s v="ORD-00439"/>
    <d v="2024-12-02T00:00:00"/>
    <s v="CUST-0217"/>
    <s v="PROD-010"/>
    <x v="21"/>
    <n v="10"/>
    <n v="2640"/>
    <n v="12.7"/>
    <n v="23047.200000000001"/>
    <s v="Completed"/>
    <s v="Pune"/>
  </r>
  <r>
    <s v="ORD-00440"/>
    <d v="2024-02-04T00:00:00"/>
    <s v="CUST-0119"/>
    <s v="PROD-026"/>
    <x v="14"/>
    <n v="2"/>
    <n v="4070"/>
    <n v="29"/>
    <n v="5779.4"/>
    <s v="Completed"/>
    <s v="Bengaluru"/>
  </r>
  <r>
    <s v="ORD-00441"/>
    <d v="2024-09-26T00:00:00"/>
    <s v="CUST-0011"/>
    <s v="PROD-054"/>
    <x v="0"/>
    <n v="8"/>
    <n v="1010"/>
    <n v="25.4"/>
    <n v="6027.68"/>
    <s v="Completed"/>
    <s v="Chennai"/>
  </r>
  <r>
    <s v="ORD-00442"/>
    <d v="2024-12-03T00:00:00"/>
    <s v="CUST-0059"/>
    <s v="PROD-036"/>
    <x v="1"/>
    <n v="8"/>
    <n v="3250"/>
    <n v="5.4"/>
    <n v="24596"/>
    <s v="Completed"/>
    <s v="Pune"/>
  </r>
  <r>
    <s v="ORD-00443"/>
    <d v="2024-06-17T00:00:00"/>
    <s v="CUST-0210"/>
    <s v="PROD-007"/>
    <x v="18"/>
    <n v="7"/>
    <n v="1430"/>
    <n v="19.3"/>
    <n v="8078.07"/>
    <s v="Completed"/>
    <s v="Pune"/>
  </r>
  <r>
    <s v="ORD-00444"/>
    <d v="2024-11-01T00:00:00"/>
    <s v="CUST-0145"/>
    <s v="PROD-045"/>
    <x v="26"/>
    <n v="9"/>
    <n v="3020"/>
    <n v="15"/>
    <n v="23103"/>
    <s v="Completed"/>
    <s v="Bengaluru"/>
  </r>
  <r>
    <s v="ORD-00445"/>
    <d v="2024-02-02T00:00:00"/>
    <s v="CUST-9626"/>
    <s v="PROD-008"/>
    <x v="25"/>
    <n v="2"/>
    <n v="2660"/>
    <n v="21.4"/>
    <n v="4181.5200000000004"/>
    <s v="Completed"/>
    <s v="Chennai"/>
  </r>
  <r>
    <s v="ORD-00446"/>
    <d v="2024-07-17T00:00:00"/>
    <s v="CUST-0250"/>
    <s v="PROD-003"/>
    <x v="7"/>
    <n v="10"/>
    <n v="3570"/>
    <n v="20.3"/>
    <n v="28452.9"/>
    <s v="Completed"/>
    <s v="Delhi"/>
  </r>
  <r>
    <s v="ORD-00447"/>
    <d v="2024-02-08T00:00:00"/>
    <s v="CUST-0241"/>
    <s v="PROD-043"/>
    <x v="9"/>
    <n v="4"/>
    <n v="3350"/>
    <n v="28.1"/>
    <n v="9634.6"/>
    <s v="Completed"/>
    <s v="Pune"/>
  </r>
  <r>
    <s v="ORD-00448"/>
    <d v="2024-02-14T00:00:00"/>
    <s v="CUST-0071"/>
    <s v="PROD-019"/>
    <x v="13"/>
    <n v="1"/>
    <n v="2480"/>
    <n v="13.5"/>
    <n v="2145.1999999999998"/>
    <s v="Completed"/>
    <s v="Delhi"/>
  </r>
  <r>
    <s v="ORD-00449"/>
    <d v="2024-12-23T00:00:00"/>
    <s v="CUST-0017"/>
    <s v="PROD-052"/>
    <x v="15"/>
    <n v="10"/>
    <n v="5410"/>
    <n v="26.1"/>
    <n v="39979.9"/>
    <s v="Completed"/>
    <s v="Delhi"/>
  </r>
  <r>
    <s v="ORD-00450"/>
    <d v="2024-10-21T00:00:00"/>
    <s v="CUST-0007"/>
    <s v="PROD-037"/>
    <x v="12"/>
    <n v="2"/>
    <n v="660"/>
    <n v="5"/>
    <n v="1254"/>
    <s v="Completed"/>
    <s v="Bengaluru"/>
  </r>
  <r>
    <s v="ORD-00451"/>
    <d v="2024-12-21T00:00:00"/>
    <s v="CUST-0054"/>
    <s v="PROD-054"/>
    <x v="0"/>
    <n v="10"/>
    <n v="1010"/>
    <n v="10"/>
    <n v="9090"/>
    <s v="Completed"/>
    <s v="Mumbai"/>
  </r>
  <r>
    <s v="ORD-00452"/>
    <d v="2024-07-23T00:00:00"/>
    <s v="CUST-0038"/>
    <s v="PROD-042"/>
    <x v="19"/>
    <n v="3"/>
    <n v="2290"/>
    <n v="8.9"/>
    <n v="6258.57"/>
    <s v="Completed"/>
    <s v="Mumbai"/>
  </r>
  <r>
    <s v="ORD-00453"/>
    <d v="2024-03-18T00:00:00"/>
    <s v="CUST-0066"/>
    <s v="PROD-047"/>
    <x v="19"/>
    <n v="9"/>
    <n v="3450"/>
    <n v="24.3"/>
    <n v="23504.85"/>
    <s v="Completed"/>
    <s v="Delhi"/>
  </r>
  <r>
    <s v="ORD-00454"/>
    <d v="2024-04-07T00:00:00"/>
    <s v="CUST-0161"/>
    <s v="PROD-013"/>
    <x v="11"/>
    <n v="10"/>
    <n v="3640"/>
    <n v="21.4"/>
    <n v="28610.400000000001"/>
    <s v="Cancelled"/>
    <s v="Chennai"/>
  </r>
  <r>
    <s v="ORD-00455"/>
    <d v="2024-02-14T00:00:00"/>
    <s v="CUST-0072"/>
    <s v="PROD-023"/>
    <x v="15"/>
    <n v="5"/>
    <n v="2380"/>
    <n v="12.2"/>
    <n v="10448.200000000001"/>
    <s v="Completed"/>
    <s v="Mumbai"/>
  </r>
  <r>
    <s v="ORD-00456"/>
    <d v="2024-08-01T00:00:00"/>
    <s v="CUST-0232"/>
    <s v="PROD-052"/>
    <x v="21"/>
    <n v="10"/>
    <n v="5410"/>
    <n v="29.8"/>
    <n v="37978.199999999997"/>
    <s v="Completed"/>
    <s v="Hyderabad"/>
  </r>
  <r>
    <s v="ORD-00457"/>
    <d v="2024-03-24T00:00:00"/>
    <s v="CUST-0054"/>
    <s v="PROD-044"/>
    <x v="13"/>
    <n v="3"/>
    <n v="1650"/>
    <n v="9.4"/>
    <n v="4484.7"/>
    <s v="Cancelled"/>
    <s v="Mumbai"/>
  </r>
  <r>
    <s v="ORD-00458"/>
    <d v="2024-04-01T00:00:00"/>
    <s v="CUST-0214"/>
    <s v="PROD-002"/>
    <x v="24"/>
    <n v="7"/>
    <n v="2600"/>
    <n v="19.899999999999999"/>
    <n v="14578.2"/>
    <s v="Pending"/>
    <s v="Mumbai"/>
  </r>
  <r>
    <s v="ORD-00135"/>
    <d v="2024-07-01T00:00:00"/>
    <s v="CUST-0236"/>
    <s v="PROD-039"/>
    <x v="25"/>
    <n v="4"/>
    <n v="4610"/>
    <n v="13.2"/>
    <n v="16005.92"/>
    <s v="Completed"/>
    <s v="Hyderabad"/>
  </r>
  <r>
    <s v="ORD-00460"/>
    <d v="2024-03-10T00:00:00"/>
    <s v="CUST-0031"/>
    <s v="PROD-039"/>
    <x v="13"/>
    <n v="9"/>
    <n v="4610"/>
    <n v="25.8"/>
    <n v="30785.58"/>
    <s v="Completed"/>
    <s v="Hyderabad"/>
  </r>
  <r>
    <s v="ORD-00461"/>
    <d v="2024-09-15T00:00:00"/>
    <s v="CUST-0123"/>
    <s v="PROD-005"/>
    <x v="2"/>
    <n v="5"/>
    <n v="300"/>
    <n v="11.8"/>
    <n v="1323"/>
    <s v="Completed"/>
    <s v="Chennai"/>
  </r>
  <r>
    <s v="ORD-00462"/>
    <d v="2024-07-12T00:00:00"/>
    <s v="CUST-0019"/>
    <s v="PROD-011"/>
    <x v="16"/>
    <n v="3"/>
    <n v="3450"/>
    <n v="14.2"/>
    <n v="8880.2999999999993"/>
    <s v="Completed"/>
    <s v="Chennai"/>
  </r>
  <r>
    <s v="ORD-00463"/>
    <d v="2024-08-19T00:00:00"/>
    <s v="CUST-0171"/>
    <s v="PROD-015"/>
    <x v="8"/>
    <n v="2"/>
    <n v="2720"/>
    <n v="14.6"/>
    <n v="4645.76"/>
    <s v="Cancelled"/>
    <s v="Chennai"/>
  </r>
  <r>
    <s v="ORD-00464"/>
    <d v="2024-11-30T00:00:00"/>
    <s v="CUST-0166"/>
    <s v="PROD-008"/>
    <x v="21"/>
    <n v="7"/>
    <n v="2660"/>
    <n v="27.4"/>
    <n v="13518.12"/>
    <s v="Cancelled"/>
    <s v="Hyderabad"/>
  </r>
  <r>
    <s v="ORD-00465"/>
    <d v="2024-01-11T00:00:00"/>
    <s v="CUST-0151"/>
    <s v="PROD-051"/>
    <x v="1"/>
    <n v="8"/>
    <n v="3450"/>
    <n v="20.399999999999999"/>
    <n v="21969.599999999999"/>
    <s v="Completed"/>
    <s v="Mumbai"/>
  </r>
  <r>
    <s v="ORD-00466"/>
    <d v="2024-05-15T00:00:00"/>
    <s v="CUST-0027"/>
    <s v="PROD-052"/>
    <x v="29"/>
    <n v="2"/>
    <n v="5410"/>
    <n v="7.2"/>
    <n v="10040.959999999999"/>
    <s v="Completed"/>
    <s v="Hyderabad"/>
  </r>
  <r>
    <s v="ORD-00467"/>
    <d v="2024-01-24T00:00:00"/>
    <s v="CUST-0171"/>
    <s v="PROD-004"/>
    <x v="22"/>
    <n v="3"/>
    <n v="3870"/>
    <n v="4.2"/>
    <n v="11122.38"/>
    <s v="Completed"/>
    <s v="Chennai"/>
  </r>
  <r>
    <s v="ORD-00468"/>
    <d v="2024-02-06T00:00:00"/>
    <s v="CUST-0094"/>
    <s v="PROD-024"/>
    <x v="1"/>
    <n v="10"/>
    <n v="2270"/>
    <n v="17.3"/>
    <n v="18772.900000000001"/>
    <s v="Completed"/>
    <s v="Pune"/>
  </r>
  <r>
    <s v="ORD-00469"/>
    <d v="2024-04-12T00:00:00"/>
    <s v="CUST-0223"/>
    <s v="PROD-001"/>
    <x v="5"/>
    <n v="1"/>
    <n v="5330"/>
    <n v="24.2"/>
    <n v="4040.14"/>
    <s v="Completed"/>
    <s v="Bengaluru"/>
  </r>
  <r>
    <s v="ORD-00470"/>
    <d v="2024-05-02T00:00:00"/>
    <s v="CUST-0281"/>
    <s v="PROD-043"/>
    <x v="15"/>
    <n v="2"/>
    <n v="3350"/>
    <n v="23.4"/>
    <n v="5132.2"/>
    <s v="Completed"/>
    <s v="Bengaluru"/>
  </r>
  <r>
    <s v="ORD-00471"/>
    <d v="2024-04-11T00:00:00"/>
    <s v="CUST-0148"/>
    <s v="PROD-045"/>
    <x v="3"/>
    <n v="7"/>
    <n v="3020"/>
    <n v="23.7"/>
    <n v="16129.82"/>
    <s v="Completed"/>
    <s v="Chennai"/>
  </r>
  <r>
    <s v="ORD-00472"/>
    <d v="2024-08-31T00:00:00"/>
    <s v="CUST-0010"/>
    <s v="PROD-012"/>
    <x v="16"/>
    <n v="7"/>
    <n v="3160"/>
    <n v="22.8"/>
    <n v="17076.64"/>
    <s v="Completed"/>
    <s v="Mumbai"/>
  </r>
  <r>
    <s v="ORD-00473"/>
    <d v="2024-09-06T00:00:00"/>
    <s v="CUST-0254"/>
    <s v="PROD-053"/>
    <x v="16"/>
    <n v="2"/>
    <n v="470"/>
    <n v="28.8"/>
    <n v="669.28"/>
    <s v="Cancelled"/>
    <s v="Bengaluru"/>
  </r>
  <r>
    <s v="ORD-00474"/>
    <d v="2024-06-11T00:00:00"/>
    <s v="CUST-0126"/>
    <s v="PROD-036"/>
    <x v="13"/>
    <n v="2"/>
    <n v="3250"/>
    <n v="24.7"/>
    <n v="4894.5"/>
    <s v="Completed"/>
    <s v="Mumbai"/>
  </r>
  <r>
    <s v="ORD-00475"/>
    <d v="2024-12-05T00:00:00"/>
    <s v="CUST-0018"/>
    <s v="PROD-054"/>
    <x v="12"/>
    <n v="2"/>
    <n v="1010"/>
    <n v="5.2"/>
    <n v="1914.96"/>
    <s v="Cancelled"/>
    <s v="Pune"/>
  </r>
  <r>
    <s v="ORD-00476"/>
    <d v="2024-10-23T00:00:00"/>
    <s v="CUST-0089"/>
    <s v="PROD-005"/>
    <x v="19"/>
    <n v="9"/>
    <n v="300"/>
    <n v="7.9"/>
    <n v="2486.6999999999998"/>
    <s v="Completed"/>
    <s v="Mumbai"/>
  </r>
  <r>
    <s v="ORD-00477"/>
    <d v="2024-06-26T00:00:00"/>
    <s v="CUST-0157"/>
    <s v="PROD-048"/>
    <x v="3"/>
    <n v="10"/>
    <n v="5100"/>
    <n v="26.3"/>
    <n v="37587"/>
    <s v="Pending"/>
    <s v="Pune"/>
  </r>
  <r>
    <s v="ORD-00478"/>
    <d v="2024-09-17T00:00:00"/>
    <s v="CUST-0201"/>
    <s v="PROD-043"/>
    <x v="8"/>
    <n v="1"/>
    <n v="3350"/>
    <n v="8.5"/>
    <n v="3065.25"/>
    <s v="Cancelled"/>
    <s v="Hyderabad"/>
  </r>
  <r>
    <s v="ORD-01195"/>
    <d v="2024-09-19T00:00:00"/>
    <s v="CUST-0091"/>
    <s v="PROD-036"/>
    <x v="24"/>
    <n v="2"/>
    <n v="3250"/>
    <n v="25.7"/>
    <n v="4829.5"/>
    <s v="Refunded"/>
    <s v="Delhi"/>
  </r>
  <r>
    <s v="ORD-00480"/>
    <d v="2024-03-01T00:00:00"/>
    <s v="CUST-0052"/>
    <s v="PROD-028"/>
    <x v="4"/>
    <n v="10"/>
    <n v="3660"/>
    <n v="12"/>
    <n v="32208"/>
    <s v="Completed"/>
    <s v="Pune"/>
  </r>
  <r>
    <s v="ORD-00481"/>
    <d v="2024-08-17T00:00:00"/>
    <s v="CUST-0069"/>
    <s v="PROD-058"/>
    <x v="18"/>
    <n v="1"/>
    <n v="2400"/>
    <n v="24.5"/>
    <n v="1812"/>
    <s v="Completed"/>
    <s v="Chennai"/>
  </r>
  <r>
    <s v="ORD-00482"/>
    <d v="2024-07-23T00:00:00"/>
    <s v="CUST-0294"/>
    <s v="PROD-035"/>
    <x v="9"/>
    <n v="1"/>
    <n v="1090"/>
    <n v="18.399999999999999"/>
    <n v="889.44"/>
    <s v="Completed"/>
    <s v="Delhi"/>
  </r>
  <r>
    <s v="ORD-00483"/>
    <d v="2024-04-22T00:00:00"/>
    <s v="CUST-0019"/>
    <s v="PROD-059"/>
    <x v="15"/>
    <n v="6"/>
    <n v="3780"/>
    <n v="15.9"/>
    <n v="19073.88"/>
    <s v="Completed"/>
    <s v="Chennai"/>
  </r>
  <r>
    <s v="ORD-00484"/>
    <d v="2024-02-08T00:00:00"/>
    <s v="CUST-0087"/>
    <s v="PROD-043"/>
    <x v="7"/>
    <n v="3"/>
    <n v="3350"/>
    <n v="18.8"/>
    <n v="8160.6"/>
    <s v="Refunded"/>
    <s v="Pune"/>
  </r>
  <r>
    <s v="ORD-00485"/>
    <d v="2024-02-01T00:00:00"/>
    <s v="CUST-0281"/>
    <s v="PROD-040"/>
    <x v="14"/>
    <n v="3"/>
    <n v="1080"/>
    <n v="3.4"/>
    <n v="3129.84"/>
    <s v="Completed"/>
    <s v="Bengaluru"/>
  </r>
  <r>
    <s v="ORD-00486"/>
    <d v="2024-08-15T00:00:00"/>
    <s v="CUST-0248"/>
    <s v="PROD-026"/>
    <x v="24"/>
    <n v="6"/>
    <n v="4070"/>
    <n v="27.7"/>
    <n v="17655.66"/>
    <s v="Pending"/>
    <s v="Chennai"/>
  </r>
  <r>
    <s v="ORD-00487"/>
    <d v="2024-08-10T00:00:00"/>
    <s v="CUST-0019"/>
    <s v="PROD-041"/>
    <x v="17"/>
    <n v="5"/>
    <n v="1540"/>
    <n v="24.9"/>
    <n v="5782.7"/>
    <s v="Completed"/>
    <s v="Chennai"/>
  </r>
  <r>
    <s v="ORD-00488"/>
    <d v="2024-07-24T00:00:00"/>
    <s v="CUST-0092"/>
    <s v="PROD-021"/>
    <x v="8"/>
    <n v="6"/>
    <n v="2760"/>
    <n v="29.9"/>
    <n v="11608.56"/>
    <s v="Completed"/>
    <s v="Bengaluru"/>
  </r>
  <r>
    <s v="ORD-00489"/>
    <d v="2024-12-13T00:00:00"/>
    <s v="CUST-0195"/>
    <s v="PROD-006"/>
    <x v="24"/>
    <n v="8"/>
    <n v="3970"/>
    <n v="23.7"/>
    <n v="24232.880000000001"/>
    <s v="Completed"/>
    <s v="Bengaluru"/>
  </r>
  <r>
    <s v="ORD-00490"/>
    <d v="2024-09-27T00:00:00"/>
    <s v="CUST-0126"/>
    <s v="PROD-011"/>
    <x v="13"/>
    <n v="1"/>
    <n v="3450"/>
    <n v="7.4"/>
    <n v="3194.7"/>
    <s v="Completed"/>
    <s v="Mumbai"/>
  </r>
  <r>
    <s v="ORD-00491"/>
    <d v="2024-01-17T00:00:00"/>
    <s v="CUST-0274"/>
    <s v="PROD-018"/>
    <x v="1"/>
    <n v="3"/>
    <n v="3560"/>
    <n v="15.2"/>
    <n v="9056.64"/>
    <s v="Completed"/>
    <s v="Bengaluru"/>
  </r>
  <r>
    <s v="ORD-00492"/>
    <d v="2024-05-16T00:00:00"/>
    <s v="CUST-0059"/>
    <s v="PROD-003"/>
    <x v="14"/>
    <n v="4"/>
    <n v="3570"/>
    <n v="18.899999999999999"/>
    <n v="11581.08"/>
    <s v="Completed"/>
    <s v="Pune"/>
  </r>
  <r>
    <s v="ORD-00493"/>
    <d v="2024-06-29T00:00:00"/>
    <s v="CUST-0264"/>
    <s v="PROD-057"/>
    <x v="5"/>
    <n v="9"/>
    <n v="960"/>
    <n v="14"/>
    <n v="7430.4"/>
    <s v="Refunded"/>
    <s v="Pune"/>
  </r>
  <r>
    <s v="ORD-00494"/>
    <d v="2024-04-24T00:00:00"/>
    <s v="CUST-0157"/>
    <s v="PROD-047"/>
    <x v="29"/>
    <n v="9"/>
    <n v="3450"/>
    <n v="6"/>
    <n v="29187"/>
    <s v="Cancelled"/>
    <s v="Pune"/>
  </r>
  <r>
    <s v="ORD-00495"/>
    <d v="2024-06-14T00:00:00"/>
    <s v="CUST-0028"/>
    <s v="PROD-043"/>
    <x v="27"/>
    <n v="7"/>
    <n v="3350"/>
    <n v="14"/>
    <n v="20167"/>
    <s v="Cancelled"/>
    <s v="Bengaluru"/>
  </r>
  <r>
    <s v="ORD-00496"/>
    <d v="2024-01-07T00:00:00"/>
    <s v="CUST-0033"/>
    <s v="PROD-049"/>
    <x v="10"/>
    <n v="6"/>
    <n v="960"/>
    <n v="10.1"/>
    <n v="5178.24"/>
    <s v="Completed"/>
    <s v="Delhi"/>
  </r>
  <r>
    <s v="ORD-00497"/>
    <d v="2024-02-15T00:00:00"/>
    <s v="CUST-0280"/>
    <s v="PROD-005"/>
    <x v="29"/>
    <n v="7"/>
    <n v="300"/>
    <n v="21.9"/>
    <n v="1640.1"/>
    <s v="Completed"/>
    <s v="Delhi"/>
  </r>
  <r>
    <s v="ORD-00498"/>
    <d v="2024-04-07T00:00:00"/>
    <s v="CUST-0232"/>
    <s v="PROD-023"/>
    <x v="7"/>
    <n v="2"/>
    <n v="2380"/>
    <n v="6.8"/>
    <n v="4436.32"/>
    <s v="Completed"/>
    <s v="Hyderabad"/>
  </r>
  <r>
    <s v="ORD-00499"/>
    <d v="2024-01-07T00:00:00"/>
    <s v="CUST-0270"/>
    <s v="PROD-057"/>
    <x v="6"/>
    <n v="5"/>
    <n v="960"/>
    <n v="15"/>
    <n v="4080"/>
    <s v="Cancelled"/>
    <s v="Bengaluru"/>
  </r>
  <r>
    <s v="ORD-00500"/>
    <d v="2024-10-12T00:00:00"/>
    <s v="CUST-0203"/>
    <s v="PROD-059"/>
    <x v="27"/>
    <n v="10"/>
    <n v="3780"/>
    <n v="24.1"/>
    <n v="28690.2"/>
    <s v="Refunded"/>
    <s v="Chennai"/>
  </r>
  <r>
    <s v="ORD-00501"/>
    <d v="2024-03-04T00:00:00"/>
    <s v="CUST-0069"/>
    <s v="PROD-041"/>
    <x v="16"/>
    <n v="4"/>
    <n v="1540"/>
    <n v="14.2"/>
    <n v="5285.28"/>
    <s v="Cancelled"/>
    <s v="Chennai"/>
  </r>
  <r>
    <s v="ORD-00502"/>
    <d v="2024-06-20T00:00:00"/>
    <s v="CUST-0037"/>
    <s v="PROD-017"/>
    <x v="1"/>
    <n v="10"/>
    <n v="2510"/>
    <n v="20.8"/>
    <n v="19879.2"/>
    <s v="Completed"/>
    <s v="Bengaluru"/>
  </r>
  <r>
    <s v="ORD-00503"/>
    <d v="2024-03-23T00:00:00"/>
    <s v="CUST-0149"/>
    <s v="PROD-025"/>
    <x v="2"/>
    <n v="9"/>
    <n v="4060"/>
    <n v="27.1"/>
    <n v="26637.66"/>
    <s v="Completed"/>
    <s v="Hyderabad"/>
  </r>
  <r>
    <s v="ORD-00504"/>
    <d v="2024-12-12T00:00:00"/>
    <s v="CUST-0131"/>
    <s v="PROD-058"/>
    <x v="5"/>
    <n v="4"/>
    <n v="2400"/>
    <n v="19.100000000000001"/>
    <n v="7766.4"/>
    <s v="Completed"/>
    <s v="Delhi"/>
  </r>
  <r>
    <s v="ORD-00505"/>
    <d v="2024-08-21T00:00:00"/>
    <s v="CUST-0071"/>
    <s v="PROD-046"/>
    <x v="24"/>
    <n v="8"/>
    <n v="4880"/>
    <n v="9.1999999999999993"/>
    <n v="35448.32"/>
    <s v="Cancelled"/>
    <s v="Delhi"/>
  </r>
  <r>
    <s v="ORD-00506"/>
    <d v="2024-10-21T00:00:00"/>
    <s v="CUST-0249"/>
    <s v="PROD-048"/>
    <x v="7"/>
    <n v="9"/>
    <n v="5100"/>
    <n v="11.1"/>
    <n v="40805.1"/>
    <s v="Cancelled"/>
    <s v="Mumbai"/>
  </r>
  <r>
    <s v="ORD-00507"/>
    <d v="2024-12-11T00:00:00"/>
    <s v="CUST-0181"/>
    <s v="PROD-005"/>
    <x v="8"/>
    <n v="4"/>
    <n v="300"/>
    <n v="16.7"/>
    <n v="999.6"/>
    <s v="Completed"/>
    <s v="Delhi"/>
  </r>
  <r>
    <s v="ORD-00508"/>
    <d v="2024-05-31T00:00:00"/>
    <s v="CUST-0085"/>
    <s v="PROD-019"/>
    <x v="2"/>
    <n v="6"/>
    <n v="2480"/>
    <n v="3.3"/>
    <n v="14388.96"/>
    <s v="Completed"/>
    <s v="Chennai"/>
  </r>
  <r>
    <s v="ORD-00509"/>
    <d v="2024-10-04T00:00:00"/>
    <s v="CUST-0180"/>
    <s v="PROD-044"/>
    <x v="12"/>
    <n v="10"/>
    <n v="1650"/>
    <n v="22.9"/>
    <n v="12721.5"/>
    <s v="Refunded"/>
    <s v="Chennai"/>
  </r>
  <r>
    <s v="ORD-00510"/>
    <d v="2024-01-28T00:00:00"/>
    <s v="CUST-0103"/>
    <s v="PROD-029"/>
    <x v="27"/>
    <n v="3"/>
    <n v="2210"/>
    <n v="11.1"/>
    <n v="5894.07"/>
    <s v="Completed"/>
    <s v="Hyderabad"/>
  </r>
  <r>
    <s v="ORD-00511"/>
    <d v="2024-04-24T00:00:00"/>
    <s v="CUST-0174"/>
    <s v="PROD-019"/>
    <x v="1"/>
    <n v="10"/>
    <n v="2480"/>
    <n v="13"/>
    <n v="21576"/>
    <s v="Pending"/>
    <s v="Pune"/>
  </r>
  <r>
    <s v="ORD-00512"/>
    <d v="2024-12-03T00:00:00"/>
    <s v="CUST-0071"/>
    <s v="PROD-001"/>
    <x v="12"/>
    <n v="10"/>
    <n v="5330"/>
    <n v="0.7"/>
    <n v="52926.9"/>
    <s v="Completed"/>
    <s v="Delhi"/>
  </r>
  <r>
    <s v="ORD-00513"/>
    <d v="2024-11-16T00:00:00"/>
    <s v="CUST-0266"/>
    <s v="PROD-026"/>
    <x v="27"/>
    <n v="9"/>
    <n v="4070"/>
    <n v="15.6"/>
    <n v="30915.72"/>
    <s v="Completed"/>
    <s v="Pune"/>
  </r>
  <r>
    <s v="ORD-00514"/>
    <d v="2024-11-17T00:00:00"/>
    <s v="CUST-0148"/>
    <s v="PROD-015"/>
    <x v="19"/>
    <n v="5"/>
    <n v="2720"/>
    <n v="10.3"/>
    <n v="12199.2"/>
    <s v="Cancelled"/>
    <s v="Chennai"/>
  </r>
  <r>
    <s v="ORD-00515"/>
    <d v="2024-07-11T00:00:00"/>
    <s v="CUST-0030"/>
    <s v="PROD-055"/>
    <x v="20"/>
    <n v="6"/>
    <n v="2860"/>
    <n v="28.9"/>
    <n v="12200.76"/>
    <s v="Completed"/>
    <s v="Bengaluru"/>
  </r>
  <r>
    <s v="ORD-00516"/>
    <d v="2024-12-30T00:00:00"/>
    <s v="CUST-0128"/>
    <s v="PROD-014"/>
    <x v="27"/>
    <n v="5"/>
    <n v="3620"/>
    <n v="18.2"/>
    <n v="14805.8"/>
    <s v="Completed"/>
    <s v="Hyderabad"/>
  </r>
  <r>
    <s v="ORD-00517"/>
    <d v="2024-05-20T00:00:00"/>
    <s v="CUST-0056"/>
    <s v="PROD-044"/>
    <x v="26"/>
    <n v="3"/>
    <n v="1650"/>
    <n v="10.7"/>
    <n v="4420.3500000000004"/>
    <s v="Completed"/>
    <s v="Bengaluru"/>
  </r>
  <r>
    <s v="ORD-00518"/>
    <d v="2024-07-22T00:00:00"/>
    <s v="CUST-0178"/>
    <s v="PROD-060"/>
    <x v="20"/>
    <n v="8"/>
    <n v="190"/>
    <n v="18"/>
    <n v="1246.4000000000001"/>
    <s v="Pending"/>
    <s v="Hyderabad"/>
  </r>
  <r>
    <s v="ORD-00519"/>
    <d v="2024-05-31T00:00:00"/>
    <s v="CUST-0237"/>
    <s v="PROD-042"/>
    <x v="20"/>
    <n v="7"/>
    <n v="2290"/>
    <n v="12.5"/>
    <n v="14026.25"/>
    <s v="Completed"/>
    <s v="Mumbai"/>
  </r>
  <r>
    <s v="ORD-00520"/>
    <d v="2024-12-12T00:00:00"/>
    <s v="CUST-0143"/>
    <s v="PROD-001"/>
    <x v="21"/>
    <n v="2"/>
    <n v="5330"/>
    <n v="26.5"/>
    <n v="7835.1"/>
    <s v="Completed"/>
    <s v="Chennai"/>
  </r>
  <r>
    <s v="ORD-00521"/>
    <d v="2024-07-03T00:00:00"/>
    <s v="CUST-0233"/>
    <s v="PROD-001"/>
    <x v="15"/>
    <n v="4"/>
    <n v="5330"/>
    <n v="25.6"/>
    <n v="15862.08"/>
    <s v="Completed"/>
    <s v="Mumbai"/>
  </r>
  <r>
    <s v="ORD-00522"/>
    <d v="2024-10-01T00:00:00"/>
    <s v="CUST-0161"/>
    <s v="PROD-034"/>
    <x v="3"/>
    <n v="4"/>
    <n v="5080"/>
    <n v="28.6"/>
    <n v="14508.48"/>
    <s v="Completed"/>
    <s v="Chennai"/>
  </r>
  <r>
    <s v="ORD-00523"/>
    <d v="2024-04-10T00:00:00"/>
    <s v="CUST-0087"/>
    <s v="PROD-032"/>
    <x v="25"/>
    <n v="4"/>
    <n v="370"/>
    <n v="12.6"/>
    <n v="1293.52"/>
    <s v="Pending"/>
    <s v="Pune"/>
  </r>
  <r>
    <s v="ORD-00524"/>
    <d v="2024-09-26T00:00:00"/>
    <s v="CUST-0235"/>
    <s v="PROD-053"/>
    <x v="22"/>
    <n v="9"/>
    <n v="470"/>
    <n v="3.6"/>
    <n v="4077.72"/>
    <s v="Completed"/>
    <s v="Chennai"/>
  </r>
  <r>
    <s v="ORD-00525"/>
    <d v="2024-12-08T00:00:00"/>
    <s v="CUST-0183"/>
    <s v="PROD-052"/>
    <x v="28"/>
    <n v="4"/>
    <n v="5410"/>
    <n v="11.3"/>
    <n v="19194.68"/>
    <s v="Refunded"/>
    <s v="Mumbai"/>
  </r>
  <r>
    <s v="ORD-00526"/>
    <d v="2024-01-20T00:00:00"/>
    <s v="CUST-0199"/>
    <s v="PROD-014"/>
    <x v="0"/>
    <n v="10"/>
    <n v="3620"/>
    <n v="2.5"/>
    <n v="35295"/>
    <s v="Completed"/>
    <s v="Hyderabad"/>
  </r>
  <r>
    <s v="ORD-00527"/>
    <d v="2024-03-29T00:00:00"/>
    <s v="CUST-0034"/>
    <s v="PROD-021"/>
    <x v="14"/>
    <n v="1"/>
    <n v="2760"/>
    <n v="22.2"/>
    <n v="2147.2800000000002"/>
    <s v="Completed"/>
    <s v="Delhi"/>
  </r>
  <r>
    <s v="ORD-00528"/>
    <d v="2024-09-14T00:00:00"/>
    <s v="CUST-0206"/>
    <s v="PROD-047"/>
    <x v="19"/>
    <n v="7"/>
    <n v="3450"/>
    <n v="8.6"/>
    <n v="22073.1"/>
    <s v="Completed"/>
    <s v="Mumbai"/>
  </r>
  <r>
    <s v="ORD-00529"/>
    <d v="2024-05-06T00:00:00"/>
    <s v="CUST-0246"/>
    <s v="PROD-028"/>
    <x v="8"/>
    <n v="6"/>
    <n v="3660"/>
    <n v="10.6"/>
    <n v="19632.240000000002"/>
    <s v="Completed"/>
    <s v="Delhi"/>
  </r>
  <r>
    <s v="ORD-00530"/>
    <d v="2024-08-28T00:00:00"/>
    <s v="CUST-0075"/>
    <s v="PROD-003"/>
    <x v="8"/>
    <n v="10"/>
    <n v="3570"/>
    <n v="1.2"/>
    <n v="35271.599999999999"/>
    <s v="Completed"/>
    <s v="Mumbai"/>
  </r>
  <r>
    <s v="ORD-00531"/>
    <d v="2024-09-07T00:00:00"/>
    <s v="CUST-0298"/>
    <s v="PROD-035"/>
    <x v="18"/>
    <n v="8"/>
    <n v="1090"/>
    <n v="13.2"/>
    <n v="7568.96"/>
    <s v="Refunded"/>
    <s v="Delhi"/>
  </r>
  <r>
    <s v="ORD-00532"/>
    <d v="2024-01-29T00:00:00"/>
    <s v="CUST-0165"/>
    <s v="PROD-014"/>
    <x v="26"/>
    <n v="8"/>
    <n v="3620"/>
    <n v="29"/>
    <n v="20561.599999999999"/>
    <s v="Completed"/>
    <s v="Pune"/>
  </r>
  <r>
    <s v="ORD-00533"/>
    <d v="2024-09-13T00:00:00"/>
    <s v="CUST-0033"/>
    <s v="PROD-046"/>
    <x v="9"/>
    <n v="7"/>
    <n v="4880"/>
    <n v="25.6"/>
    <n v="25415.040000000001"/>
    <s v="Refunded"/>
    <s v="Delhi"/>
  </r>
  <r>
    <s v="ORD-00534"/>
    <d v="2024-05-22T00:00:00"/>
    <s v="CUST-0205"/>
    <s v="PROD-053"/>
    <x v="8"/>
    <n v="2"/>
    <n v="470"/>
    <n v="9.6999999999999993"/>
    <n v="848.82"/>
    <s v="Completed"/>
    <s v="Pune"/>
  </r>
  <r>
    <s v="ORD-00535"/>
    <d v="2024-09-04T00:00:00"/>
    <s v="CUST-0037"/>
    <s v="PROD-042"/>
    <x v="24"/>
    <n v="6"/>
    <n v="2290"/>
    <n v="8.9"/>
    <n v="12517.14"/>
    <s v="Completed"/>
    <s v="Bengaluru"/>
  </r>
  <r>
    <s v="ORD-00536"/>
    <d v="2024-06-25T00:00:00"/>
    <s v="CUST-0228"/>
    <s v="PROD-023"/>
    <x v="9"/>
    <n v="3"/>
    <n v="2380"/>
    <n v="2.7"/>
    <n v="6947.22"/>
    <s v="Pending"/>
    <s v="Pune"/>
  </r>
  <r>
    <s v="ORD-00537"/>
    <d v="2024-07-12T00:00:00"/>
    <s v="CUST-0279"/>
    <s v="PROD-023"/>
    <x v="4"/>
    <n v="9"/>
    <n v="2380"/>
    <n v="20.100000000000001"/>
    <n v="17114.580000000002"/>
    <s v="Completed"/>
    <s v="Mumbai"/>
  </r>
  <r>
    <s v="ORD-00538"/>
    <d v="2024-01-12T00:00:00"/>
    <s v="CUST-0271"/>
    <s v="PROD-052"/>
    <x v="2"/>
    <n v="8"/>
    <n v="5410"/>
    <n v="11.2"/>
    <n v="38432.639999999999"/>
    <s v="Completed"/>
    <s v="Bengaluru"/>
  </r>
  <r>
    <s v="ORD-00539"/>
    <d v="2024-11-09T00:00:00"/>
    <s v="CUST-0127"/>
    <s v="PROD-007"/>
    <x v="4"/>
    <n v="1"/>
    <n v="1430"/>
    <n v="19.600000000000001"/>
    <n v="1149.72"/>
    <s v="Completed"/>
    <s v="Bengaluru"/>
  </r>
  <r>
    <s v="ORD-00540"/>
    <d v="2024-05-09T00:00:00"/>
    <s v="CUST-0007"/>
    <s v="PROD-058"/>
    <x v="28"/>
    <n v="9"/>
    <n v="2400"/>
    <n v="5"/>
    <n v="20520"/>
    <s v="Completed"/>
    <s v="Bengaluru"/>
  </r>
  <r>
    <s v="ORD-00541"/>
    <d v="2024-07-20T00:00:00"/>
    <s v="CUST-0005"/>
    <s v="PROD-027"/>
    <x v="19"/>
    <n v="1"/>
    <n v="3780"/>
    <n v="4.7"/>
    <n v="3602.34"/>
    <s v="Completed"/>
    <s v="Chennai"/>
  </r>
  <r>
    <s v="ORD-00542"/>
    <d v="2024-10-27T00:00:00"/>
    <s v="CUST-0072"/>
    <s v="PROD-016"/>
    <x v="7"/>
    <n v="2"/>
    <n v="620"/>
    <n v="8"/>
    <n v="1140.8"/>
    <s v="Completed"/>
    <s v="Mumbai"/>
  </r>
  <r>
    <s v="ORD-00543"/>
    <d v="2024-03-28T00:00:00"/>
    <s v="CUST-0167"/>
    <s v="PROD-060"/>
    <x v="0"/>
    <n v="3"/>
    <n v="190"/>
    <n v="17.899999999999999"/>
    <n v="467.97"/>
    <s v="Pending"/>
    <s v="Delhi"/>
  </r>
  <r>
    <s v="ORD-00544"/>
    <d v="2024-02-10T00:00:00"/>
    <s v="CUST-0244"/>
    <s v="PROD-014"/>
    <x v="7"/>
    <n v="2"/>
    <n v="3620"/>
    <n v="15.5"/>
    <n v="6117.8"/>
    <s v="Completed"/>
    <s v="Bengaluru"/>
  </r>
  <r>
    <s v="ORD-00545"/>
    <d v="2024-11-14T00:00:00"/>
    <s v="CUST-0086"/>
    <s v="PROD-055"/>
    <x v="26"/>
    <n v="5"/>
    <n v="2860"/>
    <n v="26.8"/>
    <n v="10467.6"/>
    <s v="Completed"/>
    <s v="Hyderabad"/>
  </r>
  <r>
    <s v="ORD-00546"/>
    <d v="2024-12-12T00:00:00"/>
    <s v="CUST-0091"/>
    <s v="PROD-058"/>
    <x v="12"/>
    <n v="6"/>
    <n v="2400"/>
    <n v="19.2"/>
    <n v="11635.2"/>
    <s v="Cancelled"/>
    <s v="Delhi"/>
  </r>
  <r>
    <s v="ORD-00547"/>
    <d v="2024-09-11T00:00:00"/>
    <s v="CUST-0169"/>
    <s v="PROD-034"/>
    <x v="18"/>
    <n v="7"/>
    <n v="5080"/>
    <n v="16.600000000000001"/>
    <n v="29657.040000000001"/>
    <s v="Pending"/>
    <s v="Bengaluru"/>
  </r>
  <r>
    <s v="ORD-00548"/>
    <d v="2024-05-24T00:00:00"/>
    <s v="CUST-0273"/>
    <s v="PROD-034"/>
    <x v="15"/>
    <n v="10"/>
    <n v="5080"/>
    <n v="24.6"/>
    <n v="38303.199999999997"/>
    <s v="Completed"/>
    <s v="Hyderabad"/>
  </r>
  <r>
    <s v="ORD-00549"/>
    <d v="2024-08-28T00:00:00"/>
    <s v="CUST-0233"/>
    <s v="PROD-057"/>
    <x v="4"/>
    <n v="7"/>
    <n v="960"/>
    <n v="16.600000000000001"/>
    <n v="5604.48"/>
    <s v="Completed"/>
    <s v="Mumbai"/>
  </r>
  <r>
    <s v="ORD-00550"/>
    <d v="2024-10-03T00:00:00"/>
    <s v="CUST-0175"/>
    <s v="PROD-028"/>
    <x v="8"/>
    <n v="3"/>
    <n v="3660"/>
    <n v="3.2"/>
    <n v="10628.64"/>
    <s v="Pending"/>
    <s v="Delhi"/>
  </r>
  <r>
    <s v="ORD-00551"/>
    <d v="2024-10-07T00:00:00"/>
    <s v="CUST-0241"/>
    <s v="PROD-010"/>
    <x v="18"/>
    <n v="6"/>
    <n v="2640"/>
    <n v="26.3"/>
    <n v="11674.08"/>
    <s v="Completed"/>
    <s v="Pune"/>
  </r>
  <r>
    <s v="ORD-00552"/>
    <d v="2024-09-27T00:00:00"/>
    <s v="CUST-0024"/>
    <s v="PROD-009"/>
    <x v="18"/>
    <n v="6"/>
    <n v="1220"/>
    <n v="22.3"/>
    <n v="5687.64"/>
    <s v="Cancelled"/>
    <s v="Chennai"/>
  </r>
  <r>
    <s v="ORD-00553"/>
    <d v="2024-02-23T00:00:00"/>
    <s v="CUST-0252"/>
    <s v="PROD-005"/>
    <x v="22"/>
    <n v="1"/>
    <n v="300"/>
    <n v="0.7"/>
    <n v="297.89999999999998"/>
    <s v="Completed"/>
    <s v="Bengaluru"/>
  </r>
  <r>
    <s v="ORD-00554"/>
    <d v="2024-03-19T00:00:00"/>
    <s v="CUST-0245"/>
    <s v="PROD-054"/>
    <x v="16"/>
    <n v="2"/>
    <n v="1010"/>
    <n v="28"/>
    <n v="1454.4"/>
    <s v="Completed"/>
    <s v="Hyderabad"/>
  </r>
  <r>
    <s v="ORD-00555"/>
    <d v="2024-04-25T00:00:00"/>
    <s v="CUST-0046"/>
    <s v="PROD-002"/>
    <x v="23"/>
    <n v="5"/>
    <n v="2600"/>
    <n v="0.8"/>
    <n v="12896"/>
    <s v="Cancelled"/>
    <s v="Delhi"/>
  </r>
  <r>
    <s v="ORD-00556"/>
    <d v="2024-02-15T00:00:00"/>
    <s v="CUST-0050"/>
    <s v="PROD-056"/>
    <x v="17"/>
    <n v="3"/>
    <n v="6940"/>
    <n v="10.7"/>
    <n v="18592.259999999998"/>
    <s v="Cancelled"/>
    <s v="Mumbai"/>
  </r>
  <r>
    <s v="ORD-00557"/>
    <d v="2024-10-06T00:00:00"/>
    <s v="CUST-0227"/>
    <s v="PROD-032"/>
    <x v="23"/>
    <n v="1"/>
    <n v="370"/>
    <n v="10.3"/>
    <n v="331.89"/>
    <s v="Refunded"/>
    <s v="Bengaluru"/>
  </r>
  <r>
    <s v="ORD-00558"/>
    <d v="2024-03-06T00:00:00"/>
    <s v="CUST-0218"/>
    <s v="PROD-027"/>
    <x v="20"/>
    <n v="2"/>
    <n v="3780"/>
    <n v="29.4"/>
    <n v="5337.36"/>
    <s v="Completed"/>
    <s v="Mumbai"/>
  </r>
  <r>
    <s v="ORD-00559"/>
    <d v="2024-05-20T00:00:00"/>
    <s v="CUST-0087"/>
    <s v="PROD-030"/>
    <x v="24"/>
    <n v="5"/>
    <n v="970"/>
    <n v="14.6"/>
    <n v="4141.8999999999996"/>
    <s v="Completed"/>
    <s v="Pune"/>
  </r>
  <r>
    <s v="ORD-00560"/>
    <d v="2024-11-08T00:00:00"/>
    <s v="CUST-0209"/>
    <s v="PROD-022"/>
    <x v="25"/>
    <n v="3"/>
    <n v="2270"/>
    <n v="6.5"/>
    <n v="6367.35"/>
    <s v="Completed"/>
    <s v="Pune"/>
  </r>
  <r>
    <s v="ORD-00561"/>
    <d v="2024-06-24T00:00:00"/>
    <s v="CUST-0212"/>
    <s v="PROD-041"/>
    <x v="20"/>
    <n v="10"/>
    <n v="1540"/>
    <n v="16.5"/>
    <n v="12859"/>
    <s v="Completed"/>
    <s v="Chennai"/>
  </r>
  <r>
    <s v="ORD-00562"/>
    <d v="2024-12-23T00:00:00"/>
    <s v="CUST-0180"/>
    <s v="PROD-021"/>
    <x v="21"/>
    <n v="4"/>
    <n v="2760"/>
    <n v="19.8"/>
    <n v="8854.08"/>
    <s v="Completed"/>
    <s v="Chennai"/>
  </r>
  <r>
    <s v="ORD-00563"/>
    <d v="2024-02-10T00:00:00"/>
    <s v="CUST-0025"/>
    <s v="PROD-024"/>
    <x v="14"/>
    <n v="3"/>
    <n v="2270"/>
    <n v="29.5"/>
    <n v="4801.05"/>
    <s v="Refunded"/>
    <s v="Bengaluru"/>
  </r>
  <r>
    <s v="ORD-00564"/>
    <d v="2024-05-06T00:00:00"/>
    <s v="CUST-0271"/>
    <s v="PROD-045"/>
    <x v="15"/>
    <n v="8"/>
    <n v="3020"/>
    <n v="1.2"/>
    <n v="23870.080000000002"/>
    <s v="Completed"/>
    <s v="Bengaluru"/>
  </r>
  <r>
    <s v="ORD-00565"/>
    <d v="2024-07-17T00:00:00"/>
    <s v="CUST-0026"/>
    <s v="PROD-023"/>
    <x v="26"/>
    <n v="6"/>
    <n v="2380"/>
    <n v="20.399999999999999"/>
    <n v="11366.88"/>
    <s v="Completed"/>
    <s v="Pune"/>
  </r>
  <r>
    <s v="ORD-00566"/>
    <d v="2024-06-27T00:00:00"/>
    <s v="CUST-0058"/>
    <s v="PROD-056"/>
    <x v="8"/>
    <n v="1"/>
    <n v="6940"/>
    <n v="15"/>
    <n v="5899"/>
    <s v="Cancelled"/>
    <s v="Bengaluru"/>
  </r>
  <r>
    <s v="ORD-00567"/>
    <d v="2024-12-28T00:00:00"/>
    <s v="CUST-0033"/>
    <s v="PROD-008"/>
    <x v="9"/>
    <n v="1"/>
    <n v="2660"/>
    <n v="11.6"/>
    <n v="2351.44"/>
    <s v="Completed"/>
    <s v="Delhi"/>
  </r>
  <r>
    <s v="ORD-00568"/>
    <d v="2024-09-13T00:00:00"/>
    <s v="CUST-0057"/>
    <s v="PROD-030"/>
    <x v="22"/>
    <n v="4"/>
    <n v="970"/>
    <n v="11.6"/>
    <n v="3429.92"/>
    <s v="Completed"/>
    <s v="Pune"/>
  </r>
  <r>
    <s v="ORD-00569"/>
    <d v="2024-12-06T00:00:00"/>
    <s v="CUST-0231"/>
    <s v="PROD-022"/>
    <x v="25"/>
    <n v="7"/>
    <n v="2270"/>
    <n v="27.9"/>
    <n v="11456.69"/>
    <s v="Completed"/>
    <s v="Chennai"/>
  </r>
  <r>
    <s v="ORD-00570"/>
    <d v="2024-01-13T00:00:00"/>
    <s v="CUST-0031"/>
    <s v="PROD-054"/>
    <x v="29"/>
    <n v="8"/>
    <n v="1010"/>
    <n v="13.7"/>
    <n v="6973.04"/>
    <s v="Cancelled"/>
    <s v="Hyderabad"/>
  </r>
  <r>
    <s v="ORD-00571"/>
    <d v="2024-02-08T00:00:00"/>
    <s v="CUST-0228"/>
    <s v="PROD-023"/>
    <x v="19"/>
    <n v="8"/>
    <n v="2380"/>
    <n v="15.3"/>
    <n v="16126.88"/>
    <s v="Cancelled"/>
    <s v="Pune"/>
  </r>
  <r>
    <s v="ORD-00572"/>
    <d v="2024-12-07T00:00:00"/>
    <s v="CUST-0127"/>
    <s v="PROD-053"/>
    <x v="26"/>
    <n v="10"/>
    <n v="470"/>
    <n v="2.1"/>
    <n v="4601.3"/>
    <s v="Completed"/>
    <s v="Bengaluru"/>
  </r>
  <r>
    <s v="ORD-00573"/>
    <d v="2024-07-07T00:00:00"/>
    <s v="CUST-0117"/>
    <s v="PROD-048"/>
    <x v="5"/>
    <n v="5"/>
    <n v="5100"/>
    <n v="9.6999999999999993"/>
    <n v="23026.5"/>
    <s v="Completed"/>
    <s v="Delhi"/>
  </r>
  <r>
    <s v="ORD-00574"/>
    <d v="2024-04-20T00:00:00"/>
    <s v="CUST-0159"/>
    <s v="PROD-049"/>
    <x v="17"/>
    <n v="9"/>
    <n v="960"/>
    <n v="17.7"/>
    <n v="7110.72"/>
    <s v="Completed"/>
    <s v="Hyderabad"/>
  </r>
  <r>
    <s v="ORD-00575"/>
    <d v="2024-07-05T00:00:00"/>
    <s v="CUST-0064"/>
    <s v="PROD-026"/>
    <x v="0"/>
    <n v="2"/>
    <n v="4070"/>
    <n v="2.1"/>
    <n v="7969.06"/>
    <s v="Completed"/>
    <s v="Hyderabad"/>
  </r>
  <r>
    <s v="ORD-00576"/>
    <d v="2024-03-07T00:00:00"/>
    <s v="CUST-0272"/>
    <s v="PROD-031"/>
    <x v="13"/>
    <n v="5"/>
    <n v="3730"/>
    <n v="16.5"/>
    <n v="15572.75"/>
    <s v="Completed"/>
    <s v="Mumbai"/>
  </r>
  <r>
    <s v="ORD-00577"/>
    <d v="2024-10-24T00:00:00"/>
    <s v="CUST-0071"/>
    <s v="PROD-055"/>
    <x v="24"/>
    <n v="1"/>
    <n v="2860"/>
    <n v="10.4"/>
    <n v="2562.56"/>
    <s v="Cancelled"/>
    <s v="Delhi"/>
  </r>
  <r>
    <s v="ORD-00578"/>
    <d v="2024-08-03T00:00:00"/>
    <s v="CUST-0045"/>
    <s v="PROD-046"/>
    <x v="26"/>
    <n v="4"/>
    <n v="4880"/>
    <n v="27.5"/>
    <n v="14152"/>
    <s v="Pending"/>
    <s v="Chennai"/>
  </r>
  <r>
    <s v="ORD-00579"/>
    <d v="2024-06-27T00:00:00"/>
    <s v="CUST-0148"/>
    <s v="PROD-022"/>
    <x v="24"/>
    <n v="3"/>
    <n v="2270"/>
    <n v="6.7"/>
    <n v="6353.73"/>
    <s v="Completed"/>
    <s v="Chennai"/>
  </r>
  <r>
    <s v="ORD-00580"/>
    <d v="2024-10-24T00:00:00"/>
    <s v="CUST-0097"/>
    <s v="PROD-025"/>
    <x v="0"/>
    <n v="10"/>
    <n v="4060"/>
    <n v="3.6"/>
    <n v="39138.400000000001"/>
    <s v="Pending"/>
    <s v="Mumbai"/>
  </r>
  <r>
    <s v="ORD-00581"/>
    <d v="2024-05-21T00:00:00"/>
    <s v="CUST-0151"/>
    <s v="PROD-010"/>
    <x v="10"/>
    <n v="8"/>
    <n v="2640"/>
    <n v="28.8"/>
    <n v="15037.44"/>
    <s v="Completed"/>
    <s v="Mumbai"/>
  </r>
  <r>
    <s v="ORD-00582"/>
    <d v="2024-07-04T00:00:00"/>
    <s v="CUST-0048"/>
    <s v="PROD-031"/>
    <x v="27"/>
    <n v="6"/>
    <n v="3730"/>
    <n v="21.9"/>
    <n v="17478.78"/>
    <s v="Completed"/>
    <s v="Delhi"/>
  </r>
  <r>
    <s v="ORD-00583"/>
    <d v="2024-05-31T00:00:00"/>
    <s v="CUST-0048"/>
    <s v="PROD-001"/>
    <x v="3"/>
    <n v="9"/>
    <n v="5330"/>
    <n v="29.4"/>
    <n v="33866.82"/>
    <s v="Cancelled"/>
    <s v="Delhi"/>
  </r>
  <r>
    <s v="ORD-00584"/>
    <d v="2024-01-31T00:00:00"/>
    <s v="CUST-0156"/>
    <s v="PROD-011"/>
    <x v="28"/>
    <n v="1"/>
    <n v="3450"/>
    <n v="23.3"/>
    <n v="2646.15"/>
    <s v="Completed"/>
    <s v="Mumbai"/>
  </r>
  <r>
    <s v="ORD-00585"/>
    <d v="2024-09-09T00:00:00"/>
    <s v="CUST-0022"/>
    <s v="PROD-050"/>
    <x v="21"/>
    <n v="3"/>
    <n v="6080"/>
    <n v="14.5"/>
    <n v="15595.2"/>
    <s v="Completed"/>
    <s v="Bengaluru"/>
  </r>
  <r>
    <s v="ORD-00586"/>
    <d v="2024-11-13T00:00:00"/>
    <s v="CUST-0193"/>
    <s v="PROD-031"/>
    <x v="25"/>
    <n v="4"/>
    <n v="3730"/>
    <n v="3.4"/>
    <n v="14412.72"/>
    <s v="Cancelled"/>
    <s v="Bengaluru"/>
  </r>
  <r>
    <s v="ORD-00587"/>
    <d v="2024-07-18T00:00:00"/>
    <s v="CUST-0189"/>
    <s v="PROD-008"/>
    <x v="24"/>
    <n v="10"/>
    <n v="2660"/>
    <n v="2.1"/>
    <n v="26041.4"/>
    <s v="Completed"/>
    <s v="Chennai"/>
  </r>
  <r>
    <s v="ORD-00588"/>
    <d v="2024-03-22T00:00:00"/>
    <s v="CUST-0101"/>
    <s v="PROD-029"/>
    <x v="13"/>
    <n v="7"/>
    <n v="2210"/>
    <n v="17.100000000000001"/>
    <n v="12824.63"/>
    <s v="Completed"/>
    <s v="Hyderabad"/>
  </r>
  <r>
    <s v="ORD-00589"/>
    <d v="2024-11-11T00:00:00"/>
    <s v="CUST-0006"/>
    <s v="PROD-059"/>
    <x v="22"/>
    <n v="6"/>
    <n v="3780"/>
    <n v="12.7"/>
    <n v="19799.64"/>
    <s v="Completed"/>
    <s v="Pune"/>
  </r>
  <r>
    <s v="ORD-00590"/>
    <d v="2024-04-30T00:00:00"/>
    <s v="CUST-0235"/>
    <s v="PROD-038"/>
    <x v="20"/>
    <n v="4"/>
    <n v="5490"/>
    <n v="26.9"/>
    <n v="16052.76"/>
    <s v="Completed"/>
    <s v="Chennai"/>
  </r>
  <r>
    <s v="ORD-00591"/>
    <d v="2024-02-29T00:00:00"/>
    <s v="CUST-0045"/>
    <s v="PROD-008"/>
    <x v="22"/>
    <n v="9"/>
    <n v="2660"/>
    <n v="21.9"/>
    <n v="18697.14"/>
    <s v="Completed"/>
    <s v="Chennai"/>
  </r>
  <r>
    <s v="ORD-00592"/>
    <d v="2024-10-07T00:00:00"/>
    <s v="CUST-0028"/>
    <s v="PROD-056"/>
    <x v="8"/>
    <n v="9"/>
    <n v="6940"/>
    <n v="8"/>
    <n v="57463.199999999997"/>
    <s v="Completed"/>
    <s v="Bengaluru"/>
  </r>
  <r>
    <s v="ORD-00593"/>
    <d v="2024-04-20T00:00:00"/>
    <s v="CUST-0241"/>
    <s v="PROD-004"/>
    <x v="3"/>
    <n v="1"/>
    <n v="3870"/>
    <n v="22.6"/>
    <n v="2995.38"/>
    <s v="Completed"/>
    <s v="Pune"/>
  </r>
  <r>
    <s v="ORD-00594"/>
    <d v="2024-07-30T00:00:00"/>
    <s v="CUST-0278"/>
    <s v="PROD-035"/>
    <x v="4"/>
    <n v="3"/>
    <n v="1090"/>
    <n v="28.1"/>
    <n v="2351.13"/>
    <s v="Completed"/>
    <s v="Hyderabad"/>
  </r>
  <r>
    <s v="ORD-00595"/>
    <d v="2024-08-20T00:00:00"/>
    <s v="CUST-0009"/>
    <s v="PROD-002"/>
    <x v="19"/>
    <n v="2"/>
    <n v="2600"/>
    <n v="5.6"/>
    <n v="4908.8"/>
    <s v="Completed"/>
    <s v="Mumbai"/>
  </r>
  <r>
    <s v="ORD-00596"/>
    <d v="2024-05-13T00:00:00"/>
    <s v="CUST-0217"/>
    <s v="PROD-057"/>
    <x v="16"/>
    <n v="4"/>
    <n v="960"/>
    <n v="21.7"/>
    <n v="3006.72"/>
    <s v="Completed"/>
    <s v="Pune"/>
  </r>
  <r>
    <s v="ORD-00597"/>
    <d v="2024-08-29T00:00:00"/>
    <s v="CUST-0289"/>
    <s v="PROD-032"/>
    <x v="17"/>
    <n v="6"/>
    <n v="370"/>
    <n v="22.5"/>
    <n v="1720.5"/>
    <s v="Completed"/>
    <s v="Mumbai"/>
  </r>
  <r>
    <s v="ORD-00598"/>
    <d v="2024-12-23T00:00:00"/>
    <s v="CUST-0176"/>
    <s v="PROD-034"/>
    <x v="3"/>
    <n v="5"/>
    <n v="5080"/>
    <n v="23.8"/>
    <n v="19354.8"/>
    <s v="Completed"/>
    <s v="Bengaluru"/>
  </r>
  <r>
    <s v="ORD-00599"/>
    <d v="2024-03-24T00:00:00"/>
    <s v="CUST-0026"/>
    <s v="PROD-041"/>
    <x v="11"/>
    <n v="5"/>
    <n v="1540"/>
    <n v="6.1"/>
    <n v="7230.3"/>
    <s v="Completed"/>
    <s v="Pune"/>
  </r>
  <r>
    <s v="ORD-00600"/>
    <d v="2024-02-20T00:00:00"/>
    <s v="CUST-0213"/>
    <s v="PROD-024"/>
    <x v="15"/>
    <n v="7"/>
    <n v="2270"/>
    <n v="0.4"/>
    <n v="15826.44"/>
    <s v="Completed"/>
    <s v="Mumbai"/>
  </r>
  <r>
    <s v="ORD-00601"/>
    <d v="2024-05-29T00:00:00"/>
    <s v="CUST-0190"/>
    <s v="PROD-057"/>
    <x v="15"/>
    <n v="2"/>
    <n v="960"/>
    <n v="3.7"/>
    <n v="1848.96"/>
    <s v="Completed"/>
    <s v="Hyderabad"/>
  </r>
  <r>
    <s v="ORD-00602"/>
    <d v="2024-04-28T00:00:00"/>
    <s v="CUST-0150"/>
    <s v="PROD-007"/>
    <x v="28"/>
    <n v="6"/>
    <n v="1430"/>
    <n v="2"/>
    <n v="8408.4"/>
    <s v="Pending"/>
    <s v="Pune"/>
  </r>
  <r>
    <s v="ORD-00603"/>
    <d v="2024-10-23T00:00:00"/>
    <s v="CUST-0129"/>
    <s v="PROD-047"/>
    <x v="3"/>
    <n v="10"/>
    <n v="3450"/>
    <n v="19.100000000000001"/>
    <n v="27910.5"/>
    <s v="Completed"/>
    <s v="Hyderabad"/>
  </r>
  <r>
    <s v="ORD-00604"/>
    <d v="2024-04-30T00:00:00"/>
    <s v="CUST-0080"/>
    <s v="PROD-009"/>
    <x v="17"/>
    <n v="8"/>
    <n v="1220"/>
    <n v="16.899999999999999"/>
    <n v="8110.56"/>
    <s v="Completed"/>
    <s v="Pune"/>
  </r>
  <r>
    <s v="ORD-00605"/>
    <d v="2024-05-27T00:00:00"/>
    <s v="CUST-0034"/>
    <s v="PROD-021"/>
    <x v="16"/>
    <n v="9"/>
    <n v="2760"/>
    <n v="16.899999999999999"/>
    <n v="20642.04"/>
    <s v="Completed"/>
    <s v="Delhi"/>
  </r>
  <r>
    <s v="ORD-00606"/>
    <d v="2024-10-28T00:00:00"/>
    <s v="CUST-0179"/>
    <s v="PROD-043"/>
    <x v="21"/>
    <n v="6"/>
    <n v="3350"/>
    <n v="11.8"/>
    <n v="17728.2"/>
    <s v="Pending"/>
    <s v="Mumbai"/>
  </r>
  <r>
    <s v="ORD-00607"/>
    <d v="2024-10-05T00:00:00"/>
    <s v="CUST-0176"/>
    <s v="PROD-048"/>
    <x v="22"/>
    <n v="6"/>
    <n v="5100"/>
    <n v="13.2"/>
    <n v="26560.799999999999"/>
    <s v="Completed"/>
    <s v="Bengaluru"/>
  </r>
  <r>
    <s v="ORD-00608"/>
    <d v="2024-07-01T00:00:00"/>
    <s v="CUST-0144"/>
    <s v="PROD-010"/>
    <x v="28"/>
    <n v="6"/>
    <n v="2640"/>
    <n v="26.2"/>
    <n v="11689.92"/>
    <s v="Completed"/>
    <s v="Chennai"/>
  </r>
  <r>
    <s v="ORD-00609"/>
    <d v="2024-08-20T00:00:00"/>
    <s v="CUST-0218"/>
    <s v="PROD-028"/>
    <x v="29"/>
    <n v="1"/>
    <n v="3660"/>
    <n v="19.7"/>
    <n v="2938.98"/>
    <s v="Completed"/>
    <s v="Mumbai"/>
  </r>
  <r>
    <s v="ORD-00610"/>
    <d v="2024-06-25T00:00:00"/>
    <s v="CUST-0249"/>
    <s v="PROD-032"/>
    <x v="28"/>
    <n v="5"/>
    <n v="370"/>
    <n v="21.7"/>
    <n v="1448.55"/>
    <s v="Completed"/>
    <s v="Mumbai"/>
  </r>
  <r>
    <s v="ORD-00611"/>
    <d v="2024-02-14T00:00:00"/>
    <s v="CUST-0092"/>
    <s v="PROD-016"/>
    <x v="5"/>
    <n v="5"/>
    <n v="620"/>
    <n v="10.199999999999999"/>
    <n v="2783.8"/>
    <s v="Completed"/>
    <s v="Bengaluru"/>
  </r>
  <r>
    <s v="ORD-00612"/>
    <d v="2024-04-10T00:00:00"/>
    <s v="CUST-0245"/>
    <s v="PROD-053"/>
    <x v="26"/>
    <n v="8"/>
    <n v="470"/>
    <n v="2.4"/>
    <n v="3669.76"/>
    <s v="Completed"/>
    <s v="Hyderabad"/>
  </r>
  <r>
    <s v="ORD-00613"/>
    <d v="2024-11-14T00:00:00"/>
    <s v="CUST-0134"/>
    <s v="PROD-042"/>
    <x v="1"/>
    <n v="3"/>
    <n v="2290"/>
    <n v="20.8"/>
    <n v="5441.04"/>
    <s v="Completed"/>
    <s v="Delhi"/>
  </r>
  <r>
    <s v="ORD-00614"/>
    <d v="2024-01-06T00:00:00"/>
    <s v="CUST-0063"/>
    <s v="PROD-057"/>
    <x v="6"/>
    <n v="4"/>
    <n v="960"/>
    <n v="28.8"/>
    <n v="2734.08"/>
    <s v="Pending"/>
    <s v="Mumbai"/>
  </r>
  <r>
    <s v="ORD-00615"/>
    <d v="2024-09-23T00:00:00"/>
    <s v="CUST-0172"/>
    <s v="PROD-028"/>
    <x v="9"/>
    <n v="5"/>
    <n v="3660"/>
    <n v="11.9"/>
    <n v="16122.3"/>
    <s v="Pending"/>
    <s v="Pune"/>
  </r>
  <r>
    <s v="ORD-00616"/>
    <d v="2024-07-14T00:00:00"/>
    <s v="CUST-0139"/>
    <s v="PROD-003"/>
    <x v="7"/>
    <n v="5"/>
    <n v="3570"/>
    <n v="12.4"/>
    <n v="15636.6"/>
    <s v="Completed"/>
    <s v="Hyderabad"/>
  </r>
  <r>
    <s v="ORD-00617"/>
    <d v="2024-01-16T00:00:00"/>
    <s v="CUST-0275"/>
    <s v="PROD-033"/>
    <x v="21"/>
    <n v="9"/>
    <n v="2030"/>
    <n v="23.4"/>
    <n v="13994.82"/>
    <s v="Completed"/>
    <s v="Mumbai"/>
  </r>
  <r>
    <s v="ORD-00618"/>
    <d v="2024-02-06T00:00:00"/>
    <s v="CUST-0006"/>
    <s v="PROD-015"/>
    <x v="6"/>
    <n v="7"/>
    <n v="2720"/>
    <n v="11.2"/>
    <n v="16907.52"/>
    <s v="Refunded"/>
    <s v="Pune"/>
  </r>
  <r>
    <s v="ORD-00619"/>
    <d v="2024-12-01T00:00:00"/>
    <s v="CUST-0279"/>
    <s v="PROD-003"/>
    <x v="4"/>
    <n v="2"/>
    <n v="3570"/>
    <n v="6.1"/>
    <n v="6704.46"/>
    <s v="Cancelled"/>
    <s v="Mumbai"/>
  </r>
  <r>
    <s v="ORD-00620"/>
    <d v="2024-10-09T00:00:00"/>
    <s v="CUST-0093"/>
    <s v="PROD-058"/>
    <x v="19"/>
    <n v="5"/>
    <n v="2400"/>
    <n v="16.100000000000001"/>
    <n v="10068"/>
    <s v="Completed"/>
    <s v="Pune"/>
  </r>
  <r>
    <s v="ORD-00621"/>
    <d v="2024-10-27T00:00:00"/>
    <s v="CUST-0063"/>
    <s v="PROD-024"/>
    <x v="25"/>
    <n v="4"/>
    <n v="2270"/>
    <n v="27.5"/>
    <n v="6583"/>
    <s v="Pending"/>
    <s v="Mumbai"/>
  </r>
  <r>
    <s v="ORD-00622"/>
    <d v="2024-08-05T00:00:00"/>
    <s v="CUST-0071"/>
    <s v="PROD-030"/>
    <x v="27"/>
    <n v="1"/>
    <n v="970"/>
    <n v="12.7"/>
    <n v="846.81"/>
    <s v="Completed"/>
    <s v="Delhi"/>
  </r>
  <r>
    <s v="ORD-00623"/>
    <d v="2024-01-16T00:00:00"/>
    <s v="CUST-0119"/>
    <s v="PROD-056"/>
    <x v="26"/>
    <n v="5"/>
    <n v="6940"/>
    <n v="16.2"/>
    <n v="29078.6"/>
    <s v="Completed"/>
    <s v="Bengaluru"/>
  </r>
  <r>
    <s v="ORD-00624"/>
    <d v="2024-10-21T00:00:00"/>
    <s v="CUST-0035"/>
    <s v="PROD-056"/>
    <x v="18"/>
    <n v="4"/>
    <n v="6940"/>
    <n v="15.1"/>
    <n v="23568.240000000002"/>
    <s v="Completed"/>
    <s v="Hyderabad"/>
  </r>
  <r>
    <s v="ORD-00625"/>
    <d v="2024-10-22T00:00:00"/>
    <s v="CUST-0042"/>
    <s v="PROD-054"/>
    <x v="3"/>
    <n v="1"/>
    <n v="1010"/>
    <n v="1.7"/>
    <n v="992.83"/>
    <s v="Completed"/>
    <s v="Pune"/>
  </r>
  <r>
    <s v="ORD-00626"/>
    <d v="2024-11-13T00:00:00"/>
    <s v="CUST-0033"/>
    <s v="PROD-004"/>
    <x v="0"/>
    <n v="6"/>
    <n v="3870"/>
    <n v="12.2"/>
    <n v="20387.16"/>
    <s v="Completed"/>
    <s v="Delhi"/>
  </r>
  <r>
    <s v="ORD-00627"/>
    <d v="2024-01-25T00:00:00"/>
    <s v="CUST-0077"/>
    <s v="PROD-048"/>
    <x v="23"/>
    <n v="9"/>
    <n v="5100"/>
    <n v="26.4"/>
    <n v="33782.400000000001"/>
    <s v="Completed"/>
    <s v="Hyderabad"/>
  </r>
  <r>
    <s v="ORD-00628"/>
    <d v="2024-06-08T00:00:00"/>
    <s v="CUST-0266"/>
    <s v="PROD-012"/>
    <x v="4"/>
    <n v="2"/>
    <n v="3160"/>
    <n v="13.4"/>
    <n v="5473.12"/>
    <s v="Refunded"/>
    <s v="Pune"/>
  </r>
  <r>
    <s v="ORD-00629"/>
    <d v="2024-09-19T00:00:00"/>
    <s v="CUST-0272"/>
    <s v="PROD-029"/>
    <x v="23"/>
    <n v="8"/>
    <n v="2210"/>
    <n v="26"/>
    <n v="13083.2"/>
    <s v="Completed"/>
    <s v="Mumbai"/>
  </r>
  <r>
    <s v="ORD-00630"/>
    <d v="2024-10-02T00:00:00"/>
    <s v="CUST-0253"/>
    <s v="PROD-018"/>
    <x v="17"/>
    <n v="5"/>
    <n v="3560"/>
    <n v="15"/>
    <n v="15130"/>
    <s v="Completed"/>
    <s v="Delhi"/>
  </r>
  <r>
    <s v="ORD-00631"/>
    <d v="2024-12-07T00:00:00"/>
    <s v="CUST-0252"/>
    <s v="PROD-016"/>
    <x v="9"/>
    <n v="10"/>
    <n v="620"/>
    <n v="15.8"/>
    <n v="5220.3999999999996"/>
    <s v="Refunded"/>
    <s v="Bengaluru"/>
  </r>
  <r>
    <s v="ORD-00632"/>
    <d v="2024-10-23T00:00:00"/>
    <s v="CUST-0097"/>
    <s v="PROD-021"/>
    <x v="25"/>
    <n v="3"/>
    <n v="2760"/>
    <n v="1.9"/>
    <n v="8122.68"/>
    <s v="Cancelled"/>
    <s v="Mumbai"/>
  </r>
  <r>
    <s v="ORD-00633"/>
    <d v="2024-12-08T00:00:00"/>
    <s v="CUST-0283"/>
    <s v="PROD-054"/>
    <x v="1"/>
    <n v="10"/>
    <n v="1010"/>
    <n v="28.9"/>
    <n v="7181.1"/>
    <s v="Completed"/>
    <s v="Delhi"/>
  </r>
  <r>
    <s v="ORD-00634"/>
    <d v="2024-03-01T00:00:00"/>
    <s v="CUST-0064"/>
    <s v="PROD-013"/>
    <x v="25"/>
    <n v="1"/>
    <n v="3640"/>
    <n v="9.6999999999999993"/>
    <n v="3286.92"/>
    <s v="Completed"/>
    <s v="Hyderabad"/>
  </r>
  <r>
    <s v="ORD-00635"/>
    <d v="2024-07-16T00:00:00"/>
    <s v="CUST-0143"/>
    <s v="PROD-020"/>
    <x v="9"/>
    <n v="1"/>
    <n v="820"/>
    <n v="15"/>
    <n v="697"/>
    <s v="Completed"/>
    <s v="Chennai"/>
  </r>
  <r>
    <s v="ORD-00636"/>
    <d v="2024-02-20T00:00:00"/>
    <s v="CUST-0265"/>
    <s v="PROD-013"/>
    <x v="23"/>
    <n v="4"/>
    <n v="3640"/>
    <n v="17"/>
    <n v="12084.8"/>
    <s v="Completed"/>
    <s v="Chennai"/>
  </r>
  <r>
    <s v="ORD-00637"/>
    <d v="2024-05-13T00:00:00"/>
    <s v="CUST-0158"/>
    <s v="PROD-023"/>
    <x v="25"/>
    <n v="7"/>
    <n v="2380"/>
    <n v="25.5"/>
    <n v="12411.7"/>
    <s v="Completed"/>
    <s v="Pune"/>
  </r>
  <r>
    <s v="ORD-00638"/>
    <d v="2024-11-02T00:00:00"/>
    <s v="CUST-0154"/>
    <s v="PROD-037"/>
    <x v="4"/>
    <n v="1"/>
    <n v="660"/>
    <n v="2.5"/>
    <n v="643.5"/>
    <s v="Completed"/>
    <s v="Pune"/>
  </r>
  <r>
    <s v="ORD-00639"/>
    <d v="2024-03-02T00:00:00"/>
    <s v="CUST-0057"/>
    <s v="PROD-004"/>
    <x v="16"/>
    <n v="7"/>
    <n v="3870"/>
    <n v="20.3"/>
    <n v="21590.73"/>
    <s v="Pending"/>
    <s v="Pune"/>
  </r>
  <r>
    <s v="ORD-00640"/>
    <d v="2024-09-07T00:00:00"/>
    <s v="CUST-0088"/>
    <s v="PROD-032"/>
    <x v="29"/>
    <n v="10"/>
    <n v="370"/>
    <n v="1.3"/>
    <n v="3651.9"/>
    <s v="Refunded"/>
    <s v="Chennai"/>
  </r>
  <r>
    <s v="ORD-00641"/>
    <d v="2024-03-14T00:00:00"/>
    <s v="CUST-0064"/>
    <s v="PROD-014"/>
    <x v="26"/>
    <n v="1"/>
    <n v="3620"/>
    <n v="1.4"/>
    <n v="3569.32"/>
    <s v="Completed"/>
    <s v="Hyderabad"/>
  </r>
  <r>
    <s v="ORD-00642"/>
    <d v="2024-10-09T00:00:00"/>
    <s v="CUST-0192"/>
    <s v="PROD-008"/>
    <x v="1"/>
    <n v="10"/>
    <n v="2660"/>
    <n v="20.2"/>
    <n v="21226.799999999999"/>
    <s v="Completed"/>
    <s v="Bengaluru"/>
  </r>
  <r>
    <s v="ORD-00643"/>
    <d v="2024-11-18T00:00:00"/>
    <s v="CUST-0175"/>
    <s v="PROD-051"/>
    <x v="15"/>
    <n v="10"/>
    <n v="3450"/>
    <n v="25.1"/>
    <n v="25840.5"/>
    <s v="Completed"/>
    <s v="Delhi"/>
  </r>
  <r>
    <s v="ORD-00644"/>
    <d v="2024-12-03T00:00:00"/>
    <s v="CUST-0083"/>
    <s v="PROD-025"/>
    <x v="22"/>
    <n v="3"/>
    <n v="4060"/>
    <n v="2.5"/>
    <n v="11875.5"/>
    <s v="Refunded"/>
    <s v="Bengaluru"/>
  </r>
  <r>
    <s v="ORD-00645"/>
    <d v="2024-01-03T00:00:00"/>
    <s v="CUST-0142"/>
    <s v="PROD-057"/>
    <x v="13"/>
    <n v="3"/>
    <n v="960"/>
    <n v="6.6"/>
    <n v="2689.92"/>
    <s v="Cancelled"/>
    <s v="Chennai"/>
  </r>
  <r>
    <s v="ORD-00646"/>
    <d v="2024-05-06T00:00:00"/>
    <s v="CUST-0185"/>
    <s v="PROD-008"/>
    <x v="4"/>
    <n v="4"/>
    <n v="2660"/>
    <n v="16.899999999999999"/>
    <n v="8841.84"/>
    <s v="Completed"/>
    <s v="Hyderabad"/>
  </r>
  <r>
    <s v="ORD-00647"/>
    <d v="2024-03-18T00:00:00"/>
    <s v="CUST-0284"/>
    <s v="PROD-024"/>
    <x v="26"/>
    <n v="6"/>
    <n v="2270"/>
    <n v="16.7"/>
    <n v="11345.46"/>
    <s v="Completed"/>
    <s v="Hyderabad"/>
  </r>
  <r>
    <s v="ORD-00648"/>
    <d v="2024-09-14T00:00:00"/>
    <s v="CUST-0092"/>
    <s v="PROD-027"/>
    <x v="5"/>
    <n v="5"/>
    <n v="3780"/>
    <n v="21.5"/>
    <n v="14836.5"/>
    <s v="Completed"/>
    <s v="Bengaluru"/>
  </r>
  <r>
    <s v="ORD-00649"/>
    <d v="2024-08-01T00:00:00"/>
    <s v="CUST-0091"/>
    <s v="PROD-037"/>
    <x v="7"/>
    <n v="10"/>
    <n v="660"/>
    <n v="18.8"/>
    <n v="5359.2"/>
    <s v="Completed"/>
    <s v="Delhi"/>
  </r>
  <r>
    <s v="ORD-00650"/>
    <d v="2024-05-01T00:00:00"/>
    <s v="CUST-0155"/>
    <s v="PROD-031"/>
    <x v="6"/>
    <n v="10"/>
    <n v="3730"/>
    <n v="15.1"/>
    <n v="31667.7"/>
    <s v="Completed"/>
    <s v="Pune"/>
  </r>
  <r>
    <s v="ORD-00651"/>
    <d v="2024-09-24T00:00:00"/>
    <s v="CUST-0280"/>
    <s v="PROD-025"/>
    <x v="13"/>
    <n v="6"/>
    <n v="4060"/>
    <n v="20.100000000000001"/>
    <n v="19463.64"/>
    <s v="Pending"/>
    <s v="Delhi"/>
  </r>
  <r>
    <s v="ORD-00652"/>
    <d v="2024-08-21T00:00:00"/>
    <s v="CUST-0127"/>
    <s v="PROD-024"/>
    <x v="11"/>
    <n v="2"/>
    <n v="2270"/>
    <n v="17.7"/>
    <n v="3736.42"/>
    <s v="Completed"/>
    <s v="Bengaluru"/>
  </r>
  <r>
    <s v="ORD-00653"/>
    <d v="2024-11-14T00:00:00"/>
    <s v="CUST-0077"/>
    <s v="PROD-003"/>
    <x v="8"/>
    <n v="9"/>
    <n v="3570"/>
    <n v="29.9"/>
    <n v="22523.13"/>
    <s v="Completed"/>
    <s v="Hyderabad"/>
  </r>
  <r>
    <s v="ORD-00654"/>
    <d v="2024-08-17T00:00:00"/>
    <s v="CUST-0190"/>
    <s v="PROD-029"/>
    <x v="10"/>
    <n v="7"/>
    <n v="2210"/>
    <n v="25"/>
    <n v="11602.5"/>
    <s v="Completed"/>
    <s v="Hyderabad"/>
  </r>
  <r>
    <s v="ORD-00655"/>
    <d v="2024-03-30T00:00:00"/>
    <s v="CUST-0089"/>
    <s v="PROD-057"/>
    <x v="17"/>
    <n v="2"/>
    <n v="960"/>
    <n v="8.1999999999999993"/>
    <n v="1762.56"/>
    <s v="Cancelled"/>
    <s v="Mumbai"/>
  </r>
  <r>
    <s v="ORD-00656"/>
    <d v="2024-04-19T00:00:00"/>
    <s v="CUST-0141"/>
    <s v="PROD-059"/>
    <x v="17"/>
    <n v="9"/>
    <n v="3780"/>
    <n v="28.4"/>
    <n v="24358.32"/>
    <s v="Pending"/>
    <s v="Hyderabad"/>
  </r>
  <r>
    <s v="ORD-00657"/>
    <d v="2024-10-16T00:00:00"/>
    <s v="CUST-0123"/>
    <s v="PROD-048"/>
    <x v="2"/>
    <n v="2"/>
    <n v="5100"/>
    <n v="8.6"/>
    <n v="9322.7999999999993"/>
    <s v="Completed"/>
    <s v="Chennai"/>
  </r>
  <r>
    <s v="ORD-00658"/>
    <d v="2024-05-02T00:00:00"/>
    <s v="CUST-0041"/>
    <s v="PROD-019"/>
    <x v="13"/>
    <n v="4"/>
    <n v="2480"/>
    <n v="16.600000000000001"/>
    <n v="8273.2800000000007"/>
    <s v="Completed"/>
    <s v="Bengaluru"/>
  </r>
  <r>
    <s v="ORD-00659"/>
    <d v="2024-05-31T00:00:00"/>
    <s v="CUST-0257"/>
    <s v="PROD-040"/>
    <x v="26"/>
    <n v="10"/>
    <n v="1080"/>
    <n v="14.5"/>
    <n v="9234"/>
    <s v="Completed"/>
    <s v="Mumbai"/>
  </r>
  <r>
    <s v="ORD-00660"/>
    <d v="2024-03-26T00:00:00"/>
    <s v="CUST-0134"/>
    <s v="PROD-002"/>
    <x v="20"/>
    <n v="7"/>
    <n v="2600"/>
    <n v="21"/>
    <n v="14378"/>
    <s v="Completed"/>
    <s v="Delhi"/>
  </r>
  <r>
    <s v="ORD-00661"/>
    <d v="2024-11-26T00:00:00"/>
    <s v="CUST-0180"/>
    <s v="PROD-002"/>
    <x v="15"/>
    <n v="7"/>
    <n v="2600"/>
    <n v="6.7"/>
    <n v="16980.599999999999"/>
    <s v="Pending"/>
    <s v="Chennai"/>
  </r>
  <r>
    <s v="ORD-00662"/>
    <d v="2024-04-21T00:00:00"/>
    <s v="CUST-0283"/>
    <s v="PROD-020"/>
    <x v="12"/>
    <n v="8"/>
    <n v="820"/>
    <n v="17.8"/>
    <n v="5392.32"/>
    <s v="Pending"/>
    <s v="Delhi"/>
  </r>
  <r>
    <s v="ORD-00663"/>
    <d v="2024-08-28T00:00:00"/>
    <s v="CUST-0047"/>
    <s v="PROD-057"/>
    <x v="18"/>
    <n v="3"/>
    <n v="960"/>
    <n v="17.8"/>
    <n v="2367.36"/>
    <s v="Completed"/>
    <s v="Pune"/>
  </r>
  <r>
    <s v="ORD-00664"/>
    <d v="2024-01-10T00:00:00"/>
    <s v="CUST-0175"/>
    <s v="PROD-041"/>
    <x v="12"/>
    <n v="2"/>
    <n v="1540"/>
    <n v="1.8"/>
    <n v="3024.56"/>
    <s v="Cancelled"/>
    <s v="Delhi"/>
  </r>
  <r>
    <s v="ORD-00665"/>
    <d v="2024-11-26T00:00:00"/>
    <s v="CUST-0227"/>
    <s v="PROD-056"/>
    <x v="14"/>
    <n v="5"/>
    <n v="6940"/>
    <n v="2.9"/>
    <n v="33693.699999999997"/>
    <s v="Completed"/>
    <s v="Bengaluru"/>
  </r>
  <r>
    <s v="ORD-00666"/>
    <d v="2024-08-27T00:00:00"/>
    <s v="CUST-0287"/>
    <s v="PROD-041"/>
    <x v="22"/>
    <n v="5"/>
    <n v="1540"/>
    <n v="28.8"/>
    <n v="5482.4"/>
    <s v="Completed"/>
    <s v="Chennai"/>
  </r>
  <r>
    <s v="ORD-00667"/>
    <d v="2024-02-04T00:00:00"/>
    <s v="CUST-0004"/>
    <s v="PROD-031"/>
    <x v="27"/>
    <n v="8"/>
    <n v="3730"/>
    <n v="21.1"/>
    <n v="23543.759999999998"/>
    <s v="Completed"/>
    <s v="Delhi"/>
  </r>
  <r>
    <s v="ORD-00668"/>
    <d v="2024-12-09T00:00:00"/>
    <s v="CUST-0234"/>
    <s v="PROD-021"/>
    <x v="12"/>
    <n v="7"/>
    <n v="2760"/>
    <n v="1.2"/>
    <n v="19088.16"/>
    <s v="Cancelled"/>
    <s v="Bengaluru"/>
  </r>
  <r>
    <s v="ORD-00669"/>
    <d v="2024-05-19T00:00:00"/>
    <s v="CUST-0255"/>
    <s v="PROD-006"/>
    <x v="16"/>
    <n v="3"/>
    <n v="3970"/>
    <n v="18.3"/>
    <n v="9730.4699999999993"/>
    <s v="Completed"/>
    <s v="Chennai"/>
  </r>
  <r>
    <s v="ORD-00670"/>
    <d v="2024-04-11T00:00:00"/>
    <s v="CUST-0092"/>
    <s v="PROD-027"/>
    <x v="12"/>
    <n v="4"/>
    <n v="3780"/>
    <n v="24.6"/>
    <n v="11400.48"/>
    <s v="Completed"/>
    <s v="Bengaluru"/>
  </r>
  <r>
    <s v="ORD-00671"/>
    <d v="2024-01-04T00:00:00"/>
    <s v="CUST-0037"/>
    <s v="PROD-015"/>
    <x v="4"/>
    <n v="10"/>
    <n v="2720"/>
    <n v="12.8"/>
    <n v="23718.400000000001"/>
    <s v="Completed"/>
    <s v="Bengaluru"/>
  </r>
  <r>
    <s v="ORD-00672"/>
    <d v="2024-03-20T00:00:00"/>
    <s v="CUST-0208"/>
    <s v="PROD-006"/>
    <x v="21"/>
    <n v="5"/>
    <n v="3970"/>
    <n v="5.9"/>
    <n v="18678.849999999999"/>
    <s v="Completed"/>
    <s v="Mumbai"/>
  </r>
  <r>
    <s v="ORD-00673"/>
    <d v="2024-11-05T00:00:00"/>
    <s v="CUST-0008"/>
    <s v="PROD-020"/>
    <x v="23"/>
    <n v="3"/>
    <n v="820"/>
    <n v="19.399999999999999"/>
    <n v="1982.76"/>
    <s v="Completed"/>
    <s v="Pune"/>
  </r>
  <r>
    <s v="ORD-00674"/>
    <d v="2024-06-28T00:00:00"/>
    <s v="CUST-0050"/>
    <s v="PROD-016"/>
    <x v="9"/>
    <n v="7"/>
    <n v="620"/>
    <n v="9.9"/>
    <n v="3910.34"/>
    <s v="Completed"/>
    <s v="Mumbai"/>
  </r>
  <r>
    <s v="ORD-00675"/>
    <d v="2024-01-27T00:00:00"/>
    <s v="CUST-0166"/>
    <s v="PROD-042"/>
    <x v="28"/>
    <n v="8"/>
    <n v="2290"/>
    <n v="18.3"/>
    <n v="14967.44"/>
    <s v="Completed"/>
    <s v="Hyderabad"/>
  </r>
  <r>
    <s v="ORD-00676"/>
    <d v="2024-03-13T00:00:00"/>
    <s v="CUST-0271"/>
    <s v="PROD-030"/>
    <x v="5"/>
    <n v="3"/>
    <n v="970"/>
    <n v="18.399999999999999"/>
    <n v="2374.56"/>
    <s v="Completed"/>
    <s v="Bengaluru"/>
  </r>
  <r>
    <s v="ORD-00677"/>
    <d v="2024-05-07T00:00:00"/>
    <s v="CUST-0034"/>
    <s v="PROD-032"/>
    <x v="2"/>
    <n v="2"/>
    <n v="370"/>
    <n v="8.9"/>
    <n v="674.14"/>
    <s v="Completed"/>
    <s v="Delhi"/>
  </r>
  <r>
    <s v="ORD-00678"/>
    <d v="2024-12-06T00:00:00"/>
    <s v="CUST-0016"/>
    <s v="PROD-007"/>
    <x v="0"/>
    <n v="1"/>
    <n v="1430"/>
    <n v="5.9"/>
    <n v="1345.63"/>
    <s v="Cancelled"/>
    <s v="Delhi"/>
  </r>
  <r>
    <s v="ORD-00679"/>
    <d v="2024-07-21T00:00:00"/>
    <s v="CUST-0039"/>
    <s v="PROD-058"/>
    <x v="14"/>
    <n v="2"/>
    <n v="2400"/>
    <n v="29.1"/>
    <n v="3403.2"/>
    <s v="Completed"/>
    <s v="Bengaluru"/>
  </r>
  <r>
    <s v="ORD-00680"/>
    <d v="2024-02-15T00:00:00"/>
    <s v="CUST-0253"/>
    <s v="PROD-007"/>
    <x v="23"/>
    <n v="9"/>
    <n v="1430"/>
    <n v="6"/>
    <n v="12097.8"/>
    <s v="Completed"/>
    <s v="Delhi"/>
  </r>
  <r>
    <s v="ORD-00681"/>
    <d v="2024-08-06T00:00:00"/>
    <s v="CUST-0295"/>
    <s v="PROD-015"/>
    <x v="0"/>
    <n v="8"/>
    <n v="2720"/>
    <n v="25.7"/>
    <n v="16167.68"/>
    <s v="Completed"/>
    <s v="Delhi"/>
  </r>
  <r>
    <s v="ORD-00682"/>
    <d v="2024-10-07T00:00:00"/>
    <s v="CUST-0138"/>
    <s v="PROD-056"/>
    <x v="28"/>
    <n v="6"/>
    <n v="6940"/>
    <n v="25.7"/>
    <n v="30938.52"/>
    <s v="Completed"/>
    <s v="Chennai"/>
  </r>
  <r>
    <s v="ORD-00683"/>
    <d v="2024-06-29T00:00:00"/>
    <s v="CUST-0002"/>
    <s v="PROD-014"/>
    <x v="0"/>
    <n v="3"/>
    <n v="3620"/>
    <n v="29.7"/>
    <n v="7634.58"/>
    <s v="Completed"/>
    <s v="Pune"/>
  </r>
  <r>
    <s v="ORD-00684"/>
    <d v="2024-11-19T00:00:00"/>
    <s v="CUST-0287"/>
    <s v="PROD-010"/>
    <x v="5"/>
    <n v="8"/>
    <n v="2640"/>
    <n v="24.4"/>
    <n v="15966.72"/>
    <s v="Completed"/>
    <s v="Chennai"/>
  </r>
  <r>
    <s v="ORD-00685"/>
    <d v="2024-02-27T00:00:00"/>
    <s v="CUST-0279"/>
    <s v="PROD-038"/>
    <x v="3"/>
    <n v="3"/>
    <n v="5490"/>
    <n v="13.5"/>
    <n v="14246.55"/>
    <s v="Completed"/>
    <s v="Mumbai"/>
  </r>
  <r>
    <s v="ORD-00686"/>
    <d v="2024-05-01T00:00:00"/>
    <s v="CUST-0008"/>
    <s v="PROD-034"/>
    <x v="21"/>
    <n v="3"/>
    <n v="5080"/>
    <n v="9.3000000000000007"/>
    <n v="13822.68"/>
    <s v="Completed"/>
    <s v="Pune"/>
  </r>
  <r>
    <s v="ORD-00687"/>
    <d v="2024-08-11T00:00:00"/>
    <s v="CUST-0092"/>
    <s v="PROD-042"/>
    <x v="14"/>
    <n v="4"/>
    <n v="2290"/>
    <n v="24.4"/>
    <n v="6924.96"/>
    <s v="Completed"/>
    <s v="Bengaluru"/>
  </r>
  <r>
    <s v="ORD-00688"/>
    <d v="2024-06-20T00:00:00"/>
    <s v="CUST-0106"/>
    <s v="PROD-033"/>
    <x v="23"/>
    <n v="10"/>
    <n v="2030"/>
    <n v="13.6"/>
    <n v="17539.2"/>
    <s v="Pending"/>
    <s v="Pune"/>
  </r>
  <r>
    <s v="ORD-00689"/>
    <d v="2024-11-11T00:00:00"/>
    <s v="CUST-0010"/>
    <s v="PROD-007"/>
    <x v="27"/>
    <n v="10"/>
    <n v="1430"/>
    <n v="16.100000000000001"/>
    <n v="11997.7"/>
    <s v="Cancelled"/>
    <s v="Mumbai"/>
  </r>
  <r>
    <s v="ORD-00690"/>
    <d v="2024-03-06T00:00:00"/>
    <s v="CUST-0179"/>
    <s v="PROD-027"/>
    <x v="18"/>
    <n v="1"/>
    <n v="3780"/>
    <n v="22.7"/>
    <n v="2921.94"/>
    <s v="Completed"/>
    <s v="Mumbai"/>
  </r>
  <r>
    <s v="ORD-00691"/>
    <d v="2024-05-31T00:00:00"/>
    <s v="CUST-0216"/>
    <s v="PROD-012"/>
    <x v="13"/>
    <n v="10"/>
    <n v="3160"/>
    <n v="13.4"/>
    <n v="27365.599999999999"/>
    <s v="Completed"/>
    <s v="Mumbai"/>
  </r>
  <r>
    <s v="ORD-00692"/>
    <d v="2024-05-10T00:00:00"/>
    <s v="CUST-0172"/>
    <s v="PROD-007"/>
    <x v="11"/>
    <n v="2"/>
    <n v="1430"/>
    <n v="7.4"/>
    <n v="2648.36"/>
    <s v="Completed"/>
    <s v="Pune"/>
  </r>
  <r>
    <s v="ORD-00693"/>
    <d v="2024-12-14T00:00:00"/>
    <s v="CUST-0152"/>
    <s v="PROD-012"/>
    <x v="3"/>
    <n v="5"/>
    <n v="3160"/>
    <n v="3.6"/>
    <n v="15231.2"/>
    <s v="Pending"/>
    <s v="Bengaluru"/>
  </r>
  <r>
    <s v="ORD-00694"/>
    <d v="2024-08-17T00:00:00"/>
    <s v="CUST-0154"/>
    <s v="PROD-042"/>
    <x v="10"/>
    <n v="2"/>
    <n v="2290"/>
    <n v="28.2"/>
    <n v="3288.44"/>
    <s v="Completed"/>
    <s v="Pune"/>
  </r>
  <r>
    <s v="ORD-00695"/>
    <d v="2024-03-15T00:00:00"/>
    <s v="CUST-0001"/>
    <s v="PROD-011"/>
    <x v="15"/>
    <n v="5"/>
    <n v="3450"/>
    <n v="18.100000000000001"/>
    <n v="14127.75"/>
    <s v="Cancelled"/>
    <s v="Pune"/>
  </r>
  <r>
    <s v="ORD-00696"/>
    <d v="2024-05-27T00:00:00"/>
    <s v="CUST-0069"/>
    <s v="PROD-018"/>
    <x v="19"/>
    <n v="1"/>
    <n v="3560"/>
    <n v="18.7"/>
    <n v="2894.28"/>
    <s v="Completed"/>
    <s v="Chennai"/>
  </r>
  <r>
    <s v="ORD-00697"/>
    <d v="2024-05-14T00:00:00"/>
    <s v="CUST-0200"/>
    <s v="PROD-058"/>
    <x v="18"/>
    <n v="9"/>
    <n v="2400"/>
    <n v="18.5"/>
    <n v="17604"/>
    <s v="Completed"/>
    <s v="Hyderabad"/>
  </r>
  <r>
    <s v="ORD-00698"/>
    <d v="2024-05-03T00:00:00"/>
    <s v="CUST-0164"/>
    <s v="PROD-004"/>
    <x v="12"/>
    <n v="9"/>
    <n v="3870"/>
    <n v="6.9"/>
    <n v="32426.73"/>
    <s v="Refunded"/>
    <s v="Chennai"/>
  </r>
  <r>
    <s v="ORD-00699"/>
    <d v="2024-11-24T00:00:00"/>
    <s v="CUST-0004"/>
    <s v="PROD-028"/>
    <x v="24"/>
    <n v="5"/>
    <n v="3660"/>
    <n v="11.7"/>
    <n v="16158.9"/>
    <s v="Completed"/>
    <s v="Delhi"/>
  </r>
  <r>
    <s v="ORD-00700"/>
    <d v="2024-02-24T00:00:00"/>
    <s v="CUST-0224"/>
    <s v="PROD-040"/>
    <x v="14"/>
    <n v="4"/>
    <n v="1080"/>
    <n v="17.5"/>
    <n v="3564"/>
    <s v="Completed"/>
    <s v="Chennai"/>
  </r>
  <r>
    <s v="ORD-01185"/>
    <d v="2024-01-06T00:00:00"/>
    <s v="CUST-0037"/>
    <s v="PROD-059"/>
    <x v="3"/>
    <n v="6"/>
    <n v="3780"/>
    <n v="27.8"/>
    <n v="16374.96"/>
    <s v="Completed"/>
    <s v="Bengaluru"/>
  </r>
  <r>
    <s v="ORD-00702"/>
    <d v="2024-08-17T00:00:00"/>
    <s v="CUST-0179"/>
    <s v="PROD-019"/>
    <x v="24"/>
    <n v="8"/>
    <n v="2480"/>
    <n v="15.7"/>
    <n v="16725.12"/>
    <s v="Pending"/>
    <s v="Mumbai"/>
  </r>
  <r>
    <s v="ORD-00703"/>
    <d v="2024-04-27T00:00:00"/>
    <s v="CUST-0018"/>
    <s v="PROD-054"/>
    <x v="2"/>
    <n v="10"/>
    <n v="1010"/>
    <n v="0.1"/>
    <n v="10089.9"/>
    <s v="Pending"/>
    <s v="Pune"/>
  </r>
  <r>
    <s v="ORD-00704"/>
    <d v="2024-04-24T00:00:00"/>
    <s v="CUST-0184"/>
    <s v="PROD-053"/>
    <x v="15"/>
    <n v="3"/>
    <n v="470"/>
    <n v="1.1000000000000001"/>
    <n v="1394.49"/>
    <s v="Completed"/>
    <s v="Pune"/>
  </r>
  <r>
    <s v="ORD-00705"/>
    <d v="2024-07-01T00:00:00"/>
    <s v="CUST-0066"/>
    <s v="PROD-024"/>
    <x v="7"/>
    <n v="4"/>
    <n v="2270"/>
    <n v="17.100000000000001"/>
    <n v="7527.32"/>
    <s v="Completed"/>
    <s v="Delhi"/>
  </r>
  <r>
    <s v="ORD-00706"/>
    <d v="2024-10-23T00:00:00"/>
    <s v="CUST-0053"/>
    <s v="PROD-021"/>
    <x v="9"/>
    <n v="7"/>
    <n v="2760"/>
    <n v="17.100000000000001"/>
    <n v="16016.28"/>
    <s v="Completed"/>
    <s v="Delhi"/>
  </r>
  <r>
    <s v="ORD-00707"/>
    <d v="2024-08-26T00:00:00"/>
    <s v="CUST-0278"/>
    <s v="PROD-051"/>
    <x v="4"/>
    <n v="6"/>
    <n v="3450"/>
    <n v="6.6"/>
    <n v="19333.8"/>
    <s v="Refunded"/>
    <s v="Hyderabad"/>
  </r>
  <r>
    <s v="ORD-00708"/>
    <d v="2024-12-04T00:00:00"/>
    <s v="CUST-0285"/>
    <s v="PROD-028"/>
    <x v="0"/>
    <n v="8"/>
    <n v="3660"/>
    <n v="7.2"/>
    <n v="27171.84"/>
    <s v="Completed"/>
    <s v="Hyderabad"/>
  </r>
  <r>
    <s v="ORD-00709"/>
    <d v="2024-09-16T00:00:00"/>
    <s v="CUST-0060"/>
    <s v="PROD-009"/>
    <x v="14"/>
    <n v="4"/>
    <n v="1220"/>
    <n v="24.3"/>
    <n v="3694.16"/>
    <s v="Cancelled"/>
    <s v="Pune"/>
  </r>
  <r>
    <s v="ORD-00710"/>
    <d v="2024-11-14T00:00:00"/>
    <s v="CUST-0236"/>
    <s v="PROD-052"/>
    <x v="0"/>
    <n v="2"/>
    <n v="5410"/>
    <n v="0.9"/>
    <n v="10722.62"/>
    <s v="Pending"/>
    <s v="Hyderabad"/>
  </r>
  <r>
    <s v="ORD-00711"/>
    <d v="2024-01-31T00:00:00"/>
    <s v="CUST-0106"/>
    <s v="PROD-033"/>
    <x v="18"/>
    <n v="5"/>
    <n v="2030"/>
    <n v="25.2"/>
    <n v="7592.2"/>
    <s v="Completed"/>
    <s v="Pune"/>
  </r>
  <r>
    <s v="ORD-00712"/>
    <d v="2024-03-12T00:00:00"/>
    <s v="CUST-0085"/>
    <s v="PROD-009"/>
    <x v="27"/>
    <n v="5"/>
    <n v="1220"/>
    <n v="2.6"/>
    <n v="5941.4"/>
    <s v="Completed"/>
    <s v="Chennai"/>
  </r>
  <r>
    <s v="ORD-00713"/>
    <d v="2024-11-04T00:00:00"/>
    <s v="CUST-0075"/>
    <s v="PROD-008"/>
    <x v="3"/>
    <n v="4"/>
    <n v="2660"/>
    <n v="19.100000000000001"/>
    <n v="8607.76"/>
    <s v="Refunded"/>
    <s v="Mumbai"/>
  </r>
  <r>
    <s v="ORD-00714"/>
    <d v="2024-02-29T00:00:00"/>
    <s v="CUST-0169"/>
    <s v="PROD-026"/>
    <x v="29"/>
    <n v="3"/>
    <n v="4070"/>
    <n v="25.2"/>
    <n v="9133.08"/>
    <s v="Completed"/>
    <s v="Bengaluru"/>
  </r>
  <r>
    <s v="ORD-00715"/>
    <d v="2024-06-18T00:00:00"/>
    <s v="CUST-0166"/>
    <s v="PROD-049"/>
    <x v="2"/>
    <n v="10"/>
    <n v="960"/>
    <n v="0.3"/>
    <n v="9571.2000000000007"/>
    <s v="Completed"/>
    <s v="Hyderabad"/>
  </r>
  <r>
    <s v="ORD-00716"/>
    <d v="2024-05-19T00:00:00"/>
    <s v="CUST-0065"/>
    <s v="PROD-031"/>
    <x v="20"/>
    <n v="2"/>
    <n v="3730"/>
    <n v="29.9"/>
    <n v="5229.46"/>
    <s v="Completed"/>
    <s v="Chennai"/>
  </r>
  <r>
    <s v="ORD-00717"/>
    <d v="2024-10-27T00:00:00"/>
    <s v="CUST-0102"/>
    <s v="PROD-057"/>
    <x v="10"/>
    <n v="9"/>
    <n v="960"/>
    <n v="1.9"/>
    <n v="8475.84"/>
    <s v="Completed"/>
    <s v="Chennai"/>
  </r>
  <r>
    <s v="ORD-00718"/>
    <d v="2024-06-11T00:00:00"/>
    <s v="CUST-0052"/>
    <s v="PROD-011"/>
    <x v="10"/>
    <n v="2"/>
    <n v="3450"/>
    <n v="22.9"/>
    <n v="5319.9"/>
    <s v="Pending"/>
    <s v="Pune"/>
  </r>
  <r>
    <s v="ORD-00719"/>
    <d v="2024-11-20T00:00:00"/>
    <s v="CUST-0130"/>
    <s v="PROD-052"/>
    <x v="9"/>
    <n v="3"/>
    <n v="5410"/>
    <n v="15.5"/>
    <n v="13714.35"/>
    <s v="Completed"/>
    <s v="Bengaluru"/>
  </r>
  <r>
    <s v="ORD-00720"/>
    <d v="2024-06-05T00:00:00"/>
    <s v="CUST-0284"/>
    <s v="PROD-043"/>
    <x v="7"/>
    <n v="8"/>
    <n v="3350"/>
    <n v="18.399999999999999"/>
    <n v="21868.799999999999"/>
    <s v="Completed"/>
    <s v="Hyderabad"/>
  </r>
  <r>
    <s v="ORD-00721"/>
    <d v="2024-11-15T00:00:00"/>
    <s v="CUST-0053"/>
    <s v="PROD-015"/>
    <x v="4"/>
    <n v="5"/>
    <n v="2720"/>
    <n v="17.3"/>
    <n v="11247.2"/>
    <s v="Cancelled"/>
    <s v="Delhi"/>
  </r>
  <r>
    <s v="ORD-00722"/>
    <d v="2024-04-21T00:00:00"/>
    <s v="CUST-0293"/>
    <s v="PROD-028"/>
    <x v="21"/>
    <n v="8"/>
    <n v="3660"/>
    <n v="28.8"/>
    <n v="20847.36"/>
    <s v="Completed"/>
    <s v="Bengaluru"/>
  </r>
  <r>
    <s v="ORD-00723"/>
    <d v="2024-08-26T00:00:00"/>
    <s v="CUST-0242"/>
    <s v="PROD-005"/>
    <x v="22"/>
    <n v="6"/>
    <n v="300"/>
    <n v="23.9"/>
    <n v="1369.8"/>
    <s v="Cancelled"/>
    <s v="Chennai"/>
  </r>
  <r>
    <s v="ORD-00724"/>
    <d v="2024-09-13T00:00:00"/>
    <s v="CUST-0226"/>
    <s v="PROD-042"/>
    <x v="17"/>
    <n v="3"/>
    <n v="2290"/>
    <n v="2.4"/>
    <n v="6705.12"/>
    <s v="Completed"/>
    <s v="Chennai"/>
  </r>
  <r>
    <s v="ORD-00725"/>
    <d v="2024-04-21T00:00:00"/>
    <s v="CUST-0005"/>
    <s v="PROD-046"/>
    <x v="2"/>
    <n v="6"/>
    <n v="4880"/>
    <n v="11.1"/>
    <n v="26029.919999999998"/>
    <s v="Pending"/>
    <s v="Chennai"/>
  </r>
  <r>
    <s v="ORD-00726"/>
    <d v="2024-09-27T00:00:00"/>
    <s v="CUST-0211"/>
    <s v="PROD-005"/>
    <x v="0"/>
    <n v="5"/>
    <n v="300"/>
    <n v="19.399999999999999"/>
    <n v="1209"/>
    <s v="Completed"/>
    <s v="Bengaluru"/>
  </r>
  <r>
    <s v="ORD-00727"/>
    <d v="2024-12-09T00:00:00"/>
    <s v="CUST-0229"/>
    <s v="PROD-008"/>
    <x v="14"/>
    <n v="3"/>
    <n v="2660"/>
    <n v="28.5"/>
    <n v="5705.7"/>
    <s v="Pending"/>
    <s v="Hyderabad"/>
  </r>
  <r>
    <s v="ORD-00728"/>
    <d v="2024-05-22T00:00:00"/>
    <s v="CUST-0037"/>
    <s v="PROD-035"/>
    <x v="6"/>
    <n v="7"/>
    <n v="1090"/>
    <n v="10.3"/>
    <n v="6844.11"/>
    <s v="Completed"/>
    <s v="Bengaluru"/>
  </r>
  <r>
    <s v="ORD-00729"/>
    <d v="2024-02-28T00:00:00"/>
    <s v="CUST-0059"/>
    <s v="PROD-007"/>
    <x v="27"/>
    <n v="9"/>
    <n v="1430"/>
    <n v="12.1"/>
    <n v="11312.73"/>
    <s v="Cancelled"/>
    <s v="Pune"/>
  </r>
  <r>
    <s v="ORD-00730"/>
    <d v="2024-02-22T00:00:00"/>
    <s v="CUST-0222"/>
    <s v="PROD-010"/>
    <x v="1"/>
    <n v="5"/>
    <n v="2640"/>
    <n v="26.8"/>
    <n v="9662.4"/>
    <s v="Completed"/>
    <s v="Chennai"/>
  </r>
  <r>
    <s v="ORD-00731"/>
    <d v="2024-07-25T00:00:00"/>
    <s v="CUST-0157"/>
    <s v="PROD-015"/>
    <x v="19"/>
    <n v="8"/>
    <n v="2720"/>
    <n v="17.5"/>
    <n v="17952"/>
    <s v="Completed"/>
    <s v="Pune"/>
  </r>
  <r>
    <s v="ORD-00732"/>
    <d v="2024-08-16T00:00:00"/>
    <s v="CUST-0027"/>
    <s v="PROD-013"/>
    <x v="29"/>
    <n v="9"/>
    <n v="3640"/>
    <n v="3.6"/>
    <n v="31580.639999999999"/>
    <s v="Completed"/>
    <s v="Hyderabad"/>
  </r>
  <r>
    <s v="ORD-00733"/>
    <d v="2024-09-19T00:00:00"/>
    <s v="CUST-9846"/>
    <s v="PROD-050"/>
    <x v="13"/>
    <n v="7"/>
    <n v="6080"/>
    <n v="23.6"/>
    <n v="32515.84"/>
    <s v="Completed"/>
    <s v="Mumbai"/>
  </r>
  <r>
    <s v="ORD-00734"/>
    <d v="2024-10-19T00:00:00"/>
    <s v="CUST-0011"/>
    <s v="PROD-001"/>
    <x v="15"/>
    <n v="7"/>
    <n v="5330"/>
    <n v="19.7"/>
    <n v="29959.93"/>
    <s v="Cancelled"/>
    <s v="Chennai"/>
  </r>
  <r>
    <s v="ORD-00735"/>
    <d v="2024-10-28T00:00:00"/>
    <s v="CUST-0043"/>
    <s v="PROD-039"/>
    <x v="6"/>
    <n v="5"/>
    <n v="4610"/>
    <n v="3.6"/>
    <n v="22220.2"/>
    <s v="Completed"/>
    <s v="Hyderabad"/>
  </r>
  <r>
    <s v="ORD-00736"/>
    <d v="2024-01-11T00:00:00"/>
    <s v="CUST-0154"/>
    <s v="PROD-001"/>
    <x v="14"/>
    <n v="9"/>
    <n v="5330"/>
    <n v="22.9"/>
    <n v="36984.870000000003"/>
    <s v="Completed"/>
    <s v="Pune"/>
  </r>
  <r>
    <s v="ORD-00737"/>
    <d v="2024-05-28T00:00:00"/>
    <s v="CUST-0163"/>
    <s v="PROD-050"/>
    <x v="26"/>
    <n v="5"/>
    <n v="6080"/>
    <n v="6"/>
    <n v="28576"/>
    <s v="Refunded"/>
    <s v="Pune"/>
  </r>
  <r>
    <s v="ORD-00738"/>
    <d v="2024-01-08T00:00:00"/>
    <s v="CUST-0299"/>
    <s v="PROD-013"/>
    <x v="21"/>
    <n v="7"/>
    <n v="3640"/>
    <n v="5.5"/>
    <n v="24078.6"/>
    <s v="Completed"/>
    <s v="Mumbai"/>
  </r>
  <r>
    <s v="ORD-00739"/>
    <d v="2024-02-14T00:00:00"/>
    <s v="CUST-0240"/>
    <s v="PROD-008"/>
    <x v="22"/>
    <n v="1"/>
    <n v="2660"/>
    <n v="6.1"/>
    <n v="2497.7399999999998"/>
    <s v="Cancelled"/>
    <s v="Chennai"/>
  </r>
  <r>
    <s v="ORD-00740"/>
    <d v="2024-01-09T00:00:00"/>
    <s v="CUST-0291"/>
    <s v="PROD-043"/>
    <x v="15"/>
    <n v="8"/>
    <n v="3350"/>
    <n v="19.5"/>
    <n v="21574"/>
    <s v="Completed"/>
    <s v="Pune"/>
  </r>
  <r>
    <s v="ORD-00741"/>
    <d v="2024-12-22T00:00:00"/>
    <s v="CUST-0243"/>
    <s v="PROD-039"/>
    <x v="7"/>
    <n v="4"/>
    <n v="4610"/>
    <n v="24"/>
    <n v="14014.4"/>
    <s v="Completed"/>
    <s v="Pune"/>
  </r>
  <r>
    <s v="ORD-00742"/>
    <d v="2024-01-02T00:00:00"/>
    <s v="CUST-0073"/>
    <s v="PROD-055"/>
    <x v="2"/>
    <n v="7"/>
    <n v="2860"/>
    <n v="23.2"/>
    <n v="15375.36"/>
    <s v="Completed"/>
    <s v="Pune"/>
  </r>
  <r>
    <s v="ORD-00743"/>
    <d v="2024-12-18T00:00:00"/>
    <s v="CUST-0154"/>
    <s v="PROD-043"/>
    <x v="22"/>
    <n v="7"/>
    <n v="3350"/>
    <n v="10.6"/>
    <n v="20964.3"/>
    <s v="Pending"/>
    <s v="Pune"/>
  </r>
  <r>
    <s v="ORD-00744"/>
    <d v="2024-10-24T00:00:00"/>
    <s v="CUST-0084"/>
    <s v="PROD-029"/>
    <x v="8"/>
    <n v="5"/>
    <n v="2210"/>
    <n v="12.1"/>
    <n v="9712.9500000000007"/>
    <s v="Completed"/>
    <s v="Chennai"/>
  </r>
  <r>
    <s v="ORD-00745"/>
    <d v="2024-02-07T00:00:00"/>
    <s v="CUST-0228"/>
    <s v="PROD-047"/>
    <x v="22"/>
    <n v="1"/>
    <n v="3450"/>
    <n v="19.100000000000001"/>
    <n v="2791.05"/>
    <s v="Pending"/>
    <s v="Pune"/>
  </r>
  <r>
    <s v="ORD-00746"/>
    <d v="2024-10-22T00:00:00"/>
    <s v="CUST-0232"/>
    <s v="PROD-048"/>
    <x v="8"/>
    <n v="5"/>
    <n v="5100"/>
    <n v="2.8"/>
    <n v="24786"/>
    <s v="Completed"/>
    <s v="Hyderabad"/>
  </r>
  <r>
    <s v="ORD-00747"/>
    <d v="2024-05-11T00:00:00"/>
    <s v="CUST-0129"/>
    <s v="PROD-048"/>
    <x v="11"/>
    <n v="9"/>
    <n v="5100"/>
    <n v="24.4"/>
    <n v="34700.400000000001"/>
    <s v="Completed"/>
    <s v="Hyderabad"/>
  </r>
  <r>
    <s v="ORD-00748"/>
    <d v="2024-10-03T00:00:00"/>
    <s v="CUST-0189"/>
    <s v="PROD-037"/>
    <x v="3"/>
    <n v="9"/>
    <n v="660"/>
    <n v="19.8"/>
    <n v="4763.88"/>
    <s v="Completed"/>
    <s v="Chennai"/>
  </r>
  <r>
    <s v="ORD-00749"/>
    <d v="2024-09-14T00:00:00"/>
    <s v="CUST-0122"/>
    <s v="PROD-026"/>
    <x v="3"/>
    <n v="3"/>
    <n v="4070"/>
    <n v="27.1"/>
    <n v="8901.09"/>
    <s v="Completed"/>
    <s v="Mumbai"/>
  </r>
  <r>
    <s v="ORD-00750"/>
    <d v="2024-07-31T00:00:00"/>
    <s v="CUST-0170"/>
    <s v="PROD-017"/>
    <x v="0"/>
    <n v="2"/>
    <n v="2510"/>
    <n v="29.1"/>
    <n v="3559.18"/>
    <s v="Completed"/>
    <s v="Mumbai"/>
  </r>
  <r>
    <s v="ORD-00751"/>
    <d v="2024-06-06T00:00:00"/>
    <s v="CUST-0291"/>
    <s v="PROD-036"/>
    <x v="14"/>
    <n v="4"/>
    <n v="3250"/>
    <n v="21.1"/>
    <n v="10257"/>
    <s v="Completed"/>
    <s v="Pune"/>
  </r>
  <r>
    <s v="ORD-00752"/>
    <d v="2024-11-04T00:00:00"/>
    <s v="CUST-0090"/>
    <s v="PROD-032"/>
    <x v="1"/>
    <n v="3"/>
    <n v="370"/>
    <n v="7.7"/>
    <n v="1024.53"/>
    <s v="Completed"/>
    <s v="Bengaluru"/>
  </r>
  <r>
    <s v="ORD-00753"/>
    <d v="2024-07-06T00:00:00"/>
    <s v="CUST-0205"/>
    <s v="PROD-020"/>
    <x v="3"/>
    <n v="10"/>
    <n v="820"/>
    <n v="3.5"/>
    <n v="7913"/>
    <s v="Completed"/>
    <s v="Pune"/>
  </r>
  <r>
    <s v="ORD-00754"/>
    <d v="2024-08-27T00:00:00"/>
    <s v="CUST-0192"/>
    <s v="PROD-026"/>
    <x v="20"/>
    <n v="4"/>
    <n v="4070"/>
    <n v="23.8"/>
    <n v="12405.36"/>
    <s v="Completed"/>
    <s v="Bengaluru"/>
  </r>
  <r>
    <s v="ORD-00755"/>
    <d v="2024-03-05T00:00:00"/>
    <s v="CUST-0270"/>
    <s v="PROD-023"/>
    <x v="23"/>
    <n v="1"/>
    <n v="2380"/>
    <n v="19.600000000000001"/>
    <n v="1913.52"/>
    <s v="Cancelled"/>
    <s v="Bengaluru"/>
  </r>
  <r>
    <s v="ORD-00756"/>
    <d v="2024-09-18T00:00:00"/>
    <s v="CUST-0266"/>
    <s v="PROD-038"/>
    <x v="14"/>
    <n v="3"/>
    <n v="5490"/>
    <n v="2.5"/>
    <n v="16058.25"/>
    <s v="Completed"/>
    <s v="Pune"/>
  </r>
  <r>
    <s v="ORD-00757"/>
    <d v="2024-07-19T00:00:00"/>
    <s v="CUST-0208"/>
    <s v="PROD-013"/>
    <x v="28"/>
    <n v="3"/>
    <n v="3640"/>
    <n v="23.3"/>
    <n v="8375.64"/>
    <s v="Completed"/>
    <s v="Mumbai"/>
  </r>
  <r>
    <s v="ORD-00758"/>
    <d v="2024-04-06T00:00:00"/>
    <s v="CUST-0224"/>
    <s v="PROD-039"/>
    <x v="26"/>
    <n v="2"/>
    <n v="4610"/>
    <n v="5"/>
    <n v="8759"/>
    <s v="Pending"/>
    <s v="Chennai"/>
  </r>
  <r>
    <s v="ORD-00759"/>
    <d v="2024-03-18T00:00:00"/>
    <s v="CUST-0264"/>
    <s v="PROD-058"/>
    <x v="19"/>
    <n v="8"/>
    <n v="2400"/>
    <n v="10"/>
    <n v="17280"/>
    <s v="Pending"/>
    <s v="Pune"/>
  </r>
  <r>
    <s v="ORD-00760"/>
    <d v="2024-11-01T00:00:00"/>
    <s v="CUST-0113"/>
    <s v="PROD-043"/>
    <x v="25"/>
    <n v="7"/>
    <n v="3350"/>
    <n v="23.7"/>
    <n v="17892.349999999999"/>
    <s v="Completed"/>
    <s v="Delhi"/>
  </r>
  <r>
    <s v="ORD-00761"/>
    <d v="2024-11-15T00:00:00"/>
    <s v="CUST-0160"/>
    <s v="PROD-013"/>
    <x v="27"/>
    <n v="4"/>
    <n v="3640"/>
    <n v="9.3000000000000007"/>
    <n v="13205.92"/>
    <s v="Cancelled"/>
    <s v="Hyderabad"/>
  </r>
  <r>
    <s v="ORD-00762"/>
    <d v="2024-10-14T00:00:00"/>
    <s v="CUST-0109"/>
    <s v="PROD-013"/>
    <x v="8"/>
    <n v="9"/>
    <n v="3640"/>
    <n v="13.1"/>
    <n v="28468.44"/>
    <s v="Pending"/>
    <s v="Pune"/>
  </r>
  <r>
    <s v="ORD-00763"/>
    <d v="2024-12-08T00:00:00"/>
    <s v="CUST-0107"/>
    <s v="PROD-033"/>
    <x v="2"/>
    <n v="2"/>
    <n v="2030"/>
    <n v="12.2"/>
    <n v="3564.68"/>
    <s v="Completed"/>
    <s v="Pune"/>
  </r>
  <r>
    <s v="ORD-00764"/>
    <d v="2024-06-28T00:00:00"/>
    <s v="CUST-0120"/>
    <s v="PROD-012"/>
    <x v="25"/>
    <n v="4"/>
    <n v="3160"/>
    <n v="7.5"/>
    <n v="11692"/>
    <s v="Completed"/>
    <s v="Mumbai"/>
  </r>
  <r>
    <s v="ORD-00765"/>
    <d v="2024-02-05T00:00:00"/>
    <s v="CUST-0225"/>
    <s v="PROD-026"/>
    <x v="20"/>
    <n v="10"/>
    <n v="4070"/>
    <n v="8.3000000000000007"/>
    <n v="37321.9"/>
    <s v="Completed"/>
    <s v="Chennai"/>
  </r>
  <r>
    <s v="ORD-00766"/>
    <d v="2024-02-21T00:00:00"/>
    <s v="CUST-0134"/>
    <s v="PROD-025"/>
    <x v="6"/>
    <n v="8"/>
    <n v="4060"/>
    <n v="8.5"/>
    <n v="29719.200000000001"/>
    <s v="Completed"/>
    <s v="Delhi"/>
  </r>
  <r>
    <s v="ORD-00767"/>
    <d v="2024-02-12T00:00:00"/>
    <s v="CUST-0279"/>
    <s v="PROD-057"/>
    <x v="26"/>
    <n v="8"/>
    <n v="960"/>
    <n v="8.6999999999999993"/>
    <n v="7011.84"/>
    <s v="Completed"/>
    <s v="Mumbai"/>
  </r>
  <r>
    <s v="ORD-00768"/>
    <d v="2024-01-15T00:00:00"/>
    <s v="CUST-0247"/>
    <s v="PROD-022"/>
    <x v="28"/>
    <n v="2"/>
    <n v="2270"/>
    <n v="10.199999999999999"/>
    <n v="4076.92"/>
    <s v="Completed"/>
    <s v="Pune"/>
  </r>
  <r>
    <s v="ORD-00769"/>
    <d v="2024-01-05T00:00:00"/>
    <s v="CUST-0129"/>
    <s v="PROD-027"/>
    <x v="0"/>
    <n v="1"/>
    <n v="3780"/>
    <n v="15.3"/>
    <n v="3201.66"/>
    <s v="Cancelled"/>
    <s v="Hyderabad"/>
  </r>
  <r>
    <s v="ORD-00770"/>
    <d v="2024-07-16T00:00:00"/>
    <s v="CUST-0038"/>
    <s v="PROD-042"/>
    <x v="8"/>
    <n v="10"/>
    <n v="2290"/>
    <n v="2.4"/>
    <n v="22350.400000000001"/>
    <s v="Pending"/>
    <s v="Mumbai"/>
  </r>
  <r>
    <s v="ORD-00771"/>
    <d v="2024-05-04T00:00:00"/>
    <s v="CUST-0109"/>
    <s v="PROD-043"/>
    <x v="21"/>
    <n v="5"/>
    <n v="3350"/>
    <n v="18.5"/>
    <n v="13651.25"/>
    <s v="Cancelled"/>
    <s v="Pune"/>
  </r>
  <r>
    <s v="ORD-00772"/>
    <d v="2024-02-25T00:00:00"/>
    <s v="CUST-0051"/>
    <s v="PROD-017"/>
    <x v="13"/>
    <n v="7"/>
    <n v="2510"/>
    <n v="4.2"/>
    <n v="16832.060000000001"/>
    <s v="Cancelled"/>
    <s v="Pune"/>
  </r>
  <r>
    <s v="ORD-00773"/>
    <d v="2024-12-26T00:00:00"/>
    <s v="CUST-0265"/>
    <s v="PROD-002"/>
    <x v="26"/>
    <n v="1"/>
    <n v="2600"/>
    <n v="2.2000000000000002"/>
    <n v="2542.8000000000002"/>
    <s v="Completed"/>
    <s v="Chennai"/>
  </r>
  <r>
    <s v="ORD-00774"/>
    <d v="2024-06-24T00:00:00"/>
    <s v="CUST-0192"/>
    <s v="PROD-053"/>
    <x v="11"/>
    <n v="8"/>
    <n v="470"/>
    <n v="25.2"/>
    <n v="2812.48"/>
    <s v="Completed"/>
    <s v="Bengaluru"/>
  </r>
  <r>
    <s v="ORD-00775"/>
    <d v="2024-09-23T00:00:00"/>
    <s v="CUST-0241"/>
    <s v="PROD-040"/>
    <x v="27"/>
    <n v="6"/>
    <n v="1080"/>
    <n v="25"/>
    <n v="4860"/>
    <s v="Completed"/>
    <s v="Pune"/>
  </r>
  <r>
    <s v="ORD-00776"/>
    <d v="2024-12-19T00:00:00"/>
    <s v="CUST-0243"/>
    <s v="PROD-054"/>
    <x v="7"/>
    <n v="2"/>
    <n v="1010"/>
    <n v="16.100000000000001"/>
    <n v="1694.78"/>
    <s v="Completed"/>
    <s v="Pune"/>
  </r>
  <r>
    <s v="ORD-00777"/>
    <d v="2024-05-06T00:00:00"/>
    <s v="CUST-0016"/>
    <s v="PROD-004"/>
    <x v="25"/>
    <n v="6"/>
    <n v="3870"/>
    <n v="22.4"/>
    <n v="18018.72"/>
    <s v="Cancelled"/>
    <s v="Delhi"/>
  </r>
  <r>
    <s v="ORD-00778"/>
    <d v="2024-12-29T00:00:00"/>
    <s v="CUST-0249"/>
    <s v="PROD-033"/>
    <x v="28"/>
    <n v="3"/>
    <n v="2030"/>
    <n v="18.5"/>
    <n v="4963.3500000000004"/>
    <s v="Completed"/>
    <s v="Mumbai"/>
  </r>
  <r>
    <s v="ORD-00779"/>
    <d v="2024-09-05T00:00:00"/>
    <s v="CUST-0021"/>
    <s v="PROD-040"/>
    <x v="28"/>
    <n v="7"/>
    <n v="1080"/>
    <n v="6.8"/>
    <n v="7045.92"/>
    <s v="Pending"/>
    <s v="Pune"/>
  </r>
  <r>
    <s v="ORD-00780"/>
    <d v="2024-11-13T00:00:00"/>
    <s v="CUST-0255"/>
    <s v="PROD-035"/>
    <x v="18"/>
    <n v="1"/>
    <n v="1090"/>
    <n v="20.6"/>
    <n v="865.46"/>
    <s v="Completed"/>
    <s v="Chennai"/>
  </r>
  <r>
    <s v="ORD-00781"/>
    <d v="2024-08-24T00:00:00"/>
    <s v="CUST-0084"/>
    <s v="PROD-032"/>
    <x v="23"/>
    <n v="8"/>
    <n v="370"/>
    <n v="1.7"/>
    <n v="2909.68"/>
    <s v="Completed"/>
    <s v="Chennai"/>
  </r>
  <r>
    <s v="ORD-00782"/>
    <d v="2024-11-29T00:00:00"/>
    <s v="CUST-0289"/>
    <s v="PROD-018"/>
    <x v="26"/>
    <n v="7"/>
    <n v="3560"/>
    <n v="28.7"/>
    <n v="17767.96"/>
    <s v="Completed"/>
    <s v="Mumbai"/>
  </r>
  <r>
    <s v="ORD-00783"/>
    <d v="2024-06-01T00:00:00"/>
    <s v="CUST-0026"/>
    <s v="PROD-050"/>
    <x v="29"/>
    <n v="9"/>
    <n v="6080"/>
    <n v="16.3"/>
    <n v="45800.639999999999"/>
    <s v="Cancelled"/>
    <s v="Pune"/>
  </r>
  <r>
    <s v="ORD-00784"/>
    <d v="2024-08-01T00:00:00"/>
    <s v="CUST-0273"/>
    <s v="PROD-051"/>
    <x v="15"/>
    <n v="2"/>
    <n v="3450"/>
    <n v="17.600000000000001"/>
    <n v="5685.6"/>
    <s v="Pending"/>
    <s v="Hyderabad"/>
  </r>
  <r>
    <s v="ORD-00785"/>
    <d v="2024-04-19T00:00:00"/>
    <s v="CUST-0069"/>
    <s v="PROD-034"/>
    <x v="18"/>
    <n v="1"/>
    <n v="5080"/>
    <n v="5.9"/>
    <n v="4780.28"/>
    <s v="Completed"/>
    <s v="Chennai"/>
  </r>
  <r>
    <s v="ORD-00786"/>
    <d v="2024-03-13T00:00:00"/>
    <s v="CUST-0236"/>
    <s v="PROD-011"/>
    <x v="12"/>
    <n v="7"/>
    <n v="3450"/>
    <n v="17.399999999999999"/>
    <n v="19947.900000000001"/>
    <s v="Completed"/>
    <s v="Hyderabad"/>
  </r>
  <r>
    <s v="ORD-00787"/>
    <d v="2024-04-21T00:00:00"/>
    <s v="CUST-0060"/>
    <s v="PROD-024"/>
    <x v="18"/>
    <n v="8"/>
    <n v="2270"/>
    <n v="24.7"/>
    <n v="13674.48"/>
    <s v="Completed"/>
    <s v="Pune"/>
  </r>
  <r>
    <s v="ORD-00788"/>
    <d v="2024-11-03T00:00:00"/>
    <s v="CUST-0243"/>
    <s v="PROD-012"/>
    <x v="12"/>
    <n v="3"/>
    <n v="3160"/>
    <n v="1.5"/>
    <n v="9337.7999999999993"/>
    <s v="Pending"/>
    <s v="Pune"/>
  </r>
  <r>
    <s v="ORD-00789"/>
    <d v="2024-04-07T00:00:00"/>
    <s v="CUST-0188"/>
    <s v="PROD-043"/>
    <x v="20"/>
    <n v="6"/>
    <n v="3350"/>
    <n v="0.9"/>
    <n v="19919.099999999999"/>
    <s v="Pending"/>
    <s v="Bengaluru"/>
  </r>
  <r>
    <s v="ORD-00790"/>
    <d v="2024-08-02T00:00:00"/>
    <s v="CUST-0174"/>
    <s v="PROD-044"/>
    <x v="20"/>
    <n v="7"/>
    <n v="1650"/>
    <n v="5.6"/>
    <n v="10903.2"/>
    <s v="Refunded"/>
    <s v="Pune"/>
  </r>
  <r>
    <s v="ORD-00791"/>
    <d v="2024-04-20T00:00:00"/>
    <s v="CUST-0016"/>
    <s v="PROD-038"/>
    <x v="11"/>
    <n v="1"/>
    <n v="5490"/>
    <n v="5.8"/>
    <n v="5171.58"/>
    <s v="Completed"/>
    <s v="Delhi"/>
  </r>
  <r>
    <s v="ORD-00792"/>
    <d v="2024-04-23T00:00:00"/>
    <s v="CUST-0184"/>
    <s v="PROD-040"/>
    <x v="6"/>
    <n v="3"/>
    <n v="1080"/>
    <n v="20.9"/>
    <n v="2562.84"/>
    <s v="Completed"/>
    <s v="Pune"/>
  </r>
  <r>
    <s v="ORD-00793"/>
    <d v="2024-05-22T00:00:00"/>
    <s v="CUST-9568"/>
    <s v="PROD-027"/>
    <x v="26"/>
    <n v="10"/>
    <n v="3780"/>
    <n v="5.5"/>
    <n v="35721"/>
    <s v="Completed"/>
    <s v="Hyderabad"/>
  </r>
  <r>
    <s v="ORD-00794"/>
    <d v="2024-09-23T00:00:00"/>
    <s v="CUST-0118"/>
    <s v="PROD-033"/>
    <x v="14"/>
    <n v="2"/>
    <n v="2030"/>
    <n v="2"/>
    <n v="3978.8"/>
    <s v="Pending"/>
    <s v="Hyderabad"/>
  </r>
  <r>
    <s v="ORD-00795"/>
    <d v="2024-10-17T00:00:00"/>
    <s v="CUST-0271"/>
    <s v="PROD-041"/>
    <x v="7"/>
    <n v="8"/>
    <n v="1540"/>
    <n v="9"/>
    <n v="11211.2"/>
    <s v="Cancelled"/>
    <s v="Bengaluru"/>
  </r>
  <r>
    <s v="ORD-00796"/>
    <d v="2024-11-05T00:00:00"/>
    <s v="CUST-0147"/>
    <s v="PROD-036"/>
    <x v="15"/>
    <n v="9"/>
    <n v="3250"/>
    <n v="20.5"/>
    <n v="23253.75"/>
    <s v="Completed"/>
    <s v="Pune"/>
  </r>
  <r>
    <s v="ORD-00797"/>
    <d v="2024-02-22T00:00:00"/>
    <s v="CUST-0253"/>
    <s v="PROD-047"/>
    <x v="1"/>
    <n v="3"/>
    <n v="3450"/>
    <n v="17.899999999999999"/>
    <n v="8497.35"/>
    <s v="Completed"/>
    <s v="Delhi"/>
  </r>
  <r>
    <s v="ORD-00798"/>
    <d v="2024-07-31T00:00:00"/>
    <s v="CUST-0224"/>
    <s v="PROD-038"/>
    <x v="4"/>
    <n v="5"/>
    <n v="5490"/>
    <n v="7.9"/>
    <n v="25281.45"/>
    <s v="Completed"/>
    <s v="Chennai"/>
  </r>
  <r>
    <s v="ORD-00799"/>
    <d v="2024-01-15T00:00:00"/>
    <s v="CUST-0134"/>
    <s v="PROD-032"/>
    <x v="20"/>
    <n v="3"/>
    <n v="370"/>
    <n v="13.4"/>
    <n v="961.26"/>
    <s v="Completed"/>
    <s v="Delhi"/>
  </r>
  <r>
    <s v="ORD-00800"/>
    <d v="2024-05-01T00:00:00"/>
    <s v="CUST-0287"/>
    <s v="PROD-001"/>
    <x v="18"/>
    <n v="7"/>
    <n v="5330"/>
    <n v="29.7"/>
    <n v="26228.93"/>
    <s v="Pending"/>
    <s v="Chennai"/>
  </r>
  <r>
    <s v="ORD-00801"/>
    <d v="2024-03-17T00:00:00"/>
    <s v="CUST-0144"/>
    <s v="PROD-051"/>
    <x v="29"/>
    <n v="8"/>
    <n v="3450"/>
    <n v="23.7"/>
    <n v="21058.799999999999"/>
    <s v="Completed"/>
    <s v="Chennai"/>
  </r>
  <r>
    <s v="ORD-00802"/>
    <d v="2024-01-25T00:00:00"/>
    <s v="CUST-0255"/>
    <s v="PROD-011"/>
    <x v="28"/>
    <n v="8"/>
    <n v="3450"/>
    <n v="5.4"/>
    <n v="26109.599999999999"/>
    <s v="Completed"/>
    <s v="Chennai"/>
  </r>
  <r>
    <s v="ORD-00803"/>
    <d v="2024-12-26T00:00:00"/>
    <s v="CUST-0054"/>
    <s v="PROD-050"/>
    <x v="20"/>
    <n v="1"/>
    <n v="6080"/>
    <n v="22.3"/>
    <n v="4724.16"/>
    <s v="Completed"/>
    <s v="Mumbai"/>
  </r>
  <r>
    <s v="ORD-00804"/>
    <d v="2024-11-01T00:00:00"/>
    <s v="CUST-0283"/>
    <s v="PROD-017"/>
    <x v="23"/>
    <n v="9"/>
    <n v="2510"/>
    <n v="27.4"/>
    <n v="16400.34"/>
    <s v="Completed"/>
    <s v="Delhi"/>
  </r>
  <r>
    <s v="ORD-00805"/>
    <d v="2024-04-10T00:00:00"/>
    <s v="CUST-0182"/>
    <s v="PROD-054"/>
    <x v="27"/>
    <n v="10"/>
    <n v="1010"/>
    <n v="28.4"/>
    <n v="7231.6"/>
    <s v="Completed"/>
    <s v="Mumbai"/>
  </r>
  <r>
    <s v="ORD-00806"/>
    <d v="2024-04-19T00:00:00"/>
    <s v="CUST-0289"/>
    <s v="PROD-018"/>
    <x v="12"/>
    <n v="1"/>
    <n v="3560"/>
    <n v="26"/>
    <n v="2634.4"/>
    <s v="Completed"/>
    <s v="Mumbai"/>
  </r>
  <r>
    <s v="ORD-00807"/>
    <d v="2024-04-15T00:00:00"/>
    <s v="CUST-0104"/>
    <s v="PROD-045"/>
    <x v="3"/>
    <n v="8"/>
    <n v="3020"/>
    <n v="6.9"/>
    <n v="22492.959999999999"/>
    <s v="Completed"/>
    <s v="Hyderabad"/>
  </r>
  <r>
    <s v="ORD-00808"/>
    <d v="2024-01-10T00:00:00"/>
    <s v="CUST-0085"/>
    <s v="PROD-026"/>
    <x v="21"/>
    <n v="1"/>
    <n v="4070"/>
    <n v="8.1999999999999993"/>
    <n v="3736.26"/>
    <s v="Completed"/>
    <s v="Chennai"/>
  </r>
  <r>
    <s v="ORD-00809"/>
    <d v="2024-02-25T00:00:00"/>
    <s v="CUST-0120"/>
    <s v="PROD-032"/>
    <x v="16"/>
    <n v="9"/>
    <n v="370"/>
    <n v="19.8"/>
    <n v="2670.66"/>
    <s v="Completed"/>
    <s v="Mumbai"/>
  </r>
  <r>
    <s v="ORD-00810"/>
    <d v="2024-09-09T00:00:00"/>
    <s v="CUST-0236"/>
    <s v="PROD-030"/>
    <x v="16"/>
    <n v="6"/>
    <n v="970"/>
    <n v="16.2"/>
    <n v="4877.16"/>
    <s v="Completed"/>
    <s v="Hyderabad"/>
  </r>
  <r>
    <s v="ORD-00811"/>
    <d v="2024-12-07T00:00:00"/>
    <s v="CUST-0094"/>
    <s v="PROD-015"/>
    <x v="7"/>
    <n v="10"/>
    <n v="2720"/>
    <n v="3"/>
    <n v="26384"/>
    <s v="Pending"/>
    <s v="Pune"/>
  </r>
  <r>
    <s v="ORD-00812"/>
    <d v="2024-01-02T00:00:00"/>
    <s v="CUST-0030"/>
    <s v="PROD-058"/>
    <x v="2"/>
    <n v="7"/>
    <n v="2400"/>
    <n v="29.4"/>
    <n v="11860.8"/>
    <s v="Completed"/>
    <s v="Bengaluru"/>
  </r>
  <r>
    <s v="ORD-00813"/>
    <d v="2024-09-29T00:00:00"/>
    <s v="CUST-0172"/>
    <s v="PROD-018"/>
    <x v="27"/>
    <n v="8"/>
    <n v="3560"/>
    <n v="21.7"/>
    <n v="22299.84"/>
    <s v="Completed"/>
    <s v="Pune"/>
  </r>
  <r>
    <s v="ORD-00814"/>
    <d v="2024-04-03T00:00:00"/>
    <s v="CUST-0221"/>
    <s v="PROD-026"/>
    <x v="15"/>
    <n v="7"/>
    <n v="4070"/>
    <n v="10.5"/>
    <n v="25498.55"/>
    <s v="Completed"/>
    <s v="Delhi"/>
  </r>
  <r>
    <s v="ORD-01052"/>
    <d v="2024-01-08T00:00:00"/>
    <s v="CUST-0151"/>
    <s v="PROD-052"/>
    <x v="4"/>
    <n v="3"/>
    <n v="5410"/>
    <n v="0.2"/>
    <n v="16197.54"/>
    <s v="Completed"/>
    <s v="Mumbai"/>
  </r>
  <r>
    <s v="ORD-00816"/>
    <d v="2024-12-25T00:00:00"/>
    <s v="CUST-0068"/>
    <s v="PROD-021"/>
    <x v="8"/>
    <n v="4"/>
    <n v="2760"/>
    <n v="27.5"/>
    <n v="8004"/>
    <s v="Cancelled"/>
    <s v="Delhi"/>
  </r>
  <r>
    <s v="ORD-01136"/>
    <d v="2024-07-01T00:00:00"/>
    <s v="CUST-0165"/>
    <s v="PROD-034"/>
    <x v="22"/>
    <n v="3"/>
    <n v="5080"/>
    <n v="27.2"/>
    <n v="11094.72"/>
    <s v="Completed"/>
    <s v="Pune"/>
  </r>
  <r>
    <s v="ORD-00818"/>
    <d v="2024-04-09T00:00:00"/>
    <s v="CUST-0060"/>
    <s v="PROD-035"/>
    <x v="21"/>
    <n v="5"/>
    <n v="1090"/>
    <n v="3.3"/>
    <n v="5270.15"/>
    <s v="Completed"/>
    <s v="Pune"/>
  </r>
  <r>
    <s v="ORD-00819"/>
    <d v="2024-02-06T00:00:00"/>
    <s v="CUST-0130"/>
    <s v="PROD-023"/>
    <x v="20"/>
    <n v="10"/>
    <n v="2380"/>
    <n v="7"/>
    <n v="22134"/>
    <s v="Completed"/>
    <s v="Bengaluru"/>
  </r>
  <r>
    <s v="ORD-00820"/>
    <d v="2024-07-17T00:00:00"/>
    <s v="CUST-0023"/>
    <s v="PROD-012"/>
    <x v="17"/>
    <n v="5"/>
    <n v="3160"/>
    <n v="25.6"/>
    <n v="11755.2"/>
    <s v="Completed"/>
    <s v="Chennai"/>
  </r>
  <r>
    <s v="ORD-00821"/>
    <d v="2024-03-11T00:00:00"/>
    <s v="CUST-0089"/>
    <s v="PROD-058"/>
    <x v="20"/>
    <n v="9"/>
    <n v="2400"/>
    <n v="8.4"/>
    <n v="19785.599999999999"/>
    <s v="Completed"/>
    <s v="Mumbai"/>
  </r>
  <r>
    <s v="ORD-00822"/>
    <d v="2024-06-06T00:00:00"/>
    <s v="CUST-0300"/>
    <s v="PROD-002"/>
    <x v="16"/>
    <n v="4"/>
    <n v="2600"/>
    <n v="4.2"/>
    <n v="9963.2000000000007"/>
    <s v="Completed"/>
    <s v="Mumbai"/>
  </r>
  <r>
    <s v="ORD-00823"/>
    <d v="2024-04-27T00:00:00"/>
    <s v="CUST-9578"/>
    <s v="PROD-024"/>
    <x v="12"/>
    <n v="5"/>
    <n v="2270"/>
    <n v="0.1"/>
    <n v="11338.65"/>
    <s v="Completed"/>
    <s v="Mumbai"/>
  </r>
  <r>
    <s v="ORD-00824"/>
    <d v="2024-06-22T00:00:00"/>
    <s v="CUST-0130"/>
    <s v="PROD-038"/>
    <x v="16"/>
    <n v="7"/>
    <n v="5490"/>
    <n v="14.9"/>
    <n v="32703.93"/>
    <s v="Completed"/>
    <s v="Bengaluru"/>
  </r>
  <r>
    <s v="ORD-00825"/>
    <d v="2024-05-03T00:00:00"/>
    <s v="CUST-0247"/>
    <s v="PROD-004"/>
    <x v="18"/>
    <n v="5"/>
    <n v="3870"/>
    <n v="13.3"/>
    <n v="16776.45"/>
    <s v="Cancelled"/>
    <s v="Pune"/>
  </r>
  <r>
    <s v="ORD-00826"/>
    <d v="2024-03-21T00:00:00"/>
    <s v="CUST-0256"/>
    <s v="PROD-049"/>
    <x v="6"/>
    <n v="2"/>
    <n v="960"/>
    <n v="17.5"/>
    <n v="1584"/>
    <s v="Completed"/>
    <s v="Hyderabad"/>
  </r>
  <r>
    <s v="ORD-00827"/>
    <d v="2024-04-23T00:00:00"/>
    <s v="CUST-0213"/>
    <s v="PROD-046"/>
    <x v="19"/>
    <n v="4"/>
    <n v="4880"/>
    <n v="12.2"/>
    <n v="17138.560000000001"/>
    <s v="Cancelled"/>
    <s v="Mumbai"/>
  </r>
  <r>
    <s v="ORD-00828"/>
    <d v="2024-05-07T00:00:00"/>
    <s v="CUST-0183"/>
    <s v="PROD-058"/>
    <x v="4"/>
    <n v="5"/>
    <n v="2400"/>
    <n v="15"/>
    <n v="10200"/>
    <s v="Completed"/>
    <s v="Mumbai"/>
  </r>
  <r>
    <s v="ORD-00829"/>
    <d v="2024-08-18T00:00:00"/>
    <s v="CUST-0051"/>
    <s v="PROD-016"/>
    <x v="15"/>
    <n v="9"/>
    <n v="620"/>
    <n v="20.399999999999999"/>
    <n v="4441.68"/>
    <s v="Pending"/>
    <s v="Pune"/>
  </r>
  <r>
    <s v="ORD-00830"/>
    <d v="2024-08-09T00:00:00"/>
    <s v="CUST-0001"/>
    <s v="PROD-039"/>
    <x v="22"/>
    <n v="1"/>
    <n v="4610"/>
    <n v="1.8"/>
    <n v="4527.0200000000004"/>
    <s v="Pending"/>
    <s v="Pune"/>
  </r>
  <r>
    <s v="ORD-00831"/>
    <d v="2024-07-27T00:00:00"/>
    <s v="CUST-0105"/>
    <s v="PROD-039"/>
    <x v="2"/>
    <n v="7"/>
    <n v="4610"/>
    <n v="27"/>
    <n v="23557.1"/>
    <s v="Completed"/>
    <s v="Chennai"/>
  </r>
  <r>
    <s v="ORD-00832"/>
    <d v="2024-11-12T00:00:00"/>
    <s v="CUST-0199"/>
    <s v="PROD-030"/>
    <x v="20"/>
    <n v="6"/>
    <n v="970"/>
    <n v="4.7"/>
    <n v="5546.46"/>
    <s v="Cancelled"/>
    <s v="Hyderabad"/>
  </r>
  <r>
    <s v="ORD-00833"/>
    <d v="2024-03-11T00:00:00"/>
    <s v="CUST-0240"/>
    <s v="PROD-007"/>
    <x v="17"/>
    <n v="8"/>
    <n v="1430"/>
    <n v="8.6999999999999993"/>
    <n v="10444.719999999999"/>
    <s v="Completed"/>
    <s v="Chennai"/>
  </r>
  <r>
    <s v="ORD-00834"/>
    <d v="2024-02-26T00:00:00"/>
    <s v="CUST-0283"/>
    <s v="PROD-027"/>
    <x v="23"/>
    <n v="5"/>
    <n v="3780"/>
    <n v="2.9"/>
    <n v="18351.900000000001"/>
    <s v="Completed"/>
    <s v="Delhi"/>
  </r>
  <r>
    <s v="ORD-00835"/>
    <d v="2024-08-28T00:00:00"/>
    <s v="CUST-0284"/>
    <s v="PROD-041"/>
    <x v="12"/>
    <n v="2"/>
    <n v="1540"/>
    <n v="12.7"/>
    <n v="2688.84"/>
    <s v="Completed"/>
    <s v="Hyderabad"/>
  </r>
  <r>
    <s v="ORD-00836"/>
    <d v="2024-07-19T00:00:00"/>
    <s v="CUST-0060"/>
    <s v="PROD-040"/>
    <x v="16"/>
    <n v="9"/>
    <n v="1080"/>
    <n v="11.2"/>
    <n v="8631.36"/>
    <s v="Cancelled"/>
    <s v="Pune"/>
  </r>
  <r>
    <s v="ORD-00837"/>
    <d v="2024-03-17T00:00:00"/>
    <s v="CUST-0266"/>
    <s v="PROD-058"/>
    <x v="0"/>
    <n v="3"/>
    <n v="2400"/>
    <n v="28.6"/>
    <n v="5140.8"/>
    <s v="Completed"/>
    <s v="Pune"/>
  </r>
  <r>
    <s v="ORD-00838"/>
    <d v="2024-06-05T00:00:00"/>
    <s v="CUST-0056"/>
    <s v="PROD-040"/>
    <x v="26"/>
    <n v="5"/>
    <n v="1080"/>
    <n v="18.3"/>
    <n v="4411.8"/>
    <s v="Completed"/>
    <s v="Bengaluru"/>
  </r>
  <r>
    <s v="ORD-00839"/>
    <d v="2024-11-14T00:00:00"/>
    <s v="CUST-0187"/>
    <s v="PROD-024"/>
    <x v="28"/>
    <n v="7"/>
    <n v="2270"/>
    <n v="1.7"/>
    <n v="15619.87"/>
    <s v="Cancelled"/>
    <s v="Chennai"/>
  </r>
  <r>
    <s v="ORD-00840"/>
    <d v="2024-05-26T00:00:00"/>
    <s v="CUST-0183"/>
    <s v="PROD-028"/>
    <x v="17"/>
    <n v="8"/>
    <n v="3660"/>
    <n v="19.100000000000001"/>
    <n v="23687.52"/>
    <s v="Cancelled"/>
    <s v="Mumbai"/>
  </r>
  <r>
    <s v="ORD-00841"/>
    <d v="2024-07-04T00:00:00"/>
    <s v="CUST-0068"/>
    <s v="PROD-036"/>
    <x v="11"/>
    <n v="5"/>
    <n v="3250"/>
    <n v="12.9"/>
    <n v="14153.75"/>
    <s v="Completed"/>
    <s v="Delhi"/>
  </r>
  <r>
    <s v="ORD-00842"/>
    <d v="2024-02-06T00:00:00"/>
    <s v="CUST-0135"/>
    <s v="PROD-044"/>
    <x v="27"/>
    <n v="4"/>
    <n v="1650"/>
    <n v="4.0999999999999996"/>
    <n v="6329.4"/>
    <s v="Completed"/>
    <s v="Pune"/>
  </r>
  <r>
    <s v="ORD-00843"/>
    <d v="2024-11-28T00:00:00"/>
    <s v="CUST-0191"/>
    <s v="PROD-034"/>
    <x v="11"/>
    <n v="6"/>
    <n v="5080"/>
    <n v="3"/>
    <n v="29565.599999999999"/>
    <s v="Completed"/>
    <s v="Hyderabad"/>
  </r>
  <r>
    <s v="ORD-00844"/>
    <d v="2024-11-18T00:00:00"/>
    <s v="CUST-0244"/>
    <s v="PROD-051"/>
    <x v="28"/>
    <n v="8"/>
    <n v="3450"/>
    <n v="20.9"/>
    <n v="21831.599999999999"/>
    <s v="Completed"/>
    <s v="Bengaluru"/>
  </r>
  <r>
    <s v="ORD-00845"/>
    <d v="2024-05-17T00:00:00"/>
    <s v="CUST-0189"/>
    <s v="PROD-043"/>
    <x v="26"/>
    <n v="6"/>
    <n v="3350"/>
    <n v="24.8"/>
    <n v="15115.2"/>
    <s v="Completed"/>
    <s v="Chennai"/>
  </r>
  <r>
    <s v="ORD-00846"/>
    <d v="2024-06-08T00:00:00"/>
    <s v="CUST-0166"/>
    <s v="PROD-029"/>
    <x v="28"/>
    <n v="10"/>
    <n v="2210"/>
    <n v="4.2"/>
    <n v="21171.8"/>
    <s v="Completed"/>
    <s v="Hyderabad"/>
  </r>
  <r>
    <s v="ORD-00847"/>
    <d v="2024-06-01T00:00:00"/>
    <s v="CUST-0167"/>
    <s v="PROD-046"/>
    <x v="3"/>
    <n v="10"/>
    <n v="4880"/>
    <n v="0.7"/>
    <n v="48458.400000000001"/>
    <s v="Completed"/>
    <s v="Delhi"/>
  </r>
  <r>
    <s v="ORD-00848"/>
    <d v="2024-03-18T00:00:00"/>
    <s v="CUST-0265"/>
    <s v="PROD-055"/>
    <x v="10"/>
    <n v="7"/>
    <n v="2860"/>
    <n v="28.1"/>
    <n v="14394.38"/>
    <s v="Pending"/>
    <s v="Chennai"/>
  </r>
  <r>
    <s v="ORD-00849"/>
    <d v="2024-10-16T00:00:00"/>
    <s v="CUST-0172"/>
    <s v="PROD-030"/>
    <x v="1"/>
    <n v="3"/>
    <n v="970"/>
    <n v="28.3"/>
    <n v="2086.4699999999998"/>
    <s v="Completed"/>
    <s v="Pune"/>
  </r>
  <r>
    <s v="ORD-00850"/>
    <d v="2024-07-21T00:00:00"/>
    <s v="CUST-0205"/>
    <s v="PROD-022"/>
    <x v="4"/>
    <n v="1"/>
    <n v="2270"/>
    <n v="15.1"/>
    <n v="1927.23"/>
    <s v="Completed"/>
    <s v="Pune"/>
  </r>
  <r>
    <s v="ORD-00851"/>
    <d v="2024-02-02T00:00:00"/>
    <s v="CUST-0102"/>
    <s v="PROD-018"/>
    <x v="15"/>
    <n v="5"/>
    <n v="3560"/>
    <n v="11.5"/>
    <n v="15753"/>
    <s v="Completed"/>
    <s v="Chennai"/>
  </r>
  <r>
    <s v="ORD-00852"/>
    <d v="2024-05-07T00:00:00"/>
    <s v="CUST-0142"/>
    <s v="PROD-052"/>
    <x v="9"/>
    <n v="2"/>
    <n v="5410"/>
    <n v="14.8"/>
    <n v="9218.64"/>
    <s v="Pending"/>
    <s v="Chennai"/>
  </r>
  <r>
    <s v="ORD-00853"/>
    <d v="2024-12-30T00:00:00"/>
    <s v="CUST-0195"/>
    <s v="PROD-019"/>
    <x v="3"/>
    <n v="2"/>
    <n v="2480"/>
    <n v="27.2"/>
    <n v="3610.88"/>
    <s v="Completed"/>
    <s v="Bengaluru"/>
  </r>
  <r>
    <s v="ORD-00854"/>
    <d v="2024-02-28T00:00:00"/>
    <s v="CUST-0125"/>
    <s v="PROD-020"/>
    <x v="2"/>
    <n v="6"/>
    <n v="820"/>
    <n v="6.6"/>
    <n v="4595.28"/>
    <s v="Completed"/>
    <s v="Delhi"/>
  </r>
  <r>
    <s v="ORD-00855"/>
    <d v="2024-05-22T00:00:00"/>
    <s v="CUST-0234"/>
    <s v="PROD-001"/>
    <x v="15"/>
    <n v="10"/>
    <n v="5330"/>
    <n v="16.100000000000001"/>
    <n v="44718.7"/>
    <s v="Completed"/>
    <s v="Bengaluru"/>
  </r>
  <r>
    <s v="ORD-00856"/>
    <d v="2024-05-26T00:00:00"/>
    <s v="CUST-0061"/>
    <s v="PROD-047"/>
    <x v="10"/>
    <n v="2"/>
    <n v="3450"/>
    <n v="11.3"/>
    <n v="6120.3"/>
    <s v="Pending"/>
    <s v="Hyderabad"/>
  </r>
  <r>
    <s v="ORD-00857"/>
    <d v="2024-07-13T00:00:00"/>
    <s v="CUST-0189"/>
    <s v="PROD-049"/>
    <x v="12"/>
    <n v="7"/>
    <n v="960"/>
    <n v="17.100000000000001"/>
    <n v="5570.88"/>
    <s v="Completed"/>
    <s v="Chennai"/>
  </r>
  <r>
    <s v="ORD-00858"/>
    <d v="2024-11-27T00:00:00"/>
    <s v="CUST-0191"/>
    <s v="PROD-011"/>
    <x v="11"/>
    <n v="5"/>
    <n v="3450"/>
    <n v="22.9"/>
    <n v="13299.75"/>
    <s v="Completed"/>
    <s v="Hyderabad"/>
  </r>
  <r>
    <s v="ORD-00859"/>
    <d v="2024-12-08T00:00:00"/>
    <s v="CUST-0217"/>
    <s v="PROD-009"/>
    <x v="4"/>
    <n v="5"/>
    <n v="1220"/>
    <n v="0.3"/>
    <n v="6081.7"/>
    <s v="Completed"/>
    <s v="Pune"/>
  </r>
  <r>
    <s v="ORD-00860"/>
    <d v="2024-01-17T00:00:00"/>
    <s v="CUST-0060"/>
    <s v="PROD-001"/>
    <x v="0"/>
    <n v="5"/>
    <n v="5330"/>
    <n v="29"/>
    <n v="18921.5"/>
    <s v="Completed"/>
    <s v="Pune"/>
  </r>
  <r>
    <s v="ORD-00861"/>
    <d v="2024-12-15T00:00:00"/>
    <s v="CUST-0270"/>
    <s v="PROD-003"/>
    <x v="8"/>
    <n v="3"/>
    <n v="3570"/>
    <n v="20"/>
    <n v="8568"/>
    <s v="Cancelled"/>
    <s v="Bengaluru"/>
  </r>
  <r>
    <s v="ORD-00862"/>
    <d v="2024-04-14T00:00:00"/>
    <s v="CUST-0279"/>
    <s v="PROD-029"/>
    <x v="17"/>
    <n v="9"/>
    <n v="2210"/>
    <n v="12.4"/>
    <n v="17423.64"/>
    <s v="Completed"/>
    <s v="Mumbai"/>
  </r>
  <r>
    <s v="ORD-00863"/>
    <d v="2024-01-11T00:00:00"/>
    <s v="CUST-0008"/>
    <s v="PROD-059"/>
    <x v="20"/>
    <n v="5"/>
    <n v="3780"/>
    <n v="3.9"/>
    <n v="18162.900000000001"/>
    <s v="Completed"/>
    <s v="Pune"/>
  </r>
  <r>
    <s v="ORD-00864"/>
    <d v="2024-11-30T00:00:00"/>
    <s v="CUST-0259"/>
    <s v="PROD-010"/>
    <x v="4"/>
    <n v="10"/>
    <n v="2640"/>
    <n v="17.8"/>
    <n v="21700.799999999999"/>
    <s v="Refunded"/>
    <s v="Mumbai"/>
  </r>
  <r>
    <s v="ORD-00865"/>
    <d v="2024-03-01T00:00:00"/>
    <s v="CUST-0169"/>
    <s v="PROD-005"/>
    <x v="6"/>
    <n v="5"/>
    <n v="300"/>
    <n v="12.9"/>
    <n v="1306.5"/>
    <s v="Completed"/>
    <s v="Bengaluru"/>
  </r>
  <r>
    <s v="ORD-00866"/>
    <d v="2024-10-23T00:00:00"/>
    <s v="CUST-0191"/>
    <s v="PROD-058"/>
    <x v="22"/>
    <n v="2"/>
    <n v="2400"/>
    <n v="17.100000000000001"/>
    <n v="3979.2"/>
    <s v="Pending"/>
    <s v="Hyderabad"/>
  </r>
  <r>
    <s v="ORD-00867"/>
    <d v="2024-10-18T00:00:00"/>
    <s v="CUST-0129"/>
    <s v="PROD-040"/>
    <x v="17"/>
    <n v="5"/>
    <n v="1080"/>
    <n v="15.7"/>
    <n v="4552.2"/>
    <s v="Pending"/>
    <s v="Hyderabad"/>
  </r>
  <r>
    <s v="ORD-00868"/>
    <d v="2024-08-24T00:00:00"/>
    <s v="CUST-0066"/>
    <s v="PROD-036"/>
    <x v="11"/>
    <n v="1"/>
    <n v="3250"/>
    <n v="14.7"/>
    <n v="2772.25"/>
    <s v="Completed"/>
    <s v="Delhi"/>
  </r>
  <r>
    <s v="ORD-00869"/>
    <d v="2024-04-18T00:00:00"/>
    <s v="CUST-0114"/>
    <s v="PROD-032"/>
    <x v="13"/>
    <n v="7"/>
    <n v="370"/>
    <n v="6"/>
    <n v="2434.6"/>
    <s v="Cancelled"/>
    <s v="Bengaluru"/>
  </r>
  <r>
    <s v="ORD-00870"/>
    <d v="2024-02-15T00:00:00"/>
    <s v="CUST-9833"/>
    <s v="PROD-038"/>
    <x v="20"/>
    <n v="7"/>
    <n v="5490"/>
    <n v="10.199999999999999"/>
    <n v="34510.14"/>
    <s v="Completed"/>
    <s v="Pune"/>
  </r>
  <r>
    <s v="ORD-00871"/>
    <d v="2024-07-09T00:00:00"/>
    <s v="CUST-0076"/>
    <s v="PROD-006"/>
    <x v="8"/>
    <n v="3"/>
    <n v="3970"/>
    <n v="2.4"/>
    <n v="11624.16"/>
    <s v="Completed"/>
    <s v="Mumbai"/>
  </r>
  <r>
    <s v="ORD-00872"/>
    <d v="2024-10-18T00:00:00"/>
    <s v="CUST-0215"/>
    <s v="PROD-009"/>
    <x v="0"/>
    <n v="4"/>
    <n v="1220"/>
    <n v="25.3"/>
    <n v="3645.36"/>
    <s v="Completed"/>
    <s v="Hyderabad"/>
  </r>
  <r>
    <s v="ORD-00873"/>
    <d v="2024-04-27T00:00:00"/>
    <s v="CUST-0061"/>
    <s v="PROD-012"/>
    <x v="17"/>
    <n v="3"/>
    <n v="3160"/>
    <n v="19.8"/>
    <n v="7602.96"/>
    <s v="Completed"/>
    <s v="Hyderabad"/>
  </r>
  <r>
    <s v="ORD-00874"/>
    <d v="2024-05-18T00:00:00"/>
    <s v="CUST-0249"/>
    <s v="PROD-005"/>
    <x v="4"/>
    <n v="1"/>
    <n v="300"/>
    <n v="24.5"/>
    <n v="226.5"/>
    <s v="Completed"/>
    <s v="Mumbai"/>
  </r>
  <r>
    <s v="ORD-00875"/>
    <d v="2024-12-28T00:00:00"/>
    <s v="CUST-0105"/>
    <s v="PROD-047"/>
    <x v="20"/>
    <n v="5"/>
    <n v="3450"/>
    <n v="13.4"/>
    <n v="14938.5"/>
    <s v="Pending"/>
    <s v="Chennai"/>
  </r>
  <r>
    <s v="ORD-00876"/>
    <d v="2024-04-15T00:00:00"/>
    <s v="CUST-0161"/>
    <s v="PROD-014"/>
    <x v="28"/>
    <n v="7"/>
    <n v="3620"/>
    <n v="19.2"/>
    <n v="20474.72"/>
    <s v="Completed"/>
    <s v="Chennai"/>
  </r>
  <r>
    <s v="ORD-00877"/>
    <d v="2024-08-01T00:00:00"/>
    <s v="CUST-0275"/>
    <s v="PROD-024"/>
    <x v="9"/>
    <n v="10"/>
    <n v="2270"/>
    <n v="20.5"/>
    <n v="18046.5"/>
    <s v="Completed"/>
    <s v="Mumbai"/>
  </r>
  <r>
    <s v="ORD-00878"/>
    <d v="2024-04-04T00:00:00"/>
    <s v="CUST-0049"/>
    <s v="PROD-015"/>
    <x v="6"/>
    <n v="5"/>
    <n v="2720"/>
    <n v="29.3"/>
    <n v="9615.2000000000007"/>
    <s v="Completed"/>
    <s v="Mumbai"/>
  </r>
  <r>
    <s v="ORD-00879"/>
    <d v="2024-07-26T00:00:00"/>
    <s v="CUST-0235"/>
    <s v="PROD-027"/>
    <x v="24"/>
    <n v="9"/>
    <n v="3780"/>
    <n v="2.2999999999999998"/>
    <n v="33237.54"/>
    <s v="Completed"/>
    <s v="Chennai"/>
  </r>
  <r>
    <s v="ORD-00880"/>
    <d v="2024-12-10T00:00:00"/>
    <s v="CUST-0220"/>
    <s v="PROD-025"/>
    <x v="2"/>
    <n v="9"/>
    <n v="4060"/>
    <n v="11.5"/>
    <n v="32337.9"/>
    <s v="Completed"/>
    <s v="Chennai"/>
  </r>
  <r>
    <s v="ORD-00881"/>
    <d v="2024-08-13T00:00:00"/>
    <s v="CUST-0298"/>
    <s v="PROD-021"/>
    <x v="27"/>
    <n v="10"/>
    <n v="2760"/>
    <n v="3.9"/>
    <n v="26523.599999999999"/>
    <s v="Refunded"/>
    <s v="Delhi"/>
  </r>
  <r>
    <s v="ORD-00882"/>
    <d v="2024-10-28T00:00:00"/>
    <s v="CUST-0222"/>
    <s v="PROD-040"/>
    <x v="13"/>
    <n v="10"/>
    <n v="1080"/>
    <n v="21.4"/>
    <n v="8488.7999999999993"/>
    <s v="Completed"/>
    <s v="Chennai"/>
  </r>
  <r>
    <s v="ORD-00883"/>
    <d v="2024-07-24T00:00:00"/>
    <s v="CUST-0049"/>
    <s v="PROD-034"/>
    <x v="12"/>
    <n v="6"/>
    <n v="5080"/>
    <n v="29.8"/>
    <n v="21396.959999999999"/>
    <s v="Pending"/>
    <s v="Mumbai"/>
  </r>
  <r>
    <s v="ORD-00884"/>
    <d v="2024-01-02T00:00:00"/>
    <s v="CUST-0147"/>
    <s v="PROD-046"/>
    <x v="14"/>
    <n v="1"/>
    <n v="4880"/>
    <n v="28.2"/>
    <n v="3503.84"/>
    <s v="Completed"/>
    <s v="Pune"/>
  </r>
  <r>
    <s v="ORD-00885"/>
    <d v="2024-09-27T00:00:00"/>
    <s v="CUST-0177"/>
    <s v="PROD-022"/>
    <x v="28"/>
    <n v="1"/>
    <n v="2270"/>
    <n v="27.8"/>
    <n v="1638.94"/>
    <s v="Completed"/>
    <s v="Mumbai"/>
  </r>
  <r>
    <s v="ORD-00886"/>
    <d v="2024-12-12T00:00:00"/>
    <s v="CUST-0121"/>
    <s v="PROD-006"/>
    <x v="7"/>
    <n v="9"/>
    <n v="3970"/>
    <n v="7"/>
    <n v="33228.9"/>
    <s v="Completed"/>
    <s v="Delhi"/>
  </r>
  <r>
    <s v="ORD-00887"/>
    <d v="2024-04-26T00:00:00"/>
    <s v="CUST-0262"/>
    <s v="PROD-048"/>
    <x v="11"/>
    <n v="9"/>
    <n v="5100"/>
    <n v="9.6999999999999993"/>
    <n v="41447.699999999997"/>
    <s v="Completed"/>
    <s v="Mumbai"/>
  </r>
  <r>
    <s v="ORD-00888"/>
    <d v="2024-07-25T00:00:00"/>
    <s v="CUST-0246"/>
    <s v="PROD-060"/>
    <x v="1"/>
    <n v="8"/>
    <n v="190"/>
    <n v="10.199999999999999"/>
    <n v="1364.96"/>
    <s v="Completed"/>
    <s v="Delhi"/>
  </r>
  <r>
    <s v="ORD-00889"/>
    <d v="2024-12-23T00:00:00"/>
    <s v="CUST-0070"/>
    <s v="PROD-050"/>
    <x v="17"/>
    <n v="1"/>
    <n v="6080"/>
    <n v="5.6"/>
    <n v="5739.52"/>
    <s v="Completed"/>
    <s v="Mumbai"/>
  </r>
  <r>
    <s v="ORD-00890"/>
    <d v="2024-07-11T00:00:00"/>
    <s v="CUST-0218"/>
    <s v="PROD-057"/>
    <x v="16"/>
    <n v="6"/>
    <n v="960"/>
    <n v="1.9"/>
    <n v="5650.56"/>
    <s v="Completed"/>
    <s v="Mumbai"/>
  </r>
  <r>
    <s v="ORD-00891"/>
    <d v="2024-01-25T00:00:00"/>
    <s v="CUST-0068"/>
    <s v="PROD-041"/>
    <x v="10"/>
    <n v="7"/>
    <n v="1540"/>
    <n v="7.1"/>
    <n v="10014.620000000001"/>
    <s v="Completed"/>
    <s v="Delhi"/>
  </r>
  <r>
    <s v="ORD-00892"/>
    <d v="2024-02-06T00:00:00"/>
    <s v="CUST-0261"/>
    <s v="PROD-005"/>
    <x v="23"/>
    <n v="10"/>
    <n v="300"/>
    <n v="12.8"/>
    <n v="2616"/>
    <s v="Cancelled"/>
    <s v="Delhi"/>
  </r>
  <r>
    <s v="ORD-00893"/>
    <d v="2024-06-13T00:00:00"/>
    <s v="CUST-0077"/>
    <s v="PROD-046"/>
    <x v="23"/>
    <n v="4"/>
    <n v="4880"/>
    <n v="26.5"/>
    <n v="14347.2"/>
    <s v="Completed"/>
    <s v="Hyderabad"/>
  </r>
  <r>
    <s v="ORD-00894"/>
    <d v="2024-10-24T00:00:00"/>
    <s v="CUST-0188"/>
    <s v="PROD-032"/>
    <x v="11"/>
    <n v="2"/>
    <n v="370"/>
    <n v="26.5"/>
    <n v="543.9"/>
    <s v="Completed"/>
    <s v="Bengaluru"/>
  </r>
  <r>
    <s v="ORD-00895"/>
    <d v="2024-10-28T00:00:00"/>
    <s v="CUST-0145"/>
    <s v="PROD-039"/>
    <x v="25"/>
    <n v="3"/>
    <n v="4610"/>
    <n v="29.7"/>
    <n v="9722.49"/>
    <s v="Completed"/>
    <s v="Bengaluru"/>
  </r>
  <r>
    <s v="ORD-00896"/>
    <d v="2024-09-04T00:00:00"/>
    <s v="CUST-0036"/>
    <s v="PROD-002"/>
    <x v="22"/>
    <n v="5"/>
    <n v="2600"/>
    <n v="21.4"/>
    <n v="10218"/>
    <s v="Completed"/>
    <s v="Mumbai"/>
  </r>
  <r>
    <s v="ORD-00600"/>
    <d v="2024-05-24T00:00:00"/>
    <s v="CUST-0269"/>
    <s v="PROD-009"/>
    <x v="5"/>
    <n v="10"/>
    <n v="1220"/>
    <n v="24.3"/>
    <n v="9235.4"/>
    <s v="Completed"/>
    <s v="Pune"/>
  </r>
  <r>
    <s v="ORD-00898"/>
    <d v="2024-12-20T00:00:00"/>
    <s v="CUST-9607"/>
    <s v="PROD-007"/>
    <x v="15"/>
    <n v="10"/>
    <n v="1430"/>
    <n v="5.0999999999999996"/>
    <n v="13570.7"/>
    <s v="Cancelled"/>
    <s v="Chennai"/>
  </r>
  <r>
    <s v="ORD-00899"/>
    <d v="2024-07-05T00:00:00"/>
    <s v="CUST-0189"/>
    <s v="PROD-046"/>
    <x v="14"/>
    <n v="10"/>
    <n v="4880"/>
    <n v="25.5"/>
    <n v="36356"/>
    <s v="Cancelled"/>
    <s v="Chennai"/>
  </r>
  <r>
    <s v="ORD-00900"/>
    <d v="2024-08-14T00:00:00"/>
    <s v="CUST-0199"/>
    <s v="PROD-050"/>
    <x v="8"/>
    <n v="6"/>
    <n v="6080"/>
    <n v="21.6"/>
    <n v="28600.32"/>
    <s v="Completed"/>
    <s v="Hyderabad"/>
  </r>
  <r>
    <s v="ORD-00901"/>
    <d v="2024-01-28T00:00:00"/>
    <s v="CUST-0277"/>
    <s v="PROD-045"/>
    <x v="22"/>
    <n v="3"/>
    <n v="3020"/>
    <n v="20.7"/>
    <n v="7184.58"/>
    <s v="Completed"/>
    <s v="Chennai"/>
  </r>
  <r>
    <s v="ORD-00902"/>
    <d v="2024-06-02T00:00:00"/>
    <s v="CUST-0108"/>
    <s v="PROD-015"/>
    <x v="22"/>
    <n v="9"/>
    <n v="2720"/>
    <n v="21.4"/>
    <n v="19241.28"/>
    <s v="Completed"/>
    <s v="Bengaluru"/>
  </r>
  <r>
    <s v="ORD-00903"/>
    <d v="2024-05-05T00:00:00"/>
    <s v="CUST-0203"/>
    <s v="PROD-003"/>
    <x v="5"/>
    <n v="10"/>
    <n v="3570"/>
    <n v="4.4000000000000004"/>
    <n v="34129.199999999997"/>
    <s v="Completed"/>
    <s v="Chennai"/>
  </r>
  <r>
    <s v="ORD-00904"/>
    <d v="2024-01-18T00:00:00"/>
    <s v="CUST-0272"/>
    <s v="PROD-040"/>
    <x v="2"/>
    <n v="8"/>
    <n v="1080"/>
    <n v="23.8"/>
    <n v="6583.68"/>
    <s v="Completed"/>
    <s v="Mumbai"/>
  </r>
  <r>
    <s v="ORD-00905"/>
    <d v="2024-03-16T00:00:00"/>
    <s v="CUST-0039"/>
    <s v="PROD-035"/>
    <x v="23"/>
    <n v="8"/>
    <n v="1090"/>
    <n v="17.5"/>
    <n v="7194"/>
    <s v="Completed"/>
    <s v="Bengaluru"/>
  </r>
  <r>
    <s v="ORD-00906"/>
    <d v="2024-11-19T00:00:00"/>
    <s v="CUST-0105"/>
    <s v="PROD-018"/>
    <x v="28"/>
    <n v="7"/>
    <n v="3560"/>
    <n v="11.1"/>
    <n v="22153.88"/>
    <s v="Completed"/>
    <s v="Chennai"/>
  </r>
  <r>
    <s v="ORD-00907"/>
    <d v="2024-07-26T00:00:00"/>
    <s v="CUST-0095"/>
    <s v="PROD-060"/>
    <x v="24"/>
    <n v="6"/>
    <n v="190"/>
    <n v="17.100000000000001"/>
    <n v="945.06"/>
    <s v="Cancelled"/>
    <s v="Mumbai"/>
  </r>
  <r>
    <s v="ORD-00908"/>
    <d v="2024-03-05T00:00:00"/>
    <s v="CUST-0138"/>
    <s v="PROD-025"/>
    <x v="5"/>
    <n v="7"/>
    <n v="4060"/>
    <n v="0.6"/>
    <n v="28249.48"/>
    <s v="Completed"/>
    <s v="Chennai"/>
  </r>
  <r>
    <s v="ORD-00909"/>
    <d v="2024-02-24T00:00:00"/>
    <s v="CUST-0155"/>
    <s v="PROD-039"/>
    <x v="13"/>
    <n v="4"/>
    <n v="4610"/>
    <n v="1.9"/>
    <n v="18089.64"/>
    <s v="Pending"/>
    <s v="Pune"/>
  </r>
  <r>
    <s v="ORD-00910"/>
    <d v="2024-12-14T00:00:00"/>
    <s v="CUST-0198"/>
    <s v="PROD-026"/>
    <x v="16"/>
    <n v="4"/>
    <n v="4070"/>
    <n v="26.8"/>
    <n v="11916.96"/>
    <s v="Completed"/>
    <s v="Chennai"/>
  </r>
  <r>
    <s v="ORD-00911"/>
    <d v="2024-12-07T00:00:00"/>
    <s v="CUST-0267"/>
    <s v="PROD-014"/>
    <x v="10"/>
    <n v="4"/>
    <n v="3620"/>
    <n v="11.7"/>
    <n v="12785.84"/>
    <s v="Completed"/>
    <s v="Hyderabad"/>
  </r>
  <r>
    <s v="ORD-00912"/>
    <d v="2024-05-18T00:00:00"/>
    <s v="CUST-0248"/>
    <s v="PROD-006"/>
    <x v="14"/>
    <n v="3"/>
    <n v="3970"/>
    <n v="24.7"/>
    <n v="8968.23"/>
    <s v="Completed"/>
    <s v="Chennai"/>
  </r>
  <r>
    <s v="ORD-00913"/>
    <d v="2024-03-04T00:00:00"/>
    <s v="CUST-0114"/>
    <s v="PROD-030"/>
    <x v="8"/>
    <n v="4"/>
    <n v="970"/>
    <n v="0.4"/>
    <n v="3864.48"/>
    <s v="Completed"/>
    <s v="Bengaluru"/>
  </r>
  <r>
    <s v="ORD-00914"/>
    <d v="2024-03-28T00:00:00"/>
    <s v="CUST-0129"/>
    <s v="PROD-057"/>
    <x v="12"/>
    <n v="2"/>
    <n v="960"/>
    <n v="1.4"/>
    <n v="1893.12"/>
    <s v="Completed"/>
    <s v="Hyderabad"/>
  </r>
  <r>
    <s v="ORD-00915"/>
    <d v="2024-03-24T00:00:00"/>
    <s v="CUST-0182"/>
    <s v="PROD-005"/>
    <x v="29"/>
    <n v="7"/>
    <n v="300"/>
    <n v="20.399999999999999"/>
    <n v="1671.6"/>
    <s v="Completed"/>
    <s v="Mumbai"/>
  </r>
  <r>
    <s v="ORD-00916"/>
    <d v="2024-04-15T00:00:00"/>
    <s v="CUST-0020"/>
    <s v="PROD-002"/>
    <x v="2"/>
    <n v="8"/>
    <n v="2600"/>
    <n v="2.2000000000000002"/>
    <n v="20342.400000000001"/>
    <s v="Cancelled"/>
    <s v="Hyderabad"/>
  </r>
  <r>
    <s v="ORD-00917"/>
    <d v="2024-10-06T00:00:00"/>
    <s v="CUST-0163"/>
    <s v="PROD-032"/>
    <x v="4"/>
    <n v="2"/>
    <n v="370"/>
    <n v="17.7"/>
    <n v="609.02"/>
    <s v="Completed"/>
    <s v="Pune"/>
  </r>
  <r>
    <s v="ORD-00918"/>
    <d v="2024-06-12T00:00:00"/>
    <s v="CUST-0142"/>
    <s v="PROD-047"/>
    <x v="17"/>
    <n v="4"/>
    <n v="3450"/>
    <n v="9.8000000000000007"/>
    <n v="12447.6"/>
    <s v="Cancelled"/>
    <s v="Chennai"/>
  </r>
  <r>
    <s v="ORD-00919"/>
    <d v="2024-07-13T00:00:00"/>
    <s v="CUST-0221"/>
    <s v="PROD-019"/>
    <x v="16"/>
    <n v="1"/>
    <n v="2480"/>
    <n v="5.8"/>
    <n v="2336.16"/>
    <s v="Completed"/>
    <s v="Delhi"/>
  </r>
  <r>
    <s v="ORD-00920"/>
    <d v="2024-02-07T00:00:00"/>
    <s v="CUST-0079"/>
    <s v="PROD-028"/>
    <x v="7"/>
    <n v="5"/>
    <n v="3660"/>
    <n v="4.7"/>
    <n v="17439.900000000001"/>
    <s v="Pending"/>
    <s v="Mumbai"/>
  </r>
  <r>
    <s v="ORD-00921"/>
    <d v="2024-01-24T00:00:00"/>
    <s v="CUST-0133"/>
    <s v="PROD-044"/>
    <x v="12"/>
    <n v="7"/>
    <n v="1650"/>
    <n v="8.6"/>
    <n v="10556.7"/>
    <s v="Completed"/>
    <s v="Chennai"/>
  </r>
  <r>
    <s v="ORD-00922"/>
    <d v="2024-06-30T00:00:00"/>
    <s v="CUST-0086"/>
    <s v="PROD-060"/>
    <x v="5"/>
    <n v="6"/>
    <n v="190"/>
    <n v="14.6"/>
    <n v="973.56"/>
    <s v="Completed"/>
    <s v="Hyderabad"/>
  </r>
  <r>
    <s v="ORD-00923"/>
    <d v="2024-09-11T00:00:00"/>
    <s v="CUST-0155"/>
    <s v="PROD-022"/>
    <x v="19"/>
    <n v="5"/>
    <n v="2270"/>
    <n v="5.9"/>
    <n v="10680.35"/>
    <s v="Completed"/>
    <s v="Pune"/>
  </r>
  <r>
    <s v="ORD-00924"/>
    <d v="2024-11-29T00:00:00"/>
    <s v="CUST-0244"/>
    <s v="PROD-024"/>
    <x v="23"/>
    <n v="1"/>
    <n v="2270"/>
    <n v="14.9"/>
    <n v="1931.77"/>
    <s v="Completed"/>
    <s v="Bengaluru"/>
  </r>
  <r>
    <s v="ORD-00925"/>
    <d v="2024-10-14T00:00:00"/>
    <s v="CUST-0262"/>
    <s v="PROD-011"/>
    <x v="26"/>
    <n v="4"/>
    <n v="3450"/>
    <n v="11.7"/>
    <n v="12185.4"/>
    <s v="Cancelled"/>
    <s v="Mumbai"/>
  </r>
  <r>
    <s v="ORD-00926"/>
    <d v="2024-02-01T00:00:00"/>
    <s v="CUST-0251"/>
    <s v="PROD-045"/>
    <x v="8"/>
    <n v="7"/>
    <n v="3020"/>
    <n v="18.8"/>
    <n v="17165.68"/>
    <s v="Completed"/>
    <s v="Mumbai"/>
  </r>
  <r>
    <s v="ORD-00927"/>
    <d v="2024-11-17T00:00:00"/>
    <s v="CUST-0007"/>
    <s v="PROD-033"/>
    <x v="29"/>
    <n v="4"/>
    <n v="2030"/>
    <n v="25.7"/>
    <n v="6033.16"/>
    <s v="Completed"/>
    <s v="Bengaluru"/>
  </r>
  <r>
    <s v="ORD-00928"/>
    <d v="2024-03-11T00:00:00"/>
    <s v="CUST-0161"/>
    <s v="PROD-011"/>
    <x v="2"/>
    <n v="4"/>
    <n v="3450"/>
    <n v="3.9"/>
    <n v="13261.8"/>
    <s v="Completed"/>
    <s v="Chennai"/>
  </r>
  <r>
    <s v="ORD-00929"/>
    <d v="2024-02-25T00:00:00"/>
    <s v="CUST-0251"/>
    <s v="PROD-049"/>
    <x v="8"/>
    <n v="5"/>
    <n v="960"/>
    <n v="8"/>
    <n v="4416"/>
    <s v="Completed"/>
    <s v="Mumbai"/>
  </r>
  <r>
    <s v="ORD-00930"/>
    <d v="2024-09-15T00:00:00"/>
    <s v="CUST-0098"/>
    <s v="PROD-006"/>
    <x v="19"/>
    <n v="7"/>
    <n v="3970"/>
    <n v="11.7"/>
    <n v="24538.57"/>
    <s v="Completed"/>
    <s v="Delhi"/>
  </r>
  <r>
    <s v="ORD-00931"/>
    <d v="2024-09-19T00:00:00"/>
    <s v="CUST-0200"/>
    <s v="PROD-052"/>
    <x v="17"/>
    <n v="3"/>
    <n v="5410"/>
    <n v="10"/>
    <n v="14607"/>
    <s v="Completed"/>
    <s v="Hyderabad"/>
  </r>
  <r>
    <s v="ORD-00932"/>
    <d v="2024-05-16T00:00:00"/>
    <s v="CUST-0228"/>
    <s v="PROD-003"/>
    <x v="0"/>
    <n v="8"/>
    <n v="3570"/>
    <n v="8.5"/>
    <n v="26132.400000000001"/>
    <s v="Completed"/>
    <s v="Pune"/>
  </r>
  <r>
    <s v="ORD-00933"/>
    <d v="2024-08-13T00:00:00"/>
    <s v="CUST-0095"/>
    <s v="PROD-002"/>
    <x v="2"/>
    <n v="7"/>
    <n v="2600"/>
    <n v="27.1"/>
    <n v="13267.8"/>
    <s v="Completed"/>
    <s v="Mumbai"/>
  </r>
  <r>
    <s v="ORD-00934"/>
    <d v="2024-05-30T00:00:00"/>
    <s v="CUST-0175"/>
    <s v="PROD-053"/>
    <x v="17"/>
    <n v="6"/>
    <n v="470"/>
    <n v="2.4"/>
    <n v="2752.32"/>
    <s v="Pending"/>
    <s v="Delhi"/>
  </r>
  <r>
    <s v="ORD-00935"/>
    <d v="2024-03-20T00:00:00"/>
    <s v="CUST-0270"/>
    <s v="PROD-053"/>
    <x v="5"/>
    <n v="3"/>
    <n v="470"/>
    <n v="6.3"/>
    <n v="1321.17"/>
    <s v="Completed"/>
    <s v="Bengaluru"/>
  </r>
  <r>
    <s v="ORD-00936"/>
    <d v="2024-09-05T00:00:00"/>
    <s v="CUST-0105"/>
    <s v="PROD-059"/>
    <x v="10"/>
    <n v="3"/>
    <n v="3780"/>
    <n v="19.399999999999999"/>
    <n v="9140.0400000000009"/>
    <s v="Pending"/>
    <s v="Chennai"/>
  </r>
  <r>
    <s v="ORD-00937"/>
    <d v="2024-04-10T00:00:00"/>
    <s v="CUST-0147"/>
    <s v="PROD-056"/>
    <x v="7"/>
    <n v="5"/>
    <n v="6940"/>
    <n v="12.6"/>
    <n v="30327.8"/>
    <s v="Completed"/>
    <s v="Pune"/>
  </r>
  <r>
    <s v="ORD-00938"/>
    <d v="2024-04-04T00:00:00"/>
    <s v="CUST-0106"/>
    <s v="PROD-004"/>
    <x v="14"/>
    <n v="2"/>
    <n v="3870"/>
    <n v="10.5"/>
    <n v="6927.3"/>
    <s v="Completed"/>
    <s v="Pune"/>
  </r>
  <r>
    <s v="ORD-00939"/>
    <d v="2024-08-12T00:00:00"/>
    <s v="CUST-0130"/>
    <s v="PROD-052"/>
    <x v="2"/>
    <n v="8"/>
    <n v="5410"/>
    <n v="28.4"/>
    <n v="30988.48"/>
    <s v="Pending"/>
    <s v="Bengaluru"/>
  </r>
  <r>
    <s v="ORD-00940"/>
    <d v="2024-11-22T00:00:00"/>
    <s v="CUST-0241"/>
    <s v="PROD-006"/>
    <x v="14"/>
    <n v="7"/>
    <n v="3970"/>
    <n v="12.3"/>
    <n v="24371.83"/>
    <s v="Completed"/>
    <s v="Pune"/>
  </r>
  <r>
    <s v="ORD-00941"/>
    <d v="2024-11-14T00:00:00"/>
    <s v="CUST-0151"/>
    <s v="PROD-056"/>
    <x v="19"/>
    <n v="5"/>
    <n v="6940"/>
    <n v="1.5"/>
    <n v="34179.5"/>
    <s v="Completed"/>
    <s v="Mumbai"/>
  </r>
  <r>
    <s v="ORD-00942"/>
    <d v="2024-09-06T00:00:00"/>
    <s v="CUST-0022"/>
    <s v="PROD-012"/>
    <x v="3"/>
    <n v="7"/>
    <n v="3160"/>
    <n v="2.4"/>
    <n v="21589.119999999999"/>
    <s v="Refunded"/>
    <s v="Bengaluru"/>
  </r>
  <r>
    <s v="ORD-00943"/>
    <d v="2024-07-24T00:00:00"/>
    <s v="CUST-0030"/>
    <s v="PROD-020"/>
    <x v="6"/>
    <n v="2"/>
    <n v="820"/>
    <n v="8.1"/>
    <n v="1507.16"/>
    <s v="Completed"/>
    <s v="Bengaluru"/>
  </r>
  <r>
    <s v="ORD-00944"/>
    <d v="2024-10-02T00:00:00"/>
    <s v="CUST-0176"/>
    <s v="PROD-041"/>
    <x v="14"/>
    <n v="2"/>
    <n v="1540"/>
    <n v="17.7"/>
    <n v="2534.84"/>
    <s v="Completed"/>
    <s v="Bengaluru"/>
  </r>
  <r>
    <s v="ORD-00945"/>
    <d v="2024-06-08T00:00:00"/>
    <s v="CUST-0270"/>
    <s v="PROD-004"/>
    <x v="19"/>
    <n v="10"/>
    <n v="3870"/>
    <n v="12.2"/>
    <n v="33978.6"/>
    <s v="Refunded"/>
    <s v="Bengaluru"/>
  </r>
  <r>
    <s v="ORD-00946"/>
    <d v="2024-07-15T00:00:00"/>
    <s v="CUST-0216"/>
    <s v="PROD-008"/>
    <x v="25"/>
    <n v="7"/>
    <n v="2660"/>
    <n v="4.7"/>
    <n v="17744.86"/>
    <s v="Completed"/>
    <s v="Mumbai"/>
  </r>
  <r>
    <s v="ORD-00947"/>
    <d v="2024-05-19T00:00:00"/>
    <s v="CUST-0187"/>
    <s v="PROD-003"/>
    <x v="18"/>
    <n v="4"/>
    <n v="3570"/>
    <n v="19.3"/>
    <n v="11523.96"/>
    <s v="Completed"/>
    <s v="Chennai"/>
  </r>
  <r>
    <s v="ORD-00948"/>
    <d v="2024-04-11T00:00:00"/>
    <s v="CUST-0143"/>
    <s v="PROD-033"/>
    <x v="25"/>
    <n v="2"/>
    <n v="2030"/>
    <n v="2.6"/>
    <n v="3954.44"/>
    <s v="Completed"/>
    <s v="Chennai"/>
  </r>
  <r>
    <s v="ORD-00949"/>
    <d v="2024-05-15T00:00:00"/>
    <s v="CUST-0104"/>
    <s v="PROD-012"/>
    <x v="22"/>
    <n v="6"/>
    <n v="3160"/>
    <n v="25.8"/>
    <n v="14068.32"/>
    <s v="Completed"/>
    <s v="Hyderabad"/>
  </r>
  <r>
    <s v="ORD-00950"/>
    <d v="2024-10-26T00:00:00"/>
    <s v="CUST-0121"/>
    <s v="PROD-034"/>
    <x v="2"/>
    <n v="4"/>
    <n v="5080"/>
    <n v="2"/>
    <n v="19913.599999999999"/>
    <s v="Completed"/>
    <s v=" Delhi "/>
  </r>
  <r>
    <s v="ORD-00951"/>
    <d v="2024-02-05T00:00:00"/>
    <s v="CUST-0228"/>
    <s v="PROD-047"/>
    <x v="9"/>
    <n v="6"/>
    <n v="3450"/>
    <n v="1.8"/>
    <n v="20327.400000000001"/>
    <s v="Cancelled"/>
    <s v="Pune"/>
  </r>
  <r>
    <s v="ORD-00952"/>
    <d v="2024-10-10T00:00:00"/>
    <s v="CUST-0218"/>
    <s v="PROD-051"/>
    <x v="29"/>
    <n v="3"/>
    <n v="3450"/>
    <n v="4.7"/>
    <n v="9863.5499999999993"/>
    <s v="Pending"/>
    <s v="Mumbai"/>
  </r>
  <r>
    <s v="ORD-00953"/>
    <d v="2024-03-16T00:00:00"/>
    <s v="CUST-0118"/>
    <s v="PROD-001"/>
    <x v="28"/>
    <n v="7"/>
    <n v="5330"/>
    <n v="16.399999999999999"/>
    <n v="31191.16"/>
    <s v="Completed"/>
    <s v="Hyderabad"/>
  </r>
  <r>
    <s v="ORD-00954"/>
    <d v="2024-08-18T00:00:00"/>
    <s v="CUST-0262"/>
    <s v="PROD-029"/>
    <x v="11"/>
    <n v="6"/>
    <n v="2210"/>
    <n v="13.1"/>
    <n v="11522.94"/>
    <s v="Completed"/>
    <s v="Mumbai"/>
  </r>
  <r>
    <s v="ORD-00955"/>
    <d v="2024-10-14T00:00:00"/>
    <s v="CUST-0137"/>
    <s v="PROD-040"/>
    <x v="17"/>
    <n v="8"/>
    <n v="1080"/>
    <n v="8.6999999999999993"/>
    <n v="7888.32"/>
    <s v="Completed"/>
    <s v="Mumbai"/>
  </r>
  <r>
    <s v="ORD-00956"/>
    <d v="2024-07-22T00:00:00"/>
    <s v="CUST-0145"/>
    <s v="PROD-014"/>
    <x v="15"/>
    <n v="5"/>
    <n v="3620"/>
    <n v="16.100000000000001"/>
    <n v="15185.9"/>
    <s v="Completed"/>
    <s v="Bengaluru"/>
  </r>
  <r>
    <s v="ORD-00957"/>
    <d v="2024-07-10T00:00:00"/>
    <s v="CUST-0275"/>
    <s v="PROD-018"/>
    <x v="23"/>
    <n v="7"/>
    <n v="3560"/>
    <n v="8.5"/>
    <n v="22801.8"/>
    <s v="Completed"/>
    <s v="Mumbai"/>
  </r>
  <r>
    <s v="ORD-00958"/>
    <d v="2024-07-23T00:00:00"/>
    <s v="CUST-0189"/>
    <s v="PROD-033"/>
    <x v="5"/>
    <n v="8"/>
    <n v="2030"/>
    <n v="18.100000000000001"/>
    <n v="13300.56"/>
    <s v="Completed"/>
    <s v="Chennai"/>
  </r>
  <r>
    <s v="ORD-00959"/>
    <d v="2024-02-28T00:00:00"/>
    <s v="CUST-0105"/>
    <s v="PROD-044"/>
    <x v="23"/>
    <n v="10"/>
    <n v="1650"/>
    <n v="7.1"/>
    <n v="15328.5"/>
    <s v="Completed"/>
    <s v="Chennai"/>
  </r>
  <r>
    <s v="ORD-00960"/>
    <d v="2024-08-13T00:00:00"/>
    <s v="CUST-0284"/>
    <s v="PROD-021"/>
    <x v="21"/>
    <n v="4"/>
    <n v="2760"/>
    <n v="17.600000000000001"/>
    <n v="9096.9599999999991"/>
    <s v="Cancelled"/>
    <s v="Hyderabad"/>
  </r>
  <r>
    <s v="ORD-00961"/>
    <d v="2024-06-17T00:00:00"/>
    <s v="CUST-0296"/>
    <s v="PROD-006"/>
    <x v="18"/>
    <n v="4"/>
    <n v="3970"/>
    <n v="4.3"/>
    <n v="15197.16"/>
    <s v="Completed"/>
    <s v="Delhi"/>
  </r>
  <r>
    <s v="ORD-00962"/>
    <d v="2024-08-05T00:00:00"/>
    <s v="CUST-0087"/>
    <s v="PROD-050"/>
    <x v="9"/>
    <n v="2"/>
    <n v="6080"/>
    <n v="23.8"/>
    <n v="9265.92"/>
    <s v="Completed"/>
    <s v="Pune"/>
  </r>
  <r>
    <s v="ORD-00963"/>
    <d v="2024-11-06T00:00:00"/>
    <s v="CUST-0012"/>
    <s v="PROD-024"/>
    <x v="10"/>
    <n v="4"/>
    <n v="2270"/>
    <n v="28.9"/>
    <n v="6455.88"/>
    <s v="Completed"/>
    <s v="Pune"/>
  </r>
  <r>
    <s v="ORD-00964"/>
    <d v="2024-05-29T00:00:00"/>
    <s v="CUST-0241"/>
    <s v="PROD-006"/>
    <x v="10"/>
    <n v="10"/>
    <n v="3970"/>
    <n v="26.2"/>
    <n v="29298.6"/>
    <s v="Completed"/>
    <s v="Pune"/>
  </r>
  <r>
    <s v="ORD-00965"/>
    <d v="2024-03-27T00:00:00"/>
    <s v="CUST-0133"/>
    <s v="PROD-048"/>
    <x v="22"/>
    <n v="4"/>
    <n v="5100"/>
    <n v="2.1"/>
    <n v="19971.599999999999"/>
    <s v="Completed"/>
    <s v="Chennai"/>
  </r>
  <r>
    <s v="ORD-00966"/>
    <d v="2024-05-16T00:00:00"/>
    <s v="CUST-0230"/>
    <s v="PROD-045"/>
    <x v="6"/>
    <n v="5"/>
    <n v="3020"/>
    <n v="17.3"/>
    <n v="12487.7"/>
    <s v="Completed"/>
    <s v="Pune"/>
  </r>
  <r>
    <s v="ORD-00967"/>
    <d v="2024-08-17T00:00:00"/>
    <s v="CUST-0126"/>
    <s v="PROD-057"/>
    <x v="29"/>
    <n v="8"/>
    <n v="960"/>
    <n v="1.3"/>
    <n v="7580.16"/>
    <s v="Cancelled"/>
    <s v="Mumbai"/>
  </r>
  <r>
    <s v="ORD-00968"/>
    <d v="2024-11-16T00:00:00"/>
    <s v="CUST-0233"/>
    <s v="PROD-019"/>
    <x v="4"/>
    <n v="9"/>
    <n v="2480"/>
    <n v="15.6"/>
    <n v="18838.080000000002"/>
    <s v="Completed"/>
    <s v="Mumbai"/>
  </r>
  <r>
    <s v="ORD-00969"/>
    <d v="2024-10-01T00:00:00"/>
    <s v="CUST-9555"/>
    <s v="PROD-030"/>
    <x v="27"/>
    <n v="1"/>
    <n v="970"/>
    <n v="24.9"/>
    <n v="728.47"/>
    <s v="Completed"/>
    <s v="Bengaluru"/>
  </r>
  <r>
    <s v="ORD-00970"/>
    <d v="2024-11-10T00:00:00"/>
    <s v="CUST-0150"/>
    <s v="PROD-023"/>
    <x v="24"/>
    <n v="4"/>
    <n v="2380"/>
    <n v="9.5"/>
    <n v="8615.6"/>
    <s v="Cancelled"/>
    <s v="Pune"/>
  </r>
  <r>
    <s v="ORD-00971"/>
    <d v="2024-05-11T00:00:00"/>
    <s v="CUST-0204"/>
    <s v="PROD-052"/>
    <x v="1"/>
    <n v="4"/>
    <n v="5410"/>
    <n v="18.7"/>
    <n v="17593.32"/>
    <s v="Completed"/>
    <s v="Hyderabad"/>
  </r>
  <r>
    <s v="ORD-00972"/>
    <d v="2024-10-08T00:00:00"/>
    <s v="CUST-0040"/>
    <s v="PROD-034"/>
    <x v="24"/>
    <n v="7"/>
    <n v="5080"/>
    <n v="6.5"/>
    <n v="33248.6"/>
    <s v="Completed"/>
    <s v="Chennai"/>
  </r>
  <r>
    <s v="ORD-00973"/>
    <d v="2024-02-17T00:00:00"/>
    <s v="CUST-0060"/>
    <s v="PROD-007"/>
    <x v="5"/>
    <n v="5"/>
    <n v="1430"/>
    <n v="19.8"/>
    <n v="5734.3"/>
    <s v="Completed"/>
    <s v="Pune"/>
  </r>
  <r>
    <s v="ORD-00974"/>
    <d v="2024-11-15T00:00:00"/>
    <s v="CUST-0017"/>
    <s v="PROD-037"/>
    <x v="23"/>
    <n v="7"/>
    <n v="660"/>
    <n v="17.3"/>
    <n v="3820.74"/>
    <s v="Completed"/>
    <s v="Delhi"/>
  </r>
  <r>
    <s v="ORD-00975"/>
    <d v="2024-08-01T00:00:00"/>
    <s v="CUST-0093"/>
    <s v="PROD-041"/>
    <x v="10"/>
    <n v="10"/>
    <n v="1540"/>
    <n v="17.5"/>
    <n v="12705"/>
    <s v="Completed"/>
    <s v="Pune"/>
  </r>
  <r>
    <s v="ORD-01662"/>
    <d v="2024-03-07T00:00:00"/>
    <s v="CUST-0068"/>
    <s v="PROD-029"/>
    <x v="11"/>
    <n v="10"/>
    <n v="2210"/>
    <n v="24.1"/>
    <n v="16773.900000000001"/>
    <s v="Pending"/>
    <s v="Delhi"/>
  </r>
  <r>
    <s v="ORD-00977"/>
    <d v="2024-08-15T00:00:00"/>
    <s v="CUST-0251"/>
    <s v="PROD-057"/>
    <x v="24"/>
    <n v="4"/>
    <n v="960"/>
    <n v="13.4"/>
    <n v="3325.44"/>
    <s v="Completed"/>
    <s v="Mumbai"/>
  </r>
  <r>
    <s v="ORD-00978"/>
    <d v="2024-12-02T00:00:00"/>
    <s v="CUST-0076"/>
    <s v="PROD-047"/>
    <x v="24"/>
    <n v="8"/>
    <n v="3450"/>
    <n v="3.7"/>
    <n v="26578.799999999999"/>
    <s v="Completed"/>
    <s v="Mumbai"/>
  </r>
  <r>
    <s v="ORD-00979"/>
    <d v="2024-07-08T00:00:00"/>
    <s v="CUST-9927"/>
    <s v="PROD-033"/>
    <x v="1"/>
    <n v="6"/>
    <n v="2030"/>
    <n v="9.5"/>
    <n v="11022.9"/>
    <s v="Completed"/>
    <s v="Mumbai"/>
  </r>
  <r>
    <s v="ORD-00980"/>
    <d v="2024-04-17T00:00:00"/>
    <s v="CUST-0135"/>
    <s v="PROD-011"/>
    <x v="18"/>
    <n v="7"/>
    <n v="3450"/>
    <n v="28.2"/>
    <n v="17339.7"/>
    <s v="Completed"/>
    <s v="Pune"/>
  </r>
  <r>
    <s v="ORD-00981"/>
    <d v="2024-08-27T00:00:00"/>
    <s v="CUST-0163"/>
    <s v="PROD-027"/>
    <x v="23"/>
    <n v="7"/>
    <n v="3780"/>
    <n v="15.1"/>
    <n v="22464.54"/>
    <s v="Completed"/>
    <s v="Pune"/>
  </r>
  <r>
    <s v="ORD-00947"/>
    <d v="2024-05-05T00:00:00"/>
    <s v="CUST-0107"/>
    <s v="PROD-021"/>
    <x v="25"/>
    <n v="4"/>
    <n v="2760"/>
    <n v="14.8"/>
    <n v="9406.08"/>
    <s v="Completed"/>
    <s v="Pune"/>
  </r>
  <r>
    <s v="ORD-00983"/>
    <d v="2024-02-05T00:00:00"/>
    <s v="CUST-0209"/>
    <s v="PROD-041"/>
    <x v="20"/>
    <n v="4"/>
    <n v="1540"/>
    <n v="13.9"/>
    <n v="5303.76"/>
    <s v="Completed"/>
    <s v="Pune"/>
  </r>
  <r>
    <s v="ORD-00984"/>
    <d v="2024-05-26T00:00:00"/>
    <s v="CUST-0074"/>
    <s v="PROD-031"/>
    <x v="0"/>
    <n v="2"/>
    <n v="3730"/>
    <n v="15.7"/>
    <n v="6288.78"/>
    <s v="Cancelled"/>
    <s v="Bengaluru"/>
  </r>
  <r>
    <s v="ORD-00985"/>
    <d v="2024-10-12T00:00:00"/>
    <s v="CUST-0037"/>
    <s v="PROD-031"/>
    <x v="28"/>
    <n v="4"/>
    <n v="3730"/>
    <n v="2.1"/>
    <n v="14606.68"/>
    <s v="Completed"/>
    <s v="Bengaluru"/>
  </r>
  <r>
    <s v="ORD-00986"/>
    <d v="2024-06-14T00:00:00"/>
    <s v="CUST-0026"/>
    <s v="PROD-012"/>
    <x v="22"/>
    <n v="1"/>
    <n v="3160"/>
    <n v="29.8"/>
    <n v="2218.3200000000002"/>
    <s v="Completed"/>
    <s v="Pune"/>
  </r>
  <r>
    <s v="ORD-00987"/>
    <d v="2024-09-09T00:00:00"/>
    <s v="CUST-0151"/>
    <s v="PROD-042"/>
    <x v="24"/>
    <n v="9"/>
    <n v="2290"/>
    <n v="8.3000000000000007"/>
    <n v="18899.37"/>
    <s v="Pending"/>
    <s v="Mumbai"/>
  </r>
  <r>
    <s v="ORD-00988"/>
    <d v="2024-12-06T00:00:00"/>
    <s v="CUST-0210"/>
    <s v="PROD-004"/>
    <x v="22"/>
    <n v="2"/>
    <n v="3870"/>
    <n v="5.2"/>
    <n v="7337.52"/>
    <s v="Completed"/>
    <s v="Pune"/>
  </r>
  <r>
    <s v="ORD-00989"/>
    <d v="2024-06-22T00:00:00"/>
    <s v="CUST-0192"/>
    <s v="PROD-003"/>
    <x v="0"/>
    <n v="5"/>
    <n v="3570"/>
    <n v="19.899999999999999"/>
    <n v="14297.85"/>
    <s v="Completed"/>
    <s v="Bengaluru"/>
  </r>
  <r>
    <s v="ORD-00990"/>
    <d v="2024-02-20T00:00:00"/>
    <s v="CUST-0161"/>
    <s v="PROD-054"/>
    <x v="19"/>
    <n v="5"/>
    <n v="1010"/>
    <n v="2.2000000000000002"/>
    <n v="4938.8999999999996"/>
    <s v="Completed"/>
    <s v="Chennai"/>
  </r>
  <r>
    <s v="ORD-00991"/>
    <d v="2024-01-18T00:00:00"/>
    <s v="CUST-0255"/>
    <s v="PROD-042"/>
    <x v="10"/>
    <n v="10"/>
    <n v="2290"/>
    <n v="16.8"/>
    <n v="19052.8"/>
    <s v="Cancelled"/>
    <s v="Chennai"/>
  </r>
  <r>
    <s v="ORD-00992"/>
    <d v="2024-07-20T00:00:00"/>
    <s v="CUST-0027"/>
    <s v="PROD-039"/>
    <x v="7"/>
    <n v="3"/>
    <n v="4610"/>
    <n v="13.2"/>
    <n v="12004.44"/>
    <s v="Pending"/>
    <s v="Hyderabad"/>
  </r>
  <r>
    <s v="ORD-00993"/>
    <d v="2024-03-05T00:00:00"/>
    <s v="CUST-0228"/>
    <s v="PROD-017"/>
    <x v="11"/>
    <n v="1"/>
    <n v="2510"/>
    <n v="16.899999999999999"/>
    <n v="2085.81"/>
    <s v="Completed"/>
    <s v="Pune"/>
  </r>
  <r>
    <s v="ORD-00994"/>
    <d v="2024-03-16T00:00:00"/>
    <s v="CUST-0183"/>
    <s v="PROD-045"/>
    <x v="18"/>
    <n v="1"/>
    <n v="3020"/>
    <n v="26.7"/>
    <n v="2213.66"/>
    <s v="Completed"/>
    <s v="Mumbai"/>
  </r>
  <r>
    <s v="ORD-00995"/>
    <d v="2024-01-22T00:00:00"/>
    <s v="CUST-0026"/>
    <s v="PROD-060"/>
    <x v="27"/>
    <n v="6"/>
    <n v="190"/>
    <n v="7.1"/>
    <n v="1059.06"/>
    <s v="Completed"/>
    <s v="Pune"/>
  </r>
  <r>
    <s v="ORD-00996"/>
    <d v="2024-08-25T00:00:00"/>
    <s v="CUST-0211"/>
    <s v="PROD-033"/>
    <x v="25"/>
    <n v="6"/>
    <n v="2030"/>
    <n v="13.5"/>
    <n v="10535.7"/>
    <s v="Cancelled"/>
    <s v="Bengaluru"/>
  </r>
  <r>
    <s v="ORD-00997"/>
    <d v="2024-09-12T00:00:00"/>
    <s v="CUST-0190"/>
    <s v="PROD-036"/>
    <x v="27"/>
    <n v="10"/>
    <n v="3250"/>
    <n v="8.6999999999999993"/>
    <n v="29672.5"/>
    <s v="Completed"/>
    <s v="Hyderabad"/>
  </r>
  <r>
    <s v="ORD-00998"/>
    <d v="2024-01-08T00:00:00"/>
    <s v="CUST-0172"/>
    <s v="PROD-033"/>
    <x v="20"/>
    <n v="9"/>
    <n v="2030"/>
    <n v="29.3"/>
    <n v="12916.89"/>
    <s v="Completed"/>
    <s v="Pune"/>
  </r>
  <r>
    <s v="ORD-00999"/>
    <d v="2024-03-29T00:00:00"/>
    <s v="CUST-0272"/>
    <s v="PROD-023"/>
    <x v="5"/>
    <n v="1"/>
    <n v="2380"/>
    <n v="12.9"/>
    <n v="2072.98"/>
    <s v="Completed"/>
    <s v="Mumbai"/>
  </r>
  <r>
    <s v="ORD-01000"/>
    <d v="2024-08-17T00:00:00"/>
    <s v="CUST-0232"/>
    <s v="PROD-011"/>
    <x v="6"/>
    <n v="10"/>
    <n v="3450"/>
    <n v="18.5"/>
    <n v="28117.5"/>
    <s v="Completed"/>
    <s v="Hyderabad"/>
  </r>
  <r>
    <s v="ORD-01001"/>
    <d v="2024-07-27T00:00:00"/>
    <s v="CUST-0282"/>
    <s v="PROD-012"/>
    <x v="25"/>
    <n v="10"/>
    <n v="3160"/>
    <n v="26.3"/>
    <n v="23289.200000000001"/>
    <s v="Completed"/>
    <s v="Hyderabad"/>
  </r>
  <r>
    <s v="ORD-01002"/>
    <d v="2024-08-27T00:00:00"/>
    <s v="CUST-0164"/>
    <s v="PROD-038"/>
    <x v="17"/>
    <n v="10"/>
    <n v="5490"/>
    <n v="22.7"/>
    <n v="42437.7"/>
    <s v="Completed"/>
    <s v="Chennai"/>
  </r>
  <r>
    <s v="ORD-01003"/>
    <d v="2024-09-28T00:00:00"/>
    <s v="CUST-0212"/>
    <s v="PROD-055"/>
    <x v="3"/>
    <n v="8"/>
    <n v="2860"/>
    <n v="14.3"/>
    <n v="19608.16"/>
    <s v="Completed"/>
    <s v="Chennai"/>
  </r>
  <r>
    <s v="ORD-01004"/>
    <d v="2024-05-04T00:00:00"/>
    <s v="CUST-0234"/>
    <s v="PROD-049"/>
    <x v="23"/>
    <n v="1"/>
    <n v="960"/>
    <n v="11.9"/>
    <n v="845.76"/>
    <s v="Completed"/>
    <s v="Bengaluru"/>
  </r>
  <r>
    <s v="ORD-01005"/>
    <d v="2024-05-18T00:00:00"/>
    <s v="CUST-0292"/>
    <s v="PROD-040"/>
    <x v="0"/>
    <n v="3"/>
    <n v="1080"/>
    <n v="26"/>
    <n v="2397.6"/>
    <s v="Completed"/>
    <s v="Bengaluru"/>
  </r>
  <r>
    <s v="ORD-01006"/>
    <d v="2024-10-20T00:00:00"/>
    <s v="CUST-0018"/>
    <s v="PROD-055"/>
    <x v="19"/>
    <n v="10"/>
    <n v="2860"/>
    <n v="13.1"/>
    <n v="24853.4"/>
    <s v="Refunded"/>
    <s v="Pune"/>
  </r>
  <r>
    <s v="ORD-01007"/>
    <d v="2024-12-04T00:00:00"/>
    <s v="CUST-0220"/>
    <s v="PROD-013"/>
    <x v="19"/>
    <n v="3"/>
    <n v="3640"/>
    <n v="18.2"/>
    <n v="8932.56"/>
    <s v="Completed"/>
    <s v="Chennai"/>
  </r>
  <r>
    <s v="ORD-01008"/>
    <d v="2024-04-23T00:00:00"/>
    <s v="CUST-0064"/>
    <s v="PROD-015"/>
    <x v="26"/>
    <n v="3"/>
    <n v="2720"/>
    <n v="3.6"/>
    <n v="7866.24"/>
    <s v="Completed"/>
    <s v="Hyderabad"/>
  </r>
  <r>
    <s v="ORD-01009"/>
    <d v="2024-12-04T00:00:00"/>
    <s v="CUST-0077"/>
    <s v="PROD-024"/>
    <x v="4"/>
    <n v="4"/>
    <n v="2270"/>
    <n v="18.399999999999999"/>
    <n v="7409.28"/>
    <s v="Completed"/>
    <s v="Hyderabad"/>
  </r>
  <r>
    <s v="ORD-01010"/>
    <d v="2024-07-10T00:00:00"/>
    <s v="CUST-0229"/>
    <s v="PROD-009"/>
    <x v="20"/>
    <n v="5"/>
    <n v="1220"/>
    <n v="13.9"/>
    <n v="5252.1"/>
    <s v="Completed"/>
    <s v="Hyderabad"/>
  </r>
  <r>
    <s v="ORD-01011"/>
    <d v="2024-08-26T00:00:00"/>
    <s v="CUST-0129"/>
    <s v="PROD-010"/>
    <x v="15"/>
    <n v="8"/>
    <n v="2640"/>
    <n v="17.3"/>
    <n v="17466.240000000002"/>
    <s v="Completed"/>
    <s v="Hyderabad"/>
  </r>
  <r>
    <s v="ORD-01012"/>
    <d v="2024-07-27T00:00:00"/>
    <s v="CUST-0145"/>
    <s v="PROD-030"/>
    <x v="15"/>
    <n v="1"/>
    <n v="970"/>
    <n v="28"/>
    <n v="698.4"/>
    <s v="Cancelled"/>
    <s v="Bengaluru"/>
  </r>
  <r>
    <s v="ORD-01013"/>
    <d v="2024-03-07T00:00:00"/>
    <s v="CUST-0258"/>
    <s v="PROD-031"/>
    <x v="5"/>
    <n v="8"/>
    <n v="3730"/>
    <n v="2.1"/>
    <n v="29213.360000000001"/>
    <s v="Refunded"/>
    <s v="Pune"/>
  </r>
  <r>
    <s v="ORD-01014"/>
    <d v="2024-11-02T00:00:00"/>
    <s v="CUST-0209"/>
    <s v="PROD-030"/>
    <x v="6"/>
    <n v="7"/>
    <n v="970"/>
    <n v="25.5"/>
    <n v="5058.55"/>
    <s v="Completed"/>
    <s v="Pune"/>
  </r>
  <r>
    <s v="ORD-01015"/>
    <d v="2024-01-27T00:00:00"/>
    <s v="CUST-0131"/>
    <s v="PROD-003"/>
    <x v="24"/>
    <n v="6"/>
    <n v="3570"/>
    <n v="9.9"/>
    <n v="19299.419999999998"/>
    <s v="Completed"/>
    <s v="Delhi"/>
  </r>
  <r>
    <s v="ORD-01016"/>
    <d v="2024-08-20T00:00:00"/>
    <s v="CUST-0276"/>
    <s v="PROD-030"/>
    <x v="29"/>
    <n v="6"/>
    <n v="970"/>
    <n v="19.600000000000001"/>
    <n v="4679.28"/>
    <s v="Completed"/>
    <s v="Chennai"/>
  </r>
  <r>
    <s v="ORD-01017"/>
    <d v="2024-09-19T00:00:00"/>
    <s v="CUST-0283"/>
    <s v="PROD-059"/>
    <x v="23"/>
    <n v="8"/>
    <n v="3780"/>
    <n v="26.5"/>
    <n v="22226.400000000001"/>
    <s v="Completed"/>
    <s v="Delhi"/>
  </r>
  <r>
    <s v="ORD-01018"/>
    <d v="2024-08-24T00:00:00"/>
    <s v="CUST-0195"/>
    <s v="PROD-058"/>
    <x v="23"/>
    <n v="6"/>
    <n v="2400"/>
    <n v="1.4"/>
    <n v="14198.4"/>
    <s v="Completed"/>
    <s v="Bengaluru"/>
  </r>
  <r>
    <s v="ORD-01019"/>
    <d v="2024-07-13T00:00:00"/>
    <s v="CUST-0181"/>
    <s v="PROD-036"/>
    <x v="13"/>
    <n v="10"/>
    <n v="3250"/>
    <n v="19.3"/>
    <n v="26227.5"/>
    <s v="Completed"/>
    <s v="Delhi"/>
  </r>
  <r>
    <s v="ORD-01020"/>
    <d v="2024-02-14T00:00:00"/>
    <s v="CUST-0149"/>
    <s v="PROD-021"/>
    <x v="2"/>
    <n v="7"/>
    <n v="2760"/>
    <n v="23.6"/>
    <n v="14760.48"/>
    <s v="Pending"/>
    <s v="Hyderabad"/>
  </r>
  <r>
    <s v="ORD-01021"/>
    <d v="2024-06-20T00:00:00"/>
    <s v="CUST-0152"/>
    <s v="PROD-003"/>
    <x v="19"/>
    <n v="3"/>
    <n v="3570"/>
    <n v="26.3"/>
    <n v="7893.27"/>
    <s v="Completed"/>
    <s v="Bengaluru"/>
  </r>
  <r>
    <s v="ORD-01022"/>
    <d v="2024-04-10T00:00:00"/>
    <s v="CUST-0085"/>
    <s v="PROD-027"/>
    <x v="15"/>
    <n v="4"/>
    <n v="3780"/>
    <n v="10.1"/>
    <n v="13592.88"/>
    <s v="Completed"/>
    <s v="Chennai"/>
  </r>
  <r>
    <s v="ORD-01023"/>
    <d v="2024-11-04T00:00:00"/>
    <s v="CUST-0231"/>
    <s v="PROD-007"/>
    <x v="7"/>
    <n v="10"/>
    <n v="1430"/>
    <n v="3.7"/>
    <n v="13770.9"/>
    <s v="Completed"/>
    <s v="Chennai"/>
  </r>
  <r>
    <s v="ORD-01024"/>
    <d v="2024-04-29T00:00:00"/>
    <s v="CUST-0044"/>
    <s v="PROD-022"/>
    <x v="23"/>
    <n v="6"/>
    <n v="2270"/>
    <n v="7.9"/>
    <n v="12544.02"/>
    <s v="Refunded"/>
    <s v="Hyderabad"/>
  </r>
  <r>
    <s v="ORD-01025"/>
    <d v="2024-04-24T00:00:00"/>
    <s v="CUST-0027"/>
    <s v="PROD-054"/>
    <x v="22"/>
    <n v="1"/>
    <n v="1010"/>
    <n v="6.9"/>
    <n v="940.31"/>
    <s v="Pending"/>
    <s v="Hyderabad"/>
  </r>
  <r>
    <s v="ORD-01026"/>
    <d v="2024-04-29T00:00:00"/>
    <s v="CUST-0101"/>
    <s v="PROD-055"/>
    <x v="2"/>
    <n v="2"/>
    <n v="2860"/>
    <n v="20.100000000000001"/>
    <n v="4570.28"/>
    <s v="Completed"/>
    <s v="Hyderabad"/>
  </r>
  <r>
    <s v="ORD-01027"/>
    <d v="2024-06-18T00:00:00"/>
    <s v="CUST-0123"/>
    <s v="PROD-002"/>
    <x v="7"/>
    <n v="9"/>
    <n v="2600"/>
    <n v="15.9"/>
    <n v="19679.400000000001"/>
    <s v="Cancelled"/>
    <s v="Chennai"/>
  </r>
  <r>
    <s v="ORD-01028"/>
    <d v="2024-04-27T00:00:00"/>
    <s v="CUST-0124"/>
    <s v="PROD-053"/>
    <x v="6"/>
    <n v="10"/>
    <n v="470"/>
    <n v="23.1"/>
    <n v="3614.3"/>
    <s v="Pending"/>
    <s v="Pune"/>
  </r>
  <r>
    <s v="ORD-01029"/>
    <d v="2024-07-22T00:00:00"/>
    <s v="CUST-0159"/>
    <s v="PROD-037"/>
    <x v="22"/>
    <n v="10"/>
    <n v="660"/>
    <n v="9.4"/>
    <n v="5979.6"/>
    <s v="Completed"/>
    <s v="Hyderabad"/>
  </r>
  <r>
    <s v="ORD-01030"/>
    <d v="2024-01-16T00:00:00"/>
    <s v="CUST-0087"/>
    <s v="PROD-009"/>
    <x v="12"/>
    <n v="5"/>
    <n v="1220"/>
    <n v="23.3"/>
    <n v="4678.7"/>
    <s v="Completed"/>
    <s v="Pune"/>
  </r>
  <r>
    <s v="ORD-01031"/>
    <d v="2024-01-03T00:00:00"/>
    <s v="CUST-0295"/>
    <s v="PROD-036"/>
    <x v="23"/>
    <n v="9"/>
    <n v="3250"/>
    <n v="19.600000000000001"/>
    <n v="23517"/>
    <s v="Pending"/>
    <s v="Delhi"/>
  </r>
  <r>
    <s v="ORD-01032"/>
    <d v="2024-09-07T00:00:00"/>
    <s v="CUST-0211"/>
    <s v="PROD-016"/>
    <x v="26"/>
    <n v="7"/>
    <n v="620"/>
    <n v="29"/>
    <n v="3081.4"/>
    <s v="Completed"/>
    <s v="Bengaluru"/>
  </r>
  <r>
    <s v="ORD-01033"/>
    <d v="2024-06-10T00:00:00"/>
    <s v="CUST-0265"/>
    <s v="PROD-026"/>
    <x v="3"/>
    <n v="9"/>
    <n v="4070"/>
    <n v="16.2"/>
    <n v="30695.94"/>
    <s v="Completed"/>
    <s v="Chennai"/>
  </r>
  <r>
    <s v="ORD-01034"/>
    <d v="2024-02-29T00:00:00"/>
    <s v="CUST-0252"/>
    <s v="PROD-012"/>
    <x v="0"/>
    <n v="8"/>
    <n v="3160"/>
    <n v="23.8"/>
    <n v="19263.36"/>
    <s v="Completed"/>
    <s v="Bengaluru"/>
  </r>
  <r>
    <s v="ORD-01035"/>
    <d v="2024-05-10T00:00:00"/>
    <s v="CUST-0180"/>
    <s v="PROD-029"/>
    <x v="24"/>
    <n v="3"/>
    <n v="2210"/>
    <n v="29.7"/>
    <n v="4660.8900000000003"/>
    <s v="Completed"/>
    <s v="Chennai"/>
  </r>
  <r>
    <s v="ORD-01036"/>
    <d v="2024-03-10T00:00:00"/>
    <s v="CUST-0231"/>
    <s v="PROD-053"/>
    <x v="5"/>
    <n v="9"/>
    <n v="470"/>
    <n v="27.1"/>
    <n v="3083.67"/>
    <s v="Completed"/>
    <s v="Chennai"/>
  </r>
  <r>
    <s v="ORD-01037"/>
    <d v="2024-11-26T00:00:00"/>
    <s v="CUST-0161"/>
    <s v="PROD-032"/>
    <x v="16"/>
    <n v="6"/>
    <n v="370"/>
    <n v="5.4"/>
    <n v="2100.12"/>
    <s v="Completed"/>
    <s v="Chennai"/>
  </r>
  <r>
    <s v="ORD-01038"/>
    <d v="2024-07-23T00:00:00"/>
    <s v="CUST-0249"/>
    <s v="PROD-059"/>
    <x v="26"/>
    <n v="10"/>
    <n v="3780"/>
    <n v="21.5"/>
    <n v="29673"/>
    <s v="Pending"/>
    <s v="Mumbai"/>
  </r>
  <r>
    <s v="ORD-01039"/>
    <d v="2024-10-13T00:00:00"/>
    <s v="CUST-0048"/>
    <s v="PROD-056"/>
    <x v="18"/>
    <n v="4"/>
    <n v="6940"/>
    <n v="3.9"/>
    <n v="26677.360000000001"/>
    <s v="Cancelled"/>
    <s v="Delhi"/>
  </r>
  <r>
    <s v="ORD-01040"/>
    <d v="2024-07-03T00:00:00"/>
    <s v="CUST-0068"/>
    <s v="PROD-031"/>
    <x v="24"/>
    <n v="3"/>
    <n v="3730"/>
    <n v="20.7"/>
    <n v="8873.67"/>
    <s v="Completed"/>
    <s v="Delhi"/>
  </r>
  <r>
    <s v="ORD-01041"/>
    <d v="2024-01-09T00:00:00"/>
    <s v="CUST-0213"/>
    <s v="PROD-034"/>
    <x v="5"/>
    <n v="8"/>
    <n v="5080"/>
    <n v="6.2"/>
    <n v="38120.32"/>
    <s v="Completed"/>
    <s v="Mumbai"/>
  </r>
  <r>
    <s v="ORD-01042"/>
    <d v="2024-06-12T00:00:00"/>
    <s v="CUST-0159"/>
    <s v="PROD-052"/>
    <x v="19"/>
    <n v="5"/>
    <n v="5410"/>
    <n v="5.2"/>
    <n v="25643.4"/>
    <s v="Completed"/>
    <s v="Hyderabad"/>
  </r>
  <r>
    <s v="ORD-01043"/>
    <d v="2024-04-22T00:00:00"/>
    <s v="CUST-0298"/>
    <s v="PROD-015"/>
    <x v="17"/>
    <n v="6"/>
    <n v="2720"/>
    <n v="29.8"/>
    <n v="11456.64"/>
    <s v="Pending"/>
    <s v="Delhi"/>
  </r>
  <r>
    <s v="ORD-01044"/>
    <d v="2024-06-25T00:00:00"/>
    <s v="CUST-0145"/>
    <s v="PROD-009"/>
    <x v="9"/>
    <n v="1"/>
    <n v="1220"/>
    <n v="22.6"/>
    <n v="944.28"/>
    <s v="Completed"/>
    <s v="Bengaluru"/>
  </r>
  <r>
    <s v="ORD-01045"/>
    <d v="2024-12-14T00:00:00"/>
    <s v="CUST-0015"/>
    <s v="PROD-046"/>
    <x v="4"/>
    <n v="10"/>
    <n v="4880"/>
    <n v="7.3"/>
    <n v="45237.599999999999"/>
    <s v="Completed"/>
    <s v="Chennai"/>
  </r>
  <r>
    <s v="ORD-01046"/>
    <d v="2024-06-07T00:00:00"/>
    <s v="CUST-0054"/>
    <s v="PROD-022"/>
    <x v="13"/>
    <n v="10"/>
    <n v="2270"/>
    <n v="1.6"/>
    <n v="22336.799999999999"/>
    <s v="Completed"/>
    <s v="Mumbai"/>
  </r>
  <r>
    <s v="ORD-01047"/>
    <d v="2024-10-24T00:00:00"/>
    <s v="CUST-0150"/>
    <s v="PROD-030"/>
    <x v="11"/>
    <n v="8"/>
    <n v="970"/>
    <n v="13.1"/>
    <n v="6743.44"/>
    <s v="Completed"/>
    <s v="Pune"/>
  </r>
  <r>
    <s v="ORD-01048"/>
    <d v="2024-12-20T00:00:00"/>
    <s v="CUST-0096"/>
    <s v="PROD-023"/>
    <x v="27"/>
    <n v="7"/>
    <n v="2380"/>
    <n v="10.6"/>
    <n v="14894.04"/>
    <s v="Cancelled"/>
    <s v="Delhi"/>
  </r>
  <r>
    <s v="ORD-01049"/>
    <d v="2024-07-15T00:00:00"/>
    <s v="CUST-0288"/>
    <s v="PROD-014"/>
    <x v="29"/>
    <n v="6"/>
    <n v="3620"/>
    <n v="21.3"/>
    <n v="17093.64"/>
    <s v="Cancelled"/>
    <s v="Hyderabad"/>
  </r>
  <r>
    <s v="ORD-01050"/>
    <d v="2024-09-20T00:00:00"/>
    <s v="CUST-0048"/>
    <s v="PROD-026"/>
    <x v="28"/>
    <n v="3"/>
    <n v="4070"/>
    <n v="8.1999999999999993"/>
    <n v="11208.78"/>
    <s v="Cancelled"/>
    <s v="Delhi"/>
  </r>
  <r>
    <s v="ORD-01051"/>
    <d v="2024-10-13T00:00:00"/>
    <s v="CUST-0104"/>
    <s v="PROD-048"/>
    <x v="17"/>
    <n v="8"/>
    <n v="5100"/>
    <n v="26.9"/>
    <n v="29824.799999999999"/>
    <s v="Completed"/>
    <s v="Hyderabad"/>
  </r>
  <r>
    <s v="ORD-01052"/>
    <d v="2024-01-05T00:00:00"/>
    <s v="CUST-0054"/>
    <s v="PROD-045"/>
    <x v="21"/>
    <n v="3"/>
    <n v="3020"/>
    <n v="18.5"/>
    <n v="7383.9"/>
    <s v="Cancelled"/>
    <s v="Mumbai"/>
  </r>
  <r>
    <s v="ORD-01053"/>
    <d v="2024-09-29T00:00:00"/>
    <s v="CUST-0158"/>
    <s v="PROD-049"/>
    <x v="25"/>
    <n v="8"/>
    <n v="960"/>
    <n v="7.1"/>
    <n v="7134.72"/>
    <s v="Completed"/>
    <s v="Pune"/>
  </r>
  <r>
    <s v="ORD-01054"/>
    <d v="2024-04-01T00:00:00"/>
    <s v="CUST-0231"/>
    <s v="PROD-034"/>
    <x v="15"/>
    <n v="8"/>
    <n v="5080"/>
    <n v="6.2"/>
    <n v="38120.32"/>
    <s v="Completed"/>
    <s v="Chennai"/>
  </r>
  <r>
    <s v="ORD-01055"/>
    <d v="2024-05-24T00:00:00"/>
    <s v="CUST-0277"/>
    <s v="PROD-050"/>
    <x v="9"/>
    <n v="6"/>
    <n v="6080"/>
    <n v="25.8"/>
    <n v="27068.16"/>
    <s v="Completed"/>
    <s v="Chennai"/>
  </r>
  <r>
    <s v="ORD-01056"/>
    <d v="2024-09-09T00:00:00"/>
    <s v="CUST-0232"/>
    <s v="PROD-041"/>
    <x v="9"/>
    <n v="5"/>
    <n v="1540"/>
    <n v="24.6"/>
    <n v="5805.8"/>
    <s v="Completed"/>
    <s v="Hyderabad"/>
  </r>
  <r>
    <s v="ORD-01057"/>
    <d v="2024-04-22T00:00:00"/>
    <s v="CUST-0074"/>
    <s v="PROD-054"/>
    <x v="6"/>
    <n v="4"/>
    <n v="1010"/>
    <n v="2.9"/>
    <n v="3922.84"/>
    <s v="Pending"/>
    <s v="Bengaluru"/>
  </r>
  <r>
    <s v="ORD-01058"/>
    <d v="2024-10-21T00:00:00"/>
    <s v="CUST-0068"/>
    <s v="PROD-049"/>
    <x v="17"/>
    <n v="5"/>
    <n v="960"/>
    <n v="11.4"/>
    <n v="4252.8"/>
    <s v="Completed"/>
    <s v="Delhi"/>
  </r>
  <r>
    <s v="ORD-01059"/>
    <d v="2024-08-20T00:00:00"/>
    <s v="CUST-0152"/>
    <s v="PROD-041"/>
    <x v="9"/>
    <n v="1"/>
    <n v="1540"/>
    <n v="5.6"/>
    <n v="1453.76"/>
    <s v="Completed"/>
    <s v="Bengaluru"/>
  </r>
  <r>
    <s v="ORD-01060"/>
    <d v="2024-04-15T00:00:00"/>
    <s v="CUST-0046"/>
    <s v="PROD-043"/>
    <x v="7"/>
    <n v="9"/>
    <n v="3350"/>
    <n v="2.1"/>
    <n v="29516.85"/>
    <s v="Completed"/>
    <s v="Delhi"/>
  </r>
  <r>
    <s v="ORD-01061"/>
    <d v="2024-02-14T00:00:00"/>
    <s v="CUST-0201"/>
    <s v="PROD-051"/>
    <x v="13"/>
    <n v="7"/>
    <n v="3450"/>
    <n v="4.7"/>
    <n v="23014.95"/>
    <s v="Completed"/>
    <s v="Hyderabad"/>
  </r>
  <r>
    <s v="ORD-01062"/>
    <d v="2024-10-29T00:00:00"/>
    <s v="CUST-0191"/>
    <s v="PROD-057"/>
    <x v="7"/>
    <n v="10"/>
    <n v="960"/>
    <n v="17.899999999999999"/>
    <n v="7881.6"/>
    <s v="Completed"/>
    <s v="Hyderabad"/>
  </r>
  <r>
    <s v="ORD-01063"/>
    <d v="2024-11-21T00:00:00"/>
    <s v="CUST-0192"/>
    <s v="PROD-013"/>
    <x v="2"/>
    <n v="1"/>
    <n v="3640"/>
    <n v="8.8000000000000007"/>
    <n v="3319.68"/>
    <s v="Completed"/>
    <s v="Bengaluru"/>
  </r>
  <r>
    <s v="ORD-01064"/>
    <d v="2024-03-27T00:00:00"/>
    <s v="CUST-0074"/>
    <s v="PROD-029"/>
    <x v="21"/>
    <n v="1"/>
    <n v="2210"/>
    <n v="10.7"/>
    <n v="1973.53"/>
    <s v="Completed"/>
    <s v="Bengaluru"/>
  </r>
  <r>
    <s v="ORD-01065"/>
    <d v="2024-01-27T00:00:00"/>
    <s v="CUST-0071"/>
    <s v="PROD-031"/>
    <x v="1"/>
    <n v="2"/>
    <n v="3730"/>
    <n v="13.9"/>
    <n v="6423.06"/>
    <s v="Completed"/>
    <s v="Delhi"/>
  </r>
  <r>
    <s v="ORD-01066"/>
    <d v="2024-09-07T00:00:00"/>
    <s v="CUST-0210"/>
    <s v="PROD-052"/>
    <x v="9"/>
    <n v="7"/>
    <n v="5410"/>
    <n v="23.6"/>
    <n v="28932.68"/>
    <s v="Completed"/>
    <s v="Pune"/>
  </r>
  <r>
    <s v="ORD-01067"/>
    <d v="2024-11-22T00:00:00"/>
    <s v="CUST-0054"/>
    <s v="PROD-027"/>
    <x v="26"/>
    <n v="7"/>
    <n v="3780"/>
    <n v="8.5"/>
    <n v="24210.9"/>
    <s v="Cancelled"/>
    <s v="Mumbai"/>
  </r>
  <r>
    <s v="ORD-01068"/>
    <d v="2024-09-20T00:00:00"/>
    <s v="CUST-0194"/>
    <s v="PROD-039"/>
    <x v="29"/>
    <n v="9"/>
    <n v="4610"/>
    <n v="26.6"/>
    <n v="30453.66"/>
    <s v="Completed"/>
    <s v="Delhi"/>
  </r>
  <r>
    <s v="ORD-01069"/>
    <d v="2024-03-22T00:00:00"/>
    <s v="CUST-0231"/>
    <s v="PROD-010"/>
    <x v="5"/>
    <n v="5"/>
    <n v="2640"/>
    <n v="1.5"/>
    <n v="13002"/>
    <s v="Completed"/>
    <s v="Chennai"/>
  </r>
  <r>
    <s v="ORD-01070"/>
    <d v="2024-08-11T00:00:00"/>
    <s v="CUST-0053"/>
    <s v="PROD-014"/>
    <x v="9"/>
    <n v="3"/>
    <n v="3620"/>
    <n v="3.1"/>
    <n v="10523.34"/>
    <s v="Completed"/>
    <s v="Delhi"/>
  </r>
  <r>
    <s v="ORD-01071"/>
    <d v="2024-08-26T00:00:00"/>
    <s v="CUST-0290"/>
    <s v="PROD-053"/>
    <x v="26"/>
    <n v="5"/>
    <n v="470"/>
    <n v="10.6"/>
    <n v="2100.9"/>
    <s v="Cancelled"/>
    <s v="Delhi"/>
  </r>
  <r>
    <s v="ORD-01072"/>
    <d v="2024-06-20T00:00:00"/>
    <s v="CUST-0261"/>
    <s v="PROD-001"/>
    <x v="18"/>
    <n v="7"/>
    <n v="5330"/>
    <n v="25"/>
    <n v="27982.5"/>
    <s v="Cancelled"/>
    <s v="Delhi"/>
  </r>
  <r>
    <s v="ORD-01073"/>
    <d v="2024-01-01T00:00:00"/>
    <s v="CUST-0045"/>
    <s v="PROD-050"/>
    <x v="2"/>
    <n v="1"/>
    <n v="6080"/>
    <n v="27.8"/>
    <n v="4389.76"/>
    <s v="Completed"/>
    <s v="Chennai"/>
  </r>
  <r>
    <s v="ORD-01074"/>
    <d v="2024-02-25T00:00:00"/>
    <s v="CUST-0064"/>
    <s v="PROD-043"/>
    <x v="6"/>
    <n v="6"/>
    <n v="3350"/>
    <n v="12"/>
    <n v="17688"/>
    <s v="Completed"/>
    <s v="Hyderabad"/>
  </r>
  <r>
    <s v="ORD-01075"/>
    <d v="2024-10-27T00:00:00"/>
    <s v="CUST-9754"/>
    <s v="PROD-056"/>
    <x v="28"/>
    <n v="6"/>
    <n v="6940"/>
    <n v="20"/>
    <n v="33312"/>
    <s v="Completed"/>
    <s v="Chennai"/>
  </r>
  <r>
    <s v="ORD-01076"/>
    <d v="2024-12-10T00:00:00"/>
    <s v="CUST-0200"/>
    <s v="PROD-032"/>
    <x v="0"/>
    <n v="1"/>
    <n v="370"/>
    <n v="10"/>
    <n v="333"/>
    <s v="Completed"/>
    <s v="Hyderabad"/>
  </r>
  <r>
    <s v="ORD-01077"/>
    <d v="2024-05-20T00:00:00"/>
    <s v="CUST-0058"/>
    <s v="PROD-038"/>
    <x v="16"/>
    <n v="2"/>
    <n v="5490"/>
    <n v="27.9"/>
    <n v="7916.58"/>
    <s v="Completed"/>
    <s v="Bengaluru"/>
  </r>
  <r>
    <s v="ORD-01078"/>
    <d v="2024-07-06T00:00:00"/>
    <s v="CUST-0156"/>
    <s v="PROD-028"/>
    <x v="18"/>
    <n v="5"/>
    <n v="3660"/>
    <n v="4.5999999999999996"/>
    <n v="17458.2"/>
    <s v="Completed"/>
    <s v="Mumbai"/>
  </r>
  <r>
    <s v="ORD-01079"/>
    <d v="2024-09-28T00:00:00"/>
    <s v="CUST-0107"/>
    <s v="PROD-005"/>
    <x v="20"/>
    <n v="6"/>
    <n v="300"/>
    <n v="9"/>
    <n v="1638"/>
    <s v="Completed"/>
    <s v="Pune"/>
  </r>
  <r>
    <s v="ORD-01080"/>
    <d v="2024-08-19T00:00:00"/>
    <s v="CUST-0184"/>
    <s v="PROD-005"/>
    <x v="27"/>
    <n v="3"/>
    <n v="300"/>
    <n v="19.2"/>
    <n v="727.2"/>
    <s v="Completed"/>
    <s v="Pune"/>
  </r>
  <r>
    <s v="ORD-01081"/>
    <d v="2024-09-02T00:00:00"/>
    <s v="CUST-0202"/>
    <s v="PROD-049"/>
    <x v="2"/>
    <n v="6"/>
    <n v="960"/>
    <n v="29.3"/>
    <n v="4072.32"/>
    <s v="Cancelled"/>
    <s v="Chennai"/>
  </r>
  <r>
    <s v="ORD-01082"/>
    <d v="2024-04-01T00:00:00"/>
    <s v="CUST-0137"/>
    <s v="PROD-022"/>
    <x v="5"/>
    <n v="1"/>
    <n v="2270"/>
    <n v="12.4"/>
    <n v="1988.52"/>
    <s v="Completed"/>
    <s v="Mumbai"/>
  </r>
  <r>
    <s v="ORD-01083"/>
    <d v="2024-09-06T00:00:00"/>
    <s v="CUST-0108"/>
    <s v="PROD-033"/>
    <x v="28"/>
    <n v="10"/>
    <n v="2030"/>
    <n v="4"/>
    <n v="19488"/>
    <s v="Completed"/>
    <s v="Bengaluru"/>
  </r>
  <r>
    <s v="ORD-01084"/>
    <d v="2024-11-13T00:00:00"/>
    <s v="CUST-0126"/>
    <s v="PROD-040"/>
    <x v="13"/>
    <n v="9"/>
    <n v="1080"/>
    <n v="19.2"/>
    <n v="7853.76"/>
    <s v="Pending"/>
    <s v="Mumbai"/>
  </r>
  <r>
    <s v="ORD-01085"/>
    <d v="2024-06-20T00:00:00"/>
    <s v="CUST-0107"/>
    <s v="PROD-055"/>
    <x v="5"/>
    <n v="5"/>
    <n v="2860"/>
    <n v="25"/>
    <n v="10725"/>
    <s v="Pending"/>
    <s v="Pune"/>
  </r>
  <r>
    <s v="ORD-01086"/>
    <d v="2024-10-23T00:00:00"/>
    <s v="CUST-0071"/>
    <s v="PROD-024"/>
    <x v="27"/>
    <n v="6"/>
    <n v="2270"/>
    <n v="9.3000000000000007"/>
    <n v="12353.34"/>
    <s v="Completed"/>
    <s v="Delhi"/>
  </r>
  <r>
    <s v="ORD-01087"/>
    <d v="2024-02-06T00:00:00"/>
    <s v="CUST-0238"/>
    <s v="PROD-015"/>
    <x v="6"/>
    <n v="1"/>
    <n v="2720"/>
    <n v="15.2"/>
    <n v="2306.56"/>
    <s v="Completed"/>
    <s v="Delhi"/>
  </r>
  <r>
    <s v="ORD-01088"/>
    <d v="2024-12-12T00:00:00"/>
    <s v="CUST-0022"/>
    <s v="PROD-004"/>
    <x v="1"/>
    <n v="10"/>
    <n v="3870"/>
    <n v="4.9000000000000004"/>
    <n v="36803.699999999997"/>
    <s v="Cancelled"/>
    <s v="Bengaluru"/>
  </r>
  <r>
    <s v="ORD-01089"/>
    <d v="2024-02-10T00:00:00"/>
    <s v="CUST-0100"/>
    <s v="PROD-011"/>
    <x v="7"/>
    <n v="8"/>
    <n v="3450"/>
    <n v="20.6"/>
    <n v="21914.400000000001"/>
    <s v="Completed"/>
    <s v="Hyderabad"/>
  </r>
  <r>
    <s v="ORD-01090"/>
    <d v="2024-04-24T00:00:00"/>
    <s v="CUST-0263"/>
    <s v="PROD-053"/>
    <x v="25"/>
    <n v="1"/>
    <n v="470"/>
    <n v="5.4"/>
    <n v="444.62"/>
    <s v="Refunded"/>
    <s v="Mumbai"/>
  </r>
  <r>
    <s v="ORD-01091"/>
    <d v="2024-04-23T00:00:00"/>
    <s v="CUST-0032"/>
    <s v="PROD-006"/>
    <x v="18"/>
    <n v="5"/>
    <n v="3970"/>
    <n v="5.8"/>
    <n v="18698.7"/>
    <s v="Completed"/>
    <s v="Hyderabad"/>
  </r>
  <r>
    <s v="ORD-01092"/>
    <d v="2024-06-26T00:00:00"/>
    <s v="CUST-0227"/>
    <s v="PROD-048"/>
    <x v="27"/>
    <n v="2"/>
    <n v="5100"/>
    <n v="19.899999999999999"/>
    <n v="8170.2"/>
    <s v="Completed"/>
    <s v="Bengaluru"/>
  </r>
  <r>
    <s v="ORD-01093"/>
    <d v="2024-12-30T00:00:00"/>
    <s v="CUST-0124"/>
    <s v="PROD-047"/>
    <x v="19"/>
    <n v="6"/>
    <n v="3450"/>
    <n v="13"/>
    <n v="18009"/>
    <s v="Completed"/>
    <s v="Pune"/>
  </r>
  <r>
    <s v="ORD-01094"/>
    <d v="2024-12-27T00:00:00"/>
    <s v="CUST-0276"/>
    <s v="PROD-031"/>
    <x v="27"/>
    <n v="9"/>
    <n v="3730"/>
    <n v="15.5"/>
    <n v="28366.65"/>
    <s v="Completed"/>
    <s v="Chennai"/>
  </r>
  <r>
    <s v="ORD-01095"/>
    <d v="2024-05-28T00:00:00"/>
    <s v="CUST-0100"/>
    <s v="PROD-049"/>
    <x v="16"/>
    <n v="5"/>
    <n v="960"/>
    <n v="9.3000000000000007"/>
    <n v="4353.6000000000004"/>
    <s v="Completed"/>
    <s v="Hyderabad"/>
  </r>
  <r>
    <s v="ORD-01096"/>
    <d v="2024-08-07T00:00:00"/>
    <s v="CUST-0221"/>
    <s v="PROD-034"/>
    <x v="4"/>
    <n v="3"/>
    <n v="5080"/>
    <n v="17.399999999999999"/>
    <n v="12588.24"/>
    <s v="Cancelled"/>
    <s v="Delhi"/>
  </r>
  <r>
    <s v="ORD-01097"/>
    <d v="2024-01-09T00:00:00"/>
    <s v="CUST-0266"/>
    <s v="PROD-004"/>
    <x v="11"/>
    <n v="4"/>
    <n v="3870"/>
    <n v="20.5"/>
    <n v="12306.6"/>
    <s v="Pending"/>
    <s v="Pune"/>
  </r>
  <r>
    <s v="ORD-01098"/>
    <d v="2024-08-24T00:00:00"/>
    <s v="CUST-0210"/>
    <s v="PROD-059"/>
    <x v="6"/>
    <n v="1"/>
    <n v="3780"/>
    <n v="21.5"/>
    <n v="2967.3"/>
    <s v="Completed"/>
    <s v="Pune"/>
  </r>
  <r>
    <s v="ORD-01099"/>
    <d v="2024-11-26T00:00:00"/>
    <s v="CUST-0293"/>
    <s v="PROD-004"/>
    <x v="21"/>
    <n v="3"/>
    <n v="3870"/>
    <n v="21.9"/>
    <n v="9067.41"/>
    <s v="Pending"/>
    <s v="Bengaluru"/>
  </r>
  <r>
    <s v="ORD-01100"/>
    <d v="2024-06-20T00:00:00"/>
    <s v="CUST-0291"/>
    <s v="PROD-033"/>
    <x v="18"/>
    <n v="4"/>
    <n v="2030"/>
    <n v="23.4"/>
    <n v="6219.92"/>
    <s v="Completed"/>
    <s v="Pune"/>
  </r>
  <r>
    <s v="ORD-01101"/>
    <d v="2024-04-25T00:00:00"/>
    <s v="CUST-0295"/>
    <s v="PROD-029"/>
    <x v="11"/>
    <n v="6"/>
    <n v="2210"/>
    <n v="9.1"/>
    <n v="12053.34"/>
    <s v="Completed"/>
    <s v="Delhi"/>
  </r>
  <r>
    <s v="ORD-01102"/>
    <d v="2024-12-01T00:00:00"/>
    <s v="CUST-0123"/>
    <s v="PROD-041"/>
    <x v="21"/>
    <n v="5"/>
    <n v="1540"/>
    <n v="18.100000000000001"/>
    <n v="6306.3"/>
    <s v="Completed"/>
    <s v="Chennai"/>
  </r>
  <r>
    <s v="ORD-01103"/>
    <d v="2024-04-11T00:00:00"/>
    <s v="CUST-0167"/>
    <s v="PROD-054"/>
    <x v="23"/>
    <n v="1"/>
    <n v="1010"/>
    <n v="7.3"/>
    <n v="936.27"/>
    <s v="Completed"/>
    <s v="Delhi"/>
  </r>
  <r>
    <s v="ORD-01104"/>
    <d v="2024-03-09T00:00:00"/>
    <s v="CUST-0247"/>
    <s v="PROD-001"/>
    <x v="15"/>
    <n v="10"/>
    <n v="5330"/>
    <n v="27.3"/>
    <n v="38749.1"/>
    <s v="Completed"/>
    <s v="Pune"/>
  </r>
  <r>
    <s v="ORD-01105"/>
    <d v="2024-09-13T00:00:00"/>
    <s v="CUST-0224"/>
    <s v="PROD-003"/>
    <x v="24"/>
    <n v="7"/>
    <n v="3570"/>
    <n v="24.3"/>
    <n v="18917.43"/>
    <s v="Completed"/>
    <s v="Chennai"/>
  </r>
  <r>
    <s v="ORD-01106"/>
    <d v="2024-10-04T00:00:00"/>
    <s v="CUST-0102"/>
    <s v="PROD-043"/>
    <x v="21"/>
    <n v="1"/>
    <n v="3350"/>
    <n v="14.9"/>
    <n v="2850.85"/>
    <s v="Completed"/>
    <s v="Chennai"/>
  </r>
  <r>
    <s v="ORD-01107"/>
    <d v="2024-09-06T00:00:00"/>
    <s v="CUST-0151"/>
    <s v="PROD-017"/>
    <x v="12"/>
    <n v="2"/>
    <n v="2510"/>
    <n v="10.6"/>
    <n v="4487.88"/>
    <s v="Completed"/>
    <s v="Mumbai"/>
  </r>
  <r>
    <s v="ORD-01108"/>
    <d v="2024-03-18T00:00:00"/>
    <s v="CUST-0182"/>
    <s v="PROD-030"/>
    <x v="5"/>
    <n v="5"/>
    <n v="970"/>
    <n v="6.8"/>
    <n v="4520.2"/>
    <s v="Pending"/>
    <s v="Mumbai"/>
  </r>
  <r>
    <s v="ORD-01109"/>
    <d v="2024-08-15T00:00:00"/>
    <s v="CUST-0152"/>
    <s v="PROD-027"/>
    <x v="25"/>
    <n v="5"/>
    <n v="3780"/>
    <n v="16.600000000000001"/>
    <n v="15762.6"/>
    <s v="Completed"/>
    <s v="Bengaluru"/>
  </r>
  <r>
    <s v="ORD-01110"/>
    <d v="2024-03-28T00:00:00"/>
    <s v="CUST-0247"/>
    <s v="PROD-017"/>
    <x v="0"/>
    <n v="3"/>
    <n v="2510"/>
    <n v="24.9"/>
    <n v="5655.03"/>
    <s v="Cancelled"/>
    <s v="Pune"/>
  </r>
  <r>
    <s v="ORD-01111"/>
    <d v="2024-09-13T00:00:00"/>
    <s v="CUST-0220"/>
    <s v="PROD-033"/>
    <x v="4"/>
    <n v="3"/>
    <n v="2030"/>
    <n v="3.8"/>
    <n v="5858.58"/>
    <s v="Completed"/>
    <s v="Chennai"/>
  </r>
  <r>
    <s v="ORD-01112"/>
    <d v="2024-07-05T00:00:00"/>
    <s v="CUST-0206"/>
    <s v="PROD-060"/>
    <x v="2"/>
    <n v="9"/>
    <n v="190"/>
    <n v="5.4"/>
    <n v="1617.66"/>
    <s v="Completed"/>
    <s v="Mumbai"/>
  </r>
  <r>
    <s v="ORD-01113"/>
    <d v="2024-02-16T00:00:00"/>
    <s v="CUST-0219"/>
    <s v="PROD-029"/>
    <x v="16"/>
    <n v="6"/>
    <n v="2210"/>
    <n v="29.4"/>
    <n v="9361.56"/>
    <s v="Completed"/>
    <s v="Chennai"/>
  </r>
  <r>
    <s v="ORD-01114"/>
    <d v="2024-09-11T00:00:00"/>
    <s v="CUST-0298"/>
    <s v="PROD-013"/>
    <x v="1"/>
    <n v="4"/>
    <n v="3640"/>
    <n v="0.6"/>
    <n v="14472.64"/>
    <s v="Completed"/>
    <s v="Delhi"/>
  </r>
  <r>
    <s v="ORD-01115"/>
    <d v="2024-11-30T00:00:00"/>
    <s v="CUST-0254"/>
    <s v="PROD-009"/>
    <x v="18"/>
    <n v="9"/>
    <n v="1220"/>
    <n v="24.1"/>
    <n v="8333.82"/>
    <s v="Completed"/>
    <s v="Bengaluru"/>
  </r>
  <r>
    <s v="ORD-01116"/>
    <d v="2024-04-20T00:00:00"/>
    <s v="CUST-0085"/>
    <s v="PROD-056"/>
    <x v="18"/>
    <n v="2"/>
    <n v="6940"/>
    <n v="27"/>
    <n v="10132.4"/>
    <s v="Completed"/>
    <s v="Chennai"/>
  </r>
  <r>
    <s v="ORD-01117"/>
    <d v="2024-11-08T00:00:00"/>
    <s v="CUST-0181"/>
    <s v="PROD-055"/>
    <x v="9"/>
    <n v="6"/>
    <n v="2860"/>
    <n v="6.6"/>
    <n v="16027.44"/>
    <s v="Completed"/>
    <s v="Delhi"/>
  </r>
  <r>
    <s v="ORD-01118"/>
    <d v="2024-09-10T00:00:00"/>
    <s v="CUST-0143"/>
    <s v="PROD-015"/>
    <x v="26"/>
    <n v="5"/>
    <n v="2720"/>
    <n v="21.4"/>
    <n v="10689.6"/>
    <s v="Completed"/>
    <s v="Chennai"/>
  </r>
  <r>
    <s v="ORD-01119"/>
    <d v="2024-06-02T00:00:00"/>
    <s v="CUST-0263"/>
    <s v="PROD-020"/>
    <x v="3"/>
    <n v="5"/>
    <n v="820"/>
    <n v="28.6"/>
    <n v="2927.4"/>
    <s v="Completed"/>
    <s v="Mumbai"/>
  </r>
  <r>
    <s v="ORD-01120"/>
    <d v="2024-07-16T00:00:00"/>
    <s v="CUST-0105"/>
    <s v="PROD-042"/>
    <x v="24"/>
    <n v="6"/>
    <n v="2290"/>
    <n v="18.8"/>
    <n v="11156.88"/>
    <s v="Completed"/>
    <s v="Chennai"/>
  </r>
  <r>
    <s v="ORD-01121"/>
    <d v="2024-04-12T00:00:00"/>
    <s v="CUST-0256"/>
    <s v="PROD-047"/>
    <x v="13"/>
    <n v="6"/>
    <n v="3450"/>
    <n v="28.4"/>
    <n v="14821.2"/>
    <s v="Completed"/>
    <s v="Hyderabad"/>
  </r>
  <r>
    <s v="ORD-01122"/>
    <d v="2024-02-18T00:00:00"/>
    <s v="CUST-0260"/>
    <s v="PROD-033"/>
    <x v="25"/>
    <n v="10"/>
    <n v="2030"/>
    <n v="8"/>
    <n v="18676"/>
    <s v="Completed"/>
    <s v="Bengaluru"/>
  </r>
  <r>
    <s v="ORD-01123"/>
    <d v="2024-03-27T00:00:00"/>
    <s v="CUST-0233"/>
    <s v="PROD-058"/>
    <x v="24"/>
    <n v="1"/>
    <n v="2400"/>
    <n v="9.6999999999999993"/>
    <n v="2167.1999999999998"/>
    <s v="Completed"/>
    <s v="Mumbai"/>
  </r>
  <r>
    <s v="ORD-01124"/>
    <d v="2024-03-18T00:00:00"/>
    <s v="CUST-0183"/>
    <s v="PROD-033"/>
    <x v="2"/>
    <n v="4"/>
    <n v="2030"/>
    <n v="24.8"/>
    <n v="6106.24"/>
    <s v="Pending"/>
    <s v="Mumbai"/>
  </r>
  <r>
    <s v="ORD-01125"/>
    <d v="2024-08-09T00:00:00"/>
    <s v="CUST-0142"/>
    <s v="PROD-025"/>
    <x v="25"/>
    <n v="5"/>
    <n v="4060"/>
    <n v="9.1"/>
    <n v="18452.7"/>
    <s v="Pending"/>
    <s v="Chennai"/>
  </r>
  <r>
    <s v="ORD-01126"/>
    <d v="2024-05-26T00:00:00"/>
    <s v="CUST-0150"/>
    <s v="PROD-033"/>
    <x v="22"/>
    <n v="9"/>
    <n v="2030"/>
    <n v="15.9"/>
    <n v="15365.07"/>
    <s v="Pending"/>
    <s v="Pune"/>
  </r>
  <r>
    <s v="ORD-01127"/>
    <d v="2024-08-25T00:00:00"/>
    <s v="CUST-0001"/>
    <s v="PROD-043"/>
    <x v="2"/>
    <n v="1"/>
    <n v="3350"/>
    <n v="23.2"/>
    <n v="2572.8000000000002"/>
    <s v="Refunded"/>
    <s v="Pune"/>
  </r>
  <r>
    <s v="ORD-01128"/>
    <d v="2024-12-08T00:00:00"/>
    <s v="CUST-0104"/>
    <s v="PROD-037"/>
    <x v="3"/>
    <n v="4"/>
    <n v="660"/>
    <n v="27.1"/>
    <n v="1924.56"/>
    <s v="Completed"/>
    <s v="Hyderabad"/>
  </r>
  <r>
    <s v="ORD-01129"/>
    <d v="2024-05-29T00:00:00"/>
    <s v="CUST-0261"/>
    <s v="PROD-045"/>
    <x v="2"/>
    <n v="3"/>
    <n v="3020"/>
    <n v="7.2"/>
    <n v="8407.68"/>
    <s v="Completed"/>
    <s v="Delhi"/>
  </r>
  <r>
    <s v="ORD-01130"/>
    <d v="2024-04-27T00:00:00"/>
    <s v="CUST-0010"/>
    <s v="PROD-008"/>
    <x v="3"/>
    <n v="3"/>
    <n v="2660"/>
    <n v="0.2"/>
    <n v="7964.04"/>
    <s v="Completed"/>
    <s v="Mumbai"/>
  </r>
  <r>
    <s v="ORD-01131"/>
    <d v="2024-12-24T00:00:00"/>
    <s v="CUST-0237"/>
    <s v="PROD-054"/>
    <x v="3"/>
    <n v="4"/>
    <n v="1010"/>
    <n v="3.1"/>
    <n v="3914.76"/>
    <s v="Completed"/>
    <s v="Mumbai"/>
  </r>
  <r>
    <s v="ORD-01132"/>
    <d v="2024-03-29T00:00:00"/>
    <s v="CUST-0128"/>
    <s v="PROD-038"/>
    <x v="21"/>
    <n v="5"/>
    <n v="5490"/>
    <n v="3.6"/>
    <n v="26461.8"/>
    <s v="Completed"/>
    <s v="Hyderabad"/>
  </r>
  <r>
    <s v="ORD-01133"/>
    <d v="2024-01-31T00:00:00"/>
    <s v="CUST-0182"/>
    <s v="PROD-058"/>
    <x v="7"/>
    <n v="1"/>
    <n v="2400"/>
    <n v="24.3"/>
    <n v="1816.8"/>
    <s v="Completed"/>
    <s v="Mumbai"/>
  </r>
  <r>
    <s v="ORD-01134"/>
    <d v="2024-08-28T00:00:00"/>
    <s v="CUST-0131"/>
    <s v="PROD-037"/>
    <x v="18"/>
    <n v="8"/>
    <n v="660"/>
    <n v="19.8"/>
    <n v="4234.5600000000004"/>
    <s v="Completed"/>
    <s v="Delhi"/>
  </r>
  <r>
    <s v="ORD-01135"/>
    <d v="2024-07-31T00:00:00"/>
    <s v="CUST-0023"/>
    <s v="PROD-001"/>
    <x v="29"/>
    <n v="9"/>
    <n v="5330"/>
    <n v="16.5"/>
    <n v="40054.949999999997"/>
    <s v="Completed"/>
    <s v="Chennai"/>
  </r>
  <r>
    <s v="ORD-01136"/>
    <d v="2024-08-12T00:00:00"/>
    <s v="CUST-0171"/>
    <s v="PROD-002"/>
    <x v="0"/>
    <n v="5"/>
    <n v="2600"/>
    <n v="0.3"/>
    <n v="12961"/>
    <s v="Completed"/>
    <s v="Chennai"/>
  </r>
  <r>
    <s v="ORD-01137"/>
    <d v="2024-06-19T00:00:00"/>
    <s v="CUST-0116"/>
    <s v="PROD-034"/>
    <x v="26"/>
    <n v="4"/>
    <n v="5080"/>
    <n v="13.8"/>
    <n v="17515.84"/>
    <s v="Pending"/>
    <s v="Bengaluru"/>
  </r>
  <r>
    <s v="ORD-01138"/>
    <d v="2024-11-01T00:00:00"/>
    <s v="CUST-0021"/>
    <s v="PROD-023"/>
    <x v="25"/>
    <n v="7"/>
    <n v="2380"/>
    <n v="15.5"/>
    <n v="14077.7"/>
    <s v="Completed"/>
    <s v="Pune"/>
  </r>
  <r>
    <s v="ORD-01139"/>
    <d v="2024-12-22T00:00:00"/>
    <s v="CUST-0234"/>
    <s v="PROD-046"/>
    <x v="3"/>
    <n v="3"/>
    <n v="4880"/>
    <n v="6.1"/>
    <n v="13746.96"/>
    <s v="Completed"/>
    <s v="Bengaluru"/>
  </r>
  <r>
    <s v="ORD-01140"/>
    <d v="2024-03-04T00:00:00"/>
    <s v="CUST-0225"/>
    <s v="PROD-043"/>
    <x v="18"/>
    <n v="2"/>
    <n v="3350"/>
    <n v="17.2"/>
    <n v="5547.6"/>
    <s v="Completed"/>
    <s v="Chennai"/>
  </r>
  <r>
    <s v="ORD-01141"/>
    <d v="2024-02-09T00:00:00"/>
    <s v="CUST-0268"/>
    <s v="PROD-030"/>
    <x v="6"/>
    <n v="5"/>
    <n v="970"/>
    <n v="23.6"/>
    <n v="3705.4"/>
    <s v="Completed"/>
    <s v="Chennai"/>
  </r>
  <r>
    <s v="ORD-01142"/>
    <d v="2024-12-06T00:00:00"/>
    <s v="CUST-0248"/>
    <s v="PROD-005"/>
    <x v="24"/>
    <n v="5"/>
    <n v="300"/>
    <n v="3.8"/>
    <n v="1443"/>
    <s v="Completed"/>
    <s v="Chennai"/>
  </r>
  <r>
    <s v="ORD-01143"/>
    <d v="2024-03-07T00:00:00"/>
    <s v="CUST-0026"/>
    <s v="PROD-006"/>
    <x v="1"/>
    <n v="9"/>
    <n v="3970"/>
    <n v="0.8"/>
    <n v="35444.160000000003"/>
    <s v="Completed"/>
    <s v="Pune"/>
  </r>
  <r>
    <s v="ORD-01144"/>
    <d v="2024-05-28T00:00:00"/>
    <s v="CUST-0257"/>
    <s v="PROD-015"/>
    <x v="22"/>
    <n v="4"/>
    <n v="2720"/>
    <n v="12.7"/>
    <n v="9498.24"/>
    <s v="Completed"/>
    <s v="Mumbai"/>
  </r>
  <r>
    <s v="ORD-01145"/>
    <d v="2024-04-30T00:00:00"/>
    <s v="CUST-0258"/>
    <s v="PROD-016"/>
    <x v="13"/>
    <n v="3"/>
    <n v="620"/>
    <n v="5.5"/>
    <n v="1757.7"/>
    <s v="Completed"/>
    <s v="Pune"/>
  </r>
  <r>
    <s v="ORD-01146"/>
    <d v="2024-07-06T00:00:00"/>
    <s v="CUST-0142"/>
    <s v="PROD-041"/>
    <x v="6"/>
    <n v="2"/>
    <n v="1540"/>
    <n v="2.2000000000000002"/>
    <n v="3012.24"/>
    <s v="Pending"/>
    <s v="Chennai"/>
  </r>
  <r>
    <s v="ORD-01147"/>
    <d v="2024-08-30T00:00:00"/>
    <s v="CUST-0020"/>
    <s v="PROD-042"/>
    <x v="17"/>
    <n v="1"/>
    <n v="2290"/>
    <n v="24.4"/>
    <n v="1731.24"/>
    <s v="Cancelled"/>
    <s v="Hyderabad"/>
  </r>
  <r>
    <s v="ORD-01148"/>
    <d v="2024-01-22T00:00:00"/>
    <s v="CUST-0016"/>
    <s v="PROD-015"/>
    <x v="26"/>
    <n v="8"/>
    <n v="2720"/>
    <n v="1.7"/>
    <n v="21390.080000000002"/>
    <s v="Completed"/>
    <s v="Delhi"/>
  </r>
  <r>
    <s v="ORD-01149"/>
    <d v="2024-04-08T00:00:00"/>
    <s v="CUST-0288"/>
    <s v="PROD-025"/>
    <x v="12"/>
    <n v="4"/>
    <n v="4060"/>
    <n v="19.600000000000001"/>
    <n v="13056.96"/>
    <s v="Cancelled"/>
    <s v="Hyderabad"/>
  </r>
  <r>
    <s v="ORD-01150"/>
    <d v="2024-03-19T00:00:00"/>
    <s v="CUST-0133"/>
    <s v="PROD-003"/>
    <x v="29"/>
    <n v="8"/>
    <n v="3570"/>
    <n v="10.8"/>
    <n v="25475.52"/>
    <s v="Completed"/>
    <s v="Chennai"/>
  </r>
  <r>
    <s v="ORD-01151"/>
    <d v="2024-02-02T00:00:00"/>
    <s v="CUST-0192"/>
    <s v="PROD-051"/>
    <x v="10"/>
    <n v="10"/>
    <n v="3450"/>
    <n v="13.5"/>
    <n v="29842.5"/>
    <s v="Pending"/>
    <s v="Bengaluru"/>
  </r>
  <r>
    <s v="ORD-01152"/>
    <d v="2024-06-26T00:00:00"/>
    <s v="CUST-0298"/>
    <s v="PROD-010"/>
    <x v="0"/>
    <n v="10"/>
    <n v="2640"/>
    <n v="29.8"/>
    <n v="18532.8"/>
    <s v="Completed"/>
    <s v="Delhi"/>
  </r>
  <r>
    <s v="ORD-01153"/>
    <d v="2024-11-23T00:00:00"/>
    <s v="CUST-0088"/>
    <s v="PROD-032"/>
    <x v="18"/>
    <n v="3"/>
    <n v="370"/>
    <n v="25.5"/>
    <n v="826.95"/>
    <s v="Completed"/>
    <s v="Chennai"/>
  </r>
  <r>
    <s v="ORD-01154"/>
    <d v="2024-12-01T00:00:00"/>
    <s v="CUST-0274"/>
    <s v="PROD-009"/>
    <x v="14"/>
    <n v="3"/>
    <n v="1220"/>
    <n v="7.7"/>
    <n v="3378.18"/>
    <s v="Pending"/>
    <s v="Bengaluru"/>
  </r>
  <r>
    <s v="ORD-01155"/>
    <d v="2024-07-26T00:00:00"/>
    <s v="CUST-0165"/>
    <s v="PROD-010"/>
    <x v="24"/>
    <n v="1"/>
    <n v="2640"/>
    <n v="23.6"/>
    <n v="2016.96"/>
    <s v="Completed"/>
    <s v="Pune"/>
  </r>
  <r>
    <s v="ORD-01156"/>
    <d v="2024-09-28T00:00:00"/>
    <s v="CUST-0275"/>
    <s v="PROD-048"/>
    <x v="23"/>
    <n v="9"/>
    <n v="5100"/>
    <n v="9.5"/>
    <n v="41539.5"/>
    <s v="Completed"/>
    <s v="Mumbai"/>
  </r>
  <r>
    <s v="ORD-01157"/>
    <d v="2024-05-23T00:00:00"/>
    <s v="CUST-0225"/>
    <s v="PROD-050"/>
    <x v="4"/>
    <n v="7"/>
    <n v="6080"/>
    <n v="17.5"/>
    <n v="35112"/>
    <s v="Completed"/>
    <s v="Chennai"/>
  </r>
  <r>
    <s v="ORD-01158"/>
    <d v="2024-11-06T00:00:00"/>
    <s v="CUST-0059"/>
    <s v="PROD-005"/>
    <x v="17"/>
    <n v="1"/>
    <n v="300"/>
    <n v="26.9"/>
    <n v="219.3"/>
    <s v="Completed"/>
    <s v="Pune"/>
  </r>
  <r>
    <s v="ORD-01159"/>
    <d v="2024-12-24T00:00:00"/>
    <s v="CUST-0149"/>
    <s v="PROD-045"/>
    <x v="16"/>
    <n v="6"/>
    <n v="3020"/>
    <n v="28.5"/>
    <n v="12955.8"/>
    <s v="Completed"/>
    <s v="Hyderabad"/>
  </r>
  <r>
    <s v="ORD-01160"/>
    <d v="2024-01-03T00:00:00"/>
    <s v="CUST-0283"/>
    <s v="PROD-005"/>
    <x v="26"/>
    <n v="8"/>
    <n v="300"/>
    <n v="1.2"/>
    <n v="2371.1999999999998"/>
    <s v="Completed"/>
    <s v="Delhi"/>
  </r>
  <r>
    <s v="ORD-01161"/>
    <d v="2024-08-19T00:00:00"/>
    <s v="CUST-0039"/>
    <s v="PROD-043"/>
    <x v="23"/>
    <n v="9"/>
    <n v="3350"/>
    <n v="0.6"/>
    <n v="29969.1"/>
    <s v="Refunded"/>
    <s v="Bengaluru"/>
  </r>
  <r>
    <s v="ORD-01162"/>
    <d v="2024-07-06T00:00:00"/>
    <s v="CUST-0046"/>
    <s v="PROD-026"/>
    <x v="6"/>
    <n v="4"/>
    <n v="4070"/>
    <n v="10.1"/>
    <n v="14635.72"/>
    <s v="Completed"/>
    <s v="Delhi"/>
  </r>
  <r>
    <s v="ORD-01163"/>
    <d v="2024-11-18T00:00:00"/>
    <s v="CUST-0105"/>
    <s v="PROD-059"/>
    <x v="6"/>
    <n v="9"/>
    <n v="3780"/>
    <n v="27.8"/>
    <n v="24562.44"/>
    <s v="Cancelled"/>
    <s v="Chennai"/>
  </r>
  <r>
    <s v="ORD-01164"/>
    <d v="2024-04-25T00:00:00"/>
    <s v="CUST-0006"/>
    <s v="PROD-040"/>
    <x v="14"/>
    <n v="6"/>
    <n v="1080"/>
    <n v="17.5"/>
    <n v="5346"/>
    <s v="Completed"/>
    <s v="Pune"/>
  </r>
  <r>
    <s v="ORD-01165"/>
    <d v="2024-11-07T00:00:00"/>
    <s v="CUST-0192"/>
    <s v="PROD-002"/>
    <x v="12"/>
    <n v="3"/>
    <n v="2600"/>
    <n v="1.9"/>
    <n v="7651.8"/>
    <s v="Completed"/>
    <s v="Bengaluru"/>
  </r>
  <r>
    <s v="ORD-01166"/>
    <d v="2024-03-24T00:00:00"/>
    <s v="CUST-0290"/>
    <s v="PROD-015"/>
    <x v="4"/>
    <n v="5"/>
    <n v="2720"/>
    <n v="1.8"/>
    <n v="13355.2"/>
    <s v="Cancelled"/>
    <s v="Delhi"/>
  </r>
  <r>
    <s v="ORD-01167"/>
    <d v="2024-07-12T00:00:00"/>
    <s v="CUST-0287"/>
    <s v="PROD-028"/>
    <x v="27"/>
    <n v="8"/>
    <n v="3660"/>
    <n v="29.5"/>
    <n v="20642.400000000001"/>
    <s v="Completed"/>
    <s v="Chennai"/>
  </r>
  <r>
    <s v="ORD-01168"/>
    <d v="2024-10-02T00:00:00"/>
    <s v="CUST-0025"/>
    <s v="PROD-044"/>
    <x v="1"/>
    <n v="9"/>
    <n v="1650"/>
    <n v="19.8"/>
    <n v="11909.7"/>
    <s v="Refunded"/>
    <s v="Bengaluru"/>
  </r>
  <r>
    <s v="ORD-01169"/>
    <d v="2024-07-29T00:00:00"/>
    <s v="CUST-0139"/>
    <s v="PROD-055"/>
    <x v="7"/>
    <n v="3"/>
    <n v="2860"/>
    <n v="22.7"/>
    <n v="6632.34"/>
    <s v="Completed"/>
    <s v="Hyderabad"/>
  </r>
  <r>
    <s v="ORD-01170"/>
    <d v="2024-05-17T00:00:00"/>
    <s v="CUST-0278"/>
    <s v="PROD-051"/>
    <x v="5"/>
    <n v="4"/>
    <n v="3450"/>
    <n v="9.1999999999999993"/>
    <n v="12530.4"/>
    <s v="Completed"/>
    <s v="Hyderabad"/>
  </r>
  <r>
    <s v="ORD-01171"/>
    <d v="2024-04-23T00:00:00"/>
    <s v="CUST-0258"/>
    <s v="PROD-033"/>
    <x v="11"/>
    <n v="4"/>
    <n v="2030"/>
    <n v="17.100000000000001"/>
    <n v="6731.48"/>
    <s v="Completed"/>
    <s v="Pune"/>
  </r>
  <r>
    <s v="ORD-01172"/>
    <d v="2024-04-19T00:00:00"/>
    <s v="CUST-0106"/>
    <s v="PROD-022"/>
    <x v="29"/>
    <n v="4"/>
    <n v="2270"/>
    <n v="27.3"/>
    <n v="6601.16"/>
    <s v="Completed"/>
    <s v="Pune"/>
  </r>
  <r>
    <s v="ORD-01173"/>
    <d v="2024-03-22T00:00:00"/>
    <s v="CUST-0009"/>
    <s v="PROD-034"/>
    <x v="22"/>
    <n v="9"/>
    <n v="5080"/>
    <n v="10.9"/>
    <n v="40736.519999999997"/>
    <s v="Completed"/>
    <s v="Mumbai"/>
  </r>
  <r>
    <s v="ORD-01174"/>
    <d v="2024-11-06T00:00:00"/>
    <s v="CUST-0209"/>
    <s v="PROD-026"/>
    <x v="20"/>
    <n v="8"/>
    <n v="4070"/>
    <n v="17.7"/>
    <n v="26796.880000000001"/>
    <s v="Completed"/>
    <s v="Pune"/>
  </r>
  <r>
    <s v="ORD-01175"/>
    <d v="2024-03-21T00:00:00"/>
    <s v="CUST-0111"/>
    <s v="PROD-041"/>
    <x v="1"/>
    <n v="1"/>
    <n v="1540"/>
    <n v="0.9"/>
    <n v="1526.14"/>
    <s v="Completed"/>
    <s v="Chennai"/>
  </r>
  <r>
    <s v="ORD-01176"/>
    <d v="2024-05-04T00:00:00"/>
    <s v="CUST-0014"/>
    <s v="PROD-048"/>
    <x v="6"/>
    <n v="10"/>
    <n v="5100"/>
    <n v="3"/>
    <n v="49470"/>
    <s v="Completed"/>
    <s v="Bengaluru"/>
  </r>
  <r>
    <s v="ORD-01177"/>
    <d v="2024-12-30T00:00:00"/>
    <s v="CUST-0073"/>
    <s v="PROD-014"/>
    <x v="3"/>
    <n v="6"/>
    <n v="3620"/>
    <n v="20.2"/>
    <n v="17332.560000000001"/>
    <s v="Completed"/>
    <s v="Pune"/>
  </r>
  <r>
    <s v="ORD-01178"/>
    <d v="2024-02-02T00:00:00"/>
    <s v="CUST-0147"/>
    <s v="PROD-046"/>
    <x v="11"/>
    <n v="7"/>
    <n v="4880"/>
    <n v="5"/>
    <n v="32452"/>
    <s v="Completed"/>
    <s v="Pune"/>
  </r>
  <r>
    <s v="ORD-01179"/>
    <d v="2024-06-29T00:00:00"/>
    <s v="CUST-0006"/>
    <s v="PROD-010"/>
    <x v="6"/>
    <n v="1"/>
    <n v="2640"/>
    <n v="4.0999999999999996"/>
    <n v="2531.7600000000002"/>
    <s v="Completed"/>
    <s v="Pune"/>
  </r>
  <r>
    <s v="ORD-01180"/>
    <d v="2024-08-04T00:00:00"/>
    <s v="CUST-0031"/>
    <s v="PROD-026"/>
    <x v="16"/>
    <n v="9"/>
    <n v="4070"/>
    <n v="4.4000000000000004"/>
    <n v="35018.28"/>
    <s v="Completed"/>
    <s v="Hyderabad"/>
  </r>
  <r>
    <s v="ORD-01181"/>
    <d v="2024-11-21T00:00:00"/>
    <s v="CUST-0084"/>
    <s v="PROD-003"/>
    <x v="5"/>
    <n v="9"/>
    <n v="3570"/>
    <n v="24.8"/>
    <n v="24161.759999999998"/>
    <s v="Completed"/>
    <s v="Chennai"/>
  </r>
  <r>
    <s v="ORD-01182"/>
    <d v="2024-06-27T00:00:00"/>
    <s v="CUST-0203"/>
    <s v="PROD-043"/>
    <x v="1"/>
    <n v="10"/>
    <n v="3350"/>
    <n v="25.1"/>
    <n v="25091.5"/>
    <s v="Cancelled"/>
    <s v="Chennai"/>
  </r>
  <r>
    <s v="ORD-01183"/>
    <d v="2024-01-16T00:00:00"/>
    <s v="CUST-0138"/>
    <s v="PROD-059"/>
    <x v="5"/>
    <n v="3"/>
    <n v="3780"/>
    <n v="3.8"/>
    <n v="10909.08"/>
    <s v="Completed"/>
    <s v="Chennai"/>
  </r>
  <r>
    <s v="ORD-01184"/>
    <d v="2024-12-25T00:00:00"/>
    <s v="CUST-0157"/>
    <s v="PROD-003"/>
    <x v="4"/>
    <n v="4"/>
    <n v="3570"/>
    <n v="0.9"/>
    <n v="14151.48"/>
    <s v="Pending"/>
    <s v="Pune"/>
  </r>
  <r>
    <s v="ORD-01185"/>
    <d v="2024-05-24T00:00:00"/>
    <s v="CUST-0298"/>
    <s v="PROD-055"/>
    <x v="6"/>
    <n v="5"/>
    <n v="2860"/>
    <n v="20.100000000000001"/>
    <n v="11425.7"/>
    <s v="Completed"/>
    <s v="Delhi"/>
  </r>
  <r>
    <s v="ORD-01186"/>
    <d v="2024-08-14T00:00:00"/>
    <s v="CUST-0132"/>
    <s v="PROD-016"/>
    <x v="11"/>
    <n v="1"/>
    <n v="620"/>
    <n v="1.1000000000000001"/>
    <n v="613.17999999999995"/>
    <s v="Cancelled"/>
    <s v="Delhi"/>
  </r>
  <r>
    <s v="ORD-01187"/>
    <d v="2024-05-20T00:00:00"/>
    <s v="CUST-0006"/>
    <s v="PROD-003"/>
    <x v="27"/>
    <n v="1"/>
    <n v="3570"/>
    <n v="11.1"/>
    <n v="3173.73"/>
    <s v="Cancelled"/>
    <s v="Pune"/>
  </r>
  <r>
    <s v="ORD-01188"/>
    <d v="2024-09-16T00:00:00"/>
    <s v="CUST-0011"/>
    <s v="PROD-001"/>
    <x v="27"/>
    <n v="1"/>
    <n v="5330"/>
    <n v="3.5"/>
    <n v="5143.45"/>
    <s v="Completed"/>
    <s v="Chennai"/>
  </r>
  <r>
    <s v="ORD-01189"/>
    <d v="2024-02-26T00:00:00"/>
    <s v="CUST-0170"/>
    <s v="PROD-052"/>
    <x v="26"/>
    <n v="7"/>
    <n v="5410"/>
    <n v="26.2"/>
    <n v="27948.06"/>
    <s v="Completed"/>
    <s v="Mumbai"/>
  </r>
  <r>
    <s v="ORD-01190"/>
    <d v="2024-03-23T00:00:00"/>
    <s v="CUST-0109"/>
    <s v="PROD-034"/>
    <x v="29"/>
    <n v="10"/>
    <n v="5080"/>
    <n v="3.7"/>
    <n v="48920.4"/>
    <s v="Pending"/>
    <s v="Pune"/>
  </r>
  <r>
    <s v="ORD-01191"/>
    <d v="2024-03-19T00:00:00"/>
    <s v="CUST-0066"/>
    <s v="PROD-003"/>
    <x v="1"/>
    <n v="9"/>
    <n v="3570"/>
    <n v="5.6"/>
    <n v="30330.720000000001"/>
    <s v="Completed"/>
    <s v="Delhi"/>
  </r>
  <r>
    <s v="ORD-01192"/>
    <d v="2024-12-30T00:00:00"/>
    <s v="CUST-0055"/>
    <s v="PROD-030"/>
    <x v="24"/>
    <n v="9"/>
    <n v="970"/>
    <n v="19.5"/>
    <n v="7027.65"/>
    <s v="Completed"/>
    <s v="Bengaluru"/>
  </r>
  <r>
    <s v="ORD-01193"/>
    <d v="2024-03-06T00:00:00"/>
    <s v="CUST-0298"/>
    <s v="PROD-005"/>
    <x v="18"/>
    <n v="10"/>
    <n v="300"/>
    <n v="23"/>
    <n v="2310"/>
    <s v="Cancelled"/>
    <s v="Delhi"/>
  </r>
  <r>
    <s v="ORD-01194"/>
    <d v="2024-07-06T00:00:00"/>
    <s v="CUST-0024"/>
    <s v="PROD-050"/>
    <x v="11"/>
    <n v="10"/>
    <n v="6080"/>
    <n v="3.9"/>
    <n v="58428.800000000003"/>
    <s v="Completed"/>
    <s v="Chennai"/>
  </r>
  <r>
    <s v="ORD-01195"/>
    <d v="2024-09-04T00:00:00"/>
    <s v="CUST-0008"/>
    <s v="PROD-048"/>
    <x v="23"/>
    <n v="2"/>
    <n v="5100"/>
    <n v="11"/>
    <n v="9078"/>
    <s v="Completed"/>
    <s v="Pune"/>
  </r>
  <r>
    <s v="ORD-01196"/>
    <d v="2024-04-12T00:00:00"/>
    <s v="CUST-0070"/>
    <s v="PROD-011"/>
    <x v="7"/>
    <n v="9"/>
    <n v="3450"/>
    <n v="23.7"/>
    <n v="23691.15"/>
    <s v="Completed"/>
    <s v="Mumbai"/>
  </r>
  <r>
    <s v="ORD-01197"/>
    <d v="2024-02-13T00:00:00"/>
    <s v="CUST-0270"/>
    <s v="PROD-019"/>
    <x v="23"/>
    <n v="5"/>
    <n v="2480"/>
    <n v="20.399999999999999"/>
    <n v="9870.4"/>
    <s v="Completed"/>
    <s v="Bengaluru"/>
  </r>
  <r>
    <s v="ORD-01198"/>
    <d v="2024-02-12T00:00:00"/>
    <s v="CUST-0175"/>
    <s v="PROD-060"/>
    <x v="9"/>
    <n v="4"/>
    <n v="190"/>
    <n v="2.6"/>
    <n v="740.24"/>
    <s v="Completed"/>
    <s v="Delhi"/>
  </r>
  <r>
    <s v="ORD-01199"/>
    <d v="2024-01-09T00:00:00"/>
    <s v="CUST-0227"/>
    <s v="PROD-022"/>
    <x v="16"/>
    <n v="4"/>
    <n v="2270"/>
    <n v="8.1"/>
    <n v="8344.52"/>
    <s v="Pending"/>
    <s v="Bengaluru"/>
  </r>
  <r>
    <s v="ORD-01200"/>
    <d v="2024-04-18T00:00:00"/>
    <s v="CUST-0041"/>
    <s v="PROD-017"/>
    <x v="8"/>
    <n v="7"/>
    <n v="2510"/>
    <n v="25.5"/>
    <n v="13089.65"/>
    <s v="Completed"/>
    <s v="Bengaluru"/>
  </r>
  <r>
    <s v="ORD-01201"/>
    <d v="2024-05-11T00:00:00"/>
    <s v="CUST-0147"/>
    <s v="PROD-059"/>
    <x v="10"/>
    <n v="3"/>
    <n v="3780"/>
    <n v="16.8"/>
    <n v="9434.8799999999992"/>
    <s v="Completed"/>
    <s v="Pune"/>
  </r>
  <r>
    <s v="ORD-01202"/>
    <d v="2024-08-14T00:00:00"/>
    <s v="CUST-0185"/>
    <s v="PROD-003"/>
    <x v="9"/>
    <n v="7"/>
    <n v="3570"/>
    <n v="23.7"/>
    <n v="19067.37"/>
    <s v="Completed"/>
    <s v="Hyderabad"/>
  </r>
  <r>
    <s v="ORD-01203"/>
    <d v="2024-09-24T00:00:00"/>
    <s v="CUST-0210"/>
    <s v="PROD-037"/>
    <x v="23"/>
    <n v="4"/>
    <n v="660"/>
    <n v="3.6"/>
    <n v="2544.96"/>
    <s v="Completed"/>
    <s v="Pune"/>
  </r>
  <r>
    <s v="ORD-01204"/>
    <d v="2024-07-28T00:00:00"/>
    <s v="CUST-0289"/>
    <s v="PROD-030"/>
    <x v="9"/>
    <n v="7"/>
    <n v="970"/>
    <n v="23.7"/>
    <n v="5180.7700000000004"/>
    <s v="Completed"/>
    <s v="Mumbai"/>
  </r>
  <r>
    <s v="ORD-01205"/>
    <d v="2024-02-16T00:00:00"/>
    <s v="CUST-0017"/>
    <s v="PROD-024"/>
    <x v="3"/>
    <n v="8"/>
    <n v="2270"/>
    <n v="6.8"/>
    <n v="16925.12"/>
    <s v="Completed"/>
    <s v="Delhi"/>
  </r>
  <r>
    <s v="ORD-01206"/>
    <d v="2024-10-20T00:00:00"/>
    <s v="CUST-0115"/>
    <s v="PROD-058"/>
    <x v="27"/>
    <n v="1"/>
    <n v="2400"/>
    <n v="26.5"/>
    <n v="1764"/>
    <s v="Completed"/>
    <s v="Mumbai"/>
  </r>
  <r>
    <s v="ORD-01207"/>
    <d v="2024-08-21T00:00:00"/>
    <s v="CUST-0183"/>
    <s v="PROD-034"/>
    <x v="9"/>
    <n v="5"/>
    <n v="5080"/>
    <n v="29.6"/>
    <n v="17881.599999999999"/>
    <s v="Completed"/>
    <s v="Mumbai"/>
  </r>
  <r>
    <s v="ORD-01208"/>
    <d v="2024-02-29T00:00:00"/>
    <s v="CUST-0193"/>
    <s v="PROD-043"/>
    <x v="2"/>
    <n v="9"/>
    <n v="3350"/>
    <n v="6.2"/>
    <n v="28280.7"/>
    <s v="Completed"/>
    <s v="Bengaluru"/>
  </r>
  <r>
    <s v="ORD-01209"/>
    <d v="2024-09-25T00:00:00"/>
    <s v="CUST-0019"/>
    <s v="PROD-041"/>
    <x v="19"/>
    <n v="4"/>
    <n v="1540"/>
    <n v="22.2"/>
    <n v="4792.4799999999996"/>
    <s v="Completed"/>
    <s v="Chennai"/>
  </r>
  <r>
    <s v="ORD-01210"/>
    <d v="2024-05-19T00:00:00"/>
    <s v="CUST-0097"/>
    <s v="PROD-034"/>
    <x v="25"/>
    <n v="10"/>
    <n v="5080"/>
    <n v="11.8"/>
    <n v="44805.599999999999"/>
    <s v="Completed"/>
    <s v="Mumbai"/>
  </r>
  <r>
    <s v="ORD-01211"/>
    <d v="2024-01-05T00:00:00"/>
    <s v="CUST-0237"/>
    <s v="PROD-018"/>
    <x v="27"/>
    <n v="9"/>
    <n v="3560"/>
    <n v="15.9"/>
    <n v="26945.64"/>
    <s v="Completed"/>
    <s v="Mumbai"/>
  </r>
  <r>
    <s v="ORD-01212"/>
    <d v="2024-12-03T00:00:00"/>
    <s v="CUST-0252"/>
    <s v="PROD-040"/>
    <x v="18"/>
    <n v="2"/>
    <n v="1080"/>
    <n v="21.1"/>
    <n v="1704.24"/>
    <s v="Completed"/>
    <s v="Bengaluru"/>
  </r>
  <r>
    <s v="ORD-01213"/>
    <d v="2024-01-19T00:00:00"/>
    <s v="CUST-0216"/>
    <s v="PROD-023"/>
    <x v="26"/>
    <n v="5"/>
    <n v="2380"/>
    <n v="20.5"/>
    <n v="9460.5"/>
    <s v="Completed"/>
    <s v="Mumbai"/>
  </r>
  <r>
    <s v="ORD-01214"/>
    <d v="2024-07-25T00:00:00"/>
    <s v="CUST-0248"/>
    <s v="PROD-019"/>
    <x v="5"/>
    <n v="9"/>
    <n v="2480"/>
    <n v="1.2"/>
    <n v="22052.16"/>
    <s v="Completed"/>
    <s v="Chennai"/>
  </r>
  <r>
    <s v="ORD-01215"/>
    <d v="2024-02-26T00:00:00"/>
    <s v="CUST-0044"/>
    <s v="PROD-042"/>
    <x v="27"/>
    <n v="9"/>
    <n v="2290"/>
    <n v="0.9"/>
    <n v="20424.509999999998"/>
    <s v="Completed"/>
    <s v="Hyderabad"/>
  </r>
  <r>
    <s v="ORD-01216"/>
    <d v="2024-03-31T00:00:00"/>
    <s v="CUST-0251"/>
    <s v="PROD-011"/>
    <x v="23"/>
    <n v="3"/>
    <n v="3450"/>
    <n v="29.5"/>
    <n v="7296.75"/>
    <s v="Completed"/>
    <s v="Mumbai"/>
  </r>
  <r>
    <s v="ORD-01217"/>
    <d v="2024-10-04T00:00:00"/>
    <s v="CUST-0280"/>
    <s v="PROD-047"/>
    <x v="6"/>
    <n v="9"/>
    <n v="3450"/>
    <n v="19.399999999999999"/>
    <n v="25026.3"/>
    <s v="Completed"/>
    <s v="Delhi"/>
  </r>
  <r>
    <s v="ORD-01218"/>
    <d v="2024-08-12T00:00:00"/>
    <s v="CUST-0108"/>
    <s v="PROD-002"/>
    <x v="14"/>
    <n v="2"/>
    <n v="2600"/>
    <n v="20.2"/>
    <n v="4149.6000000000004"/>
    <s v="Cancelled"/>
    <s v="Bengaluru"/>
  </r>
  <r>
    <s v="ORD-01219"/>
    <d v="2024-08-15T00:00:00"/>
    <s v="CUST-0058"/>
    <s v="PROD-021"/>
    <x v="5"/>
    <n v="1"/>
    <n v="2760"/>
    <n v="9.5"/>
    <n v="2497.8000000000002"/>
    <s v="Completed"/>
    <s v="Bengaluru"/>
  </r>
  <r>
    <s v="ORD-01220"/>
    <d v="2024-10-28T00:00:00"/>
    <s v="CUST-0090"/>
    <s v="PROD-039"/>
    <x v="11"/>
    <n v="4"/>
    <n v="4610"/>
    <n v="14.8"/>
    <n v="15710.88"/>
    <s v="Completed"/>
    <s v="Bengaluru"/>
  </r>
  <r>
    <s v="ORD-01221"/>
    <d v="2024-08-28T00:00:00"/>
    <s v="CUST-0204"/>
    <s v="PROD-019"/>
    <x v="6"/>
    <n v="3"/>
    <n v="2480"/>
    <n v="3.7"/>
    <n v="7164.72"/>
    <s v="Completed"/>
    <s v="Hyderabad"/>
  </r>
  <r>
    <s v="ORD-01222"/>
    <d v="2024-11-14T00:00:00"/>
    <s v="CUST-0044"/>
    <s v="PROD-056"/>
    <x v="23"/>
    <n v="5"/>
    <n v="6940"/>
    <n v="0.3"/>
    <n v="34595.9"/>
    <s v="Completed"/>
    <s v="Hyderabad"/>
  </r>
  <r>
    <s v="ORD-01223"/>
    <d v="2024-09-25T00:00:00"/>
    <s v="CUST-0068"/>
    <s v="PROD-022"/>
    <x v="12"/>
    <n v="8"/>
    <n v="2270"/>
    <n v="15.6"/>
    <n v="15327.04"/>
    <s v="Pending"/>
    <s v="Delhi"/>
  </r>
  <r>
    <s v="ORD-01224"/>
    <d v="2024-05-19T00:00:00"/>
    <s v="CUST-0127"/>
    <s v="PROD-048"/>
    <x v="14"/>
    <n v="5"/>
    <n v="5100"/>
    <n v="9.5"/>
    <n v="23077.5"/>
    <s v="Completed"/>
    <s v="Bengaluru"/>
  </r>
  <r>
    <s v="ORD-01225"/>
    <d v="2024-10-29T00:00:00"/>
    <s v="CUST-0191"/>
    <s v="PROD-036"/>
    <x v="23"/>
    <n v="5"/>
    <n v="3250"/>
    <n v="8.1"/>
    <n v="14933.75"/>
    <s v="Completed"/>
    <s v="Hyderabad"/>
  </r>
  <r>
    <s v="ORD-01226"/>
    <d v="2024-11-13T00:00:00"/>
    <s v="CUST-0028"/>
    <s v="PROD-006"/>
    <x v="11"/>
    <n v="6"/>
    <n v="3970"/>
    <n v="18.8"/>
    <n v="19341.84"/>
    <s v="Pending"/>
    <s v="Bengaluru"/>
  </r>
  <r>
    <s v="ORD-01227"/>
    <d v="2024-09-11T00:00:00"/>
    <s v="CUST-0027"/>
    <s v="PROD-001"/>
    <x v="5"/>
    <n v="4"/>
    <n v="5330"/>
    <n v="19.7"/>
    <n v="17119.96"/>
    <s v="Completed"/>
    <s v="Hyderabad"/>
  </r>
  <r>
    <s v="ORD-01228"/>
    <d v="2024-11-11T00:00:00"/>
    <s v="CUST-0193"/>
    <s v="PROD-008"/>
    <x v="10"/>
    <n v="7"/>
    <n v="2660"/>
    <n v="8.5"/>
    <n v="17037.3"/>
    <s v="Completed"/>
    <s v="Bengaluru"/>
  </r>
  <r>
    <s v="ORD-01229"/>
    <d v="2024-05-10T00:00:00"/>
    <s v="CUST-0202"/>
    <s v="PROD-012"/>
    <x v="20"/>
    <n v="5"/>
    <n v="3160"/>
    <n v="13.4"/>
    <n v="13682.8"/>
    <s v="Pending"/>
    <s v="Chennai"/>
  </r>
  <r>
    <s v="ORD-01230"/>
    <d v="2024-12-08T00:00:00"/>
    <s v="CUST-0230"/>
    <s v="PROD-054"/>
    <x v="7"/>
    <n v="10"/>
    <n v="1010"/>
    <n v="14"/>
    <n v="8686"/>
    <s v="Completed"/>
    <s v="Pune"/>
  </r>
  <r>
    <s v="ORD-01231"/>
    <d v="2024-03-25T00:00:00"/>
    <s v="CUST-0280"/>
    <s v="PROD-041"/>
    <x v="11"/>
    <n v="3"/>
    <n v="1540"/>
    <n v="13.7"/>
    <n v="3987.06"/>
    <s v="Pending"/>
    <s v="Delhi"/>
  </r>
  <r>
    <s v="ORD-01232"/>
    <d v="2024-01-22T00:00:00"/>
    <s v="CUST-0196"/>
    <s v="PROD-048"/>
    <x v="18"/>
    <n v="10"/>
    <n v="5100"/>
    <n v="13.8"/>
    <n v="43962"/>
    <s v="Completed"/>
    <s v="Chennai"/>
  </r>
  <r>
    <s v="ORD-01233"/>
    <d v="2024-06-14T00:00:00"/>
    <s v="CUST-0019"/>
    <s v="PROD-007"/>
    <x v="14"/>
    <n v="3"/>
    <n v="1430"/>
    <n v="1.5"/>
    <n v="4225.6499999999996"/>
    <s v="Completed"/>
    <s v="Chennai"/>
  </r>
  <r>
    <s v="ORD-01234"/>
    <d v="2024-11-24T00:00:00"/>
    <s v="CUST-0201"/>
    <s v="PROD-038"/>
    <x v="22"/>
    <n v="8"/>
    <n v="5490"/>
    <n v="23.2"/>
    <n v="33730.559999999998"/>
    <s v="Completed"/>
    <s v="Hyderabad"/>
  </r>
  <r>
    <s v="ORD-01235"/>
    <d v="2024-07-22T00:00:00"/>
    <s v="CUST-0146"/>
    <s v="PROD-044"/>
    <x v="4"/>
    <n v="6"/>
    <n v="1650"/>
    <n v="16.8"/>
    <n v="8236.7999999999993"/>
    <s v="Completed"/>
    <s v="Hyderabad"/>
  </r>
  <r>
    <s v="ORD-01236"/>
    <d v="2024-06-17T00:00:00"/>
    <s v="CUST-0199"/>
    <s v="PROD-045"/>
    <x v="26"/>
    <n v="3"/>
    <n v="3020"/>
    <n v="14.5"/>
    <n v="7746.3"/>
    <s v="Completed"/>
    <s v="Hyderabad"/>
  </r>
  <r>
    <s v="ORD-01237"/>
    <d v="2024-05-26T00:00:00"/>
    <s v="CUST-0099"/>
    <s v="PROD-041"/>
    <x v="11"/>
    <n v="5"/>
    <n v="1540"/>
    <n v="27.2"/>
    <n v="5605.6"/>
    <s v="Completed"/>
    <s v="Bengaluru"/>
  </r>
  <r>
    <s v="ORD-00372"/>
    <d v="2024-01-16T00:00:00"/>
    <s v="CUST-0094"/>
    <s v="PROD-056"/>
    <x v="12"/>
    <n v="4"/>
    <n v="6940"/>
    <n v="3.2"/>
    <n v="26871.68"/>
    <s v="Completed"/>
    <s v="Pune"/>
  </r>
  <r>
    <s v="ORD-01239"/>
    <d v="2024-08-13T00:00:00"/>
    <s v="CUST-0275"/>
    <s v="PROD-048"/>
    <x v="21"/>
    <n v="2"/>
    <n v="5100"/>
    <n v="18.100000000000001"/>
    <n v="8353.7999999999993"/>
    <s v="Completed"/>
    <s v="Mumbai"/>
  </r>
  <r>
    <s v="ORD-01240"/>
    <d v="2024-10-10T00:00:00"/>
    <s v="CUST-0230"/>
    <s v="PROD-001"/>
    <x v="29"/>
    <n v="6"/>
    <n v="5330"/>
    <n v="0.3"/>
    <n v="31884.06"/>
    <s v="Pending"/>
    <s v="Pune"/>
  </r>
  <r>
    <s v="ORD-01241"/>
    <d v="2024-06-06T00:00:00"/>
    <s v="CUST-0227"/>
    <s v="PROD-057"/>
    <x v="20"/>
    <n v="5"/>
    <n v="960"/>
    <n v="16.600000000000001"/>
    <n v="4003.2"/>
    <s v="Completed"/>
    <s v="Bengaluru"/>
  </r>
  <r>
    <s v="ORD-01365"/>
    <d v="2024-07-08T00:00:00"/>
    <s v="CUST-0200"/>
    <s v="PROD-014"/>
    <x v="24"/>
    <n v="7"/>
    <n v="3620"/>
    <n v="5.4"/>
    <n v="23971.64"/>
    <s v="Completed"/>
    <s v="Hyderabad"/>
  </r>
  <r>
    <s v="ORD-01243"/>
    <d v="2024-03-17T00:00:00"/>
    <s v="CUST-0268"/>
    <s v="PROD-002"/>
    <x v="3"/>
    <n v="6"/>
    <n v="2600"/>
    <n v="25.9"/>
    <n v="11559.6"/>
    <s v="Completed"/>
    <s v="Chennai"/>
  </r>
  <r>
    <s v="ORD-01244"/>
    <d v="2024-01-07T00:00:00"/>
    <s v="CUST-0163"/>
    <s v="PROD-008"/>
    <x v="22"/>
    <n v="7"/>
    <n v="2660"/>
    <n v="20.2"/>
    <n v="14858.76"/>
    <s v="Completed"/>
    <s v="Pune"/>
  </r>
  <r>
    <s v="ORD-01245"/>
    <d v="2024-06-29T00:00:00"/>
    <s v="CUST-0233"/>
    <s v="PROD-019"/>
    <x v="24"/>
    <n v="9"/>
    <n v="2480"/>
    <n v="14.7"/>
    <n v="19038.96"/>
    <s v="Completed"/>
    <s v="Mumbai"/>
  </r>
  <r>
    <s v="ORD-01246"/>
    <d v="2024-10-03T00:00:00"/>
    <s v="CUST-0181"/>
    <s v="PROD-008"/>
    <x v="15"/>
    <n v="4"/>
    <n v="2660"/>
    <n v="8.9"/>
    <n v="9693.0400000000009"/>
    <s v="Completed"/>
    <s v="Delhi"/>
  </r>
  <r>
    <s v="ORD-01247"/>
    <d v="2024-09-05T00:00:00"/>
    <s v="CUST-0254"/>
    <s v="PROD-001"/>
    <x v="9"/>
    <n v="1"/>
    <n v="5330"/>
    <n v="26.8"/>
    <n v="3901.56"/>
    <s v="Completed"/>
    <s v="Bengaluru"/>
  </r>
  <r>
    <s v="ORD-01248"/>
    <d v="2024-09-09T00:00:00"/>
    <s v="CUST-0116"/>
    <s v="PROD-051"/>
    <x v="28"/>
    <n v="6"/>
    <n v="3450"/>
    <n v="19.2"/>
    <n v="16725.599999999999"/>
    <s v="Pending"/>
    <s v="Bengaluru"/>
  </r>
  <r>
    <s v="ORD-01249"/>
    <d v="2024-02-12T00:00:00"/>
    <s v="CUST-0259"/>
    <s v="PROD-060"/>
    <x v="5"/>
    <n v="10"/>
    <n v="190"/>
    <n v="18.100000000000001"/>
    <n v="1556.1"/>
    <s v="Completed"/>
    <s v="Mumbai"/>
  </r>
  <r>
    <s v="ORD-01250"/>
    <d v="2024-10-19T00:00:00"/>
    <s v="CUST-0198"/>
    <s v="PROD-006"/>
    <x v="18"/>
    <n v="9"/>
    <n v="3970"/>
    <n v="18.2"/>
    <n v="29227.14"/>
    <s v="Pending"/>
    <s v="Chennai"/>
  </r>
  <r>
    <s v="ORD-01251"/>
    <d v="2024-04-22T00:00:00"/>
    <s v="CUST-0204"/>
    <s v="PROD-039"/>
    <x v="25"/>
    <n v="4"/>
    <n v="4610"/>
    <n v="15.1"/>
    <n v="15655.56"/>
    <s v="Cancelled"/>
    <s v="Hyderabad"/>
  </r>
  <r>
    <s v="ORD-01252"/>
    <d v="2024-07-03T00:00:00"/>
    <s v="CUST-0216"/>
    <s v="PROD-016"/>
    <x v="5"/>
    <n v="2"/>
    <n v="620"/>
    <n v="3.3"/>
    <n v="1199.08"/>
    <s v="Completed"/>
    <s v="Mumbai"/>
  </r>
  <r>
    <s v="ORD-01253"/>
    <d v="2024-07-08T00:00:00"/>
    <s v="CUST-0030"/>
    <s v="PROD-041"/>
    <x v="5"/>
    <n v="7"/>
    <n v="1540"/>
    <n v="27.5"/>
    <n v="7815.5"/>
    <s v="Completed"/>
    <s v="Bengaluru"/>
  </r>
  <r>
    <s v="ORD-01254"/>
    <d v="2024-07-07T00:00:00"/>
    <s v="CUST-0019"/>
    <s v="PROD-053"/>
    <x v="21"/>
    <n v="10"/>
    <n v="470"/>
    <n v="3.9"/>
    <n v="4516.7"/>
    <s v="Completed"/>
    <s v="Chennai"/>
  </r>
  <r>
    <s v="ORD-01255"/>
    <d v="2024-11-07T00:00:00"/>
    <s v="CUST-0034"/>
    <s v="PROD-046"/>
    <x v="25"/>
    <n v="5"/>
    <n v="4880"/>
    <n v="27.4"/>
    <n v="17714.400000000001"/>
    <s v="Completed"/>
    <s v="Delhi"/>
  </r>
  <r>
    <s v="ORD-01256"/>
    <d v="2024-09-13T00:00:00"/>
    <s v="CUST-0063"/>
    <s v="PROD-052"/>
    <x v="20"/>
    <n v="1"/>
    <n v="5410"/>
    <n v="8.3000000000000007"/>
    <n v="4960.97"/>
    <s v="Completed"/>
    <s v="Mumbai"/>
  </r>
  <r>
    <s v="ORD-01257"/>
    <d v="2024-07-09T00:00:00"/>
    <s v="CUST-0203"/>
    <s v="PROD-004"/>
    <x v="24"/>
    <n v="8"/>
    <n v="3870"/>
    <n v="9.3000000000000007"/>
    <n v="28080.720000000001"/>
    <s v="Pending"/>
    <s v="Chennai"/>
  </r>
  <r>
    <s v="ORD-01258"/>
    <d v="2024-06-14T00:00:00"/>
    <s v="CUST-0016"/>
    <s v="PROD-010"/>
    <x v="21"/>
    <n v="10"/>
    <n v="2640"/>
    <n v="19.899999999999999"/>
    <n v="21146.400000000001"/>
    <s v="Completed"/>
    <s v="Delhi"/>
  </r>
  <r>
    <s v="ORD-01259"/>
    <d v="2024-08-04T00:00:00"/>
    <s v="CUST-0198"/>
    <s v="PROD-034"/>
    <x v="0"/>
    <n v="1"/>
    <n v="5080"/>
    <n v="8.6"/>
    <n v="4643.12"/>
    <s v="Completed"/>
    <s v="Chennai"/>
  </r>
  <r>
    <s v="ORD-01260"/>
    <d v="2024-04-17T00:00:00"/>
    <s v="CUST-0212"/>
    <s v="PROD-036"/>
    <x v="26"/>
    <n v="9"/>
    <n v="3250"/>
    <n v="18.2"/>
    <n v="23926.5"/>
    <s v="Pending"/>
    <s v="Chennai"/>
  </r>
  <r>
    <s v="ORD-01261"/>
    <d v="2024-11-11T00:00:00"/>
    <s v="CUST-0265"/>
    <s v="PROD-006"/>
    <x v="25"/>
    <n v="8"/>
    <n v="3970"/>
    <n v="22.4"/>
    <n v="24645.759999999998"/>
    <s v="Completed"/>
    <s v="Chennai"/>
  </r>
  <r>
    <s v="ORD-01262"/>
    <d v="2024-04-25T00:00:00"/>
    <s v="CUST-0165"/>
    <s v="PROD-037"/>
    <x v="21"/>
    <n v="3"/>
    <n v="660"/>
    <n v="3.1"/>
    <n v="1918.62"/>
    <s v="Completed"/>
    <s v="Pune"/>
  </r>
  <r>
    <s v="ORD-01263"/>
    <d v="2024-03-06T00:00:00"/>
    <s v="CUST-0109"/>
    <s v="PROD-002"/>
    <x v="24"/>
    <n v="7"/>
    <n v="2600"/>
    <n v="15.4"/>
    <n v="15397.2"/>
    <s v="Completed"/>
    <s v="Pune"/>
  </r>
  <r>
    <s v="ORD-01264"/>
    <d v="2024-09-30T00:00:00"/>
    <s v="CUST-0155"/>
    <s v="PROD-037"/>
    <x v="15"/>
    <n v="9"/>
    <n v="660"/>
    <n v="23.7"/>
    <n v="4532.22"/>
    <s v="Completed"/>
    <s v="Pune"/>
  </r>
  <r>
    <s v="ORD-01265"/>
    <d v="2024-04-13T00:00:00"/>
    <s v="CUST-0194"/>
    <s v="PROD-023"/>
    <x v="13"/>
    <n v="3"/>
    <n v="2380"/>
    <n v="19.5"/>
    <n v="5747.7"/>
    <s v="Cancelled"/>
    <s v="Delhi"/>
  </r>
  <r>
    <s v="ORD-01266"/>
    <d v="2024-11-28T00:00:00"/>
    <s v="CUST-0084"/>
    <s v="PROD-044"/>
    <x v="9"/>
    <n v="9"/>
    <n v="1650"/>
    <n v="2.5"/>
    <n v="14478.75"/>
    <s v="Completed"/>
    <s v="Chennai"/>
  </r>
  <r>
    <s v="ORD-01267"/>
    <d v="2024-12-24T00:00:00"/>
    <s v="CUST-9684"/>
    <s v="PROD-010"/>
    <x v="3"/>
    <n v="8"/>
    <n v="2640"/>
    <n v="24.4"/>
    <n v="15966.72"/>
    <s v="Completed"/>
    <s v="Mumbai"/>
  </r>
  <r>
    <s v="ORD-01268"/>
    <d v="2024-03-19T00:00:00"/>
    <s v="CUST-0218"/>
    <s v="PROD-023"/>
    <x v="22"/>
    <n v="8"/>
    <n v="2380"/>
    <n v="24.2"/>
    <n v="14432.32"/>
    <s v="Completed"/>
    <s v="Mumbai"/>
  </r>
  <r>
    <s v="ORD-01269"/>
    <d v="2024-03-22T00:00:00"/>
    <s v="CUST-0194"/>
    <s v="PROD-029"/>
    <x v="0"/>
    <n v="10"/>
    <n v="2210"/>
    <n v="3.6"/>
    <n v="21304.400000000001"/>
    <s v="Completed"/>
    <s v="Delhi"/>
  </r>
  <r>
    <s v="ORD-01270"/>
    <d v="2024-04-09T00:00:00"/>
    <s v="CUST-0037"/>
    <s v="PROD-050"/>
    <x v="26"/>
    <n v="9"/>
    <n v="6080"/>
    <n v="17.2"/>
    <n v="45308.160000000003"/>
    <s v="Pending"/>
    <s v="Bengaluru"/>
  </r>
  <r>
    <s v="ORD-01271"/>
    <d v="2024-02-10T00:00:00"/>
    <s v="CUST-0245"/>
    <s v="PROD-054"/>
    <x v="24"/>
    <n v="8"/>
    <n v="1010"/>
    <n v="12.3"/>
    <n v="7086.16"/>
    <s v="Completed"/>
    <s v="Hyderabad"/>
  </r>
  <r>
    <s v="ORD-01272"/>
    <d v="2024-10-17T00:00:00"/>
    <s v="CUST-0266"/>
    <s v="PROD-028"/>
    <x v="23"/>
    <n v="8"/>
    <n v="3660"/>
    <n v="8.4"/>
    <n v="26820.48"/>
    <s v="Completed"/>
    <s v="Pune"/>
  </r>
  <r>
    <s v="ORD-01273"/>
    <d v="2024-05-31T00:00:00"/>
    <s v="CUST-0058"/>
    <s v="PROD-039"/>
    <x v="20"/>
    <n v="8"/>
    <n v="4610"/>
    <n v="15.4"/>
    <n v="31200.48"/>
    <s v="Cancelled"/>
    <s v="Bengaluru"/>
  </r>
  <r>
    <s v="ORD-01274"/>
    <d v="2024-08-21T00:00:00"/>
    <s v="CUST-0058"/>
    <s v="PROD-048"/>
    <x v="3"/>
    <n v="9"/>
    <n v="5100"/>
    <n v="25.2"/>
    <n v="34333.199999999997"/>
    <s v="Cancelled"/>
    <s v="Bengaluru"/>
  </r>
  <r>
    <s v="ORD-01275"/>
    <d v="2024-03-26T00:00:00"/>
    <s v="CUST-0028"/>
    <s v="PROD-045"/>
    <x v="7"/>
    <n v="5"/>
    <n v="3020"/>
    <n v="23"/>
    <n v="11627"/>
    <s v="Completed"/>
    <s v="Bengaluru"/>
  </r>
  <r>
    <s v="ORD-01276"/>
    <d v="2024-05-01T00:00:00"/>
    <s v="CUST-0262"/>
    <s v="PROD-059"/>
    <x v="15"/>
    <n v="8"/>
    <n v="3780"/>
    <n v="17.100000000000001"/>
    <n v="25068.959999999999"/>
    <s v="Completed"/>
    <s v="Mumbai"/>
  </r>
  <r>
    <s v="ORD-01277"/>
    <d v="2024-05-25T00:00:00"/>
    <s v="CUST-0241"/>
    <s v="PROD-029"/>
    <x v="19"/>
    <n v="10"/>
    <n v="2210"/>
    <n v="8.5"/>
    <n v="20221.5"/>
    <s v="Completed"/>
    <s v="Pune"/>
  </r>
  <r>
    <s v="ORD-01278"/>
    <d v="2024-11-08T00:00:00"/>
    <s v="CUST-0109"/>
    <s v="PROD-029"/>
    <x v="15"/>
    <n v="4"/>
    <n v="2210"/>
    <n v="3.1"/>
    <n v="8565.9599999999991"/>
    <s v="Completed"/>
    <s v="Pune"/>
  </r>
  <r>
    <s v="ORD-01279"/>
    <d v="2024-09-05T00:00:00"/>
    <s v="CUST-0228"/>
    <s v="PROD-044"/>
    <x v="15"/>
    <n v="1"/>
    <n v="1650"/>
    <n v="10"/>
    <n v="1485"/>
    <s v="Completed"/>
    <s v="Pune"/>
  </r>
  <r>
    <s v="ORD-01280"/>
    <d v="2024-11-01T00:00:00"/>
    <s v="CUST-0239"/>
    <s v="PROD-060"/>
    <x v="1"/>
    <n v="6"/>
    <n v="190"/>
    <n v="3.5"/>
    <n v="1100.0999999999999"/>
    <s v="Cancelled"/>
    <s v="Mumbai"/>
  </r>
  <r>
    <s v="ORD-01281"/>
    <d v="2024-10-24T00:00:00"/>
    <s v="CUST-0092"/>
    <s v="PROD-055"/>
    <x v="28"/>
    <n v="8"/>
    <n v="2860"/>
    <n v="14.7"/>
    <n v="19516.64"/>
    <s v="Completed"/>
    <s v="Bengaluru"/>
  </r>
  <r>
    <s v="ORD-01282"/>
    <d v="2024-06-05T00:00:00"/>
    <s v="CUST-0283"/>
    <s v="PROD-005"/>
    <x v="14"/>
    <n v="9"/>
    <n v="300"/>
    <n v="19.5"/>
    <n v="2173.5"/>
    <s v="Completed"/>
    <s v="Delhi"/>
  </r>
  <r>
    <s v="ORD-01283"/>
    <d v="2024-11-12T00:00:00"/>
    <s v="CUST-0206"/>
    <s v="PROD-049"/>
    <x v="0"/>
    <n v="10"/>
    <n v="960"/>
    <n v="9.6999999999999993"/>
    <n v="8668.7999999999993"/>
    <s v="Completed"/>
    <s v="Mumbai"/>
  </r>
  <r>
    <s v="ORD-01284"/>
    <d v="2024-05-09T00:00:00"/>
    <s v="CUST-0174"/>
    <s v="PROD-020"/>
    <x v="22"/>
    <n v="5"/>
    <n v="820"/>
    <n v="0.5"/>
    <n v="4079.5"/>
    <s v="Completed"/>
    <s v="Pune"/>
  </r>
  <r>
    <s v="ORD-01285"/>
    <d v="2024-04-01T00:00:00"/>
    <s v="CUST-0040"/>
    <s v="PROD-032"/>
    <x v="10"/>
    <n v="2"/>
    <n v="370"/>
    <n v="10.5"/>
    <n v="662.3"/>
    <s v="Pending"/>
    <s v="Chennai"/>
  </r>
  <r>
    <s v="ORD-01286"/>
    <d v="2024-06-10T00:00:00"/>
    <s v="CUST-0153"/>
    <s v="PROD-038"/>
    <x v="12"/>
    <n v="9"/>
    <n v="5490"/>
    <n v="14.2"/>
    <n v="42393.78"/>
    <s v="Cancelled"/>
    <s v="Mumbai"/>
  </r>
  <r>
    <s v="ORD-01287"/>
    <d v="2024-04-16T00:00:00"/>
    <s v="CUST-0236"/>
    <s v="PROD-032"/>
    <x v="26"/>
    <n v="3"/>
    <n v="370"/>
    <n v="18.399999999999999"/>
    <n v="905.76"/>
    <s v="Completed"/>
    <s v="Hyderabad"/>
  </r>
  <r>
    <s v="ORD-01288"/>
    <d v="2024-10-19T00:00:00"/>
    <s v="CUST-0295"/>
    <s v="PROD-060"/>
    <x v="26"/>
    <n v="6"/>
    <n v="190"/>
    <n v="12.9"/>
    <n v="992.94"/>
    <s v="Completed"/>
    <s v="Delhi"/>
  </r>
  <r>
    <s v="ORD-01289"/>
    <d v="2024-04-15T00:00:00"/>
    <s v="CUST-0145"/>
    <s v="PROD-029"/>
    <x v="12"/>
    <n v="8"/>
    <n v="2210"/>
    <n v="9.8000000000000007"/>
    <n v="15947.36"/>
    <s v="Completed"/>
    <s v="Bengaluru"/>
  </r>
  <r>
    <s v="ORD-01290"/>
    <d v="2024-06-10T00:00:00"/>
    <s v="CUST-0192"/>
    <s v="PROD-044"/>
    <x v="18"/>
    <n v="7"/>
    <n v="1650"/>
    <n v="8.4"/>
    <n v="10579.8"/>
    <s v="Completed"/>
    <s v="Bengaluru"/>
  </r>
  <r>
    <s v="ORD-01291"/>
    <d v="2024-03-08T00:00:00"/>
    <s v="CUST-0148"/>
    <s v="PROD-037"/>
    <x v="22"/>
    <n v="8"/>
    <n v="660"/>
    <n v="7.5"/>
    <n v="4884"/>
    <s v="Completed"/>
    <s v="Chennai"/>
  </r>
  <r>
    <s v="ORD-01292"/>
    <d v="2024-12-18T00:00:00"/>
    <s v="CUST-0227"/>
    <s v="PROD-039"/>
    <x v="10"/>
    <n v="3"/>
    <n v="4610"/>
    <n v="29.6"/>
    <n v="9736.32"/>
    <s v="Completed"/>
    <s v="Bengaluru"/>
  </r>
  <r>
    <s v="ORD-01293"/>
    <d v="2024-02-03T00:00:00"/>
    <s v="CUST-0170"/>
    <s v="PROD-029"/>
    <x v="5"/>
    <n v="6"/>
    <n v="2210"/>
    <n v="9.5"/>
    <n v="12000.3"/>
    <s v="Completed"/>
    <s v="Mumbai"/>
  </r>
  <r>
    <s v="ORD-01294"/>
    <d v="2024-08-29T00:00:00"/>
    <s v="CUST-0102"/>
    <s v="PROD-042"/>
    <x v="21"/>
    <n v="4"/>
    <n v="2290"/>
    <n v="3.3"/>
    <n v="8857.7199999999993"/>
    <s v="Completed"/>
    <s v="Chennai"/>
  </r>
  <r>
    <s v="ORD-01295"/>
    <d v="2024-03-18T00:00:00"/>
    <s v="CUST-0071"/>
    <s v="PROD-040"/>
    <x v="17"/>
    <n v="5"/>
    <n v="1080"/>
    <n v="26.1"/>
    <n v="3990.6"/>
    <s v="Completed"/>
    <s v="Delhi"/>
  </r>
  <r>
    <s v="ORD-01296"/>
    <d v="2024-01-21T00:00:00"/>
    <s v="CUST-0080"/>
    <s v="PROD-057"/>
    <x v="9"/>
    <n v="7"/>
    <n v="960"/>
    <n v="17.7"/>
    <n v="5530.56"/>
    <s v="Completed"/>
    <s v="Pune"/>
  </r>
  <r>
    <s v="ORD-01297"/>
    <d v="2024-06-02T00:00:00"/>
    <s v="CUST-0272"/>
    <s v="PROD-058"/>
    <x v="4"/>
    <n v="1"/>
    <n v="2400"/>
    <n v="29.9"/>
    <n v="1682.4"/>
    <s v="Completed"/>
    <s v="Mumbai"/>
  </r>
  <r>
    <s v="ORD-01298"/>
    <d v="2024-12-10T00:00:00"/>
    <s v="CUST-0076"/>
    <s v="PROD-042"/>
    <x v="9"/>
    <n v="9"/>
    <n v="2290"/>
    <n v="28.8"/>
    <n v="14674.32"/>
    <s v="Completed"/>
    <s v="Mumbai"/>
  </r>
  <r>
    <s v="ORD-01299"/>
    <d v="2024-01-03T00:00:00"/>
    <s v="CUST-0222"/>
    <s v="PROD-040"/>
    <x v="26"/>
    <n v="9"/>
    <n v="1080"/>
    <n v="10.3"/>
    <n v="8718.84"/>
    <s v="Completed"/>
    <s v="Chennai"/>
  </r>
  <r>
    <s v="ORD-01300"/>
    <d v="2024-06-06T00:00:00"/>
    <s v="CUST-0091"/>
    <s v="PROD-035"/>
    <x v="10"/>
    <n v="1"/>
    <n v="1090"/>
    <n v="5.8"/>
    <n v="1026.78"/>
    <s v="Cancelled"/>
    <s v="Delhi"/>
  </r>
  <r>
    <s v="ORD-01301"/>
    <d v="2024-09-25T00:00:00"/>
    <s v="CUST-0126"/>
    <s v="PROD-029"/>
    <x v="26"/>
    <n v="3"/>
    <n v="2210"/>
    <n v="18.2"/>
    <n v="5423.34"/>
    <s v="Pending"/>
    <s v="Mumbai"/>
  </r>
  <r>
    <s v="ORD-01302"/>
    <d v="2024-10-23T00:00:00"/>
    <s v="CUST-0241"/>
    <s v="PROD-014"/>
    <x v="15"/>
    <n v="8"/>
    <n v="3620"/>
    <n v="1.4"/>
    <n v="28554.560000000001"/>
    <s v="Completed"/>
    <s v="Pune"/>
  </r>
  <r>
    <s v="ORD-01303"/>
    <d v="2024-03-09T00:00:00"/>
    <s v="CUST-0118"/>
    <s v="PROD-033"/>
    <x v="23"/>
    <n v="7"/>
    <n v="2030"/>
    <n v="27.7"/>
    <n v="10273.83"/>
    <s v="Completed"/>
    <s v="Hyderabad"/>
  </r>
  <r>
    <s v="ORD-01304"/>
    <d v="2024-01-25T00:00:00"/>
    <s v="CUST-0090"/>
    <s v="PROD-004"/>
    <x v="12"/>
    <n v="1"/>
    <n v="3870"/>
    <n v="29.6"/>
    <n v="2724.48"/>
    <s v="Completed"/>
    <s v="Bengaluru"/>
  </r>
  <r>
    <s v="ORD-01305"/>
    <d v="2024-02-02T00:00:00"/>
    <s v="CUST-0037"/>
    <s v="PROD-003"/>
    <x v="2"/>
    <n v="5"/>
    <n v="3570"/>
    <n v="11.8"/>
    <n v="15743.7"/>
    <s v="Refunded"/>
    <s v="Bengaluru"/>
  </r>
  <r>
    <s v="ORD-01306"/>
    <d v="2024-12-24T00:00:00"/>
    <s v="CUST-0083"/>
    <s v="PROD-001"/>
    <x v="7"/>
    <n v="7"/>
    <n v="5330"/>
    <n v="8.1999999999999993"/>
    <n v="34250.58"/>
    <s v="Completed"/>
    <s v="Bengaluru"/>
  </r>
  <r>
    <s v="ORD-01307"/>
    <d v="2024-09-29T00:00:00"/>
    <s v="CUST-0154"/>
    <s v="PROD-009"/>
    <x v="18"/>
    <n v="5"/>
    <n v="1220"/>
    <n v="17.8"/>
    <n v="5014.2"/>
    <s v="Refunded"/>
    <s v="Pune"/>
  </r>
  <r>
    <s v="ORD-01308"/>
    <d v="2024-10-22T00:00:00"/>
    <s v="CUST-0265"/>
    <s v="PROD-011"/>
    <x v="7"/>
    <n v="7"/>
    <n v="3450"/>
    <n v="29.3"/>
    <n v="17074.05"/>
    <s v="Completed"/>
    <s v="Chennai"/>
  </r>
  <r>
    <s v="ORD-01309"/>
    <d v="2024-09-03T00:00:00"/>
    <s v="CUST-0115"/>
    <s v="PROD-018"/>
    <x v="22"/>
    <n v="6"/>
    <n v="3560"/>
    <n v="9.4"/>
    <n v="19352.16"/>
    <s v="Pending"/>
    <s v="Mumbai"/>
  </r>
  <r>
    <s v="ORD-01310"/>
    <d v="2024-04-03T00:00:00"/>
    <s v="CUST-0274"/>
    <s v="PROD-032"/>
    <x v="1"/>
    <n v="4"/>
    <n v="370"/>
    <n v="4.9000000000000004"/>
    <n v="1407.48"/>
    <s v="Completed"/>
    <s v="Bengaluru"/>
  </r>
  <r>
    <s v="ORD-01311"/>
    <d v="2024-12-21T00:00:00"/>
    <s v="CUST-0269"/>
    <s v="PROD-009"/>
    <x v="11"/>
    <n v="1"/>
    <n v="1220"/>
    <n v="15.2"/>
    <n v="1034.56"/>
    <s v="Completed"/>
    <s v="Pune"/>
  </r>
  <r>
    <s v="ORD-01312"/>
    <d v="2024-06-23T00:00:00"/>
    <s v="CUST-0045"/>
    <s v="PROD-013"/>
    <x v="3"/>
    <n v="3"/>
    <n v="3640"/>
    <n v="12.3"/>
    <n v="9576.84"/>
    <s v="Pending"/>
    <s v="Chennai"/>
  </r>
  <r>
    <s v="ORD-01313"/>
    <d v="2024-09-24T00:00:00"/>
    <s v="CUST-0054"/>
    <s v="PROD-045"/>
    <x v="9"/>
    <n v="8"/>
    <n v="3020"/>
    <n v="28.2"/>
    <n v="17346.88"/>
    <s v="Pending"/>
    <s v="Mumbai"/>
  </r>
  <r>
    <s v="ORD-01314"/>
    <d v="2024-06-26T00:00:00"/>
    <s v="CUST-0160"/>
    <s v="PROD-048"/>
    <x v="4"/>
    <n v="3"/>
    <n v="5100"/>
    <n v="7.8"/>
    <n v="14106.6"/>
    <s v="Completed"/>
    <s v="Hyderabad"/>
  </r>
  <r>
    <s v="ORD-01315"/>
    <d v="2024-04-25T00:00:00"/>
    <s v="CUST-0163"/>
    <s v="PROD-005"/>
    <x v="19"/>
    <n v="9"/>
    <n v="300"/>
    <n v="19"/>
    <n v="2187"/>
    <s v="Completed"/>
    <s v="Pune"/>
  </r>
  <r>
    <s v="ORD-01316"/>
    <d v="2024-12-08T00:00:00"/>
    <s v="CUST-0006"/>
    <s v="PROD-042"/>
    <x v="0"/>
    <n v="10"/>
    <n v="2290"/>
    <n v="27.7"/>
    <n v="16556.7"/>
    <s v="Completed"/>
    <s v="Pune"/>
  </r>
  <r>
    <s v="ORD-01317"/>
    <d v="2024-06-11T00:00:00"/>
    <s v="CUST-0142"/>
    <s v="PROD-013"/>
    <x v="6"/>
    <n v="9"/>
    <n v="3640"/>
    <n v="20.100000000000001"/>
    <n v="26175.24"/>
    <s v="Completed"/>
    <s v="Chennai"/>
  </r>
  <r>
    <s v="ORD-01318"/>
    <d v="2024-09-30T00:00:00"/>
    <s v="CUST-0262"/>
    <s v="PROD-020"/>
    <x v="24"/>
    <n v="4"/>
    <n v="820"/>
    <n v="7.6"/>
    <n v="3030.72"/>
    <s v="Completed"/>
    <s v="Mumbai"/>
  </r>
  <r>
    <s v="ORD-01319"/>
    <d v="2024-05-31T00:00:00"/>
    <s v="CUST-0049"/>
    <s v="PROD-030"/>
    <x v="2"/>
    <n v="1"/>
    <n v="970"/>
    <n v="1.7"/>
    <n v="953.51"/>
    <s v="Completed"/>
    <s v="Mumbai"/>
  </r>
  <r>
    <s v="ORD-01320"/>
    <d v="2024-01-27T00:00:00"/>
    <s v="CUST-0204"/>
    <s v="PROD-018"/>
    <x v="7"/>
    <n v="5"/>
    <n v="3560"/>
    <n v="10.5"/>
    <n v="15931"/>
    <s v="Completed"/>
    <s v="Hyderabad"/>
  </r>
  <r>
    <s v="ORD-01321"/>
    <d v="2024-01-17T00:00:00"/>
    <s v="CUST-0164"/>
    <s v="PROD-035"/>
    <x v="18"/>
    <n v="6"/>
    <n v="1090"/>
    <n v="2.4"/>
    <n v="6383.04"/>
    <s v="Pending"/>
    <s v="Chennai"/>
  </r>
  <r>
    <s v="ORD-01322"/>
    <d v="2024-01-15T00:00:00"/>
    <s v="CUST-0003"/>
    <s v="PROD-008"/>
    <x v="21"/>
    <n v="6"/>
    <n v="2660"/>
    <n v="6.4"/>
    <n v="14938.56"/>
    <s v="Completed"/>
    <s v="Mumbai"/>
  </r>
  <r>
    <s v="ORD-01323"/>
    <d v="2024-05-20T00:00:00"/>
    <s v="CUST-0032"/>
    <s v="PROD-006"/>
    <x v="19"/>
    <n v="5"/>
    <n v="3970"/>
    <n v="18.8"/>
    <n v="16118.2"/>
    <s v="Pending"/>
    <s v="Hyderabad"/>
  </r>
  <r>
    <s v="ORD-01324"/>
    <d v="2024-03-18T00:00:00"/>
    <s v="CUST-0208"/>
    <s v="PROD-056"/>
    <x v="13"/>
    <n v="7"/>
    <n v="6940"/>
    <n v="23.8"/>
    <n v="37017.96"/>
    <s v="Refunded"/>
    <s v="Mumbai"/>
  </r>
  <r>
    <s v="ORD-01325"/>
    <d v="2024-09-09T00:00:00"/>
    <s v="CUST-0183"/>
    <s v="PROD-058"/>
    <x v="10"/>
    <n v="3"/>
    <n v="2400"/>
    <n v="9.8000000000000007"/>
    <n v="6494.4"/>
    <s v="Completed"/>
    <s v="Mumbai"/>
  </r>
  <r>
    <s v="ORD-01326"/>
    <d v="2024-04-13T00:00:00"/>
    <s v="CUST-0021"/>
    <s v="PROD-051"/>
    <x v="12"/>
    <n v="8"/>
    <n v="3450"/>
    <n v="26.6"/>
    <n v="20258.400000000001"/>
    <s v="Cancelled"/>
    <s v="Pune"/>
  </r>
  <r>
    <s v="ORD-01327"/>
    <d v="2024-04-07T00:00:00"/>
    <s v="CUST-0080"/>
    <s v="PROD-009"/>
    <x v="10"/>
    <n v="4"/>
    <n v="1220"/>
    <n v="5.5"/>
    <n v="4611.6000000000004"/>
    <s v="Completed"/>
    <s v="Pune"/>
  </r>
  <r>
    <s v="ORD-01328"/>
    <d v="2024-09-01T00:00:00"/>
    <s v="CUST-0286"/>
    <s v="PROD-016"/>
    <x v="0"/>
    <n v="1"/>
    <n v="620"/>
    <n v="22.3"/>
    <n v="481.74"/>
    <s v="Pending"/>
    <s v="Delhi"/>
  </r>
  <r>
    <s v="ORD-01329"/>
    <d v="2024-02-26T00:00:00"/>
    <s v="CUST-0152"/>
    <s v="PROD-005"/>
    <x v="12"/>
    <n v="1"/>
    <n v="300"/>
    <n v="12.5"/>
    <n v="262.5"/>
    <s v="Completed"/>
    <s v="Bengaluru"/>
  </r>
  <r>
    <s v="ORD-01330"/>
    <d v="2024-07-29T00:00:00"/>
    <s v="CUST-0254"/>
    <s v="PROD-054"/>
    <x v="16"/>
    <n v="3"/>
    <n v="1010"/>
    <n v="14.1"/>
    <n v="2602.77"/>
    <s v="Completed"/>
    <s v="Bengaluru"/>
  </r>
  <r>
    <s v="ORD-01331"/>
    <d v="2024-11-04T00:00:00"/>
    <s v="CUST-0290"/>
    <s v="PROD-034"/>
    <x v="28"/>
    <n v="2"/>
    <n v="5080"/>
    <n v="16.8"/>
    <n v="8453.1200000000008"/>
    <s v="Completed"/>
    <s v="Delhi"/>
  </r>
  <r>
    <s v="ORD-01332"/>
    <d v="2024-05-04T00:00:00"/>
    <s v="CUST-0101"/>
    <s v="PROD-012"/>
    <x v="28"/>
    <n v="2"/>
    <n v="3160"/>
    <n v="21.4"/>
    <n v="4967.5200000000004"/>
    <s v="Completed"/>
    <s v="Hyderabad"/>
  </r>
  <r>
    <s v="ORD-01333"/>
    <d v="2024-08-31T00:00:00"/>
    <s v="CUST-0058"/>
    <s v="PROD-047"/>
    <x v="29"/>
    <n v="7"/>
    <n v="3450"/>
    <n v="21.3"/>
    <n v="19006.05"/>
    <s v="Completed"/>
    <s v="Bengaluru"/>
  </r>
  <r>
    <s v="ORD-01334"/>
    <d v="2024-01-31T00:00:00"/>
    <s v="CUST-0296"/>
    <s v="PROD-001"/>
    <x v="3"/>
    <n v="2"/>
    <n v="5330"/>
    <n v="4.3"/>
    <n v="10201.620000000001"/>
    <s v="Completed"/>
    <s v="Delhi"/>
  </r>
  <r>
    <s v="ORD-01335"/>
    <d v="2024-11-30T00:00:00"/>
    <s v="CUST-0249"/>
    <s v="PROD-056"/>
    <x v="2"/>
    <n v="5"/>
    <n v="6940"/>
    <n v="2.9"/>
    <n v="33693.699999999997"/>
    <s v="Completed"/>
    <s v="Mumbai"/>
  </r>
  <r>
    <s v="ORD-01336"/>
    <d v="2024-08-30T00:00:00"/>
    <s v="CUST-0055"/>
    <s v="PROD-037"/>
    <x v="8"/>
    <n v="5"/>
    <n v="660"/>
    <n v="15.8"/>
    <n v="2778.6"/>
    <s v="Completed"/>
    <s v="Bengaluru"/>
  </r>
  <r>
    <s v="ORD-01337"/>
    <d v="2024-08-15T00:00:00"/>
    <s v="CUST-0005"/>
    <s v="PROD-048"/>
    <x v="22"/>
    <n v="9"/>
    <n v="5100"/>
    <n v="0.4"/>
    <n v="45716.4"/>
    <s v="Completed"/>
    <s v="Chennai"/>
  </r>
  <r>
    <s v="ORD-01338"/>
    <d v="2024-01-24T00:00:00"/>
    <s v="CUST-9595"/>
    <s v="PROD-044"/>
    <x v="2"/>
    <n v="5"/>
    <n v="1650"/>
    <n v="0.8"/>
    <n v="8184"/>
    <s v="Pending"/>
    <s v="Chennai"/>
  </r>
  <r>
    <s v="ORD-01339"/>
    <d v="2024-10-01T00:00:00"/>
    <s v="CUST-0138"/>
    <s v="PROD-013"/>
    <x v="26"/>
    <n v="7"/>
    <n v="3640"/>
    <n v="25.5"/>
    <n v="18982.599999999999"/>
    <s v="Completed"/>
    <s v="Chennai"/>
  </r>
  <r>
    <s v="ORD-01340"/>
    <d v="2024-12-17T00:00:00"/>
    <s v="CUST-0112"/>
    <s v="PROD-046"/>
    <x v="20"/>
    <n v="6"/>
    <n v="4880"/>
    <n v="12.6"/>
    <n v="25590.720000000001"/>
    <s v="Cancelled"/>
    <s v="Hyderabad"/>
  </r>
  <r>
    <s v="ORD-01341"/>
    <d v="2024-05-10T00:00:00"/>
    <s v="CUST-0254"/>
    <s v="PROD-001"/>
    <x v="8"/>
    <n v="4"/>
    <n v="5330"/>
    <n v="16.2"/>
    <n v="17866.16"/>
    <s v="Completed"/>
    <s v="Bengaluru"/>
  </r>
  <r>
    <s v="ORD-01342"/>
    <d v="2024-04-18T00:00:00"/>
    <s v="CUST-0087"/>
    <s v="PROD-038"/>
    <x v="12"/>
    <n v="3"/>
    <n v="5490"/>
    <n v="26.7"/>
    <n v="12072.51"/>
    <s v="Completed"/>
    <s v="Pune"/>
  </r>
  <r>
    <s v="ORD-01343"/>
    <d v="2024-09-29T00:00:00"/>
    <s v="CUST-0142"/>
    <s v="PROD-060"/>
    <x v="25"/>
    <n v="7"/>
    <n v="190"/>
    <n v="11.6"/>
    <n v="1175.72"/>
    <s v="Completed"/>
    <s v="Chennai"/>
  </r>
  <r>
    <s v="ORD-01344"/>
    <d v="2024-05-25T00:00:00"/>
    <s v="CUST-0293"/>
    <s v="PROD-012"/>
    <x v="29"/>
    <n v="5"/>
    <n v="3160"/>
    <n v="24.1"/>
    <n v="11992.2"/>
    <s v="Completed"/>
    <s v="Bengaluru"/>
  </r>
  <r>
    <s v="ORD-01345"/>
    <d v="2024-04-13T00:00:00"/>
    <s v="CUST-0025"/>
    <s v="PROD-035"/>
    <x v="12"/>
    <n v="1"/>
    <n v="1090"/>
    <n v="9.6"/>
    <n v="985.36"/>
    <s v="Refunded"/>
    <s v="Bengaluru"/>
  </r>
  <r>
    <s v="ORD-01346"/>
    <d v="2024-06-04T00:00:00"/>
    <s v="CUST-0096"/>
    <s v="PROD-032"/>
    <x v="10"/>
    <n v="9"/>
    <n v="370"/>
    <n v="4"/>
    <n v="3196.8"/>
    <s v="Completed"/>
    <s v="Delhi"/>
  </r>
  <r>
    <s v="ORD-01347"/>
    <d v="2024-01-09T00:00:00"/>
    <s v="CUST-0069"/>
    <s v="PROD-008"/>
    <x v="25"/>
    <n v="5"/>
    <n v="2660"/>
    <n v="24.6"/>
    <n v="10028.200000000001"/>
    <s v="Cancelled"/>
    <s v="Chennai"/>
  </r>
  <r>
    <s v="ORD-01348"/>
    <d v="2024-02-05T00:00:00"/>
    <s v="CUST-0220"/>
    <s v="PROD-018"/>
    <x v="26"/>
    <n v="4"/>
    <n v="3560"/>
    <n v="25.7"/>
    <n v="10580.32"/>
    <s v="Completed"/>
    <s v="Chennai"/>
  </r>
  <r>
    <s v="ORD-01349"/>
    <d v="2024-04-28T00:00:00"/>
    <s v="CUST-0005"/>
    <s v="PROD-049"/>
    <x v="1"/>
    <n v="8"/>
    <n v="960"/>
    <n v="0.1"/>
    <n v="7672.32"/>
    <s v="Completed"/>
    <s v="Chennai"/>
  </r>
  <r>
    <s v="ORD-01350"/>
    <d v="2024-12-18T00:00:00"/>
    <s v="CUST-0222"/>
    <s v="PROD-032"/>
    <x v="6"/>
    <n v="10"/>
    <n v="370"/>
    <n v="16.399999999999999"/>
    <n v="3093.2"/>
    <s v="Cancelled"/>
    <s v="Chennai"/>
  </r>
  <r>
    <s v="ORD-01351"/>
    <d v="2024-04-17T00:00:00"/>
    <s v="CUST-0039"/>
    <s v="PROD-015"/>
    <x v="20"/>
    <n v="4"/>
    <n v="2720"/>
    <n v="3.1"/>
    <n v="10542.72"/>
    <s v="Completed"/>
    <s v="Bengaluru"/>
  </r>
  <r>
    <s v="ORD-01352"/>
    <d v="2024-05-29T00:00:00"/>
    <s v="CUST-0224"/>
    <s v="PROD-034"/>
    <x v="1"/>
    <n v="10"/>
    <n v="5080"/>
    <n v="6.8"/>
    <n v="47345.599999999999"/>
    <s v="Completed"/>
    <s v="Chennai"/>
  </r>
  <r>
    <s v="ORD-01353"/>
    <d v="2024-03-28T00:00:00"/>
    <s v="CUST-0288"/>
    <s v="PROD-042"/>
    <x v="4"/>
    <n v="6"/>
    <n v="2290"/>
    <n v="22.6"/>
    <n v="10634.76"/>
    <s v="Completed"/>
    <s v="Hyderabad"/>
  </r>
  <r>
    <s v="ORD-01354"/>
    <d v="2024-07-29T00:00:00"/>
    <s v="CUST-0002"/>
    <s v="PROD-021"/>
    <x v="3"/>
    <n v="4"/>
    <n v="2760"/>
    <n v="27.2"/>
    <n v="8037.12"/>
    <s v="Refunded"/>
    <s v="Pune"/>
  </r>
  <r>
    <s v="ORD-01355"/>
    <d v="2024-06-23T00:00:00"/>
    <s v="CUST-0172"/>
    <s v="PROD-024"/>
    <x v="28"/>
    <n v="9"/>
    <n v="2270"/>
    <n v="5.2"/>
    <n v="19367.64"/>
    <s v="Completed"/>
    <s v="Pune"/>
  </r>
  <r>
    <s v="ORD-01356"/>
    <d v="2024-07-27T00:00:00"/>
    <s v="CUST-0287"/>
    <s v="PROD-017"/>
    <x v="4"/>
    <n v="3"/>
    <n v="2510"/>
    <n v="16.399999999999999"/>
    <n v="6295.08"/>
    <s v="Completed"/>
    <s v="Chennai"/>
  </r>
  <r>
    <s v="ORD-01357"/>
    <d v="2024-02-15T00:00:00"/>
    <s v="CUST-0020"/>
    <s v="PROD-023"/>
    <x v="27"/>
    <n v="1"/>
    <n v="2380"/>
    <n v="23.5"/>
    <n v="1820.7"/>
    <s v="Completed"/>
    <s v="Hyderabad"/>
  </r>
  <r>
    <s v="ORD-01358"/>
    <d v="2024-06-04T00:00:00"/>
    <s v="CUST-0039"/>
    <s v="PROD-059"/>
    <x v="7"/>
    <n v="2"/>
    <n v="3780"/>
    <n v="29.1"/>
    <n v="5360.04"/>
    <s v="Completed"/>
    <s v="Bengaluru"/>
  </r>
  <r>
    <s v="ORD-01359"/>
    <d v="2024-09-11T00:00:00"/>
    <s v="CUST-0128"/>
    <s v="PROD-011"/>
    <x v="17"/>
    <n v="1"/>
    <n v="3450"/>
    <n v="17.8"/>
    <n v="2835.9"/>
    <s v="Completed"/>
    <s v="Hyderabad"/>
  </r>
  <r>
    <s v="ORD-01360"/>
    <d v="2024-06-08T00:00:00"/>
    <s v="CUST-0149"/>
    <s v="PROD-046"/>
    <x v="3"/>
    <n v="6"/>
    <n v="4880"/>
    <n v="15.6"/>
    <n v="24712.32"/>
    <s v="Pending"/>
    <s v="Hyderabad"/>
  </r>
  <r>
    <s v="ORD-01361"/>
    <d v="2024-05-15T00:00:00"/>
    <s v="CUST-0101"/>
    <s v="PROD-049"/>
    <x v="29"/>
    <n v="6"/>
    <n v="960"/>
    <n v="7.5"/>
    <n v="5328"/>
    <s v="Pending"/>
    <s v="Hyderabad"/>
  </r>
  <r>
    <s v="ORD-01362"/>
    <d v="2024-08-28T00:00:00"/>
    <s v="CUST-0106"/>
    <s v="PROD-018"/>
    <x v="12"/>
    <n v="1"/>
    <n v="3560"/>
    <n v="12.9"/>
    <n v="3100.76"/>
    <s v="Completed"/>
    <s v="Pune"/>
  </r>
  <r>
    <s v="ORD-01363"/>
    <d v="2024-06-23T00:00:00"/>
    <s v="CUST-0085"/>
    <s v="PROD-025"/>
    <x v="1"/>
    <n v="5"/>
    <n v="4060"/>
    <n v="18.100000000000001"/>
    <n v="16625.7"/>
    <s v="Pending"/>
    <s v="Chennai"/>
  </r>
  <r>
    <s v="ORD-01364"/>
    <d v="2024-09-10T00:00:00"/>
    <s v="CUST-0071"/>
    <s v="PROD-015"/>
    <x v="16"/>
    <n v="10"/>
    <n v="2720"/>
    <n v="23.2"/>
    <n v="20889.599999999999"/>
    <s v="Completed"/>
    <s v="Delhi"/>
  </r>
  <r>
    <s v="ORD-01365"/>
    <d v="2024-09-12T00:00:00"/>
    <s v="CUST-0185"/>
    <s v="PROD-029"/>
    <x v="24"/>
    <n v="1"/>
    <n v="2210"/>
    <n v="5.8"/>
    <n v="2081.8200000000002"/>
    <s v="Pending"/>
    <s v="Hyderabad"/>
  </r>
  <r>
    <s v="ORD-01366"/>
    <d v="2024-09-12T00:00:00"/>
    <s v="CUST-0182"/>
    <s v="PROD-047"/>
    <x v="22"/>
    <n v="5"/>
    <n v="3450"/>
    <n v="27.9"/>
    <n v="12437.25"/>
    <s v="Pending"/>
    <s v="Mumbai"/>
  </r>
  <r>
    <s v="ORD-01367"/>
    <d v="2024-09-15T00:00:00"/>
    <s v="CUST-0177"/>
    <s v="PROD-023"/>
    <x v="12"/>
    <n v="9"/>
    <n v="2380"/>
    <n v="15.2"/>
    <n v="18164.16"/>
    <s v="Refunded"/>
    <s v="Mumbai"/>
  </r>
  <r>
    <s v="ORD-01368"/>
    <d v="2024-09-16T00:00:00"/>
    <s v="CUST-0253"/>
    <s v="PROD-023"/>
    <x v="25"/>
    <n v="2"/>
    <n v="2380"/>
    <n v="24.3"/>
    <n v="3603.32"/>
    <s v="Completed"/>
    <s v="Delhi"/>
  </r>
  <r>
    <s v="ORD-01369"/>
    <d v="2024-09-25T00:00:00"/>
    <s v="CUST-0071"/>
    <s v="PROD-018"/>
    <x v="27"/>
    <n v="9"/>
    <n v="3560"/>
    <n v="6.6"/>
    <n v="29925.360000000001"/>
    <s v="Refunded"/>
    <s v="Delhi"/>
  </r>
  <r>
    <s v="ORD-01370"/>
    <d v="2024-02-08T00:00:00"/>
    <s v="CUST-0240"/>
    <s v="PROD-009"/>
    <x v="26"/>
    <n v="7"/>
    <n v="1220"/>
    <n v="29.4"/>
    <n v="6029.24"/>
    <s v="Completed"/>
    <s v="Chennai"/>
  </r>
  <r>
    <s v="ORD-01371"/>
    <d v="2024-09-25T00:00:00"/>
    <s v="CUST-0050"/>
    <s v="PROD-056"/>
    <x v="21"/>
    <n v="7"/>
    <n v="6940"/>
    <n v="9.6"/>
    <n v="43916.32"/>
    <s v="Completed"/>
    <s v="Mumbai"/>
  </r>
  <r>
    <s v="ORD-01372"/>
    <d v="2024-04-13T00:00:00"/>
    <s v="CUST-0089"/>
    <s v="PROD-035"/>
    <x v="24"/>
    <n v="2"/>
    <n v="1090"/>
    <n v="17"/>
    <n v="1809.4"/>
    <s v="Completed"/>
    <s v="Mumbai"/>
  </r>
  <r>
    <s v="ORD-01373"/>
    <d v="2024-07-13T00:00:00"/>
    <s v="CUST-0209"/>
    <s v="PROD-023"/>
    <x v="8"/>
    <n v="4"/>
    <n v="2380"/>
    <n v="18.899999999999999"/>
    <n v="7720.72"/>
    <s v="Pending"/>
    <s v="Pune"/>
  </r>
  <r>
    <s v="ORD-01374"/>
    <d v="2024-10-13T00:00:00"/>
    <s v="CUST-0089"/>
    <s v="PROD-024"/>
    <x v="10"/>
    <n v="6"/>
    <n v="2270"/>
    <n v="20.9"/>
    <n v="10773.42"/>
    <s v="Pending"/>
    <s v="Mumbai"/>
  </r>
  <r>
    <s v="ORD-01375"/>
    <d v="2024-10-16T00:00:00"/>
    <s v="CUST-0093"/>
    <s v="PROD-033"/>
    <x v="7"/>
    <n v="10"/>
    <n v="2030"/>
    <n v="25"/>
    <n v="15225"/>
    <s v="Completed"/>
    <s v="Pune"/>
  </r>
  <r>
    <s v="ORD-01376"/>
    <d v="2024-08-04T00:00:00"/>
    <s v="CUST-0018"/>
    <s v="PROD-035"/>
    <x v="28"/>
    <n v="3"/>
    <n v="1090"/>
    <n v="12.1"/>
    <n v="2874.33"/>
    <s v="Completed"/>
    <s v="Pune"/>
  </r>
  <r>
    <s v="ORD-01377"/>
    <d v="2024-01-12T00:00:00"/>
    <s v="CUST-0089"/>
    <s v="PROD-017"/>
    <x v="21"/>
    <n v="3"/>
    <n v="2510"/>
    <n v="28.7"/>
    <n v="5368.89"/>
    <s v="Completed"/>
    <s v="Mumbai"/>
  </r>
  <r>
    <s v="ORD-01378"/>
    <d v="2024-04-30T00:00:00"/>
    <s v="CUST-0116"/>
    <s v="PROD-024"/>
    <x v="17"/>
    <n v="9"/>
    <n v="2270"/>
    <n v="25.4"/>
    <n v="15240.78"/>
    <s v="Pending"/>
    <s v="Bengaluru"/>
  </r>
  <r>
    <s v="ORD-01379"/>
    <d v="2024-04-18T00:00:00"/>
    <s v="CUST-0071"/>
    <s v="PROD-006"/>
    <x v="20"/>
    <n v="9"/>
    <n v="3970"/>
    <n v="10.1"/>
    <n v="32121.27"/>
    <s v="Cancelled"/>
    <s v="Delhi"/>
  </r>
  <r>
    <s v="ORD-01380"/>
    <d v="2024-10-05T00:00:00"/>
    <s v="CUST-0115"/>
    <s v="PROD-029"/>
    <x v="2"/>
    <n v="6"/>
    <n v="2210"/>
    <n v="7.4"/>
    <n v="12278.76"/>
    <s v="Completed"/>
    <s v="Mumbai"/>
  </r>
  <r>
    <s v="ORD-01381"/>
    <d v="2024-03-09T00:00:00"/>
    <s v="CUST-0258"/>
    <s v="PROD-041"/>
    <x v="21"/>
    <n v="7"/>
    <n v="1540"/>
    <n v="20.6"/>
    <n v="8559.32"/>
    <s v="Completed"/>
    <s v="Pune"/>
  </r>
  <r>
    <s v="ORD-01382"/>
    <d v="2024-02-12T00:00:00"/>
    <s v="CUST-0290"/>
    <s v="PROD-039"/>
    <x v="28"/>
    <n v="9"/>
    <n v="4610"/>
    <n v="2.1"/>
    <n v="40618.71"/>
    <s v="Completed"/>
    <s v="Delhi"/>
  </r>
  <r>
    <s v="ORD-01383"/>
    <d v="2024-08-23T00:00:00"/>
    <s v="CUST-0279"/>
    <s v="PROD-006"/>
    <x v="25"/>
    <n v="10"/>
    <n v="3970"/>
    <n v="13.3"/>
    <n v="34419.9"/>
    <s v="Pending"/>
    <s v="Mumbai"/>
  </r>
  <r>
    <s v="ORD-01384"/>
    <d v="2024-08-30T00:00:00"/>
    <s v="CUST-0132"/>
    <s v="PROD-008"/>
    <x v="4"/>
    <n v="8"/>
    <n v="2660"/>
    <n v="16.8"/>
    <n v="17704.96"/>
    <s v="Completed"/>
    <s v="Delhi"/>
  </r>
  <r>
    <s v="ORD-01385"/>
    <d v="2024-02-07T00:00:00"/>
    <s v="CUST-0029"/>
    <s v="PROD-047"/>
    <x v="13"/>
    <n v="6"/>
    <n v="3450"/>
    <n v="23.4"/>
    <n v="15856.2"/>
    <s v="Completed"/>
    <s v="Chennai"/>
  </r>
  <r>
    <s v="ORD-01386"/>
    <d v="2024-11-25T00:00:00"/>
    <s v="CUST-0295"/>
    <s v="PROD-053"/>
    <x v="0"/>
    <n v="10"/>
    <n v="470"/>
    <n v="21.2"/>
    <n v="3703.6"/>
    <s v="Completed"/>
    <s v="Delhi"/>
  </r>
  <r>
    <s v="ORD-00168"/>
    <d v="2024-02-12T00:00:00"/>
    <s v="CUST-0106"/>
    <s v="PROD-059"/>
    <x v="24"/>
    <n v="7"/>
    <n v="3780"/>
    <n v="10.1"/>
    <n v="23787.54"/>
    <s v="Completed"/>
    <s v="Pune"/>
  </r>
  <r>
    <s v="ORD-01388"/>
    <d v="2024-02-02T00:00:00"/>
    <s v="CUST-0127"/>
    <s v="PROD-014"/>
    <x v="28"/>
    <n v="3"/>
    <n v="3620"/>
    <n v="4.2"/>
    <n v="10403.879999999999"/>
    <s v="Completed"/>
    <s v="Bengaluru"/>
  </r>
  <r>
    <s v="ORD-01389"/>
    <d v="2024-09-06T00:00:00"/>
    <s v="CUST-0031"/>
    <s v="PROD-049"/>
    <x v="8"/>
    <n v="7"/>
    <n v="960"/>
    <n v="9"/>
    <n v="6115.2"/>
    <s v="Completed"/>
    <s v="Hyderabad"/>
  </r>
  <r>
    <s v="ORD-01390"/>
    <d v="2024-02-22T00:00:00"/>
    <s v="CUST-0256"/>
    <s v="PROD-043"/>
    <x v="0"/>
    <n v="10"/>
    <n v="3350"/>
    <n v="1.2"/>
    <n v="33098"/>
    <s v="Cancelled"/>
    <s v="Hyderabad"/>
  </r>
  <r>
    <s v="ORD-01391"/>
    <d v="2024-04-06T00:00:00"/>
    <s v="CUST-0131"/>
    <s v="PROD-058"/>
    <x v="14"/>
    <n v="3"/>
    <n v="2400"/>
    <n v="15.4"/>
    <n v="6091.2"/>
    <s v="Completed"/>
    <s v="Delhi"/>
  </r>
  <r>
    <s v="ORD-01392"/>
    <d v="2024-04-25T00:00:00"/>
    <s v="CUST-0270"/>
    <s v="PROD-055"/>
    <x v="25"/>
    <n v="2"/>
    <n v="2860"/>
    <n v="10.5"/>
    <n v="5119.3999999999996"/>
    <s v="Completed"/>
    <s v="Bengaluru"/>
  </r>
  <r>
    <s v="ORD-01393"/>
    <d v="2024-11-24T00:00:00"/>
    <s v="CUST-0212"/>
    <s v="PROD-042"/>
    <x v="4"/>
    <n v="4"/>
    <n v="2290"/>
    <n v="5.9"/>
    <n v="8619.56"/>
    <s v="Completed"/>
    <s v="Chennai"/>
  </r>
  <r>
    <s v="ORD-01394"/>
    <d v="2024-07-26T00:00:00"/>
    <s v="CUST-0216"/>
    <s v="PROD-001"/>
    <x v="12"/>
    <n v="7"/>
    <n v="5330"/>
    <n v="3.5"/>
    <n v="36004.15"/>
    <s v="Cancelled"/>
    <s v="Mumbai"/>
  </r>
  <r>
    <s v="ORD-01395"/>
    <d v="2024-10-20T00:00:00"/>
    <s v="CUST-0189"/>
    <s v="PROD-013"/>
    <x v="26"/>
    <n v="10"/>
    <n v="3640"/>
    <n v="20.100000000000001"/>
    <n v="29083.599999999999"/>
    <s v="Completed"/>
    <s v="Chennai"/>
  </r>
  <r>
    <s v="ORD-01396"/>
    <d v="2024-12-07T00:00:00"/>
    <s v="CUST-0064"/>
    <s v="PROD-034"/>
    <x v="6"/>
    <n v="10"/>
    <n v="5080"/>
    <n v="2.1"/>
    <n v="49733.2"/>
    <s v="Completed"/>
    <s v="Hyderabad"/>
  </r>
  <r>
    <s v="ORD-01397"/>
    <d v="2024-08-13T00:00:00"/>
    <s v="CUST-0016"/>
    <s v="PROD-035"/>
    <x v="26"/>
    <n v="4"/>
    <n v="1090"/>
    <n v="18.5"/>
    <n v="3553.4"/>
    <s v="Refunded"/>
    <s v="Delhi"/>
  </r>
  <r>
    <s v="ORD-01398"/>
    <d v="2024-12-19T00:00:00"/>
    <s v="CUST-0296"/>
    <s v="PROD-047"/>
    <x v="14"/>
    <n v="10"/>
    <n v="3450"/>
    <n v="26.5"/>
    <n v="25357.5"/>
    <s v="Refunded"/>
    <s v="Delhi"/>
  </r>
  <r>
    <s v="ORD-01399"/>
    <d v="2024-07-10T00:00:00"/>
    <s v="CUST-0031"/>
    <s v="PROD-052"/>
    <x v="18"/>
    <n v="9"/>
    <n v="5410"/>
    <n v="11.5"/>
    <n v="43090.65"/>
    <s v="Completed"/>
    <s v="Hyderabad"/>
  </r>
  <r>
    <s v="ORD-01400"/>
    <d v="2024-06-02T00:00:00"/>
    <s v="CUST-0207"/>
    <s v="PROD-011"/>
    <x v="14"/>
    <n v="9"/>
    <n v="3450"/>
    <n v="0.3"/>
    <n v="30956.85"/>
    <s v="Refunded"/>
    <s v="Hyderabad"/>
  </r>
  <r>
    <s v="ORD-01401"/>
    <d v="2024-11-18T00:00:00"/>
    <s v="CUST-0165"/>
    <s v="PROD-012"/>
    <x v="5"/>
    <n v="10"/>
    <n v="3160"/>
    <n v="13.6"/>
    <n v="27302.400000000001"/>
    <s v="Completed"/>
    <s v="Pune"/>
  </r>
  <r>
    <s v="ORD-01402"/>
    <d v="2024-05-21T00:00:00"/>
    <s v="CUST-0281"/>
    <s v="PROD-041"/>
    <x v="17"/>
    <n v="3"/>
    <n v="1540"/>
    <n v="21.2"/>
    <n v="3640.56"/>
    <s v="Completed"/>
    <s v="Bengaluru"/>
  </r>
  <r>
    <s v="ORD-01403"/>
    <d v="2024-04-20T00:00:00"/>
    <s v="CUST-0018"/>
    <s v="PROD-013"/>
    <x v="24"/>
    <n v="5"/>
    <n v="3640"/>
    <n v="17.5"/>
    <n v="15015"/>
    <s v="Completed"/>
    <s v="Pune"/>
  </r>
  <r>
    <s v="ORD-01404"/>
    <d v="2024-01-11T00:00:00"/>
    <s v="CUST-0204"/>
    <s v="PROD-059"/>
    <x v="25"/>
    <n v="4"/>
    <n v="3780"/>
    <n v="9"/>
    <n v="13759.2"/>
    <s v="Pending"/>
    <s v="Hyderabad"/>
  </r>
  <r>
    <s v="ORD-01405"/>
    <d v="2024-08-22T00:00:00"/>
    <s v="CUST-0028"/>
    <s v="PROD-015"/>
    <x v="5"/>
    <n v="9"/>
    <n v="2720"/>
    <n v="8.9"/>
    <n v="22301.279999999999"/>
    <s v="Completed"/>
    <s v="Bengaluru"/>
  </r>
  <r>
    <s v="ORD-01406"/>
    <d v="2024-12-22T00:00:00"/>
    <s v="CUST-0144"/>
    <s v="PROD-014"/>
    <x v="10"/>
    <n v="4"/>
    <n v="3620"/>
    <n v="8"/>
    <n v="13321.6"/>
    <s v="Pending"/>
    <s v="Chennai"/>
  </r>
  <r>
    <s v="ORD-01407"/>
    <d v="2024-02-03T00:00:00"/>
    <s v="CUST-0043"/>
    <s v="PROD-011"/>
    <x v="10"/>
    <n v="1"/>
    <n v="3450"/>
    <n v="0.2"/>
    <n v="3443.1"/>
    <s v="Completed"/>
    <s v="Hyderabad"/>
  </r>
  <r>
    <s v="ORD-01408"/>
    <d v="2024-12-14T00:00:00"/>
    <s v="CUST-0246"/>
    <s v="PROD-013"/>
    <x v="2"/>
    <n v="7"/>
    <n v="3640"/>
    <n v="4.5999999999999996"/>
    <n v="24307.919999999998"/>
    <s v="Completed"/>
    <s v="Delhi"/>
  </r>
  <r>
    <s v="ORD-01409"/>
    <d v="2024-05-11T00:00:00"/>
    <s v="CUST-0156"/>
    <s v="PROD-016"/>
    <x v="12"/>
    <n v="9"/>
    <n v="620"/>
    <n v="8.5"/>
    <n v="5105.7"/>
    <s v="Completed"/>
    <s v="Mumbai"/>
  </r>
  <r>
    <s v="ORD-01410"/>
    <d v="2024-05-11T00:00:00"/>
    <s v="CUST-0066"/>
    <s v="PROD-059"/>
    <x v="29"/>
    <n v="10"/>
    <n v="3780"/>
    <n v="5.8"/>
    <n v="35607.599999999999"/>
    <s v="Completed"/>
    <s v="Delhi"/>
  </r>
  <r>
    <s v="ORD-01411"/>
    <d v="2024-08-14T00:00:00"/>
    <s v="CUST-0121"/>
    <s v="PROD-003"/>
    <x v="18"/>
    <n v="7"/>
    <n v="3570"/>
    <n v="26.1"/>
    <n v="18467.61"/>
    <s v="Completed"/>
    <s v="Delhi"/>
  </r>
  <r>
    <s v="ORD-01412"/>
    <d v="2024-01-15T00:00:00"/>
    <s v="CUST-0066"/>
    <s v="PROD-044"/>
    <x v="25"/>
    <n v="2"/>
    <n v="1650"/>
    <n v="3.8"/>
    <n v="3174.6"/>
    <s v="Completed"/>
    <s v="Delhi"/>
  </r>
  <r>
    <s v="ORD-01413"/>
    <d v="2024-02-24T00:00:00"/>
    <s v="CUST-0099"/>
    <s v="PROD-049"/>
    <x v="27"/>
    <n v="2"/>
    <n v="960"/>
    <n v="6.8"/>
    <n v="1789.44"/>
    <s v="Completed"/>
    <s v="Bengaluru"/>
  </r>
  <r>
    <s v="ORD-01414"/>
    <d v="2024-03-25T00:00:00"/>
    <s v="CUST-0054"/>
    <s v="PROD-005"/>
    <x v="3"/>
    <n v="2"/>
    <n v="300"/>
    <n v="2.8"/>
    <n v="583.20000000000005"/>
    <s v="Completed"/>
    <s v="Mumbai"/>
  </r>
  <r>
    <s v="ORD-01415"/>
    <d v="2024-09-26T00:00:00"/>
    <s v="CUST-0124"/>
    <s v="PROD-025"/>
    <x v="28"/>
    <n v="10"/>
    <n v="4060"/>
    <n v="15.1"/>
    <n v="34469.4"/>
    <s v="Completed"/>
    <s v="Pune"/>
  </r>
  <r>
    <s v="ORD-01416"/>
    <d v="2024-01-29T00:00:00"/>
    <s v="CUST-0211"/>
    <s v="PROD-001"/>
    <x v="24"/>
    <n v="6"/>
    <n v="5330"/>
    <n v="2"/>
    <n v="31340.400000000001"/>
    <s v="Completed"/>
    <s v="Bengaluru"/>
  </r>
  <r>
    <s v="ORD-01417"/>
    <d v="2024-10-07T00:00:00"/>
    <s v="CUST-0298"/>
    <s v="PROD-031"/>
    <x v="13"/>
    <n v="9"/>
    <n v="3730"/>
    <n v="24.5"/>
    <n v="25345.35"/>
    <s v="Refunded"/>
    <s v="Delhi"/>
  </r>
  <r>
    <s v="ORD-01418"/>
    <d v="2024-11-15T00:00:00"/>
    <s v="CUST-0164"/>
    <s v="PROD-050"/>
    <x v="14"/>
    <n v="1"/>
    <n v="6080"/>
    <n v="4.4000000000000004"/>
    <n v="5812.48"/>
    <s v="Cancelled"/>
    <s v="Chennai"/>
  </r>
  <r>
    <s v="ORD-01419"/>
    <d v="2024-08-20T00:00:00"/>
    <s v="CUST-0003"/>
    <s v="PROD-015"/>
    <x v="5"/>
    <n v="5"/>
    <n v="2720"/>
    <n v="9.1999999999999993"/>
    <n v="12348.8"/>
    <s v="Completed"/>
    <s v="Mumbai"/>
  </r>
  <r>
    <s v="ORD-01420"/>
    <d v="2024-05-26T00:00:00"/>
    <s v="CUST-0239"/>
    <s v="PROD-011"/>
    <x v="12"/>
    <n v="1"/>
    <n v="3450"/>
    <n v="15.6"/>
    <n v="2911.8"/>
    <s v="Completed"/>
    <s v="Mumbai"/>
  </r>
  <r>
    <s v="ORD-01421"/>
    <d v="2024-07-11T00:00:00"/>
    <s v="CUST-0116"/>
    <s v="PROD-035"/>
    <x v="24"/>
    <n v="2"/>
    <n v="1090"/>
    <n v="0.4"/>
    <n v="2171.2800000000002"/>
    <s v="Refunded"/>
    <s v="Bengaluru"/>
  </r>
  <r>
    <s v="ORD-01422"/>
    <d v="2024-12-17T00:00:00"/>
    <s v="CUST-0232"/>
    <s v="PROD-003"/>
    <x v="21"/>
    <n v="2"/>
    <n v="3570"/>
    <n v="9"/>
    <n v="6497.4"/>
    <s v="Completed"/>
    <s v="Hyderabad"/>
  </r>
  <r>
    <s v="ORD-01423"/>
    <d v="2024-05-25T00:00:00"/>
    <s v="CUST-0121"/>
    <s v="PROD-019"/>
    <x v="2"/>
    <n v="9"/>
    <n v="2480"/>
    <n v="3.6"/>
    <n v="21516.48"/>
    <s v="Pending"/>
    <s v="Delhi"/>
  </r>
  <r>
    <s v="ORD-01424"/>
    <d v="2024-01-12T00:00:00"/>
    <s v="CUST-0178"/>
    <s v="PROD-027"/>
    <x v="24"/>
    <n v="9"/>
    <n v="3780"/>
    <n v="4.5"/>
    <n v="32489.1"/>
    <s v="Completed"/>
    <s v="Hyderabad"/>
  </r>
  <r>
    <s v="ORD-01425"/>
    <d v="2024-12-05T00:00:00"/>
    <s v="CUST-0131"/>
    <s v="PROD-025"/>
    <x v="9"/>
    <n v="5"/>
    <n v="4060"/>
    <n v="2.7"/>
    <n v="19751.900000000001"/>
    <s v="Completed"/>
    <s v="Delhi"/>
  </r>
  <r>
    <s v="ORD-01426"/>
    <d v="2024-09-29T00:00:00"/>
    <s v="CUST-0155"/>
    <s v="PROD-005"/>
    <x v="25"/>
    <n v="8"/>
    <n v="300"/>
    <n v="19.8"/>
    <n v="1924.8"/>
    <s v="Cancelled"/>
    <s v="Pune"/>
  </r>
  <r>
    <s v="ORD-01427"/>
    <d v="2024-06-11T00:00:00"/>
    <s v="CUST-0170"/>
    <s v="PROD-036"/>
    <x v="25"/>
    <n v="10"/>
    <n v="3250"/>
    <n v="21.3"/>
    <n v="25577.5"/>
    <s v="Cancelled"/>
    <s v="Mumbai"/>
  </r>
  <r>
    <s v="ORD-01428"/>
    <d v="2024-11-20T00:00:00"/>
    <s v="CUST-0180"/>
    <s v="PROD-055"/>
    <x v="18"/>
    <n v="2"/>
    <n v="2860"/>
    <n v="13.7"/>
    <n v="4936.3599999999997"/>
    <s v="Completed"/>
    <s v="Chennai"/>
  </r>
  <r>
    <s v="ORD-01429"/>
    <d v="2024-08-19T00:00:00"/>
    <s v="CUST-0066"/>
    <s v="PROD-009"/>
    <x v="21"/>
    <n v="10"/>
    <n v="1220"/>
    <n v="15.4"/>
    <n v="10321.200000000001"/>
    <s v="Completed"/>
    <s v="Delhi"/>
  </r>
  <r>
    <s v="ORD-01430"/>
    <d v="2024-05-27T00:00:00"/>
    <s v="CUST-0267"/>
    <s v="PROD-027"/>
    <x v="9"/>
    <n v="3"/>
    <n v="3780"/>
    <n v="1.9"/>
    <n v="11124.54"/>
    <s v="Completed"/>
    <s v="Hyderabad"/>
  </r>
  <r>
    <s v="ORD-01431"/>
    <d v="2024-10-14T00:00:00"/>
    <s v="CUST-0034"/>
    <s v="PROD-038"/>
    <x v="26"/>
    <n v="6"/>
    <n v="5490"/>
    <n v="0.5"/>
    <n v="32775.300000000003"/>
    <s v="Pending"/>
    <s v="Delhi"/>
  </r>
  <r>
    <s v="ORD-01432"/>
    <d v="2024-07-22T00:00:00"/>
    <s v="CUST-0029"/>
    <s v="PROD-022"/>
    <x v="20"/>
    <n v="6"/>
    <n v="2270"/>
    <n v="21.5"/>
    <n v="10691.7"/>
    <s v="Completed"/>
    <s v="Chennai"/>
  </r>
  <r>
    <s v="ORD-01433"/>
    <d v="2024-11-04T00:00:00"/>
    <s v="CUST-0224"/>
    <s v="PROD-029"/>
    <x v="12"/>
    <n v="7"/>
    <n v="2210"/>
    <n v="10.3"/>
    <n v="13876.59"/>
    <s v="Completed"/>
    <s v="Chennai"/>
  </r>
  <r>
    <s v="ORD-01434"/>
    <d v="2024-11-09T00:00:00"/>
    <s v="CUST-9889"/>
    <s v="PROD-035"/>
    <x v="18"/>
    <n v="8"/>
    <n v="1090"/>
    <n v="21.7"/>
    <n v="6827.76"/>
    <s v="Completed"/>
    <s v="Pune"/>
  </r>
  <r>
    <s v="ORD-01435"/>
    <d v="2024-11-02T00:00:00"/>
    <s v="CUST-0130"/>
    <s v="PROD-018"/>
    <x v="25"/>
    <n v="5"/>
    <n v="3560"/>
    <n v="19.399999999999999"/>
    <n v="14346.8"/>
    <s v="Pending"/>
    <s v="Bengaluru"/>
  </r>
  <r>
    <s v="ORD-01436"/>
    <d v="2024-06-09T00:00:00"/>
    <s v="CUST-0060"/>
    <s v="PROD-054"/>
    <x v="8"/>
    <n v="7"/>
    <n v="1010"/>
    <n v="28.2"/>
    <n v="5076.26"/>
    <s v="Completed"/>
    <s v="Pune"/>
  </r>
  <r>
    <s v="ORD-01437"/>
    <d v="2024-06-27T00:00:00"/>
    <s v="CUST-0299"/>
    <s v="PROD-033"/>
    <x v="15"/>
    <n v="2"/>
    <n v="2030"/>
    <n v="27.3"/>
    <n v="2951.62"/>
    <s v="Refunded"/>
    <s v="Mumbai"/>
  </r>
  <r>
    <s v="ORD-01438"/>
    <d v="2024-02-28T00:00:00"/>
    <s v="CUST-0013"/>
    <s v="PROD-001"/>
    <x v="27"/>
    <n v="6"/>
    <n v="5330"/>
    <n v="0.6"/>
    <n v="31788.12"/>
    <s v="Completed"/>
    <s v="Delhi"/>
  </r>
  <r>
    <s v="ORD-01439"/>
    <d v="2024-08-10T00:00:00"/>
    <s v="CUST-0193"/>
    <s v="PROD-010"/>
    <x v="0"/>
    <n v="2"/>
    <n v="2640"/>
    <n v="26"/>
    <n v="3907.2"/>
    <s v="Pending"/>
    <s v="Bengaluru"/>
  </r>
  <r>
    <s v="ORD-01440"/>
    <d v="2024-06-04T00:00:00"/>
    <s v="CUST-0170"/>
    <s v="PROD-008"/>
    <x v="27"/>
    <n v="8"/>
    <n v="2660"/>
    <n v="2.9"/>
    <n v="20662.88"/>
    <s v="Completed"/>
    <s v="Mumbai"/>
  </r>
  <r>
    <s v="ORD-01441"/>
    <d v="2024-04-08T00:00:00"/>
    <s v="CUST-0063"/>
    <s v="PROD-036"/>
    <x v="12"/>
    <n v="6"/>
    <n v="3250"/>
    <n v="11.1"/>
    <n v="17335.5"/>
    <s v="Completed"/>
    <s v="Mumbai"/>
  </r>
  <r>
    <s v="ORD-01442"/>
    <d v="2024-01-16T00:00:00"/>
    <s v="CUST-0168"/>
    <s v="PROD-029"/>
    <x v="10"/>
    <n v="1"/>
    <n v="2210"/>
    <n v="3.5"/>
    <n v="2132.65"/>
    <s v="Completed"/>
    <s v="Pune"/>
  </r>
  <r>
    <s v="ORD-01443"/>
    <d v="2024-05-20T00:00:00"/>
    <s v="CUST-0124"/>
    <s v="PROD-032"/>
    <x v="7"/>
    <n v="9"/>
    <n v="370"/>
    <n v="12.4"/>
    <n v="2917.08"/>
    <s v="Completed"/>
    <s v="Pune"/>
  </r>
  <r>
    <s v="ORD-01444"/>
    <d v="2024-06-10T00:00:00"/>
    <s v="CUST-0138"/>
    <s v="PROD-059"/>
    <x v="24"/>
    <n v="3"/>
    <n v="3780"/>
    <n v="8.5"/>
    <n v="10376.1"/>
    <s v="Pending"/>
    <s v="Chennai"/>
  </r>
  <r>
    <s v="ORD-01445"/>
    <d v="2024-04-15T00:00:00"/>
    <s v="CUST-0146"/>
    <s v="PROD-054"/>
    <x v="25"/>
    <n v="2"/>
    <n v="1010"/>
    <n v="2.7"/>
    <n v="1965.46"/>
    <s v="Completed"/>
    <s v="Hyderabad"/>
  </r>
  <r>
    <s v="ORD-01446"/>
    <d v="2024-12-13T00:00:00"/>
    <s v="CUST-0244"/>
    <s v="PROD-020"/>
    <x v="27"/>
    <n v="2"/>
    <n v="820"/>
    <n v="13.2"/>
    <n v="1423.52"/>
    <s v="Pending"/>
    <s v="Bengaluru"/>
  </r>
  <r>
    <s v="ORD-01447"/>
    <d v="2024-07-09T00:00:00"/>
    <s v="CUST-0291"/>
    <s v="PROD-028"/>
    <x v="27"/>
    <n v="1"/>
    <n v="3660"/>
    <n v="14"/>
    <n v="3147.6"/>
    <s v="Refunded"/>
    <s v="Pune"/>
  </r>
  <r>
    <s v="ORD-01448"/>
    <d v="2024-06-04T00:00:00"/>
    <s v="CUST-0222"/>
    <s v="PROD-022"/>
    <x v="21"/>
    <n v="6"/>
    <n v="2270"/>
    <n v="16"/>
    <n v="11440.8"/>
    <s v="Completed"/>
    <s v="Chennai"/>
  </r>
  <r>
    <s v="ORD-01449"/>
    <d v="2024-11-02T00:00:00"/>
    <s v="CUST-0137"/>
    <s v="PROD-049"/>
    <x v="7"/>
    <n v="7"/>
    <n v="960"/>
    <n v="28.8"/>
    <n v="4784.6400000000003"/>
    <s v="Refunded"/>
    <s v="Mumbai"/>
  </r>
  <r>
    <s v="ORD-01450"/>
    <d v="2024-12-19T00:00:00"/>
    <s v="CUST-0150"/>
    <s v="PROD-033"/>
    <x v="5"/>
    <n v="9"/>
    <n v="2030"/>
    <n v="3.4"/>
    <n v="17648.82"/>
    <s v="Completed"/>
    <s v="Pune"/>
  </r>
  <r>
    <s v="ORD-01451"/>
    <d v="2024-01-08T00:00:00"/>
    <s v="CUST-0058"/>
    <s v="PROD-023"/>
    <x v="1"/>
    <n v="6"/>
    <n v="2380"/>
    <n v="13.2"/>
    <n v="12395.04"/>
    <s v="Completed"/>
    <s v="Bengaluru"/>
  </r>
  <r>
    <s v="ORD-01452"/>
    <d v="2024-01-17T00:00:00"/>
    <s v="CUST-0187"/>
    <s v="PROD-047"/>
    <x v="18"/>
    <n v="10"/>
    <n v="3450"/>
    <n v="8.6999999999999993"/>
    <n v="31498.5"/>
    <s v="Completed"/>
    <s v="Chennai"/>
  </r>
  <r>
    <s v="ORD-01453"/>
    <d v="2024-07-14T00:00:00"/>
    <s v="CUST-0116"/>
    <s v="PROD-049"/>
    <x v="13"/>
    <n v="6"/>
    <n v="960"/>
    <n v="20.6"/>
    <n v="4573.4399999999996"/>
    <s v="Pending"/>
    <s v="Bengaluru"/>
  </r>
  <r>
    <s v="ORD-01454"/>
    <d v="2024-02-19T00:00:00"/>
    <s v="CUST-0290"/>
    <s v="PROD-018"/>
    <x v="22"/>
    <n v="10"/>
    <n v="3560"/>
    <n v="1.4"/>
    <n v="35101.599999999999"/>
    <s v="Pending"/>
    <s v="Delhi"/>
  </r>
  <r>
    <s v="ORD-01455"/>
    <d v="2024-03-03T00:00:00"/>
    <s v="CUST-0053"/>
    <s v="PROD-015"/>
    <x v="2"/>
    <n v="4"/>
    <n v="2720"/>
    <n v="19.399999999999999"/>
    <n v="8769.2800000000007"/>
    <s v="Refunded"/>
    <s v="Delhi"/>
  </r>
  <r>
    <s v="ORD-01456"/>
    <d v="2024-06-15T00:00:00"/>
    <s v="CUST-0044"/>
    <s v="PROD-009"/>
    <x v="20"/>
    <n v="5"/>
    <n v="1220"/>
    <n v="15.6"/>
    <n v="5148.3999999999996"/>
    <s v="Completed"/>
    <s v="Hyderabad"/>
  </r>
  <r>
    <s v="ORD-01457"/>
    <d v="2024-03-13T00:00:00"/>
    <s v="CUST-0267"/>
    <s v="PROD-035"/>
    <x v="17"/>
    <n v="5"/>
    <n v="1090"/>
    <n v="15"/>
    <n v="4632.5"/>
    <s v="Completed"/>
    <s v="Hyderabad"/>
  </r>
  <r>
    <s v="ORD-01458"/>
    <d v="2024-11-22T00:00:00"/>
    <s v="CUST-0179"/>
    <s v="PROD-032"/>
    <x v="20"/>
    <n v="9"/>
    <n v="370"/>
    <n v="25.4"/>
    <n v="2484.1799999999998"/>
    <s v="Completed"/>
    <s v="Mumbai"/>
  </r>
  <r>
    <s v="ORD-01459"/>
    <d v="2024-06-13T00:00:00"/>
    <s v="CUST-0089"/>
    <s v="PROD-055"/>
    <x v="0"/>
    <n v="7"/>
    <n v="2860"/>
    <n v="14"/>
    <n v="17217.2"/>
    <s v="Completed"/>
    <s v="Mumbai"/>
  </r>
  <r>
    <s v="ORD-01460"/>
    <d v="2024-07-17T00:00:00"/>
    <s v="CUST-0090"/>
    <s v="PROD-029"/>
    <x v="17"/>
    <n v="1"/>
    <n v="2210"/>
    <n v="1.7"/>
    <n v="2172.4299999999998"/>
    <s v="Completed"/>
    <s v="Bengaluru"/>
  </r>
  <r>
    <s v="ORD-01461"/>
    <d v="2024-10-19T00:00:00"/>
    <s v="CUST-0135"/>
    <s v="PROD-030"/>
    <x v="5"/>
    <n v="3"/>
    <n v="970"/>
    <n v="20.3"/>
    <n v="2319.27"/>
    <s v="Pending"/>
    <s v="Pune"/>
  </r>
  <r>
    <s v="ORD-01462"/>
    <d v="2024-07-03T00:00:00"/>
    <s v="CUST-0252"/>
    <s v="PROD-018"/>
    <x v="13"/>
    <n v="5"/>
    <n v="3560"/>
    <n v="17.100000000000001"/>
    <n v="14756.2"/>
    <s v="Completed"/>
    <s v="Bengaluru"/>
  </r>
  <r>
    <s v="ORD-01463"/>
    <d v="2024-04-05T00:00:00"/>
    <s v="CUST-0086"/>
    <s v="PROD-040"/>
    <x v="12"/>
    <n v="10"/>
    <n v="1080"/>
    <n v="12.8"/>
    <n v="9417.6"/>
    <s v="Completed"/>
    <s v="Hyderabad"/>
  </r>
  <r>
    <s v="ORD-01464"/>
    <d v="2024-02-02T00:00:00"/>
    <s v="CUST-0264"/>
    <s v="PROD-009"/>
    <x v="23"/>
    <n v="3"/>
    <n v="1220"/>
    <n v="1.9"/>
    <n v="3590.46"/>
    <s v="Completed"/>
    <s v="Pune"/>
  </r>
  <r>
    <s v="ORD-01465"/>
    <d v="2024-07-06T00:00:00"/>
    <s v="CUST-9851"/>
    <s v="PROD-031"/>
    <x v="18"/>
    <n v="1"/>
    <n v="3730"/>
    <n v="14.7"/>
    <n v="3181.69"/>
    <s v="Pending"/>
    <s v="Pune"/>
  </r>
  <r>
    <s v="ORD-01466"/>
    <d v="2024-12-02T00:00:00"/>
    <s v="CUST-0143"/>
    <s v="PROD-007"/>
    <x v="19"/>
    <n v="3"/>
    <n v="1430"/>
    <n v="13.2"/>
    <n v="3723.72"/>
    <s v="Completed"/>
    <s v="Chennai"/>
  </r>
  <r>
    <s v="ORD-01467"/>
    <d v="2024-05-01T00:00:00"/>
    <s v="CUST-0086"/>
    <s v="PROD-050"/>
    <x v="26"/>
    <n v="2"/>
    <n v="6080"/>
    <n v="21.8"/>
    <n v="9509.1200000000008"/>
    <s v="Cancelled"/>
    <s v="Hyderabad"/>
  </r>
  <r>
    <s v="ORD-01468"/>
    <d v="2024-02-21T00:00:00"/>
    <s v="CUST-0196"/>
    <s v="PROD-048"/>
    <x v="15"/>
    <n v="9"/>
    <n v="5100"/>
    <n v="29.3"/>
    <n v="32451.3"/>
    <s v="Completed"/>
    <s v="Chennai"/>
  </r>
  <r>
    <s v="ORD-01469"/>
    <d v="2024-05-12T00:00:00"/>
    <s v="CUST-0089"/>
    <s v="PROD-011"/>
    <x v="2"/>
    <n v="5"/>
    <n v="3450"/>
    <n v="5.3"/>
    <n v="16335.75"/>
    <s v="Completed"/>
    <s v="Mumbai"/>
  </r>
  <r>
    <s v="ORD-01470"/>
    <d v="2024-12-06T00:00:00"/>
    <s v="CUST-0149"/>
    <s v="PROD-003"/>
    <x v="25"/>
    <n v="6"/>
    <n v="3570"/>
    <n v="17.3"/>
    <n v="17714.34"/>
    <s v="Completed"/>
    <s v="Hyderabad"/>
  </r>
  <r>
    <s v="ORD-01471"/>
    <d v="2024-06-01T00:00:00"/>
    <s v="CUST-0161"/>
    <s v="PROD-031"/>
    <x v="26"/>
    <n v="6"/>
    <n v="3730"/>
    <n v="1"/>
    <n v="22156.2"/>
    <s v="Completed"/>
    <s v="Chennai"/>
  </r>
  <r>
    <s v="ORD-01472"/>
    <d v="2024-09-10T00:00:00"/>
    <s v="CUST-0022"/>
    <s v="PROD-059"/>
    <x v="7"/>
    <n v="4"/>
    <n v="3780"/>
    <n v="13.1"/>
    <n v="13139.28"/>
    <s v="Completed"/>
    <s v="Bengaluru"/>
  </r>
  <r>
    <s v="ORD-01473"/>
    <d v="2024-08-07T00:00:00"/>
    <s v="CUST-0169"/>
    <s v="PROD-017"/>
    <x v="23"/>
    <n v="1"/>
    <n v="2510"/>
    <n v="27.8"/>
    <n v="1812.22"/>
    <s v="Cancelled"/>
    <s v="Bengaluru"/>
  </r>
  <r>
    <s v="ORD-01474"/>
    <d v="2024-10-12T00:00:00"/>
    <s v="CUST-0290"/>
    <s v="PROD-037"/>
    <x v="0"/>
    <n v="9"/>
    <n v="660"/>
    <n v="29.3"/>
    <n v="4199.58"/>
    <s v="Completed"/>
    <s v="Delhi"/>
  </r>
  <r>
    <s v="ORD-01475"/>
    <d v="2024-08-03T00:00:00"/>
    <s v="CUST-0156"/>
    <s v="PROD-013"/>
    <x v="14"/>
    <n v="7"/>
    <n v="3640"/>
    <n v="11.6"/>
    <n v="22524.32"/>
    <s v="Completed"/>
    <s v="Mumbai"/>
  </r>
  <r>
    <s v="ORD-01476"/>
    <d v="2024-05-03T00:00:00"/>
    <s v="CUST-0005"/>
    <s v="PROD-052"/>
    <x v="7"/>
    <n v="8"/>
    <n v="5410"/>
    <n v="25.6"/>
    <n v="32200.32"/>
    <s v="Completed"/>
    <s v="Chennai"/>
  </r>
  <r>
    <s v="ORD-01477"/>
    <d v="2024-02-20T00:00:00"/>
    <s v="CUST-0206"/>
    <s v="PROD-058"/>
    <x v="4"/>
    <n v="4"/>
    <n v="2400"/>
    <n v="10.4"/>
    <n v="8601.6"/>
    <s v="Completed"/>
    <s v="Mumbai"/>
  </r>
  <r>
    <s v="ORD-01478"/>
    <d v="2024-02-11T00:00:00"/>
    <s v="CUST-0240"/>
    <s v="PROD-038"/>
    <x v="8"/>
    <n v="2"/>
    <n v="5490"/>
    <n v="5.4"/>
    <n v="10387.08"/>
    <s v="Completed"/>
    <s v="Chennai"/>
  </r>
  <r>
    <s v="ORD-01479"/>
    <d v="2024-08-12T00:00:00"/>
    <s v="CUST-0109"/>
    <s v="PROD-041"/>
    <x v="29"/>
    <n v="6"/>
    <n v="1540"/>
    <n v="0.6"/>
    <n v="9184.56"/>
    <s v="Completed"/>
    <s v="Pune"/>
  </r>
  <r>
    <s v="ORD-01480"/>
    <d v="2024-02-21T00:00:00"/>
    <s v="CUST-0201"/>
    <s v="PROD-001"/>
    <x v="19"/>
    <n v="3"/>
    <n v="5330"/>
    <n v="1"/>
    <n v="15830.1"/>
    <s v="Pending"/>
    <s v="Hyderabad"/>
  </r>
  <r>
    <s v="ORD-01481"/>
    <d v="2024-08-18T00:00:00"/>
    <s v="CUST-0100"/>
    <s v="PROD-055"/>
    <x v="27"/>
    <n v="6"/>
    <n v="2860"/>
    <n v="13.3"/>
    <n v="14877.72"/>
    <s v="Completed"/>
    <s v="Hyderabad"/>
  </r>
  <r>
    <s v="ORD-01482"/>
    <d v="2024-01-14T00:00:00"/>
    <s v="CUST-0262"/>
    <s v="PROD-046"/>
    <x v="3"/>
    <n v="3"/>
    <n v="4880"/>
    <n v="12.1"/>
    <n v="12868.56"/>
    <s v="Completed"/>
    <s v="Mumbai"/>
  </r>
  <r>
    <s v="ORD-01483"/>
    <d v="2024-03-02T00:00:00"/>
    <s v="CUST-0067"/>
    <s v="PROD-017"/>
    <x v="1"/>
    <n v="5"/>
    <n v="2510"/>
    <n v="2.9"/>
    <n v="12186.05"/>
    <s v="Pending"/>
    <s v="Delhi"/>
  </r>
  <r>
    <s v="ORD-01484"/>
    <d v="2024-08-21T00:00:00"/>
    <s v="CUST-9844"/>
    <s v="PROD-006"/>
    <x v="16"/>
    <n v="9"/>
    <n v="3970"/>
    <n v="28"/>
    <n v="25725.599999999999"/>
    <s v="Completed"/>
    <s v="Pune"/>
  </r>
  <r>
    <s v="ORD-01485"/>
    <d v="2024-10-28T00:00:00"/>
    <s v="CUST-0122"/>
    <s v="PROD-053"/>
    <x v="28"/>
    <n v="4"/>
    <n v="470"/>
    <n v="19.100000000000001"/>
    <n v="1520.92"/>
    <s v="Pending"/>
    <s v="Mumbai"/>
  </r>
  <r>
    <s v="ORD-01486"/>
    <d v="2024-09-15T00:00:00"/>
    <s v="CUST-0129"/>
    <s v="PROD-001"/>
    <x v="5"/>
    <n v="7"/>
    <n v="5330"/>
    <n v="17.2"/>
    <n v="30892.68"/>
    <s v="Cancelled"/>
    <s v="Hyderabad"/>
  </r>
  <r>
    <s v="ORD-01487"/>
    <d v="2024-08-07T00:00:00"/>
    <s v="CUST-0056"/>
    <s v="PROD-035"/>
    <x v="27"/>
    <n v="4"/>
    <n v="1090"/>
    <n v="4.9000000000000004"/>
    <n v="4146.3599999999997"/>
    <s v="Cancelled"/>
    <s v="Bengaluru"/>
  </r>
  <r>
    <s v="ORD-01488"/>
    <d v="2024-06-13T00:00:00"/>
    <s v="CUST-0080"/>
    <s v="PROD-054"/>
    <x v="18"/>
    <n v="2"/>
    <n v="1010"/>
    <n v="14"/>
    <n v="1737.2"/>
    <s v="Completed"/>
    <s v="Pune"/>
  </r>
  <r>
    <s v="ORD-01489"/>
    <d v="2024-02-21T00:00:00"/>
    <s v="CUST-0155"/>
    <s v="PROD-004"/>
    <x v="29"/>
    <n v="9"/>
    <n v="3870"/>
    <n v="8.1999999999999993"/>
    <n v="31973.94"/>
    <s v="Completed"/>
    <s v="Pune"/>
  </r>
  <r>
    <s v="ORD-01490"/>
    <d v="2024-07-18T00:00:00"/>
    <s v="CUST-0278"/>
    <s v="PROD-008"/>
    <x v="22"/>
    <n v="7"/>
    <n v="2660"/>
    <n v="15.9"/>
    <n v="15659.42"/>
    <s v="Completed"/>
    <s v="Hyderabad"/>
  </r>
  <r>
    <s v="ORD-01491"/>
    <d v="2024-11-23T00:00:00"/>
    <s v="CUST-0075"/>
    <s v="PROD-007"/>
    <x v="7"/>
    <n v="4"/>
    <n v="1430"/>
    <n v="25.6"/>
    <n v="4255.68"/>
    <s v="Completed"/>
    <s v="Mumbai"/>
  </r>
  <r>
    <s v="ORD-01492"/>
    <d v="2024-03-23T00:00:00"/>
    <s v="CUST-0274"/>
    <s v="PROD-046"/>
    <x v="12"/>
    <n v="4"/>
    <n v="4880"/>
    <n v="19.399999999999999"/>
    <n v="15733.12"/>
    <s v="Cancelled"/>
    <s v="Bengaluru"/>
  </r>
  <r>
    <s v="ORD-01493"/>
    <d v="2024-10-01T00:00:00"/>
    <s v="CUST-0197"/>
    <s v="PROD-060"/>
    <x v="19"/>
    <n v="2"/>
    <n v="190"/>
    <n v="9"/>
    <n v="345.8"/>
    <s v="Completed"/>
    <s v="Bengaluru"/>
  </r>
  <r>
    <s v="ORD-01494"/>
    <d v="2024-05-03T00:00:00"/>
    <s v="CUST-0294"/>
    <s v="PROD-045"/>
    <x v="7"/>
    <n v="1"/>
    <n v="3020"/>
    <n v="3.6"/>
    <n v="2911.28"/>
    <s v="Refunded"/>
    <s v="Delhi"/>
  </r>
  <r>
    <s v="ORD-01495"/>
    <d v="2024-11-05T00:00:00"/>
    <s v="CUST-0281"/>
    <s v="PROD-046"/>
    <x v="7"/>
    <n v="2"/>
    <n v="4880"/>
    <n v="2"/>
    <n v="9564.7999999999993"/>
    <s v="Cancelled"/>
    <s v="Bengaluru"/>
  </r>
  <r>
    <s v="ORD-01496"/>
    <d v="2024-01-28T00:00:00"/>
    <s v="CUST-0130"/>
    <s v="PROD-058"/>
    <x v="28"/>
    <n v="4"/>
    <n v="2400"/>
    <n v="11.5"/>
    <n v="8496"/>
    <s v="Completed"/>
    <s v="Bengaluru"/>
  </r>
  <r>
    <s v="ORD-01497"/>
    <d v="2024-03-06T00:00:00"/>
    <s v="CUST-0097"/>
    <s v="PROD-050"/>
    <x v="25"/>
    <n v="2"/>
    <n v="6080"/>
    <n v="0.5"/>
    <n v="12099.2"/>
    <s v="Cancelled"/>
    <s v="Mumbai"/>
  </r>
  <r>
    <s v="ORD-01498"/>
    <d v="2024-04-02T00:00:00"/>
    <s v="CUST-0148"/>
    <s v="PROD-023"/>
    <x v="12"/>
    <n v="7"/>
    <n v="2380"/>
    <n v="12.3"/>
    <n v="14610.82"/>
    <s v="Completed"/>
    <s v="Chennai"/>
  </r>
  <r>
    <s v="ORD-01499"/>
    <d v="2024-08-05T00:00:00"/>
    <s v="CUST-0102"/>
    <s v="PROD-041"/>
    <x v="19"/>
    <n v="10"/>
    <n v="1540"/>
    <n v="20.6"/>
    <n v="12227.6"/>
    <s v="Completed"/>
    <s v="Chennai"/>
  </r>
  <r>
    <s v="ORD-01500"/>
    <d v="2024-08-16T00:00:00"/>
    <s v="CUST-0265"/>
    <s v="PROD-004"/>
    <x v="8"/>
    <n v="7"/>
    <n v="3870"/>
    <n v="6.1"/>
    <n v="25437.51"/>
    <s v="Completed"/>
    <s v="Chennai"/>
  </r>
  <r>
    <s v="ORD-01501"/>
    <d v="2024-04-01T00:00:00"/>
    <s v="CUST-0073"/>
    <s v="PROD-032"/>
    <x v="13"/>
    <n v="3"/>
    <n v="370"/>
    <n v="13.7"/>
    <n v="957.93"/>
    <s v="Completed"/>
    <s v="Pune"/>
  </r>
  <r>
    <s v="ORD-01502"/>
    <d v="2024-02-06T00:00:00"/>
    <s v="CUST-0070"/>
    <s v="PROD-060"/>
    <x v="28"/>
    <n v="8"/>
    <n v="190"/>
    <n v="0.2"/>
    <n v="1516.96"/>
    <s v="Completed"/>
    <s v="Mumbai"/>
  </r>
  <r>
    <s v="ORD-01503"/>
    <d v="2024-07-28T00:00:00"/>
    <s v="CUST-0202"/>
    <s v="PROD-007"/>
    <x v="23"/>
    <n v="6"/>
    <n v="1430"/>
    <n v="0.1"/>
    <n v="8571.42"/>
    <s v="Completed"/>
    <s v="Chennai"/>
  </r>
  <r>
    <s v="ORD-01504"/>
    <d v="2024-02-24T00:00:00"/>
    <s v="CUST-0240"/>
    <s v="PROD-053"/>
    <x v="16"/>
    <n v="4"/>
    <n v="470"/>
    <n v="3"/>
    <n v="1823.6"/>
    <s v="Completed"/>
    <s v="Chennai"/>
  </r>
  <r>
    <s v="ORD-01505"/>
    <d v="2024-06-03T00:00:00"/>
    <s v="CUST-0163"/>
    <s v="PROD-018"/>
    <x v="10"/>
    <n v="4"/>
    <n v="3560"/>
    <n v="1.1000000000000001"/>
    <n v="14083.36"/>
    <s v="Completed"/>
    <s v="Pune"/>
  </r>
  <r>
    <s v="ORD-01506"/>
    <d v="2024-08-17T00:00:00"/>
    <s v="CUST-0238"/>
    <s v="PROD-046"/>
    <x v="27"/>
    <n v="5"/>
    <n v="4880"/>
    <n v="17"/>
    <n v="20252"/>
    <s v="Completed"/>
    <s v="Delhi"/>
  </r>
  <r>
    <s v="ORD-01507"/>
    <d v="2024-07-10T00:00:00"/>
    <s v="CUST-0196"/>
    <s v="PROD-003"/>
    <x v="18"/>
    <n v="9"/>
    <n v="3570"/>
    <n v="12"/>
    <n v="28274.400000000001"/>
    <s v="Completed"/>
    <s v="Chennai"/>
  </r>
  <r>
    <s v="ORD-01508"/>
    <d v="2024-03-19T00:00:00"/>
    <s v="CUST-0220"/>
    <s v="PROD-051"/>
    <x v="5"/>
    <n v="6"/>
    <n v="3450"/>
    <n v="22.7"/>
    <n v="16001.1"/>
    <s v="Cancelled"/>
    <s v="Chennai"/>
  </r>
  <r>
    <s v="ORD-01509"/>
    <d v="2024-06-13T00:00:00"/>
    <s v="CUST-0142"/>
    <s v="PROD-040"/>
    <x v="25"/>
    <n v="10"/>
    <n v="1080"/>
    <n v="27.4"/>
    <n v="7840.8"/>
    <s v="Completed"/>
    <s v="Chennai"/>
  </r>
  <r>
    <s v="ORD-01510"/>
    <d v="2024-11-09T00:00:00"/>
    <s v="CUST-0217"/>
    <s v="PROD-041"/>
    <x v="5"/>
    <n v="6"/>
    <n v="1540"/>
    <n v="17.100000000000001"/>
    <n v="7659.96"/>
    <s v="Completed"/>
    <s v="Pune"/>
  </r>
  <r>
    <s v="ORD-01511"/>
    <d v="2024-09-21T00:00:00"/>
    <s v="CUST-9582"/>
    <s v="PROD-015"/>
    <x v="22"/>
    <n v="6"/>
    <n v="2720"/>
    <n v="28.1"/>
    <n v="11734.08"/>
    <s v="Completed"/>
    <s v="Mumbai"/>
  </r>
  <r>
    <s v="ORD-01512"/>
    <d v="2024-10-04T00:00:00"/>
    <s v="CUST-0267"/>
    <s v="PROD-034"/>
    <x v="1"/>
    <n v="2"/>
    <n v="5080"/>
    <n v="11.1"/>
    <n v="9032.24"/>
    <s v="Completed"/>
    <s v="Hyderabad"/>
  </r>
  <r>
    <s v="ORD-01513"/>
    <d v="2024-02-07T00:00:00"/>
    <s v="CUST-9565"/>
    <s v="PROD-016"/>
    <x v="4"/>
    <n v="5"/>
    <n v="620"/>
    <n v="10.9"/>
    <n v="2762.1"/>
    <s v="Pending"/>
    <s v="Chennai"/>
  </r>
  <r>
    <s v="ORD-01514"/>
    <d v="2024-03-26T00:00:00"/>
    <s v="CUST-0051"/>
    <s v="PROD-019"/>
    <x v="11"/>
    <n v="3"/>
    <n v="2480"/>
    <n v="5"/>
    <n v="7068"/>
    <s v="Completed"/>
    <s v="Pune"/>
  </r>
  <r>
    <s v="ORD-01515"/>
    <d v="2024-09-02T00:00:00"/>
    <s v="CUST-0075"/>
    <s v="PROD-054"/>
    <x v="1"/>
    <n v="9"/>
    <n v="1010"/>
    <n v="21.9"/>
    <n v="7099.29"/>
    <s v="Completed"/>
    <s v="Mumbai"/>
  </r>
  <r>
    <s v="ORD-01516"/>
    <d v="2024-09-15T00:00:00"/>
    <s v="CUST-0106"/>
    <s v="PROD-040"/>
    <x v="10"/>
    <n v="2"/>
    <n v="1080"/>
    <n v="8.5"/>
    <n v="1976.4"/>
    <s v="Completed"/>
    <s v="Pune"/>
  </r>
  <r>
    <s v="ORD-01517"/>
    <d v="2024-02-03T00:00:00"/>
    <s v="CUST-0053"/>
    <s v="PROD-053"/>
    <x v="5"/>
    <n v="5"/>
    <n v="470"/>
    <n v="8"/>
    <n v="2162"/>
    <s v="Completed"/>
    <s v="Delhi"/>
  </r>
  <r>
    <s v="ORD-01518"/>
    <d v="2024-03-24T00:00:00"/>
    <s v="CUST-0042"/>
    <s v="PROD-006"/>
    <x v="16"/>
    <n v="9"/>
    <n v="3970"/>
    <n v="18.5"/>
    <n v="29119.95"/>
    <s v="Completed"/>
    <s v="Pune"/>
  </r>
  <r>
    <s v="ORD-01519"/>
    <d v="2024-11-18T00:00:00"/>
    <s v="CUST-0120"/>
    <s v="PROD-044"/>
    <x v="9"/>
    <n v="9"/>
    <n v="1650"/>
    <n v="19.5"/>
    <n v="11954.25"/>
    <s v="Completed"/>
    <s v="Mumbai"/>
  </r>
  <r>
    <s v="ORD-01520"/>
    <d v="2024-03-13T00:00:00"/>
    <s v="CUST-0166"/>
    <s v="PROD-043"/>
    <x v="3"/>
    <n v="9"/>
    <n v="3350"/>
    <n v="4.0999999999999996"/>
    <n v="28913.85"/>
    <s v="Completed"/>
    <s v="Hyderabad"/>
  </r>
  <r>
    <s v="ORD-01521"/>
    <d v="2024-02-20T00:00:00"/>
    <s v="CUST-0175"/>
    <s v="PROD-006"/>
    <x v="12"/>
    <n v="7"/>
    <n v="3970"/>
    <n v="15.6"/>
    <n v="23454.76"/>
    <s v="Completed"/>
    <s v="Delhi"/>
  </r>
  <r>
    <s v="ORD-01522"/>
    <d v="2024-06-11T00:00:00"/>
    <s v="CUST-0001"/>
    <s v="PROD-027"/>
    <x v="26"/>
    <n v="7"/>
    <n v="3780"/>
    <n v="18.7"/>
    <n v="21511.98"/>
    <s v="Completed"/>
    <s v="Pune"/>
  </r>
  <r>
    <s v="ORD-01523"/>
    <d v="2024-11-29T00:00:00"/>
    <s v="CUST-0238"/>
    <s v="PROD-020"/>
    <x v="22"/>
    <n v="4"/>
    <n v="820"/>
    <n v="18.8"/>
    <n v="2663.36"/>
    <s v="Cancelled"/>
    <s v="Delhi"/>
  </r>
  <r>
    <s v="ORD-01524"/>
    <d v="2024-11-04T00:00:00"/>
    <s v="CUST-0279"/>
    <s v="PROD-044"/>
    <x v="24"/>
    <n v="1"/>
    <n v="1650"/>
    <n v="18.8"/>
    <n v="1339.8"/>
    <s v="Cancelled"/>
    <s v="Mumbai"/>
  </r>
  <r>
    <s v="ORD-01525"/>
    <d v="2024-04-15T00:00:00"/>
    <s v="CUST-0042"/>
    <s v="PROD-027"/>
    <x v="13"/>
    <n v="2"/>
    <n v="3780"/>
    <n v="1"/>
    <n v="7484.4"/>
    <s v="Refunded"/>
    <s v="Pune"/>
  </r>
  <r>
    <s v="ORD-01526"/>
    <d v="2024-05-05T00:00:00"/>
    <s v="CUST-0137"/>
    <s v="PROD-029"/>
    <x v="28"/>
    <n v="5"/>
    <n v="2210"/>
    <n v="16.600000000000001"/>
    <n v="9215.7000000000007"/>
    <s v="Completed"/>
    <s v="Mumbai"/>
  </r>
  <r>
    <s v="ORD-01527"/>
    <d v="2024-07-14T00:00:00"/>
    <s v="CUST-0160"/>
    <s v="PROD-056"/>
    <x v="9"/>
    <n v="10"/>
    <n v="6940"/>
    <n v="10.6"/>
    <n v="62043.6"/>
    <s v="Completed"/>
    <s v="Hyderabad"/>
  </r>
  <r>
    <s v="ORD-01528"/>
    <d v="2024-06-11T00:00:00"/>
    <s v="CUST-0102"/>
    <s v="PROD-042"/>
    <x v="1"/>
    <n v="8"/>
    <n v="2290"/>
    <n v="12.2"/>
    <n v="16084.96"/>
    <s v="Completed"/>
    <s v="Chennai"/>
  </r>
  <r>
    <s v="ORD-01529"/>
    <d v="2024-08-25T00:00:00"/>
    <s v="CUST-0133"/>
    <s v="PROD-033"/>
    <x v="5"/>
    <n v="5"/>
    <n v="2030"/>
    <n v="23.8"/>
    <n v="7734.3"/>
    <s v="Cancelled"/>
    <s v="Chennai"/>
  </r>
  <r>
    <s v="ORD-01530"/>
    <d v="2024-09-11T00:00:00"/>
    <s v="CUST-0080"/>
    <s v="PROD-006"/>
    <x v="20"/>
    <n v="3"/>
    <n v="3970"/>
    <n v="7.7"/>
    <n v="10992.93"/>
    <s v="Completed"/>
    <s v="Pune"/>
  </r>
  <r>
    <s v="ORD-01821"/>
    <d v="2024-07-08T00:00:00"/>
    <s v="CUST-0299"/>
    <s v="PROD-020"/>
    <x v="29"/>
    <n v="1"/>
    <n v="820"/>
    <n v="5.4"/>
    <n v="775.72"/>
    <s v="Completed"/>
    <s v="Mumbai"/>
  </r>
  <r>
    <s v="ORD-01532"/>
    <d v="2024-06-29T00:00:00"/>
    <s v="CUST-0078"/>
    <s v="PROD-004"/>
    <x v="5"/>
    <n v="3"/>
    <n v="3870"/>
    <n v="1.9"/>
    <n v="11389.41"/>
    <s v="Completed"/>
    <s v="Delhi"/>
  </r>
  <r>
    <s v="ORD-01533"/>
    <d v="2024-01-05T00:00:00"/>
    <s v="CUST-0251"/>
    <s v="PROD-030"/>
    <x v="24"/>
    <n v="6"/>
    <n v="970"/>
    <n v="27.1"/>
    <n v="4242.78"/>
    <s v="Completed"/>
    <s v="Mumbai"/>
  </r>
  <r>
    <s v="ORD-01534"/>
    <d v="2024-10-02T00:00:00"/>
    <s v="CUST-0191"/>
    <s v="PROD-046"/>
    <x v="5"/>
    <n v="1"/>
    <n v="4880"/>
    <n v="26.8"/>
    <n v="3572.16"/>
    <s v="Completed"/>
    <s v="Hyderabad"/>
  </r>
  <r>
    <s v="ORD-01535"/>
    <d v="2024-02-15T00:00:00"/>
    <s v="CUST-0130"/>
    <s v="PROD-022"/>
    <x v="12"/>
    <n v="1"/>
    <n v="2270"/>
    <n v="22.2"/>
    <n v="1766.06"/>
    <s v="Completed"/>
    <s v="Bengaluru"/>
  </r>
  <r>
    <s v="ORD-01536"/>
    <d v="2024-03-25T00:00:00"/>
    <s v="CUST-0056"/>
    <s v="PROD-047"/>
    <x v="17"/>
    <n v="10"/>
    <n v="3450"/>
    <n v="21.9"/>
    <n v="26944.5"/>
    <s v="Completed"/>
    <s v="Bengaluru"/>
  </r>
  <r>
    <s v="ORD-01537"/>
    <d v="2024-11-20T00:00:00"/>
    <s v="CUST-0185"/>
    <s v="PROD-022"/>
    <x v="23"/>
    <n v="3"/>
    <n v="2270"/>
    <n v="19.100000000000001"/>
    <n v="5509.29"/>
    <s v="Cancelled"/>
    <s v="Hyderabad"/>
  </r>
  <r>
    <s v="ORD-01538"/>
    <d v="2024-03-09T00:00:00"/>
    <s v="CUST-0195"/>
    <s v="PROD-029"/>
    <x v="14"/>
    <n v="10"/>
    <n v="2210"/>
    <n v="22.3"/>
    <n v="17171.7"/>
    <s v="Completed"/>
    <s v="Bengaluru"/>
  </r>
  <r>
    <s v="ORD-01539"/>
    <d v="2024-06-22T00:00:00"/>
    <s v="CUST-0067"/>
    <s v="PROD-033"/>
    <x v="23"/>
    <n v="9"/>
    <n v="2030"/>
    <n v="24.8"/>
    <n v="13739.04"/>
    <s v="Completed"/>
    <s v="Delhi"/>
  </r>
  <r>
    <s v="ORD-01540"/>
    <d v="2024-03-29T00:00:00"/>
    <s v="CUST-0149"/>
    <s v="PROD-043"/>
    <x v="12"/>
    <n v="5"/>
    <n v="3350"/>
    <n v="18.2"/>
    <n v="13701.5"/>
    <s v="Completed"/>
    <s v="Hyderabad"/>
  </r>
  <r>
    <s v="ORD-01541"/>
    <d v="2024-03-07T00:00:00"/>
    <s v="CUST-0268"/>
    <s v="PROD-013"/>
    <x v="4"/>
    <n v="7"/>
    <n v="3640"/>
    <n v="14.4"/>
    <n v="21810.880000000001"/>
    <s v="Completed"/>
    <s v="Chennai"/>
  </r>
  <r>
    <s v="ORD-01542"/>
    <d v="2024-04-03T00:00:00"/>
    <s v="CUST-0126"/>
    <s v="PROD-051"/>
    <x v="26"/>
    <n v="9"/>
    <n v="3450"/>
    <n v="20.100000000000001"/>
    <n v="24808.95"/>
    <s v="Completed"/>
    <s v="Mumbai"/>
  </r>
  <r>
    <s v="ORD-01543"/>
    <d v="2024-05-31T00:00:00"/>
    <s v="CUST-0017"/>
    <s v="PROD-047"/>
    <x v="11"/>
    <n v="6"/>
    <n v="3450"/>
    <n v="19.899999999999999"/>
    <n v="16580.7"/>
    <s v="Pending"/>
    <s v="Delhi"/>
  </r>
  <r>
    <s v="ORD-01544"/>
    <d v="2024-11-03T00:00:00"/>
    <s v="CUST-0250"/>
    <s v="PROD-042"/>
    <x v="24"/>
    <n v="4"/>
    <n v="2290"/>
    <n v="4.8"/>
    <n v="8720.32"/>
    <s v="Pending"/>
    <s v="Delhi"/>
  </r>
  <r>
    <s v="ORD-01545"/>
    <d v="2024-07-06T00:00:00"/>
    <s v="CUST-0245"/>
    <s v="PROD-057"/>
    <x v="9"/>
    <n v="9"/>
    <n v="960"/>
    <n v="2.4"/>
    <n v="8432.64"/>
    <s v="Completed"/>
    <s v="Hyderabad"/>
  </r>
  <r>
    <s v="ORD-01546"/>
    <d v="2024-07-16T00:00:00"/>
    <s v="CUST-0016"/>
    <s v="PROD-039"/>
    <x v="5"/>
    <n v="9"/>
    <n v="4610"/>
    <n v="21.3"/>
    <n v="32652.63"/>
    <s v="Completed"/>
    <s v="Delhi"/>
  </r>
  <r>
    <s v="ORD-01547"/>
    <d v="2024-08-10T00:00:00"/>
    <s v="CUST-0063"/>
    <s v="PROD-028"/>
    <x v="11"/>
    <n v="1"/>
    <n v="3660"/>
    <n v="15.6"/>
    <n v="3089.04"/>
    <s v="Completed"/>
    <s v="Mumbai"/>
  </r>
  <r>
    <s v="ORD-01548"/>
    <d v="2024-12-27T00:00:00"/>
    <s v="CUST-0200"/>
    <s v="PROD-008"/>
    <x v="27"/>
    <n v="5"/>
    <n v="2660"/>
    <n v="20.399999999999999"/>
    <n v="10586.8"/>
    <s v="Completed"/>
    <s v="Hyderabad"/>
  </r>
  <r>
    <s v="ORD-01549"/>
    <d v="2024-04-19T00:00:00"/>
    <s v="CUST-0017"/>
    <s v="PROD-041"/>
    <x v="17"/>
    <n v="8"/>
    <n v="1540"/>
    <n v="0.5"/>
    <n v="12258.4"/>
    <s v="Completed"/>
    <s v="Delhi"/>
  </r>
  <r>
    <s v="ORD-01550"/>
    <d v="2024-11-25T00:00:00"/>
    <s v="CUST-0264"/>
    <s v="PROD-006"/>
    <x v="10"/>
    <n v="4"/>
    <n v="3970"/>
    <n v="22.5"/>
    <n v="12307"/>
    <s v="Completed"/>
    <s v="Pune"/>
  </r>
  <r>
    <s v="ORD-01551"/>
    <d v="2024-03-17T00:00:00"/>
    <s v="CUST-0102"/>
    <s v="PROD-059"/>
    <x v="0"/>
    <n v="8"/>
    <n v="3780"/>
    <n v="3.8"/>
    <n v="29090.880000000001"/>
    <s v="Completed"/>
    <s v="Chennai"/>
  </r>
  <r>
    <s v="ORD-01552"/>
    <d v="2024-09-15T00:00:00"/>
    <s v="CUST-0092"/>
    <s v="PROD-022"/>
    <x v="10"/>
    <n v="4"/>
    <n v="2270"/>
    <n v="3.8"/>
    <n v="8734.9599999999991"/>
    <s v="Cancelled"/>
    <s v="Bengaluru"/>
  </r>
  <r>
    <s v="ORD-01553"/>
    <d v="2024-01-13T00:00:00"/>
    <s v="CUST-0139"/>
    <s v="PROD-009"/>
    <x v="18"/>
    <n v="10"/>
    <n v="1220"/>
    <n v="19.5"/>
    <n v="9821"/>
    <s v="Completed"/>
    <s v="Hyderabad"/>
  </r>
  <r>
    <s v="ORD-01554"/>
    <d v="2024-01-30T00:00:00"/>
    <s v="CUST-0129"/>
    <s v="PROD-043"/>
    <x v="15"/>
    <n v="10"/>
    <n v="3350"/>
    <n v="7.8"/>
    <n v="30887"/>
    <s v="Completed"/>
    <s v="Hyderabad"/>
  </r>
  <r>
    <s v="ORD-01555"/>
    <d v="2024-03-07T00:00:00"/>
    <s v="CUST-9841"/>
    <s v="PROD-043"/>
    <x v="14"/>
    <n v="7"/>
    <n v="3350"/>
    <n v="14.5"/>
    <n v="20049.75"/>
    <s v="Completed"/>
    <s v="Bengaluru"/>
  </r>
  <r>
    <s v="ORD-01556"/>
    <d v="2024-05-28T00:00:00"/>
    <s v="CUST-0069"/>
    <s v="PROD-038"/>
    <x v="2"/>
    <n v="6"/>
    <n v="5490"/>
    <n v="8"/>
    <n v="30304.799999999999"/>
    <s v="Completed"/>
    <s v="Chennai"/>
  </r>
  <r>
    <s v="ORD-01557"/>
    <d v="2024-11-22T00:00:00"/>
    <s v="CUST-0140"/>
    <s v="PROD-055"/>
    <x v="26"/>
    <n v="3"/>
    <n v="2860"/>
    <n v="19.899999999999999"/>
    <n v="6872.58"/>
    <s v="Completed"/>
    <s v="Hyderabad"/>
  </r>
  <r>
    <s v="ORD-01558"/>
    <d v="2024-01-04T00:00:00"/>
    <s v="CUST-0138"/>
    <s v="PROD-010"/>
    <x v="6"/>
    <n v="3"/>
    <n v="2640"/>
    <n v="29.3"/>
    <n v="5599.44"/>
    <s v="Completed"/>
    <s v="Chennai"/>
  </r>
  <r>
    <s v="ORD-01559"/>
    <d v="2024-04-02T00:00:00"/>
    <s v="CUST-0277"/>
    <s v="PROD-011"/>
    <x v="20"/>
    <n v="8"/>
    <n v="3450"/>
    <n v="15.2"/>
    <n v="23404.799999999999"/>
    <s v="Cancelled"/>
    <s v="Chennai"/>
  </r>
  <r>
    <s v="ORD-01560"/>
    <d v="2024-02-27T00:00:00"/>
    <s v="CUST-0017"/>
    <s v="PROD-032"/>
    <x v="5"/>
    <n v="6"/>
    <n v="370"/>
    <n v="7"/>
    <n v="2064.6"/>
    <s v="Completed"/>
    <s v="Delhi"/>
  </r>
  <r>
    <s v="ORD-01561"/>
    <d v="2024-05-27T00:00:00"/>
    <s v="CUST-0170"/>
    <s v="PROD-025"/>
    <x v="20"/>
    <n v="10"/>
    <n v="4060"/>
    <n v="4.7"/>
    <n v="38691.800000000003"/>
    <s v="Cancelled"/>
    <s v="Mumbai"/>
  </r>
  <r>
    <s v="ORD-01562"/>
    <d v="2024-05-14T00:00:00"/>
    <s v="CUST-0022"/>
    <s v="PROD-004"/>
    <x v="6"/>
    <n v="1"/>
    <n v="3870"/>
    <n v="18.2"/>
    <n v="3165.66"/>
    <s v="Pending"/>
    <s v="Bengaluru"/>
  </r>
  <r>
    <s v="ORD-01563"/>
    <d v="2024-04-03T00:00:00"/>
    <s v="CUST-0158"/>
    <s v="PROD-001"/>
    <x v="3"/>
    <n v="1"/>
    <n v="5330"/>
    <n v="3.9"/>
    <n v="5122.13"/>
    <s v="Refunded"/>
    <s v="Pune"/>
  </r>
  <r>
    <s v="ORD-01564"/>
    <d v="2024-01-21T00:00:00"/>
    <s v="CUST-0160"/>
    <s v="PROD-032"/>
    <x v="16"/>
    <n v="8"/>
    <n v="370"/>
    <n v="1.3"/>
    <n v="2921.52"/>
    <s v="Completed"/>
    <s v="Hyderabad"/>
  </r>
  <r>
    <s v="ORD-01565"/>
    <d v="2024-11-26T00:00:00"/>
    <s v="CUST-0009"/>
    <s v="PROD-005"/>
    <x v="16"/>
    <n v="7"/>
    <n v="300"/>
    <n v="7.1"/>
    <n v="1950.9"/>
    <s v="Completed"/>
    <s v="Mumbai"/>
  </r>
  <r>
    <s v="ORD-01566"/>
    <d v="2024-08-04T00:00:00"/>
    <s v="CUST-0151"/>
    <s v="PROD-043"/>
    <x v="27"/>
    <n v="8"/>
    <n v="3350"/>
    <n v="11.2"/>
    <n v="23798.400000000001"/>
    <s v="Completed"/>
    <s v="Mumbai"/>
  </r>
  <r>
    <s v="ORD-01567"/>
    <d v="2024-08-24T00:00:00"/>
    <s v="CUST-0105"/>
    <s v="PROD-056"/>
    <x v="18"/>
    <n v="6"/>
    <n v="6940"/>
    <n v="0.3"/>
    <n v="41515.08"/>
    <s v="Completed"/>
    <s v="Chennai"/>
  </r>
  <r>
    <s v="ORD-01568"/>
    <d v="2024-07-10T00:00:00"/>
    <s v="CUST-0292"/>
    <s v="PROD-049"/>
    <x v="4"/>
    <n v="10"/>
    <n v="960"/>
    <n v="9.3000000000000007"/>
    <n v="8707.2000000000007"/>
    <s v="Cancelled"/>
    <s v="Bengaluru"/>
  </r>
  <r>
    <s v="ORD-01569"/>
    <d v="2024-11-29T00:00:00"/>
    <s v="CUST-0076"/>
    <s v="PROD-021"/>
    <x v="13"/>
    <n v="10"/>
    <n v="2760"/>
    <n v="17.2"/>
    <n v="22852.799999999999"/>
    <s v="Completed"/>
    <s v="Mumbai"/>
  </r>
  <r>
    <s v="ORD-01570"/>
    <d v="2024-03-07T00:00:00"/>
    <s v="CUST-0152"/>
    <s v="PROD-024"/>
    <x v="17"/>
    <n v="4"/>
    <n v="2270"/>
    <n v="26.8"/>
    <n v="6646.56"/>
    <s v="Completed"/>
    <s v="Bengaluru"/>
  </r>
  <r>
    <s v="ORD-01571"/>
    <d v="2024-02-20T00:00:00"/>
    <s v="CUST-0146"/>
    <s v="PROD-002"/>
    <x v="13"/>
    <n v="2"/>
    <n v="2600"/>
    <n v="27"/>
    <n v="3796"/>
    <s v="Completed"/>
    <s v="Hyderabad"/>
  </r>
  <r>
    <s v="ORD-01572"/>
    <d v="2024-01-13T00:00:00"/>
    <s v="CUST-0127"/>
    <s v="PROD-003"/>
    <x v="6"/>
    <n v="4"/>
    <n v="3570"/>
    <n v="12.3"/>
    <n v="12523.56"/>
    <s v="Completed"/>
    <s v="Bengaluru"/>
  </r>
  <r>
    <s v="ORD-01573"/>
    <d v="2024-01-25T00:00:00"/>
    <s v="CUST-0173"/>
    <s v="PROD-034"/>
    <x v="29"/>
    <n v="5"/>
    <n v="5080"/>
    <n v="1.3"/>
    <n v="25069.8"/>
    <s v="Completed"/>
    <s v="Mumbai"/>
  </r>
  <r>
    <s v="ORD-01574"/>
    <d v="2024-02-18T00:00:00"/>
    <s v="CUST-0206"/>
    <s v="PROD-049"/>
    <x v="29"/>
    <n v="5"/>
    <n v="960"/>
    <n v="25.2"/>
    <n v="3590.4"/>
    <s v="Completed"/>
    <s v="Mumbai"/>
  </r>
  <r>
    <s v="ORD-01575"/>
    <d v="2024-11-08T00:00:00"/>
    <s v="CUST-0072"/>
    <s v="PROD-053"/>
    <x v="9"/>
    <n v="7"/>
    <n v="470"/>
    <n v="21.6"/>
    <n v="2579.36"/>
    <s v="Completed"/>
    <s v="Mumbai"/>
  </r>
  <r>
    <s v="ORD-01576"/>
    <d v="2024-11-29T00:00:00"/>
    <s v="CUST-0004"/>
    <s v="PROD-009"/>
    <x v="28"/>
    <n v="4"/>
    <n v="1220"/>
    <n v="12.6"/>
    <n v="4265.12"/>
    <s v="Completed"/>
    <s v="Delhi"/>
  </r>
  <r>
    <s v="ORD-01577"/>
    <d v="2024-01-02T00:00:00"/>
    <s v="CUST-0249"/>
    <s v="PROD-054"/>
    <x v="4"/>
    <n v="4"/>
    <n v="1010"/>
    <n v="11.3"/>
    <n v="3583.48"/>
    <s v="Completed"/>
    <s v="Mumbai"/>
  </r>
  <r>
    <s v="ORD-01578"/>
    <d v="2024-06-11T00:00:00"/>
    <s v="CUST-0139"/>
    <s v="PROD-028"/>
    <x v="1"/>
    <n v="4"/>
    <n v="3660"/>
    <n v="7.2"/>
    <n v="13585.92"/>
    <s v="Completed"/>
    <s v="Hyderabad"/>
  </r>
  <r>
    <s v="ORD-01579"/>
    <d v="2024-02-23T00:00:00"/>
    <s v="CUST-0019"/>
    <s v="PROD-038"/>
    <x v="9"/>
    <n v="4"/>
    <n v="5490"/>
    <n v="8"/>
    <n v="20203.2"/>
    <s v="Completed"/>
    <s v="Chennai"/>
  </r>
  <r>
    <s v="ORD-01580"/>
    <d v="2024-12-19T00:00:00"/>
    <s v="CUST-0210"/>
    <s v="PROD-022"/>
    <x v="11"/>
    <n v="6"/>
    <n v="2270"/>
    <n v="17.100000000000001"/>
    <n v="11290.98"/>
    <s v="Completed"/>
    <s v="Pune"/>
  </r>
  <r>
    <s v="ORD-01581"/>
    <d v="2024-10-23T00:00:00"/>
    <s v="CUST-0168"/>
    <s v="PROD-022"/>
    <x v="15"/>
    <n v="8"/>
    <n v="2270"/>
    <n v="11.9"/>
    <n v="15998.96"/>
    <s v="Pending"/>
    <s v="Pune"/>
  </r>
  <r>
    <s v="ORD-01582"/>
    <d v="2024-10-27T00:00:00"/>
    <s v="CUST-0094"/>
    <s v="PROD-002"/>
    <x v="26"/>
    <n v="6"/>
    <n v="2600"/>
    <n v="5.0999999999999996"/>
    <n v="14804.4"/>
    <s v="Completed"/>
    <s v="Pune"/>
  </r>
  <r>
    <s v="ORD-01583"/>
    <d v="2024-04-21T00:00:00"/>
    <s v="CUST-0259"/>
    <s v="PROD-004"/>
    <x v="28"/>
    <n v="9"/>
    <n v="3870"/>
    <n v="1.8"/>
    <n v="34203.06"/>
    <s v="Cancelled"/>
    <s v="Mumbai"/>
  </r>
  <r>
    <s v="ORD-01584"/>
    <d v="2024-06-16T00:00:00"/>
    <s v="CUST-0150"/>
    <s v="PROD-006"/>
    <x v="3"/>
    <n v="3"/>
    <n v="3970"/>
    <n v="8.1999999999999993"/>
    <n v="10933.38"/>
    <s v="Completed"/>
    <s v="Pune"/>
  </r>
  <r>
    <s v="ORD-01585"/>
    <d v="2024-05-26T00:00:00"/>
    <s v="CUST-0040"/>
    <s v="PROD-049"/>
    <x v="8"/>
    <n v="9"/>
    <n v="960"/>
    <n v="21.7"/>
    <n v="6765.12"/>
    <s v="Cancelled"/>
    <s v="Chennai"/>
  </r>
  <r>
    <s v="ORD-01586"/>
    <d v="2024-12-06T00:00:00"/>
    <s v="CUST-0290"/>
    <s v="PROD-052"/>
    <x v="5"/>
    <n v="3"/>
    <n v="5410"/>
    <n v="20.3"/>
    <n v="12935.31"/>
    <s v="Completed"/>
    <s v="Delhi"/>
  </r>
  <r>
    <s v="ORD-01587"/>
    <d v="2024-10-14T00:00:00"/>
    <s v="CUST-0123"/>
    <s v="PROD-011"/>
    <x v="1"/>
    <n v="3"/>
    <n v="3450"/>
    <n v="11.6"/>
    <n v="9149.4"/>
    <s v="Completed"/>
    <s v="Chennai"/>
  </r>
  <r>
    <s v="ORD-01588"/>
    <d v="2024-04-10T00:00:00"/>
    <s v="CUST-0053"/>
    <s v="PROD-045"/>
    <x v="4"/>
    <n v="2"/>
    <n v="3020"/>
    <n v="20.8"/>
    <n v="4783.68"/>
    <s v="Pending"/>
    <s v="Delhi"/>
  </r>
  <r>
    <s v="ORD-01589"/>
    <d v="2024-09-28T00:00:00"/>
    <s v="CUST-0179"/>
    <s v="PROD-060"/>
    <x v="25"/>
    <n v="3"/>
    <n v="190"/>
    <n v="10.7"/>
    <n v="509.01"/>
    <s v="Completed"/>
    <s v="Mumbai"/>
  </r>
  <r>
    <s v="ORD-01590"/>
    <d v="2024-01-03T00:00:00"/>
    <s v="CUST-0006"/>
    <s v="PROD-031"/>
    <x v="27"/>
    <n v="4"/>
    <n v="3730"/>
    <n v="6.9"/>
    <n v="13890.52"/>
    <s v="Completed"/>
    <s v="Pune"/>
  </r>
  <r>
    <s v="ORD-01591"/>
    <d v="2024-07-30T00:00:00"/>
    <s v="CUST-0272"/>
    <s v="PROD-051"/>
    <x v="5"/>
    <n v="9"/>
    <n v="3450"/>
    <n v="22.2"/>
    <n v="24156.9"/>
    <s v="Cancelled"/>
    <s v="Mumbai"/>
  </r>
  <r>
    <s v="ORD-01592"/>
    <d v="2024-02-14T00:00:00"/>
    <s v="CUST-0274"/>
    <s v="PROD-006"/>
    <x v="25"/>
    <n v="3"/>
    <n v="3970"/>
    <n v="6.8"/>
    <n v="11100.12"/>
    <s v="Completed"/>
    <s v="Bengaluru"/>
  </r>
  <r>
    <s v="ORD-01593"/>
    <d v="2024-06-19T00:00:00"/>
    <s v="CUST-0262"/>
    <s v="PROD-035"/>
    <x v="24"/>
    <n v="3"/>
    <n v="1090"/>
    <n v="23.7"/>
    <n v="2495.0100000000002"/>
    <s v="Completed"/>
    <s v="Mumbai"/>
  </r>
  <r>
    <s v="ORD-01594"/>
    <d v="2024-01-09T00:00:00"/>
    <s v="CUST-0087"/>
    <s v="PROD-033"/>
    <x v="12"/>
    <n v="3"/>
    <n v="2030"/>
    <n v="18.8"/>
    <n v="4945.08"/>
    <s v="Completed"/>
    <s v="Pune"/>
  </r>
  <r>
    <s v="ORD-01595"/>
    <d v="2024-03-16T00:00:00"/>
    <s v="CUST-0198"/>
    <s v="PROD-026"/>
    <x v="4"/>
    <n v="2"/>
    <n v="4070"/>
    <n v="14.3"/>
    <n v="6975.98"/>
    <s v="Completed"/>
    <s v="Chennai"/>
  </r>
  <r>
    <s v="ORD-01596"/>
    <d v="2024-04-28T00:00:00"/>
    <s v="CUST-0065"/>
    <s v="PROD-014"/>
    <x v="8"/>
    <n v="3"/>
    <n v="3620"/>
    <n v="13.5"/>
    <n v="9393.9"/>
    <s v="Completed"/>
    <s v="Chennai"/>
  </r>
  <r>
    <s v="ORD-01597"/>
    <d v="2024-11-27T00:00:00"/>
    <s v="CUST-0209"/>
    <s v="PROD-054"/>
    <x v="19"/>
    <n v="4"/>
    <n v="1010"/>
    <n v="3.3"/>
    <n v="3906.68"/>
    <s v="Completed"/>
    <s v="Pune"/>
  </r>
  <r>
    <s v="ORD-01598"/>
    <d v="2024-07-18T00:00:00"/>
    <s v="CUST-0181"/>
    <s v="PROD-030"/>
    <x v="1"/>
    <n v="7"/>
    <n v="970"/>
    <n v="0.1"/>
    <n v="6783.21"/>
    <s v="Completed"/>
    <s v="Delhi"/>
  </r>
  <r>
    <s v="ORD-01599"/>
    <d v="2024-10-06T00:00:00"/>
    <s v="CUST-0007"/>
    <s v="PROD-053"/>
    <x v="28"/>
    <n v="5"/>
    <n v="470"/>
    <n v="18.3"/>
    <n v="1919.95"/>
    <s v="Refunded"/>
    <s v="Bengaluru"/>
  </r>
  <r>
    <s v="ORD-01600"/>
    <d v="2024-04-11T00:00:00"/>
    <s v="CUST-0050"/>
    <s v="PROD-011"/>
    <x v="9"/>
    <n v="8"/>
    <n v="3450"/>
    <n v="5.0999999999999996"/>
    <n v="26192.400000000001"/>
    <s v="Refunded"/>
    <s v="Mumbai"/>
  </r>
  <r>
    <s v="ORD-01601"/>
    <d v="2024-06-22T00:00:00"/>
    <s v="CUST-0155"/>
    <s v="PROD-010"/>
    <x v="24"/>
    <n v="1"/>
    <n v="2640"/>
    <n v="5.9"/>
    <n v="2484.2399999999998"/>
    <s v="Completed"/>
    <s v="Pune"/>
  </r>
  <r>
    <s v="ORD-01602"/>
    <d v="2024-03-03T00:00:00"/>
    <s v="CUST-0085"/>
    <s v="PROD-003"/>
    <x v="16"/>
    <n v="10"/>
    <n v="3570"/>
    <n v="21.5"/>
    <n v="28024.5"/>
    <s v="Completed"/>
    <s v="Chennai"/>
  </r>
  <r>
    <s v="ORD-01603"/>
    <d v="2024-10-16T00:00:00"/>
    <s v="CUST-0285"/>
    <s v="PROD-007"/>
    <x v="29"/>
    <n v="10"/>
    <n v="1430"/>
    <n v="11.4"/>
    <n v="12669.8"/>
    <s v="Cancelled"/>
    <s v="Hyderabad"/>
  </r>
  <r>
    <s v="ORD-01604"/>
    <d v="2024-12-17T00:00:00"/>
    <s v="CUST-0148"/>
    <s v="PROD-057"/>
    <x v="22"/>
    <n v="7"/>
    <n v="960"/>
    <n v="22.9"/>
    <n v="5181.12"/>
    <s v="Completed"/>
    <s v="Chennai"/>
  </r>
  <r>
    <s v="ORD-01605"/>
    <d v="2024-11-10T00:00:00"/>
    <s v="CUST-0252"/>
    <s v="PROD-036"/>
    <x v="9"/>
    <n v="8"/>
    <n v="3250"/>
    <n v="1.9"/>
    <n v="25506"/>
    <s v="Completed"/>
    <s v="Bengaluru"/>
  </r>
  <r>
    <s v="ORD-01606"/>
    <d v="2024-03-05T00:00:00"/>
    <s v="CUST-0141"/>
    <s v="PROD-051"/>
    <x v="26"/>
    <n v="9"/>
    <n v="3450"/>
    <n v="18"/>
    <n v="25461"/>
    <s v="Completed"/>
    <s v="Hyderabad"/>
  </r>
  <r>
    <s v="ORD-01607"/>
    <d v="2024-02-21T00:00:00"/>
    <s v="CUST-0101"/>
    <s v="PROD-024"/>
    <x v="29"/>
    <n v="5"/>
    <n v="2270"/>
    <n v="11.5"/>
    <n v="10044.75"/>
    <s v="Completed"/>
    <s v="Hyderabad"/>
  </r>
  <r>
    <s v="ORD-01608"/>
    <d v="2024-06-06T00:00:00"/>
    <s v="CUST-0223"/>
    <s v="PROD-045"/>
    <x v="7"/>
    <n v="6"/>
    <n v="3020"/>
    <n v="12.6"/>
    <n v="15836.88"/>
    <s v="Completed"/>
    <s v="Bengaluru"/>
  </r>
  <r>
    <s v="ORD-01609"/>
    <d v="2024-01-26T00:00:00"/>
    <s v="CUST-0197"/>
    <s v="PROD-010"/>
    <x v="4"/>
    <n v="8"/>
    <n v="2640"/>
    <n v="14.5"/>
    <n v="18057.599999999999"/>
    <s v="Refunded"/>
    <s v="Bengaluru"/>
  </r>
  <r>
    <s v="ORD-01610"/>
    <d v="2024-09-26T00:00:00"/>
    <s v="CUST-0260"/>
    <s v="PROD-024"/>
    <x v="28"/>
    <n v="2"/>
    <n v="2270"/>
    <n v="27"/>
    <n v="3314.2"/>
    <s v="Completed"/>
    <s v="Bengaluru"/>
  </r>
  <r>
    <s v="ORD-01611"/>
    <d v="2024-12-10T00:00:00"/>
    <s v="CUST-0180"/>
    <s v="PROD-021"/>
    <x v="28"/>
    <n v="8"/>
    <n v="2760"/>
    <n v="18"/>
    <n v="18105.599999999999"/>
    <s v="Cancelled"/>
    <s v="Chennai"/>
  </r>
  <r>
    <s v="ORD-01612"/>
    <d v="2024-04-16T00:00:00"/>
    <s v="CUST-0166"/>
    <s v="PROD-014"/>
    <x v="12"/>
    <n v="8"/>
    <n v="3620"/>
    <n v="7.1"/>
    <n v="26903.84"/>
    <s v="Completed"/>
    <s v="Hyderabad"/>
  </r>
  <r>
    <s v="ORD-01613"/>
    <d v="2024-07-04T00:00:00"/>
    <s v="CUST-0062"/>
    <s v="PROD-042"/>
    <x v="13"/>
    <n v="8"/>
    <n v="2290"/>
    <n v="16.399999999999999"/>
    <n v="15315.52"/>
    <s v="Completed"/>
    <s v="Pune"/>
  </r>
  <r>
    <s v="ORD-01614"/>
    <d v="2024-06-19T00:00:00"/>
    <s v="CUST-0130"/>
    <s v="PROD-044"/>
    <x v="7"/>
    <n v="3"/>
    <n v="1650"/>
    <n v="1.8"/>
    <n v="4860.8999999999996"/>
    <s v="Cancelled"/>
    <s v="Bengaluru"/>
  </r>
  <r>
    <s v="ORD-01615"/>
    <d v="2024-12-16T00:00:00"/>
    <s v="CUST-0162"/>
    <s v="PROD-001"/>
    <x v="26"/>
    <n v="3"/>
    <n v="5330"/>
    <n v="22.2"/>
    <n v="12440.22"/>
    <s v="Completed"/>
    <s v="Mumbai"/>
  </r>
  <r>
    <s v="ORD-01616"/>
    <d v="2024-08-30T00:00:00"/>
    <s v="CUST-0153"/>
    <s v="PROD-040"/>
    <x v="24"/>
    <n v="7"/>
    <n v="1080"/>
    <n v="17.899999999999999"/>
    <n v="6206.76"/>
    <s v="Completed"/>
    <s v="Mumbai"/>
  </r>
  <r>
    <s v="ORD-01617"/>
    <d v="2024-06-17T00:00:00"/>
    <s v="CUST-0071"/>
    <s v="PROD-009"/>
    <x v="24"/>
    <n v="10"/>
    <n v="1220"/>
    <n v="5.7"/>
    <n v="11504.6"/>
    <s v="Completed"/>
    <s v="Delhi"/>
  </r>
  <r>
    <s v="ORD-01618"/>
    <d v="2024-12-22T00:00:00"/>
    <s v="CUST-0200"/>
    <s v="PROD-037"/>
    <x v="14"/>
    <n v="10"/>
    <n v="660"/>
    <n v="7.5"/>
    <n v="6105"/>
    <s v="Completed"/>
    <s v="Hyderabad"/>
  </r>
  <r>
    <s v="ORD-01619"/>
    <d v="2024-09-22T00:00:00"/>
    <s v="CUST-0266"/>
    <s v="PROD-040"/>
    <x v="16"/>
    <n v="6"/>
    <n v="1080"/>
    <n v="28.9"/>
    <n v="4607.28"/>
    <s v="Completed"/>
    <s v="Pune"/>
  </r>
  <r>
    <s v="ORD-01620"/>
    <d v="2024-10-19T00:00:00"/>
    <s v="CUST-0171"/>
    <s v="PROD-022"/>
    <x v="16"/>
    <n v="7"/>
    <n v="2270"/>
    <n v="1.4"/>
    <n v="15667.54"/>
    <s v="Completed"/>
    <s v="Chennai"/>
  </r>
  <r>
    <s v="ORD-01621"/>
    <d v="2024-07-02T00:00:00"/>
    <s v="CUST-0221"/>
    <s v="PROD-032"/>
    <x v="8"/>
    <n v="3"/>
    <n v="370"/>
    <n v="9.6"/>
    <n v="1003.44"/>
    <s v="Refunded"/>
    <s v="Delhi"/>
  </r>
  <r>
    <s v="ORD-01622"/>
    <d v="2024-03-14T00:00:00"/>
    <s v="CUST-0038"/>
    <s v="PROD-030"/>
    <x v="18"/>
    <n v="9"/>
    <n v="970"/>
    <n v="29.7"/>
    <n v="6137.19"/>
    <s v="Completed"/>
    <s v="Mumbai"/>
  </r>
  <r>
    <s v="ORD-00613"/>
    <d v="2024-04-23T00:00:00"/>
    <s v="CUST-0174"/>
    <s v="PROD-016"/>
    <x v="11"/>
    <n v="1"/>
    <n v="620"/>
    <n v="10.4"/>
    <n v="555.52"/>
    <s v="Cancelled"/>
    <s v="Pune"/>
  </r>
  <r>
    <s v="ORD-01624"/>
    <d v="2024-08-29T00:00:00"/>
    <s v="CUST-0054"/>
    <s v="PROD-028"/>
    <x v="20"/>
    <n v="5"/>
    <n v="3660"/>
    <n v="8"/>
    <n v="16836"/>
    <s v="Completed"/>
    <s v="Mumbai"/>
  </r>
  <r>
    <s v="ORD-01625"/>
    <d v="2024-12-02T00:00:00"/>
    <s v="CUST-0071"/>
    <s v="PROD-029"/>
    <x v="6"/>
    <n v="7"/>
    <n v="2210"/>
    <n v="13.7"/>
    <n v="13350.61"/>
    <s v="Refunded"/>
    <s v="Delhi"/>
  </r>
  <r>
    <s v="ORD-01626"/>
    <d v="2024-12-05T00:00:00"/>
    <s v="CUST-0004"/>
    <s v="PROD-059"/>
    <x v="8"/>
    <n v="1"/>
    <n v="3780"/>
    <n v="11.5"/>
    <n v="3345.3"/>
    <s v="Completed"/>
    <s v="Delhi"/>
  </r>
  <r>
    <s v="ORD-01627"/>
    <d v="2024-11-05T00:00:00"/>
    <s v="CUST-0033"/>
    <s v="PROD-002"/>
    <x v="1"/>
    <n v="10"/>
    <n v="2600"/>
    <n v="29.4"/>
    <n v="18356"/>
    <s v="Completed"/>
    <s v="Delhi"/>
  </r>
  <r>
    <s v="ORD-01628"/>
    <d v="2024-03-14T00:00:00"/>
    <s v="CUST-0079"/>
    <s v="PROD-027"/>
    <x v="21"/>
    <n v="3"/>
    <n v="3780"/>
    <n v="14.4"/>
    <n v="9707.0400000000009"/>
    <s v="Completed"/>
    <s v="Mumbai"/>
  </r>
  <r>
    <s v="ORD-01629"/>
    <d v="2024-05-09T00:00:00"/>
    <s v="CUST-0176"/>
    <s v="PROD-010"/>
    <x v="11"/>
    <n v="10"/>
    <n v="2640"/>
    <n v="26.8"/>
    <n v="19324.8"/>
    <s v="Pending"/>
    <s v="Bengaluru"/>
  </r>
  <r>
    <s v="ORD-01630"/>
    <d v="2024-02-25T00:00:00"/>
    <s v="CUST-0254"/>
    <s v="PROD-035"/>
    <x v="22"/>
    <n v="3"/>
    <n v="1090"/>
    <n v="9.1"/>
    <n v="2972.43"/>
    <s v="Completed"/>
    <s v="Bengaluru"/>
  </r>
  <r>
    <s v="ORD-01631"/>
    <d v="2024-10-09T00:00:00"/>
    <s v="CUST-0212"/>
    <s v="PROD-011"/>
    <x v="6"/>
    <n v="3"/>
    <n v="3450"/>
    <n v="23"/>
    <n v="7969.5"/>
    <s v="Pending"/>
    <s v="Chennai"/>
  </r>
  <r>
    <s v="ORD-01632"/>
    <d v="2024-03-14T00:00:00"/>
    <s v="CUST-0109"/>
    <s v="PROD-049"/>
    <x v="15"/>
    <n v="1"/>
    <n v="960"/>
    <n v="1.1000000000000001"/>
    <n v="949.44"/>
    <s v="Completed"/>
    <s v="Pune"/>
  </r>
  <r>
    <s v="ORD-01633"/>
    <d v="2024-10-12T00:00:00"/>
    <s v="CUST-0087"/>
    <s v="PROD-028"/>
    <x v="14"/>
    <n v="9"/>
    <n v="3660"/>
    <n v="9"/>
    <n v="29975.4"/>
    <s v="Completed"/>
    <s v="Pune"/>
  </r>
  <r>
    <s v="ORD-01634"/>
    <d v="2024-05-08T00:00:00"/>
    <s v="CUST-0167"/>
    <s v="PROD-031"/>
    <x v="4"/>
    <n v="3"/>
    <n v="3730"/>
    <n v="15.8"/>
    <n v="9421.98"/>
    <s v="Completed"/>
    <s v="Delhi"/>
  </r>
  <r>
    <s v="ORD-01635"/>
    <d v="2024-02-25T00:00:00"/>
    <s v="CUST-0079"/>
    <s v="PROD-026"/>
    <x v="10"/>
    <n v="6"/>
    <n v="4070"/>
    <n v="6.2"/>
    <n v="22905.96"/>
    <s v="Completed"/>
    <s v="Mumbai"/>
  </r>
  <r>
    <s v="ORD-01636"/>
    <d v="2024-02-07T00:00:00"/>
    <s v="CUST-0115"/>
    <s v="PROD-008"/>
    <x v="24"/>
    <n v="1"/>
    <n v="2660"/>
    <n v="14.6"/>
    <n v="2271.64"/>
    <s v="Completed"/>
    <s v="Mumbai"/>
  </r>
  <r>
    <s v="ORD-01637"/>
    <d v="2024-03-27T00:00:00"/>
    <s v="CUST-0184"/>
    <s v="PROD-033"/>
    <x v="11"/>
    <n v="3"/>
    <n v="2030"/>
    <n v="13.3"/>
    <n v="5280.03"/>
    <s v="Cancelled"/>
    <s v="Pune"/>
  </r>
  <r>
    <s v="ORD-01638"/>
    <d v="2024-04-11T00:00:00"/>
    <s v="CUST-0084"/>
    <s v="PROD-028"/>
    <x v="19"/>
    <n v="4"/>
    <n v="3660"/>
    <n v="2.2000000000000002"/>
    <n v="14317.92"/>
    <s v="Completed"/>
    <s v="Chennai"/>
  </r>
  <r>
    <s v="ORD-01639"/>
    <d v="2024-03-13T00:00:00"/>
    <s v="CUST-0186"/>
    <s v="PROD-008"/>
    <x v="3"/>
    <n v="2"/>
    <n v="2660"/>
    <n v="7.2"/>
    <n v="4936.96"/>
    <s v="Cancelled"/>
    <s v="Bengaluru"/>
  </r>
  <r>
    <s v="ORD-01640"/>
    <d v="2024-11-28T00:00:00"/>
    <s v="CUST-0077"/>
    <s v="PROD-046"/>
    <x v="22"/>
    <n v="2"/>
    <n v="4880"/>
    <n v="23.8"/>
    <n v="7437.12"/>
    <s v="Completed"/>
    <s v="Hyderabad"/>
  </r>
  <r>
    <s v="ORD-01641"/>
    <d v="2024-04-29T00:00:00"/>
    <s v="CUST-0093"/>
    <s v="PROD-011"/>
    <x v="23"/>
    <n v="1"/>
    <n v="3450"/>
    <n v="1.7"/>
    <n v="3391.35"/>
    <s v="Completed"/>
    <s v="Pune"/>
  </r>
  <r>
    <s v="ORD-01642"/>
    <d v="2024-09-15T00:00:00"/>
    <s v="CUST-0018"/>
    <s v="PROD-045"/>
    <x v="12"/>
    <n v="4"/>
    <n v="3020"/>
    <n v="17.8"/>
    <n v="9929.76"/>
    <s v="Completed"/>
    <s v="Pune"/>
  </r>
  <r>
    <s v="ORD-01643"/>
    <d v="2024-08-08T00:00:00"/>
    <s v="CUST-0034"/>
    <s v="PROD-056"/>
    <x v="13"/>
    <n v="6"/>
    <n v="6940"/>
    <n v="8.9"/>
    <n v="37934.04"/>
    <s v="Completed"/>
    <s v="Delhi"/>
  </r>
  <r>
    <s v="ORD-01644"/>
    <d v="2024-08-19T00:00:00"/>
    <s v="CUST-0111"/>
    <s v="PROD-021"/>
    <x v="12"/>
    <n v="10"/>
    <n v="2760"/>
    <n v="8.9"/>
    <n v="25143.599999999999"/>
    <s v="Completed"/>
    <s v="Chennai"/>
  </r>
  <r>
    <s v="ORD-01645"/>
    <d v="2024-01-19T00:00:00"/>
    <s v="CUST-0210"/>
    <s v="PROD-049"/>
    <x v="16"/>
    <n v="8"/>
    <n v="960"/>
    <n v="20.9"/>
    <n v="6074.88"/>
    <s v="Completed"/>
    <s v="Pune"/>
  </r>
  <r>
    <s v="ORD-01646"/>
    <d v="2024-07-25T00:00:00"/>
    <s v="CUST-0037"/>
    <s v="PROD-049"/>
    <x v="27"/>
    <n v="4"/>
    <n v="960"/>
    <n v="29.1"/>
    <n v="2722.56"/>
    <s v="Completed"/>
    <s v="Bengaluru"/>
  </r>
  <r>
    <s v="ORD-01647"/>
    <d v="2024-04-28T00:00:00"/>
    <s v="CUST-0192"/>
    <s v="PROD-030"/>
    <x v="13"/>
    <n v="1"/>
    <n v="970"/>
    <n v="8.4"/>
    <n v="888.52"/>
    <s v="Cancelled"/>
    <s v="Bengaluru"/>
  </r>
  <r>
    <s v="ORD-01648"/>
    <d v="2024-04-18T00:00:00"/>
    <s v="CUST-0038"/>
    <s v="PROD-050"/>
    <x v="12"/>
    <n v="5"/>
    <n v="6080"/>
    <n v="17.600000000000001"/>
    <n v="25049.599999999999"/>
    <s v="Completed"/>
    <s v="Mumbai"/>
  </r>
  <r>
    <s v="ORD-01649"/>
    <d v="2024-08-21T00:00:00"/>
    <s v="CUST-0034"/>
    <s v="PROD-028"/>
    <x v="22"/>
    <n v="4"/>
    <n v="3660"/>
    <n v="21.8"/>
    <n v="11448.48"/>
    <s v="Pending"/>
    <s v="Delhi"/>
  </r>
  <r>
    <s v="ORD-01650"/>
    <d v="2024-06-19T00:00:00"/>
    <s v="CUST-0248"/>
    <s v="PROD-031"/>
    <x v="4"/>
    <n v="6"/>
    <n v="3730"/>
    <n v="13.3"/>
    <n v="19403.46"/>
    <s v="Cancelled"/>
    <s v="Chennai"/>
  </r>
  <r>
    <s v="ORD-01651"/>
    <d v="2024-11-29T00:00:00"/>
    <s v="CUST-0194"/>
    <s v="PROD-004"/>
    <x v="20"/>
    <n v="8"/>
    <n v="3870"/>
    <n v="21.2"/>
    <n v="24396.48"/>
    <s v="Pending"/>
    <s v="Delhi"/>
  </r>
  <r>
    <s v="ORD-01652"/>
    <d v="2024-04-08T00:00:00"/>
    <s v="CUST-0114"/>
    <s v="PROD-021"/>
    <x v="29"/>
    <n v="4"/>
    <n v="2760"/>
    <n v="14"/>
    <n v="9494.4"/>
    <s v="Completed"/>
    <s v="Bengaluru"/>
  </r>
  <r>
    <s v="ORD-01653"/>
    <d v="2024-11-01T00:00:00"/>
    <s v="CUST-0118"/>
    <s v="PROD-023"/>
    <x v="16"/>
    <n v="5"/>
    <n v="2380"/>
    <n v="16.399999999999999"/>
    <n v="9948.4"/>
    <s v="Completed"/>
    <s v="Hyderabad"/>
  </r>
  <r>
    <s v="ORD-01654"/>
    <d v="2024-01-16T00:00:00"/>
    <s v="CUST-9719"/>
    <s v="PROD-050"/>
    <x v="15"/>
    <n v="2"/>
    <n v="6080"/>
    <n v="20.100000000000001"/>
    <n v="9715.84"/>
    <s v="Cancelled"/>
    <s v="Mumbai"/>
  </r>
  <r>
    <s v="ORD-01655"/>
    <d v="2024-10-03T00:00:00"/>
    <s v="CUST-0232"/>
    <s v="PROD-016"/>
    <x v="29"/>
    <n v="2"/>
    <n v="620"/>
    <n v="4.3"/>
    <n v="1186.68"/>
    <s v="Completed"/>
    <s v="Hyderabad"/>
  </r>
  <r>
    <s v="ORD-01656"/>
    <d v="2024-12-28T00:00:00"/>
    <s v="CUST-0240"/>
    <s v="PROD-004"/>
    <x v="27"/>
    <n v="7"/>
    <n v="3870"/>
    <n v="5.9"/>
    <n v="25491.69"/>
    <s v="Completed"/>
    <s v="Chennai"/>
  </r>
  <r>
    <s v="ORD-01657"/>
    <d v="2024-04-30T00:00:00"/>
    <s v="CUST-0227"/>
    <s v="PROD-003"/>
    <x v="16"/>
    <n v="8"/>
    <n v="3570"/>
    <n v="24.6"/>
    <n v="21534.240000000002"/>
    <s v="Completed"/>
    <s v="Bengaluru"/>
  </r>
  <r>
    <s v="ORD-01658"/>
    <d v="2024-12-27T00:00:00"/>
    <s v="CUST-0234"/>
    <s v="PROD-026"/>
    <x v="9"/>
    <n v="1"/>
    <n v="4070"/>
    <n v="29.1"/>
    <n v="2885.63"/>
    <s v="Pending"/>
    <s v="Bengaluru"/>
  </r>
  <r>
    <s v="ORD-01659"/>
    <d v="2024-10-03T00:00:00"/>
    <s v="CUST-0041"/>
    <s v="PROD-020"/>
    <x v="21"/>
    <n v="1"/>
    <n v="820"/>
    <n v="17.899999999999999"/>
    <n v="673.22"/>
    <s v="Completed"/>
    <s v="Bengaluru"/>
  </r>
  <r>
    <s v="ORD-01660"/>
    <d v="2024-12-17T00:00:00"/>
    <s v="CUST-0129"/>
    <s v="PROD-045"/>
    <x v="20"/>
    <n v="5"/>
    <n v="3020"/>
    <n v="26.2"/>
    <n v="11143.8"/>
    <s v="Completed"/>
    <s v="Hyderabad"/>
  </r>
  <r>
    <s v="ORD-01661"/>
    <d v="2024-04-29T00:00:00"/>
    <s v="CUST-0141"/>
    <s v="PROD-018"/>
    <x v="24"/>
    <n v="10"/>
    <n v="3560"/>
    <n v="15.4"/>
    <n v="30117.599999999999"/>
    <s v="Refunded"/>
    <s v="Hyderabad"/>
  </r>
  <r>
    <s v="ORD-01662"/>
    <d v="2024-06-24T00:00:00"/>
    <s v="CUST-0282"/>
    <s v="PROD-043"/>
    <x v="19"/>
    <n v="3"/>
    <n v="3350"/>
    <n v="8.1"/>
    <n v="9235.9500000000007"/>
    <s v="Completed"/>
    <s v="Hyderabad"/>
  </r>
  <r>
    <s v="ORD-01663"/>
    <d v="2024-09-07T00:00:00"/>
    <s v="CUST-0269"/>
    <s v="PROD-042"/>
    <x v="5"/>
    <n v="10"/>
    <n v="2290"/>
    <n v="7"/>
    <n v="21297"/>
    <s v="Completed"/>
    <s v="Pune"/>
  </r>
  <r>
    <s v="ORD-01664"/>
    <d v="2024-07-10T00:00:00"/>
    <s v="CUST-0239"/>
    <s v="PROD-028"/>
    <x v="11"/>
    <n v="6"/>
    <n v="3660"/>
    <n v="29.9"/>
    <n v="15393.96"/>
    <s v="Completed"/>
    <s v="Mumbai"/>
  </r>
  <r>
    <s v="ORD-01665"/>
    <d v="2024-05-14T00:00:00"/>
    <s v="CUST-0075"/>
    <s v="PROD-010"/>
    <x v="22"/>
    <n v="8"/>
    <n v="2640"/>
    <n v="4.2"/>
    <n v="20232.96"/>
    <s v="Refunded"/>
    <s v="Mumbai"/>
  </r>
  <r>
    <s v="ORD-01666"/>
    <d v="2024-04-04T00:00:00"/>
    <s v="CUST-0184"/>
    <s v="PROD-032"/>
    <x v="3"/>
    <n v="5"/>
    <n v="370"/>
    <n v="6"/>
    <n v="1739"/>
    <s v="Completed"/>
    <s v="Pune"/>
  </r>
  <r>
    <s v="ORD-01667"/>
    <d v="2024-03-26T00:00:00"/>
    <s v="CUST-0144"/>
    <s v="PROD-024"/>
    <x v="0"/>
    <n v="9"/>
    <n v="2270"/>
    <n v="4.7"/>
    <n v="19469.79"/>
    <s v="Completed"/>
    <s v="Chennai"/>
  </r>
  <r>
    <s v="ORD-01668"/>
    <d v="2024-05-02T00:00:00"/>
    <s v="CUST-0039"/>
    <s v="PROD-037"/>
    <x v="23"/>
    <n v="5"/>
    <n v="660"/>
    <n v="21"/>
    <n v="2607"/>
    <s v="Completed"/>
    <s v="Bengaluru"/>
  </r>
  <r>
    <s v="ORD-01669"/>
    <d v="2024-04-25T00:00:00"/>
    <s v="CUST-9765"/>
    <s v="PROD-057"/>
    <x v="11"/>
    <n v="2"/>
    <n v="960"/>
    <n v="7.3"/>
    <n v="1779.84"/>
    <s v="Completed"/>
    <s v="Bengaluru"/>
  </r>
  <r>
    <s v="ORD-01670"/>
    <d v="2024-08-05T00:00:00"/>
    <s v="CUST-0159"/>
    <s v="PROD-048"/>
    <x v="18"/>
    <n v="3"/>
    <n v="5100"/>
    <n v="21"/>
    <n v="12087"/>
    <s v="Completed"/>
    <s v="Hyderabad"/>
  </r>
  <r>
    <s v="ORD-01671"/>
    <d v="2024-10-01T00:00:00"/>
    <s v="CUST-0168"/>
    <s v="PROD-012"/>
    <x v="10"/>
    <n v="3"/>
    <n v="3160"/>
    <n v="13.5"/>
    <n v="8200.2000000000007"/>
    <s v="Completed"/>
    <s v="Pune"/>
  </r>
  <r>
    <s v="ORD-01672"/>
    <d v="2024-08-20T00:00:00"/>
    <s v="CUST-9552"/>
    <s v="PROD-041"/>
    <x v="1"/>
    <n v="9"/>
    <n v="1540"/>
    <n v="18.2"/>
    <n v="11337.48"/>
    <s v="Cancelled"/>
    <s v="Bengaluru"/>
  </r>
  <r>
    <s v="ORD-01673"/>
    <d v="2024-05-19T00:00:00"/>
    <s v="CUST-0056"/>
    <s v="PROD-047"/>
    <x v="6"/>
    <n v="4"/>
    <n v="3450"/>
    <n v="26.4"/>
    <n v="10156.799999999999"/>
    <s v="Pending"/>
    <s v="Bengaluru"/>
  </r>
  <r>
    <s v="ORD-01674"/>
    <d v="2024-11-02T00:00:00"/>
    <s v="CUST-0239"/>
    <s v="PROD-023"/>
    <x v="17"/>
    <n v="4"/>
    <n v="2380"/>
    <n v="6.9"/>
    <n v="8863.1200000000008"/>
    <s v="Completed"/>
    <s v="Mumbai"/>
  </r>
  <r>
    <s v="ORD-01675"/>
    <d v="2024-05-07T00:00:00"/>
    <s v="CUST-0168"/>
    <s v="PROD-031"/>
    <x v="11"/>
    <n v="2"/>
    <n v="3730"/>
    <n v="22.9"/>
    <n v="5751.66"/>
    <s v="Completed"/>
    <s v="Pune"/>
  </r>
  <r>
    <s v="ORD-01676"/>
    <d v="2024-09-14T00:00:00"/>
    <s v="CUST-0012"/>
    <s v="PROD-036"/>
    <x v="25"/>
    <n v="7"/>
    <n v="3250"/>
    <n v="6"/>
    <n v="21385"/>
    <s v="Completed"/>
    <s v="Pune"/>
  </r>
  <r>
    <s v="ORD-01677"/>
    <d v="2024-08-15T00:00:00"/>
    <s v="CUST-0057"/>
    <s v="PROD-053"/>
    <x v="16"/>
    <n v="9"/>
    <n v="470"/>
    <n v="11.6"/>
    <n v="3739.32"/>
    <s v="Completed"/>
    <s v="Pune"/>
  </r>
  <r>
    <s v="ORD-01678"/>
    <d v="2024-10-09T00:00:00"/>
    <s v="CUST-0030"/>
    <s v="PROD-042"/>
    <x v="17"/>
    <n v="5"/>
    <n v="2290"/>
    <n v="27.6"/>
    <n v="8289.7999999999993"/>
    <s v="Completed"/>
    <s v="Bengaluru"/>
  </r>
  <r>
    <s v="ORD-01679"/>
    <d v="2024-06-19T00:00:00"/>
    <s v="CUST-0166"/>
    <s v="PROD-007"/>
    <x v="20"/>
    <n v="6"/>
    <n v="1430"/>
    <n v="18.399999999999999"/>
    <n v="7001.28"/>
    <s v="Pending"/>
    <s v="Hyderabad"/>
  </r>
  <r>
    <s v="ORD-01680"/>
    <d v="2024-02-14T00:00:00"/>
    <s v="CUST-0188"/>
    <s v="PROD-055"/>
    <x v="25"/>
    <n v="7"/>
    <n v="2860"/>
    <n v="19.5"/>
    <n v="16116.1"/>
    <s v="Completed"/>
    <s v="Bengaluru"/>
  </r>
  <r>
    <s v="ORD-01681"/>
    <d v="2024-05-27T00:00:00"/>
    <s v="CUST-0097"/>
    <s v="PROD-047"/>
    <x v="16"/>
    <n v="8"/>
    <n v="3450"/>
    <n v="25.5"/>
    <n v="20562"/>
    <s v="Pending"/>
    <s v="Mumbai"/>
  </r>
  <r>
    <s v="ORD-01682"/>
    <d v="2024-10-13T00:00:00"/>
    <s v="CUST-0026"/>
    <s v="PROD-052"/>
    <x v="7"/>
    <n v="7"/>
    <n v="5410"/>
    <n v="15.2"/>
    <n v="32113.759999999998"/>
    <s v="Cancelled"/>
    <s v="Pune"/>
  </r>
  <r>
    <s v="ORD-01683"/>
    <d v="2024-10-23T00:00:00"/>
    <s v="CUST-0026"/>
    <s v="PROD-040"/>
    <x v="5"/>
    <n v="3"/>
    <n v="1080"/>
    <n v="26"/>
    <n v="2397.6"/>
    <s v="Completed"/>
    <s v="Pune"/>
  </r>
  <r>
    <s v="ORD-01684"/>
    <d v="2024-03-03T00:00:00"/>
    <s v="CUST-0020"/>
    <s v="PROD-055"/>
    <x v="7"/>
    <n v="8"/>
    <n v="2860"/>
    <n v="14.8"/>
    <n v="19493.759999999998"/>
    <s v="Completed"/>
    <s v="Hyderabad"/>
  </r>
  <r>
    <s v="ORD-01685"/>
    <d v="2024-02-10T00:00:00"/>
    <s v="CUST-9740"/>
    <s v="PROD-045"/>
    <x v="22"/>
    <n v="4"/>
    <n v="3020"/>
    <n v="8.1"/>
    <n v="11101.52"/>
    <s v="Completed"/>
    <s v="Hyderabad"/>
  </r>
  <r>
    <s v="ORD-01686"/>
    <d v="2024-12-23T00:00:00"/>
    <s v="CUST-0095"/>
    <s v="PROD-057"/>
    <x v="5"/>
    <n v="4"/>
    <n v="960"/>
    <n v="6.4"/>
    <n v="3594.24"/>
    <s v="Cancelled"/>
    <s v="Mumbai"/>
  </r>
  <r>
    <s v="ORD-01687"/>
    <d v="2024-10-31T00:00:00"/>
    <s v="CUST-0079"/>
    <s v="PROD-004"/>
    <x v="20"/>
    <n v="4"/>
    <n v="3870"/>
    <n v="15.9"/>
    <n v="13018.68"/>
    <s v="Completed"/>
    <s v="Mumbai"/>
  </r>
  <r>
    <s v="ORD-01688"/>
    <d v="2024-03-27T00:00:00"/>
    <s v="CUST-0060"/>
    <s v="PROD-012"/>
    <x v="16"/>
    <n v="5"/>
    <n v="3160"/>
    <n v="29.8"/>
    <n v="11091.6"/>
    <s v="Completed"/>
    <s v="Pune"/>
  </r>
  <r>
    <s v="ORD-01689"/>
    <d v="2024-04-21T00:00:00"/>
    <s v="CUST-0080"/>
    <s v="PROD-047"/>
    <x v="28"/>
    <n v="5"/>
    <n v="3450"/>
    <n v="29.4"/>
    <n v="12178.5"/>
    <s v="Completed"/>
    <s v="Pune"/>
  </r>
  <r>
    <s v="ORD-01690"/>
    <d v="2024-08-31T00:00:00"/>
    <s v="CUST-0136"/>
    <s v="PROD-049"/>
    <x v="26"/>
    <n v="10"/>
    <n v="960"/>
    <n v="27"/>
    <n v="7008"/>
    <s v="Cancelled"/>
    <s v="Chennai"/>
  </r>
  <r>
    <s v="ORD-01691"/>
    <d v="2024-05-17T00:00:00"/>
    <s v="CUST-0074"/>
    <s v="PROD-056"/>
    <x v="26"/>
    <n v="10"/>
    <n v="6940"/>
    <n v="20.100000000000001"/>
    <n v="55450.6"/>
    <s v="Completed"/>
    <s v="Bengaluru"/>
  </r>
  <r>
    <s v="ORD-01692"/>
    <d v="2024-05-24T00:00:00"/>
    <s v="CUST-0090"/>
    <s v="PROD-058"/>
    <x v="18"/>
    <n v="9"/>
    <n v="2400"/>
    <n v="7.8"/>
    <n v="19915.2"/>
    <s v="Completed"/>
    <s v="Bengaluru"/>
  </r>
  <r>
    <s v="ORD-01693"/>
    <d v="2024-04-15T00:00:00"/>
    <s v="CUST-0300"/>
    <s v="PROD-052"/>
    <x v="21"/>
    <n v="1"/>
    <n v="5410"/>
    <n v="22.8"/>
    <n v="4176.5200000000004"/>
    <s v="Completed"/>
    <s v="Mumbai"/>
  </r>
  <r>
    <s v="ORD-01694"/>
    <d v="2024-12-03T00:00:00"/>
    <s v="CUST-0188"/>
    <s v="PROD-009"/>
    <x v="10"/>
    <n v="7"/>
    <n v="1220"/>
    <n v="18.8"/>
    <n v="6934.48"/>
    <s v="Pending"/>
    <s v="Bengaluru"/>
  </r>
  <r>
    <s v="ORD-01695"/>
    <d v="2024-10-30T00:00:00"/>
    <s v="CUST-0250"/>
    <s v="PROD-035"/>
    <x v="7"/>
    <n v="1"/>
    <n v="1090"/>
    <n v="23.5"/>
    <n v="833.85"/>
    <s v="Completed"/>
    <s v="Delhi"/>
  </r>
  <r>
    <s v="ORD-01696"/>
    <d v="2024-08-27T00:00:00"/>
    <s v="CUST-0195"/>
    <s v="PROD-021"/>
    <x v="12"/>
    <n v="2"/>
    <n v="2760"/>
    <n v="2.2999999999999998"/>
    <n v="5393.04"/>
    <s v="Completed"/>
    <s v="Bengaluru"/>
  </r>
  <r>
    <s v="ORD-01697"/>
    <d v="2024-11-30T00:00:00"/>
    <s v="CUST-0185"/>
    <s v="PROD-003"/>
    <x v="17"/>
    <n v="3"/>
    <n v="3570"/>
    <n v="18.399999999999999"/>
    <n v="8739.36"/>
    <s v="Refunded"/>
    <s v="Hyderabad"/>
  </r>
  <r>
    <s v="ORD-01698"/>
    <d v="2024-07-29T00:00:00"/>
    <s v="CUST-0256"/>
    <s v="PROD-009"/>
    <x v="10"/>
    <n v="7"/>
    <n v="1220"/>
    <n v="25.8"/>
    <n v="6336.68"/>
    <s v="Refunded"/>
    <s v="Hyderabad"/>
  </r>
  <r>
    <s v="ORD-01699"/>
    <d v="2024-07-28T00:00:00"/>
    <s v="CUST-0060"/>
    <s v="PROD-051"/>
    <x v="20"/>
    <n v="6"/>
    <n v="3450"/>
    <n v="13.1"/>
    <n v="17988.3"/>
    <s v="Completed"/>
    <s v="Pune"/>
  </r>
  <r>
    <s v="ORD-01700"/>
    <d v="2024-05-23T00:00:00"/>
    <s v="CUST-0275"/>
    <s v="PROD-029"/>
    <x v="10"/>
    <n v="10"/>
    <n v="2210"/>
    <n v="16.600000000000001"/>
    <n v="18431.400000000001"/>
    <s v="Completed"/>
    <s v="Mumbai"/>
  </r>
  <r>
    <s v="ORD-01701"/>
    <d v="2024-01-04T00:00:00"/>
    <s v="CUST-0114"/>
    <s v="PROD-019"/>
    <x v="28"/>
    <n v="10"/>
    <n v="2480"/>
    <n v="17.5"/>
    <n v="20460"/>
    <s v="Completed"/>
    <s v="Bengaluru"/>
  </r>
  <r>
    <s v="ORD-01702"/>
    <d v="2024-10-01T00:00:00"/>
    <s v="CUST-0060"/>
    <s v="PROD-036"/>
    <x v="7"/>
    <n v="9"/>
    <n v="3250"/>
    <n v="25.9"/>
    <n v="21674.25"/>
    <s v="Completed"/>
    <s v="Pune"/>
  </r>
  <r>
    <s v="ORD-01703"/>
    <d v="2024-07-01T00:00:00"/>
    <s v="CUST-0039"/>
    <s v="PROD-058"/>
    <x v="4"/>
    <n v="3"/>
    <n v="2400"/>
    <n v="17.5"/>
    <n v="5940"/>
    <s v="Completed"/>
    <s v="Bengaluru"/>
  </r>
  <r>
    <s v="ORD-01704"/>
    <d v="2024-03-21T00:00:00"/>
    <s v="CUST-0033"/>
    <s v="PROD-052"/>
    <x v="3"/>
    <n v="8"/>
    <n v="5410"/>
    <n v="8.3000000000000007"/>
    <n v="39687.760000000002"/>
    <s v="Completed"/>
    <s v="Delhi"/>
  </r>
  <r>
    <s v="ORD-01705"/>
    <d v="2024-11-26T00:00:00"/>
    <s v="CUST-0037"/>
    <s v="PROD-002"/>
    <x v="26"/>
    <n v="1"/>
    <n v="2600"/>
    <n v="5.9"/>
    <n v="2446.6"/>
    <s v="Completed"/>
    <s v="Bengaluru"/>
  </r>
  <r>
    <s v="ORD-01706"/>
    <d v="2024-11-07T00:00:00"/>
    <s v="CUST-0081"/>
    <s v="PROD-025"/>
    <x v="11"/>
    <n v="10"/>
    <n v="4060"/>
    <n v="2.2999999999999998"/>
    <n v="39666.199999999997"/>
    <s v="Completed"/>
    <s v="Mumbai"/>
  </r>
  <r>
    <s v="ORD-01707"/>
    <d v="2024-03-01T00:00:00"/>
    <s v="CUST-0279"/>
    <s v="PROD-001"/>
    <x v="16"/>
    <n v="9"/>
    <n v="5330"/>
    <n v="23.5"/>
    <n v="36697.050000000003"/>
    <s v="Completed"/>
    <s v="Mumbai"/>
  </r>
  <r>
    <s v="ORD-01708"/>
    <d v="2024-11-04T00:00:00"/>
    <s v="CUST-0129"/>
    <s v="PROD-043"/>
    <x v="5"/>
    <n v="7"/>
    <n v="3350"/>
    <n v="13.4"/>
    <n v="20307.7"/>
    <s v="Pending"/>
    <s v="Hyderabad"/>
  </r>
  <r>
    <s v="ORD-01709"/>
    <d v="2024-12-05T00:00:00"/>
    <s v="CUST-0010"/>
    <s v="PROD-017"/>
    <x v="2"/>
    <n v="4"/>
    <n v="2510"/>
    <n v="26.6"/>
    <n v="7369.36"/>
    <s v="Completed"/>
    <s v="Mumbai"/>
  </r>
  <r>
    <s v="ORD-01710"/>
    <d v="2024-06-13T00:00:00"/>
    <s v="CUST-0006"/>
    <s v="PROD-045"/>
    <x v="13"/>
    <n v="1"/>
    <n v="3020"/>
    <n v="15.2"/>
    <n v="2560.96"/>
    <s v="Cancelled"/>
    <s v="Pune"/>
  </r>
  <r>
    <s v="ORD-01711"/>
    <d v="2024-09-04T00:00:00"/>
    <s v="CUST-0206"/>
    <s v="PROD-020"/>
    <x v="20"/>
    <n v="1"/>
    <n v="820"/>
    <n v="6.3"/>
    <n v="768.34"/>
    <s v="Completed"/>
    <s v="Mumbai"/>
  </r>
  <r>
    <s v="ORD-01712"/>
    <d v="2024-07-15T00:00:00"/>
    <s v="CUST-0034"/>
    <s v="PROD-012"/>
    <x v="28"/>
    <n v="4"/>
    <n v="3160"/>
    <n v="3.6"/>
    <n v="12184.96"/>
    <s v="Pending"/>
    <s v="Delhi"/>
  </r>
  <r>
    <s v="ORD-01713"/>
    <d v="2024-03-19T00:00:00"/>
    <s v="CUST-0121"/>
    <s v="PROD-028"/>
    <x v="27"/>
    <n v="1"/>
    <n v="3660"/>
    <n v="28.2"/>
    <n v="2627.88"/>
    <s v="Pending"/>
    <s v="Delhi"/>
  </r>
  <r>
    <s v="ORD-01714"/>
    <d v="2024-04-12T00:00:00"/>
    <s v="CUST-0098"/>
    <s v="PROD-020"/>
    <x v="17"/>
    <n v="2"/>
    <n v="820"/>
    <n v="7"/>
    <n v="1525.2"/>
    <s v="Completed"/>
    <s v="Delhi"/>
  </r>
  <r>
    <s v="ORD-01715"/>
    <d v="2024-06-03T00:00:00"/>
    <s v="CUST-0031"/>
    <s v="PROD-023"/>
    <x v="24"/>
    <n v="5"/>
    <n v="2380"/>
    <n v="23"/>
    <n v="9163"/>
    <s v="Completed"/>
    <s v="Hyderabad"/>
  </r>
  <r>
    <s v="ORD-01716"/>
    <d v="2024-11-16T00:00:00"/>
    <s v="CUST-0185"/>
    <s v="PROD-004"/>
    <x v="22"/>
    <n v="1"/>
    <n v="3870"/>
    <n v="27.3"/>
    <n v="2813.49"/>
    <s v="Completed"/>
    <s v="Hyderabad"/>
  </r>
  <r>
    <s v="ORD-01717"/>
    <d v="2024-01-10T00:00:00"/>
    <s v="CUST-0011"/>
    <s v="PROD-005"/>
    <x v="0"/>
    <n v="10"/>
    <n v="300"/>
    <n v="14.1"/>
    <n v="2577"/>
    <s v="Cancelled"/>
    <s v="Chennai"/>
  </r>
  <r>
    <s v="ORD-01718"/>
    <d v="2024-12-21T00:00:00"/>
    <s v="CUST-0223"/>
    <s v="PROD-048"/>
    <x v="28"/>
    <n v="10"/>
    <n v="5100"/>
    <n v="12.7"/>
    <n v="44523"/>
    <s v="Completed"/>
    <s v="Bengaluru"/>
  </r>
  <r>
    <s v="ORD-01719"/>
    <d v="2024-10-24T00:00:00"/>
    <s v="CUST-0126"/>
    <s v="PROD-021"/>
    <x v="22"/>
    <n v="1"/>
    <n v="2760"/>
    <n v="17.8"/>
    <n v="2268.7199999999998"/>
    <s v="Refunded"/>
    <s v="Mumbai"/>
  </r>
  <r>
    <s v="ORD-01720"/>
    <d v="2024-03-31T00:00:00"/>
    <s v="CUST-0284"/>
    <s v="PROD-001"/>
    <x v="25"/>
    <n v="8"/>
    <n v="5330"/>
    <n v="16.399999999999999"/>
    <n v="35647.040000000001"/>
    <s v="Completed"/>
    <s v="Hyderabad"/>
  </r>
  <r>
    <s v="ORD-01721"/>
    <d v="2024-06-14T00:00:00"/>
    <s v="CUST-0011"/>
    <s v="PROD-054"/>
    <x v="29"/>
    <n v="1"/>
    <n v="1010"/>
    <n v="20.399999999999999"/>
    <n v="803.96"/>
    <s v="Cancelled"/>
    <s v="Chennai"/>
  </r>
  <r>
    <s v="ORD-01722"/>
    <d v="2024-03-25T00:00:00"/>
    <s v="CUST-0275"/>
    <s v="PROD-008"/>
    <x v="7"/>
    <n v="10"/>
    <n v="2660"/>
    <n v="29.3"/>
    <n v="18806.2"/>
    <s v="Completed"/>
    <s v="Mumbai"/>
  </r>
  <r>
    <s v="ORD-01723"/>
    <d v="2024-08-02T00:00:00"/>
    <s v="CUST-0259"/>
    <s v="PROD-006"/>
    <x v="23"/>
    <n v="9"/>
    <n v="3970"/>
    <n v="10.4"/>
    <n v="32014.080000000002"/>
    <s v="Pending"/>
    <s v="Mumbai"/>
  </r>
  <r>
    <s v="ORD-01724"/>
    <d v="2024-06-29T00:00:00"/>
    <s v="CUST-0089"/>
    <s v="PROD-014"/>
    <x v="4"/>
    <n v="3"/>
    <n v="3620"/>
    <n v="22"/>
    <n v="8470.7999999999993"/>
    <s v="Completed"/>
    <s v="Mumbai"/>
  </r>
  <r>
    <s v="ORD-01725"/>
    <d v="2024-04-01T00:00:00"/>
    <s v="CUST-0232"/>
    <s v="PROD-022"/>
    <x v="26"/>
    <n v="6"/>
    <n v="2270"/>
    <n v="11.1"/>
    <n v="12108.18"/>
    <s v="Cancelled"/>
    <s v="Hyderabad"/>
  </r>
  <r>
    <s v="ORD-01726"/>
    <d v="2024-09-08T00:00:00"/>
    <s v="CUST-0220"/>
    <s v="PROD-022"/>
    <x v="2"/>
    <n v="4"/>
    <n v="2270"/>
    <n v="27.2"/>
    <n v="6610.24"/>
    <s v="Pending"/>
    <s v="Chennai"/>
  </r>
  <r>
    <s v="ORD-01727"/>
    <d v="2024-10-11T00:00:00"/>
    <s v="CUST-0137"/>
    <s v="PROD-039"/>
    <x v="27"/>
    <n v="8"/>
    <n v="4610"/>
    <n v="24.5"/>
    <n v="27844.400000000001"/>
    <s v="Completed"/>
    <s v="Mumbai"/>
  </r>
  <r>
    <s v="ORD-01728"/>
    <d v="2024-03-15T00:00:00"/>
    <s v="CUST-0132"/>
    <s v="PROD-060"/>
    <x v="16"/>
    <n v="6"/>
    <n v="190"/>
    <n v="8.6999999999999993"/>
    <n v="1040.82"/>
    <s v="Cancelled"/>
    <s v="Delhi"/>
  </r>
  <r>
    <s v="ORD-01729"/>
    <d v="2024-11-21T00:00:00"/>
    <s v="CUST-0226"/>
    <s v="PROD-033"/>
    <x v="17"/>
    <n v="5"/>
    <n v="2030"/>
    <n v="0.9"/>
    <n v="10058.65"/>
    <s v="Cancelled"/>
    <s v="Chennai"/>
  </r>
  <r>
    <s v="ORD-01730"/>
    <d v="2024-11-18T00:00:00"/>
    <s v="CUST-0080"/>
    <s v="PROD-026"/>
    <x v="16"/>
    <n v="1"/>
    <n v="4070"/>
    <n v="9.3000000000000007"/>
    <n v="3691.49"/>
    <s v="Refunded"/>
    <s v="Pune"/>
  </r>
  <r>
    <s v="ORD-01731"/>
    <d v="2024-06-17T00:00:00"/>
    <s v="CUST-0068"/>
    <s v="PROD-042"/>
    <x v="19"/>
    <n v="3"/>
    <n v="2290"/>
    <n v="12.1"/>
    <n v="6038.73"/>
    <s v="Completed"/>
    <s v="Delhi"/>
  </r>
  <r>
    <s v="ORD-01732"/>
    <d v="2024-08-10T00:00:00"/>
    <s v="CUST-0146"/>
    <s v="PROD-031"/>
    <x v="16"/>
    <n v="7"/>
    <n v="3730"/>
    <n v="4.5"/>
    <n v="24935.05"/>
    <s v="Completed"/>
    <s v="Hyderabad"/>
  </r>
  <r>
    <s v="ORD-01733"/>
    <d v="2024-01-15T00:00:00"/>
    <s v="CUST-0106"/>
    <s v="PROD-016"/>
    <x v="1"/>
    <n v="5"/>
    <n v="620"/>
    <n v="7.5"/>
    <n v="2867.5"/>
    <s v="Completed"/>
    <s v="Pune"/>
  </r>
  <r>
    <s v="ORD-01734"/>
    <d v="2024-06-12T00:00:00"/>
    <s v="CUST-0096"/>
    <s v="PROD-010"/>
    <x v="9"/>
    <n v="8"/>
    <n v="2640"/>
    <n v="16.399999999999999"/>
    <n v="17656.32"/>
    <s v="Completed"/>
    <s v="Delhi"/>
  </r>
  <r>
    <s v="ORD-01735"/>
    <d v="2024-09-29T00:00:00"/>
    <s v="CUST-0248"/>
    <s v="PROD-028"/>
    <x v="10"/>
    <n v="6"/>
    <n v="3660"/>
    <n v="6.2"/>
    <n v="20598.48"/>
    <s v="Completed"/>
    <s v="Chennai"/>
  </r>
  <r>
    <s v="ORD-01736"/>
    <d v="2024-08-03T00:00:00"/>
    <s v="CUST-0297"/>
    <s v="PROD-020"/>
    <x v="16"/>
    <n v="2"/>
    <n v="820"/>
    <n v="25.4"/>
    <n v="1223.44"/>
    <s v="Completed"/>
    <s v="Hyderabad"/>
  </r>
  <r>
    <s v="ORD-01737"/>
    <d v="2024-10-31T00:00:00"/>
    <s v="CUST-0120"/>
    <s v="PROD-019"/>
    <x v="13"/>
    <n v="3"/>
    <n v="2480"/>
    <n v="28.7"/>
    <n v="5304.72"/>
    <s v="Pending"/>
    <s v="Mumbai"/>
  </r>
  <r>
    <s v="ORD-01738"/>
    <d v="2024-08-30T00:00:00"/>
    <s v="CUST-0148"/>
    <s v="PROD-050"/>
    <x v="8"/>
    <n v="10"/>
    <n v="6080"/>
    <n v="18.899999999999999"/>
    <n v="49308.800000000003"/>
    <s v="Completed"/>
    <s v="Chennai"/>
  </r>
  <r>
    <s v="ORD-01739"/>
    <d v="2024-02-14T00:00:00"/>
    <s v="CUST-0008"/>
    <s v="PROD-060"/>
    <x v="24"/>
    <n v="1"/>
    <n v="190"/>
    <n v="5.7"/>
    <n v="179.17"/>
    <s v="Completed"/>
    <s v="Pune"/>
  </r>
  <r>
    <s v="ORD-01740"/>
    <d v="2024-06-20T00:00:00"/>
    <s v="CUST-0013"/>
    <s v="PROD-059"/>
    <x v="17"/>
    <n v="2"/>
    <n v="3780"/>
    <n v="11.8"/>
    <n v="6667.92"/>
    <s v="Completed"/>
    <s v="Delhi"/>
  </r>
  <r>
    <s v="ORD-01741"/>
    <d v="2024-11-06T00:00:00"/>
    <s v="CUST-0234"/>
    <s v="PROD-036"/>
    <x v="19"/>
    <n v="5"/>
    <n v="3250"/>
    <n v="19.899999999999999"/>
    <n v="13016.25"/>
    <s v="Completed"/>
    <s v="Bengaluru"/>
  </r>
  <r>
    <s v="ORD-01742"/>
    <d v="2024-03-14T00:00:00"/>
    <s v="CUST-0207"/>
    <s v="PROD-033"/>
    <x v="4"/>
    <n v="7"/>
    <n v="2030"/>
    <n v="4.0999999999999996"/>
    <n v="13627.39"/>
    <s v="Completed"/>
    <s v="Hyderabad"/>
  </r>
  <r>
    <s v="ORD-01743"/>
    <d v="2024-12-25T00:00:00"/>
    <s v="CUST-0245"/>
    <s v="PROD-046"/>
    <x v="27"/>
    <n v="5"/>
    <n v="4880"/>
    <n v="22.9"/>
    <n v="18812.400000000001"/>
    <s v="Completed"/>
    <s v="Hyderabad"/>
  </r>
  <r>
    <s v="ORD-01744"/>
    <d v="2024-01-06T00:00:00"/>
    <s v="CUST-0044"/>
    <s v="PROD-043"/>
    <x v="16"/>
    <n v="3"/>
    <n v="3350"/>
    <n v="15.2"/>
    <n v="8522.4"/>
    <s v="Pending"/>
    <s v="Hyderabad"/>
  </r>
  <r>
    <s v="ORD-01745"/>
    <d v="2024-05-13T00:00:00"/>
    <s v="CUST-0264"/>
    <s v="PROD-055"/>
    <x v="20"/>
    <n v="10"/>
    <n v="2860"/>
    <n v="15"/>
    <n v="24310"/>
    <s v="Completed"/>
    <s v="Pune"/>
  </r>
  <r>
    <s v="ORD-01746"/>
    <d v="2024-06-01T00:00:00"/>
    <s v="CUST-0193"/>
    <s v="PROD-047"/>
    <x v="26"/>
    <n v="5"/>
    <n v="3450"/>
    <n v="2.2999999999999998"/>
    <n v="16853.25"/>
    <s v="Completed"/>
    <s v="Bengaluru"/>
  </r>
  <r>
    <s v="ORD-01747"/>
    <d v="2024-04-15T00:00:00"/>
    <s v="CUST-0006"/>
    <s v="PROD-024"/>
    <x v="15"/>
    <n v="3"/>
    <n v="2270"/>
    <n v="2.8"/>
    <n v="6619.32"/>
    <s v="Pending"/>
    <s v="Pune"/>
  </r>
  <r>
    <s v="ORD-01748"/>
    <d v="2024-03-03T00:00:00"/>
    <s v="CUST-0221"/>
    <s v="PROD-028"/>
    <x v="0"/>
    <n v="8"/>
    <n v="3660"/>
    <n v="16.8"/>
    <n v="24360.959999999999"/>
    <s v="Completed"/>
    <s v="Delhi"/>
  </r>
  <r>
    <s v="ORD-01749"/>
    <d v="2024-06-26T00:00:00"/>
    <s v="CUST-0151"/>
    <s v="PROD-045"/>
    <x v="4"/>
    <n v="7"/>
    <n v="3020"/>
    <n v="17.8"/>
    <n v="17377.080000000002"/>
    <s v="Completed"/>
    <s v="Mumbai"/>
  </r>
  <r>
    <s v="ORD-01750"/>
    <d v="2024-10-22T00:00:00"/>
    <s v="CUST-0188"/>
    <s v="PROD-040"/>
    <x v="2"/>
    <n v="7"/>
    <n v="1080"/>
    <n v="12.9"/>
    <n v="6584.76"/>
    <s v="Completed"/>
    <s v="Bengaluru"/>
  </r>
  <r>
    <s v="ORD-01751"/>
    <d v="2024-07-21T00:00:00"/>
    <s v="CUST-0010"/>
    <s v="PROD-022"/>
    <x v="27"/>
    <n v="2"/>
    <n v="2270"/>
    <n v="8.6"/>
    <n v="4149.5600000000004"/>
    <s v="Cancelled"/>
    <s v="Mumbai"/>
  </r>
  <r>
    <s v="ORD-01752"/>
    <d v="2024-06-02T00:00:00"/>
    <s v="CUST-0018"/>
    <s v="PROD-016"/>
    <x v="27"/>
    <n v="10"/>
    <n v="620"/>
    <n v="26.1"/>
    <n v="4581.8"/>
    <s v="Completed"/>
    <s v="Pune"/>
  </r>
  <r>
    <s v="ORD-01753"/>
    <d v="2024-09-26T00:00:00"/>
    <s v="CUST-0262"/>
    <s v="PROD-025"/>
    <x v="15"/>
    <n v="2"/>
    <n v="4060"/>
    <n v="3.8"/>
    <n v="7811.44"/>
    <s v="Completed"/>
    <s v="Mumbai"/>
  </r>
  <r>
    <s v="ORD-01754"/>
    <d v="2024-07-15T00:00:00"/>
    <s v="CUST-0282"/>
    <s v="PROD-027"/>
    <x v="27"/>
    <n v="1"/>
    <n v="3780"/>
    <n v="27.9"/>
    <n v="2725.38"/>
    <s v="Completed"/>
    <s v="Hyderabad"/>
  </r>
  <r>
    <s v="ORD-01755"/>
    <d v="2024-11-21T00:00:00"/>
    <s v="CUST-0194"/>
    <s v="PROD-023"/>
    <x v="24"/>
    <n v="8"/>
    <n v="2380"/>
    <n v="3.8"/>
    <n v="18316.48"/>
    <s v="Completed"/>
    <s v="Delhi"/>
  </r>
  <r>
    <s v="ORD-01756"/>
    <d v="2024-03-27T00:00:00"/>
    <s v="CUST-0161"/>
    <s v="PROD-026"/>
    <x v="6"/>
    <n v="7"/>
    <n v="4070"/>
    <n v="0.3"/>
    <n v="28404.53"/>
    <s v="Completed"/>
    <s v="Chennai"/>
  </r>
  <r>
    <s v="ORD-01757"/>
    <d v="2024-06-16T00:00:00"/>
    <s v="CUST-0120"/>
    <s v="PROD-010"/>
    <x v="16"/>
    <n v="6"/>
    <n v="2640"/>
    <n v="3.4"/>
    <n v="15301.44"/>
    <s v="Completed"/>
    <s v="Mumbai"/>
  </r>
  <r>
    <s v="ORD-01758"/>
    <d v="2024-03-26T00:00:00"/>
    <s v="CUST-0250"/>
    <s v="PROD-059"/>
    <x v="14"/>
    <n v="10"/>
    <n v="3780"/>
    <n v="13.3"/>
    <n v="32772.6"/>
    <s v="Completed"/>
    <s v="Delhi"/>
  </r>
  <r>
    <s v="ORD-01759"/>
    <d v="2024-01-11T00:00:00"/>
    <s v="CUST-0054"/>
    <s v="PROD-043"/>
    <x v="18"/>
    <n v="9"/>
    <n v="3350"/>
    <n v="12.8"/>
    <n v="26290.799999999999"/>
    <s v="Completed"/>
    <s v="Mumbai"/>
  </r>
  <r>
    <s v="ORD-01760"/>
    <d v="2024-06-16T00:00:00"/>
    <s v="CUST-0247"/>
    <s v="PROD-012"/>
    <x v="6"/>
    <n v="7"/>
    <n v="3160"/>
    <n v="15.3"/>
    <n v="18735.64"/>
    <s v="Completed"/>
    <s v="Pune"/>
  </r>
  <r>
    <s v="ORD-01761"/>
    <d v="2024-05-16T00:00:00"/>
    <s v="CUST-0127"/>
    <s v="PROD-055"/>
    <x v="10"/>
    <n v="6"/>
    <n v="2860"/>
    <n v="17.5"/>
    <n v="14157"/>
    <s v="Completed"/>
    <s v="Bengaluru"/>
  </r>
  <r>
    <s v="ORD-01762"/>
    <d v="2024-02-19T00:00:00"/>
    <s v="CUST-0030"/>
    <s v="PROD-005"/>
    <x v="9"/>
    <n v="9"/>
    <n v="300"/>
    <n v="25.2"/>
    <n v="2019.6"/>
    <s v="Completed"/>
    <s v="Bengaluru"/>
  </r>
  <r>
    <s v="ORD-01763"/>
    <d v="2024-01-05T00:00:00"/>
    <s v="CUST-0205"/>
    <s v="PROD-060"/>
    <x v="16"/>
    <n v="5"/>
    <n v="190"/>
    <n v="1.8"/>
    <n v="932.9"/>
    <s v="Completed"/>
    <s v="Pune"/>
  </r>
  <r>
    <s v="ORD-01764"/>
    <d v="2024-08-29T00:00:00"/>
    <s v="CUST-0172"/>
    <s v="PROD-054"/>
    <x v="13"/>
    <n v="7"/>
    <n v="1010"/>
    <n v="11.2"/>
    <n v="6278.16"/>
    <s v="Completed"/>
    <s v="Pune"/>
  </r>
  <r>
    <s v="ORD-01765"/>
    <d v="2024-08-11T00:00:00"/>
    <s v="CUST-0283"/>
    <s v="PROD-051"/>
    <x v="19"/>
    <n v="8"/>
    <n v="3450"/>
    <n v="8.4"/>
    <n v="25281.599999999999"/>
    <s v="Completed"/>
    <s v="Delhi"/>
  </r>
  <r>
    <s v="ORD-01766"/>
    <d v="2024-11-01T00:00:00"/>
    <s v="CUST-0005"/>
    <s v="PROD-005"/>
    <x v="19"/>
    <n v="3"/>
    <n v="300"/>
    <n v="7.5"/>
    <n v="832.5"/>
    <s v="Refunded"/>
    <s v="Chennai"/>
  </r>
  <r>
    <s v="ORD-01767"/>
    <d v="2024-03-19T00:00:00"/>
    <s v="CUST-0095"/>
    <s v="PROD-031"/>
    <x v="26"/>
    <n v="4"/>
    <n v="3730"/>
    <n v="24.8"/>
    <n v="11219.84"/>
    <s v="Completed"/>
    <s v="Mumbai"/>
  </r>
  <r>
    <s v="ORD-01768"/>
    <d v="2024-06-19T00:00:00"/>
    <s v="CUST-0142"/>
    <s v="PROD-058"/>
    <x v="16"/>
    <n v="5"/>
    <n v="2400"/>
    <n v="9.1999999999999993"/>
    <n v="10896"/>
    <s v="Completed"/>
    <s v="Chennai"/>
  </r>
  <r>
    <s v="ORD-01769"/>
    <d v="2024-11-13T00:00:00"/>
    <s v="CUST-0028"/>
    <s v="PROD-021"/>
    <x v="19"/>
    <n v="3"/>
    <n v="2760"/>
    <n v="2.4"/>
    <n v="8081.28"/>
    <s v="Completed"/>
    <s v="Bengaluru"/>
  </r>
  <r>
    <s v="ORD-01770"/>
    <d v="2024-09-13T00:00:00"/>
    <s v="CUST-0118"/>
    <s v="PROD-053"/>
    <x v="18"/>
    <n v="8"/>
    <n v="470"/>
    <n v="24.8"/>
    <n v="2827.52"/>
    <s v="Pending"/>
    <s v="Hyderabad"/>
  </r>
  <r>
    <s v="ORD-01771"/>
    <d v="2024-12-07T00:00:00"/>
    <s v="CUST-0231"/>
    <s v="PROD-053"/>
    <x v="28"/>
    <n v="3"/>
    <n v="470"/>
    <n v="18.600000000000001"/>
    <n v="1147.74"/>
    <s v="Completed"/>
    <s v="Chennai"/>
  </r>
  <r>
    <s v="ORD-01772"/>
    <d v="2024-10-15T00:00:00"/>
    <s v="CUST-0264"/>
    <s v="PROD-032"/>
    <x v="8"/>
    <n v="2"/>
    <n v="370"/>
    <n v="24"/>
    <n v="562.4"/>
    <s v="Completed"/>
    <s v="Pune"/>
  </r>
  <r>
    <s v="ORD-01773"/>
    <d v="2024-02-07T00:00:00"/>
    <s v="CUST-0120"/>
    <s v="PROD-029"/>
    <x v="19"/>
    <n v="6"/>
    <n v="2210"/>
    <n v="28.3"/>
    <n v="9507.42"/>
    <s v="Cancelled"/>
    <s v="Mumbai"/>
  </r>
  <r>
    <s v="ORD-01774"/>
    <d v="2024-09-14T00:00:00"/>
    <s v="CUST-0185"/>
    <s v="PROD-056"/>
    <x v="25"/>
    <n v="3"/>
    <n v="6940"/>
    <n v="27.2"/>
    <n v="15156.96"/>
    <s v="Refunded"/>
    <s v="Hyderabad"/>
  </r>
  <r>
    <s v="ORD-01775"/>
    <d v="2024-05-11T00:00:00"/>
    <s v="CUST-0174"/>
    <s v="PROD-033"/>
    <x v="26"/>
    <n v="10"/>
    <n v="2030"/>
    <n v="25.6"/>
    <n v="15103.2"/>
    <s v="Completed"/>
    <s v="Pune"/>
  </r>
  <r>
    <s v="ORD-01776"/>
    <d v="2024-08-29T00:00:00"/>
    <s v="CUST-0174"/>
    <s v="PROD-054"/>
    <x v="21"/>
    <n v="9"/>
    <n v="1010"/>
    <n v="9.3000000000000007"/>
    <n v="8244.6299999999992"/>
    <s v="Completed"/>
    <s v="Pune"/>
  </r>
  <r>
    <s v="ORD-01777"/>
    <d v="2024-10-06T00:00:00"/>
    <s v="CUST-0084"/>
    <s v="PROD-017"/>
    <x v="25"/>
    <n v="5"/>
    <n v="2510"/>
    <n v="22.2"/>
    <n v="9763.9"/>
    <s v="Completed"/>
    <s v="Chennai"/>
  </r>
  <r>
    <s v="ORD-01778"/>
    <d v="2024-05-29T00:00:00"/>
    <s v="CUST-0270"/>
    <s v="PROD-032"/>
    <x v="25"/>
    <n v="10"/>
    <n v="370"/>
    <n v="29"/>
    <n v="2627"/>
    <s v="Completed"/>
    <s v="Bengaluru"/>
  </r>
  <r>
    <s v="ORD-01779"/>
    <d v="2024-04-21T00:00:00"/>
    <s v="CUST-0178"/>
    <s v="PROD-019"/>
    <x v="13"/>
    <n v="3"/>
    <n v="2480"/>
    <n v="9.6"/>
    <n v="6725.76"/>
    <s v="Completed"/>
    <s v="Hyderabad"/>
  </r>
  <r>
    <s v="ORD-01780"/>
    <d v="2024-12-18T00:00:00"/>
    <s v="CUST-0019"/>
    <s v="PROD-010"/>
    <x v="21"/>
    <n v="3"/>
    <n v="2640"/>
    <n v="10.199999999999999"/>
    <n v="7112.16"/>
    <s v="Cancelled"/>
    <s v="Chennai"/>
  </r>
  <r>
    <s v="ORD-01781"/>
    <d v="2024-07-31T00:00:00"/>
    <s v="CUST-0276"/>
    <s v="PROD-035"/>
    <x v="16"/>
    <n v="1"/>
    <n v="1090"/>
    <n v="21.6"/>
    <n v="854.56"/>
    <s v="Cancelled"/>
    <s v="Chennai"/>
  </r>
  <r>
    <s v="ORD-01782"/>
    <d v="2024-11-10T00:00:00"/>
    <s v="CUST-0076"/>
    <s v="PROD-043"/>
    <x v="25"/>
    <n v="10"/>
    <n v="3350"/>
    <n v="12.1"/>
    <n v="29446.5"/>
    <s v="Completed"/>
    <s v="Mumbai"/>
  </r>
  <r>
    <s v="ORD-01783"/>
    <d v="2024-09-27T00:00:00"/>
    <s v="CUST-0085"/>
    <s v="PROD-050"/>
    <x v="15"/>
    <n v="4"/>
    <n v="6080"/>
    <n v="26.7"/>
    <n v="17826.560000000001"/>
    <s v="Cancelled"/>
    <s v="Chennai"/>
  </r>
  <r>
    <s v="ORD-01784"/>
    <d v="2024-03-21T00:00:00"/>
    <s v="CUST-0245"/>
    <s v="PROD-049"/>
    <x v="25"/>
    <n v="3"/>
    <n v="960"/>
    <n v="13.2"/>
    <n v="2499.84"/>
    <s v="Completed"/>
    <s v="Hyderabad"/>
  </r>
  <r>
    <s v="ORD-01785"/>
    <d v="2024-11-14T00:00:00"/>
    <s v="CUST-0135"/>
    <s v="PROD-028"/>
    <x v="0"/>
    <n v="9"/>
    <n v="3660"/>
    <n v="9.3000000000000007"/>
    <n v="29876.58"/>
    <s v="Cancelled"/>
    <s v="Pune"/>
  </r>
  <r>
    <s v="ORD-01786"/>
    <d v="2024-04-06T00:00:00"/>
    <s v="CUST-0224"/>
    <s v="PROD-047"/>
    <x v="7"/>
    <n v="6"/>
    <n v="3450"/>
    <n v="8.1999999999999993"/>
    <n v="19002.599999999999"/>
    <s v="Completed"/>
    <s v="Chennai"/>
  </r>
  <r>
    <s v="ORD-01787"/>
    <d v="2024-05-09T00:00:00"/>
    <s v="CUST-0036"/>
    <s v="PROD-039"/>
    <x v="16"/>
    <n v="7"/>
    <n v="4610"/>
    <n v="10.4"/>
    <n v="28913.919999999998"/>
    <s v="Completed"/>
    <s v="Mumbai"/>
  </r>
  <r>
    <s v="ORD-01788"/>
    <d v="2024-08-25T00:00:00"/>
    <s v="CUST-0197"/>
    <s v="PROD-057"/>
    <x v="18"/>
    <n v="2"/>
    <n v="960"/>
    <n v="16.5"/>
    <n v="1603.2"/>
    <s v="Completed"/>
    <s v="Bengaluru"/>
  </r>
  <r>
    <s v="ORD-01789"/>
    <d v="2024-09-18T00:00:00"/>
    <s v="CUST-0111"/>
    <s v="PROD-032"/>
    <x v="12"/>
    <n v="7"/>
    <n v="370"/>
    <n v="1.4"/>
    <n v="2553.7399999999998"/>
    <s v="Refunded"/>
    <s v="Chennai"/>
  </r>
  <r>
    <s v="ORD-01790"/>
    <d v="2024-08-31T00:00:00"/>
    <s v="CUST-0198"/>
    <s v="PROD-024"/>
    <x v="10"/>
    <n v="3"/>
    <n v="2270"/>
    <n v="12.6"/>
    <n v="5951.94"/>
    <s v="Completed"/>
    <s v="Chennai"/>
  </r>
  <r>
    <s v="ORD-00268"/>
    <d v="2024-01-10T00:00:00"/>
    <s v="CUST-0049"/>
    <s v="PROD-036"/>
    <x v="2"/>
    <n v="1"/>
    <n v="3250"/>
    <n v="17.8"/>
    <n v="2671.5"/>
    <s v="Completed"/>
    <s v="Mumbai"/>
  </r>
  <r>
    <s v="ORD-01792"/>
    <d v="2024-04-22T00:00:00"/>
    <s v="CUST-0029"/>
    <s v="PROD-016"/>
    <x v="26"/>
    <n v="5"/>
    <n v="620"/>
    <n v="19.399999999999999"/>
    <n v="2498.6"/>
    <s v="Pending"/>
    <s v="Chennai"/>
  </r>
  <r>
    <s v="ORD-01793"/>
    <d v="2024-11-04T00:00:00"/>
    <s v="CUST-0018"/>
    <s v="PROD-008"/>
    <x v="1"/>
    <n v="6"/>
    <n v="2660"/>
    <n v="14.9"/>
    <n v="13581.96"/>
    <s v="Completed"/>
    <s v="Pune"/>
  </r>
  <r>
    <s v="ORD-01794"/>
    <d v="2024-08-22T00:00:00"/>
    <s v="CUST-0007"/>
    <s v="PROD-014"/>
    <x v="19"/>
    <n v="5"/>
    <n v="3620"/>
    <n v="21"/>
    <n v="14299"/>
    <s v="Cancelled"/>
    <s v="Bengaluru"/>
  </r>
  <r>
    <s v="ORD-01795"/>
    <d v="2024-10-15T00:00:00"/>
    <s v="CUST-0014"/>
    <s v="PROD-013"/>
    <x v="13"/>
    <n v="1"/>
    <n v="3640"/>
    <n v="15.8"/>
    <n v="3064.88"/>
    <s v="Completed"/>
    <s v="Bengaluru"/>
  </r>
  <r>
    <s v="ORD-01796"/>
    <d v="2024-06-01T00:00:00"/>
    <s v="CUST-0215"/>
    <s v="PROD-009"/>
    <x v="0"/>
    <n v="1"/>
    <n v="1220"/>
    <n v="0.6"/>
    <n v="1212.68"/>
    <s v="Refunded"/>
    <s v="Hyderabad"/>
  </r>
  <r>
    <s v="ORD-01797"/>
    <d v="2024-02-28T00:00:00"/>
    <s v="CUST-0056"/>
    <s v="PROD-019"/>
    <x v="25"/>
    <n v="10"/>
    <n v="2480"/>
    <n v="0.6"/>
    <n v="24651.200000000001"/>
    <s v="Completed"/>
    <s v="Bengaluru"/>
  </r>
  <r>
    <s v="ORD-01798"/>
    <d v="2024-12-08T00:00:00"/>
    <s v="CUST-0231"/>
    <s v="PROD-044"/>
    <x v="28"/>
    <n v="9"/>
    <n v="1650"/>
    <n v="26.8"/>
    <n v="10870.2"/>
    <s v="Completed"/>
    <s v="Chennai"/>
  </r>
  <r>
    <s v="ORD-01799"/>
    <d v="2024-09-25T00:00:00"/>
    <s v="CUST-0138"/>
    <s v="PROD-045"/>
    <x v="4"/>
    <n v="10"/>
    <n v="3020"/>
    <n v="2.6"/>
    <n v="29414.799999999999"/>
    <s v="Completed"/>
    <s v="Chennai"/>
  </r>
  <r>
    <s v="ORD-01800"/>
    <d v="2024-09-09T00:00:00"/>
    <s v="CUST-0007"/>
    <s v="PROD-011"/>
    <x v="2"/>
    <n v="5"/>
    <n v="3450"/>
    <n v="25.3"/>
    <n v="12885.75"/>
    <s v="Completed"/>
    <s v="Bengaluru"/>
  </r>
  <r>
    <s v="ORD-01801"/>
    <d v="2024-06-14T00:00:00"/>
    <s v="CUST-0118"/>
    <s v="PROD-009"/>
    <x v="7"/>
    <n v="7"/>
    <n v="1220"/>
    <n v="13.1"/>
    <n v="7421.26"/>
    <s v="Completed"/>
    <s v="Hyderabad"/>
  </r>
  <r>
    <s v="ORD-01802"/>
    <d v="2024-10-13T00:00:00"/>
    <s v="CUST-0064"/>
    <s v="PROD-027"/>
    <x v="1"/>
    <n v="10"/>
    <n v="3780"/>
    <n v="23.7"/>
    <n v="28841.4"/>
    <s v="Completed"/>
    <s v="Hyderabad"/>
  </r>
  <r>
    <s v="ORD-01803"/>
    <d v="2024-04-23T00:00:00"/>
    <s v="CUST-0298"/>
    <s v="PROD-008"/>
    <x v="25"/>
    <n v="8"/>
    <n v="2660"/>
    <n v="16.100000000000001"/>
    <n v="17853.919999999998"/>
    <s v="Completed"/>
    <s v="Delhi"/>
  </r>
  <r>
    <s v="ORD-01804"/>
    <d v="2024-02-16T00:00:00"/>
    <s v="CUST-0020"/>
    <s v="PROD-035"/>
    <x v="4"/>
    <n v="6"/>
    <n v="1090"/>
    <n v="20"/>
    <n v="5232"/>
    <s v="Pending"/>
    <s v="Hyderabad"/>
  </r>
  <r>
    <s v="ORD-01805"/>
    <d v="2024-02-02T00:00:00"/>
    <s v="CUST-9725"/>
    <s v="PROD-037"/>
    <x v="29"/>
    <n v="2"/>
    <n v="660"/>
    <n v="18.7"/>
    <n v="1073.1600000000001"/>
    <s v="Completed"/>
    <s v="Mumbai"/>
  </r>
  <r>
    <s v="ORD-01806"/>
    <d v="2024-02-10T00:00:00"/>
    <s v="CUST-0063"/>
    <s v="PROD-035"/>
    <x v="15"/>
    <n v="7"/>
    <n v="1090"/>
    <n v="19.399999999999999"/>
    <n v="6149.78"/>
    <s v="Pending"/>
    <s v="Mumbai"/>
  </r>
  <r>
    <s v="ORD-01807"/>
    <d v="2024-05-17T00:00:00"/>
    <s v="CUST-0193"/>
    <s v="PROD-029"/>
    <x v="15"/>
    <n v="3"/>
    <n v="2210"/>
    <n v="11"/>
    <n v="5900.7"/>
    <s v="Completed"/>
    <s v="Bengaluru"/>
  </r>
  <r>
    <s v="ORD-01808"/>
    <d v="2024-05-08T00:00:00"/>
    <s v="CUST-0142"/>
    <s v="PROD-006"/>
    <x v="20"/>
    <n v="2"/>
    <n v="3970"/>
    <n v="24.9"/>
    <n v="5962.94"/>
    <s v="Completed"/>
    <s v="Chennai"/>
  </r>
  <r>
    <s v="ORD-01809"/>
    <d v="2024-04-21T00:00:00"/>
    <s v="CUST-0264"/>
    <s v="PROD-039"/>
    <x v="13"/>
    <n v="7"/>
    <n v="4610"/>
    <n v="6.3"/>
    <n v="30236.99"/>
    <s v="Completed"/>
    <s v="Pune"/>
  </r>
  <r>
    <s v="ORD-01810"/>
    <d v="2024-04-21T00:00:00"/>
    <s v="CUST-0121"/>
    <s v="PROD-049"/>
    <x v="17"/>
    <n v="10"/>
    <n v="960"/>
    <n v="14.6"/>
    <n v="8198.4"/>
    <s v="Completed"/>
    <s v="Delhi"/>
  </r>
  <r>
    <s v="ORD-01811"/>
    <d v="2024-11-04T00:00:00"/>
    <s v="CUST-0152"/>
    <s v="PROD-045"/>
    <x v="29"/>
    <n v="8"/>
    <n v="3020"/>
    <n v="14.5"/>
    <n v="20656.8"/>
    <s v="Completed"/>
    <s v="Bengaluru"/>
  </r>
  <r>
    <s v="ORD-01812"/>
    <d v="2024-12-03T00:00:00"/>
    <s v="CUST-0008"/>
    <s v="PROD-019"/>
    <x v="17"/>
    <n v="7"/>
    <n v="2480"/>
    <n v="17.3"/>
    <n v="14356.72"/>
    <s v="Completed"/>
    <s v="Pune"/>
  </r>
  <r>
    <s v="ORD-01813"/>
    <d v="2024-02-08T00:00:00"/>
    <s v="CUST-0285"/>
    <s v="PROD-004"/>
    <x v="22"/>
    <n v="10"/>
    <n v="3870"/>
    <n v="22.4"/>
    <n v="30031.200000000001"/>
    <s v="Pending"/>
    <s v="Hyderabad"/>
  </r>
  <r>
    <s v="ORD-01814"/>
    <d v="2024-09-16T00:00:00"/>
    <s v="CUST-0072"/>
    <s v="PROD-037"/>
    <x v="24"/>
    <n v="6"/>
    <n v="660"/>
    <n v="27.3"/>
    <n v="2878.92"/>
    <s v="Completed"/>
    <s v="Mumbai"/>
  </r>
  <r>
    <s v="ORD-01815"/>
    <d v="2024-01-30T00:00:00"/>
    <s v="CUST-9630"/>
    <s v="PROD-004"/>
    <x v="17"/>
    <n v="3"/>
    <n v="3870"/>
    <n v="7.6"/>
    <n v="10727.64"/>
    <s v="Cancelled"/>
    <s v="Chennai"/>
  </r>
  <r>
    <s v="ORD-01816"/>
    <d v="2024-09-07T00:00:00"/>
    <s v="CUST-0243"/>
    <s v="PROD-019"/>
    <x v="3"/>
    <n v="10"/>
    <n v="2480"/>
    <n v="21.5"/>
    <n v="19468"/>
    <s v="Pending"/>
    <s v="Pune"/>
  </r>
  <r>
    <s v="ORD-01817"/>
    <d v="2024-12-17T00:00:00"/>
    <s v="CUST-0231"/>
    <s v="PROD-010"/>
    <x v="19"/>
    <n v="8"/>
    <n v="2640"/>
    <n v="22.3"/>
    <n v="16410.240000000002"/>
    <s v="Completed"/>
    <s v="Chennai"/>
  </r>
  <r>
    <s v="ORD-01818"/>
    <d v="2024-09-24T00:00:00"/>
    <s v="CUST-0229"/>
    <s v="PROD-030"/>
    <x v="19"/>
    <n v="8"/>
    <n v="970"/>
    <n v="13.1"/>
    <n v="6743.44"/>
    <s v="Completed"/>
    <s v="Hyderabad"/>
  </r>
  <r>
    <s v="ORD-01819"/>
    <d v="2024-05-04T00:00:00"/>
    <s v="CUST-0218"/>
    <s v="PROD-057"/>
    <x v="19"/>
    <n v="6"/>
    <n v="960"/>
    <n v="3.2"/>
    <n v="5575.68"/>
    <s v="Completed"/>
    <s v="Mumbai"/>
  </r>
  <r>
    <s v="ORD-01820"/>
    <d v="2024-06-26T00:00:00"/>
    <s v="CUST-0015"/>
    <s v="PROD-033"/>
    <x v="4"/>
    <n v="9"/>
    <n v="2030"/>
    <n v="12.6"/>
    <n v="15967.98"/>
    <s v="Cancelled"/>
    <s v="Chennai"/>
  </r>
  <r>
    <s v="ORD-01821"/>
    <d v="2024-04-05T00:00:00"/>
    <s v="CUST-0291"/>
    <s v="PROD-042"/>
    <x v="6"/>
    <n v="10"/>
    <n v="2290"/>
    <n v="22.2"/>
    <n v="17816.2"/>
    <s v="Completed"/>
    <s v="Pune"/>
  </r>
  <r>
    <s v="ORD-01822"/>
    <d v="2024-03-22T00:00:00"/>
    <s v="CUST-0276"/>
    <s v="PROD-020"/>
    <x v="28"/>
    <n v="7"/>
    <n v="820"/>
    <n v="6.4"/>
    <n v="5372.64"/>
    <s v="Refunded"/>
    <s v="Chennai"/>
  </r>
  <r>
    <s v="ORD-01823"/>
    <d v="2024-11-18T00:00:00"/>
    <s v="CUST-0139"/>
    <s v="PROD-040"/>
    <x v="14"/>
    <n v="5"/>
    <n v="1080"/>
    <n v="6"/>
    <n v="5076"/>
    <s v="Completed"/>
    <s v="Hyderabad"/>
  </r>
  <r>
    <s v="ORD-01824"/>
    <d v="2024-01-19T00:00:00"/>
    <s v="CUST-0087"/>
    <s v="PROD-060"/>
    <x v="8"/>
    <n v="4"/>
    <n v="190"/>
    <n v="6.3"/>
    <n v="712.12"/>
    <s v="Refunded"/>
    <s v="Pune"/>
  </r>
  <r>
    <s v="ORD-01825"/>
    <d v="2024-01-28T00:00:00"/>
    <s v="CUST-0203"/>
    <s v="PROD-017"/>
    <x v="20"/>
    <n v="6"/>
    <n v="2510"/>
    <n v="11.5"/>
    <n v="13328.1"/>
    <s v="Completed"/>
    <s v="Chennai"/>
  </r>
  <r>
    <s v="ORD-01826"/>
    <d v="2024-01-08T00:00:00"/>
    <s v="CUST-0180"/>
    <s v="PROD-018"/>
    <x v="15"/>
    <n v="2"/>
    <n v="3560"/>
    <n v="10.5"/>
    <n v="6372.4"/>
    <s v="Completed"/>
    <s v="Chennai"/>
  </r>
  <r>
    <s v="ORD-01827"/>
    <d v="2024-09-21T00:00:00"/>
    <s v="CUST-0130"/>
    <s v="PROD-020"/>
    <x v="22"/>
    <n v="3"/>
    <n v="820"/>
    <n v="13"/>
    <n v="2140.1999999999998"/>
    <s v="Cancelled"/>
    <s v="Bengaluru"/>
  </r>
  <r>
    <s v="ORD-01828"/>
    <d v="2024-07-27T00:00:00"/>
    <s v="CUST-0049"/>
    <s v="PROD-013"/>
    <x v="11"/>
    <n v="6"/>
    <n v="3640"/>
    <n v="14"/>
    <n v="18782.400000000001"/>
    <s v="Completed"/>
    <s v="Mumbai"/>
  </r>
  <r>
    <s v="ORD-01829"/>
    <d v="2024-03-19T00:00:00"/>
    <s v="CUST-0182"/>
    <s v="PROD-028"/>
    <x v="7"/>
    <n v="5"/>
    <n v="3660"/>
    <n v="28.7"/>
    <n v="13047.9"/>
    <s v="Completed"/>
    <s v="Mumbai"/>
  </r>
  <r>
    <s v="ORD-01830"/>
    <d v="2024-08-17T00:00:00"/>
    <s v="CUST-0291"/>
    <s v="PROD-055"/>
    <x v="14"/>
    <n v="2"/>
    <n v="2860"/>
    <n v="21.1"/>
    <n v="4513.08"/>
    <s v="Completed"/>
    <s v="Pune"/>
  </r>
  <r>
    <s v="ORD-01831"/>
    <d v="2024-07-08T00:00:00"/>
    <s v="CUST-0167"/>
    <s v="PROD-015"/>
    <x v="7"/>
    <n v="1"/>
    <n v="2720"/>
    <n v="22.1"/>
    <n v="2118.88"/>
    <s v="Completed"/>
    <s v="Delhi"/>
  </r>
  <r>
    <s v="ORD-01832"/>
    <d v="2024-12-07T00:00:00"/>
    <s v="CUST-0223"/>
    <s v="PROD-055"/>
    <x v="10"/>
    <n v="6"/>
    <n v="2860"/>
    <n v="10.5"/>
    <n v="15358.2"/>
    <s v="Cancelled"/>
    <s v="Bengaluru"/>
  </r>
  <r>
    <s v="ORD-01833"/>
    <d v="2024-01-14T00:00:00"/>
    <s v="CUST-0050"/>
    <s v="PROD-017"/>
    <x v="16"/>
    <n v="1"/>
    <n v="2510"/>
    <n v="12"/>
    <n v="2208.8000000000002"/>
    <s v="Completed"/>
    <s v="Mumbai"/>
  </r>
  <r>
    <s v="ORD-01834"/>
    <d v="2024-10-28T00:00:00"/>
    <s v="CUST-0242"/>
    <s v="PROD-017"/>
    <x v="16"/>
    <n v="4"/>
    <n v="2510"/>
    <n v="23.2"/>
    <n v="7710.72"/>
    <s v="Completed"/>
    <s v="Chennai"/>
  </r>
  <r>
    <s v="ORD-01835"/>
    <d v="2024-09-20T00:00:00"/>
    <s v="CUST-0144"/>
    <s v="PROD-049"/>
    <x v="1"/>
    <n v="8"/>
    <n v="960"/>
    <n v="20.3"/>
    <n v="6120.96"/>
    <s v="Pending"/>
    <s v="Chennai"/>
  </r>
  <r>
    <s v="ORD-01836"/>
    <d v="2024-04-24T00:00:00"/>
    <s v="CUST-0140"/>
    <s v="PROD-038"/>
    <x v="9"/>
    <n v="3"/>
    <n v="5490"/>
    <n v="25.2"/>
    <n v="12319.56"/>
    <s v="Completed"/>
    <s v="Hyderabad"/>
  </r>
  <r>
    <s v="ORD-01837"/>
    <d v="2024-12-21T00:00:00"/>
    <s v="CUST-0174"/>
    <s v="PROD-017"/>
    <x v="3"/>
    <n v="2"/>
    <n v="2510"/>
    <n v="28.2"/>
    <n v="3604.36"/>
    <s v="Completed"/>
    <s v="Pune"/>
  </r>
  <r>
    <s v="ORD-01838"/>
    <d v="2024-04-04T00:00:00"/>
    <s v="CUST-0290"/>
    <s v="PROD-020"/>
    <x v="23"/>
    <n v="1"/>
    <n v="820"/>
    <n v="4.7"/>
    <n v="781.46"/>
    <s v="Completed"/>
    <s v="Delhi"/>
  </r>
  <r>
    <s v="ORD-01839"/>
    <d v="2024-06-10T00:00:00"/>
    <s v="CUST-0170"/>
    <s v="PROD-005"/>
    <x v="26"/>
    <n v="6"/>
    <n v="300"/>
    <n v="13.3"/>
    <n v="1560.6"/>
    <s v="Completed"/>
    <s v="Mumbai"/>
  </r>
  <r>
    <s v="ORD-01840"/>
    <d v="2024-07-19T00:00:00"/>
    <s v="CUST-0180"/>
    <s v="PROD-043"/>
    <x v="29"/>
    <n v="4"/>
    <n v="3350"/>
    <n v="5.8"/>
    <n v="12622.8"/>
    <s v="Pending"/>
    <s v="Chennai"/>
  </r>
  <r>
    <s v="ORD-01841"/>
    <d v="2024-11-09T00:00:00"/>
    <s v="CUST-0286"/>
    <s v="PROD-036"/>
    <x v="5"/>
    <n v="3"/>
    <n v="3250"/>
    <n v="19.600000000000001"/>
    <n v="7839"/>
    <s v="Pending"/>
    <s v="Delhi"/>
  </r>
  <r>
    <s v="ORD-01842"/>
    <d v="2024-02-22T00:00:00"/>
    <s v="CUST-0056"/>
    <s v="PROD-044"/>
    <x v="28"/>
    <n v="10"/>
    <n v="1650"/>
    <n v="22.5"/>
    <n v="12787.5"/>
    <s v="Cancelled"/>
    <s v="Bengaluru"/>
  </r>
  <r>
    <s v="ORD-01843"/>
    <d v="2024-08-02T00:00:00"/>
    <s v="CUST-0292"/>
    <s v="PROD-009"/>
    <x v="17"/>
    <n v="2"/>
    <n v="1220"/>
    <n v="10.5"/>
    <n v="2183.8000000000002"/>
    <s v="Completed"/>
    <s v="Bengaluru"/>
  </r>
  <r>
    <s v="ORD-01844"/>
    <d v="2024-08-17T00:00:00"/>
    <s v="CUST-0020"/>
    <s v="PROD-049"/>
    <x v="17"/>
    <n v="7"/>
    <n v="960"/>
    <n v="5.4"/>
    <n v="6357.12"/>
    <s v="Refunded"/>
    <s v="Hyderabad"/>
  </r>
  <r>
    <s v="ORD-01845"/>
    <d v="2024-04-07T00:00:00"/>
    <s v="CUST-0089"/>
    <s v="PROD-046"/>
    <x v="2"/>
    <n v="3"/>
    <n v="4880"/>
    <n v="17.100000000000001"/>
    <n v="12136.56"/>
    <s v="Completed"/>
    <s v="Mumbai"/>
  </r>
  <r>
    <s v="ORD-01846"/>
    <d v="2024-04-08T00:00:00"/>
    <s v="CUST-0242"/>
    <s v="PROD-024"/>
    <x v="8"/>
    <n v="5"/>
    <n v="2270"/>
    <n v="12.4"/>
    <n v="9942.6"/>
    <s v="Completed"/>
    <s v="Chennai"/>
  </r>
  <r>
    <s v="ORD-01847"/>
    <d v="2024-05-01T00:00:00"/>
    <s v="CUST-0249"/>
    <s v="PROD-035"/>
    <x v="8"/>
    <n v="1"/>
    <n v="1090"/>
    <n v="17.3"/>
    <n v="901.43"/>
    <s v="Completed"/>
    <s v="Mumbai"/>
  </r>
  <r>
    <s v="ORD-01848"/>
    <d v="2024-08-31T00:00:00"/>
    <s v="CUST-0032"/>
    <s v="PROD-034"/>
    <x v="20"/>
    <n v="8"/>
    <n v="5080"/>
    <n v="0.9"/>
    <n v="40274.239999999998"/>
    <s v="Completed"/>
    <s v="Hyderabad"/>
  </r>
  <r>
    <s v="ORD-01849"/>
    <d v="2024-10-04T00:00:00"/>
    <s v="CUST-0217"/>
    <s v="PROD-039"/>
    <x v="21"/>
    <n v="7"/>
    <n v="4610"/>
    <n v="0.9"/>
    <n v="31979.57"/>
    <s v="Completed"/>
    <s v="Pune"/>
  </r>
  <r>
    <s v="ORD-01850"/>
    <d v="2024-08-23T00:00:00"/>
    <s v="CUST-0284"/>
    <s v="PROD-045"/>
    <x v="8"/>
    <n v="1"/>
    <n v="3020"/>
    <n v="10.3"/>
    <n v="2708.94"/>
    <s v="Completed"/>
    <s v="Hyderabad"/>
  </r>
  <r>
    <s v="ORD-01851"/>
    <d v="2024-06-10T00:00:00"/>
    <s v="CUST-0167"/>
    <s v="PROD-022"/>
    <x v="8"/>
    <n v="6"/>
    <n v="2270"/>
    <n v="23.1"/>
    <n v="10473.780000000001"/>
    <s v="Completed"/>
    <s v="Delhi"/>
  </r>
  <r>
    <s v="ORD-01852"/>
    <d v="2024-11-09T00:00:00"/>
    <s v="CUST-0008"/>
    <s v="PROD-026"/>
    <x v="9"/>
    <n v="6"/>
    <n v="4070"/>
    <n v="28.9"/>
    <n v="17362.62"/>
    <s v="Completed"/>
    <s v="Pune"/>
  </r>
  <r>
    <s v="ORD-01853"/>
    <d v="2024-12-24T00:00:00"/>
    <s v="CUST-0277"/>
    <s v="PROD-009"/>
    <x v="21"/>
    <n v="5"/>
    <n v="1220"/>
    <n v="18.7"/>
    <n v="4959.3"/>
    <s v="Completed"/>
    <s v="Chennai"/>
  </r>
  <r>
    <s v="ORD-01854"/>
    <d v="2024-04-30T00:00:00"/>
    <s v="CUST-0025"/>
    <s v="PROD-019"/>
    <x v="6"/>
    <n v="8"/>
    <n v="2480"/>
    <n v="3.2"/>
    <n v="19205.12"/>
    <s v="Cancelled"/>
    <s v="Bengaluru"/>
  </r>
  <r>
    <s v="ORD-01855"/>
    <d v="2024-09-19T00:00:00"/>
    <s v="CUST-0228"/>
    <s v="PROD-055"/>
    <x v="0"/>
    <n v="7"/>
    <n v="2860"/>
    <n v="8.4"/>
    <n v="18338.32"/>
    <s v="Completed"/>
    <s v="Pune"/>
  </r>
  <r>
    <s v="ORD-01856"/>
    <d v="2024-03-14T00:00:00"/>
    <s v="CUST-0078"/>
    <s v="PROD-027"/>
    <x v="6"/>
    <n v="1"/>
    <n v="3780"/>
    <n v="16.3"/>
    <n v="3163.86"/>
    <s v="Cancelled"/>
    <s v="Delhi"/>
  </r>
  <r>
    <s v="ORD-01857"/>
    <d v="2024-07-31T00:00:00"/>
    <s v="CUST-0205"/>
    <s v="PROD-055"/>
    <x v="5"/>
    <n v="6"/>
    <n v="2860"/>
    <n v="10.7"/>
    <n v="15323.88"/>
    <s v="Completed"/>
    <s v="Pune"/>
  </r>
  <r>
    <s v="ORD-01858"/>
    <d v="2024-12-26T00:00:00"/>
    <s v="CUST-0044"/>
    <s v="PROD-058"/>
    <x v="28"/>
    <n v="3"/>
    <n v="2400"/>
    <n v="20.7"/>
    <n v="5709.6"/>
    <s v="Completed"/>
    <s v="Hyderabad"/>
  </r>
  <r>
    <s v="ORD-01859"/>
    <d v="2024-02-08T00:00:00"/>
    <s v="CUST-0188"/>
    <s v="PROD-023"/>
    <x v="5"/>
    <n v="8"/>
    <n v="2380"/>
    <n v="22.3"/>
    <n v="14794.08"/>
    <s v="Refunded"/>
    <s v="Bengaluru"/>
  </r>
  <r>
    <s v="ORD-01860"/>
    <d v="2024-08-29T00:00:00"/>
    <s v="CUST-0165"/>
    <s v="PROD-048"/>
    <x v="3"/>
    <n v="7"/>
    <n v="5100"/>
    <n v="22.9"/>
    <n v="27524.7"/>
    <s v="Cancelled"/>
    <s v="Pune"/>
  </r>
  <r>
    <s v="ORD-01861"/>
    <d v="2024-06-20T00:00:00"/>
    <s v="CUST-0059"/>
    <s v="PROD-005"/>
    <x v="15"/>
    <n v="7"/>
    <n v="300"/>
    <n v="15.3"/>
    <n v="1778.7"/>
    <s v="Completed"/>
    <s v="Pune"/>
  </r>
  <r>
    <s v="ORD-01862"/>
    <d v="2024-05-16T00:00:00"/>
    <s v="CUST-0280"/>
    <s v="PROD-051"/>
    <x v="9"/>
    <n v="5"/>
    <n v="3450"/>
    <n v="16.8"/>
    <n v="14352"/>
    <s v="Completed"/>
    <s v="Delhi"/>
  </r>
  <r>
    <s v="ORD-01863"/>
    <d v="2024-12-08T00:00:00"/>
    <s v="CUST-0153"/>
    <s v="PROD-055"/>
    <x v="2"/>
    <n v="4"/>
    <n v="2860"/>
    <n v="14.3"/>
    <n v="9804.08"/>
    <s v="Completed"/>
    <s v="Mumbai"/>
  </r>
  <r>
    <s v="ORD-01864"/>
    <d v="2024-12-01T00:00:00"/>
    <s v="CUST-0251"/>
    <s v="PROD-015"/>
    <x v="19"/>
    <n v="6"/>
    <n v="2720"/>
    <n v="25.1"/>
    <n v="12223.68"/>
    <s v="Cancelled"/>
    <s v="Mumbai"/>
  </r>
  <r>
    <s v="ORD-01865"/>
    <d v="2024-05-17T00:00:00"/>
    <s v="CUST-0255"/>
    <s v="PROD-031"/>
    <x v="8"/>
    <n v="3"/>
    <n v="3730"/>
    <n v="24.8"/>
    <n v="8414.8799999999992"/>
    <s v="Completed"/>
    <s v="Chennai"/>
  </r>
  <r>
    <s v="ORD-01866"/>
    <d v="2024-12-22T00:00:00"/>
    <s v="CUST-0076"/>
    <s v="PROD-025"/>
    <x v="25"/>
    <n v="2"/>
    <n v="4060"/>
    <n v="11.3"/>
    <n v="7202.44"/>
    <s v="Completed"/>
    <s v="Mumbai"/>
  </r>
  <r>
    <s v="ORD-01867"/>
    <d v="2024-01-04T00:00:00"/>
    <s v="CUST-0195"/>
    <s v="PROD-042"/>
    <x v="26"/>
    <n v="6"/>
    <n v="2290"/>
    <n v="26.8"/>
    <n v="10057.68"/>
    <s v="Refunded"/>
    <s v="Bengaluru"/>
  </r>
  <r>
    <s v="ORD-01868"/>
    <d v="2024-05-06T00:00:00"/>
    <s v="CUST-0164"/>
    <s v="PROD-056"/>
    <x v="22"/>
    <n v="1"/>
    <n v="6940"/>
    <n v="15.7"/>
    <n v="5850.42"/>
    <s v="Completed"/>
    <s v="Chennai"/>
  </r>
  <r>
    <s v="ORD-01869"/>
    <d v="2024-11-27T00:00:00"/>
    <s v="CUST-0239"/>
    <s v="PROD-031"/>
    <x v="18"/>
    <n v="3"/>
    <n v="3730"/>
    <n v="18.100000000000001"/>
    <n v="9164.61"/>
    <s v="Completed"/>
    <s v="Mumbai"/>
  </r>
  <r>
    <s v="ORD-01870"/>
    <d v="2024-08-24T00:00:00"/>
    <s v="CUST-0133"/>
    <s v="PROD-031"/>
    <x v="25"/>
    <n v="8"/>
    <n v="3730"/>
    <n v="12.5"/>
    <n v="26110"/>
    <s v="Completed"/>
    <s v="Chennai"/>
  </r>
  <r>
    <s v="ORD-01871"/>
    <d v="2024-12-18T00:00:00"/>
    <s v="CUST-0286"/>
    <s v="PROD-023"/>
    <x v="15"/>
    <n v="9"/>
    <n v="2380"/>
    <n v="8.1"/>
    <n v="19684.98"/>
    <s v="Cancelled"/>
    <s v="Delhi"/>
  </r>
  <r>
    <s v="ORD-01872"/>
    <d v="2024-07-02T00:00:00"/>
    <s v="CUST-0122"/>
    <s v="PROD-040"/>
    <x v="25"/>
    <n v="6"/>
    <n v="1080"/>
    <n v="8.8000000000000007"/>
    <n v="5909.76"/>
    <s v="Completed"/>
    <s v="Mumbai"/>
  </r>
  <r>
    <s v="ORD-01712"/>
    <d v="2024-04-19T00:00:00"/>
    <s v="CUST-0285"/>
    <s v="PROD-053"/>
    <x v="22"/>
    <n v="5"/>
    <n v="470"/>
    <n v="1.3"/>
    <n v="2319.4499999999998"/>
    <s v="Completed"/>
    <s v="Hyderabad"/>
  </r>
  <r>
    <s v="ORD-01874"/>
    <d v="2024-08-12T00:00:00"/>
    <s v="CUST-0174"/>
    <s v="PROD-032"/>
    <x v="17"/>
    <n v="4"/>
    <n v="370"/>
    <n v="13.1"/>
    <n v="1286.1199999999999"/>
    <s v="Completed"/>
    <s v="Pune"/>
  </r>
  <r>
    <s v="ORD-01875"/>
    <d v="2024-08-13T00:00:00"/>
    <s v="CUST-0115"/>
    <s v="PROD-012"/>
    <x v="0"/>
    <n v="7"/>
    <n v="3160"/>
    <n v="12.3"/>
    <n v="19399.240000000002"/>
    <s v="Completed"/>
    <s v="Mumbai"/>
  </r>
  <r>
    <s v="ORD-01876"/>
    <d v="2024-12-19T00:00:00"/>
    <s v="CUST-0028"/>
    <s v="PROD-018"/>
    <x v="6"/>
    <n v="5"/>
    <n v="3560"/>
    <n v="24"/>
    <n v="13528"/>
    <s v="Completed"/>
    <s v="Bengaluru"/>
  </r>
  <r>
    <s v="ORD-01877"/>
    <d v="2024-05-05T00:00:00"/>
    <s v="CUST-0111"/>
    <s v="PROD-033"/>
    <x v="13"/>
    <n v="6"/>
    <n v="2030"/>
    <n v="20.5"/>
    <n v="9683.1"/>
    <s v="Completed"/>
    <s v="Chennai"/>
  </r>
  <r>
    <s v="ORD-01878"/>
    <d v="2024-02-29T00:00:00"/>
    <s v="CUST-0240"/>
    <s v="PROD-010"/>
    <x v="26"/>
    <n v="5"/>
    <n v="2640"/>
    <n v="21.3"/>
    <n v="10388.4"/>
    <s v="Pending"/>
    <s v="Chennai"/>
  </r>
  <r>
    <s v="ORD-01879"/>
    <d v="2024-12-03T00:00:00"/>
    <s v="CUST-0222"/>
    <s v="PROD-022"/>
    <x v="25"/>
    <n v="4"/>
    <n v="2270"/>
    <n v="15.8"/>
    <n v="7645.36"/>
    <s v="Completed"/>
    <s v="Chennai"/>
  </r>
  <r>
    <s v="ORD-01880"/>
    <d v="2024-10-23T00:00:00"/>
    <s v="CUST-0251"/>
    <s v="PROD-032"/>
    <x v="25"/>
    <n v="1"/>
    <n v="370"/>
    <n v="27"/>
    <n v="270.10000000000002"/>
    <s v="Pending"/>
    <s v="Mumbai"/>
  </r>
  <r>
    <s v="ORD-01881"/>
    <d v="2024-03-15T00:00:00"/>
    <s v="CUST-0203"/>
    <s v="PROD-048"/>
    <x v="21"/>
    <n v="9"/>
    <n v="5100"/>
    <n v="2.4"/>
    <n v="44798.400000000001"/>
    <s v="Completed"/>
    <s v="Chennai"/>
  </r>
  <r>
    <s v="ORD-01882"/>
    <d v="2024-01-31T00:00:00"/>
    <s v="CUST-0285"/>
    <s v="PROD-032"/>
    <x v="12"/>
    <n v="6"/>
    <n v="370"/>
    <n v="18.7"/>
    <n v="1804.86"/>
    <s v="Cancelled"/>
    <s v="Hyderabad"/>
  </r>
  <r>
    <s v="ORD-01883"/>
    <d v="2024-06-22T00:00:00"/>
    <s v="CUST-0135"/>
    <s v="PROD-030"/>
    <x v="10"/>
    <n v="6"/>
    <n v="970"/>
    <n v="21.6"/>
    <n v="4562.88"/>
    <s v="Completed"/>
    <s v="Pune"/>
  </r>
  <r>
    <s v="ORD-01884"/>
    <d v="2024-11-26T00:00:00"/>
    <s v="CUST-9967"/>
    <s v="PROD-029"/>
    <x v="20"/>
    <n v="3"/>
    <n v="2210"/>
    <n v="8.5"/>
    <n v="6066.45"/>
    <s v="Completed"/>
    <s v="Delhi"/>
  </r>
  <r>
    <s v="ORD-01885"/>
    <d v="2024-06-14T00:00:00"/>
    <s v="CUST-0096"/>
    <s v="PROD-044"/>
    <x v="25"/>
    <n v="1"/>
    <n v="1650"/>
    <n v="19.7"/>
    <n v="1324.95"/>
    <s v="Completed"/>
    <s v="Delhi"/>
  </r>
  <r>
    <s v="ORD-01886"/>
    <d v="2024-07-07T00:00:00"/>
    <s v="CUST-0266"/>
    <s v="PROD-056"/>
    <x v="11"/>
    <n v="5"/>
    <n v="6940"/>
    <n v="7.7"/>
    <n v="32028.1"/>
    <s v="Completed"/>
    <s v="Pune"/>
  </r>
  <r>
    <s v="ORD-01887"/>
    <d v="2024-04-10T00:00:00"/>
    <s v="CUST-0059"/>
    <s v="PROD-029"/>
    <x v="24"/>
    <n v="2"/>
    <n v="2210"/>
    <n v="5.6"/>
    <n v="4172.4799999999996"/>
    <s v="Cancelled"/>
    <s v="Pune"/>
  </r>
  <r>
    <s v="ORD-01888"/>
    <d v="2024-03-29T00:00:00"/>
    <s v="CUST-0094"/>
    <s v="PROD-002"/>
    <x v="2"/>
    <n v="9"/>
    <n v="2600"/>
    <n v="3.1"/>
    <n v="22674.6"/>
    <s v="Completed"/>
    <s v="Pune"/>
  </r>
  <r>
    <s v="ORD-01889"/>
    <d v="2024-07-21T00:00:00"/>
    <s v="CUST-0254"/>
    <s v="PROD-059"/>
    <x v="11"/>
    <n v="7"/>
    <n v="3780"/>
    <n v="13.3"/>
    <n v="22940.82"/>
    <s v="Completed"/>
    <s v="Bengaluru"/>
  </r>
  <r>
    <s v="ORD-01890"/>
    <d v="2024-11-25T00:00:00"/>
    <s v="CUST-0022"/>
    <s v="PROD-058"/>
    <x v="22"/>
    <n v="4"/>
    <n v="2400"/>
    <n v="16.600000000000001"/>
    <n v="8006.4"/>
    <s v="Pending"/>
    <s v="Bengaluru"/>
  </r>
  <r>
    <s v="ORD-01891"/>
    <d v="2024-11-07T00:00:00"/>
    <s v="CUST-0168"/>
    <s v="PROD-005"/>
    <x v="1"/>
    <n v="10"/>
    <n v="300"/>
    <n v="23.9"/>
    <n v="2283"/>
    <s v="Completed"/>
    <s v="Pune"/>
  </r>
  <r>
    <s v="ORD-01892"/>
    <d v="2024-12-14T00:00:00"/>
    <s v="CUST-0175"/>
    <s v="PROD-028"/>
    <x v="9"/>
    <n v="1"/>
    <n v="3660"/>
    <n v="1.5"/>
    <n v="3605.1"/>
    <s v="Pending"/>
    <s v="Delhi"/>
  </r>
  <r>
    <s v="ORD-01893"/>
    <d v="2024-08-30T00:00:00"/>
    <s v="CUST-0193"/>
    <s v="PROD-051"/>
    <x v="23"/>
    <n v="9"/>
    <n v="3450"/>
    <n v="21.8"/>
    <n v="24281.1"/>
    <s v="Completed"/>
    <s v="Bengaluru"/>
  </r>
  <r>
    <s v="ORD-01894"/>
    <d v="2024-04-28T00:00:00"/>
    <s v="CUST-0284"/>
    <s v="PROD-011"/>
    <x v="0"/>
    <n v="10"/>
    <n v="3450"/>
    <n v="15.7"/>
    <n v="29083.5"/>
    <s v="Cancelled"/>
    <s v="Hyderabad"/>
  </r>
  <r>
    <s v="ORD-01895"/>
    <d v="2024-04-30T00:00:00"/>
    <s v="CUST-0071"/>
    <s v="PROD-026"/>
    <x v="4"/>
    <n v="2"/>
    <n v="4070"/>
    <n v="10.8"/>
    <n v="7260.88"/>
    <s v="Completed"/>
    <s v="Delhi"/>
  </r>
  <r>
    <s v="ORD-01896"/>
    <d v="2024-03-21T00:00:00"/>
    <s v="CUST-0102"/>
    <s v="PROD-059"/>
    <x v="12"/>
    <n v="4"/>
    <n v="3780"/>
    <n v="17.100000000000001"/>
    <n v="12534.48"/>
    <s v="Completed"/>
    <s v="Chennai"/>
  </r>
  <r>
    <s v="ORD-01897"/>
    <d v="2024-11-26T00:00:00"/>
    <s v="CUST-0036"/>
    <s v="PROD-021"/>
    <x v="10"/>
    <n v="1"/>
    <n v="2760"/>
    <n v="2.5"/>
    <n v="2691"/>
    <s v="Cancelled"/>
    <s v="Mumbai"/>
  </r>
  <r>
    <s v="ORD-01898"/>
    <d v="2024-07-20T00:00:00"/>
    <s v="CUST-0273"/>
    <s v="PROD-046"/>
    <x v="14"/>
    <n v="2"/>
    <n v="4880"/>
    <n v="11"/>
    <n v="8686.4"/>
    <s v="Completed"/>
    <s v="Hyderabad"/>
  </r>
  <r>
    <s v="ORD-01899"/>
    <d v="2024-10-15T00:00:00"/>
    <s v="CUST-0262"/>
    <s v="PROD-023"/>
    <x v="24"/>
    <n v="10"/>
    <n v="2380"/>
    <n v="28.3"/>
    <n v="17064.599999999999"/>
    <s v="Completed"/>
    <s v="Mumbai"/>
  </r>
  <r>
    <s v="ORD-01900"/>
    <d v="2024-06-06T00:00:00"/>
    <s v="CUST-0083"/>
    <s v="PROD-042"/>
    <x v="11"/>
    <n v="3"/>
    <n v="2290"/>
    <n v="11.1"/>
    <n v="6107.43"/>
    <s v="Cancelled"/>
    <s v="Bengaluru"/>
  </r>
  <r>
    <s v="ORD-01901"/>
    <d v="2024-05-05T00:00:00"/>
    <s v="CUST-0273"/>
    <s v="PROD-021"/>
    <x v="10"/>
    <n v="6"/>
    <n v="2760"/>
    <n v="16.5"/>
    <n v="13827.6"/>
    <s v="Completed"/>
    <s v="Hyderabad"/>
  </r>
  <r>
    <s v="ORD-01902"/>
    <d v="2024-08-19T00:00:00"/>
    <s v="CUST-0047"/>
    <s v="PROD-025"/>
    <x v="28"/>
    <n v="5"/>
    <n v="4060"/>
    <n v="22.5"/>
    <n v="15732.5"/>
    <s v="Completed"/>
    <s v="Pune"/>
  </r>
  <r>
    <s v="ORD-01903"/>
    <d v="2024-03-16T00:00:00"/>
    <s v="CUST-0084"/>
    <s v="PROD-010"/>
    <x v="3"/>
    <n v="8"/>
    <n v="2640"/>
    <n v="11.8"/>
    <n v="18627.84"/>
    <s v="Completed"/>
    <s v="Chennai"/>
  </r>
  <r>
    <s v="ORD-01904"/>
    <d v="2024-01-18T00:00:00"/>
    <s v="CUST-0093"/>
    <s v="PROD-039"/>
    <x v="1"/>
    <n v="2"/>
    <n v="4610"/>
    <n v="10.4"/>
    <n v="8261.1200000000008"/>
    <s v="Pending"/>
    <s v="Pune"/>
  </r>
  <r>
    <s v="ORD-01905"/>
    <d v="2024-04-01T00:00:00"/>
    <s v="CUST-0282"/>
    <s v="PROD-029"/>
    <x v="8"/>
    <n v="6"/>
    <n v="2210"/>
    <n v="22.5"/>
    <n v="10276.5"/>
    <s v="Cancelled"/>
    <s v="Hyderabad"/>
  </r>
  <r>
    <s v="ORD-01906"/>
    <d v="2024-05-08T00:00:00"/>
    <s v="CUST-0246"/>
    <s v="PROD-029"/>
    <x v="23"/>
    <n v="4"/>
    <n v="2210"/>
    <n v="21.5"/>
    <n v="6939.4"/>
    <s v="Pending"/>
    <s v="Delhi"/>
  </r>
  <r>
    <s v="ORD-01907"/>
    <d v="2024-04-18T00:00:00"/>
    <s v="CUST-0243"/>
    <s v="PROD-035"/>
    <x v="22"/>
    <n v="6"/>
    <n v="1090"/>
    <n v="28.3"/>
    <n v="4689.18"/>
    <s v="Completed"/>
    <s v="Pune"/>
  </r>
  <r>
    <s v="ORD-01908"/>
    <d v="2024-11-29T00:00:00"/>
    <s v="CUST-0298"/>
    <s v="PROD-032"/>
    <x v="11"/>
    <n v="9"/>
    <n v="370"/>
    <n v="13.8"/>
    <n v="2870.46"/>
    <s v="Completed"/>
    <s v="Delhi"/>
  </r>
  <r>
    <s v="ORD-01909"/>
    <d v="2024-09-20T00:00:00"/>
    <s v="CUST-0124"/>
    <s v="PROD-003"/>
    <x v="5"/>
    <n v="10"/>
    <n v="3570"/>
    <n v="3"/>
    <n v="34629"/>
    <s v="Cancelled"/>
    <s v="Pune"/>
  </r>
  <r>
    <s v="ORD-01910"/>
    <d v="2024-08-05T00:00:00"/>
    <s v="CUST-0070"/>
    <s v="PROD-036"/>
    <x v="29"/>
    <n v="10"/>
    <n v="3250"/>
    <n v="20.3"/>
    <n v="25902.5"/>
    <s v="Completed"/>
    <s v="Mumbai"/>
  </r>
  <r>
    <s v="ORD-01911"/>
    <d v="2024-05-24T00:00:00"/>
    <s v="CUST-0054"/>
    <s v="PROD-036"/>
    <x v="8"/>
    <n v="6"/>
    <n v="3250"/>
    <n v="25.8"/>
    <n v="14469"/>
    <s v="Pending"/>
    <s v="Mumbai"/>
  </r>
  <r>
    <s v="ORD-01912"/>
    <d v="2024-11-14T00:00:00"/>
    <s v="CUST-0208"/>
    <s v="PROD-057"/>
    <x v="6"/>
    <n v="9"/>
    <n v="960"/>
    <n v="29"/>
    <n v="6134.4"/>
    <s v="Completed"/>
    <s v="Mumbai"/>
  </r>
  <r>
    <s v="ORD-01913"/>
    <d v="2024-08-31T00:00:00"/>
    <s v="CUST-0181"/>
    <s v="PROD-050"/>
    <x v="15"/>
    <n v="9"/>
    <n v="6080"/>
    <n v="21"/>
    <n v="43228.800000000003"/>
    <s v="Completed"/>
    <s v="Delhi"/>
  </r>
  <r>
    <s v="ORD-01914"/>
    <d v="2024-03-15T00:00:00"/>
    <s v="CUST-0259"/>
    <s v="PROD-039"/>
    <x v="16"/>
    <n v="6"/>
    <n v="4610"/>
    <n v="13.5"/>
    <n v="23925.9"/>
    <s v="Completed"/>
    <s v="Mumbai"/>
  </r>
  <r>
    <s v="ORD-01915"/>
    <d v="2024-06-03T00:00:00"/>
    <s v="CUST-0277"/>
    <s v="PROD-034"/>
    <x v="13"/>
    <n v="7"/>
    <n v="5080"/>
    <n v="25.4"/>
    <n v="26527.759999999998"/>
    <s v="Completed"/>
    <s v="Chennai"/>
  </r>
  <r>
    <s v="ORD-01916"/>
    <d v="2024-09-15T00:00:00"/>
    <s v="CUST-0173"/>
    <s v="PROD-043"/>
    <x v="21"/>
    <n v="5"/>
    <n v="3350"/>
    <n v="2.2000000000000002"/>
    <n v="16381.5"/>
    <s v="Completed"/>
    <s v="Mumbai"/>
  </r>
  <r>
    <s v="ORD-01917"/>
    <d v="2024-11-04T00:00:00"/>
    <s v="CUST-0091"/>
    <s v="PROD-027"/>
    <x v="2"/>
    <n v="1"/>
    <n v="3780"/>
    <n v="13.7"/>
    <n v="3262.14"/>
    <s v="Completed"/>
    <s v="Delhi"/>
  </r>
  <r>
    <s v="ORD-01918"/>
    <d v="2024-03-01T00:00:00"/>
    <s v="CUST-0142"/>
    <s v="PROD-046"/>
    <x v="16"/>
    <n v="4"/>
    <n v="4880"/>
    <n v="11.6"/>
    <n v="17255.68"/>
    <s v="Completed"/>
    <s v="Chennai"/>
  </r>
  <r>
    <s v="ORD-01919"/>
    <d v="2024-04-03T00:00:00"/>
    <s v="CUST-0011"/>
    <s v="PROD-048"/>
    <x v="20"/>
    <n v="3"/>
    <n v="5100"/>
    <n v="24.2"/>
    <n v="11597.4"/>
    <s v="Completed"/>
    <s v=" Chennai "/>
  </r>
  <r>
    <s v="ORD-01920"/>
    <d v="2024-12-08T00:00:00"/>
    <s v="CUST-0074"/>
    <s v="PROD-008"/>
    <x v="12"/>
    <n v="5"/>
    <n v="2660"/>
    <n v="4.7"/>
    <n v="12674.9"/>
    <s v="Completed"/>
    <s v="Bengaluru"/>
  </r>
  <r>
    <s v="ORD-01921"/>
    <d v="2024-06-01T00:00:00"/>
    <s v="CUST-0131"/>
    <s v="PROD-023"/>
    <x v="21"/>
    <n v="10"/>
    <n v="2380"/>
    <n v="1"/>
    <n v="23562"/>
    <s v="Completed"/>
    <s v="Delhi"/>
  </r>
  <r>
    <s v="ORD-01922"/>
    <d v="2024-09-18T00:00:00"/>
    <s v="CUST-0093"/>
    <s v="PROD-046"/>
    <x v="25"/>
    <n v="9"/>
    <n v="4880"/>
    <n v="7.2"/>
    <n v="40757.760000000002"/>
    <s v="Completed"/>
    <s v="Pune"/>
  </r>
  <r>
    <s v="ORD-01923"/>
    <d v="2024-04-29T00:00:00"/>
    <s v="CUST-0229"/>
    <s v="PROD-031"/>
    <x v="2"/>
    <n v="1"/>
    <n v="3730"/>
    <n v="15.3"/>
    <n v="3159.31"/>
    <s v="Completed"/>
    <s v="Hyderabad"/>
  </r>
  <r>
    <s v="ORD-01924"/>
    <d v="2024-05-30T00:00:00"/>
    <s v="CUST-0293"/>
    <s v="PROD-059"/>
    <x v="11"/>
    <n v="10"/>
    <n v="3780"/>
    <n v="2.7"/>
    <n v="36779.4"/>
    <s v="Completed"/>
    <s v="Bengaluru"/>
  </r>
  <r>
    <s v="ORD-01925"/>
    <d v="2024-03-30T00:00:00"/>
    <s v="CUST-0105"/>
    <s v="PROD-014"/>
    <x v="12"/>
    <n v="2"/>
    <n v="3620"/>
    <n v="23"/>
    <n v="5574.8"/>
    <s v="Completed"/>
    <s v="Chennai"/>
  </r>
  <r>
    <s v="ORD-01926"/>
    <d v="2024-09-01T00:00:00"/>
    <s v="CUST-0003"/>
    <s v="PROD-034"/>
    <x v="13"/>
    <n v="9"/>
    <n v="5080"/>
    <n v="19.899999999999999"/>
    <n v="36621.72"/>
    <s v="Completed"/>
    <s v="Mumbai"/>
  </r>
  <r>
    <s v="ORD-01927"/>
    <d v="2024-09-26T00:00:00"/>
    <s v="CUST-0092"/>
    <s v="PROD-018"/>
    <x v="6"/>
    <n v="2"/>
    <n v="3560"/>
    <n v="5.5"/>
    <n v="6728.4"/>
    <s v="Completed"/>
    <s v="Bengaluru"/>
  </r>
  <r>
    <s v="ORD-01928"/>
    <d v="2024-02-27T00:00:00"/>
    <s v="CUST-0050"/>
    <s v="PROD-030"/>
    <x v="19"/>
    <n v="6"/>
    <n v="970"/>
    <n v="22.5"/>
    <n v="4510.5"/>
    <s v="Refunded"/>
    <s v="Mumbai"/>
  </r>
  <r>
    <s v="ORD-01929"/>
    <d v="2024-12-24T00:00:00"/>
    <s v="CUST-0237"/>
    <s v="PROD-043"/>
    <x v="2"/>
    <n v="9"/>
    <n v="3350"/>
    <n v="5.0999999999999996"/>
    <n v="28612.35"/>
    <s v="Completed"/>
    <s v="Mumbai"/>
  </r>
  <r>
    <s v="ORD-01930"/>
    <d v="2024-08-21T00:00:00"/>
    <s v="CUST-9905"/>
    <s v="PROD-032"/>
    <x v="23"/>
    <n v="6"/>
    <n v="370"/>
    <n v="17.8"/>
    <n v="1824.84"/>
    <s v="Completed"/>
    <s v="Mumbai"/>
  </r>
  <r>
    <s v="ORD-01931"/>
    <d v="2024-03-14T00:00:00"/>
    <s v="CUST-0175"/>
    <s v="PROD-024"/>
    <x v="23"/>
    <n v="3"/>
    <n v="2270"/>
    <n v="8.4"/>
    <n v="6237.96"/>
    <s v="Pending"/>
    <s v="Delhi"/>
  </r>
  <r>
    <s v="ORD-01932"/>
    <d v="2024-06-21T00:00:00"/>
    <s v="CUST-0271"/>
    <s v="PROD-051"/>
    <x v="13"/>
    <n v="3"/>
    <n v="3450"/>
    <n v="7.2"/>
    <n v="9604.7999999999993"/>
    <s v="Completed"/>
    <s v="Bengaluru"/>
  </r>
  <r>
    <s v="ORD-01933"/>
    <d v="2024-12-07T00:00:00"/>
    <s v="CUST-0129"/>
    <s v="PROD-054"/>
    <x v="4"/>
    <n v="9"/>
    <n v="1010"/>
    <n v="17.8"/>
    <n v="7471.98"/>
    <s v="Completed"/>
    <s v="Hyderabad"/>
  </r>
  <r>
    <s v="ORD-01934"/>
    <d v="2024-03-22T00:00:00"/>
    <s v="CUST-0156"/>
    <s v="PROD-039"/>
    <x v="11"/>
    <n v="5"/>
    <n v="4610"/>
    <n v="29.8"/>
    <n v="16181.1"/>
    <s v="Cancelled"/>
    <s v="Mumbai"/>
  </r>
  <r>
    <s v="ORD-01935"/>
    <d v="2024-07-24T00:00:00"/>
    <s v="CUST-0048"/>
    <s v="PROD-032"/>
    <x v="11"/>
    <n v="6"/>
    <n v="370"/>
    <n v="17.899999999999999"/>
    <n v="1822.62"/>
    <s v="Completed"/>
    <s v="Delhi"/>
  </r>
  <r>
    <s v="ORD-01936"/>
    <d v="2024-03-01T00:00:00"/>
    <s v="CUST-0224"/>
    <s v="PROD-023"/>
    <x v="17"/>
    <n v="6"/>
    <n v="2380"/>
    <n v="13.6"/>
    <n v="12337.92"/>
    <s v="Cancelled"/>
    <s v="Chennai"/>
  </r>
  <r>
    <s v="ORD-01937"/>
    <d v="2024-03-28T00:00:00"/>
    <s v="CUST-0101"/>
    <s v="PROD-049"/>
    <x v="12"/>
    <n v="6"/>
    <n v="960"/>
    <n v="15"/>
    <n v="4896"/>
    <s v="Pending"/>
    <s v="Hyderabad"/>
  </r>
  <r>
    <s v="ORD-01938"/>
    <d v="2024-05-10T00:00:00"/>
    <s v="CUST-0269"/>
    <s v="PROD-057"/>
    <x v="25"/>
    <n v="3"/>
    <n v="960"/>
    <n v="12.3"/>
    <n v="2525.7600000000002"/>
    <s v="Completed"/>
    <s v="Pune"/>
  </r>
  <r>
    <s v="ORD-01939"/>
    <d v="2024-05-01T00:00:00"/>
    <s v="CUST-0097"/>
    <s v="PROD-016"/>
    <x v="20"/>
    <n v="7"/>
    <n v="620"/>
    <n v="5.8"/>
    <n v="4088.28"/>
    <s v="Completed"/>
    <s v="Mumbai"/>
  </r>
  <r>
    <s v="ORD-01940"/>
    <d v="2024-06-24T00:00:00"/>
    <s v="CUST-0062"/>
    <s v="PROD-057"/>
    <x v="16"/>
    <n v="1"/>
    <n v="960"/>
    <n v="4.5999999999999996"/>
    <n v="915.84"/>
    <s v="Completed"/>
    <s v="Pune"/>
  </r>
  <r>
    <s v="ORD-01941"/>
    <d v="2024-08-16T00:00:00"/>
    <s v="CUST-0124"/>
    <s v="PROD-047"/>
    <x v="8"/>
    <n v="4"/>
    <n v="3450"/>
    <n v="13.3"/>
    <n v="11964.6"/>
    <s v="Completed"/>
    <s v="Pune"/>
  </r>
  <r>
    <s v="ORD-01942"/>
    <d v="2024-11-30T00:00:00"/>
    <s v="CUST-0185"/>
    <s v="PROD-015"/>
    <x v="7"/>
    <n v="10"/>
    <n v="2720"/>
    <n v="3.4"/>
    <n v="26275.200000000001"/>
    <s v="Completed"/>
    <s v="Hyderabad"/>
  </r>
  <r>
    <s v="ORD-01943"/>
    <d v="2024-06-09T00:00:00"/>
    <s v="CUST-0115"/>
    <s v="PROD-047"/>
    <x v="7"/>
    <n v="1"/>
    <n v="3450"/>
    <n v="29.4"/>
    <n v="2435.6999999999998"/>
    <s v="Completed"/>
    <s v="Mumbai"/>
  </r>
  <r>
    <s v="ORD-01944"/>
    <d v="2024-08-25T00:00:00"/>
    <s v="CUST-0097"/>
    <s v="PROD-044"/>
    <x v="6"/>
    <n v="5"/>
    <n v="1650"/>
    <n v="29.4"/>
    <n v="5824.5"/>
    <s v="Completed"/>
    <s v="Mumbai"/>
  </r>
  <r>
    <s v="ORD-01945"/>
    <d v="2024-12-13T00:00:00"/>
    <s v="CUST-0221"/>
    <s v="PROD-014"/>
    <x v="18"/>
    <n v="2"/>
    <n v="3620"/>
    <n v="15.6"/>
    <n v="6110.56"/>
    <s v="Completed"/>
    <s v="Delhi"/>
  </r>
  <r>
    <s v="ORD-01946"/>
    <d v="2024-10-27T00:00:00"/>
    <s v="CUST-0098"/>
    <s v="PROD-005"/>
    <x v="27"/>
    <n v="3"/>
    <n v="300"/>
    <n v="24.8"/>
    <n v="676.8"/>
    <s v="Completed"/>
    <s v="Delhi"/>
  </r>
  <r>
    <s v="ORD-01947"/>
    <d v="2024-02-16T00:00:00"/>
    <s v="CUST-0203"/>
    <s v="PROD-041"/>
    <x v="19"/>
    <n v="3"/>
    <n v="1540"/>
    <n v="29.5"/>
    <n v="3257.1"/>
    <s v="Completed"/>
    <s v="Chennai"/>
  </r>
  <r>
    <s v="ORD-01948"/>
    <d v="2024-09-16T00:00:00"/>
    <s v="CUST-0074"/>
    <s v="PROD-024"/>
    <x v="7"/>
    <n v="10"/>
    <n v="2270"/>
    <n v="5.5"/>
    <n v="21451.5"/>
    <s v="Cancelled"/>
    <s v="Bengaluru"/>
  </r>
  <r>
    <s v="ORD-01949"/>
    <d v="2024-02-28T00:00:00"/>
    <s v="CUST-0217"/>
    <s v="PROD-010"/>
    <x v="4"/>
    <n v="3"/>
    <n v="2640"/>
    <n v="28.2"/>
    <n v="5686.56"/>
    <s v="Refunded"/>
    <s v="Pune"/>
  </r>
  <r>
    <s v="ORD-01950"/>
    <d v="2024-08-03T00:00:00"/>
    <s v="CUST-0021"/>
    <s v="PROD-010"/>
    <x v="15"/>
    <n v="10"/>
    <n v="2640"/>
    <n v="25.9"/>
    <n v="19562.400000000001"/>
    <s v="Completed"/>
    <s v="Pune"/>
  </r>
  <r>
    <s v="ORD-01951"/>
    <d v="2024-09-03T00:00:00"/>
    <s v="CUST-0004"/>
    <s v="PROD-007"/>
    <x v="14"/>
    <n v="2"/>
    <n v="1430"/>
    <n v="5"/>
    <n v="2717"/>
    <s v="Cancelled"/>
    <s v="Delhi"/>
  </r>
  <r>
    <s v="ORD-01952"/>
    <d v="2024-11-22T00:00:00"/>
    <s v="CUST-0080"/>
    <s v="PROD-003"/>
    <x v="16"/>
    <n v="6"/>
    <n v="3570"/>
    <n v="28.5"/>
    <n v="15315.3"/>
    <s v="Cancelled"/>
    <s v="Pune"/>
  </r>
  <r>
    <s v="ORD-01953"/>
    <d v="2024-06-01T00:00:00"/>
    <s v="CUST-0113"/>
    <s v="PROD-003"/>
    <x v="6"/>
    <n v="1"/>
    <n v="3570"/>
    <n v="7.7"/>
    <n v="3295.11"/>
    <s v="Completed"/>
    <s v="Delhi"/>
  </r>
  <r>
    <s v="ORD-01954"/>
    <d v="2024-03-26T00:00:00"/>
    <s v="CUST-0023"/>
    <s v="PROD-004"/>
    <x v="14"/>
    <n v="9"/>
    <n v="3870"/>
    <n v="11.9"/>
    <n v="30685.23"/>
    <s v="Cancelled"/>
    <s v="Chennai"/>
  </r>
  <r>
    <s v="ORD-01955"/>
    <d v="2024-08-11T00:00:00"/>
    <s v="CUST-0136"/>
    <s v="PROD-056"/>
    <x v="2"/>
    <n v="5"/>
    <n v="6940"/>
    <n v="17.399999999999999"/>
    <n v="28662.2"/>
    <s v="Completed"/>
    <s v="Chennai"/>
  </r>
  <r>
    <s v="ORD-01956"/>
    <d v="2024-01-21T00:00:00"/>
    <s v="CUST-0031"/>
    <s v="PROD-032"/>
    <x v="17"/>
    <n v="6"/>
    <n v="370"/>
    <n v="8.1"/>
    <n v="2040.18"/>
    <s v="Cancelled"/>
    <s v="Hyderabad"/>
  </r>
  <r>
    <s v="ORD-01957"/>
    <d v="2024-09-14T00:00:00"/>
    <s v="CUST-0175"/>
    <s v="PROD-018"/>
    <x v="28"/>
    <n v="8"/>
    <n v="3560"/>
    <n v="23.3"/>
    <n v="21844.16"/>
    <s v="Completed"/>
    <s v="Delhi"/>
  </r>
  <r>
    <s v="ORD-01958"/>
    <d v="2024-12-07T00:00:00"/>
    <s v="CUST-0249"/>
    <s v="PROD-009"/>
    <x v="8"/>
    <n v="4"/>
    <n v="1220"/>
    <n v="2.7"/>
    <n v="4748.24"/>
    <s v="Completed"/>
    <s v="Mumbai"/>
  </r>
  <r>
    <s v="ORD-01959"/>
    <d v="2024-11-02T00:00:00"/>
    <s v="CUST-0138"/>
    <s v="PROD-026"/>
    <x v="16"/>
    <n v="10"/>
    <n v="4070"/>
    <n v="11.6"/>
    <n v="35978.800000000003"/>
    <s v="Completed"/>
    <s v="Chennai"/>
  </r>
  <r>
    <s v="ORD-01960"/>
    <d v="2024-02-14T00:00:00"/>
    <s v="CUST-0290"/>
    <s v="PROD-028"/>
    <x v="7"/>
    <n v="10"/>
    <n v="3660"/>
    <n v="28.8"/>
    <n v="26059.200000000001"/>
    <s v="Completed"/>
    <s v="Delhi"/>
  </r>
  <r>
    <s v="ORD-01961"/>
    <d v="2024-06-06T00:00:00"/>
    <s v="CUST-0151"/>
    <s v="PROD-034"/>
    <x v="26"/>
    <n v="5"/>
    <n v="5080"/>
    <n v="12.1"/>
    <n v="22326.6"/>
    <s v="Completed"/>
    <s v="Mumbai"/>
  </r>
  <r>
    <s v="ORD-01962"/>
    <d v="2024-02-16T00:00:00"/>
    <s v="CUST-0290"/>
    <s v="PROD-039"/>
    <x v="22"/>
    <n v="10"/>
    <n v="4610"/>
    <n v="22.5"/>
    <n v="35727.5"/>
    <s v="Completed"/>
    <s v="Delhi"/>
  </r>
  <r>
    <s v="ORD-01963"/>
    <d v="2024-01-26T00:00:00"/>
    <s v="CUST-0074"/>
    <s v="PROD-008"/>
    <x v="0"/>
    <n v="3"/>
    <n v="2660"/>
    <n v="15"/>
    <n v="6783"/>
    <s v="Completed"/>
    <s v="Bengaluru"/>
  </r>
  <r>
    <s v="ORD-01964"/>
    <d v="2024-04-02T00:00:00"/>
    <s v="CUST-0295"/>
    <s v="PROD-012"/>
    <x v="3"/>
    <n v="5"/>
    <n v="3160"/>
    <n v="1.3"/>
    <n v="15594.6"/>
    <s v="Completed"/>
    <s v="Delhi"/>
  </r>
  <r>
    <s v="ORD-01965"/>
    <d v="2024-02-03T00:00:00"/>
    <s v="CUST-0132"/>
    <s v="PROD-032"/>
    <x v="10"/>
    <n v="10"/>
    <n v="370"/>
    <n v="29"/>
    <n v="2627"/>
    <s v="Completed"/>
    <s v="Delhi"/>
  </r>
  <r>
    <s v="ORD-01966"/>
    <d v="2024-03-07T00:00:00"/>
    <s v="CUST-0289"/>
    <s v="PROD-054"/>
    <x v="4"/>
    <n v="10"/>
    <n v="1010"/>
    <n v="14.1"/>
    <n v="8675.9"/>
    <s v="Refunded"/>
    <s v="Mumbai"/>
  </r>
  <r>
    <s v="ORD-01967"/>
    <d v="2024-10-21T00:00:00"/>
    <s v="CUST-0139"/>
    <s v="PROD-018"/>
    <x v="14"/>
    <n v="3"/>
    <n v="3560"/>
    <n v="23.6"/>
    <n v="8159.52"/>
    <s v="Completed"/>
    <s v="Hyderabad"/>
  </r>
  <r>
    <s v="ORD-01968"/>
    <d v="2024-02-18T00:00:00"/>
    <s v="CUST-0032"/>
    <s v="PROD-009"/>
    <x v="8"/>
    <n v="9"/>
    <n v="1220"/>
    <n v="16.600000000000001"/>
    <n v="9157.32"/>
    <s v="Completed"/>
    <s v="Hyderabad"/>
  </r>
  <r>
    <s v="ORD-01969"/>
    <d v="2024-02-21T00:00:00"/>
    <s v="CUST-0109"/>
    <s v="PROD-060"/>
    <x v="4"/>
    <n v="8"/>
    <n v="190"/>
    <n v="22.3"/>
    <n v="1181.04"/>
    <s v="Completed"/>
    <s v="Pune"/>
  </r>
  <r>
    <s v="ORD-01970"/>
    <d v="2024-06-25T00:00:00"/>
    <s v="CUST-0224"/>
    <s v="PROD-054"/>
    <x v="25"/>
    <n v="2"/>
    <n v="1010"/>
    <n v="3.8"/>
    <n v="1943.24"/>
    <s v="Completed"/>
    <s v="Chennai"/>
  </r>
  <r>
    <s v="ORD-01971"/>
    <d v="2024-05-27T00:00:00"/>
    <s v="CUST-0038"/>
    <s v="PROD-002"/>
    <x v="18"/>
    <n v="4"/>
    <n v="2600"/>
    <n v="29.1"/>
    <n v="7373.6"/>
    <s v="Completed"/>
    <s v="Mumbai"/>
  </r>
  <r>
    <s v="ORD-01972"/>
    <d v="2024-08-13T00:00:00"/>
    <s v="CUST-0132"/>
    <s v="PROD-011"/>
    <x v="20"/>
    <n v="7"/>
    <n v="3450"/>
    <n v="4"/>
    <n v="23184"/>
    <s v="Completed"/>
    <s v="Delhi"/>
  </r>
  <r>
    <s v="ORD-01973"/>
    <d v="2024-01-20T00:00:00"/>
    <s v="CUST-0226"/>
    <s v="PROD-017"/>
    <x v="7"/>
    <n v="6"/>
    <n v="2510"/>
    <n v="12.7"/>
    <n v="13147.38"/>
    <s v="Completed"/>
    <s v="Chennai"/>
  </r>
  <r>
    <s v="ORD-01974"/>
    <d v="2024-09-25T00:00:00"/>
    <s v="CUST-0275"/>
    <s v="PROD-060"/>
    <x v="28"/>
    <n v="6"/>
    <n v="190"/>
    <n v="20"/>
    <n v="912"/>
    <s v="Cancelled"/>
    <s v="Mumbai"/>
  </r>
  <r>
    <s v="ORD-01975"/>
    <d v="2024-08-25T00:00:00"/>
    <s v="CUST-0109"/>
    <s v="PROD-044"/>
    <x v="20"/>
    <n v="10"/>
    <n v="1650"/>
    <n v="21.5"/>
    <n v="12952.5"/>
    <s v="Completed"/>
    <s v="Pune"/>
  </r>
  <r>
    <s v="ORD-01976"/>
    <d v="2024-02-22T00:00:00"/>
    <s v="CUST-0281"/>
    <s v="PROD-055"/>
    <x v="18"/>
    <n v="4"/>
    <n v="2860"/>
    <n v="15.2"/>
    <n v="9701.1200000000008"/>
    <s v="Completed"/>
    <s v="Bengaluru"/>
  </r>
  <r>
    <s v="ORD-01977"/>
    <d v="2024-10-24T00:00:00"/>
    <s v="CUST-0174"/>
    <s v="PROD-053"/>
    <x v="8"/>
    <n v="3"/>
    <n v="470"/>
    <n v="14.2"/>
    <n v="1209.78"/>
    <s v="Completed"/>
    <s v="Pune"/>
  </r>
  <r>
    <s v="ORD-01978"/>
    <d v="2024-06-26T00:00:00"/>
    <s v="CUST-0103"/>
    <s v="PROD-055"/>
    <x v="14"/>
    <n v="2"/>
    <n v="2860"/>
    <n v="17.899999999999999"/>
    <n v="4696.12"/>
    <s v="Completed"/>
    <s v="Hyderabad"/>
  </r>
  <r>
    <s v="ORD-01979"/>
    <d v="2024-04-25T00:00:00"/>
    <s v="CUST-0076"/>
    <s v="PROD-019"/>
    <x v="26"/>
    <n v="2"/>
    <n v="2480"/>
    <n v="11.5"/>
    <n v="4389.6000000000004"/>
    <s v="Cancelled"/>
    <s v="Mumbai"/>
  </r>
  <r>
    <s v="ORD-01980"/>
    <d v="2024-12-09T00:00:00"/>
    <s v="CUST-0227"/>
    <s v="PROD-033"/>
    <x v="3"/>
    <n v="10"/>
    <n v="2030"/>
    <n v="29.2"/>
    <n v="14372.4"/>
    <s v="Completed"/>
    <s v="Bengaluru"/>
  </r>
  <r>
    <s v="ORD-01981"/>
    <d v="2024-07-16T00:00:00"/>
    <s v="CUST-0006"/>
    <s v="PROD-047"/>
    <x v="27"/>
    <n v="6"/>
    <n v="3450"/>
    <n v="3.5"/>
    <n v="19975.5"/>
    <s v="Refunded"/>
    <s v="Pune"/>
  </r>
  <r>
    <s v="ORD-01982"/>
    <d v="2024-03-05T00:00:00"/>
    <s v="CUST-0231"/>
    <s v="PROD-007"/>
    <x v="23"/>
    <n v="10"/>
    <n v="1430"/>
    <n v="3.5"/>
    <n v="13799.5"/>
    <s v="Completed"/>
    <s v="Chennai"/>
  </r>
  <r>
    <s v="ORD-01983"/>
    <d v="2024-05-10T00:00:00"/>
    <s v="CUST-0085"/>
    <s v="PROD-020"/>
    <x v="21"/>
    <n v="1"/>
    <n v="820"/>
    <n v="14.5"/>
    <n v="701.1"/>
    <s v="Cancelled"/>
    <s v="Chennai"/>
  </r>
  <r>
    <s v="ORD-01984"/>
    <d v="2024-02-11T00:00:00"/>
    <s v="CUST-0022"/>
    <s v="PROD-046"/>
    <x v="12"/>
    <n v="5"/>
    <n v="4880"/>
    <n v="1.8"/>
    <n v="23960.799999999999"/>
    <s v="Completed"/>
    <s v="Bengaluru"/>
  </r>
  <r>
    <s v="ORD-01985"/>
    <d v="2024-04-03T00:00:00"/>
    <s v="CUST-0275"/>
    <s v="PROD-043"/>
    <x v="29"/>
    <n v="8"/>
    <n v="3350"/>
    <n v="26.3"/>
    <n v="19751.599999999999"/>
    <s v="Cancelled"/>
    <s v="Mumbai"/>
  </r>
  <r>
    <s v="ORD-01986"/>
    <d v="2024-01-07T00:00:00"/>
    <s v="CUST-0159"/>
    <s v="PROD-019"/>
    <x v="24"/>
    <n v="9"/>
    <n v="2480"/>
    <n v="24.3"/>
    <n v="16896.240000000002"/>
    <s v="Completed"/>
    <s v="Hyderabad"/>
  </r>
  <r>
    <s v="ORD-01987"/>
    <d v="2024-07-27T00:00:00"/>
    <s v="CUST-0152"/>
    <s v="PROD-039"/>
    <x v="6"/>
    <n v="9"/>
    <n v="4610"/>
    <n v="10"/>
    <n v="37341"/>
    <s v="Completed"/>
    <s v="Bengaluru"/>
  </r>
  <r>
    <s v="ORD-01988"/>
    <d v="2024-04-27T00:00:00"/>
    <s v="CUST-0289"/>
    <s v="PROD-027"/>
    <x v="10"/>
    <n v="1"/>
    <n v="3780"/>
    <n v="2.2000000000000002"/>
    <n v="3696.84"/>
    <s v="Completed"/>
    <s v="Mumbai"/>
  </r>
  <r>
    <s v="ORD-01989"/>
    <d v="2024-04-19T00:00:00"/>
    <s v="CUST-0004"/>
    <s v="PROD-045"/>
    <x v="17"/>
    <n v="3"/>
    <n v="3020"/>
    <n v="21.4"/>
    <n v="7121.16"/>
    <s v="Cancelled"/>
    <s v="Delhi"/>
  </r>
  <r>
    <s v="ORD-01990"/>
    <d v="2024-12-19T00:00:00"/>
    <s v="CUST-0159"/>
    <s v="PROD-035"/>
    <x v="3"/>
    <n v="10"/>
    <n v="1090"/>
    <n v="29.2"/>
    <n v="7717.2"/>
    <s v="Cancelled"/>
    <s v="Hyderabad"/>
  </r>
  <r>
    <s v="ORD-01991"/>
    <d v="2024-11-20T00:00:00"/>
    <s v="CUST-0083"/>
    <s v="PROD-048"/>
    <x v="22"/>
    <n v="5"/>
    <n v="5100"/>
    <n v="28.4"/>
    <n v="18258"/>
    <s v="Completed"/>
    <s v="Bengaluru"/>
  </r>
  <r>
    <s v="ORD-01992"/>
    <d v="2024-03-01T00:00:00"/>
    <s v="CUST-0242"/>
    <s v="PROD-046"/>
    <x v="4"/>
    <n v="6"/>
    <n v="4880"/>
    <n v="16.8"/>
    <n v="24360.959999999999"/>
    <s v="Completed"/>
    <s v="Chennai"/>
  </r>
  <r>
    <s v="ORD-01993"/>
    <d v="2024-06-08T00:00:00"/>
    <s v="CUST-0245"/>
    <s v="PROD-001"/>
    <x v="28"/>
    <n v="1"/>
    <n v="5330"/>
    <n v="27.5"/>
    <n v="3864.25"/>
    <s v="Completed"/>
    <s v="Hyderabad"/>
  </r>
  <r>
    <s v="ORD-01994"/>
    <d v="2024-07-04T00:00:00"/>
    <s v="CUST-0008"/>
    <s v="PROD-033"/>
    <x v="20"/>
    <n v="7"/>
    <n v="2030"/>
    <n v="5.3"/>
    <n v="13456.87"/>
    <s v="Cancelled"/>
    <s v="Pune"/>
  </r>
  <r>
    <s v="ORD-01995"/>
    <d v="2024-03-09T00:00:00"/>
    <s v="CUST-0260"/>
    <s v="PROD-043"/>
    <x v="6"/>
    <n v="7"/>
    <n v="3350"/>
    <n v="0.4"/>
    <n v="23356.2"/>
    <s v="Completed"/>
    <s v="Bengaluru"/>
  </r>
  <r>
    <s v="ORD-01996"/>
    <d v="2024-01-01T00:00:00"/>
    <s v="CUST-0265"/>
    <s v="PROD-031"/>
    <x v="15"/>
    <n v="6"/>
    <n v="3730"/>
    <n v="13.8"/>
    <n v="19291.560000000001"/>
    <s v="Completed"/>
    <s v="Chennai"/>
  </r>
  <r>
    <s v="ORD-01997"/>
    <d v="2024-10-20T00:00:00"/>
    <s v="CUST-0135"/>
    <s v="PROD-006"/>
    <x v="21"/>
    <n v="6"/>
    <n v="3970"/>
    <n v="5.8"/>
    <n v="22438.44"/>
    <s v="Pending"/>
    <s v="Pune"/>
  </r>
  <r>
    <s v="ORD-01998"/>
    <d v="2024-10-27T00:00:00"/>
    <s v="CUST-0030"/>
    <s v="PROD-029"/>
    <x v="23"/>
    <n v="4"/>
    <n v="2210"/>
    <n v="18.2"/>
    <n v="7231.12"/>
    <s v="Pending"/>
    <s v="Bengaluru"/>
  </r>
  <r>
    <s v="ORD-01999"/>
    <d v="2024-03-19T00:00:00"/>
    <s v="CUST-0167"/>
    <s v="PROD-052"/>
    <x v="4"/>
    <n v="6"/>
    <n v="5410"/>
    <n v="15.5"/>
    <n v="27428.7"/>
    <s v="Completed"/>
    <s v="Delhi"/>
  </r>
  <r>
    <s v="ORD-02000"/>
    <d v="2024-02-03T00:00:00"/>
    <s v="CUST-0238"/>
    <s v="PROD-034"/>
    <x v="12"/>
    <n v="6"/>
    <n v="5080"/>
    <n v="28.1"/>
    <n v="21915.119999999999"/>
    <s v="Completed"/>
    <s v="Delhi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7">
  <r>
    <s v="ORD-00001"/>
    <x v="0"/>
    <s v="CUST-0243"/>
    <s v="PROD-014"/>
    <s v="R007"/>
    <n v="8"/>
    <n v="3620"/>
    <n v="15.4"/>
    <n v="24500.16"/>
    <s v="Completed"/>
    <s v="Pune"/>
    <s v="Apparel"/>
    <m/>
    <s v="SMB"/>
    <n v="44"/>
    <m/>
    <m/>
    <m/>
    <m/>
  </r>
  <r>
    <s v="ORD-00002"/>
    <x v="1"/>
    <s v="CUST-0202"/>
    <s v="PROD-020"/>
    <s v="R005"/>
    <n v="2"/>
    <n v="820"/>
    <n v="10.8"/>
    <n v="1462.88"/>
    <s v="Pending"/>
    <s v="Chennai"/>
    <s v="Apparel"/>
    <m/>
    <s v="Retail"/>
    <n v="39"/>
    <s v="North"/>
    <s v="Sep-24"/>
    <n v="391"/>
    <n v="0.52317073170731709"/>
  </r>
  <r>
    <s v="ORD-00003"/>
    <x v="2"/>
    <s v="CUST-0098"/>
    <s v="PROD-053"/>
    <s v="R014"/>
    <n v="8"/>
    <n v="470"/>
    <n v="3.3"/>
    <n v="3635.92"/>
    <s v="Pending"/>
    <s v="Delhi"/>
    <s v="Sports"/>
    <m/>
    <s v="Retail"/>
    <n v="52"/>
    <m/>
    <m/>
    <m/>
    <m/>
  </r>
  <r>
    <s v="ORD-00004"/>
    <x v="3"/>
    <s v="CUST-0071"/>
    <s v="PROD-028"/>
    <s v="R006"/>
    <n v="1"/>
    <n v="3660"/>
    <n v="15.7"/>
    <n v="3085.38"/>
    <s v="Completed"/>
    <s v="Delhi"/>
    <s v="Grocery"/>
    <m/>
    <s v="Corporate"/>
    <n v="46"/>
    <m/>
    <m/>
    <m/>
    <m/>
  </r>
  <r>
    <s v="ORD-00005"/>
    <x v="4"/>
    <s v="CUST-0180"/>
    <s v="PROD-012"/>
    <s v="R008"/>
    <n v="1"/>
    <n v="3160"/>
    <n v="26"/>
    <n v="2338.4"/>
    <s v="Completed"/>
    <s v="Chennai"/>
    <s v="Apparel"/>
    <m/>
    <s v="Retail"/>
    <n v="36"/>
    <s v="North"/>
    <s v="May-24"/>
    <n v="1886"/>
    <n v="0.4031645569620253"/>
  </r>
  <r>
    <s v="ORD-00006"/>
    <x v="5"/>
    <s v="CUST-0275"/>
    <s v="PROD-032"/>
    <s v="R025"/>
    <n v="4"/>
    <n v="370"/>
    <n v="29"/>
    <n v="1050.8"/>
    <s v="Completed"/>
    <s v="Mumbai"/>
    <s v="Home"/>
    <m/>
    <s v="Retail"/>
    <n v="36"/>
    <s v="North"/>
    <s v="Nov-24"/>
    <n v="288"/>
    <n v="0.22162162162162163"/>
  </r>
  <r>
    <s v="ORD-00007"/>
    <x v="6"/>
    <s v="CUST-0293"/>
    <s v="PROD-057"/>
    <s v="R024"/>
    <n v="3"/>
    <n v="960"/>
    <n v="5.8"/>
    <n v="2712.96"/>
    <s v="Completed"/>
    <s v="Bengaluru"/>
    <s v="Sports"/>
    <m/>
    <s v="Retail"/>
    <n v="27"/>
    <s v="West"/>
    <s v="Apr-24"/>
    <n v="705"/>
    <n v="0.265625"/>
  </r>
  <r>
    <s v="ORD-00008"/>
    <x v="7"/>
    <s v="CUST-0281"/>
    <s v="PROD-007"/>
    <s v="R019"/>
    <n v="8"/>
    <n v="1430"/>
    <n v="2.4"/>
    <n v="11165.44"/>
    <s v="Completed"/>
    <s v="Bengaluru"/>
    <s v="Electronics"/>
    <m/>
    <s v="Corporate"/>
    <n v="57"/>
    <m/>
    <m/>
    <m/>
    <m/>
  </r>
  <r>
    <s v="ORD-00009"/>
    <x v="0"/>
    <s v="CUST-0260"/>
    <s v="PROD-038"/>
    <s v="R008"/>
    <n v="3"/>
    <n v="5490"/>
    <n v="14.2"/>
    <n v="14131.26"/>
    <s v="Completed"/>
    <s v="Bengaluru"/>
    <s v="Home"/>
    <m/>
    <s v="Retail"/>
    <n v="42"/>
    <m/>
    <m/>
    <m/>
    <m/>
  </r>
  <r>
    <s v="ORD-00010"/>
    <x v="8"/>
    <s v="CUST-0147"/>
    <s v="PROD-030"/>
    <s v="R028"/>
    <n v="3"/>
    <n v="970"/>
    <n v="1.2"/>
    <n v="2875.08"/>
    <s v="Completed"/>
    <s v="Pune"/>
    <s v="Grocery"/>
    <m/>
    <s v="Retail"/>
    <n v="56"/>
    <m/>
    <m/>
    <m/>
    <m/>
  </r>
  <r>
    <s v="ORD-00011"/>
    <x v="9"/>
    <s v="CUST-0204"/>
    <s v="PROD-024"/>
    <s v="R010"/>
    <n v="7"/>
    <n v="2270"/>
    <n v="7.1"/>
    <n v="14761.81"/>
    <s v="Pending"/>
    <s v="Hyderabad"/>
    <s v="Grocery"/>
    <m/>
    <s v="Retail"/>
    <n v="60"/>
    <m/>
    <m/>
    <m/>
    <m/>
  </r>
  <r>
    <s v="ORD-00012"/>
    <x v="10"/>
    <s v="CUST-0147"/>
    <s v="PROD-010"/>
    <s v="R024"/>
    <n v="9"/>
    <n v="2640"/>
    <n v="21.7"/>
    <n v="18604.080000000002"/>
    <s v="Completed"/>
    <s v="Pune"/>
    <s v="Electronics"/>
    <m/>
    <s v="Retail"/>
    <n v="56"/>
    <m/>
    <m/>
    <m/>
    <m/>
  </r>
  <r>
    <s v="ORD-00013"/>
    <x v="11"/>
    <s v="CUST-0280"/>
    <s v="PROD-002"/>
    <s v="R004"/>
    <n v="3"/>
    <n v="2600"/>
    <n v="4.3"/>
    <n v="7464.6"/>
    <s v="Cancelled"/>
    <s v="Delhi"/>
    <s v="Electronics"/>
    <m/>
    <s v="SMB"/>
    <n v="27"/>
    <s v="West"/>
    <s v="Feb-24"/>
    <n v="1052"/>
    <n v="0.5953846153846154"/>
  </r>
  <r>
    <s v="ORD-00014"/>
    <x v="12"/>
    <s v="CUST-0008"/>
    <s v="PROD-036"/>
    <s v="R025"/>
    <n v="3"/>
    <n v="3250"/>
    <n v="14.1"/>
    <n v="8375.25"/>
    <s v="Refunded"/>
    <s v="Pune"/>
    <s v="Home"/>
    <m/>
    <s v="SMB"/>
    <n v="39"/>
    <s v="North"/>
    <s v="Aug-24"/>
    <n v="1556"/>
    <n v="0.52123076923076928"/>
  </r>
  <r>
    <s v="ORD-00015"/>
    <x v="13"/>
    <s v="CUST-0052"/>
    <s v="PROD-060"/>
    <s v="R003"/>
    <n v="1"/>
    <n v="190"/>
    <n v="20.7"/>
    <n v="150.66999999999999"/>
    <s v="Completed"/>
    <s v="Pune"/>
    <s v="Sports"/>
    <m/>
    <s v="Retail"/>
    <n v="38"/>
    <s v="West"/>
    <s v="Jun-24"/>
    <n v="147"/>
    <n v="0.22631578947368422"/>
  </r>
  <r>
    <s v="ORD-00016"/>
    <x v="14"/>
    <s v="CUST-0184"/>
    <s v="PROD-058"/>
    <s v="R014"/>
    <n v="7"/>
    <n v="2400"/>
    <n v="10.199999999999999"/>
    <n v="15086.4"/>
    <s v="Pending"/>
    <s v="Pune"/>
    <s v="Sports"/>
    <m/>
    <s v="Retail"/>
    <n v="63"/>
    <m/>
    <m/>
    <m/>
    <m/>
  </r>
  <r>
    <s v="ORD-00017"/>
    <x v="15"/>
    <s v="CUST-0056"/>
    <s v="PROD-028"/>
    <s v="R023"/>
    <n v="4"/>
    <n v="3660"/>
    <n v="2.6"/>
    <n v="14259.36"/>
    <s v="Completed"/>
    <s v="Bengaluru"/>
    <s v="Grocery"/>
    <m/>
    <s v="SMB"/>
    <n v="46"/>
    <m/>
    <m/>
    <m/>
    <m/>
  </r>
  <r>
    <s v="ORD-00018"/>
    <x v="16"/>
    <s v="CUST-0273"/>
    <s v="PROD-047"/>
    <s v="R021"/>
    <n v="8"/>
    <n v="3450"/>
    <n v="18.5"/>
    <n v="22494"/>
    <s v="Completed"/>
    <s v="Hyderabad"/>
    <s v="Beauty"/>
    <m/>
    <s v="Corporate"/>
    <n v="32"/>
    <s v="East"/>
    <s v="Aug-24"/>
    <n v="2420"/>
    <n v="0.29855072463768118"/>
  </r>
  <r>
    <s v="ORD-00019"/>
    <x v="17"/>
    <s v="CUST-0182"/>
    <s v="PROD-051"/>
    <s v="R023"/>
    <n v="5"/>
    <n v="3450"/>
    <n v="7.3"/>
    <n v="15990.75"/>
    <s v="Completed"/>
    <s v="Mumbai"/>
    <s v="Sports"/>
    <m/>
    <s v="Retail"/>
    <n v="54"/>
    <m/>
    <m/>
    <m/>
    <m/>
  </r>
  <r>
    <s v="ORD-00020"/>
    <x v="18"/>
    <s v="CUST-0265"/>
    <s v="PROD-040"/>
    <s v="R023"/>
    <n v="8"/>
    <n v="1080"/>
    <n v="2.2000000000000002"/>
    <n v="8449.92"/>
    <s v="Completed"/>
    <s v="Chennai"/>
    <s v="Home"/>
    <m/>
    <s v="Retail"/>
    <n v="49"/>
    <m/>
    <m/>
    <m/>
    <m/>
  </r>
  <r>
    <s v="ORD-00021"/>
    <x v="19"/>
    <s v="CUST-0159"/>
    <s v="PROD-019"/>
    <s v="R006"/>
    <n v="7"/>
    <n v="2480"/>
    <n v="28.7"/>
    <n v="12377.68"/>
    <s v="Completed"/>
    <s v="Hyderabad"/>
    <s v="Apparel"/>
    <m/>
    <s v="Retail"/>
    <n v="32"/>
    <s v="East"/>
    <s v="Apr-24"/>
    <n v="1173"/>
    <n v="0.52701612903225803"/>
  </r>
  <r>
    <s v="ORD-00022"/>
    <x v="20"/>
    <s v="CUST-0259"/>
    <s v="PROD-036"/>
    <s v="R030"/>
    <n v="4"/>
    <n v="3250"/>
    <n v="24.6"/>
    <n v="9802"/>
    <s v="Completed"/>
    <s v="Mumbai"/>
    <s v="Home"/>
    <m/>
    <s v="Retail"/>
    <n v="34"/>
    <s v="North"/>
    <s v="Jun-24"/>
    <n v="1556"/>
    <n v="0.52123076923076928"/>
  </r>
  <r>
    <s v="ORD-00023"/>
    <x v="21"/>
    <s v="CUST-0107"/>
    <s v="PROD-015"/>
    <s v="R030"/>
    <n v="9"/>
    <n v="2720"/>
    <n v="26.2"/>
    <n v="18066.240000000002"/>
    <s v="Completed"/>
    <s v="Pune"/>
    <s v="Apparel"/>
    <m/>
    <s v="Retail"/>
    <n v="50"/>
    <m/>
    <m/>
    <m/>
    <m/>
  </r>
  <r>
    <s v="ORD-00024"/>
    <x v="22"/>
    <s v="CUST-0101"/>
    <s v="PROD-044"/>
    <s v="R003"/>
    <n v="2"/>
    <n v="1650"/>
    <n v="9.4"/>
    <n v="2989.8"/>
    <s v="Completed"/>
    <s v="Hyderabad"/>
    <s v="Beauty"/>
    <m/>
    <s v="SMB"/>
    <n v="40"/>
    <s v="West"/>
    <s v="Aug-24"/>
    <n v="1222"/>
    <n v="0.2593939393939394"/>
  </r>
  <r>
    <s v="ORD-00025"/>
    <x v="18"/>
    <s v="CUST-0142"/>
    <s v="PROD-043"/>
    <s v="R023"/>
    <n v="6"/>
    <n v="3350"/>
    <n v="6.1"/>
    <n v="18873.900000000001"/>
    <s v="Pending"/>
    <s v="Chennai"/>
    <s v="Beauty"/>
    <m/>
    <s v="Corporate"/>
    <n v="55"/>
    <m/>
    <m/>
    <m/>
    <m/>
  </r>
  <r>
    <s v="ORD-00026"/>
    <x v="23"/>
    <s v="CUST-0250"/>
    <s v="PROD-054"/>
    <s v="R019"/>
    <n v="2"/>
    <n v="1010"/>
    <n v="16.5"/>
    <n v="1686.7"/>
    <s v="Cancelled"/>
    <s v="Delhi"/>
    <s v="Sports"/>
    <m/>
    <s v="Retail"/>
    <n v="31"/>
    <s v="East"/>
    <s v="Apr-24"/>
    <n v="516"/>
    <n v="0.4891089108910891"/>
  </r>
  <r>
    <s v="ORD-00027"/>
    <x v="24"/>
    <s v="CUST-0098"/>
    <s v="PROD-046"/>
    <s v="R006"/>
    <n v="5"/>
    <n v="4880"/>
    <n v="23.6"/>
    <n v="18641.599999999999"/>
    <s v="Completed"/>
    <s v="Delhi"/>
    <s v="Beauty"/>
    <m/>
    <s v="Retail"/>
    <n v="52"/>
    <m/>
    <m/>
    <m/>
    <m/>
  </r>
  <r>
    <s v="ORD-00028"/>
    <x v="25"/>
    <s v="CUST-0143"/>
    <s v="PROD-003"/>
    <s v="R015"/>
    <n v="7"/>
    <n v="3570"/>
    <n v="5.8"/>
    <n v="23540.58"/>
    <s v="Cancelled"/>
    <s v="Chennai"/>
    <s v="Electronics"/>
    <m/>
    <s v="SMB"/>
    <n v="52"/>
    <m/>
    <m/>
    <m/>
    <m/>
  </r>
  <r>
    <s v="ORD-00029"/>
    <x v="26"/>
    <s v="CUST-0086"/>
    <s v="PROD-048"/>
    <s v="R020"/>
    <n v="9"/>
    <n v="5100"/>
    <n v="16.7"/>
    <n v="38234.699999999997"/>
    <s v="Completed"/>
    <s v="Hyderabad"/>
    <s v="Beauty"/>
    <m/>
    <s v="Corporate"/>
    <n v="56"/>
    <m/>
    <m/>
    <m/>
    <m/>
  </r>
  <r>
    <s v="ORD-00030"/>
    <x v="27"/>
    <s v="CUST-0006"/>
    <s v="PROD-055"/>
    <s v="R005"/>
    <n v="3"/>
    <n v="2860"/>
    <n v="25.8"/>
    <n v="6366.36"/>
    <s v="Completed"/>
    <s v="Pune"/>
    <s v="Sports"/>
    <m/>
    <s v="SMB"/>
    <n v="44"/>
    <m/>
    <m/>
    <m/>
    <m/>
  </r>
  <r>
    <s v="ORD-00031"/>
    <x v="28"/>
    <s v="CUST-0241"/>
    <s v="PROD-030"/>
    <s v="R006"/>
    <n v="7"/>
    <n v="970"/>
    <n v="29.8"/>
    <n v="4766.58"/>
    <s v="Completed"/>
    <s v="Pune"/>
    <s v="Grocery"/>
    <m/>
    <s v="Corporate"/>
    <n v="47"/>
    <m/>
    <m/>
    <m/>
    <m/>
  </r>
  <r>
    <s v="ORD-00032"/>
    <x v="29"/>
    <s v="CUST-0035"/>
    <s v="PROD-021"/>
    <s v="R026"/>
    <n v="4"/>
    <n v="2760"/>
    <n v="5.9"/>
    <n v="10388.64"/>
    <s v="Completed"/>
    <s v="Hyderabad"/>
    <s v="Grocery"/>
    <m/>
    <s v="Retail"/>
    <n v="53"/>
    <m/>
    <m/>
    <m/>
    <m/>
  </r>
  <r>
    <s v="ORD-00033"/>
    <x v="30"/>
    <s v="CUST-0273"/>
    <s v="PROD-037"/>
    <s v="R009"/>
    <n v="10"/>
    <n v="660"/>
    <n v="18.3"/>
    <n v="5392.2"/>
    <s v="Pending"/>
    <s v="Hyderabad"/>
    <s v="Home"/>
    <m/>
    <s v="Corporate"/>
    <n v="32"/>
    <s v="West"/>
    <s v="Dec-24"/>
    <n v="329"/>
    <n v="0.50151515151515147"/>
  </r>
  <r>
    <s v="ORD-00034"/>
    <x v="31"/>
    <s v="CUST-0064"/>
    <s v="PROD-036"/>
    <s v="R019"/>
    <n v="1"/>
    <n v="3250"/>
    <n v="10.7"/>
    <n v="2902.25"/>
    <s v="Completed"/>
    <s v="Hyderabad"/>
    <s v="Home"/>
    <m/>
    <s v="SMB"/>
    <n v="40"/>
    <s v="South"/>
    <s v="Feb-24"/>
    <n v="1556"/>
    <n v="0.52123076923076928"/>
  </r>
  <r>
    <s v="ORD-00035"/>
    <x v="32"/>
    <s v="CUST-0118"/>
    <s v="PROD-048"/>
    <s v="R019"/>
    <n v="8"/>
    <n v="5100"/>
    <n v="26.4"/>
    <n v="30028.799999999999"/>
    <s v="Cancelled"/>
    <s v="Hyderabad"/>
    <s v="Beauty"/>
    <m/>
    <s v="Retail"/>
    <n v="26"/>
    <s v="East"/>
    <s v="Oct-24"/>
    <n v="2237"/>
    <n v="0.56137254901960787"/>
  </r>
  <r>
    <s v="ORD-00036"/>
    <x v="33"/>
    <s v="CUST-0013"/>
    <s v="PROD-040"/>
    <s v="R021"/>
    <n v="1"/>
    <n v="1080"/>
    <n v="5.0999999999999996"/>
    <n v="1024.92"/>
    <s v="Completed"/>
    <s v="Delhi"/>
    <s v="Home"/>
    <m/>
    <s v="Retail"/>
    <n v="41"/>
    <m/>
    <m/>
    <m/>
    <m/>
  </r>
  <r>
    <s v="ORD-00037"/>
    <x v="34"/>
    <s v="CUST-0177"/>
    <s v="PROD-038"/>
    <s v="R009"/>
    <n v="2"/>
    <n v="5490"/>
    <n v="21.1"/>
    <n v="8663.2199999999993"/>
    <s v="Cancelled"/>
    <s v="Mumbai"/>
    <s v="Home"/>
    <m/>
    <s v="SMB"/>
    <n v="36"/>
    <s v="East"/>
    <s v="May-24"/>
    <n v="2549"/>
    <n v="0.53570127504553733"/>
  </r>
  <r>
    <s v="ORD-00038"/>
    <x v="35"/>
    <s v="CUST-0186"/>
    <s v="PROD-060"/>
    <s v="R001"/>
    <n v="7"/>
    <n v="190"/>
    <n v="28.7"/>
    <n v="948.29"/>
    <s v="Completed"/>
    <s v="Bengaluru"/>
    <s v="Sports"/>
    <m/>
    <s v="Retail"/>
    <n v="42"/>
    <m/>
    <m/>
    <m/>
    <m/>
  </r>
  <r>
    <s v="ORD-00039"/>
    <x v="36"/>
    <s v="CUST-0069"/>
    <s v="PROD-058"/>
    <s v="R015"/>
    <n v="6"/>
    <n v="2400"/>
    <n v="2.7"/>
    <n v="14011.2"/>
    <s v="Completed"/>
    <s v="Chennai"/>
    <s v="Sports"/>
    <m/>
    <s v="Retail"/>
    <n v="51"/>
    <m/>
    <m/>
    <m/>
    <m/>
  </r>
  <r>
    <s v="ORD-00040"/>
    <x v="37"/>
    <s v="CUST-0283"/>
    <s v="PROD-044"/>
    <s v="R023"/>
    <n v="9"/>
    <n v="1650"/>
    <n v="11.6"/>
    <n v="13127.4"/>
    <s v="Completed"/>
    <s v="Delhi"/>
    <s v="Beauty"/>
    <m/>
    <s v="SMB"/>
    <n v="50"/>
    <m/>
    <m/>
    <m/>
    <m/>
  </r>
  <r>
    <s v="ORD-00041"/>
    <x v="38"/>
    <s v="CUST-9507"/>
    <s v="PROD-038"/>
    <s v="R006"/>
    <n v="4"/>
    <n v="5490"/>
    <n v="12.8"/>
    <n v="19149.12"/>
    <s v="Cancelled"/>
    <s v="Chennai"/>
    <s v="Home"/>
    <m/>
    <e v="#N/A"/>
    <e v="#N/A"/>
    <m/>
    <m/>
    <m/>
    <m/>
  </r>
  <r>
    <s v="ORD-00042"/>
    <x v="39"/>
    <s v="CUST-0053"/>
    <s v="PROD-046"/>
    <s v="R014"/>
    <n v="10"/>
    <n v="4880"/>
    <n v="12.7"/>
    <n v="42602.400000000001"/>
    <s v="Completed"/>
    <s v="Delhi"/>
    <s v="Beauty"/>
    <m/>
    <s v="Retail"/>
    <n v="53"/>
    <m/>
    <m/>
    <m/>
    <m/>
  </r>
  <r>
    <s v="ORD-00043"/>
    <x v="40"/>
    <s v="CUST-0222"/>
    <s v="PROD-031"/>
    <s v="R019"/>
    <n v="2"/>
    <n v="3730"/>
    <n v="25.8"/>
    <n v="5535.32"/>
    <s v="Completed"/>
    <s v="Chennai"/>
    <s v="Home"/>
    <m/>
    <s v="Retail"/>
    <n v="37"/>
    <s v="South"/>
    <s v="May-24"/>
    <n v="2135"/>
    <n v="0.42761394101876676"/>
  </r>
  <r>
    <s v="ORD-00044"/>
    <x v="8"/>
    <s v="CUST-0095"/>
    <s v="PROD-047"/>
    <s v="R029"/>
    <n v="4"/>
    <n v="3450"/>
    <n v="20.7"/>
    <n v="10943.4"/>
    <s v="Completed"/>
    <s v="Mumbai"/>
    <s v="Beauty"/>
    <m/>
    <s v="SMB"/>
    <n v="54"/>
    <m/>
    <m/>
    <m/>
    <m/>
  </r>
  <r>
    <s v="ORD-00045"/>
    <x v="41"/>
    <s v="CUST-0152"/>
    <s v="PROD-019"/>
    <s v="R019"/>
    <n v="2"/>
    <n v="2480"/>
    <n v="17.3"/>
    <n v="4101.92"/>
    <s v="Completed"/>
    <s v="Bengaluru"/>
    <s v="Apparel"/>
    <m/>
    <s v="SMB"/>
    <n v="64"/>
    <m/>
    <m/>
    <m/>
    <m/>
  </r>
  <r>
    <s v="ORD-00046"/>
    <x v="42"/>
    <s v="CUST-0291"/>
    <s v="PROD-027"/>
    <s v="R015"/>
    <n v="9"/>
    <n v="3780"/>
    <n v="8.6999999999999993"/>
    <n v="31060.26"/>
    <s v="Pending"/>
    <s v="Pune"/>
    <s v="Grocery"/>
    <m/>
    <s v="SMB"/>
    <n v="29"/>
    <s v="East"/>
    <s v="Mar-24"/>
    <n v="2436"/>
    <n v="0.35555555555555557"/>
  </r>
  <r>
    <s v="ORD-00047"/>
    <x v="1"/>
    <s v="CUST-0112"/>
    <s v="PROD-013"/>
    <s v="R017"/>
    <n v="4"/>
    <n v="3640"/>
    <n v="20.7"/>
    <n v="11546.08"/>
    <s v="Completed"/>
    <s v="Hyderabad"/>
    <s v="Apparel"/>
    <m/>
    <s v="Retail"/>
    <n v="64"/>
    <m/>
    <m/>
    <m/>
    <m/>
  </r>
  <r>
    <s v="ORD-00048"/>
    <x v="43"/>
    <s v="CUST-9800"/>
    <s v="PROD-050"/>
    <s v="R003"/>
    <n v="8"/>
    <n v="6080"/>
    <n v="24.4"/>
    <n v="36771.839999999997"/>
    <s v="Completed"/>
    <s v="Pune"/>
    <s v="Beauty"/>
    <m/>
    <e v="#N/A"/>
    <e v="#N/A"/>
    <m/>
    <m/>
    <m/>
    <m/>
  </r>
  <r>
    <s v="ORD-00049"/>
    <x v="44"/>
    <s v="CUST-0143"/>
    <s v="PROD-030"/>
    <s v="R007"/>
    <n v="10"/>
    <n v="970"/>
    <n v="0.6"/>
    <n v="9641.7999999999993"/>
    <s v="Cancelled"/>
    <s v="Chennai"/>
    <s v="Grocery"/>
    <m/>
    <s v="SMB"/>
    <n v="52"/>
    <m/>
    <m/>
    <m/>
    <m/>
  </r>
  <r>
    <s v="ORD-00050"/>
    <x v="45"/>
    <s v="CUST-0226"/>
    <s v="PROD-022"/>
    <s v="R028"/>
    <n v="1"/>
    <n v="2270"/>
    <n v="11.5"/>
    <n v="2008.95"/>
    <s v="Pending"/>
    <s v="Chennai"/>
    <s v="Grocery"/>
    <m/>
    <s v="Corporate"/>
    <n v="52"/>
    <m/>
    <m/>
    <m/>
    <m/>
  </r>
  <r>
    <s v="ORD-00051"/>
    <x v="46"/>
    <s v="CUST-0234"/>
    <s v="PROD-004"/>
    <s v="R023"/>
    <n v="7"/>
    <n v="3870"/>
    <n v="0.3"/>
    <n v="27008.73"/>
    <s v="Cancelled"/>
    <s v="Bengaluru"/>
    <s v="Electronics"/>
    <m/>
    <s v="Retail"/>
    <n v="34"/>
    <s v="West"/>
    <s v="Sep-24"/>
    <n v="1559"/>
    <n v="0.59715762273901807"/>
  </r>
  <r>
    <s v="ORD-00052"/>
    <x v="47"/>
    <s v="CUST-0176"/>
    <s v="PROD-046"/>
    <s v="R009"/>
    <n v="1"/>
    <n v="4880"/>
    <n v="23.9"/>
    <n v="3713.68"/>
    <s v="Pending"/>
    <s v="Bengaluru"/>
    <s v="Beauty"/>
    <m/>
    <s v="SMB"/>
    <n v="34"/>
    <s v="East"/>
    <s v="Feb-24"/>
    <n v="2768"/>
    <n v="0.43278688524590164"/>
  </r>
  <r>
    <s v="ORD-00053"/>
    <x v="48"/>
    <s v="CUST-0180"/>
    <s v="PROD-027"/>
    <s v="R013"/>
    <n v="5"/>
    <n v="3780"/>
    <n v="18.5"/>
    <n v="15403.5"/>
    <s v="Completed"/>
    <s v="Chennai"/>
    <s v="Grocery"/>
    <m/>
    <s v="Retail"/>
    <n v="36"/>
    <s v="South"/>
    <s v="Aug-24"/>
    <n v="2436"/>
    <n v="0.35555555555555557"/>
  </r>
  <r>
    <s v="ORD-00054"/>
    <x v="49"/>
    <s v="CUST-0088"/>
    <s v="PROD-036"/>
    <s v="R020"/>
    <n v="10"/>
    <n v="3250"/>
    <n v="25.5"/>
    <n v="24212.5"/>
    <s v="Completed"/>
    <s v="Chennai"/>
    <s v="Home"/>
    <m/>
    <s v="Retail"/>
    <n v="24"/>
    <s v="South"/>
    <s v="Nov-24"/>
    <n v="1556"/>
    <n v="0.52123076923076928"/>
  </r>
  <r>
    <s v="ORD-00055"/>
    <x v="50"/>
    <s v="CUST-0267"/>
    <s v="PROD-013"/>
    <s v="R007"/>
    <n v="4"/>
    <n v="3640"/>
    <n v="9.9"/>
    <n v="13118.56"/>
    <s v="Refunded"/>
    <s v="Hyderabad"/>
    <s v="Apparel"/>
    <m/>
    <s v="Retail"/>
    <n v="27"/>
    <s v="East"/>
    <s v="May-24"/>
    <n v="2611"/>
    <n v="0.28269230769230769"/>
  </r>
  <r>
    <s v="ORD-00056"/>
    <x v="51"/>
    <s v="CUST-0194"/>
    <s v="PROD-041"/>
    <s v="R023"/>
    <n v="4"/>
    <n v="1540"/>
    <n v="28.8"/>
    <n v="4385.92"/>
    <s v="Completed"/>
    <s v="Delhi"/>
    <s v="Beauty"/>
    <m/>
    <s v="SMB"/>
    <n v="55"/>
    <m/>
    <m/>
    <m/>
    <m/>
  </r>
  <r>
    <s v="ORD-00057"/>
    <x v="48"/>
    <s v="CUST-0261"/>
    <s v="PROD-040"/>
    <s v="R017"/>
    <n v="1"/>
    <n v="1080"/>
    <n v="23"/>
    <n v="831.6"/>
    <s v="Cancelled"/>
    <s v="Delhi"/>
    <s v="Home"/>
    <m/>
    <s v="Retail"/>
    <n v="54"/>
    <m/>
    <m/>
    <m/>
    <m/>
  </r>
  <r>
    <s v="ORD-00058"/>
    <x v="52"/>
    <s v="CUST-0031"/>
    <s v="PROD-026"/>
    <s v="R007"/>
    <n v="1"/>
    <n v="4070"/>
    <n v="6.7"/>
    <n v="3797.31"/>
    <s v="Completed"/>
    <s v="Hyderabad"/>
    <s v="Grocery"/>
    <m/>
    <s v="Retail"/>
    <n v="53"/>
    <m/>
    <m/>
    <m/>
    <m/>
  </r>
  <r>
    <s v="ORD-00059"/>
    <x v="53"/>
    <s v="CUST-0175"/>
    <s v="PROD-009"/>
    <s v="R030"/>
    <n v="2"/>
    <n v="1220"/>
    <n v="11.7"/>
    <n v="2154.52"/>
    <s v="Cancelled"/>
    <s v="Delhi"/>
    <s v="Electronics"/>
    <m/>
    <s v="Corporate"/>
    <n v="55"/>
    <m/>
    <m/>
    <m/>
    <m/>
  </r>
  <r>
    <s v="ORD-00060"/>
    <x v="54"/>
    <s v="CUST-0263"/>
    <s v="PROD-039"/>
    <s v="R029"/>
    <n v="4"/>
    <n v="4610"/>
    <n v="26.9"/>
    <n v="13479.64"/>
    <s v="Pending"/>
    <s v="Mumbai"/>
    <s v="Home"/>
    <m/>
    <s v="Retail"/>
    <n v="40"/>
    <s v="West"/>
    <s v="May-24"/>
    <n v="1850"/>
    <n v="0.59869848156182215"/>
  </r>
  <r>
    <s v="ORD-00061"/>
    <x v="55"/>
    <s v="CUST-0203"/>
    <s v="PROD-040"/>
    <s v="R011"/>
    <n v="8"/>
    <n v="1080"/>
    <n v="28.4"/>
    <n v="6186.24"/>
    <s v="Completed"/>
    <s v="Chennai"/>
    <s v="Home"/>
    <m/>
    <s v="SMB"/>
    <n v="55"/>
    <m/>
    <m/>
    <m/>
    <m/>
  </r>
  <r>
    <s v="ORD-00062"/>
    <x v="56"/>
    <s v="CUST-0258"/>
    <s v="PROD-045"/>
    <s v="R006"/>
    <n v="10"/>
    <n v="3020"/>
    <n v="25.4"/>
    <n v="22529.200000000001"/>
    <s v="Completed"/>
    <s v="Pune"/>
    <s v="Beauty"/>
    <m/>
    <s v="Retail"/>
    <n v="44"/>
    <m/>
    <m/>
    <m/>
    <m/>
  </r>
  <r>
    <s v="ORD-00063"/>
    <x v="57"/>
    <s v="CUST-0282"/>
    <s v="PROD-008"/>
    <s v="R017"/>
    <n v="7"/>
    <n v="2660"/>
    <n v="5.3"/>
    <n v="17633.14"/>
    <s v="Completed"/>
    <s v="Hyderabad"/>
    <s v="Electronics"/>
    <m/>
    <s v="Corporate"/>
    <n v="29"/>
    <s v="North"/>
    <s v="Jul-24"/>
    <n v="1259"/>
    <n v="0.52669172932330832"/>
  </r>
  <r>
    <s v="ORD-00064"/>
    <x v="37"/>
    <s v="CUST-0168"/>
    <s v="PROD-005"/>
    <s v="R003"/>
    <n v="9"/>
    <n v="300"/>
    <n v="25.3"/>
    <n v="2016.9"/>
    <s v="Completed"/>
    <s v="Pune"/>
    <s v="Electronics"/>
    <m/>
    <s v="Retail"/>
    <n v="25"/>
    <s v="East"/>
    <s v="Jun-24"/>
    <n v="128"/>
    <n v="0.57333333333333336"/>
  </r>
  <r>
    <s v="ORD-00065"/>
    <x v="58"/>
    <s v="CUST-0040"/>
    <s v="PROD-010"/>
    <s v="R022"/>
    <n v="10"/>
    <n v="2640"/>
    <n v="18.7"/>
    <n v="21463.200000000001"/>
    <s v="Cancelled"/>
    <s v="Chennai"/>
    <s v="Electronics"/>
    <m/>
    <s v="Retail"/>
    <n v="28"/>
    <s v="North"/>
    <s v="Nov-24"/>
    <n v="1149"/>
    <n v="0.56477272727272732"/>
  </r>
  <r>
    <s v="ORD-00066"/>
    <x v="32"/>
    <s v="CUST-0283"/>
    <s v="PROD-020"/>
    <s v="R020"/>
    <n v="8"/>
    <n v="820"/>
    <n v="24"/>
    <n v="4985.6000000000004"/>
    <s v="Completed"/>
    <s v="Delhi"/>
    <s v="Apparel"/>
    <m/>
    <s v="SMB"/>
    <n v="50"/>
    <m/>
    <m/>
    <m/>
    <m/>
  </r>
  <r>
    <s v="ORD-00067"/>
    <x v="59"/>
    <s v="CUST-0202"/>
    <s v="PROD-021"/>
    <s v="R028"/>
    <n v="1"/>
    <n v="2760"/>
    <n v="4.8"/>
    <n v="2627.52"/>
    <s v="Completed"/>
    <s v="Chennai"/>
    <s v="Grocery"/>
    <m/>
    <s v="Retail"/>
    <n v="39"/>
    <s v="East"/>
    <s v="Jun-24"/>
    <n v="1435"/>
    <n v="0.48007246376811596"/>
  </r>
  <r>
    <s v="ORD-00068"/>
    <x v="60"/>
    <s v="CUST-0161"/>
    <s v="PROD-014"/>
    <s v="R017"/>
    <n v="2"/>
    <n v="3620"/>
    <n v="19.100000000000001"/>
    <n v="5857.16"/>
    <s v="Completed"/>
    <s v="Chennai"/>
    <s v="Apparel"/>
    <m/>
    <s v="Retail"/>
    <n v="38"/>
    <s v="West"/>
    <s v="Jul-24"/>
    <n v="2509"/>
    <n v="0.3069060773480663"/>
  </r>
  <r>
    <s v="ORD-00069"/>
    <x v="61"/>
    <s v="CUST-0033"/>
    <s v="PROD-016"/>
    <s v="R025"/>
    <n v="1"/>
    <n v="620"/>
    <n v="1"/>
    <n v="613.79999999999995"/>
    <s v="Completed"/>
    <s v="Delhi"/>
    <s v="Apparel"/>
    <m/>
    <s v="Retail"/>
    <n v="35"/>
    <s v="East"/>
    <s v="Feb-24"/>
    <n v="396"/>
    <n v="0.36129032258064514"/>
  </r>
  <r>
    <s v="ORD-00070"/>
    <x v="62"/>
    <s v="CUST-0191"/>
    <s v="PROD-033"/>
    <s v="R030"/>
    <n v="1"/>
    <n v="2030"/>
    <n v="3.3"/>
    <n v="1963.01"/>
    <s v="Completed"/>
    <s v="Hyderabad"/>
    <s v="Home"/>
    <m/>
    <s v="SMB"/>
    <n v="43"/>
    <m/>
    <m/>
    <m/>
    <m/>
  </r>
  <r>
    <s v="ORD-00071"/>
    <x v="19"/>
    <s v="CUST-0180"/>
    <s v="PROD-012"/>
    <s v="R002"/>
    <n v="10"/>
    <n v="3160"/>
    <n v="15.8"/>
    <n v="26607.200000000001"/>
    <s v="Completed"/>
    <s v="Chennai"/>
    <s v="Apparel"/>
    <m/>
    <s v="Retail"/>
    <n v="36"/>
    <s v="West"/>
    <s v="Apr-24"/>
    <n v="1886"/>
    <n v="0.4031645569620253"/>
  </r>
  <r>
    <s v="ORD-00072"/>
    <x v="63"/>
    <s v="CUST-0129"/>
    <s v="PROD-030"/>
    <s v="R001"/>
    <n v="5"/>
    <n v="970"/>
    <n v="12.2"/>
    <n v="4258.3"/>
    <s v="Completed"/>
    <s v="Hyderabad"/>
    <s v="Grocery"/>
    <m/>
    <s v="Retail"/>
    <n v="29"/>
    <s v="North"/>
    <s v="Jun-24"/>
    <n v="434"/>
    <n v="0.5525773195876289"/>
  </r>
  <r>
    <s v="ORD-00073"/>
    <x v="64"/>
    <s v="CUST-0189"/>
    <s v="PROD-043"/>
    <s v="R003"/>
    <n v="9"/>
    <n v="3350"/>
    <n v="25.8"/>
    <n v="22371.3"/>
    <s v="Pending"/>
    <s v="Chennai"/>
    <s v="Beauty"/>
    <m/>
    <s v="Retail"/>
    <n v="41"/>
    <m/>
    <m/>
    <m/>
    <m/>
  </r>
  <r>
    <s v="ORD-00074"/>
    <x v="65"/>
    <s v="CUST-0194"/>
    <s v="PROD-032"/>
    <s v="R018"/>
    <n v="1"/>
    <n v="370"/>
    <n v="28.9"/>
    <n v="263.07"/>
    <s v="Completed"/>
    <s v="Delhi"/>
    <s v="Home"/>
    <m/>
    <s v="SMB"/>
    <n v="55"/>
    <m/>
    <m/>
    <m/>
    <m/>
  </r>
  <r>
    <s v="ORD-00075"/>
    <x v="66"/>
    <s v="CUST-0200"/>
    <s v="PROD-030"/>
    <s v="R010"/>
    <n v="3"/>
    <n v="970"/>
    <n v="4.3"/>
    <n v="2784.87"/>
    <s v="Cancelled"/>
    <s v="Hyderabad"/>
    <s v="Grocery"/>
    <m/>
    <s v="Corporate"/>
    <n v="46"/>
    <m/>
    <m/>
    <m/>
    <m/>
  </r>
  <r>
    <s v="ORD-00076"/>
    <x v="67"/>
    <s v="CUST-0008"/>
    <s v="PROD-021"/>
    <s v="R022"/>
    <n v="6"/>
    <n v="2760"/>
    <n v="19.899999999999999"/>
    <n v="13264.56"/>
    <s v="Pending"/>
    <s v="Pune"/>
    <s v="Grocery"/>
    <m/>
    <s v="SMB"/>
    <n v="39"/>
    <s v="South"/>
    <s v="Jul-24"/>
    <n v="1435"/>
    <n v="0.48007246376811596"/>
  </r>
  <r>
    <s v="ORD-00077"/>
    <x v="68"/>
    <s v="CUST-0051"/>
    <s v="PROD-021"/>
    <s v="R019"/>
    <n v="7"/>
    <n v="2760"/>
    <n v="25.2"/>
    <n v="14451.36"/>
    <s v="Completed"/>
    <s v="Pune"/>
    <s v="Grocery"/>
    <m/>
    <s v="SMB"/>
    <n v="54"/>
    <m/>
    <m/>
    <m/>
    <m/>
  </r>
  <r>
    <s v="ORD-00078"/>
    <x v="69"/>
    <s v="CUST-0193"/>
    <s v="PROD-009"/>
    <s v="R022"/>
    <n v="4"/>
    <n v="1220"/>
    <n v="8.4"/>
    <n v="4470.08"/>
    <s v="Completed"/>
    <s v="Bengaluru"/>
    <s v="Electronics"/>
    <m/>
    <s v="Retail"/>
    <n v="42"/>
    <m/>
    <m/>
    <m/>
    <m/>
  </r>
  <r>
    <s v="ORD-00079"/>
    <x v="70"/>
    <s v="CUST-0020"/>
    <s v="PROD-002"/>
    <s v="R028"/>
    <n v="2"/>
    <n v="2600"/>
    <n v="1.9"/>
    <n v="5101.2"/>
    <s v="Pending"/>
    <s v="Hyderabad"/>
    <s v="Electronics"/>
    <m/>
    <s v="Retail"/>
    <n v="46"/>
    <m/>
    <m/>
    <m/>
    <m/>
  </r>
  <r>
    <s v="ORD-00080"/>
    <x v="71"/>
    <s v="CUST-0230"/>
    <s v="PROD-026"/>
    <s v="R030"/>
    <n v="9"/>
    <n v="4070"/>
    <n v="28.8"/>
    <n v="26080.560000000001"/>
    <s v="Completed"/>
    <s v="Pune"/>
    <s v="Grocery"/>
    <m/>
    <s v="Corporate"/>
    <n v="33"/>
    <s v="West"/>
    <s v="Nov-24"/>
    <n v="2027"/>
    <n v="0.50196560196560192"/>
  </r>
  <r>
    <s v="ORD-00081"/>
    <x v="50"/>
    <s v="CUST-0094"/>
    <s v="PROD-024"/>
    <s v="R005"/>
    <n v="2"/>
    <n v="2270"/>
    <n v="18"/>
    <n v="3722.8"/>
    <s v="Refunded"/>
    <s v="Pune"/>
    <s v="Grocery"/>
    <m/>
    <s v="SMB"/>
    <n v="60"/>
    <m/>
    <m/>
    <m/>
    <m/>
  </r>
  <r>
    <s v="ORD-00082"/>
    <x v="72"/>
    <s v="CUST-0248"/>
    <s v="PROD-012"/>
    <s v="R017"/>
    <n v="2"/>
    <n v="3160"/>
    <n v="18.3"/>
    <n v="5163.4399999999996"/>
    <s v="Completed"/>
    <s v="Chennai"/>
    <s v="Apparel"/>
    <m/>
    <s v="SMB"/>
    <n v="57"/>
    <m/>
    <m/>
    <m/>
    <m/>
  </r>
  <r>
    <s v="ORD-00083"/>
    <x v="73"/>
    <s v="CUST-0082"/>
    <s v="PROD-019"/>
    <s v="R007"/>
    <n v="4"/>
    <n v="2480"/>
    <n v="1.1000000000000001"/>
    <n v="9810.8799999999992"/>
    <s v="Pending"/>
    <s v="Hyderabad"/>
    <s v="Apparel"/>
    <m/>
    <s v="SMB"/>
    <n v="36"/>
    <s v="East"/>
    <s v="Aug-24"/>
    <n v="1173"/>
    <n v="0.52701612903225803"/>
  </r>
  <r>
    <s v="ORD-00084"/>
    <x v="74"/>
    <s v="CUST-0078"/>
    <s v="PROD-008"/>
    <s v="R026"/>
    <n v="1"/>
    <n v="2660"/>
    <n v="21"/>
    <n v="2101.4"/>
    <s v="Completed"/>
    <s v="Delhi"/>
    <s v="Electronics"/>
    <m/>
    <s v="Retail"/>
    <n v="31"/>
    <s v="North"/>
    <s v="Apr-24"/>
    <n v="1259"/>
    <n v="0.52669172932330832"/>
  </r>
  <r>
    <s v="ORD-00085"/>
    <x v="75"/>
    <s v="CUST-0032"/>
    <s v="PROD-045"/>
    <s v="R012"/>
    <n v="5"/>
    <n v="3020"/>
    <n v="22.2"/>
    <n v="11747.8"/>
    <s v="Completed"/>
    <s v="Hyderabad"/>
    <s v="Beauty"/>
    <m/>
    <s v="Retail"/>
    <n v="28"/>
    <s v="West"/>
    <s v="Sep-24"/>
    <n v="1626"/>
    <n v="0.46158940397350995"/>
  </r>
  <r>
    <s v="ORD-00086"/>
    <x v="76"/>
    <s v="CUST-0006"/>
    <s v="PROD-016"/>
    <s v="R030"/>
    <n v="9"/>
    <n v="620"/>
    <n v="23.3"/>
    <n v="4279.8599999999997"/>
    <s v="Completed"/>
    <s v="Pune"/>
    <s v="Apparel"/>
    <m/>
    <s v="SMB"/>
    <n v="44"/>
    <m/>
    <m/>
    <m/>
    <m/>
  </r>
  <r>
    <s v="ORD-00087"/>
    <x v="77"/>
    <s v="CUST-0084"/>
    <s v="PROD-053"/>
    <s v="R026"/>
    <n v="2"/>
    <n v="470"/>
    <n v="5.4"/>
    <n v="889.24"/>
    <s v="Completed"/>
    <s v="Chennai"/>
    <s v="Sports"/>
    <m/>
    <s v="Retail"/>
    <n v="28"/>
    <s v="West"/>
    <s v="Jun-24"/>
    <n v="302"/>
    <n v="0.35744680851063831"/>
  </r>
  <r>
    <s v="ORD-00088"/>
    <x v="78"/>
    <s v="CUST-0107"/>
    <s v="PROD-007"/>
    <s v="R010"/>
    <n v="3"/>
    <n v="1430"/>
    <n v="6.5"/>
    <n v="4011.15"/>
    <s v="Completed"/>
    <s v="Pune"/>
    <s v="Electronics"/>
    <m/>
    <s v="Retail"/>
    <n v="50"/>
    <m/>
    <m/>
    <m/>
    <m/>
  </r>
  <r>
    <s v="ORD-00089"/>
    <x v="79"/>
    <s v="CUST-0108"/>
    <s v="PROD-016"/>
    <s v="R004"/>
    <n v="6"/>
    <n v="620"/>
    <n v="2.6"/>
    <n v="3623.28"/>
    <s v="Completed"/>
    <s v="Bengaluru"/>
    <s v="Apparel"/>
    <m/>
    <s v="Corporate"/>
    <n v="59"/>
    <m/>
    <m/>
    <m/>
    <m/>
  </r>
  <r>
    <s v="ORD-00090"/>
    <x v="80"/>
    <s v="CUST-0139"/>
    <s v="PROD-003"/>
    <s v="R012"/>
    <n v="4"/>
    <n v="3570"/>
    <n v="4.5"/>
    <n v="13637.4"/>
    <s v="Pending"/>
    <s v="Hyderabad"/>
    <s v="Electronics"/>
    <m/>
    <s v="SMB"/>
    <n v="65"/>
    <m/>
    <m/>
    <m/>
    <m/>
  </r>
  <r>
    <s v="ORD-00091"/>
    <x v="81"/>
    <s v="CUST-0200"/>
    <s v="PROD-022"/>
    <s v="R010"/>
    <n v="6"/>
    <n v="2270"/>
    <n v="2"/>
    <n v="13347.6"/>
    <s v="Completed"/>
    <s v="Hyderabad"/>
    <s v="Grocery"/>
    <m/>
    <s v="Corporate"/>
    <n v="46"/>
    <m/>
    <m/>
    <m/>
    <m/>
  </r>
  <r>
    <s v="ORD-00092"/>
    <x v="60"/>
    <s v="CUST-0208"/>
    <s v="PROD-015"/>
    <s v="R014"/>
    <n v="7"/>
    <n v="2720"/>
    <n v="15.4"/>
    <n v="16107.84"/>
    <s v="Completed"/>
    <s v="Mumbai"/>
    <s v="Apparel"/>
    <m/>
    <s v="Retail"/>
    <n v="49"/>
    <m/>
    <m/>
    <m/>
    <m/>
  </r>
  <r>
    <s v="ORD-00093"/>
    <x v="82"/>
    <s v="CUST-0161"/>
    <s v="PROD-029"/>
    <s v="R001"/>
    <n v="9"/>
    <n v="2210"/>
    <n v="12.4"/>
    <n v="17423.64"/>
    <s v="Completed"/>
    <s v="Chennai"/>
    <s v="Grocery"/>
    <m/>
    <s v="Retail"/>
    <n v="38"/>
    <s v="South"/>
    <s v="Feb-24"/>
    <n v="1010"/>
    <n v="0.54298642533936647"/>
  </r>
  <r>
    <s v="ORD-00094"/>
    <x v="83"/>
    <s v="CUST-0042"/>
    <s v="PROD-060"/>
    <s v="R026"/>
    <n v="6"/>
    <n v="190"/>
    <n v="19.2"/>
    <n v="921.12"/>
    <s v="Completed"/>
    <s v="Pune"/>
    <s v="Sports"/>
    <m/>
    <s v="Retail"/>
    <n v="25"/>
    <s v="North"/>
    <s v="Mar-24"/>
    <n v="147"/>
    <n v="0.22631578947368422"/>
  </r>
  <r>
    <s v="ORD-00095"/>
    <x v="84"/>
    <s v="CUST-0133"/>
    <s v="PROD-048"/>
    <s v="R027"/>
    <n v="10"/>
    <n v="5100"/>
    <n v="25.4"/>
    <n v="38046"/>
    <s v="Refunded"/>
    <s v="Chennai"/>
    <s v="Beauty"/>
    <m/>
    <s v="Retail"/>
    <n v="26"/>
    <s v="West"/>
    <s v="Dec-24"/>
    <n v="2237"/>
    <n v="0.56137254901960787"/>
  </r>
  <r>
    <s v="ORD-00096"/>
    <x v="85"/>
    <s v="CUST-0219"/>
    <s v="PROD-054"/>
    <s v="R016"/>
    <n v="5"/>
    <n v="1010"/>
    <n v="1.6"/>
    <n v="4969.2"/>
    <s v="Completed"/>
    <s v="Chennai"/>
    <s v="Sports"/>
    <m/>
    <s v="Corporate"/>
    <n v="38"/>
    <s v="West"/>
    <s v="Nov-24"/>
    <n v="516"/>
    <n v="0.4891089108910891"/>
  </r>
  <r>
    <s v="ORD-00097"/>
    <x v="60"/>
    <s v="CUST-0031"/>
    <s v="PROD-031"/>
    <s v="R025"/>
    <n v="1"/>
    <n v="3730"/>
    <n v="22.7"/>
    <n v="2883.29"/>
    <s v="Completed"/>
    <s v="Hyderabad"/>
    <s v="Home"/>
    <m/>
    <s v="Retail"/>
    <n v="53"/>
    <m/>
    <m/>
    <m/>
    <m/>
  </r>
  <r>
    <s v="ORD-00098"/>
    <x v="41"/>
    <s v="CUST-0189"/>
    <s v="PROD-002"/>
    <s v="R028"/>
    <n v="10"/>
    <n v="2600"/>
    <n v="20.7"/>
    <n v="20618"/>
    <s v="Completed"/>
    <s v="Chennai"/>
    <s v="Electronics"/>
    <m/>
    <s v="Retail"/>
    <n v="41"/>
    <m/>
    <m/>
    <m/>
    <m/>
  </r>
  <r>
    <s v="ORD-00099"/>
    <x v="86"/>
    <s v="CUST-0170"/>
    <s v="PROD-025"/>
    <s v="R006"/>
    <n v="4"/>
    <n v="4060"/>
    <n v="13.9"/>
    <n v="13982.64"/>
    <s v="Completed"/>
    <s v="Mumbai"/>
    <s v="Grocery"/>
    <m/>
    <s v="SMB"/>
    <n v="22"/>
    <s v="West"/>
    <s v="Mar-24"/>
    <n v="2911"/>
    <n v="0.28300492610837441"/>
  </r>
  <r>
    <s v="ORD-00100"/>
    <x v="87"/>
    <s v="CUST-0164"/>
    <s v="PROD-050"/>
    <s v="R027"/>
    <n v="6"/>
    <n v="6080"/>
    <n v="16.5"/>
    <n v="30460.799999999999"/>
    <s v="Completed"/>
    <s v="Chennai"/>
    <s v="Beauty"/>
    <m/>
    <s v="Retail"/>
    <n v="60"/>
    <m/>
    <m/>
    <m/>
    <m/>
  </r>
  <r>
    <s v="ORD-00101"/>
    <x v="88"/>
    <s v="CUST-0006"/>
    <s v="PROD-017"/>
    <s v="R028"/>
    <n v="6"/>
    <n v="2510"/>
    <n v="11.7"/>
    <n v="13297.98"/>
    <s v="Completed"/>
    <s v="Pune"/>
    <s v="Apparel"/>
    <m/>
    <s v="SMB"/>
    <n v="44"/>
    <m/>
    <m/>
    <m/>
    <m/>
  </r>
  <r>
    <s v="ORD-00102"/>
    <x v="89"/>
    <s v="CUST-0181"/>
    <s v="PROD-036"/>
    <s v="R026"/>
    <n v="5"/>
    <n v="3250"/>
    <n v="18.399999999999999"/>
    <n v="13260"/>
    <s v="Completed"/>
    <s v="Delhi"/>
    <s v="Home"/>
    <m/>
    <s v="SMB"/>
    <n v="38"/>
    <s v="West"/>
    <s v="Sep-24"/>
    <n v="1556"/>
    <n v="0.52123076923076928"/>
  </r>
  <r>
    <s v="ORD-00103"/>
    <x v="90"/>
    <s v="CUST-0131"/>
    <s v="PROD-052"/>
    <s v="R005"/>
    <n v="4"/>
    <n v="5410"/>
    <n v="9.8000000000000007"/>
    <n v="19519.28"/>
    <s v="Cancelled"/>
    <s v="Delhi"/>
    <s v="Sports"/>
    <m/>
    <s v="SMB"/>
    <n v="28"/>
    <s v="West"/>
    <s v="Aug-24"/>
    <n v="2265"/>
    <n v="0.58133086876155271"/>
  </r>
  <r>
    <s v="ORD-00104"/>
    <x v="91"/>
    <s v="CUST-0255"/>
    <s v="PROD-003"/>
    <s v="R018"/>
    <n v="8"/>
    <n v="3570"/>
    <n v="11.1"/>
    <n v="25389.84"/>
    <s v="Completed"/>
    <s v="Chennai"/>
    <s v="Electronics"/>
    <m/>
    <s v="Corporate"/>
    <n v="51"/>
    <m/>
    <m/>
    <m/>
    <m/>
  </r>
  <r>
    <s v="ORD-00105"/>
    <x v="92"/>
    <s v="CUST-0170"/>
    <s v="PROD-001"/>
    <s v="R003"/>
    <n v="10"/>
    <n v="5330"/>
    <n v="21.2"/>
    <n v="42000.4"/>
    <s v="Completed"/>
    <s v="Mumbai"/>
    <s v="Electronics"/>
    <m/>
    <s v="SMB"/>
    <n v="22"/>
    <s v="East"/>
    <s v="Apr-24"/>
    <n v="2405"/>
    <n v="0.54878048780487809"/>
  </r>
  <r>
    <s v="ORD-00106"/>
    <x v="93"/>
    <s v="CUST-0081"/>
    <s v="PROD-023"/>
    <s v="R017"/>
    <n v="4"/>
    <n v="2380"/>
    <n v="26.2"/>
    <n v="7025.76"/>
    <s v="Completed"/>
    <s v="Mumbai"/>
    <s v="Grocery"/>
    <m/>
    <s v="Retail"/>
    <n v="25"/>
    <s v="North"/>
    <s v="Jan-24"/>
    <n v="1182"/>
    <n v="0.50336134453781511"/>
  </r>
  <r>
    <s v="ORD-00107"/>
    <x v="94"/>
    <s v="CUST-0102"/>
    <s v="PROD-054"/>
    <s v="R027"/>
    <n v="1"/>
    <n v="1010"/>
    <n v="19.5"/>
    <n v="813.05"/>
    <s v="Cancelled"/>
    <s v="Chennai"/>
    <s v="Sports"/>
    <m/>
    <s v="SMB"/>
    <n v="62"/>
    <m/>
    <m/>
    <m/>
    <m/>
  </r>
  <r>
    <s v="ORD-00108"/>
    <x v="85"/>
    <s v="CUST-0070"/>
    <s v="PROD-028"/>
    <s v="R025"/>
    <n v="1"/>
    <n v="3660"/>
    <n v="1.3"/>
    <n v="3612.42"/>
    <s v="Completed"/>
    <s v="Mumbai"/>
    <s v="Grocery"/>
    <m/>
    <s v="Retail"/>
    <n v="42"/>
    <m/>
    <m/>
    <m/>
    <m/>
  </r>
  <r>
    <s v="ORD-00109"/>
    <x v="95"/>
    <s v="CUST-0012"/>
    <s v="PROD-026"/>
    <s v="R013"/>
    <n v="2"/>
    <n v="4070"/>
    <n v="29"/>
    <n v="5779.4"/>
    <s v="Cancelled"/>
    <s v="Pune"/>
    <s v="Grocery"/>
    <m/>
    <s v="Retail"/>
    <n v="43"/>
    <m/>
    <m/>
    <m/>
    <m/>
  </r>
  <r>
    <s v="ORD-00110"/>
    <x v="96"/>
    <s v="CUST-0086"/>
    <s v="PROD-037"/>
    <s v="R029"/>
    <n v="6"/>
    <n v="660"/>
    <n v="20.2"/>
    <n v="3160.08"/>
    <s v="Pending"/>
    <s v="Hyderabad"/>
    <s v="Home"/>
    <m/>
    <s v="Corporate"/>
    <n v="56"/>
    <m/>
    <m/>
    <m/>
    <m/>
  </r>
  <r>
    <s v="ORD-00111"/>
    <x v="97"/>
    <s v="CUST-0145"/>
    <s v="PROD-040"/>
    <s v="R024"/>
    <n v="3"/>
    <n v="1080"/>
    <n v="29.7"/>
    <n v="2277.7199999999998"/>
    <s v="Completed"/>
    <s v="Bengaluru"/>
    <s v="Home"/>
    <m/>
    <s v="SMB"/>
    <n v="44"/>
    <m/>
    <m/>
    <m/>
    <m/>
  </r>
  <r>
    <s v="ORD-00112"/>
    <x v="98"/>
    <s v="CUST-0287"/>
    <s v="PROD-020"/>
    <s v="R006"/>
    <n v="7"/>
    <n v="820"/>
    <n v="13.5"/>
    <n v="4965.1000000000004"/>
    <s v="Cancelled"/>
    <s v="Chennai"/>
    <s v="Apparel"/>
    <m/>
    <s v="SMB"/>
    <n v="53"/>
    <m/>
    <m/>
    <m/>
    <m/>
  </r>
  <r>
    <s v="ORD-00113"/>
    <x v="18"/>
    <s v="CUST-0280"/>
    <s v="PROD-049"/>
    <s v="R027"/>
    <n v="4"/>
    <n v="960"/>
    <n v="26"/>
    <n v="2841.6"/>
    <s v="Completed"/>
    <s v="Delhi"/>
    <s v="Beauty"/>
    <m/>
    <s v="SMB"/>
    <n v="27"/>
    <s v="North"/>
    <s v="Dec-24"/>
    <n v="675"/>
    <n v="0.296875"/>
  </r>
  <r>
    <s v="ORD-00114"/>
    <x v="99"/>
    <s v="CUST-0096"/>
    <s v="PROD-002"/>
    <s v="R014"/>
    <n v="3"/>
    <n v="2600"/>
    <n v="18.2"/>
    <n v="6380.4"/>
    <s v="Completed"/>
    <s v="Delhi"/>
    <s v="Electronics"/>
    <m/>
    <s v="Corporate"/>
    <n v="27"/>
    <s v="West"/>
    <s v="Apr-24"/>
    <n v="1052"/>
    <n v="0.5953846153846154"/>
  </r>
  <r>
    <s v="ORD-00115"/>
    <x v="43"/>
    <s v="CUST-0184"/>
    <s v="PROD-033"/>
    <s v="R029"/>
    <n v="9"/>
    <n v="2030"/>
    <n v="26.1"/>
    <n v="13501.53"/>
    <s v="Completed"/>
    <s v="Pune"/>
    <s v="Home"/>
    <m/>
    <s v="Retail"/>
    <n v="63"/>
    <m/>
    <m/>
    <m/>
    <m/>
  </r>
  <r>
    <s v="ORD-00116"/>
    <x v="100"/>
    <s v="CUST-0025"/>
    <s v="PROD-042"/>
    <s v="R028"/>
    <n v="8"/>
    <n v="2290"/>
    <n v="20.8"/>
    <n v="14509.44"/>
    <s v="Completed"/>
    <s v="Bengaluru"/>
    <s v="Beauty"/>
    <m/>
    <s v="Retail"/>
    <n v="23"/>
    <s v="West"/>
    <s v="Mar-24"/>
    <n v="1219"/>
    <n v="0.46768558951965067"/>
  </r>
  <r>
    <s v="ORD-00117"/>
    <x v="101"/>
    <s v="CUST-0149"/>
    <s v="PROD-031"/>
    <s v="R029"/>
    <n v="3"/>
    <n v="3730"/>
    <n v="7.9"/>
    <n v="10305.99"/>
    <s v="Completed"/>
    <s v="Hyderabad"/>
    <s v="Home"/>
    <m/>
    <s v="Retail"/>
    <n v="44"/>
    <m/>
    <m/>
    <m/>
    <m/>
  </r>
  <r>
    <s v="ORD-00118"/>
    <x v="102"/>
    <s v="CUST-0018"/>
    <s v="PROD-005"/>
    <s v="R014"/>
    <n v="1"/>
    <n v="300"/>
    <n v="16.899999999999999"/>
    <n v="249.3"/>
    <s v="Pending"/>
    <s v="Pune"/>
    <s v="Electronics"/>
    <m/>
    <s v="SMB"/>
    <n v="54"/>
    <m/>
    <m/>
    <m/>
    <m/>
  </r>
  <r>
    <s v="ORD-00119"/>
    <x v="103"/>
    <s v="CUST-0216"/>
    <s v="PROD-005"/>
    <s v="R012"/>
    <n v="3"/>
    <n v="300"/>
    <n v="0.6"/>
    <n v="894.6"/>
    <s v="Completed"/>
    <s v="Mumbai"/>
    <s v="Electronics"/>
    <m/>
    <s v="Retail"/>
    <n v="50"/>
    <m/>
    <m/>
    <m/>
    <m/>
  </r>
  <r>
    <s v="ORD-00120"/>
    <x v="90"/>
    <s v="CUST-0092"/>
    <s v="PROD-043"/>
    <s v="R007"/>
    <n v="6"/>
    <n v="3350"/>
    <n v="2.2999999999999998"/>
    <n v="19637.7"/>
    <s v="Cancelled"/>
    <s v="Bengaluru"/>
    <s v="Beauty"/>
    <m/>
    <s v="SMB"/>
    <n v="28"/>
    <s v="South"/>
    <s v="May-24"/>
    <n v="1728"/>
    <n v="0.48417910447761192"/>
  </r>
  <r>
    <s v="ORD-00121"/>
    <x v="104"/>
    <s v="CUST-0056"/>
    <s v="PROD-001"/>
    <s v="R003"/>
    <n v="4"/>
    <n v="5330"/>
    <n v="29.3"/>
    <n v="15073.24"/>
    <s v="Completed"/>
    <s v="Bengaluru"/>
    <s v="Electronics"/>
    <m/>
    <s v="SMB"/>
    <n v="46"/>
    <m/>
    <m/>
    <m/>
    <m/>
  </r>
  <r>
    <s v="ORD-00122"/>
    <x v="105"/>
    <s v="CUST-0113"/>
    <s v="PROD-014"/>
    <s v="R002"/>
    <n v="6"/>
    <n v="3620"/>
    <n v="10.8"/>
    <n v="19374.240000000002"/>
    <s v="Completed"/>
    <s v="Delhi"/>
    <s v="Apparel"/>
    <m/>
    <s v="Retail"/>
    <n v="30"/>
    <s v="North"/>
    <s v="May-24"/>
    <n v="2509"/>
    <n v="0.3069060773480663"/>
  </r>
  <r>
    <s v="ORD-00123"/>
    <x v="106"/>
    <s v="CUST-0253"/>
    <s v="PROD-014"/>
    <s v="R005"/>
    <n v="6"/>
    <n v="3620"/>
    <n v="21.7"/>
    <n v="17006.759999999998"/>
    <s v="Completed"/>
    <s v="Delhi"/>
    <s v="Apparel"/>
    <m/>
    <s v="SMB"/>
    <n v="53"/>
    <m/>
    <m/>
    <m/>
    <m/>
  </r>
  <r>
    <s v="ORD-00124"/>
    <x v="107"/>
    <s v="CUST-0187"/>
    <s v="PROD-057"/>
    <s v="R008"/>
    <n v="8"/>
    <n v="960"/>
    <n v="27.9"/>
    <n v="5537.28"/>
    <s v="Completed"/>
    <s v="Chennai"/>
    <s v="Sports"/>
    <m/>
    <s v="SMB"/>
    <n v="51"/>
    <m/>
    <m/>
    <m/>
    <m/>
  </r>
  <r>
    <s v="ORD-00125"/>
    <x v="108"/>
    <s v="CUST-0028"/>
    <s v="PROD-044"/>
    <s v="R025"/>
    <n v="5"/>
    <n v="1650"/>
    <n v="4.9000000000000004"/>
    <n v="7845.75"/>
    <s v="Completed"/>
    <s v="Bengaluru"/>
    <s v="Beauty"/>
    <m/>
    <s v="Retail"/>
    <n v="59"/>
    <m/>
    <m/>
    <m/>
    <m/>
  </r>
  <r>
    <s v="ORD-00126"/>
    <x v="95"/>
    <s v="CUST-0224"/>
    <s v="PROD-049"/>
    <s v="R010"/>
    <n v="9"/>
    <n v="960"/>
    <n v="25.1"/>
    <n v="6471.36"/>
    <s v="Refunded"/>
    <s v="Chennai"/>
    <s v="Beauty"/>
    <m/>
    <s v="Corporate"/>
    <n v="24"/>
    <s v="West"/>
    <s v="Dec-24"/>
    <n v="675"/>
    <n v="0.296875"/>
  </r>
  <r>
    <s v="ORD-00127"/>
    <x v="99"/>
    <s v="CUST-0150"/>
    <s v="PROD-006"/>
    <s v="R003"/>
    <n v="7"/>
    <n v="3970"/>
    <n v="13.8"/>
    <n v="23954.98"/>
    <s v="Pending"/>
    <s v="Pune"/>
    <s v="Electronics"/>
    <m/>
    <s v="SMB"/>
    <n v="53"/>
    <m/>
    <m/>
    <m/>
    <m/>
  </r>
  <r>
    <s v="ORD-00128"/>
    <x v="109"/>
    <s v="CUST-0129"/>
    <s v="PROD-030"/>
    <s v="R005"/>
    <n v="7"/>
    <n v="970"/>
    <n v="21.6"/>
    <n v="5323.36"/>
    <s v="Pending"/>
    <s v="Hyderabad"/>
    <s v="Grocery"/>
    <m/>
    <s v="Retail"/>
    <n v="29"/>
    <s v="North"/>
    <s v="Jun-24"/>
    <n v="434"/>
    <n v="0.5525773195876289"/>
  </r>
  <r>
    <s v="ORD-00129"/>
    <x v="110"/>
    <s v="CUST-0239"/>
    <s v="PROD-033"/>
    <s v="R001"/>
    <n v="10"/>
    <n v="2030"/>
    <n v="1.2"/>
    <n v="20056.400000000001"/>
    <s v="Completed"/>
    <s v="Mumbai"/>
    <s v="Home"/>
    <m/>
    <s v="Retail"/>
    <n v="61"/>
    <m/>
    <m/>
    <m/>
    <m/>
  </r>
  <r>
    <s v="ORD-00130"/>
    <x v="93"/>
    <s v="CUST-0106"/>
    <s v="PROD-024"/>
    <s v="R021"/>
    <n v="9"/>
    <n v="2270"/>
    <n v="13.2"/>
    <n v="17733.240000000002"/>
    <s v="Pending"/>
    <s v="Pune"/>
    <s v="Grocery"/>
    <m/>
    <s v="Retail"/>
    <n v="22"/>
    <s v="North"/>
    <s v="Sep-24"/>
    <n v="1203"/>
    <n v="0.47004405286343615"/>
  </r>
  <r>
    <s v="ORD-00131"/>
    <x v="111"/>
    <s v="CUST-0273"/>
    <s v="PROD-046"/>
    <s v="R003"/>
    <n v="8"/>
    <n v="4880"/>
    <n v="13.4"/>
    <n v="33808.639999999999"/>
    <s v="Completed"/>
    <s v="Hyderabad"/>
    <s v="Beauty"/>
    <m/>
    <s v="Corporate"/>
    <n v="32"/>
    <s v="East"/>
    <s v="Dec-24"/>
    <n v="2768"/>
    <n v="0.43278688524590164"/>
  </r>
  <r>
    <s v="ORD-00132"/>
    <x v="112"/>
    <s v="CUST-0114"/>
    <s v="PROD-004"/>
    <s v="R011"/>
    <n v="10"/>
    <n v="3870"/>
    <n v="23.9"/>
    <n v="29450.7"/>
    <s v="Completed"/>
    <s v="Bengaluru"/>
    <s v="Electronics"/>
    <m/>
    <s v="Corporate"/>
    <n v="42"/>
    <m/>
    <m/>
    <m/>
    <m/>
  </r>
  <r>
    <s v="ORD-00133"/>
    <x v="113"/>
    <s v="CUST-0146"/>
    <s v="PROD-042"/>
    <s v="R002"/>
    <n v="4"/>
    <n v="2290"/>
    <n v="15.2"/>
    <n v="7767.68"/>
    <s v="Completed"/>
    <s v="Hyderabad"/>
    <s v="Beauty"/>
    <m/>
    <s v="Retail"/>
    <n v="22"/>
    <s v="South"/>
    <s v="Feb-24"/>
    <n v="1219"/>
    <n v="0.46768558951965067"/>
  </r>
  <r>
    <s v="ORD-00134"/>
    <x v="68"/>
    <s v="CUST-0298"/>
    <s v="PROD-023"/>
    <s v="R020"/>
    <n v="8"/>
    <n v="2380"/>
    <n v="4.2"/>
    <n v="18240.32"/>
    <s v="Completed"/>
    <s v="Delhi"/>
    <s v="Grocery"/>
    <m/>
    <s v="Retail"/>
    <n v="44"/>
    <m/>
    <m/>
    <m/>
    <m/>
  </r>
  <r>
    <s v="ORD-00135"/>
    <x v="114"/>
    <s v="CUST-0111"/>
    <s v="PROD-029"/>
    <s v="R013"/>
    <n v="8"/>
    <n v="2210"/>
    <n v="11.5"/>
    <n v="15646.8"/>
    <s v="Completed"/>
    <s v="Chennai"/>
    <s v="Grocery"/>
    <m/>
    <s v="SMB"/>
    <n v="64"/>
    <m/>
    <m/>
    <m/>
    <m/>
  </r>
  <r>
    <s v="ORD-01445"/>
    <x v="107"/>
    <s v="CUST-0291"/>
    <s v="PROD-001"/>
    <s v="R022"/>
    <n v="4"/>
    <n v="5330"/>
    <n v="22.6"/>
    <n v="16501.68"/>
    <s v="Pending"/>
    <s v="Pune"/>
    <s v="Electronics"/>
    <m/>
    <s v="SMB"/>
    <n v="29"/>
    <s v="South"/>
    <s v="Jan-24"/>
    <n v="2405"/>
    <n v="0.54878048780487809"/>
  </r>
  <r>
    <s v="ORD-00137"/>
    <x v="115"/>
    <s v="CUST-0024"/>
    <s v="PROD-006"/>
    <s v="R022"/>
    <n v="8"/>
    <n v="3970"/>
    <n v="21.8"/>
    <n v="24836.32"/>
    <s v="Completed"/>
    <s v="Chennai"/>
    <s v="Electronics"/>
    <m/>
    <s v="SMB"/>
    <n v="64"/>
    <m/>
    <m/>
    <m/>
    <m/>
  </r>
  <r>
    <s v="ORD-00138"/>
    <x v="14"/>
    <s v="CUST-0210"/>
    <s v="PROD-012"/>
    <s v="R020"/>
    <n v="10"/>
    <n v="3160"/>
    <n v="16.100000000000001"/>
    <n v="26512.400000000001"/>
    <s v="Cancelled"/>
    <s v="Pune"/>
    <s v="Apparel"/>
    <m/>
    <s v="Corporate"/>
    <n v="48"/>
    <m/>
    <m/>
    <m/>
    <m/>
  </r>
  <r>
    <s v="ORD-00139"/>
    <x v="54"/>
    <s v="CUST-0192"/>
    <s v="PROD-060"/>
    <s v="R009"/>
    <n v="5"/>
    <n v="190"/>
    <n v="14.8"/>
    <n v="809.4"/>
    <s v="Completed"/>
    <s v="Bengaluru"/>
    <s v="Sports"/>
    <m/>
    <s v="Retail"/>
    <n v="55"/>
    <m/>
    <m/>
    <m/>
    <m/>
  </r>
  <r>
    <s v="ORD-00140"/>
    <x v="116"/>
    <s v="CUST-0078"/>
    <s v="PROD-021"/>
    <s v="R007"/>
    <n v="6"/>
    <n v="2760"/>
    <n v="19.8"/>
    <n v="13281.12"/>
    <s v="Completed"/>
    <s v="Delhi"/>
    <s v="Grocery"/>
    <m/>
    <s v="Retail"/>
    <n v="31"/>
    <s v="South"/>
    <s v="May-24"/>
    <n v="1435"/>
    <n v="0.48007246376811596"/>
  </r>
  <r>
    <s v="ORD-00141"/>
    <x v="117"/>
    <s v="CUST-0070"/>
    <s v="PROD-022"/>
    <s v="R019"/>
    <n v="9"/>
    <n v="2270"/>
    <n v="20.8"/>
    <n v="16180.56"/>
    <s v="Cancelled"/>
    <s v="Mumbai"/>
    <s v="Grocery"/>
    <m/>
    <s v="Retail"/>
    <n v="42"/>
    <m/>
    <m/>
    <m/>
    <m/>
  </r>
  <r>
    <s v="ORD-00142"/>
    <x v="60"/>
    <s v="CUST-0159"/>
    <s v="PROD-052"/>
    <s v="R001"/>
    <n v="8"/>
    <n v="5410"/>
    <n v="12.9"/>
    <n v="37696.879999999997"/>
    <s v="Completed"/>
    <s v="Hyderabad"/>
    <s v="Sports"/>
    <m/>
    <s v="Retail"/>
    <n v="32"/>
    <s v="East"/>
    <s v="Nov-24"/>
    <n v="2265"/>
    <n v="0.58133086876155271"/>
  </r>
  <r>
    <s v="ORD-00143"/>
    <x v="118"/>
    <s v="CUST-0294"/>
    <s v="PROD-024"/>
    <s v="R009"/>
    <n v="9"/>
    <n v="2270"/>
    <n v="6.8"/>
    <n v="19040.759999999998"/>
    <s v="Completed"/>
    <s v="Delhi"/>
    <s v="Grocery"/>
    <m/>
    <s v="Corporate"/>
    <n v="31"/>
    <s v="North"/>
    <s v="Feb-24"/>
    <n v="1203"/>
    <n v="0.47004405286343615"/>
  </r>
  <r>
    <s v="ORD-00144"/>
    <x v="119"/>
    <s v="CUST-0280"/>
    <s v="PROD-012"/>
    <s v="R001"/>
    <n v="3"/>
    <n v="3160"/>
    <n v="12.8"/>
    <n v="8266.56"/>
    <s v="Completed"/>
    <s v="Delhi"/>
    <s v="Apparel"/>
    <m/>
    <s v="SMB"/>
    <n v="27"/>
    <s v="South"/>
    <s v="Aug-24"/>
    <n v="1886"/>
    <n v="0.4031645569620253"/>
  </r>
  <r>
    <s v="ORD-00145"/>
    <x v="120"/>
    <s v="CUST-0291"/>
    <s v="PROD-025"/>
    <s v="R028"/>
    <n v="8"/>
    <n v="4060"/>
    <n v="20.9"/>
    <n v="25691.68"/>
    <s v="Completed"/>
    <s v="Pune"/>
    <s v="Grocery"/>
    <m/>
    <s v="SMB"/>
    <n v="29"/>
    <s v="North"/>
    <s v="Jan-24"/>
    <n v="2911"/>
    <n v="0.28300492610837441"/>
  </r>
  <r>
    <s v="ORD-00146"/>
    <x v="121"/>
    <s v="CUST-9657"/>
    <s v="PROD-020"/>
    <s v="R018"/>
    <n v="5"/>
    <n v="820"/>
    <n v="9.1"/>
    <n v="3726.9"/>
    <s v="Refunded"/>
    <s v="Pune"/>
    <s v="Apparel"/>
    <m/>
    <e v="#N/A"/>
    <e v="#N/A"/>
    <m/>
    <m/>
    <m/>
    <m/>
  </r>
  <r>
    <s v="ORD-00147"/>
    <x v="122"/>
    <s v="CUST-0080"/>
    <s v="PROD-032"/>
    <s v="R007"/>
    <n v="5"/>
    <n v="370"/>
    <n v="11.5"/>
    <n v="1637.25"/>
    <s v="Completed"/>
    <s v="Pune"/>
    <s v="Home"/>
    <m/>
    <s v="SMB"/>
    <n v="30"/>
    <s v="East"/>
    <s v="Jun-24"/>
    <n v="288"/>
    <n v="0.22162162162162163"/>
  </r>
  <r>
    <s v="ORD-00148"/>
    <x v="123"/>
    <s v="CUST-0172"/>
    <s v="PROD-034"/>
    <s v="R002"/>
    <n v="9"/>
    <n v="5080"/>
    <n v="27.5"/>
    <n v="33147"/>
    <s v="Completed"/>
    <s v="Pune"/>
    <s v="Home"/>
    <m/>
    <s v="Retail"/>
    <n v="65"/>
    <m/>
    <m/>
    <m/>
    <m/>
  </r>
  <r>
    <s v="ORD-00149"/>
    <x v="124"/>
    <s v="CUST-0051"/>
    <s v="PROD-026"/>
    <s v="R012"/>
    <n v="6"/>
    <n v="4070"/>
    <n v="12.5"/>
    <n v="21367.5"/>
    <s v="Completed"/>
    <s v="Pune"/>
    <s v="Grocery"/>
    <m/>
    <s v="SMB"/>
    <n v="54"/>
    <m/>
    <m/>
    <m/>
    <m/>
  </r>
  <r>
    <s v="ORD-00150"/>
    <x v="63"/>
    <s v="CUST-0080"/>
    <s v="PROD-005"/>
    <s v="R024"/>
    <n v="5"/>
    <n v="300"/>
    <n v="25.8"/>
    <n v="1113"/>
    <s v="Completed"/>
    <s v="Pune"/>
    <s v="Electronics"/>
    <m/>
    <s v="SMB"/>
    <n v="30"/>
    <s v="South"/>
    <s v="May-24"/>
    <n v="128"/>
    <n v="0.57333333333333336"/>
  </r>
  <r>
    <s v="ORD-00151"/>
    <x v="125"/>
    <s v="CUST-0137"/>
    <s v="PROD-048"/>
    <s v="R011"/>
    <n v="7"/>
    <n v="5100"/>
    <n v="28.8"/>
    <n v="25418.400000000001"/>
    <s v="Completed"/>
    <s v="Mumbai"/>
    <s v="Beauty"/>
    <m/>
    <s v="Retail"/>
    <n v="41"/>
    <m/>
    <m/>
    <m/>
    <m/>
  </r>
  <r>
    <s v="ORD-00152"/>
    <x v="126"/>
    <s v="CUST-0222"/>
    <s v="PROD-038"/>
    <s v="R012"/>
    <n v="2"/>
    <n v="5490"/>
    <n v="5.5"/>
    <n v="10376.1"/>
    <s v="Completed"/>
    <s v="Chennai"/>
    <s v="Home"/>
    <m/>
    <s v="Retail"/>
    <n v="37"/>
    <s v="South"/>
    <s v="Jan-24"/>
    <n v="2549"/>
    <n v="0.53570127504553733"/>
  </r>
  <r>
    <s v="ORD-00153"/>
    <x v="127"/>
    <s v="CUST-0117"/>
    <s v="PROD-011"/>
    <s v="R015"/>
    <n v="2"/>
    <n v="3450"/>
    <n v="1.2"/>
    <n v="6817.2"/>
    <s v="Completed"/>
    <s v="Delhi"/>
    <s v="Apparel"/>
    <m/>
    <s v="SMB"/>
    <n v="34"/>
    <s v="South"/>
    <s v="Aug-24"/>
    <n v="1748"/>
    <n v="0.49333333333333335"/>
  </r>
  <r>
    <s v="ORD-00154"/>
    <x v="21"/>
    <s v="CUST-0104"/>
    <s v="PROD-029"/>
    <s v="R002"/>
    <n v="10"/>
    <n v="2210"/>
    <n v="18.8"/>
    <n v="17945.2"/>
    <s v="Completed"/>
    <s v="Hyderabad"/>
    <s v="Grocery"/>
    <m/>
    <s v="Corporate"/>
    <n v="43"/>
    <m/>
    <m/>
    <m/>
    <m/>
  </r>
  <r>
    <s v="ORD-00155"/>
    <x v="128"/>
    <s v="CUST-0082"/>
    <s v="PROD-036"/>
    <s v="R013"/>
    <n v="2"/>
    <n v="3250"/>
    <n v="26.2"/>
    <n v="4797"/>
    <s v="Completed"/>
    <s v="Hyderabad"/>
    <s v="Home"/>
    <m/>
    <s v="SMB"/>
    <n v="36"/>
    <s v="North"/>
    <s v="Aug-24"/>
    <n v="1556"/>
    <n v="0.52123076923076928"/>
  </r>
  <r>
    <s v="ORD-00156"/>
    <x v="129"/>
    <s v="CUST-0165"/>
    <s v="PROD-012"/>
    <s v="R001"/>
    <n v="5"/>
    <n v="3160"/>
    <n v="0.9"/>
    <n v="15657.8"/>
    <s v="Completed"/>
    <s v="Pune"/>
    <s v="Apparel"/>
    <m/>
    <s v="Retail"/>
    <n v="29"/>
    <s v="South"/>
    <s v="Dec-24"/>
    <n v="1886"/>
    <n v="0.4031645569620253"/>
  </r>
  <r>
    <s v="ORD-00157"/>
    <x v="130"/>
    <s v="CUST-0150"/>
    <s v="PROD-004"/>
    <s v="R030"/>
    <n v="4"/>
    <n v="3870"/>
    <n v="29.6"/>
    <n v="10897.92"/>
    <s v="Cancelled"/>
    <s v="Pune"/>
    <s v="Electronics"/>
    <m/>
    <s v="SMB"/>
    <n v="53"/>
    <m/>
    <m/>
    <m/>
    <m/>
  </r>
  <r>
    <s v="ORD-00158"/>
    <x v="131"/>
    <s v="CUST-0228"/>
    <s v="PROD-059"/>
    <s v="R022"/>
    <n v="4"/>
    <n v="3780"/>
    <n v="3.5"/>
    <n v="14590.8"/>
    <s v="Cancelled"/>
    <s v="Pune"/>
    <s v="Sports"/>
    <m/>
    <s v="Corporate"/>
    <n v="37"/>
    <s v="West"/>
    <s v="Jun-24"/>
    <n v="1860"/>
    <n v="0.50793650793650791"/>
  </r>
  <r>
    <s v="ORD-00159"/>
    <x v="49"/>
    <s v="CUST-0197"/>
    <s v="PROD-045"/>
    <s v="R021"/>
    <n v="4"/>
    <n v="3020"/>
    <n v="18.899999999999999"/>
    <n v="9796.8799999999992"/>
    <s v="Completed"/>
    <s v="Bengaluru"/>
    <s v="Beauty"/>
    <m/>
    <s v="Retail"/>
    <n v="55"/>
    <m/>
    <m/>
    <m/>
    <m/>
  </r>
  <r>
    <s v="ORD-00160"/>
    <x v="132"/>
    <s v="CUST-0009"/>
    <s v="PROD-031"/>
    <s v="R015"/>
    <n v="1"/>
    <n v="3730"/>
    <n v="10.8"/>
    <n v="3327.16"/>
    <s v="Refunded"/>
    <s v="Mumbai"/>
    <s v="Home"/>
    <m/>
    <s v="Retail"/>
    <n v="61"/>
    <m/>
    <m/>
    <m/>
    <m/>
  </r>
  <r>
    <s v="ORD-00161"/>
    <x v="18"/>
    <s v="CUST-0139"/>
    <s v="PROD-046"/>
    <s v="R018"/>
    <n v="8"/>
    <n v="4880"/>
    <n v="20.3"/>
    <n v="31114.880000000001"/>
    <s v="Completed"/>
    <s v="Hyderabad"/>
    <s v="Beauty"/>
    <m/>
    <s v="SMB"/>
    <n v="65"/>
    <m/>
    <m/>
    <m/>
    <m/>
  </r>
  <r>
    <s v="ORD-00162"/>
    <x v="133"/>
    <s v="CUST-0184"/>
    <s v="PROD-030"/>
    <s v="R026"/>
    <n v="9"/>
    <n v="970"/>
    <n v="18.2"/>
    <n v="7141.14"/>
    <s v="Completed"/>
    <s v="Pune"/>
    <s v="Grocery"/>
    <m/>
    <s v="Retail"/>
    <n v="63"/>
    <m/>
    <m/>
    <m/>
    <m/>
  </r>
  <r>
    <s v="ORD-00163"/>
    <x v="33"/>
    <s v="CUST-0119"/>
    <s v="PROD-008"/>
    <s v="R017"/>
    <n v="8"/>
    <n v="2660"/>
    <n v="17.600000000000001"/>
    <n v="17534.72"/>
    <s v="Completed"/>
    <s v="Bengaluru"/>
    <s v="Electronics"/>
    <m/>
    <s v="SMB"/>
    <n v="43"/>
    <m/>
    <m/>
    <m/>
    <m/>
  </r>
  <r>
    <s v="ORD-00164"/>
    <x v="85"/>
    <s v="CUST-0280"/>
    <s v="PROD-020"/>
    <s v="R015"/>
    <n v="2"/>
    <n v="820"/>
    <n v="18.100000000000001"/>
    <n v="1343.16"/>
    <s v="Cancelled"/>
    <s v="Delhi"/>
    <s v="Apparel"/>
    <m/>
    <s v="SMB"/>
    <n v="27"/>
    <s v="East"/>
    <s v="May-24"/>
    <n v="391"/>
    <n v="0.52317073170731709"/>
  </r>
  <r>
    <s v="ORD-00165"/>
    <x v="134"/>
    <s v="CUST-0240"/>
    <s v="PROD-033"/>
    <s v="R009"/>
    <n v="7"/>
    <n v="2030"/>
    <n v="23.7"/>
    <n v="10842.23"/>
    <s v="Pending"/>
    <s v="Chennai"/>
    <s v="Home"/>
    <m/>
    <s v="Corporate"/>
    <n v="35"/>
    <s v="South"/>
    <s v="May-24"/>
    <n v="1143"/>
    <n v="0.43694581280788175"/>
  </r>
  <r>
    <s v="ORD-00166"/>
    <x v="80"/>
    <s v="CUST-0067"/>
    <s v="PROD-016"/>
    <s v="R009"/>
    <n v="5"/>
    <n v="620"/>
    <n v="13.8"/>
    <n v="2672.2"/>
    <s v="Completed"/>
    <s v="Delhi"/>
    <s v="Apparel"/>
    <m/>
    <s v="SMB"/>
    <n v="59"/>
    <m/>
    <m/>
    <m/>
    <m/>
  </r>
  <r>
    <s v="ORD-00167"/>
    <x v="135"/>
    <s v="CUST-0117"/>
    <s v="PROD-022"/>
    <s v="R022"/>
    <n v="7"/>
    <n v="2270"/>
    <n v="5.5"/>
    <n v="15016.05"/>
    <s v="Completed"/>
    <s v="Delhi"/>
    <s v="Grocery"/>
    <m/>
    <s v="SMB"/>
    <n v="34"/>
    <s v="South"/>
    <s v="Aug-24"/>
    <n v="1412"/>
    <n v="0.37797356828193834"/>
  </r>
  <r>
    <s v="ORD-00168"/>
    <x v="136"/>
    <s v="CUST-0101"/>
    <s v="PROD-053"/>
    <s v="R016"/>
    <n v="1"/>
    <n v="470"/>
    <n v="13.7"/>
    <n v="405.61"/>
    <s v="Pending"/>
    <s v="Hyderabad"/>
    <s v="Sports"/>
    <m/>
    <s v="SMB"/>
    <n v="40"/>
    <s v="East"/>
    <s v="Jul-24"/>
    <n v="302"/>
    <n v="0.35744680851063831"/>
  </r>
  <r>
    <s v="ORD-00169"/>
    <x v="131"/>
    <s v="CUST-0184"/>
    <s v="PROD-001"/>
    <s v="R007"/>
    <n v="6"/>
    <n v="5330"/>
    <n v="17.899999999999999"/>
    <n v="26255.58"/>
    <s v="Completed"/>
    <s v="Pune"/>
    <s v="Electronics"/>
    <m/>
    <s v="Retail"/>
    <n v="63"/>
    <m/>
    <m/>
    <m/>
    <m/>
  </r>
  <r>
    <s v="ORD-00170"/>
    <x v="137"/>
    <s v="CUST-0087"/>
    <s v="PROD-050"/>
    <s v="R002"/>
    <n v="1"/>
    <n v="6080"/>
    <n v="25.5"/>
    <n v="4529.6000000000004"/>
    <s v="Completed"/>
    <s v="Pune"/>
    <s v="Beauty"/>
    <m/>
    <s v="SMB"/>
    <n v="49"/>
    <m/>
    <m/>
    <m/>
    <m/>
  </r>
  <r>
    <s v="ORD-00171"/>
    <x v="138"/>
    <s v="CUST-0261"/>
    <s v="PROD-027"/>
    <s v="R022"/>
    <n v="5"/>
    <n v="3780"/>
    <n v="28.6"/>
    <n v="13494.6"/>
    <s v="Completed"/>
    <s v="Delhi"/>
    <s v="Grocery"/>
    <m/>
    <s v="Retail"/>
    <n v="54"/>
    <m/>
    <m/>
    <m/>
    <m/>
  </r>
  <r>
    <s v="ORD-00172"/>
    <x v="139"/>
    <s v="CUST-0027"/>
    <s v="PROD-016"/>
    <s v="R010"/>
    <n v="5"/>
    <n v="620"/>
    <n v="6.9"/>
    <n v="2886.1"/>
    <s v="Cancelled"/>
    <s v="Hyderabad"/>
    <s v="Apparel"/>
    <m/>
    <s v="Corporate"/>
    <n v="52"/>
    <m/>
    <m/>
    <m/>
    <m/>
  </r>
  <r>
    <s v="ORD-00173"/>
    <x v="140"/>
    <s v="CUST-0210"/>
    <s v="PROD-017"/>
    <s v="R027"/>
    <n v="8"/>
    <n v="2510"/>
    <n v="0.7"/>
    <n v="19939.439999999999"/>
    <s v="Completed"/>
    <s v="Pune"/>
    <s v="Apparel"/>
    <m/>
    <s v="Corporate"/>
    <n v="48"/>
    <m/>
    <m/>
    <m/>
    <m/>
  </r>
  <r>
    <s v="ORD-00174"/>
    <x v="141"/>
    <s v="CUST-0163"/>
    <s v="PROD-015"/>
    <s v="R020"/>
    <n v="1"/>
    <n v="2720"/>
    <n v="13.7"/>
    <n v="2347.36"/>
    <s v="Completed"/>
    <s v="Pune"/>
    <s v="Apparel"/>
    <m/>
    <s v="Retail"/>
    <n v="49"/>
    <m/>
    <m/>
    <m/>
    <m/>
  </r>
  <r>
    <s v="ORD-00175"/>
    <x v="14"/>
    <s v="CUST-0059"/>
    <s v="PROD-053"/>
    <s v="R018"/>
    <n v="9"/>
    <n v="470"/>
    <n v="23.6"/>
    <n v="3231.72"/>
    <s v="Completed"/>
    <s v="Pune"/>
    <s v="Sports"/>
    <m/>
    <s v="Corporate"/>
    <n v="29"/>
    <s v="East"/>
    <s v="Jan-24"/>
    <n v="302"/>
    <n v="0.35744680851063831"/>
  </r>
  <r>
    <s v="ORD-00176"/>
    <x v="142"/>
    <s v="CUST-0020"/>
    <s v="PROD-036"/>
    <s v="R018"/>
    <n v="10"/>
    <n v="3250"/>
    <n v="21"/>
    <n v="25675"/>
    <s v="Cancelled"/>
    <s v="Hyderabad"/>
    <s v="Home"/>
    <m/>
    <s v="Retail"/>
    <n v="46"/>
    <m/>
    <m/>
    <m/>
    <m/>
  </r>
  <r>
    <s v="ORD-00177"/>
    <x v="51"/>
    <s v="CUST-0048"/>
    <s v="PROD-034"/>
    <s v="R028"/>
    <n v="6"/>
    <n v="5080"/>
    <n v="16.8"/>
    <n v="25359.360000000001"/>
    <s v="Pending"/>
    <s v="Delhi"/>
    <s v="Home"/>
    <m/>
    <s v="Retail"/>
    <n v="59"/>
    <m/>
    <m/>
    <m/>
    <m/>
  </r>
  <r>
    <s v="ORD-00178"/>
    <x v="42"/>
    <s v="CUST-0172"/>
    <s v="PROD-003"/>
    <s v="R012"/>
    <n v="2"/>
    <n v="3570"/>
    <n v="6.7"/>
    <n v="6661.62"/>
    <s v="Cancelled"/>
    <s v="Pune"/>
    <s v="Electronics"/>
    <m/>
    <s v="Retail"/>
    <n v="65"/>
    <m/>
    <m/>
    <m/>
    <m/>
  </r>
  <r>
    <s v="ORD-00179"/>
    <x v="143"/>
    <s v="CUST-0124"/>
    <s v="PROD-013"/>
    <s v="R012"/>
    <n v="4"/>
    <n v="3640"/>
    <n v="18.399999999999999"/>
    <n v="11880.96"/>
    <s v="Completed"/>
    <s v="Pune"/>
    <s v="Apparel"/>
    <m/>
    <s v="Retail"/>
    <n v="57"/>
    <m/>
    <m/>
    <m/>
    <m/>
  </r>
  <r>
    <s v="ORD-00180"/>
    <x v="111"/>
    <s v="CUST-0184"/>
    <s v="PROD-026"/>
    <s v="R001"/>
    <n v="8"/>
    <n v="4070"/>
    <n v="6.6"/>
    <n v="30411.040000000001"/>
    <s v="Completed"/>
    <s v="Pune"/>
    <s v="Grocery"/>
    <m/>
    <s v="Retail"/>
    <n v="63"/>
    <m/>
    <m/>
    <m/>
    <m/>
  </r>
  <r>
    <s v="ORD-00181"/>
    <x v="40"/>
    <s v="CUST-0259"/>
    <s v="PROD-011"/>
    <s v="R012"/>
    <n v="6"/>
    <n v="3450"/>
    <n v="14.4"/>
    <n v="17719.2"/>
    <s v="Pending"/>
    <s v="Mumbai"/>
    <s v="Apparel"/>
    <m/>
    <s v="Retail"/>
    <n v="34"/>
    <s v="North"/>
    <s v="Aug-24"/>
    <n v="1748"/>
    <n v="0.49333333333333335"/>
  </r>
  <r>
    <s v="ORD-00182"/>
    <x v="68"/>
    <s v="CUST-0204"/>
    <s v="PROD-034"/>
    <s v="R029"/>
    <n v="7"/>
    <n v="5080"/>
    <n v="25.4"/>
    <n v="26527.759999999998"/>
    <s v="Pending"/>
    <s v="Hyderabad"/>
    <s v="Home"/>
    <m/>
    <s v="Retail"/>
    <n v="60"/>
    <m/>
    <m/>
    <m/>
    <m/>
  </r>
  <r>
    <s v="ORD-00183"/>
    <x v="144"/>
    <s v="CUST-0032"/>
    <s v="PROD-021"/>
    <s v="R028"/>
    <n v="10"/>
    <n v="2760"/>
    <n v="20.100000000000001"/>
    <n v="22052.400000000001"/>
    <s v="Completed"/>
    <s v="Hyderabad"/>
    <s v="Grocery"/>
    <m/>
    <s v="Retail"/>
    <n v="28"/>
    <s v="West"/>
    <s v="May-24"/>
    <n v="1435"/>
    <n v="0.48007246376811596"/>
  </r>
  <r>
    <s v="ORD-00184"/>
    <x v="145"/>
    <s v="CUST-0239"/>
    <s v="PROD-044"/>
    <s v="R016"/>
    <n v="6"/>
    <n v="1650"/>
    <n v="11.3"/>
    <n v="8781.2999999999993"/>
    <s v="Pending"/>
    <s v="Mumbai"/>
    <s v="Beauty"/>
    <m/>
    <s v="Retail"/>
    <n v="61"/>
    <m/>
    <m/>
    <m/>
    <m/>
  </r>
  <r>
    <s v="ORD-00185"/>
    <x v="146"/>
    <s v="CUST-0191"/>
    <s v="PROD-004"/>
    <s v="R007"/>
    <n v="9"/>
    <n v="3870"/>
    <n v="27.5"/>
    <n v="25251.75"/>
    <s v="Completed"/>
    <s v="Hyderabad"/>
    <s v="Electronics"/>
    <m/>
    <s v="SMB"/>
    <n v="43"/>
    <m/>
    <m/>
    <m/>
    <m/>
  </r>
  <r>
    <s v="ORD-00186"/>
    <x v="147"/>
    <s v="CUST-0284"/>
    <s v="PROD-035"/>
    <s v="R022"/>
    <n v="2"/>
    <n v="1090"/>
    <n v="18.7"/>
    <n v="1772.34"/>
    <s v="Refunded"/>
    <s v="Hyderabad"/>
    <s v="Home"/>
    <m/>
    <s v="SMB"/>
    <n v="65"/>
    <m/>
    <m/>
    <m/>
    <m/>
  </r>
  <r>
    <s v="ORD-00187"/>
    <x v="148"/>
    <s v="CUST-0274"/>
    <s v="PROD-049"/>
    <s v="R025"/>
    <n v="4"/>
    <n v="960"/>
    <n v="23.4"/>
    <n v="2941.44"/>
    <s v="Completed"/>
    <s v="Bengaluru"/>
    <s v="Beauty"/>
    <m/>
    <s v="Corporate"/>
    <n v="36"/>
    <s v="East"/>
    <s v="Aug-24"/>
    <n v="675"/>
    <n v="0.296875"/>
  </r>
  <r>
    <s v="ORD-00188"/>
    <x v="149"/>
    <s v="CUST-0234"/>
    <s v="PROD-043"/>
    <s v="R021"/>
    <n v="3"/>
    <n v="3350"/>
    <n v="17.899999999999999"/>
    <n v="8251.0499999999993"/>
    <s v="Completed"/>
    <s v="Bengaluru"/>
    <s v="Beauty"/>
    <m/>
    <s v="Retail"/>
    <n v="34"/>
    <s v="West"/>
    <s v="Sep-24"/>
    <n v="1728"/>
    <n v="0.48417910447761192"/>
  </r>
  <r>
    <s v="ORD-00189"/>
    <x v="150"/>
    <s v="CUST-0264"/>
    <s v="PROD-022"/>
    <s v="R005"/>
    <n v="4"/>
    <n v="2270"/>
    <n v="29"/>
    <n v="6446.8"/>
    <s v="Completed"/>
    <s v="Pune"/>
    <s v="Grocery"/>
    <m/>
    <s v="Retail"/>
    <n v="59"/>
    <m/>
    <m/>
    <m/>
    <m/>
  </r>
  <r>
    <s v="ORD-00190"/>
    <x v="151"/>
    <s v="CUST-0192"/>
    <s v="PROD-039"/>
    <s v="R023"/>
    <n v="9"/>
    <n v="4610"/>
    <n v="28.3"/>
    <n v="29748.33"/>
    <s v="Pending"/>
    <s v="Bengaluru"/>
    <s v="Home"/>
    <m/>
    <s v="Retail"/>
    <n v="55"/>
    <m/>
    <m/>
    <m/>
    <m/>
  </r>
  <r>
    <s v="ORD-00191"/>
    <x v="152"/>
    <s v="CUST-0041"/>
    <s v="PROD-012"/>
    <s v="R009"/>
    <n v="3"/>
    <n v="3160"/>
    <n v="7.3"/>
    <n v="8787.9599999999991"/>
    <s v="Completed"/>
    <s v="Bengaluru"/>
    <s v="Apparel"/>
    <m/>
    <s v="SMB"/>
    <n v="26"/>
    <s v="East"/>
    <s v="Jun-24"/>
    <n v="1886"/>
    <n v="0.4031645569620253"/>
  </r>
  <r>
    <s v="ORD-00192"/>
    <x v="52"/>
    <s v="CUST-0043"/>
    <s v="PROD-022"/>
    <s v="R004"/>
    <n v="8"/>
    <n v="2270"/>
    <n v="15.6"/>
    <n v="15327.04"/>
    <s v="Completed"/>
    <s v="Hyderabad"/>
    <s v="Grocery"/>
    <m/>
    <s v="Retail"/>
    <n v="61"/>
    <m/>
    <m/>
    <m/>
    <m/>
  </r>
  <r>
    <s v="ORD-00193"/>
    <x v="64"/>
    <s v="CUST-0147"/>
    <s v="PROD-045"/>
    <s v="R028"/>
    <n v="8"/>
    <n v="3020"/>
    <n v="16.3"/>
    <n v="20221.919999999998"/>
    <s v="Cancelled"/>
    <s v="Pune"/>
    <s v="Beauty"/>
    <m/>
    <s v="Retail"/>
    <n v="56"/>
    <m/>
    <m/>
    <m/>
    <m/>
  </r>
  <r>
    <s v="ORD-00194"/>
    <x v="7"/>
    <s v="CUST-0056"/>
    <s v="PROD-056"/>
    <s v="R030"/>
    <n v="7"/>
    <n v="6940"/>
    <n v="8.5"/>
    <n v="44450.7"/>
    <s v="Completed"/>
    <s v="Bengaluru"/>
    <s v="Sports"/>
    <m/>
    <s v="SMB"/>
    <n v="46"/>
    <m/>
    <m/>
    <m/>
    <m/>
  </r>
  <r>
    <s v="ORD-00195"/>
    <x v="14"/>
    <s v="CUST-0059"/>
    <s v="PROD-041"/>
    <s v="R012"/>
    <n v="8"/>
    <n v="1540"/>
    <n v="21"/>
    <n v="9732.7999999999993"/>
    <s v="Completed"/>
    <s v="Pune"/>
    <s v="Beauty"/>
    <m/>
    <s v="Corporate"/>
    <n v="29"/>
    <s v="West"/>
    <s v="Nov-24"/>
    <n v="647"/>
    <n v="0.57987012987012987"/>
  </r>
  <r>
    <s v="ORD-00196"/>
    <x v="82"/>
    <s v="CUST-0047"/>
    <s v="PROD-019"/>
    <s v="R029"/>
    <n v="6"/>
    <n v="2480"/>
    <n v="27.9"/>
    <n v="10728.48"/>
    <s v="Completed"/>
    <s v="Pune"/>
    <s v="Apparel"/>
    <m/>
    <s v="Retail"/>
    <n v="49"/>
    <m/>
    <m/>
    <m/>
    <m/>
  </r>
  <r>
    <s v="ORD-00197"/>
    <x v="153"/>
    <s v="CUST-0162"/>
    <s v="PROD-060"/>
    <s v="R022"/>
    <n v="4"/>
    <n v="190"/>
    <n v="21.5"/>
    <n v="596.6"/>
    <s v="Completed"/>
    <s v="Mumbai"/>
    <s v="Sports"/>
    <m/>
    <s v="Corporate"/>
    <n v="35"/>
    <s v="West"/>
    <s v="Mar-24"/>
    <n v="147"/>
    <n v="0.22631578947368422"/>
  </r>
  <r>
    <s v="ORD-00198"/>
    <x v="36"/>
    <s v="CUST-0121"/>
    <s v="PROD-055"/>
    <s v="R014"/>
    <n v="1"/>
    <n v="2860"/>
    <n v="15.3"/>
    <n v="2422.42"/>
    <s v="Completed"/>
    <s v="Delhi"/>
    <s v="Sports"/>
    <m/>
    <s v="SMB"/>
    <n v="55"/>
    <m/>
    <m/>
    <m/>
    <m/>
  </r>
  <r>
    <s v="ORD-00199"/>
    <x v="154"/>
    <s v="CUST-0075"/>
    <s v="PROD-017"/>
    <s v="R015"/>
    <n v="4"/>
    <n v="2510"/>
    <n v="10.1"/>
    <n v="9025.9599999999991"/>
    <s v="Refunded"/>
    <s v="Mumbai"/>
    <s v="Apparel"/>
    <m/>
    <s v="Corporate"/>
    <n v="55"/>
    <m/>
    <m/>
    <m/>
    <m/>
  </r>
  <r>
    <s v="ORD-00200"/>
    <x v="78"/>
    <s v="CUST-0025"/>
    <s v="PROD-003"/>
    <s v="R003"/>
    <n v="2"/>
    <n v="3570"/>
    <n v="11.6"/>
    <n v="6311.76"/>
    <s v="Pending"/>
    <s v="Bengaluru"/>
    <s v="Electronics"/>
    <m/>
    <s v="Retail"/>
    <n v="23"/>
    <s v="South"/>
    <s v="Feb-24"/>
    <n v="1665"/>
    <n v="0.53361344537815125"/>
  </r>
  <r>
    <s v="ORD-00201"/>
    <x v="112"/>
    <s v="CUST-0048"/>
    <s v="PROD-031"/>
    <s v="R016"/>
    <n v="7"/>
    <n v="3730"/>
    <n v="2.5"/>
    <n v="25457.25"/>
    <s v="Cancelled"/>
    <s v="Delhi"/>
    <s v="Home"/>
    <m/>
    <s v="Retail"/>
    <n v="59"/>
    <m/>
    <m/>
    <m/>
    <m/>
  </r>
  <r>
    <s v="ORD-00202"/>
    <x v="155"/>
    <s v="CUST-0251"/>
    <s v="PROD-032"/>
    <s v="R030"/>
    <n v="6"/>
    <n v="370"/>
    <n v="9.9"/>
    <n v="2000.22"/>
    <s v="Completed"/>
    <s v="Mumbai"/>
    <s v="Home"/>
    <m/>
    <s v="Retail"/>
    <n v="44"/>
    <m/>
    <m/>
    <m/>
    <m/>
  </r>
  <r>
    <s v="ORD-00203"/>
    <x v="156"/>
    <s v="CUST-0125"/>
    <s v="PROD-008"/>
    <s v="R014"/>
    <n v="4"/>
    <n v="2660"/>
    <n v="29.7"/>
    <n v="7479.92"/>
    <s v="Completed"/>
    <s v="Delhi"/>
    <s v="Electronics"/>
    <m/>
    <s v="Retail"/>
    <n v="45"/>
    <m/>
    <m/>
    <m/>
    <m/>
  </r>
  <r>
    <s v="ORD-00204"/>
    <x v="152"/>
    <s v="CUST-0025"/>
    <s v="PROD-021"/>
    <s v="R015"/>
    <n v="6"/>
    <n v="2760"/>
    <n v="0.9"/>
    <n v="16410.96"/>
    <s v="Completed"/>
    <s v="Bengaluru"/>
    <s v="Grocery"/>
    <m/>
    <s v="Retail"/>
    <n v="23"/>
    <s v="South"/>
    <s v="Jul-24"/>
    <n v="1435"/>
    <n v="0.48007246376811596"/>
  </r>
  <r>
    <s v="ORD-00205"/>
    <x v="157"/>
    <s v="CUST-0068"/>
    <s v="PROD-043"/>
    <s v="R009"/>
    <n v="6"/>
    <n v="3350"/>
    <n v="17.899999999999999"/>
    <n v="16502.099999999999"/>
    <s v="Completed"/>
    <s v="Delhi"/>
    <s v="Beauty"/>
    <m/>
    <s v="SMB"/>
    <n v="48"/>
    <m/>
    <m/>
    <m/>
    <m/>
  </r>
  <r>
    <s v="ORD-00206"/>
    <x v="158"/>
    <s v="CUST-0080"/>
    <s v="PROD-005"/>
    <s v="R017"/>
    <n v="8"/>
    <n v="300"/>
    <n v="20.6"/>
    <n v="1905.6"/>
    <s v="Refunded"/>
    <s v="Pune"/>
    <s v="Electronics"/>
    <m/>
    <s v="SMB"/>
    <n v="30"/>
    <s v="South"/>
    <s v="Oct-24"/>
    <n v="128"/>
    <n v="0.57333333333333336"/>
  </r>
  <r>
    <s v="ORD-00207"/>
    <x v="159"/>
    <s v="CUST-0251"/>
    <s v="PROD-015"/>
    <s v="R002"/>
    <n v="5"/>
    <n v="2720"/>
    <n v="17.100000000000001"/>
    <n v="11274.4"/>
    <s v="Pending"/>
    <s v="Mumbai"/>
    <s v="Apparel"/>
    <m/>
    <s v="Retail"/>
    <n v="44"/>
    <m/>
    <m/>
    <m/>
    <m/>
  </r>
  <r>
    <s v="ORD-00208"/>
    <x v="160"/>
    <s v="CUST-0077"/>
    <s v="PROD-004"/>
    <s v="R015"/>
    <n v="1"/>
    <n v="3870"/>
    <n v="23.5"/>
    <n v="2960.55"/>
    <s v="Pending"/>
    <s v="Hyderabad"/>
    <s v="Electronics"/>
    <m/>
    <s v="SMB"/>
    <n v="48"/>
    <m/>
    <m/>
    <m/>
    <m/>
  </r>
  <r>
    <s v="ORD-00209"/>
    <x v="161"/>
    <s v="CUST-0232"/>
    <s v="PROD-031"/>
    <s v="R012"/>
    <n v="3"/>
    <n v="3730"/>
    <n v="0.7"/>
    <n v="11111.67"/>
    <s v="Pending"/>
    <s v="Hyderabad"/>
    <s v="Home"/>
    <m/>
    <s v="Retail"/>
    <n v="38"/>
    <s v="South"/>
    <s v="Oct-24"/>
    <n v="2135"/>
    <n v="0.42761394101876676"/>
  </r>
  <r>
    <s v="ORD-00210"/>
    <x v="162"/>
    <s v="CUST-0277"/>
    <s v="PROD-019"/>
    <s v="R012"/>
    <n v="8"/>
    <n v="2480"/>
    <n v="18.2"/>
    <n v="16229.12"/>
    <s v="Cancelled"/>
    <s v="Chennai"/>
    <s v="Apparel"/>
    <m/>
    <s v="Corporate"/>
    <n v="34"/>
    <s v="South"/>
    <s v="Dec-24"/>
    <n v="1173"/>
    <n v="0.52701612903225803"/>
  </r>
  <r>
    <s v="ORD-00211"/>
    <x v="163"/>
    <s v="CUST-0149"/>
    <s v="PROD-057"/>
    <s v="R019"/>
    <n v="2"/>
    <n v="960"/>
    <n v="2.2000000000000002"/>
    <n v="1877.76"/>
    <s v="Completed"/>
    <s v="Hyderabad"/>
    <s v="Sports"/>
    <m/>
    <s v="Retail"/>
    <n v="44"/>
    <m/>
    <m/>
    <m/>
    <m/>
  </r>
  <r>
    <s v="ORD-00212"/>
    <x v="164"/>
    <s v="CUST-0178"/>
    <s v="PROD-046"/>
    <s v="R018"/>
    <n v="8"/>
    <n v="4880"/>
    <n v="11.9"/>
    <n v="34394.239999999998"/>
    <s v="Completed"/>
    <s v="Hyderabad"/>
    <s v="Beauty"/>
    <m/>
    <s v="Retail"/>
    <n v="25"/>
    <s v="East"/>
    <s v="Mar-24"/>
    <n v="2768"/>
    <n v="0.43278688524590164"/>
  </r>
  <r>
    <s v="ORD-00213"/>
    <x v="165"/>
    <s v="CUST-0246"/>
    <s v="PROD-014"/>
    <s v="R030"/>
    <n v="2"/>
    <n v="3620"/>
    <n v="1.1000000000000001"/>
    <n v="7160.36"/>
    <s v="Pending"/>
    <s v="Delhi"/>
    <s v="Apparel"/>
    <m/>
    <s v="SMB"/>
    <n v="29"/>
    <s v="East"/>
    <s v="Feb-24"/>
    <n v="2509"/>
    <n v="0.3069060773480663"/>
  </r>
  <r>
    <s v="ORD-00214"/>
    <x v="52"/>
    <s v="CUST-0033"/>
    <s v="PROD-006"/>
    <s v="R008"/>
    <n v="8"/>
    <n v="3970"/>
    <n v="18.100000000000001"/>
    <n v="26011.439999999999"/>
    <s v="Completed"/>
    <s v="Delhi"/>
    <s v="Electronics"/>
    <m/>
    <s v="Retail"/>
    <n v="35"/>
    <s v="West"/>
    <s v="Dec-24"/>
    <n v="2865"/>
    <n v="0.27833753148614609"/>
  </r>
  <r>
    <s v="ORD-00215"/>
    <x v="166"/>
    <s v="CUST-0159"/>
    <s v="PROD-022"/>
    <s v="R026"/>
    <n v="8"/>
    <n v="2270"/>
    <n v="19.600000000000001"/>
    <n v="14600.64"/>
    <s v="Completed"/>
    <s v="Hyderabad"/>
    <s v="Grocery"/>
    <m/>
    <s v="Retail"/>
    <n v="32"/>
    <s v="North"/>
    <s v="Oct-24"/>
    <n v="1412"/>
    <n v="0.37797356828193834"/>
  </r>
  <r>
    <s v="ORD-00216"/>
    <x v="167"/>
    <s v="CUST-0175"/>
    <s v="PROD-027"/>
    <s v="R013"/>
    <n v="1"/>
    <n v="3780"/>
    <n v="22.6"/>
    <n v="2925.72"/>
    <s v="Completed"/>
    <s v="Delhi"/>
    <s v="Grocery"/>
    <m/>
    <s v="Corporate"/>
    <n v="55"/>
    <m/>
    <m/>
    <m/>
    <m/>
  </r>
  <r>
    <s v="ORD-00217"/>
    <x v="168"/>
    <s v="CUST-0079"/>
    <s v="PROD-026"/>
    <s v="R022"/>
    <n v="9"/>
    <n v="4070"/>
    <n v="28.2"/>
    <n v="26300.34"/>
    <s v="Completed"/>
    <s v="Mumbai"/>
    <s v="Grocery"/>
    <m/>
    <s v="Corporate"/>
    <n v="60"/>
    <m/>
    <m/>
    <m/>
    <m/>
  </r>
  <r>
    <s v="ORD-00218"/>
    <x v="75"/>
    <s v="CUST-0173"/>
    <s v="PROD-008"/>
    <s v="R006"/>
    <n v="9"/>
    <n v="2660"/>
    <n v="13.1"/>
    <n v="20803.86"/>
    <s v="Pending"/>
    <s v="Mumbai"/>
    <s v="Electronics"/>
    <m/>
    <s v="Retail"/>
    <n v="65"/>
    <m/>
    <m/>
    <m/>
    <m/>
  </r>
  <r>
    <s v="ORD-00219"/>
    <x v="169"/>
    <s v="CUST-0050"/>
    <s v="PROD-003"/>
    <s v="R004"/>
    <n v="4"/>
    <n v="3570"/>
    <n v="1.5"/>
    <n v="14065.8"/>
    <s v="Cancelled"/>
    <s v="Mumbai"/>
    <s v="Electronics"/>
    <m/>
    <s v="Retail"/>
    <n v="37"/>
    <s v="North"/>
    <s v="May-24"/>
    <n v="1665"/>
    <n v="0.53361344537815125"/>
  </r>
  <r>
    <s v="ORD-00220"/>
    <x v="101"/>
    <s v="CUST-0097"/>
    <s v="PROD-049"/>
    <s v="R001"/>
    <n v="2"/>
    <n v="960"/>
    <n v="18.600000000000001"/>
    <n v="1562.88"/>
    <s v="Completed"/>
    <s v="Mumbai"/>
    <s v="Beauty"/>
    <m/>
    <s v="Retail"/>
    <n v="65"/>
    <m/>
    <m/>
    <m/>
    <m/>
  </r>
  <r>
    <s v="ORD-00221"/>
    <x v="14"/>
    <s v="CUST-0026"/>
    <s v="PROD-047"/>
    <s v="R018"/>
    <n v="2"/>
    <n v="3450"/>
    <n v="3.7"/>
    <n v="6644.7"/>
    <s v="Completed"/>
    <s v="Pune"/>
    <s v="Beauty"/>
    <m/>
    <s v="Retail"/>
    <n v="62"/>
    <m/>
    <m/>
    <m/>
    <m/>
  </r>
  <r>
    <s v="ORD-00222"/>
    <x v="170"/>
    <s v="CUST-0185"/>
    <s v="PROD-048"/>
    <s v="R007"/>
    <n v="6"/>
    <n v="5100"/>
    <n v="1.2"/>
    <n v="30232.799999999999"/>
    <s v="Completed"/>
    <s v="Hyderabad"/>
    <s v="Beauty"/>
    <m/>
    <s v="SMB"/>
    <n v="43"/>
    <m/>
    <m/>
    <m/>
    <m/>
  </r>
  <r>
    <s v="ORD-00223"/>
    <x v="105"/>
    <s v="CUST-0135"/>
    <s v="PROD-005"/>
    <s v="R005"/>
    <n v="9"/>
    <n v="300"/>
    <n v="25.4"/>
    <n v="2014.2"/>
    <s v="Cancelled"/>
    <s v="Pune"/>
    <s v="Electronics"/>
    <m/>
    <s v="SMB"/>
    <n v="24"/>
    <s v="North"/>
    <s v="Nov-24"/>
    <n v="128"/>
    <n v="0.57333333333333336"/>
  </r>
  <r>
    <s v="ORD-00224"/>
    <x v="171"/>
    <s v="CUST-0010"/>
    <s v="PROD-046"/>
    <s v="R020"/>
    <n v="7"/>
    <n v="4880"/>
    <n v="16.899999999999999"/>
    <n v="28386.959999999999"/>
    <s v="Pending"/>
    <s v="Mumbai"/>
    <s v="Beauty"/>
    <m/>
    <s v="SMB"/>
    <n v="61"/>
    <m/>
    <m/>
    <m/>
    <m/>
  </r>
  <r>
    <s v="ORD-00225"/>
    <x v="172"/>
    <s v="CUST-0271"/>
    <s v="PROD-036"/>
    <s v="R023"/>
    <n v="9"/>
    <n v="3250"/>
    <n v="10.8"/>
    <n v="26091"/>
    <s v="Cancelled"/>
    <s v="Bengaluru"/>
    <s v="Home"/>
    <m/>
    <s v="Corporate"/>
    <n v="41"/>
    <m/>
    <m/>
    <m/>
    <m/>
  </r>
  <r>
    <s v="ORD-00226"/>
    <x v="129"/>
    <s v="CUST-0172"/>
    <s v="PROD-047"/>
    <s v="R006"/>
    <n v="3"/>
    <n v="3450"/>
    <n v="5.4"/>
    <n v="9791.1"/>
    <s v="Pending"/>
    <s v="Pune"/>
    <s v="Beauty"/>
    <m/>
    <s v="Retail"/>
    <n v="65"/>
    <m/>
    <m/>
    <m/>
    <m/>
  </r>
  <r>
    <s v="ORD-00227"/>
    <x v="63"/>
    <s v="CUST-0296"/>
    <s v="PROD-050"/>
    <s v="R021"/>
    <n v="5"/>
    <n v="6080"/>
    <n v="18"/>
    <n v="24928"/>
    <s v="Completed"/>
    <s v="Delhi"/>
    <s v="Beauty"/>
    <m/>
    <s v="Corporate"/>
    <n v="47"/>
    <m/>
    <m/>
    <m/>
    <m/>
  </r>
  <r>
    <s v="ORD-00228"/>
    <x v="173"/>
    <s v="CUST-0080"/>
    <s v="PROD-050"/>
    <s v="R022"/>
    <n v="7"/>
    <n v="6080"/>
    <n v="9.1999999999999993"/>
    <n v="38644.480000000003"/>
    <s v="Completed"/>
    <s v="Pune"/>
    <s v="Beauty"/>
    <m/>
    <s v="SMB"/>
    <n v="30"/>
    <s v="East"/>
    <s v="Feb-24"/>
    <n v="2617"/>
    <n v="0.56957236842105263"/>
  </r>
  <r>
    <s v="ORD-00229"/>
    <x v="65"/>
    <s v="CUST-0232"/>
    <s v="PROD-024"/>
    <s v="R014"/>
    <n v="5"/>
    <n v="2270"/>
    <n v="0.4"/>
    <n v="11304.6"/>
    <s v="Cancelled"/>
    <s v="Hyderabad"/>
    <s v="Grocery"/>
    <m/>
    <s v="Retail"/>
    <n v="38"/>
    <s v="East"/>
    <s v="Jul-24"/>
    <n v="1203"/>
    <n v="0.47004405286343615"/>
  </r>
  <r>
    <s v="ORD-00230"/>
    <x v="41"/>
    <s v="CUST-0070"/>
    <s v="PROD-046"/>
    <s v="R016"/>
    <n v="10"/>
    <n v="4880"/>
    <n v="24.5"/>
    <n v="36844"/>
    <s v="Refunded"/>
    <s v="Mumbai"/>
    <s v="Beauty"/>
    <m/>
    <s v="Retail"/>
    <n v="42"/>
    <m/>
    <m/>
    <m/>
    <m/>
  </r>
  <r>
    <s v="ORD-00231"/>
    <x v="174"/>
    <s v="CUST-0142"/>
    <s v="PROD-023"/>
    <s v="R002"/>
    <n v="2"/>
    <n v="2380"/>
    <n v="2.2999999999999998"/>
    <n v="4650.5200000000004"/>
    <s v="Completed"/>
    <s v="Chennai"/>
    <s v="Grocery"/>
    <m/>
    <s v="Corporate"/>
    <n v="55"/>
    <m/>
    <m/>
    <m/>
    <m/>
  </r>
  <r>
    <s v="ORD-00232"/>
    <x v="71"/>
    <s v="CUST-0161"/>
    <s v="PROD-054"/>
    <s v="R025"/>
    <n v="1"/>
    <n v="1010"/>
    <n v="29.9"/>
    <n v="708.01"/>
    <s v="Completed"/>
    <s v="Chennai"/>
    <s v="Sports"/>
    <m/>
    <s v="Retail"/>
    <n v="38"/>
    <s v="North"/>
    <s v="Jan-24"/>
    <n v="516"/>
    <n v="0.4891089108910891"/>
  </r>
  <r>
    <s v="ORD-00233"/>
    <x v="175"/>
    <s v="CUST-0020"/>
    <s v="PROD-056"/>
    <s v="R029"/>
    <n v="7"/>
    <n v="6940"/>
    <n v="25.8"/>
    <n v="36046.36"/>
    <s v="Completed"/>
    <s v="Hyderabad"/>
    <s v="Sports"/>
    <m/>
    <s v="Retail"/>
    <n v="46"/>
    <m/>
    <m/>
    <m/>
    <m/>
  </r>
  <r>
    <s v="ORD-00234"/>
    <x v="176"/>
    <s v="CUST-0173"/>
    <s v="PROD-042"/>
    <s v="R024"/>
    <n v="6"/>
    <n v="2290"/>
    <n v="25.9"/>
    <n v="10181.34"/>
    <s v="Pending"/>
    <s v="Mumbai"/>
    <s v="Beauty"/>
    <m/>
    <s v="Retail"/>
    <n v="65"/>
    <m/>
    <m/>
    <m/>
    <m/>
  </r>
  <r>
    <s v="ORD-00235"/>
    <x v="118"/>
    <s v="CUST-0280"/>
    <s v="PROD-032"/>
    <s v="R014"/>
    <n v="2"/>
    <n v="370"/>
    <n v="3.9"/>
    <n v="711.14"/>
    <s v="Completed"/>
    <s v="Delhi"/>
    <s v="Home"/>
    <m/>
    <s v="SMB"/>
    <n v="27"/>
    <s v="West"/>
    <s v="Sep-24"/>
    <n v="288"/>
    <n v="0.22162162162162163"/>
  </r>
  <r>
    <s v="ORD-00236"/>
    <x v="177"/>
    <s v="CUST-0073"/>
    <s v="PROD-022"/>
    <s v="R020"/>
    <n v="1"/>
    <n v="2270"/>
    <n v="25.3"/>
    <n v="1695.69"/>
    <s v="Completed"/>
    <s v="Pune"/>
    <s v="Grocery"/>
    <m/>
    <s v="Corporate"/>
    <n v="40"/>
    <s v="South"/>
    <s v="Aug-24"/>
    <n v="1412"/>
    <n v="0.37797356828193834"/>
  </r>
  <r>
    <s v="ORD-00237"/>
    <x v="112"/>
    <s v="CUST-0242"/>
    <s v="PROD-050"/>
    <s v="R002"/>
    <n v="4"/>
    <n v="6080"/>
    <n v="28.8"/>
    <n v="17315.84"/>
    <s v="Pending"/>
    <s v="Chennai"/>
    <s v="Beauty"/>
    <m/>
    <s v="SMB"/>
    <n v="59"/>
    <m/>
    <m/>
    <m/>
    <m/>
  </r>
  <r>
    <s v="ORD-00238"/>
    <x v="44"/>
    <s v="CUST-0234"/>
    <s v="PROD-001"/>
    <s v="R018"/>
    <n v="2"/>
    <n v="5330"/>
    <n v="23.8"/>
    <n v="8122.92"/>
    <s v="Pending"/>
    <s v="Bengaluru"/>
    <s v="Electronics"/>
    <m/>
    <s v="Retail"/>
    <n v="34"/>
    <s v="North"/>
    <s v="Feb-24"/>
    <n v="2405"/>
    <n v="0.54878048780487809"/>
  </r>
  <r>
    <s v="ORD-00239"/>
    <x v="112"/>
    <s v="CUST-0085"/>
    <s v="PROD-026"/>
    <s v="R024"/>
    <n v="2"/>
    <n v="4070"/>
    <n v="4.3"/>
    <n v="7789.98"/>
    <s v="Completed"/>
    <s v="Chennai"/>
    <s v="Grocery"/>
    <m/>
    <s v="Retail"/>
    <n v="26"/>
    <s v="East"/>
    <s v="Apr-24"/>
    <n v="2027"/>
    <n v="0.50196560196560192"/>
  </r>
  <r>
    <s v="ORD-00240"/>
    <x v="178"/>
    <s v="CUST-0228"/>
    <s v="PROD-005"/>
    <s v="R004"/>
    <n v="6"/>
    <n v="300"/>
    <n v="17.399999999999999"/>
    <n v="1486.8"/>
    <s v="Cancelled"/>
    <s v="Pune"/>
    <s v="Electronics"/>
    <m/>
    <s v="Corporate"/>
    <n v="37"/>
    <s v="West"/>
    <s v="Feb-24"/>
    <n v="128"/>
    <n v="0.57333333333333336"/>
  </r>
  <r>
    <s v="ORD-00241"/>
    <x v="56"/>
    <s v="CUST-0147"/>
    <s v="PROD-046"/>
    <s v="R014"/>
    <n v="1"/>
    <n v="4880"/>
    <n v="17.5"/>
    <n v="4026"/>
    <s v="Completed"/>
    <s v="Pune"/>
    <s v="Beauty"/>
    <m/>
    <s v="Retail"/>
    <n v="56"/>
    <m/>
    <m/>
    <m/>
    <m/>
  </r>
  <r>
    <s v="ORD-00242"/>
    <x v="179"/>
    <s v="CUST-0171"/>
    <s v="PROD-055"/>
    <s v="R027"/>
    <n v="3"/>
    <n v="2860"/>
    <n v="20.100000000000001"/>
    <n v="6855.42"/>
    <s v="Completed"/>
    <s v="Chennai"/>
    <s v="Sports"/>
    <m/>
    <s v="Corporate"/>
    <n v="30"/>
    <s v="South"/>
    <s v="Jul-24"/>
    <n v="2028"/>
    <n v="0.29090909090909089"/>
  </r>
  <r>
    <s v="ORD-00243"/>
    <x v="180"/>
    <s v="CUST-0051"/>
    <s v="PROD-041"/>
    <s v="R002"/>
    <n v="3"/>
    <n v="1540"/>
    <n v="20.9"/>
    <n v="3654.42"/>
    <s v="Completed"/>
    <s v="Pune"/>
    <s v="Beauty"/>
    <m/>
    <s v="SMB"/>
    <n v="54"/>
    <m/>
    <m/>
    <m/>
    <m/>
  </r>
  <r>
    <s v="ORD-00244"/>
    <x v="31"/>
    <s v="CUST-0285"/>
    <s v="PROD-010"/>
    <s v="R010"/>
    <n v="10"/>
    <n v="2640"/>
    <n v="11.2"/>
    <n v="23443.200000000001"/>
    <s v="Pending"/>
    <s v="Hyderabad"/>
    <s v="Electronics"/>
    <m/>
    <s v="Retail"/>
    <n v="22"/>
    <s v="North"/>
    <s v="Dec-24"/>
    <n v="1149"/>
    <n v="0.56477272727272732"/>
  </r>
  <r>
    <s v="ORD-00245"/>
    <x v="58"/>
    <s v="CUST-0114"/>
    <s v="PROD-012"/>
    <s v="R013"/>
    <n v="1"/>
    <n v="3160"/>
    <n v="11.5"/>
    <n v="2796.6"/>
    <s v="Completed"/>
    <s v="Bengaluru"/>
    <s v="Apparel"/>
    <m/>
    <s v="Corporate"/>
    <n v="42"/>
    <m/>
    <m/>
    <m/>
    <m/>
  </r>
  <r>
    <s v="ORD-00246"/>
    <x v="181"/>
    <s v="CUST-0295"/>
    <s v="PROD-040"/>
    <s v="R007"/>
    <n v="4"/>
    <n v="1080"/>
    <n v="20.7"/>
    <n v="3425.76"/>
    <s v="Pending"/>
    <s v="Delhi"/>
    <s v="Home"/>
    <m/>
    <s v="SMB"/>
    <n v="48"/>
    <m/>
    <m/>
    <m/>
    <m/>
  </r>
  <r>
    <s v="ORD-00247"/>
    <x v="65"/>
    <s v="CUST-0218"/>
    <s v="PROD-054"/>
    <s v="R013"/>
    <n v="4"/>
    <n v="1010"/>
    <n v="29.5"/>
    <n v="2848.2"/>
    <s v="Pending"/>
    <s v="Mumbai"/>
    <s v="Sports"/>
    <m/>
    <s v="Retail"/>
    <n v="39"/>
    <s v="North"/>
    <s v="Dec-24"/>
    <n v="516"/>
    <n v="0.4891089108910891"/>
  </r>
  <r>
    <s v="ORD-00248"/>
    <x v="182"/>
    <s v="CUST-0090"/>
    <s v="PROD-002"/>
    <s v="R027"/>
    <n v="7"/>
    <n v="2600"/>
    <n v="6.6"/>
    <n v="16998.8"/>
    <s v="Completed"/>
    <s v="Bengaluru"/>
    <s v="Electronics"/>
    <m/>
    <s v="Corporate"/>
    <n v="26"/>
    <s v="South"/>
    <s v="Oct-24"/>
    <n v="1052"/>
    <n v="0.5953846153846154"/>
  </r>
  <r>
    <s v="ORD-00249"/>
    <x v="183"/>
    <s v="CUST-0194"/>
    <s v="PROD-017"/>
    <s v="R009"/>
    <n v="4"/>
    <n v="2510"/>
    <n v="1"/>
    <n v="9939.6"/>
    <s v="Completed"/>
    <s v="Delhi"/>
    <s v="Apparel"/>
    <m/>
    <s v="SMB"/>
    <n v="55"/>
    <m/>
    <m/>
    <m/>
    <m/>
  </r>
  <r>
    <s v="ORD-00250"/>
    <x v="184"/>
    <s v="CUST-0231"/>
    <s v="PROD-026"/>
    <s v="R022"/>
    <n v="9"/>
    <n v="4070"/>
    <n v="6.7"/>
    <n v="34175.79"/>
    <s v="Cancelled"/>
    <s v="Chennai"/>
    <s v="Grocery"/>
    <m/>
    <s v="Retail"/>
    <n v="61"/>
    <m/>
    <m/>
    <m/>
    <m/>
  </r>
  <r>
    <s v="ORD-00251"/>
    <x v="109"/>
    <s v="CUST-0055"/>
    <s v="PROD-020"/>
    <s v="R010"/>
    <n v="6"/>
    <n v="820"/>
    <n v="14"/>
    <n v="4231.2"/>
    <s v="Completed"/>
    <s v="Bengaluru"/>
    <s v="Apparel"/>
    <m/>
    <s v="Retail"/>
    <n v="34"/>
    <s v="East"/>
    <s v="Dec-24"/>
    <n v="391"/>
    <n v="0.52317073170731709"/>
  </r>
  <r>
    <s v="ORD-00252"/>
    <x v="185"/>
    <s v="CUST-0262"/>
    <s v="PROD-030"/>
    <s v="R005"/>
    <n v="2"/>
    <n v="970"/>
    <n v="23.8"/>
    <n v="1478.28"/>
    <s v="Completed"/>
    <s v="Mumbai"/>
    <s v="Grocery"/>
    <m/>
    <s v="Retail"/>
    <n v="52"/>
    <m/>
    <m/>
    <m/>
    <m/>
  </r>
  <r>
    <s v="ORD-00253"/>
    <x v="186"/>
    <s v="CUST-0155"/>
    <s v="PROD-026"/>
    <s v="R012"/>
    <n v="4"/>
    <n v="4070"/>
    <n v="19"/>
    <n v="13186.8"/>
    <s v="Pending"/>
    <s v="Pune"/>
    <s v="Grocery"/>
    <m/>
    <s v="Corporate"/>
    <n v="40"/>
    <s v="North"/>
    <s v="Jul-24"/>
    <n v="2027"/>
    <n v="0.50196560196560192"/>
  </r>
  <r>
    <s v="ORD-00254"/>
    <x v="144"/>
    <s v="CUST-0169"/>
    <s v="PROD-047"/>
    <s v="R017"/>
    <n v="3"/>
    <n v="3450"/>
    <n v="4.4000000000000004"/>
    <n v="9894.6"/>
    <s v="Cancelled"/>
    <s v="Bengaluru"/>
    <s v="Beauty"/>
    <m/>
    <s v="SMB"/>
    <n v="42"/>
    <m/>
    <m/>
    <m/>
    <m/>
  </r>
  <r>
    <s v="ORD-00255"/>
    <x v="187"/>
    <s v="CUST-0208"/>
    <s v="PROD-027"/>
    <s v="R010"/>
    <n v="5"/>
    <n v="3780"/>
    <n v="13.5"/>
    <n v="16348.5"/>
    <s v="Completed"/>
    <s v="Mumbai"/>
    <s v="Grocery"/>
    <m/>
    <s v="Retail"/>
    <n v="49"/>
    <m/>
    <m/>
    <m/>
    <m/>
  </r>
  <r>
    <s v="ORD-00256"/>
    <x v="127"/>
    <s v="CUST-0249"/>
    <s v="PROD-057"/>
    <s v="R004"/>
    <n v="1"/>
    <n v="960"/>
    <n v="29.2"/>
    <n v="679.68"/>
    <s v="Completed"/>
    <s v="Mumbai"/>
    <s v="Sports"/>
    <m/>
    <s v="Retail"/>
    <n v="44"/>
    <m/>
    <m/>
    <m/>
    <m/>
  </r>
  <r>
    <s v="ORD-00257"/>
    <x v="188"/>
    <s v="CUST-0151"/>
    <s v="PROD-003"/>
    <s v="R022"/>
    <n v="10"/>
    <n v="3570"/>
    <n v="10.7"/>
    <n v="31880.1"/>
    <s v="Completed"/>
    <s v="Mumbai"/>
    <s v="Electronics"/>
    <m/>
    <s v="Retail"/>
    <n v="53"/>
    <m/>
    <m/>
    <m/>
    <m/>
  </r>
  <r>
    <s v="ORD-00258"/>
    <x v="187"/>
    <s v="CUST-0115"/>
    <s v="PROD-003"/>
    <s v="R024"/>
    <n v="7"/>
    <n v="3570"/>
    <n v="12.2"/>
    <n v="21941.22"/>
    <s v="Completed"/>
    <s v="Mumbai"/>
    <s v="Electronics"/>
    <m/>
    <s v="SMB"/>
    <n v="65"/>
    <m/>
    <m/>
    <m/>
    <m/>
  </r>
  <r>
    <s v="ORD-00259"/>
    <x v="189"/>
    <s v="CUST-0041"/>
    <s v="PROD-040"/>
    <s v="R014"/>
    <n v="6"/>
    <n v="1080"/>
    <n v="19.8"/>
    <n v="5196.96"/>
    <s v="Completed"/>
    <s v="Bengaluru"/>
    <s v="Home"/>
    <m/>
    <s v="SMB"/>
    <n v="26"/>
    <s v="West"/>
    <s v="Aug-24"/>
    <n v="519"/>
    <n v="0.51944444444444449"/>
  </r>
  <r>
    <s v="ORD-00260"/>
    <x v="51"/>
    <s v="CUST-0101"/>
    <s v="PROD-011"/>
    <s v="R010"/>
    <n v="8"/>
    <n v="3450"/>
    <n v="19"/>
    <n v="22356"/>
    <s v="Completed"/>
    <s v="Hyderabad"/>
    <s v="Apparel"/>
    <m/>
    <s v="SMB"/>
    <n v="40"/>
    <s v="South"/>
    <s v="Oct-24"/>
    <n v="1748"/>
    <n v="0.49333333333333335"/>
  </r>
  <r>
    <s v="ORD-00261"/>
    <x v="2"/>
    <s v="CUST-0198"/>
    <s v="PROD-008"/>
    <s v="R023"/>
    <n v="4"/>
    <n v="2660"/>
    <n v="18.8"/>
    <n v="8639.68"/>
    <s v="Pending"/>
    <s v="Chennai"/>
    <s v="Electronics"/>
    <m/>
    <s v="Corporate"/>
    <n v="22"/>
    <s v="South"/>
    <s v="Dec-24"/>
    <n v="1259"/>
    <n v="0.52669172932330832"/>
  </r>
  <r>
    <s v="ORD-00262"/>
    <x v="190"/>
    <s v="CUST-0200"/>
    <s v="PROD-058"/>
    <s v="R009"/>
    <n v="4"/>
    <n v="2400"/>
    <n v="5.6"/>
    <n v="9062.4"/>
    <s v="Completed"/>
    <s v="Hyderabad"/>
    <s v="Sports"/>
    <m/>
    <s v="Corporate"/>
    <n v="46"/>
    <m/>
    <m/>
    <m/>
    <m/>
  </r>
  <r>
    <s v="ORD-00263"/>
    <x v="191"/>
    <s v="CUST-0110"/>
    <s v="PROD-002"/>
    <s v="R003"/>
    <n v="10"/>
    <n v="2600"/>
    <n v="24.7"/>
    <n v="19578"/>
    <s v="Completed"/>
    <s v="Pune"/>
    <s v="Electronics"/>
    <m/>
    <s v="Corporate"/>
    <n v="31"/>
    <s v="South"/>
    <s v="Aug-24"/>
    <n v="1052"/>
    <n v="0.5953846153846154"/>
  </r>
  <r>
    <s v="ORD-00264"/>
    <x v="191"/>
    <s v="CUST-0134"/>
    <s v="PROD-025"/>
    <s v="R004"/>
    <n v="3"/>
    <n v="4060"/>
    <n v="6.9"/>
    <n v="11339.58"/>
    <s v="Completed"/>
    <s v="Delhi"/>
    <s v="Grocery"/>
    <m/>
    <s v="Retail"/>
    <n v="40"/>
    <s v="North"/>
    <s v="Aug-24"/>
    <n v="2911"/>
    <n v="0.28300492610837441"/>
  </r>
  <r>
    <s v="ORD-00265"/>
    <x v="57"/>
    <s v="CUST-0141"/>
    <s v="PROD-038"/>
    <s v="R023"/>
    <n v="6"/>
    <n v="5490"/>
    <n v="8.4"/>
    <n v="30173.040000000001"/>
    <s v="Completed"/>
    <s v="Hyderabad"/>
    <s v="Home"/>
    <m/>
    <s v="Corporate"/>
    <n v="22"/>
    <s v="North"/>
    <s v="Aug-24"/>
    <n v="2549"/>
    <n v="0.53570127504553733"/>
  </r>
  <r>
    <s v="ORD-00266"/>
    <x v="192"/>
    <s v="CUST-0163"/>
    <s v="PROD-032"/>
    <s v="R018"/>
    <n v="6"/>
    <n v="370"/>
    <n v="15.1"/>
    <n v="1884.78"/>
    <s v="Completed"/>
    <s v="Pune"/>
    <s v="Home"/>
    <m/>
    <s v="Retail"/>
    <n v="49"/>
    <m/>
    <m/>
    <m/>
    <m/>
  </r>
  <r>
    <s v="ORD-00267"/>
    <x v="171"/>
    <s v="CUST-0181"/>
    <s v="PROD-016"/>
    <s v="R023"/>
    <n v="5"/>
    <n v="620"/>
    <n v="13.1"/>
    <n v="2693.9"/>
    <s v="Cancelled"/>
    <s v="Delhi"/>
    <s v="Apparel"/>
    <m/>
    <s v="SMB"/>
    <n v="38"/>
    <s v="East"/>
    <s v="Apr-24"/>
    <n v="396"/>
    <n v="0.36129032258064514"/>
  </r>
  <r>
    <s v="ORD-00268"/>
    <x v="10"/>
    <s v="CUST-0133"/>
    <s v="PROD-036"/>
    <s v="R029"/>
    <n v="9"/>
    <n v="3250"/>
    <n v="16.5"/>
    <n v="24423.75"/>
    <s v="Completed"/>
    <s v="Chennai"/>
    <s v="Home"/>
    <m/>
    <s v="Retail"/>
    <n v="26"/>
    <s v="East"/>
    <s v="Apr-24"/>
    <n v="1556"/>
    <n v="0.52123076923076928"/>
  </r>
  <r>
    <s v="ORD-00269"/>
    <x v="193"/>
    <s v="CUST-0095"/>
    <s v="PROD-050"/>
    <s v="R011"/>
    <n v="1"/>
    <n v="6080"/>
    <n v="0.1"/>
    <n v="6073.92"/>
    <s v="Completed"/>
    <s v="Mumbai"/>
    <s v="Beauty"/>
    <m/>
    <s v="SMB"/>
    <n v="54"/>
    <m/>
    <m/>
    <m/>
    <m/>
  </r>
  <r>
    <s v="ORD-00270"/>
    <x v="194"/>
    <s v="CUST-0171"/>
    <s v="PROD-013"/>
    <s v="R014"/>
    <n v="8"/>
    <n v="3640"/>
    <n v="13.5"/>
    <n v="25188.799999999999"/>
    <s v="Completed"/>
    <s v="Chennai"/>
    <s v="Apparel"/>
    <m/>
    <s v="Corporate"/>
    <n v="30"/>
    <s v="South"/>
    <s v="Jan-24"/>
    <n v="2611"/>
    <n v="0.28269230769230769"/>
  </r>
  <r>
    <s v="ORD-00271"/>
    <x v="22"/>
    <s v="CUST-0238"/>
    <s v="PROD-012"/>
    <s v="R005"/>
    <n v="9"/>
    <n v="3160"/>
    <n v="29.7"/>
    <n v="19993.32"/>
    <s v="Completed"/>
    <s v="Delhi"/>
    <s v="Apparel"/>
    <m/>
    <s v="Retail"/>
    <n v="49"/>
    <m/>
    <m/>
    <m/>
    <m/>
  </r>
  <r>
    <s v="ORD-00272"/>
    <x v="49"/>
    <s v="CUST-0185"/>
    <s v="PROD-004"/>
    <s v="R007"/>
    <n v="2"/>
    <n v="3870"/>
    <n v="18.100000000000001"/>
    <n v="6339.06"/>
    <s v="Cancelled"/>
    <s v="Hyderabad"/>
    <s v="Electronics"/>
    <m/>
    <s v="SMB"/>
    <n v="43"/>
    <m/>
    <m/>
    <m/>
    <m/>
  </r>
  <r>
    <s v="ORD-00273"/>
    <x v="195"/>
    <s v="CUST-0167"/>
    <s v="PROD-037"/>
    <s v="R030"/>
    <n v="3"/>
    <n v="660"/>
    <n v="9.1999999999999993"/>
    <n v="1797.84"/>
    <s v="Completed"/>
    <s v="Delhi"/>
    <s v="Home"/>
    <m/>
    <s v="Retail"/>
    <n v="43"/>
    <m/>
    <m/>
    <m/>
    <m/>
  </r>
  <r>
    <s v="ORD-00274"/>
    <x v="196"/>
    <s v="CUST-0224"/>
    <s v="PROD-025"/>
    <s v="R013"/>
    <n v="4"/>
    <n v="4060"/>
    <n v="28"/>
    <n v="11692.8"/>
    <s v="Completed"/>
    <s v="Chennai"/>
    <s v="Grocery"/>
    <m/>
    <s v="Corporate"/>
    <n v="24"/>
    <s v="West"/>
    <s v="May-24"/>
    <n v="2911"/>
    <n v="0.28300492610837441"/>
  </r>
  <r>
    <s v="ORD-00275"/>
    <x v="107"/>
    <s v="CUST-0181"/>
    <s v="PROD-034"/>
    <s v="R016"/>
    <n v="2"/>
    <n v="5080"/>
    <n v="7.7"/>
    <n v="9377.68"/>
    <s v="Refunded"/>
    <s v="Delhi"/>
    <s v="Home"/>
    <m/>
    <s v="SMB"/>
    <n v="38"/>
    <s v="South"/>
    <s v="May-24"/>
    <n v="2459"/>
    <n v="0.51594488188976373"/>
  </r>
  <r>
    <s v="ORD-00276"/>
    <x v="197"/>
    <s v="CUST-0020"/>
    <s v="PROD-003"/>
    <s v="R005"/>
    <n v="3"/>
    <n v="3570"/>
    <n v="9.5"/>
    <n v="9692.5499999999993"/>
    <s v="Completed"/>
    <s v="Hyderabad"/>
    <s v="Electronics"/>
    <m/>
    <s v="Retail"/>
    <n v="46"/>
    <m/>
    <m/>
    <m/>
    <m/>
  </r>
  <r>
    <s v="ORD-00277"/>
    <x v="151"/>
    <s v="CUST-0183"/>
    <s v="PROD-016"/>
    <s v="R020"/>
    <n v="2"/>
    <n v="620"/>
    <n v="29.5"/>
    <n v="874.2"/>
    <s v="Completed"/>
    <s v="Mumbai"/>
    <s v="Apparel"/>
    <m/>
    <s v="SMB"/>
    <n v="27"/>
    <s v="North"/>
    <s v="Jan-24"/>
    <n v="396"/>
    <n v="0.36129032258064514"/>
  </r>
  <r>
    <s v="ORD-00278"/>
    <x v="198"/>
    <s v="CUST-0028"/>
    <s v="PROD-011"/>
    <s v="R013"/>
    <n v="3"/>
    <n v="3450"/>
    <n v="3"/>
    <n v="10039.5"/>
    <s v="Completed"/>
    <s v="Bengaluru"/>
    <s v="Apparel"/>
    <m/>
    <s v="Retail"/>
    <n v="59"/>
    <m/>
    <m/>
    <m/>
    <m/>
  </r>
  <r>
    <s v="ORD-00279"/>
    <x v="199"/>
    <s v="CUST-0121"/>
    <s v="PROD-048"/>
    <s v="R006"/>
    <n v="7"/>
    <n v="5100"/>
    <n v="4.3"/>
    <n v="34164.9"/>
    <s v="Completed"/>
    <s v="Delhi"/>
    <s v="Beauty"/>
    <m/>
    <s v="SMB"/>
    <n v="55"/>
    <m/>
    <m/>
    <m/>
    <m/>
  </r>
  <r>
    <s v="ORD-00280"/>
    <x v="110"/>
    <s v="CUST-0192"/>
    <s v="PROD-004"/>
    <s v="R003"/>
    <n v="9"/>
    <n v="3870"/>
    <n v="4.8"/>
    <n v="33158.160000000003"/>
    <s v="Completed"/>
    <s v="Bengaluru"/>
    <s v="Electronics"/>
    <m/>
    <s v="Retail"/>
    <n v="55"/>
    <m/>
    <m/>
    <m/>
    <m/>
  </r>
  <r>
    <s v="ORD-00281"/>
    <x v="142"/>
    <s v="CUST-0155"/>
    <s v="PROD-009"/>
    <s v="R029"/>
    <n v="5"/>
    <n v="1220"/>
    <n v="4"/>
    <n v="5856"/>
    <s v="Cancelled"/>
    <s v="Pune"/>
    <s v="Electronics"/>
    <m/>
    <s v="Corporate"/>
    <n v="40"/>
    <s v="North"/>
    <s v="Sep-24"/>
    <n v="517"/>
    <n v="0.57622950819672136"/>
  </r>
  <r>
    <s v="ORD-00282"/>
    <x v="200"/>
    <s v="CUST-0159"/>
    <s v="PROD-038"/>
    <s v="R023"/>
    <n v="5"/>
    <n v="5490"/>
    <n v="19.8"/>
    <n v="22014.9"/>
    <s v="Completed"/>
    <s v="Hyderabad"/>
    <s v="Home"/>
    <m/>
    <s v="Retail"/>
    <n v="32"/>
    <s v="West"/>
    <s v="Dec-24"/>
    <n v="2549"/>
    <n v="0.53570127504553733"/>
  </r>
  <r>
    <s v="ORD-00283"/>
    <x v="201"/>
    <s v="CUST-0025"/>
    <s v="PROD-044"/>
    <s v="R001"/>
    <n v="1"/>
    <n v="1650"/>
    <n v="26.2"/>
    <n v="1217.7"/>
    <s v="Completed"/>
    <s v="Bengaluru"/>
    <s v="Beauty"/>
    <m/>
    <s v="Retail"/>
    <n v="23"/>
    <s v="East"/>
    <s v="Feb-24"/>
    <n v="1222"/>
    <n v="0.2593939393939394"/>
  </r>
  <r>
    <s v="ORD-00284"/>
    <x v="151"/>
    <s v="CUST-0297"/>
    <s v="PROD-008"/>
    <s v="R003"/>
    <n v="1"/>
    <n v="2660"/>
    <n v="21"/>
    <n v="2101.4"/>
    <s v="Completed"/>
    <s v="Hyderabad"/>
    <s v="Electronics"/>
    <m/>
    <s v="Retail"/>
    <n v="50"/>
    <m/>
    <m/>
    <m/>
    <m/>
  </r>
  <r>
    <s v="ORD-00285"/>
    <x v="67"/>
    <s v="CUST-0108"/>
    <s v="PROD-029"/>
    <s v="R003"/>
    <n v="6"/>
    <n v="2210"/>
    <n v="9.8000000000000007"/>
    <n v="11960.52"/>
    <s v="Pending"/>
    <s v="Bengaluru"/>
    <s v="Grocery"/>
    <m/>
    <s v="Corporate"/>
    <n v="59"/>
    <m/>
    <m/>
    <m/>
    <m/>
  </r>
  <r>
    <s v="ORD-00286"/>
    <x v="202"/>
    <s v="CUST-0121"/>
    <s v="PROD-002"/>
    <s v="R001"/>
    <n v="9"/>
    <n v="2600"/>
    <n v="15.7"/>
    <n v="19726.2"/>
    <s v="Completed"/>
    <s v="Delhi"/>
    <s v="Electronics"/>
    <m/>
    <s v="SMB"/>
    <n v="55"/>
    <m/>
    <m/>
    <m/>
    <m/>
  </r>
  <r>
    <s v="ORD-00287"/>
    <x v="203"/>
    <s v="CUST-0160"/>
    <s v="PROD-045"/>
    <s v="R025"/>
    <n v="3"/>
    <n v="3020"/>
    <n v="22.6"/>
    <n v="7012.44"/>
    <s v="Completed"/>
    <s v="Hyderabad"/>
    <s v="Beauty"/>
    <m/>
    <s v="Retail"/>
    <n v="27"/>
    <s v="North"/>
    <s v="Jan-24"/>
    <n v="1626"/>
    <n v="0.46158940397350995"/>
  </r>
  <r>
    <s v="ORD-00288"/>
    <x v="61"/>
    <s v="CUST-0230"/>
    <s v="PROD-032"/>
    <s v="R005"/>
    <n v="6"/>
    <n v="370"/>
    <n v="12.4"/>
    <n v="1944.72"/>
    <s v="Completed"/>
    <s v="Pune"/>
    <s v="Home"/>
    <m/>
    <s v="Corporate"/>
    <n v="33"/>
    <s v="West"/>
    <s v="Jan-24"/>
    <n v="288"/>
    <n v="0.22162162162162163"/>
  </r>
  <r>
    <s v="ORD-00289"/>
    <x v="42"/>
    <s v="CUST-0151"/>
    <s v="PROD-001"/>
    <s v="R006"/>
    <n v="8"/>
    <n v="5330"/>
    <n v="16.2"/>
    <n v="35732.32"/>
    <s v="Completed"/>
    <s v="Mumbai"/>
    <s v="Electronics"/>
    <m/>
    <s v="Retail"/>
    <n v="53"/>
    <m/>
    <m/>
    <m/>
    <m/>
  </r>
  <r>
    <s v="ORD-00290"/>
    <x v="66"/>
    <s v="CUST-0222"/>
    <s v="PROD-018"/>
    <s v="R030"/>
    <n v="4"/>
    <n v="3560"/>
    <n v="10.5"/>
    <n v="12744.8"/>
    <s v="Completed"/>
    <s v="Chennai"/>
    <s v="Apparel"/>
    <m/>
    <s v="Retail"/>
    <n v="37"/>
    <s v="North"/>
    <s v="Jan-24"/>
    <n v="2629"/>
    <n v="0.26151685393258428"/>
  </r>
  <r>
    <s v="ORD-00291"/>
    <x v="44"/>
    <s v="CUST-0055"/>
    <s v="PROD-054"/>
    <s v="R030"/>
    <n v="10"/>
    <n v="1010"/>
    <n v="10.8"/>
    <n v="9009.2000000000007"/>
    <s v="Completed"/>
    <s v="Bengaluru"/>
    <s v="Sports"/>
    <m/>
    <s v="Retail"/>
    <n v="34"/>
    <s v="West"/>
    <s v="Jul-24"/>
    <n v="516"/>
    <n v="0.4891089108910891"/>
  </r>
  <r>
    <s v="ORD-00292"/>
    <x v="204"/>
    <s v="CUST-0011"/>
    <s v="PROD-056"/>
    <s v="R006"/>
    <n v="8"/>
    <n v="6940"/>
    <n v="3.2"/>
    <n v="53743.360000000001"/>
    <s v="Cancelled"/>
    <s v="Chennai"/>
    <s v="Sports"/>
    <m/>
    <s v="Corporate"/>
    <n v="41"/>
    <m/>
    <m/>
    <m/>
    <m/>
  </r>
  <r>
    <s v="ORD-00335"/>
    <x v="7"/>
    <s v="CUST-0020"/>
    <s v="PROD-012"/>
    <s v="R015"/>
    <n v="7"/>
    <n v="3160"/>
    <n v="3.6"/>
    <n v="21323.68"/>
    <s v="Completed"/>
    <s v="Hyderabad"/>
    <s v="Apparel"/>
    <m/>
    <s v="Retail"/>
    <n v="46"/>
    <m/>
    <m/>
    <m/>
    <m/>
  </r>
  <r>
    <s v="ORD-00294"/>
    <x v="93"/>
    <s v="CUST-0163"/>
    <s v="PROD-028"/>
    <s v="R008"/>
    <n v="2"/>
    <n v="3660"/>
    <n v="30"/>
    <n v="5124"/>
    <s v="Pending"/>
    <s v="Pune"/>
    <s v="Grocery"/>
    <m/>
    <s v="Retail"/>
    <n v="49"/>
    <m/>
    <m/>
    <m/>
    <m/>
  </r>
  <r>
    <s v="ORD-00295"/>
    <x v="24"/>
    <s v="CUST-0081"/>
    <s v="PROD-024"/>
    <s v="R005"/>
    <n v="1"/>
    <n v="2270"/>
    <n v="4.8"/>
    <n v="2161.04"/>
    <s v="Cancelled"/>
    <s v="Mumbai"/>
    <s v="Grocery"/>
    <m/>
    <s v="Retail"/>
    <n v="25"/>
    <s v="North"/>
    <s v="Dec-24"/>
    <n v="1203"/>
    <n v="0.47004405286343615"/>
  </r>
  <r>
    <s v="ORD-00296"/>
    <x v="171"/>
    <s v="CUST-0053"/>
    <s v="PROD-059"/>
    <s v="R025"/>
    <n v="8"/>
    <n v="3780"/>
    <n v="13"/>
    <n v="26308.799999999999"/>
    <s v="Completed"/>
    <s v="Delhi"/>
    <s v="Sports"/>
    <m/>
    <s v="Retail"/>
    <n v="53"/>
    <m/>
    <m/>
    <m/>
    <m/>
  </r>
  <r>
    <s v="ORD-01770"/>
    <x v="205"/>
    <s v="CUST-0115"/>
    <s v="PROD-013"/>
    <s v="R012"/>
    <n v="1"/>
    <n v="3640"/>
    <n v="15.3"/>
    <n v="3083.08"/>
    <s v="Pending"/>
    <s v="Mumbai"/>
    <s v="Apparel"/>
    <m/>
    <s v="SMB"/>
    <n v="65"/>
    <m/>
    <m/>
    <m/>
    <m/>
  </r>
  <r>
    <s v="ORD-00298"/>
    <x v="206"/>
    <s v="CUST-0166"/>
    <s v="PROD-009"/>
    <s v="R009"/>
    <n v="8"/>
    <n v="1220"/>
    <n v="28.2"/>
    <n v="7007.68"/>
    <s v="Completed"/>
    <s v="Hyderabad"/>
    <s v="Electronics"/>
    <m/>
    <s v="Retail"/>
    <n v="31"/>
    <s v="South"/>
    <s v="Sep-24"/>
    <n v="517"/>
    <n v="0.57622950819672136"/>
  </r>
  <r>
    <s v="ORD-00299"/>
    <x v="207"/>
    <s v="CUST-0263"/>
    <s v="PROD-017"/>
    <s v="R030"/>
    <n v="3"/>
    <n v="2510"/>
    <n v="17.399999999999999"/>
    <n v="6219.78"/>
    <s v="Completed"/>
    <s v="Mumbai"/>
    <s v="Apparel"/>
    <m/>
    <s v="Retail"/>
    <n v="40"/>
    <s v="South"/>
    <s v="Jul-24"/>
    <n v="1075"/>
    <n v="0.57171314741035861"/>
  </r>
  <r>
    <s v="ORD-00300"/>
    <x v="208"/>
    <s v="CUST-0010"/>
    <s v="PROD-040"/>
    <s v="R004"/>
    <n v="1"/>
    <n v="1080"/>
    <n v="13.9"/>
    <n v="929.88"/>
    <s v="Completed"/>
    <s v="Mumbai"/>
    <s v="Home"/>
    <m/>
    <s v="SMB"/>
    <n v="61"/>
    <m/>
    <m/>
    <m/>
    <m/>
  </r>
  <r>
    <s v="ORD-00301"/>
    <x v="183"/>
    <s v="CUST-0036"/>
    <s v="PROD-033"/>
    <s v="R016"/>
    <n v="7"/>
    <n v="2030"/>
    <n v="29.2"/>
    <n v="10060.68"/>
    <s v="Completed"/>
    <s v="Mumbai"/>
    <s v="Home"/>
    <m/>
    <s v="Retail"/>
    <n v="35"/>
    <s v="North"/>
    <s v="Dec-24"/>
    <n v="1143"/>
    <n v="0.43694581280788175"/>
  </r>
  <r>
    <s v="ORD-00302"/>
    <x v="209"/>
    <s v="CUST-0259"/>
    <s v="PROD-059"/>
    <s v="R020"/>
    <n v="6"/>
    <n v="3780"/>
    <n v="20.9"/>
    <n v="17939.88"/>
    <s v="Refunded"/>
    <s v="Mumbai"/>
    <s v="Sports"/>
    <m/>
    <s v="Retail"/>
    <n v="34"/>
    <s v="South"/>
    <s v="Apr-24"/>
    <n v="1860"/>
    <n v="0.50793650793650791"/>
  </r>
  <r>
    <s v="ORD-00303"/>
    <x v="168"/>
    <s v="CUST-0247"/>
    <s v="PROD-012"/>
    <s v="R016"/>
    <n v="1"/>
    <n v="3160"/>
    <n v="10.7"/>
    <n v="2821.88"/>
    <s v="Completed"/>
    <s v="Pune"/>
    <s v="Apparel"/>
    <m/>
    <s v="SMB"/>
    <n v="35"/>
    <s v="East"/>
    <s v="May-24"/>
    <n v="1886"/>
    <n v="0.4031645569620253"/>
  </r>
  <r>
    <s v="ORD-00881"/>
    <x v="148"/>
    <s v="CUST-0191"/>
    <s v="PROD-046"/>
    <s v="R010"/>
    <n v="5"/>
    <n v="4880"/>
    <n v="11.4"/>
    <n v="21618.400000000001"/>
    <s v="Completed"/>
    <s v="Hyderabad"/>
    <s v="Beauty"/>
    <m/>
    <s v="SMB"/>
    <n v="43"/>
    <m/>
    <m/>
    <m/>
    <m/>
  </r>
  <r>
    <s v="ORD-00305"/>
    <x v="142"/>
    <s v="CUST-0167"/>
    <s v="PROD-031"/>
    <s v="R009"/>
    <n v="9"/>
    <n v="3730"/>
    <n v="10"/>
    <n v="30213"/>
    <s v="Completed"/>
    <s v="Delhi"/>
    <s v="Home"/>
    <m/>
    <s v="Retail"/>
    <n v="43"/>
    <m/>
    <m/>
    <m/>
    <m/>
  </r>
  <r>
    <s v="ORD-00306"/>
    <x v="119"/>
    <s v="CUST-0196"/>
    <s v="PROD-034"/>
    <s v="R004"/>
    <n v="5"/>
    <n v="5080"/>
    <n v="15.3"/>
    <n v="21513.8"/>
    <s v="Completed"/>
    <s v="Chennai"/>
    <s v="Home"/>
    <m/>
    <s v="Retail"/>
    <n v="26"/>
    <s v="South"/>
    <s v="Dec-24"/>
    <n v="2459"/>
    <n v="0.51594488188976373"/>
  </r>
  <r>
    <s v="ORD-00307"/>
    <x v="210"/>
    <s v="CUST-0182"/>
    <s v="PROD-042"/>
    <s v="R013"/>
    <n v="9"/>
    <n v="2290"/>
    <n v="3.3"/>
    <n v="19929.87"/>
    <s v="Pending"/>
    <s v="Mumbai"/>
    <s v="Beauty"/>
    <m/>
    <s v="Retail"/>
    <n v="54"/>
    <m/>
    <m/>
    <m/>
    <m/>
  </r>
  <r>
    <s v="ORD-00308"/>
    <x v="211"/>
    <s v="CUST-0246"/>
    <s v="PROD-008"/>
    <s v="R010"/>
    <n v="5"/>
    <n v="2660"/>
    <n v="8.3000000000000007"/>
    <n v="12196.1"/>
    <s v="Completed"/>
    <s v="Delhi"/>
    <s v="Electronics"/>
    <m/>
    <s v="SMB"/>
    <n v="29"/>
    <s v="South"/>
    <s v="Apr-24"/>
    <n v="1259"/>
    <n v="0.52669172932330832"/>
  </r>
  <r>
    <s v="ORD-00309"/>
    <x v="201"/>
    <s v="CUST-0132"/>
    <s v="PROD-027"/>
    <s v="R025"/>
    <n v="6"/>
    <n v="3780"/>
    <n v="28.3"/>
    <n v="16261.56"/>
    <s v="Completed"/>
    <s v="Delhi"/>
    <s v="Grocery"/>
    <m/>
    <s v="Retail"/>
    <n v="41"/>
    <m/>
    <m/>
    <m/>
    <m/>
  </r>
  <r>
    <s v="ORD-00310"/>
    <x v="212"/>
    <s v="CUST-0153"/>
    <s v="PROD-021"/>
    <s v="R028"/>
    <n v="5"/>
    <n v="2760"/>
    <n v="4.9000000000000004"/>
    <n v="13123.8"/>
    <s v="Completed"/>
    <s v="Mumbai"/>
    <s v="Grocery"/>
    <m/>
    <s v="Retail"/>
    <n v="35"/>
    <s v="West"/>
    <s v="Aug-24"/>
    <n v="1435"/>
    <n v="0.48007246376811596"/>
  </r>
  <r>
    <s v="ORD-00311"/>
    <x v="213"/>
    <s v="CUST-0139"/>
    <s v="PROD-041"/>
    <s v="R006"/>
    <n v="8"/>
    <n v="1540"/>
    <n v="29.4"/>
    <n v="8697.92"/>
    <s v="Cancelled"/>
    <s v="Hyderabad"/>
    <s v="Beauty"/>
    <m/>
    <s v="SMB"/>
    <n v="65"/>
    <m/>
    <m/>
    <m/>
    <m/>
  </r>
  <r>
    <s v="ORD-00312"/>
    <x v="163"/>
    <s v="CUST-0256"/>
    <s v="PROD-046"/>
    <s v="R022"/>
    <n v="1"/>
    <n v="4880"/>
    <n v="18.100000000000001"/>
    <n v="3996.72"/>
    <s v="Completed"/>
    <s v="Hyderabad"/>
    <s v="Beauty"/>
    <m/>
    <s v="Retail"/>
    <n v="28"/>
    <s v="North"/>
    <s v="Mar-24"/>
    <n v="2768"/>
    <n v="0.43278688524590164"/>
  </r>
  <r>
    <s v="ORD-00313"/>
    <x v="95"/>
    <s v="CUST-0027"/>
    <s v="PROD-024"/>
    <s v="R015"/>
    <n v="8"/>
    <n v="2270"/>
    <n v="19.8"/>
    <n v="14564.32"/>
    <s v="Pending"/>
    <s v="Hyderabad"/>
    <s v="Grocery"/>
    <m/>
    <s v="Corporate"/>
    <n v="52"/>
    <m/>
    <m/>
    <m/>
    <m/>
  </r>
  <r>
    <s v="ORD-00314"/>
    <x v="118"/>
    <s v="CUST-0151"/>
    <s v="PROD-019"/>
    <s v="R010"/>
    <n v="10"/>
    <n v="2480"/>
    <n v="24.4"/>
    <n v="18748.8"/>
    <s v="Pending"/>
    <s v="Mumbai"/>
    <s v="Apparel"/>
    <m/>
    <s v="Retail"/>
    <n v="53"/>
    <m/>
    <m/>
    <m/>
    <m/>
  </r>
  <r>
    <s v="ORD-00315"/>
    <x v="214"/>
    <s v="CUST-0204"/>
    <s v="PROD-045"/>
    <s v="R014"/>
    <n v="8"/>
    <n v="3020"/>
    <n v="15.2"/>
    <n v="20487.68"/>
    <s v="Pending"/>
    <s v="Hyderabad"/>
    <s v="Beauty"/>
    <m/>
    <s v="Retail"/>
    <n v="60"/>
    <m/>
    <m/>
    <m/>
    <m/>
  </r>
  <r>
    <s v="ORD-00316"/>
    <x v="25"/>
    <s v="CUST-0084"/>
    <s v="PROD-041"/>
    <s v="R019"/>
    <n v="10"/>
    <n v="1540"/>
    <n v="0.6"/>
    <n v="15307.6"/>
    <s v="Completed"/>
    <s v="Chennai"/>
    <s v="Beauty"/>
    <m/>
    <s v="Retail"/>
    <n v="28"/>
    <s v="South"/>
    <s v="Jul-24"/>
    <n v="647"/>
    <n v="0.57987012987012987"/>
  </r>
  <r>
    <s v="ORD-00317"/>
    <x v="215"/>
    <s v="CUST-0048"/>
    <s v="PROD-012"/>
    <s v="R001"/>
    <n v="7"/>
    <n v="3160"/>
    <n v="8.9"/>
    <n v="20151.32"/>
    <s v="Completed"/>
    <s v="Delhi"/>
    <s v="Apparel"/>
    <m/>
    <s v="Retail"/>
    <n v="59"/>
    <m/>
    <m/>
    <m/>
    <m/>
  </r>
  <r>
    <s v="ORD-00318"/>
    <x v="95"/>
    <s v="CUST-0013"/>
    <s v="PROD-054"/>
    <s v="R013"/>
    <n v="6"/>
    <n v="1010"/>
    <n v="12.9"/>
    <n v="5278.26"/>
    <s v="Completed"/>
    <s v="Delhi"/>
    <s v="Sports"/>
    <m/>
    <s v="Retail"/>
    <n v="41"/>
    <m/>
    <m/>
    <m/>
    <m/>
  </r>
  <r>
    <s v="ORD-00319"/>
    <x v="216"/>
    <s v="CUST-0245"/>
    <s v="PROD-039"/>
    <s v="R020"/>
    <n v="4"/>
    <n v="4610"/>
    <n v="18.2"/>
    <n v="15083.92"/>
    <s v="Completed"/>
    <s v="Hyderabad"/>
    <s v="Home"/>
    <m/>
    <s v="Retail"/>
    <n v="65"/>
    <m/>
    <m/>
    <m/>
    <m/>
  </r>
  <r>
    <s v="ORD-00320"/>
    <x v="30"/>
    <s v="CUST-0031"/>
    <s v="PROD-025"/>
    <s v="R029"/>
    <n v="6"/>
    <n v="4060"/>
    <n v="24.3"/>
    <n v="18440.52"/>
    <s v="Completed"/>
    <s v="Hyderabad"/>
    <s v="Grocery"/>
    <m/>
    <s v="Retail"/>
    <n v="53"/>
    <m/>
    <m/>
    <m/>
    <m/>
  </r>
  <r>
    <s v="ORD-00321"/>
    <x v="89"/>
    <s v="CUST-0212"/>
    <s v="PROD-016"/>
    <s v="R001"/>
    <n v="5"/>
    <n v="620"/>
    <n v="10.7"/>
    <n v="2768.3"/>
    <s v="Refunded"/>
    <s v="Chennai"/>
    <s v="Apparel"/>
    <m/>
    <s v="SMB"/>
    <n v="46"/>
    <m/>
    <m/>
    <m/>
    <m/>
  </r>
  <r>
    <s v="ORD-00322"/>
    <x v="191"/>
    <s v="CUST-0104"/>
    <s v="PROD-018"/>
    <s v="R003"/>
    <n v="3"/>
    <n v="3560"/>
    <n v="4.0999999999999996"/>
    <n v="10242.120000000001"/>
    <s v="Completed"/>
    <s v="Hyderabad"/>
    <s v="Apparel"/>
    <m/>
    <s v="Corporate"/>
    <n v="43"/>
    <m/>
    <m/>
    <m/>
    <m/>
  </r>
  <r>
    <s v="ORD-00323"/>
    <x v="66"/>
    <s v="CUST-0157"/>
    <s v="PROD-058"/>
    <s v="R012"/>
    <n v="2"/>
    <n v="2400"/>
    <n v="13"/>
    <n v="4176"/>
    <s v="Completed"/>
    <s v="Pune"/>
    <s v="Sports"/>
    <m/>
    <s v="Corporate"/>
    <n v="52"/>
    <m/>
    <m/>
    <m/>
    <m/>
  </r>
  <r>
    <s v="ORD-00324"/>
    <x v="192"/>
    <s v="CUST-0004"/>
    <s v="PROD-056"/>
    <s v="R006"/>
    <n v="9"/>
    <n v="6940"/>
    <n v="26.2"/>
    <n v="46095.48"/>
    <s v="Completed"/>
    <s v="Delhi"/>
    <s v="Sports"/>
    <m/>
    <s v="Retail"/>
    <n v="53"/>
    <m/>
    <m/>
    <m/>
    <m/>
  </r>
  <r>
    <s v="ORD-00325"/>
    <x v="217"/>
    <s v="CUST-0003"/>
    <s v="PROD-023"/>
    <s v="R025"/>
    <n v="9"/>
    <n v="2380"/>
    <n v="22.7"/>
    <n v="16557.66"/>
    <s v="Completed"/>
    <s v="Mumbai"/>
    <s v="Grocery"/>
    <m/>
    <s v="Retail"/>
    <n v="33"/>
    <s v="North"/>
    <s v="Apr-24"/>
    <n v="1182"/>
    <n v="0.50336134453781511"/>
  </r>
  <r>
    <s v="ORD-00326"/>
    <x v="176"/>
    <s v="CUST-0175"/>
    <s v="PROD-014"/>
    <s v="R028"/>
    <n v="6"/>
    <n v="3620"/>
    <n v="9.1999999999999993"/>
    <n v="19721.759999999998"/>
    <s v="Completed"/>
    <s v="Delhi"/>
    <s v="Apparel"/>
    <m/>
    <s v="Corporate"/>
    <n v="55"/>
    <m/>
    <m/>
    <m/>
    <m/>
  </r>
  <r>
    <s v="ORD-00327"/>
    <x v="124"/>
    <s v="CUST-0104"/>
    <s v="PROD-050"/>
    <s v="R004"/>
    <n v="1"/>
    <n v="6080"/>
    <n v="29.4"/>
    <n v="4292.4799999999996"/>
    <s v="Cancelled"/>
    <s v="Hyderabad"/>
    <s v="Beauty"/>
    <m/>
    <s v="Corporate"/>
    <n v="43"/>
    <m/>
    <m/>
    <m/>
    <m/>
  </r>
  <r>
    <s v="ORD-00328"/>
    <x v="30"/>
    <s v="CUST-0196"/>
    <s v="PROD-020"/>
    <s v="R018"/>
    <n v="6"/>
    <n v="820"/>
    <n v="29.1"/>
    <n v="3488.28"/>
    <s v="Completed"/>
    <s v="Chennai"/>
    <s v="Apparel"/>
    <m/>
    <s v="Retail"/>
    <n v="26"/>
    <s v="North"/>
    <s v="May-24"/>
    <n v="391"/>
    <n v="0.52317073170731709"/>
  </r>
  <r>
    <s v="ORD-00329"/>
    <x v="34"/>
    <s v="CUST-0299"/>
    <s v="PROD-045"/>
    <s v="R024"/>
    <n v="9"/>
    <n v="3020"/>
    <n v="7.9"/>
    <n v="25032.78"/>
    <s v="Completed"/>
    <s v="Mumbai"/>
    <s v="Beauty"/>
    <m/>
    <s v="Corporate"/>
    <n v="51"/>
    <m/>
    <m/>
    <m/>
    <m/>
  </r>
  <r>
    <s v="ORD-00330"/>
    <x v="218"/>
    <s v="CUST-0066"/>
    <s v="PROD-004"/>
    <s v="R029"/>
    <n v="8"/>
    <n v="3870"/>
    <n v="11.9"/>
    <n v="27275.759999999998"/>
    <s v="Completed"/>
    <s v="Delhi"/>
    <s v="Electronics"/>
    <m/>
    <s v="Retail"/>
    <n v="24"/>
    <s v="West"/>
    <s v="Dec-24"/>
    <n v="1559"/>
    <n v="0.59715762273901807"/>
  </r>
  <r>
    <s v="ORD-00331"/>
    <x v="72"/>
    <s v="CUST-0080"/>
    <s v="PROD-047"/>
    <s v="R030"/>
    <n v="6"/>
    <n v="3450"/>
    <n v="13.9"/>
    <n v="17822.7"/>
    <s v="Completed"/>
    <s v="Pune"/>
    <s v="Beauty"/>
    <m/>
    <s v="SMB"/>
    <n v="30"/>
    <s v="West"/>
    <s v="Dec-24"/>
    <n v="2420"/>
    <n v="0.29855072463768118"/>
  </r>
  <r>
    <s v="ORD-00332"/>
    <x v="219"/>
    <s v="CUST-0138"/>
    <s v="PROD-048"/>
    <s v="R008"/>
    <n v="9"/>
    <n v="5100"/>
    <n v="2.1"/>
    <n v="44936.1"/>
    <s v="Completed"/>
    <s v="Chennai"/>
    <s v="Beauty"/>
    <m/>
    <s v="Retail"/>
    <n v="24"/>
    <s v="West"/>
    <s v="Aug-24"/>
    <n v="2237"/>
    <n v="0.56137254901960787"/>
  </r>
  <r>
    <s v="ORD-00333"/>
    <x v="79"/>
    <s v="CUST-0253"/>
    <s v="PROD-026"/>
    <s v="R008"/>
    <n v="2"/>
    <n v="4070"/>
    <n v="28.6"/>
    <n v="5811.96"/>
    <s v="Completed"/>
    <s v="Delhi"/>
    <s v="Grocery"/>
    <m/>
    <s v="SMB"/>
    <n v="53"/>
    <m/>
    <m/>
    <m/>
    <m/>
  </r>
  <r>
    <s v="ORD-00334"/>
    <x v="220"/>
    <s v="CUST-0247"/>
    <s v="PROD-001"/>
    <s v="R007"/>
    <n v="9"/>
    <n v="5330"/>
    <n v="6.2"/>
    <n v="44995.86"/>
    <s v="Completed"/>
    <s v="Pune"/>
    <s v="Electronics"/>
    <m/>
    <s v="SMB"/>
    <n v="35"/>
    <s v="North"/>
    <s v="Aug-24"/>
    <n v="2405"/>
    <n v="0.54878048780487809"/>
  </r>
  <r>
    <s v="ORD-00335"/>
    <x v="158"/>
    <s v="CUST-0269"/>
    <s v="PROD-024"/>
    <s v="R020"/>
    <n v="6"/>
    <n v="2270"/>
    <n v="23.7"/>
    <n v="10392.06"/>
    <s v="Completed"/>
    <s v="Pune"/>
    <s v="Grocery"/>
    <m/>
    <s v="Retail"/>
    <n v="48"/>
    <m/>
    <m/>
    <m/>
    <m/>
  </r>
  <r>
    <s v="ORD-00336"/>
    <x v="221"/>
    <s v="CUST-0008"/>
    <s v="PROD-017"/>
    <s v="R024"/>
    <n v="5"/>
    <n v="2510"/>
    <n v="25"/>
    <n v="9412.5"/>
    <s v="Completed"/>
    <s v="Pune"/>
    <s v="Apparel"/>
    <m/>
    <s v="SMB"/>
    <n v="39"/>
    <s v="East"/>
    <s v="Jan-24"/>
    <n v="1075"/>
    <n v="0.57171314741035861"/>
  </r>
  <r>
    <s v="ORD-00337"/>
    <x v="164"/>
    <s v="CUST-0134"/>
    <s v="PROD-023"/>
    <s v="R019"/>
    <n v="9"/>
    <n v="2380"/>
    <n v="16.8"/>
    <n v="17821.439999999999"/>
    <s v="Completed"/>
    <s v="Delhi"/>
    <s v="Grocery"/>
    <m/>
    <s v="Retail"/>
    <n v="40"/>
    <s v="West"/>
    <s v="Nov-24"/>
    <n v="1182"/>
    <n v="0.50336134453781511"/>
  </r>
  <r>
    <s v="ORD-00338"/>
    <x v="103"/>
    <s v="CUST-0016"/>
    <s v="PROD-011"/>
    <s v="R008"/>
    <n v="1"/>
    <n v="3450"/>
    <n v="1.5"/>
    <n v="3398.25"/>
    <s v="Refunded"/>
    <s v="Delhi"/>
    <s v="Apparel"/>
    <m/>
    <s v="SMB"/>
    <n v="26"/>
    <s v="East"/>
    <s v="Feb-24"/>
    <n v="1748"/>
    <n v="0.49333333333333335"/>
  </r>
  <r>
    <s v="ORD-00339"/>
    <x v="146"/>
    <s v="CUST-0281"/>
    <s v="PROD-003"/>
    <s v="R002"/>
    <n v="5"/>
    <n v="3570"/>
    <n v="12.8"/>
    <n v="15565.2"/>
    <s v="Completed"/>
    <s v="Bengaluru"/>
    <s v="Electronics"/>
    <m/>
    <s v="Corporate"/>
    <n v="57"/>
    <m/>
    <m/>
    <m/>
    <m/>
  </r>
  <r>
    <s v="ORD-00340"/>
    <x v="222"/>
    <s v="CUST-0267"/>
    <s v="PROD-001"/>
    <s v="R029"/>
    <n v="3"/>
    <n v="5330"/>
    <n v="16.2"/>
    <n v="13399.62"/>
    <s v="Completed"/>
    <s v="Hyderabad"/>
    <s v="Electronics"/>
    <m/>
    <s v="Retail"/>
    <n v="27"/>
    <s v="North"/>
    <s v="Jan-24"/>
    <n v="2405"/>
    <n v="0.54878048780487809"/>
  </r>
  <r>
    <s v="ORD-00341"/>
    <x v="123"/>
    <s v="CUST-0279"/>
    <s v="PROD-028"/>
    <s v="R027"/>
    <n v="3"/>
    <n v="3660"/>
    <n v="25.3"/>
    <n v="8202.06"/>
    <s v="Completed"/>
    <s v="Mumbai"/>
    <s v="Grocery"/>
    <m/>
    <s v="Retail"/>
    <n v="56"/>
    <m/>
    <m/>
    <m/>
    <m/>
  </r>
  <r>
    <s v="ORD-00342"/>
    <x v="77"/>
    <s v="CUST-0036"/>
    <s v="PROD-054"/>
    <s v="R015"/>
    <n v="2"/>
    <n v="1010"/>
    <n v="29.2"/>
    <n v="1430.16"/>
    <s v="Completed"/>
    <s v="Mumbai"/>
    <s v="Sports"/>
    <m/>
    <s v="Retail"/>
    <n v="35"/>
    <s v="West"/>
    <s v="Feb-24"/>
    <n v="516"/>
    <n v="0.4891089108910891"/>
  </r>
  <r>
    <s v="ORD-00343"/>
    <x v="47"/>
    <s v="CUST-0295"/>
    <s v="PROD-040"/>
    <s v="R015"/>
    <n v="1"/>
    <n v="1080"/>
    <n v="1.8"/>
    <n v="1060.56"/>
    <s v="Completed"/>
    <s v="Delhi"/>
    <s v="Home"/>
    <m/>
    <s v="SMB"/>
    <n v="48"/>
    <m/>
    <m/>
    <m/>
    <m/>
  </r>
  <r>
    <s v="ORD-00344"/>
    <x v="85"/>
    <s v="CUST-0106"/>
    <s v="PROD-051"/>
    <s v="R010"/>
    <n v="8"/>
    <n v="3450"/>
    <n v="20.399999999999999"/>
    <n v="21969.599999999999"/>
    <s v="Completed"/>
    <s v="Pune"/>
    <s v="Sports"/>
    <m/>
    <s v="Retail"/>
    <n v="22"/>
    <s v="South"/>
    <s v="Aug-24"/>
    <n v="2467"/>
    <n v="0.28492753623188405"/>
  </r>
  <r>
    <s v="ORD-00593"/>
    <x v="223"/>
    <s v="CUST-0070"/>
    <s v="PROD-056"/>
    <s v="R015"/>
    <n v="8"/>
    <n v="6940"/>
    <n v="19.399999999999999"/>
    <n v="44749.120000000003"/>
    <s v="Completed"/>
    <s v="Mumbai"/>
    <s v="Sports"/>
    <m/>
    <s v="Retail"/>
    <n v="42"/>
    <m/>
    <m/>
    <m/>
    <m/>
  </r>
  <r>
    <s v="ORD-00346"/>
    <x v="224"/>
    <s v="CUST-0062"/>
    <s v="PROD-041"/>
    <s v="R003"/>
    <n v="2"/>
    <n v="1540"/>
    <n v="9.3000000000000007"/>
    <n v="2793.56"/>
    <s v="Completed"/>
    <s v="Pune"/>
    <s v="Beauty"/>
    <m/>
    <s v="Retail"/>
    <n v="54"/>
    <m/>
    <m/>
    <m/>
    <m/>
  </r>
  <r>
    <s v="ORD-00347"/>
    <x v="225"/>
    <s v="CUST-0241"/>
    <s v="PROD-010"/>
    <s v="R015"/>
    <n v="4"/>
    <n v="2640"/>
    <n v="23.2"/>
    <n v="8110.08"/>
    <s v="Refunded"/>
    <s v="Pune"/>
    <s v="Electronics"/>
    <m/>
    <s v="Corporate"/>
    <n v="47"/>
    <m/>
    <m/>
    <m/>
    <m/>
  </r>
  <r>
    <s v="ORD-00348"/>
    <x v="17"/>
    <s v="CUST-0001"/>
    <s v="PROD-052"/>
    <s v="R024"/>
    <n v="6"/>
    <n v="5410"/>
    <n v="29.4"/>
    <n v="22916.76"/>
    <s v="Completed"/>
    <s v="Pune"/>
    <s v="Sports"/>
    <m/>
    <s v="Retail"/>
    <n v="36"/>
    <s v="South"/>
    <s v="Jun-24"/>
    <n v="2265"/>
    <n v="0.58133086876155271"/>
  </r>
  <r>
    <s v="ORD-00349"/>
    <x v="61"/>
    <s v="CUST-0181"/>
    <s v="PROD-003"/>
    <s v="R027"/>
    <n v="1"/>
    <n v="3570"/>
    <n v="4.3"/>
    <n v="3416.49"/>
    <s v="Completed"/>
    <s v="Delhi"/>
    <s v="Electronics"/>
    <m/>
    <s v="SMB"/>
    <n v="38"/>
    <s v="West"/>
    <s v="Nov-24"/>
    <n v="1665"/>
    <n v="0.53361344537815125"/>
  </r>
  <r>
    <s v="ORD-00350"/>
    <x v="226"/>
    <s v="CUST-0044"/>
    <s v="PROD-032"/>
    <s v="R028"/>
    <n v="2"/>
    <n v="370"/>
    <n v="7.2"/>
    <n v="686.72"/>
    <s v="Completed"/>
    <s v="Hyderabad"/>
    <s v="Home"/>
    <m/>
    <s v="SMB"/>
    <n v="29"/>
    <s v="West"/>
    <s v="Jun-24"/>
    <n v="288"/>
    <n v="0.22162162162162163"/>
  </r>
  <r>
    <s v="ORD-00351"/>
    <x v="203"/>
    <s v="CUST-0218"/>
    <s v="PROD-017"/>
    <s v="R017"/>
    <n v="1"/>
    <n v="2510"/>
    <n v="2.4"/>
    <n v="2449.7600000000002"/>
    <s v="Completed"/>
    <s v="Mumbai"/>
    <s v="Apparel"/>
    <m/>
    <s v="Retail"/>
    <n v="39"/>
    <s v="West"/>
    <s v="Aug-24"/>
    <n v="1075"/>
    <n v="0.57171314741035861"/>
  </r>
  <r>
    <s v="ORD-00352"/>
    <x v="178"/>
    <s v="CUST-0061"/>
    <s v="PROD-013"/>
    <s v="R022"/>
    <n v="8"/>
    <n v="3640"/>
    <n v="28.7"/>
    <n v="20762.560000000001"/>
    <s v="Pending"/>
    <s v="Hyderabad"/>
    <s v="Apparel"/>
    <m/>
    <s v="Retail"/>
    <n v="64"/>
    <m/>
    <m/>
    <m/>
    <m/>
  </r>
  <r>
    <s v="ORD-00353"/>
    <x v="226"/>
    <s v="CUST-0143"/>
    <s v="PROD-044"/>
    <s v="R029"/>
    <n v="5"/>
    <n v="1650"/>
    <n v="13.4"/>
    <n v="7144.5"/>
    <s v="Pending"/>
    <s v="Chennai"/>
    <s v="Beauty"/>
    <m/>
    <s v="SMB"/>
    <n v="52"/>
    <m/>
    <m/>
    <m/>
    <m/>
  </r>
  <r>
    <s v="ORD-00354"/>
    <x v="107"/>
    <s v="CUST-0164"/>
    <s v="PROD-049"/>
    <s v="R024"/>
    <n v="9"/>
    <n v="960"/>
    <n v="28.6"/>
    <n v="6168.96"/>
    <s v="Pending"/>
    <s v="Chennai"/>
    <s v="Beauty"/>
    <m/>
    <s v="Retail"/>
    <n v="60"/>
    <m/>
    <m/>
    <m/>
    <m/>
  </r>
  <r>
    <s v="ORD-00355"/>
    <x v="97"/>
    <s v="CUST-0152"/>
    <s v="PROD-027"/>
    <s v="R021"/>
    <n v="4"/>
    <n v="3780"/>
    <n v="25.3"/>
    <n v="11294.64"/>
    <s v="Completed"/>
    <s v="Bengaluru"/>
    <s v="Grocery"/>
    <m/>
    <s v="SMB"/>
    <n v="64"/>
    <m/>
    <m/>
    <m/>
    <m/>
  </r>
  <r>
    <s v="ORD-00356"/>
    <x v="227"/>
    <s v="CUST-0143"/>
    <s v="PROD-044"/>
    <s v="R014"/>
    <n v="4"/>
    <n v="1650"/>
    <n v="13.7"/>
    <n v="5695.8"/>
    <s v="Cancelled"/>
    <s v="Chennai"/>
    <s v="Beauty"/>
    <m/>
    <s v="SMB"/>
    <n v="52"/>
    <m/>
    <m/>
    <m/>
    <m/>
  </r>
  <r>
    <s v="ORD-00357"/>
    <x v="228"/>
    <s v="CUST-0232"/>
    <s v="PROD-014"/>
    <s v="R012"/>
    <n v="6"/>
    <n v="3620"/>
    <n v="21.3"/>
    <n v="17093.64"/>
    <s v="Pending"/>
    <s v="Hyderabad"/>
    <s v="Apparel"/>
    <m/>
    <s v="Retail"/>
    <n v="38"/>
    <s v="South"/>
    <s v="Sep-24"/>
    <n v="2509"/>
    <n v="0.3069060773480663"/>
  </r>
  <r>
    <s v="ORD-00358"/>
    <x v="42"/>
    <s v="CUST-0067"/>
    <s v="PROD-022"/>
    <s v="R030"/>
    <n v="10"/>
    <n v="2270"/>
    <n v="17.7"/>
    <n v="18682.099999999999"/>
    <s v="Completed"/>
    <s v="Delhi"/>
    <s v="Grocery"/>
    <m/>
    <s v="SMB"/>
    <n v="59"/>
    <m/>
    <m/>
    <m/>
    <m/>
  </r>
  <r>
    <s v="ORD-00359"/>
    <x v="130"/>
    <s v="CUST-0292"/>
    <s v="PROD-041"/>
    <s v="R013"/>
    <n v="9"/>
    <n v="1540"/>
    <n v="10.7"/>
    <n v="12376.98"/>
    <s v="Completed"/>
    <s v="Bengaluru"/>
    <s v="Beauty"/>
    <m/>
    <s v="Retail"/>
    <n v="32"/>
    <s v="West"/>
    <s v="Jan-24"/>
    <n v="647"/>
    <n v="0.57987012987012987"/>
  </r>
  <r>
    <s v="ORD-00360"/>
    <x v="84"/>
    <s v="CUST-0118"/>
    <s v="PROD-055"/>
    <s v="R021"/>
    <n v="9"/>
    <n v="2860"/>
    <n v="12.9"/>
    <n v="22419.54"/>
    <s v="Completed"/>
    <s v="Hyderabad"/>
    <s v="Sports"/>
    <m/>
    <s v="Retail"/>
    <n v="26"/>
    <s v="South"/>
    <s v="Jun-24"/>
    <n v="2028"/>
    <n v="0.29090909090909089"/>
  </r>
  <r>
    <s v="ORD-00361"/>
    <x v="229"/>
    <s v="CUST-0212"/>
    <s v="PROD-029"/>
    <s v="R016"/>
    <n v="5"/>
    <n v="2210"/>
    <n v="5.0999999999999996"/>
    <n v="10486.45"/>
    <s v="Completed"/>
    <s v="Chennai"/>
    <s v="Grocery"/>
    <m/>
    <s v="SMB"/>
    <n v="46"/>
    <m/>
    <m/>
    <m/>
    <m/>
  </r>
  <r>
    <s v="ORD-00362"/>
    <x v="157"/>
    <s v="CUST-0287"/>
    <s v="PROD-009"/>
    <s v="R029"/>
    <n v="1"/>
    <n v="1220"/>
    <n v="16.100000000000001"/>
    <n v="1023.58"/>
    <s v="Completed"/>
    <s v="Chennai"/>
    <s v="Electronics"/>
    <m/>
    <s v="SMB"/>
    <n v="53"/>
    <m/>
    <m/>
    <m/>
    <m/>
  </r>
  <r>
    <s v="ORD-00363"/>
    <x v="230"/>
    <s v="CUST-0030"/>
    <s v="PROD-003"/>
    <s v="R006"/>
    <n v="2"/>
    <n v="3570"/>
    <n v="1.1000000000000001"/>
    <n v="7061.46"/>
    <s v="Completed"/>
    <s v="Bengaluru"/>
    <s v="Electronics"/>
    <m/>
    <s v="Corporate"/>
    <n v="43"/>
    <m/>
    <m/>
    <m/>
    <m/>
  </r>
  <r>
    <s v="ORD-00364"/>
    <x v="231"/>
    <s v="CUST-0270"/>
    <s v="PROD-011"/>
    <s v="R016"/>
    <n v="10"/>
    <n v="3450"/>
    <n v="12.6"/>
    <n v="30153"/>
    <s v="Completed"/>
    <s v="Bengaluru"/>
    <s v="Apparel"/>
    <m/>
    <s v="Retail"/>
    <n v="29"/>
    <s v="North"/>
    <s v="Sep-24"/>
    <n v="1748"/>
    <n v="0.49333333333333335"/>
  </r>
  <r>
    <s v="ORD-00365"/>
    <x v="232"/>
    <s v="CUST-0001"/>
    <s v="PROD-029"/>
    <s v="R021"/>
    <n v="4"/>
    <n v="2210"/>
    <n v="5.4"/>
    <n v="8362.64"/>
    <s v="Completed"/>
    <s v="Pune"/>
    <s v="Grocery"/>
    <m/>
    <s v="Retail"/>
    <n v="36"/>
    <s v="South"/>
    <s v="Jan-24"/>
    <n v="1010"/>
    <n v="0.54298642533936647"/>
  </r>
  <r>
    <s v="ORD-00366"/>
    <x v="233"/>
    <s v="CUST-0215"/>
    <s v="PROD-035"/>
    <s v="R014"/>
    <n v="6"/>
    <n v="1090"/>
    <n v="2.9"/>
    <n v="6350.34"/>
    <s v="Cancelled"/>
    <s v="Hyderabad"/>
    <s v="Home"/>
    <m/>
    <s v="Retail"/>
    <n v="52"/>
    <m/>
    <m/>
    <m/>
    <m/>
  </r>
  <r>
    <s v="ORD-00367"/>
    <x v="234"/>
    <s v="CUST-0225"/>
    <s v="PROD-041"/>
    <s v="R017"/>
    <n v="8"/>
    <n v="1540"/>
    <n v="17.899999999999999"/>
    <n v="10114.719999999999"/>
    <s v="Pending"/>
    <s v="Chennai"/>
    <s v="Beauty"/>
    <m/>
    <s v="SMB"/>
    <n v="26"/>
    <s v="South"/>
    <s v="Jul-24"/>
    <n v="647"/>
    <n v="0.57987012987012987"/>
  </r>
  <r>
    <s v="ORD-00368"/>
    <x v="2"/>
    <s v="CUST-0163"/>
    <s v="PROD-002"/>
    <s v="R028"/>
    <n v="9"/>
    <n v="2600"/>
    <n v="4.0999999999999996"/>
    <n v="22440.6"/>
    <s v="Completed"/>
    <s v="Pune"/>
    <s v="Electronics"/>
    <m/>
    <s v="Retail"/>
    <n v="49"/>
    <m/>
    <m/>
    <m/>
    <m/>
  </r>
  <r>
    <s v="ORD-00369"/>
    <x v="235"/>
    <s v="CUST-0196"/>
    <s v="PROD-060"/>
    <s v="R007"/>
    <n v="2"/>
    <n v="190"/>
    <n v="4.8"/>
    <n v="361.76"/>
    <s v="Completed"/>
    <s v="Chennai"/>
    <s v="Sports"/>
    <m/>
    <s v="Retail"/>
    <n v="26"/>
    <s v="West"/>
    <s v="Mar-24"/>
    <n v="147"/>
    <n v="0.22631578947368422"/>
  </r>
  <r>
    <s v="ORD-00370"/>
    <x v="236"/>
    <s v="CUST-0002"/>
    <s v="PROD-019"/>
    <s v="R014"/>
    <n v="9"/>
    <n v="2480"/>
    <n v="28.3"/>
    <n v="16003.44"/>
    <s v="Completed"/>
    <s v="Pune"/>
    <s v="Apparel"/>
    <m/>
    <s v="Corporate"/>
    <n v="42"/>
    <m/>
    <m/>
    <m/>
    <m/>
  </r>
  <r>
    <s v="ORD-00371"/>
    <x v="33"/>
    <s v="CUST-0057"/>
    <s v="PROD-042"/>
    <s v="R006"/>
    <n v="7"/>
    <n v="2290"/>
    <n v="25"/>
    <n v="12022.5"/>
    <s v="Cancelled"/>
    <s v="Pune"/>
    <s v="Beauty"/>
    <m/>
    <s v="Retail"/>
    <n v="35"/>
    <s v="South"/>
    <s v="May-24"/>
    <n v="1219"/>
    <n v="0.46768558951965067"/>
  </r>
  <r>
    <s v="ORD-00372"/>
    <x v="237"/>
    <s v="CUST-0112"/>
    <s v="PROD-041"/>
    <s v="R015"/>
    <n v="9"/>
    <n v="1540"/>
    <n v="23.3"/>
    <n v="10630.62"/>
    <s v="Completed"/>
    <s v="Hyderabad"/>
    <s v="Beauty"/>
    <m/>
    <s v="Retail"/>
    <n v="64"/>
    <m/>
    <m/>
    <m/>
    <m/>
  </r>
  <r>
    <s v="ORD-00373"/>
    <x v="168"/>
    <s v="CUST-0131"/>
    <s v="PROD-034"/>
    <s v="R025"/>
    <n v="2"/>
    <n v="5080"/>
    <n v="2.5"/>
    <n v="9906"/>
    <s v="Cancelled"/>
    <s v="Delhi"/>
    <s v="Home"/>
    <m/>
    <s v="SMB"/>
    <n v="28"/>
    <s v="South"/>
    <s v="Oct-24"/>
    <n v="2459"/>
    <n v="0.51594488188976373"/>
  </r>
  <r>
    <s v="ORD-00374"/>
    <x v="238"/>
    <s v="CUST-0124"/>
    <s v="PROD-017"/>
    <s v="R016"/>
    <n v="4"/>
    <n v="2510"/>
    <n v="23.6"/>
    <n v="7670.56"/>
    <s v="Completed"/>
    <s v="Pune"/>
    <s v="Apparel"/>
    <m/>
    <s v="Retail"/>
    <n v="57"/>
    <m/>
    <m/>
    <m/>
    <m/>
  </r>
  <r>
    <s v="ORD-00375"/>
    <x v="10"/>
    <s v="CUST-0131"/>
    <s v="PROD-042"/>
    <s v="R011"/>
    <n v="5"/>
    <n v="2290"/>
    <n v="17"/>
    <n v="9503.5"/>
    <s v="Completed"/>
    <s v="Delhi"/>
    <s v="Beauty"/>
    <m/>
    <s v="SMB"/>
    <n v="28"/>
    <s v="South"/>
    <s v="Feb-24"/>
    <n v="1219"/>
    <n v="0.46768558951965067"/>
  </r>
  <r>
    <s v="ORD-00376"/>
    <x v="1"/>
    <s v="CUST-0084"/>
    <s v="PROD-053"/>
    <s v="R006"/>
    <n v="8"/>
    <n v="470"/>
    <n v="9.3000000000000007"/>
    <n v="3410.32"/>
    <s v="Completed"/>
    <s v="Chennai"/>
    <s v="Sports"/>
    <m/>
    <s v="Retail"/>
    <n v="28"/>
    <s v="South"/>
    <s v="Feb-24"/>
    <n v="302"/>
    <n v="0.35744680851063831"/>
  </r>
  <r>
    <s v="ORD-00377"/>
    <x v="148"/>
    <s v="CUST-0082"/>
    <s v="PROD-048"/>
    <s v="R009"/>
    <n v="8"/>
    <n v="5100"/>
    <n v="4.5999999999999996"/>
    <n v="38923.199999999997"/>
    <s v="Completed"/>
    <s v="Hyderabad"/>
    <s v="Beauty"/>
    <m/>
    <s v="SMB"/>
    <n v="36"/>
    <s v="North"/>
    <s v="Feb-24"/>
    <n v="2237"/>
    <n v="0.56137254901960787"/>
  </r>
  <r>
    <s v="ORD-00378"/>
    <x v="197"/>
    <s v="CUST-0242"/>
    <s v="PROD-001"/>
    <s v="R010"/>
    <n v="7"/>
    <n v="5330"/>
    <n v="2.5"/>
    <n v="36377.25"/>
    <s v="Completed"/>
    <s v="Chennai"/>
    <s v="Electronics"/>
    <m/>
    <s v="SMB"/>
    <n v="59"/>
    <m/>
    <m/>
    <m/>
    <m/>
  </r>
  <r>
    <s v="ORD-00379"/>
    <x v="234"/>
    <s v="CUST-0074"/>
    <s v="PROD-033"/>
    <s v="R028"/>
    <n v="10"/>
    <n v="2030"/>
    <n v="8.5"/>
    <n v="18574.5"/>
    <s v="Completed"/>
    <s v="Bengaluru"/>
    <s v="Home"/>
    <m/>
    <s v="Retail"/>
    <n v="27"/>
    <s v="South"/>
    <s v="Jan-24"/>
    <n v="1143"/>
    <n v="0.43694581280788175"/>
  </r>
  <r>
    <s v="ORD-00380"/>
    <x v="9"/>
    <s v="CUST-0221"/>
    <s v="PROD-034"/>
    <s v="R003"/>
    <n v="8"/>
    <n v="5080"/>
    <n v="9.6"/>
    <n v="36738.559999999998"/>
    <s v="Cancelled"/>
    <s v="Delhi"/>
    <s v="Home"/>
    <m/>
    <s v="SMB"/>
    <n v="29"/>
    <s v="West"/>
    <s v="Mar-24"/>
    <n v="2459"/>
    <n v="0.51594488188976373"/>
  </r>
  <r>
    <s v="ORD-00381"/>
    <x v="239"/>
    <s v="CUST-0101"/>
    <s v="PROD-023"/>
    <s v="R014"/>
    <n v="1"/>
    <n v="2380"/>
    <n v="11.6"/>
    <n v="2103.92"/>
    <s v="Pending"/>
    <s v="Hyderabad"/>
    <s v="Grocery"/>
    <m/>
    <s v="SMB"/>
    <n v="40"/>
    <s v="North"/>
    <s v="Sep-24"/>
    <n v="1182"/>
    <n v="0.50336134453781511"/>
  </r>
  <r>
    <s v="ORD-00382"/>
    <x v="222"/>
    <s v="CUST-0203"/>
    <s v="PROD-041"/>
    <s v="R027"/>
    <n v="8"/>
    <n v="1540"/>
    <n v="27.8"/>
    <n v="8895.0400000000009"/>
    <s v="Completed"/>
    <s v="Chennai"/>
    <s v="Beauty"/>
    <m/>
    <s v="SMB"/>
    <n v="55"/>
    <m/>
    <m/>
    <m/>
    <m/>
  </r>
  <r>
    <s v="ORD-00383"/>
    <x v="157"/>
    <s v="CUST-0209"/>
    <s v="PROD-024"/>
    <s v="R024"/>
    <n v="1"/>
    <n v="2270"/>
    <n v="6.5"/>
    <n v="2122.4499999999998"/>
    <s v="Pending"/>
    <s v="Pune"/>
    <s v="Grocery"/>
    <m/>
    <s v="Retail"/>
    <n v="31"/>
    <s v="West"/>
    <s v="Oct-24"/>
    <n v="1203"/>
    <n v="0.47004405286343615"/>
  </r>
  <r>
    <s v="ORD-00384"/>
    <x v="240"/>
    <s v="CUST-0094"/>
    <s v="PROD-019"/>
    <s v="R028"/>
    <n v="6"/>
    <n v="2480"/>
    <n v="25.9"/>
    <n v="11026.08"/>
    <s v="Completed"/>
    <s v="Pune"/>
    <s v="Apparel"/>
    <m/>
    <s v="SMB"/>
    <n v="60"/>
    <m/>
    <m/>
    <m/>
    <m/>
  </r>
  <r>
    <s v="ORD-00385"/>
    <x v="170"/>
    <s v="CUST-0248"/>
    <s v="PROD-018"/>
    <s v="R019"/>
    <n v="3"/>
    <n v="3560"/>
    <n v="0.4"/>
    <n v="10637.28"/>
    <s v="Refunded"/>
    <s v="Chennai"/>
    <s v="Apparel"/>
    <m/>
    <s v="SMB"/>
    <n v="57"/>
    <m/>
    <m/>
    <m/>
    <m/>
  </r>
  <r>
    <s v="ORD-00386"/>
    <x v="124"/>
    <s v="CUST-0297"/>
    <s v="PROD-008"/>
    <s v="R006"/>
    <n v="4"/>
    <n v="2660"/>
    <n v="19.7"/>
    <n v="8543.92"/>
    <s v="Cancelled"/>
    <s v="Hyderabad"/>
    <s v="Electronics"/>
    <m/>
    <s v="Retail"/>
    <n v="50"/>
    <m/>
    <m/>
    <m/>
    <m/>
  </r>
  <r>
    <s v="ORD-00387"/>
    <x v="194"/>
    <s v="CUST-0107"/>
    <s v="PROD-009"/>
    <s v="R013"/>
    <n v="10"/>
    <n v="1220"/>
    <n v="10.1"/>
    <n v="10967.8"/>
    <s v="Cancelled"/>
    <s v="Pune"/>
    <s v="Electronics"/>
    <m/>
    <s v="Retail"/>
    <n v="50"/>
    <m/>
    <m/>
    <m/>
    <m/>
  </r>
  <r>
    <s v="ORD-00388"/>
    <x v="241"/>
    <s v="CUST-0247"/>
    <s v="PROD-002"/>
    <s v="R014"/>
    <n v="8"/>
    <n v="2600"/>
    <n v="26.7"/>
    <n v="15246.4"/>
    <s v="Completed"/>
    <s v="Pune"/>
    <s v="Electronics"/>
    <m/>
    <s v="SMB"/>
    <n v="35"/>
    <s v="South"/>
    <s v="Apr-24"/>
    <n v="1052"/>
    <n v="0.5953846153846154"/>
  </r>
  <r>
    <s v="ORD-00389"/>
    <x v="242"/>
    <s v="CUST-0047"/>
    <s v="PROD-011"/>
    <s v="R020"/>
    <n v="10"/>
    <n v="3450"/>
    <n v="20.399999999999999"/>
    <n v="27462"/>
    <s v="Completed"/>
    <s v="Pune"/>
    <s v="Apparel"/>
    <m/>
    <s v="Retail"/>
    <n v="49"/>
    <m/>
    <m/>
    <m/>
    <m/>
  </r>
  <r>
    <s v="ORD-00390"/>
    <x v="242"/>
    <s v="CUST-0118"/>
    <s v="PROD-056"/>
    <s v="R019"/>
    <n v="1"/>
    <n v="6940"/>
    <n v="9.6999999999999993"/>
    <n v="6266.82"/>
    <s v="Completed"/>
    <s v="Hyderabad"/>
    <s v="Sports"/>
    <m/>
    <s v="Retail"/>
    <n v="26"/>
    <s v="East"/>
    <s v="May-24"/>
    <n v="2827"/>
    <n v="0.5926512968299712"/>
  </r>
  <r>
    <s v="ORD-00391"/>
    <x v="243"/>
    <s v="CUST-0019"/>
    <s v="PROD-043"/>
    <s v="R006"/>
    <n v="10"/>
    <n v="3350"/>
    <n v="3.2"/>
    <n v="32428"/>
    <s v="Completed"/>
    <s v="Chennai"/>
    <s v="Beauty"/>
    <m/>
    <s v="Retail"/>
    <n v="22"/>
    <s v="East"/>
    <s v="May-24"/>
    <n v="1728"/>
    <n v="0.48417910447761192"/>
  </r>
  <r>
    <s v="ORD-00392"/>
    <x v="244"/>
    <s v="CUST-0290"/>
    <s v="PROD-041"/>
    <s v="R026"/>
    <n v="7"/>
    <n v="1540"/>
    <n v="0.5"/>
    <n v="10726.1"/>
    <s v="Completed"/>
    <s v="Delhi"/>
    <s v="Beauty"/>
    <m/>
    <s v="Retail"/>
    <n v="63"/>
    <m/>
    <m/>
    <m/>
    <m/>
  </r>
  <r>
    <s v="ORD-00393"/>
    <x v="219"/>
    <s v="CUST-9557"/>
    <s v="PROD-014"/>
    <s v="R026"/>
    <n v="10"/>
    <n v="3620"/>
    <n v="22"/>
    <n v="28236"/>
    <s v="Completed"/>
    <s v="Pune"/>
    <s v="Apparel"/>
    <m/>
    <e v="#N/A"/>
    <e v="#N/A"/>
    <m/>
    <m/>
    <m/>
    <m/>
  </r>
  <r>
    <s v="ORD-00394"/>
    <x v="98"/>
    <s v="CUST-0291"/>
    <s v="PROD-053"/>
    <s v="R026"/>
    <n v="2"/>
    <n v="470"/>
    <n v="26.5"/>
    <n v="690.9"/>
    <s v="Pending"/>
    <s v="Pune"/>
    <s v="Sports"/>
    <m/>
    <s v="SMB"/>
    <n v="29"/>
    <s v="West"/>
    <s v="Dec-24"/>
    <n v="302"/>
    <n v="0.35744680851063831"/>
  </r>
  <r>
    <s v="ORD-00395"/>
    <x v="46"/>
    <s v="CUST-0045"/>
    <s v="PROD-028"/>
    <s v="R010"/>
    <n v="6"/>
    <n v="3660"/>
    <n v="1.5"/>
    <n v="21630.6"/>
    <s v="Completed"/>
    <s v="Chennai"/>
    <s v="Grocery"/>
    <m/>
    <s v="SMB"/>
    <n v="39"/>
    <s v="West"/>
    <s v="Dec-24"/>
    <n v="2214"/>
    <n v="0.39508196721311473"/>
  </r>
  <r>
    <s v="ORD-00396"/>
    <x v="39"/>
    <s v="CUST-0281"/>
    <s v="PROD-056"/>
    <s v="R017"/>
    <n v="10"/>
    <n v="6940"/>
    <n v="1.9"/>
    <n v="68081.399999999994"/>
    <s v="Completed"/>
    <s v="Bengaluru"/>
    <s v="Sports"/>
    <m/>
    <s v="Corporate"/>
    <n v="57"/>
    <m/>
    <m/>
    <m/>
    <m/>
  </r>
  <r>
    <s v="ORD-00397"/>
    <x v="245"/>
    <s v="CUST-0073"/>
    <s v="PROD-042"/>
    <s v="R005"/>
    <n v="8"/>
    <n v="2290"/>
    <n v="27.9"/>
    <n v="13208.72"/>
    <s v="Completed"/>
    <s v="Pune"/>
    <s v="Beauty"/>
    <m/>
    <s v="Corporate"/>
    <n v="40"/>
    <s v="East"/>
    <s v="May-24"/>
    <n v="1219"/>
    <n v="0.46768558951965067"/>
  </r>
  <r>
    <s v="ORD-00398"/>
    <x v="52"/>
    <s v="CUST-0043"/>
    <s v="PROD-012"/>
    <s v="R024"/>
    <n v="9"/>
    <n v="3160"/>
    <n v="10.199999999999999"/>
    <n v="25539.119999999999"/>
    <s v="Completed"/>
    <s v="Hyderabad"/>
    <s v="Apparel"/>
    <m/>
    <s v="Retail"/>
    <n v="61"/>
    <m/>
    <m/>
    <m/>
    <m/>
  </r>
  <r>
    <s v="ORD-00399"/>
    <x v="246"/>
    <s v="CUST-0154"/>
    <s v="PROD-034"/>
    <s v="R028"/>
    <n v="6"/>
    <n v="5080"/>
    <n v="25.4"/>
    <n v="22738.080000000002"/>
    <s v="Completed"/>
    <s v="Pune"/>
    <s v="Home"/>
    <m/>
    <s v="Retail"/>
    <n v="36"/>
    <s v="West"/>
    <s v="Oct-24"/>
    <n v="2459"/>
    <n v="0.51594488188976373"/>
  </r>
  <r>
    <s v="ORD-00400"/>
    <x v="247"/>
    <s v="CUST-0061"/>
    <s v="PROD-021"/>
    <s v="R012"/>
    <n v="6"/>
    <n v="2760"/>
    <n v="21.3"/>
    <n v="13032.72"/>
    <s v="Completed"/>
    <s v="Hyderabad"/>
    <s v="Grocery"/>
    <m/>
    <s v="Retail"/>
    <n v="64"/>
    <m/>
    <m/>
    <m/>
    <m/>
  </r>
  <r>
    <s v="ORD-00401"/>
    <x v="32"/>
    <s v="CUST-9654"/>
    <s v="PROD-009"/>
    <s v="R012"/>
    <n v="5"/>
    <n v="1220"/>
    <n v="7.6"/>
    <n v="5636.4"/>
    <s v="Completed"/>
    <s v="Mumbai"/>
    <s v="Electronics"/>
    <m/>
    <e v="#N/A"/>
    <e v="#N/A"/>
    <m/>
    <m/>
    <m/>
    <m/>
  </r>
  <r>
    <s v="ORD-00402"/>
    <x v="81"/>
    <s v="CUST-0189"/>
    <s v="PROD-046"/>
    <s v="R028"/>
    <n v="5"/>
    <n v="4880"/>
    <n v="8.5"/>
    <n v="22326"/>
    <s v="Completed"/>
    <s v="Chennai"/>
    <s v="Beauty"/>
    <m/>
    <s v="Retail"/>
    <n v="41"/>
    <m/>
    <m/>
    <m/>
    <m/>
  </r>
  <r>
    <s v="ORD-00403"/>
    <x v="102"/>
    <s v="CUST-0152"/>
    <s v="PROD-026"/>
    <s v="R022"/>
    <n v="7"/>
    <n v="4070"/>
    <n v="28"/>
    <n v="20512.8"/>
    <s v="Completed"/>
    <s v="Bengaluru"/>
    <s v="Grocery"/>
    <m/>
    <s v="SMB"/>
    <n v="64"/>
    <m/>
    <m/>
    <m/>
    <m/>
  </r>
  <r>
    <s v="ORD-00404"/>
    <x v="47"/>
    <s v="CUST-0284"/>
    <s v="PROD-006"/>
    <s v="R028"/>
    <n v="2"/>
    <n v="3970"/>
    <n v="14"/>
    <n v="6828.4"/>
    <s v="Completed"/>
    <s v="Hyderabad"/>
    <s v="Electronics"/>
    <m/>
    <s v="SMB"/>
    <n v="65"/>
    <m/>
    <m/>
    <m/>
    <m/>
  </r>
  <r>
    <s v="ORD-00405"/>
    <x v="134"/>
    <s v="CUST-0175"/>
    <s v="PROD-008"/>
    <s v="R018"/>
    <n v="9"/>
    <n v="2660"/>
    <n v="10.1"/>
    <n v="21522.06"/>
    <s v="Completed"/>
    <s v="Delhi"/>
    <s v="Electronics"/>
    <m/>
    <s v="Corporate"/>
    <n v="55"/>
    <m/>
    <m/>
    <m/>
    <m/>
  </r>
  <r>
    <s v="ORD-00406"/>
    <x v="192"/>
    <s v="CUST-0093"/>
    <s v="PROD-055"/>
    <s v="R022"/>
    <n v="9"/>
    <n v="2860"/>
    <n v="10.1"/>
    <n v="23140.26"/>
    <s v="Refunded"/>
    <s v="Pune"/>
    <s v="Sports"/>
    <m/>
    <s v="Retail"/>
    <n v="36"/>
    <s v="East"/>
    <s v="Feb-24"/>
    <n v="2028"/>
    <n v="0.29090909090909089"/>
  </r>
  <r>
    <s v="ORD-00407"/>
    <x v="157"/>
    <s v="CUST-0033"/>
    <s v="PROD-009"/>
    <s v="R007"/>
    <n v="7"/>
    <n v="1220"/>
    <n v="23.5"/>
    <n v="6533.1"/>
    <s v="Refunded"/>
    <s v="Delhi"/>
    <s v="Electronics"/>
    <m/>
    <s v="Retail"/>
    <n v="35"/>
    <s v="East"/>
    <s v="Apr-24"/>
    <n v="517"/>
    <n v="0.57622950819672136"/>
  </r>
  <r>
    <s v="ORD-00408"/>
    <x v="241"/>
    <s v="CUST-0294"/>
    <s v="PROD-022"/>
    <s v="R026"/>
    <n v="1"/>
    <n v="2270"/>
    <n v="5.8"/>
    <n v="2138.34"/>
    <s v="Cancelled"/>
    <s v="Delhi"/>
    <s v="Grocery"/>
    <m/>
    <s v="Corporate"/>
    <n v="31"/>
    <s v="North"/>
    <s v="Oct-24"/>
    <n v="1412"/>
    <n v="0.37797356828193834"/>
  </r>
  <r>
    <s v="ORD-00409"/>
    <x v="248"/>
    <s v="CUST-0115"/>
    <s v="PROD-037"/>
    <s v="R002"/>
    <n v="2"/>
    <n v="660"/>
    <n v="2.2999999999999998"/>
    <n v="1289.6400000000001"/>
    <s v="Completed"/>
    <s v="Mumbai"/>
    <s v="Home"/>
    <m/>
    <s v="SMB"/>
    <n v="65"/>
    <m/>
    <m/>
    <m/>
    <m/>
  </r>
  <r>
    <s v="ORD-00410"/>
    <x v="236"/>
    <s v="CUST-0219"/>
    <s v="PROD-012"/>
    <s v="R014"/>
    <n v="1"/>
    <n v="3160"/>
    <n v="5.6"/>
    <n v="2983.04"/>
    <s v="Completed"/>
    <s v="Chennai"/>
    <s v="Apparel"/>
    <m/>
    <s v="Corporate"/>
    <n v="38"/>
    <s v="North"/>
    <s v="Oct-24"/>
    <n v="1886"/>
    <n v="0.4031645569620253"/>
  </r>
  <r>
    <s v="ORD-00411"/>
    <x v="199"/>
    <s v="CUST-0180"/>
    <s v="PROD-002"/>
    <s v="R013"/>
    <n v="1"/>
    <n v="2600"/>
    <n v="1"/>
    <n v="2574"/>
    <s v="Completed"/>
    <s v="Chennai"/>
    <s v="Electronics"/>
    <m/>
    <s v="Retail"/>
    <n v="36"/>
    <s v="South"/>
    <s v="May-24"/>
    <n v="1052"/>
    <n v="0.5953846153846154"/>
  </r>
  <r>
    <s v="ORD-00412"/>
    <x v="50"/>
    <s v="CUST-0148"/>
    <s v="PROD-039"/>
    <s v="R014"/>
    <n v="4"/>
    <n v="4610"/>
    <n v="18.7"/>
    <n v="14991.72"/>
    <s v="Completed"/>
    <s v="Chennai"/>
    <s v="Home"/>
    <m/>
    <s v="Retail"/>
    <n v="32"/>
    <s v="South"/>
    <s v="Apr-24"/>
    <n v="1850"/>
    <n v="0.59869848156182215"/>
  </r>
  <r>
    <s v="ORD-00413"/>
    <x v="249"/>
    <s v="CUST-0026"/>
    <s v="PROD-013"/>
    <s v="R018"/>
    <n v="3"/>
    <n v="3640"/>
    <n v="9.6999999999999993"/>
    <n v="9860.76"/>
    <s v="Cancelled"/>
    <s v="Pune"/>
    <s v="Apparel"/>
    <m/>
    <s v="Retail"/>
    <n v="62"/>
    <m/>
    <m/>
    <m/>
    <m/>
  </r>
  <r>
    <s v="ORD-00414"/>
    <x v="120"/>
    <s v="CUST-0246"/>
    <s v="PROD-015"/>
    <s v="R004"/>
    <n v="6"/>
    <n v="2720"/>
    <n v="13"/>
    <n v="14198.4"/>
    <s v="Pending"/>
    <s v="Delhi"/>
    <s v="Apparel"/>
    <m/>
    <s v="SMB"/>
    <n v="29"/>
    <s v="East"/>
    <s v="Apr-24"/>
    <n v="1962"/>
    <n v="0.2786764705882353"/>
  </r>
  <r>
    <s v="ORD-00415"/>
    <x v="128"/>
    <s v="CUST-0125"/>
    <s v="PROD-059"/>
    <s v="R008"/>
    <n v="5"/>
    <n v="3780"/>
    <n v="15.2"/>
    <n v="16027.2"/>
    <s v="Completed"/>
    <s v="Delhi"/>
    <s v="Sports"/>
    <m/>
    <s v="Retail"/>
    <n v="45"/>
    <m/>
    <m/>
    <m/>
    <m/>
  </r>
  <r>
    <s v="ORD-00416"/>
    <x v="192"/>
    <s v="CUST-0190"/>
    <s v="PROD-035"/>
    <s v="R030"/>
    <n v="9"/>
    <n v="1090"/>
    <n v="28.5"/>
    <n v="7014.15"/>
    <s v="Completed"/>
    <s v="Hyderabad"/>
    <s v="Home"/>
    <m/>
    <s v="Retail"/>
    <n v="52"/>
    <m/>
    <m/>
    <m/>
    <m/>
  </r>
  <r>
    <s v="ORD-00417"/>
    <x v="248"/>
    <s v="CUST-0085"/>
    <s v="PROD-035"/>
    <s v="R028"/>
    <n v="6"/>
    <n v="1090"/>
    <n v="28.7"/>
    <n v="4663.0200000000004"/>
    <s v="Completed"/>
    <s v="Chennai"/>
    <s v="Home"/>
    <m/>
    <s v="Retail"/>
    <n v="26"/>
    <s v="West"/>
    <s v="Apr-24"/>
    <n v="464"/>
    <n v="0.57431192660550456"/>
  </r>
  <r>
    <s v="ORD-00418"/>
    <x v="250"/>
    <s v="CUST-0249"/>
    <s v="PROD-017"/>
    <s v="R030"/>
    <n v="5"/>
    <n v="2510"/>
    <n v="25"/>
    <n v="9412.5"/>
    <s v="Completed"/>
    <s v="Mumbai"/>
    <s v="Apparel"/>
    <m/>
    <s v="Retail"/>
    <n v="44"/>
    <m/>
    <m/>
    <m/>
    <m/>
  </r>
  <r>
    <s v="ORD-00419"/>
    <x v="251"/>
    <s v="CUST-0012"/>
    <s v="PROD-006"/>
    <s v="R010"/>
    <n v="5"/>
    <n v="3970"/>
    <n v="26"/>
    <n v="14689"/>
    <s v="Completed"/>
    <s v="Pune"/>
    <s v="Electronics"/>
    <m/>
    <s v="Retail"/>
    <n v="43"/>
    <m/>
    <m/>
    <m/>
    <m/>
  </r>
  <r>
    <s v="ORD-00420"/>
    <x v="144"/>
    <s v="CUST-0251"/>
    <s v="PROD-026"/>
    <s v="R001"/>
    <n v="9"/>
    <n v="4070"/>
    <n v="15.7"/>
    <n v="30879.09"/>
    <s v="Completed"/>
    <s v="Mumbai"/>
    <s v="Grocery"/>
    <m/>
    <s v="Retail"/>
    <n v="44"/>
    <m/>
    <m/>
    <m/>
    <m/>
  </r>
  <r>
    <s v="ORD-00421"/>
    <x v="196"/>
    <s v="CUST-0088"/>
    <s v="PROD-038"/>
    <s v="R004"/>
    <n v="6"/>
    <n v="5490"/>
    <n v="8.5"/>
    <n v="30140.1"/>
    <s v="Refunded"/>
    <s v="Chennai"/>
    <s v="Home"/>
    <m/>
    <s v="Retail"/>
    <n v="24"/>
    <s v="North"/>
    <s v="Feb-24"/>
    <n v="2549"/>
    <n v="0.53570127504553733"/>
  </r>
  <r>
    <s v="ORD-00422"/>
    <x v="70"/>
    <s v="CUST-0037"/>
    <s v="PROD-054"/>
    <s v="R022"/>
    <n v="9"/>
    <n v="1010"/>
    <n v="3.6"/>
    <n v="8762.76"/>
    <s v="Completed"/>
    <s v="Bengaluru"/>
    <s v="Sports"/>
    <m/>
    <s v="Retail"/>
    <n v="52"/>
    <m/>
    <m/>
    <m/>
    <m/>
  </r>
  <r>
    <s v="ORD-00423"/>
    <x v="252"/>
    <s v="CUST-0039"/>
    <s v="PROD-028"/>
    <s v="R008"/>
    <n v="6"/>
    <n v="3660"/>
    <n v="10.8"/>
    <n v="19588.32"/>
    <s v="Completed"/>
    <s v="Bengaluru"/>
    <s v="Grocery"/>
    <m/>
    <s v="Retail"/>
    <n v="37"/>
    <s v="East"/>
    <s v="Nov-24"/>
    <n v="2214"/>
    <n v="0.39508196721311473"/>
  </r>
  <r>
    <s v="ORD-00424"/>
    <x v="111"/>
    <s v="CUST-0106"/>
    <s v="PROD-047"/>
    <s v="R016"/>
    <n v="6"/>
    <n v="3450"/>
    <n v="10.7"/>
    <n v="18485.099999999999"/>
    <s v="Completed"/>
    <s v="Pune"/>
    <s v="Beauty"/>
    <m/>
    <s v="Retail"/>
    <n v="22"/>
    <s v="North"/>
    <s v="Dec-24"/>
    <n v="2420"/>
    <n v="0.29855072463768118"/>
  </r>
  <r>
    <s v="ORD-00425"/>
    <x v="229"/>
    <s v="CUST-0222"/>
    <s v="PROD-026"/>
    <s v="R011"/>
    <n v="10"/>
    <n v="4070"/>
    <n v="23.4"/>
    <n v="31176.2"/>
    <s v="Refunded"/>
    <s v="Chennai"/>
    <s v="Grocery"/>
    <m/>
    <s v="Retail"/>
    <n v="37"/>
    <s v="South"/>
    <s v="Aug-24"/>
    <n v="2027"/>
    <n v="0.50196560196560192"/>
  </r>
  <r>
    <s v="ORD-00426"/>
    <x v="253"/>
    <s v="CUST-0130"/>
    <s v="PROD-003"/>
    <s v="R025"/>
    <n v="9"/>
    <n v="3570"/>
    <n v="15.2"/>
    <n v="27246.240000000002"/>
    <s v="Completed"/>
    <s v="Bengaluru"/>
    <s v="Electronics"/>
    <m/>
    <s v="Corporate"/>
    <n v="41"/>
    <m/>
    <m/>
    <m/>
    <m/>
  </r>
  <r>
    <s v="ORD-00427"/>
    <x v="254"/>
    <s v="CUST-0281"/>
    <s v="PROD-056"/>
    <s v="R005"/>
    <n v="10"/>
    <n v="6940"/>
    <n v="21.8"/>
    <n v="54270.8"/>
    <s v="Pending"/>
    <s v="Bengaluru"/>
    <s v="Sports"/>
    <m/>
    <s v="Corporate"/>
    <n v="57"/>
    <m/>
    <m/>
    <m/>
    <m/>
  </r>
  <r>
    <s v="ORD-00428"/>
    <x v="135"/>
    <s v="CUST-0094"/>
    <s v="PROD-044"/>
    <s v="R014"/>
    <n v="9"/>
    <n v="1650"/>
    <n v="24.3"/>
    <n v="11241.45"/>
    <s v="Completed"/>
    <s v="Pune"/>
    <s v="Beauty"/>
    <m/>
    <s v="SMB"/>
    <n v="60"/>
    <m/>
    <m/>
    <m/>
    <m/>
  </r>
  <r>
    <s v="ORD-00429"/>
    <x v="207"/>
    <s v="CUST-0271"/>
    <s v="PROD-007"/>
    <s v="R014"/>
    <n v="10"/>
    <n v="1430"/>
    <n v="25.2"/>
    <n v="10696.4"/>
    <s v="Completed"/>
    <s v="Bengaluru"/>
    <s v="Electronics"/>
    <m/>
    <s v="Corporate"/>
    <n v="41"/>
    <m/>
    <m/>
    <m/>
    <m/>
  </r>
  <r>
    <s v="ORD-00430"/>
    <x v="178"/>
    <s v="CUST-0110"/>
    <s v="PROD-025"/>
    <s v="R010"/>
    <n v="4"/>
    <n v="4060"/>
    <n v="1.6"/>
    <n v="15980.16"/>
    <s v="Completed"/>
    <s v="Pune"/>
    <s v="Grocery"/>
    <m/>
    <s v="Corporate"/>
    <n v="31"/>
    <s v="South"/>
    <s v="Nov-24"/>
    <n v="2911"/>
    <n v="0.28300492610837441"/>
  </r>
  <r>
    <s v="ORD-00431"/>
    <x v="103"/>
    <s v="CUST-0262"/>
    <s v="PROD-032"/>
    <s v="R005"/>
    <n v="9"/>
    <n v="370"/>
    <n v="17"/>
    <n v="2763.9"/>
    <s v="Completed"/>
    <s v="Mumbai"/>
    <s v="Home"/>
    <m/>
    <s v="Retail"/>
    <n v="52"/>
    <m/>
    <m/>
    <m/>
    <m/>
  </r>
  <r>
    <s v="ORD-00432"/>
    <x v="94"/>
    <s v="CUST-0157"/>
    <s v="PROD-041"/>
    <s v="R010"/>
    <n v="1"/>
    <n v="1540"/>
    <n v="24"/>
    <n v="1170.4000000000001"/>
    <s v="Cancelled"/>
    <s v="Pune"/>
    <s v="Beauty"/>
    <m/>
    <s v="Corporate"/>
    <n v="52"/>
    <m/>
    <m/>
    <m/>
    <m/>
  </r>
  <r>
    <s v="ORD-00433"/>
    <x v="143"/>
    <s v="CUST-0135"/>
    <s v="PROD-002"/>
    <s v="R025"/>
    <n v="9"/>
    <n v="2600"/>
    <n v="7.7"/>
    <n v="21598.2"/>
    <s v="Completed"/>
    <s v="Pune"/>
    <s v="Electronics"/>
    <m/>
    <s v="SMB"/>
    <n v="24"/>
    <s v="South"/>
    <s v="Jan-24"/>
    <n v="1052"/>
    <n v="0.5953846153846154"/>
  </r>
  <r>
    <s v="ORD-00434"/>
    <x v="255"/>
    <s v="CUST-0136"/>
    <s v="PROD-017"/>
    <s v="R015"/>
    <n v="8"/>
    <n v="2510"/>
    <n v="3.7"/>
    <n v="19337.04"/>
    <s v="Completed"/>
    <s v="Chennai"/>
    <s v="Apparel"/>
    <m/>
    <s v="SMB"/>
    <n v="26"/>
    <s v="West"/>
    <s v="Mar-24"/>
    <n v="1075"/>
    <n v="0.57171314741035861"/>
  </r>
  <r>
    <s v="ORD-00435"/>
    <x v="256"/>
    <s v="CUST-0110"/>
    <s v="PROD-001"/>
    <s v="R003"/>
    <n v="6"/>
    <n v="5330"/>
    <n v="8.4"/>
    <n v="29293.68"/>
    <s v="Completed"/>
    <s v="Pune"/>
    <s v="Electronics"/>
    <m/>
    <s v="Corporate"/>
    <n v="31"/>
    <s v="South"/>
    <s v="Jul-24"/>
    <n v="2405"/>
    <n v="0.54878048780487809"/>
  </r>
  <r>
    <s v="ORD-00436"/>
    <x v="190"/>
    <s v="CUST-0192"/>
    <s v="PROD-034"/>
    <s v="R014"/>
    <n v="5"/>
    <n v="5080"/>
    <n v="10.3"/>
    <n v="22783.8"/>
    <s v="Completed"/>
    <s v="Bengaluru"/>
    <s v="Home"/>
    <m/>
    <s v="Retail"/>
    <n v="55"/>
    <m/>
    <m/>
    <m/>
    <m/>
  </r>
  <r>
    <s v="ORD-00437"/>
    <x v="257"/>
    <s v="CUST-0169"/>
    <s v="PROD-026"/>
    <s v="R025"/>
    <n v="3"/>
    <n v="4070"/>
    <n v="23.7"/>
    <n v="9316.23"/>
    <s v="Completed"/>
    <s v="Bengaluru"/>
    <s v="Grocery"/>
    <m/>
    <s v="SMB"/>
    <n v="42"/>
    <m/>
    <m/>
    <m/>
    <m/>
  </r>
  <r>
    <s v="ORD-00438"/>
    <x v="187"/>
    <s v="CUST-0086"/>
    <s v="PROD-016"/>
    <s v="R013"/>
    <n v="4"/>
    <n v="620"/>
    <n v="18.8"/>
    <n v="2013.76"/>
    <s v="Completed"/>
    <s v="Hyderabad"/>
    <s v="Apparel"/>
    <m/>
    <s v="Corporate"/>
    <n v="56"/>
    <m/>
    <m/>
    <m/>
    <m/>
  </r>
  <r>
    <s v="ORD-00439"/>
    <x v="108"/>
    <s v="CUST-0217"/>
    <s v="PROD-010"/>
    <s v="R017"/>
    <n v="10"/>
    <n v="2640"/>
    <n v="12.7"/>
    <n v="23047.200000000001"/>
    <s v="Completed"/>
    <s v="Pune"/>
    <s v="Electronics"/>
    <m/>
    <s v="SMB"/>
    <n v="59"/>
    <m/>
    <m/>
    <m/>
    <m/>
  </r>
  <r>
    <s v="ORD-00440"/>
    <x v="179"/>
    <s v="CUST-0119"/>
    <s v="PROD-026"/>
    <s v="R030"/>
    <n v="2"/>
    <n v="4070"/>
    <n v="29"/>
    <n v="5779.4"/>
    <s v="Completed"/>
    <s v="Bengaluru"/>
    <s v="Grocery"/>
    <m/>
    <s v="SMB"/>
    <n v="43"/>
    <m/>
    <m/>
    <m/>
    <m/>
  </r>
  <r>
    <s v="ORD-00441"/>
    <x v="230"/>
    <s v="CUST-0011"/>
    <s v="PROD-054"/>
    <s v="R007"/>
    <n v="8"/>
    <n v="1010"/>
    <n v="25.4"/>
    <n v="6027.68"/>
    <s v="Completed"/>
    <s v="Chennai"/>
    <s v="Sports"/>
    <m/>
    <s v="Corporate"/>
    <n v="41"/>
    <m/>
    <m/>
    <m/>
    <m/>
  </r>
  <r>
    <s v="ORD-00442"/>
    <x v="98"/>
    <s v="CUST-0059"/>
    <s v="PROD-036"/>
    <s v="R005"/>
    <n v="8"/>
    <n v="3250"/>
    <n v="5.4"/>
    <n v="24596"/>
    <s v="Completed"/>
    <s v="Pune"/>
    <s v="Home"/>
    <m/>
    <s v="Corporate"/>
    <n v="29"/>
    <s v="North"/>
    <s v="Sep-24"/>
    <n v="1556"/>
    <n v="0.52123076923076928"/>
  </r>
  <r>
    <s v="ORD-00443"/>
    <x v="151"/>
    <s v="CUST-0210"/>
    <s v="PROD-007"/>
    <s v="R009"/>
    <n v="7"/>
    <n v="1430"/>
    <n v="19.3"/>
    <n v="8078.07"/>
    <s v="Completed"/>
    <s v="Pune"/>
    <s v="Electronics"/>
    <m/>
    <s v="Corporate"/>
    <n v="48"/>
    <m/>
    <m/>
    <m/>
    <m/>
  </r>
  <r>
    <s v="ORD-00444"/>
    <x v="100"/>
    <s v="CUST-0145"/>
    <s v="PROD-045"/>
    <s v="R018"/>
    <n v="9"/>
    <n v="3020"/>
    <n v="15"/>
    <n v="23103"/>
    <s v="Completed"/>
    <s v="Bengaluru"/>
    <s v="Beauty"/>
    <m/>
    <s v="SMB"/>
    <n v="44"/>
    <m/>
    <m/>
    <m/>
    <m/>
  </r>
  <r>
    <s v="ORD-00445"/>
    <x v="258"/>
    <s v="CUST-9626"/>
    <s v="PROD-008"/>
    <s v="R002"/>
    <n v="2"/>
    <n v="2660"/>
    <n v="21.4"/>
    <n v="4181.5200000000004"/>
    <s v="Completed"/>
    <s v="Chennai"/>
    <s v="Electronics"/>
    <m/>
    <e v="#N/A"/>
    <e v="#N/A"/>
    <m/>
    <m/>
    <m/>
    <m/>
  </r>
  <r>
    <s v="ORD-00446"/>
    <x v="156"/>
    <s v="CUST-0250"/>
    <s v="PROD-003"/>
    <s v="R019"/>
    <n v="10"/>
    <n v="3570"/>
    <n v="20.3"/>
    <n v="28452.9"/>
    <s v="Completed"/>
    <s v="Delhi"/>
    <s v="Electronics"/>
    <m/>
    <s v="Retail"/>
    <n v="31"/>
    <s v="North"/>
    <s v="Feb-24"/>
    <n v="1665"/>
    <n v="0.53361344537815125"/>
  </r>
  <r>
    <s v="ORD-00447"/>
    <x v="259"/>
    <s v="CUST-0241"/>
    <s v="PROD-043"/>
    <s v="R010"/>
    <n v="4"/>
    <n v="3350"/>
    <n v="28.1"/>
    <n v="9634.6"/>
    <s v="Completed"/>
    <s v="Pune"/>
    <s v="Beauty"/>
    <m/>
    <s v="Corporate"/>
    <n v="47"/>
    <m/>
    <m/>
    <m/>
    <m/>
  </r>
  <r>
    <s v="ORD-00448"/>
    <x v="260"/>
    <s v="CUST-0071"/>
    <s v="PROD-019"/>
    <s v="R021"/>
    <n v="1"/>
    <n v="2480"/>
    <n v="13.5"/>
    <n v="2145.1999999999998"/>
    <s v="Completed"/>
    <s v="Delhi"/>
    <s v="Apparel"/>
    <m/>
    <s v="Corporate"/>
    <n v="46"/>
    <m/>
    <m/>
    <m/>
    <m/>
  </r>
  <r>
    <s v="ORD-00449"/>
    <x v="51"/>
    <s v="CUST-0017"/>
    <s v="PROD-052"/>
    <s v="R015"/>
    <n v="10"/>
    <n v="5410"/>
    <n v="26.1"/>
    <n v="39979.9"/>
    <s v="Completed"/>
    <s v="Delhi"/>
    <s v="Sports"/>
    <m/>
    <s v="SMB"/>
    <n v="38"/>
    <s v="East"/>
    <s v="Feb-24"/>
    <n v="2265"/>
    <n v="0.58133086876155271"/>
  </r>
  <r>
    <s v="ORD-00450"/>
    <x v="261"/>
    <s v="CUST-0007"/>
    <s v="PROD-037"/>
    <s v="R023"/>
    <n v="2"/>
    <n v="660"/>
    <n v="5"/>
    <n v="1254"/>
    <s v="Completed"/>
    <s v="Bengaluru"/>
    <s v="Home"/>
    <m/>
    <s v="Retail"/>
    <n v="47"/>
    <m/>
    <m/>
    <m/>
    <m/>
  </r>
  <r>
    <s v="ORD-00451"/>
    <x v="262"/>
    <s v="CUST-0054"/>
    <s v="PROD-054"/>
    <s v="R007"/>
    <n v="10"/>
    <n v="1010"/>
    <n v="10"/>
    <n v="9090"/>
    <s v="Completed"/>
    <s v="Mumbai"/>
    <s v="Sports"/>
    <m/>
    <s v="Corporate"/>
    <n v="62"/>
    <m/>
    <m/>
    <m/>
    <m/>
  </r>
  <r>
    <s v="ORD-00452"/>
    <x v="263"/>
    <s v="CUST-0038"/>
    <s v="PROD-042"/>
    <s v="R001"/>
    <n v="3"/>
    <n v="2290"/>
    <n v="8.9"/>
    <n v="6258.57"/>
    <s v="Completed"/>
    <s v="Mumbai"/>
    <s v="Beauty"/>
    <m/>
    <s v="Retail"/>
    <n v="57"/>
    <m/>
    <m/>
    <m/>
    <m/>
  </r>
  <r>
    <s v="ORD-00453"/>
    <x v="264"/>
    <s v="CUST-0066"/>
    <s v="PROD-047"/>
    <s v="R001"/>
    <n v="9"/>
    <n v="3450"/>
    <n v="24.3"/>
    <n v="23504.85"/>
    <s v="Completed"/>
    <s v="Delhi"/>
    <s v="Beauty"/>
    <m/>
    <s v="Retail"/>
    <n v="24"/>
    <s v="North"/>
    <s v="Jul-24"/>
    <n v="2420"/>
    <n v="0.29855072463768118"/>
  </r>
  <r>
    <s v="ORD-00454"/>
    <x v="44"/>
    <s v="CUST-0161"/>
    <s v="PROD-013"/>
    <s v="R003"/>
    <n v="10"/>
    <n v="3640"/>
    <n v="21.4"/>
    <n v="28610.400000000001"/>
    <s v="Cancelled"/>
    <s v="Chennai"/>
    <s v="Apparel"/>
    <m/>
    <s v="Retail"/>
    <n v="38"/>
    <s v="North"/>
    <s v="Mar-24"/>
    <n v="2611"/>
    <n v="0.28269230769230769"/>
  </r>
  <r>
    <s v="ORD-00455"/>
    <x v="260"/>
    <s v="CUST-0072"/>
    <s v="PROD-023"/>
    <s v="R015"/>
    <n v="5"/>
    <n v="2380"/>
    <n v="12.2"/>
    <n v="10448.200000000001"/>
    <s v="Completed"/>
    <s v="Mumbai"/>
    <s v="Grocery"/>
    <m/>
    <s v="Corporate"/>
    <n v="62"/>
    <m/>
    <m/>
    <m/>
    <m/>
  </r>
  <r>
    <s v="ORD-00456"/>
    <x v="265"/>
    <s v="CUST-0232"/>
    <s v="PROD-052"/>
    <s v="R017"/>
    <n v="10"/>
    <n v="5410"/>
    <n v="29.8"/>
    <n v="37978.199999999997"/>
    <s v="Completed"/>
    <s v="Hyderabad"/>
    <s v="Sports"/>
    <m/>
    <s v="Retail"/>
    <n v="38"/>
    <s v="South"/>
    <s v="Feb-24"/>
    <n v="2265"/>
    <n v="0.58133086876155271"/>
  </r>
  <r>
    <s v="ORD-00457"/>
    <x v="67"/>
    <s v="CUST-0054"/>
    <s v="PROD-044"/>
    <s v="R021"/>
    <n v="3"/>
    <n v="1650"/>
    <n v="9.4"/>
    <n v="4484.7"/>
    <s v="Cancelled"/>
    <s v="Mumbai"/>
    <s v="Beauty"/>
    <m/>
    <s v="Corporate"/>
    <n v="62"/>
    <m/>
    <m/>
    <m/>
    <m/>
  </r>
  <r>
    <s v="ORD-00458"/>
    <x v="266"/>
    <s v="CUST-0214"/>
    <s v="PROD-002"/>
    <s v="R022"/>
    <n v="7"/>
    <n v="2600"/>
    <n v="19.899999999999999"/>
    <n v="14578.2"/>
    <s v="Pending"/>
    <s v="Mumbai"/>
    <s v="Electronics"/>
    <m/>
    <s v="Retail"/>
    <n v="22"/>
    <s v="East"/>
    <s v="Mar-24"/>
    <n v="1052"/>
    <n v="0.5953846153846154"/>
  </r>
  <r>
    <s v="ORD-00135"/>
    <x v="267"/>
    <s v="CUST-0236"/>
    <s v="PROD-039"/>
    <s v="R002"/>
    <n v="4"/>
    <n v="4610"/>
    <n v="13.2"/>
    <n v="16005.92"/>
    <s v="Completed"/>
    <s v="Hyderabad"/>
    <s v="Home"/>
    <m/>
    <s v="SMB"/>
    <n v="28"/>
    <s v="East"/>
    <s v="Apr-24"/>
    <n v="1850"/>
    <n v="0.59869848156182215"/>
  </r>
  <r>
    <s v="ORD-00460"/>
    <x v="268"/>
    <s v="CUST-0031"/>
    <s v="PROD-039"/>
    <s v="R021"/>
    <n v="9"/>
    <n v="4610"/>
    <n v="25.8"/>
    <n v="30785.58"/>
    <s v="Completed"/>
    <s v="Hyderabad"/>
    <s v="Home"/>
    <m/>
    <s v="Retail"/>
    <n v="53"/>
    <m/>
    <m/>
    <m/>
    <m/>
  </r>
  <r>
    <s v="ORD-00461"/>
    <x v="269"/>
    <s v="CUST-0123"/>
    <s v="PROD-005"/>
    <s v="R014"/>
    <n v="5"/>
    <n v="300"/>
    <n v="11.8"/>
    <n v="1323"/>
    <s v="Completed"/>
    <s v="Chennai"/>
    <s v="Electronics"/>
    <m/>
    <s v="Corporate"/>
    <n v="44"/>
    <m/>
    <m/>
    <m/>
    <m/>
  </r>
  <r>
    <s v="ORD-00462"/>
    <x v="270"/>
    <s v="CUST-0019"/>
    <s v="PROD-011"/>
    <s v="R020"/>
    <n v="3"/>
    <n v="3450"/>
    <n v="14.2"/>
    <n v="8880.2999999999993"/>
    <s v="Completed"/>
    <s v="Chennai"/>
    <s v="Apparel"/>
    <m/>
    <s v="Retail"/>
    <n v="22"/>
    <s v="South"/>
    <s v="Sep-24"/>
    <n v="1748"/>
    <n v="0.49333333333333335"/>
  </r>
  <r>
    <s v="ORD-00463"/>
    <x v="271"/>
    <s v="CUST-0171"/>
    <s v="PROD-015"/>
    <s v="R028"/>
    <n v="2"/>
    <n v="2720"/>
    <n v="14.6"/>
    <n v="4645.76"/>
    <s v="Cancelled"/>
    <s v="Chennai"/>
    <s v="Apparel"/>
    <m/>
    <s v="Corporate"/>
    <n v="30"/>
    <s v="East"/>
    <s v="Jul-24"/>
    <n v="1962"/>
    <n v="0.2786764705882353"/>
  </r>
  <r>
    <s v="ORD-00464"/>
    <x v="17"/>
    <s v="CUST-0166"/>
    <s v="PROD-008"/>
    <s v="R017"/>
    <n v="7"/>
    <n v="2660"/>
    <n v="27.4"/>
    <n v="13518.12"/>
    <s v="Cancelled"/>
    <s v="Hyderabad"/>
    <s v="Electronics"/>
    <m/>
    <s v="Retail"/>
    <n v="31"/>
    <s v="West"/>
    <s v="Aug-24"/>
    <n v="1259"/>
    <n v="0.52669172932330832"/>
  </r>
  <r>
    <s v="ORD-00465"/>
    <x v="272"/>
    <s v="CUST-0151"/>
    <s v="PROD-051"/>
    <s v="R005"/>
    <n v="8"/>
    <n v="3450"/>
    <n v="20.399999999999999"/>
    <n v="21969.599999999999"/>
    <s v="Completed"/>
    <s v="Mumbai"/>
    <s v="Sports"/>
    <m/>
    <s v="Retail"/>
    <n v="53"/>
    <m/>
    <m/>
    <m/>
    <m/>
  </r>
  <r>
    <s v="ORD-00466"/>
    <x v="273"/>
    <s v="CUST-0027"/>
    <s v="PROD-052"/>
    <s v="R016"/>
    <n v="2"/>
    <n v="5410"/>
    <n v="7.2"/>
    <n v="10040.959999999999"/>
    <s v="Completed"/>
    <s v="Hyderabad"/>
    <s v="Sports"/>
    <m/>
    <s v="Corporate"/>
    <n v="52"/>
    <m/>
    <m/>
    <m/>
    <m/>
  </r>
  <r>
    <s v="ORD-00467"/>
    <x v="162"/>
    <s v="CUST-0171"/>
    <s v="PROD-004"/>
    <s v="R013"/>
    <n v="3"/>
    <n v="3870"/>
    <n v="4.2"/>
    <n v="11122.38"/>
    <s v="Completed"/>
    <s v="Chennai"/>
    <s v="Electronics"/>
    <m/>
    <s v="Corporate"/>
    <n v="30"/>
    <s v="South"/>
    <s v="May-24"/>
    <n v="1559"/>
    <n v="0.59715762273901807"/>
  </r>
  <r>
    <s v="ORD-00468"/>
    <x v="60"/>
    <s v="CUST-0094"/>
    <s v="PROD-024"/>
    <s v="R005"/>
    <n v="10"/>
    <n v="2270"/>
    <n v="17.3"/>
    <n v="18772.900000000001"/>
    <s v="Completed"/>
    <s v="Pune"/>
    <s v="Grocery"/>
    <m/>
    <s v="SMB"/>
    <n v="60"/>
    <m/>
    <m/>
    <m/>
    <m/>
  </r>
  <r>
    <s v="ORD-00469"/>
    <x v="18"/>
    <s v="CUST-0223"/>
    <s v="PROD-001"/>
    <s v="R025"/>
    <n v="1"/>
    <n v="5330"/>
    <n v="24.2"/>
    <n v="4040.14"/>
    <s v="Completed"/>
    <s v="Bengaluru"/>
    <s v="Electronics"/>
    <m/>
    <s v="Retail"/>
    <n v="46"/>
    <m/>
    <m/>
    <m/>
    <m/>
  </r>
  <r>
    <s v="ORD-00470"/>
    <x v="85"/>
    <s v="CUST-0281"/>
    <s v="PROD-043"/>
    <s v="R015"/>
    <n v="2"/>
    <n v="3350"/>
    <n v="23.4"/>
    <n v="5132.2"/>
    <s v="Completed"/>
    <s v="Bengaluru"/>
    <s v="Beauty"/>
    <m/>
    <s v="Corporate"/>
    <n v="57"/>
    <m/>
    <m/>
    <m/>
    <m/>
  </r>
  <r>
    <s v="ORD-00471"/>
    <x v="274"/>
    <s v="CUST-0148"/>
    <s v="PROD-045"/>
    <s v="R006"/>
    <n v="7"/>
    <n v="3020"/>
    <n v="23.7"/>
    <n v="16129.82"/>
    <s v="Completed"/>
    <s v="Chennai"/>
    <s v="Beauty"/>
    <m/>
    <s v="Retail"/>
    <n v="32"/>
    <s v="South"/>
    <s v="May-24"/>
    <n v="1626"/>
    <n v="0.46158940397350995"/>
  </r>
  <r>
    <s v="ORD-00472"/>
    <x v="275"/>
    <s v="CUST-0010"/>
    <s v="PROD-012"/>
    <s v="R020"/>
    <n v="7"/>
    <n v="3160"/>
    <n v="22.8"/>
    <n v="17076.64"/>
    <s v="Completed"/>
    <s v="Mumbai"/>
    <s v="Apparel"/>
    <m/>
    <s v="SMB"/>
    <n v="61"/>
    <m/>
    <m/>
    <m/>
    <m/>
  </r>
  <r>
    <s v="ORD-00473"/>
    <x v="110"/>
    <s v="CUST-0254"/>
    <s v="PROD-053"/>
    <s v="R020"/>
    <n v="2"/>
    <n v="470"/>
    <n v="28.8"/>
    <n v="669.28"/>
    <s v="Cancelled"/>
    <s v="Bengaluru"/>
    <s v="Sports"/>
    <m/>
    <s v="Retail"/>
    <n v="35"/>
    <s v="East"/>
    <s v="Aug-24"/>
    <n v="302"/>
    <n v="0.35744680851063831"/>
  </r>
  <r>
    <s v="ORD-00474"/>
    <x v="253"/>
    <s v="CUST-0126"/>
    <s v="PROD-036"/>
    <s v="R021"/>
    <n v="2"/>
    <n v="3250"/>
    <n v="24.7"/>
    <n v="4894.5"/>
    <s v="Completed"/>
    <s v="Mumbai"/>
    <s v="Home"/>
    <m/>
    <s v="Retail"/>
    <n v="37"/>
    <s v="East"/>
    <s v="Sep-24"/>
    <n v="1556"/>
    <n v="0.52123076923076928"/>
  </r>
  <r>
    <s v="ORD-00475"/>
    <x v="252"/>
    <s v="CUST-0018"/>
    <s v="PROD-054"/>
    <s v="R023"/>
    <n v="2"/>
    <n v="1010"/>
    <n v="5.2"/>
    <n v="1914.96"/>
    <s v="Cancelled"/>
    <s v="Pune"/>
    <s v="Sports"/>
    <m/>
    <s v="SMB"/>
    <n v="54"/>
    <m/>
    <m/>
    <m/>
    <m/>
  </r>
  <r>
    <s v="ORD-00476"/>
    <x v="276"/>
    <s v="CUST-0089"/>
    <s v="PROD-005"/>
    <s v="R001"/>
    <n v="9"/>
    <n v="300"/>
    <n v="7.9"/>
    <n v="2486.6999999999998"/>
    <s v="Completed"/>
    <s v="Mumbai"/>
    <s v="Electronics"/>
    <m/>
    <s v="SMB"/>
    <n v="43"/>
    <m/>
    <m/>
    <m/>
    <m/>
  </r>
  <r>
    <s v="ORD-00477"/>
    <x v="277"/>
    <s v="CUST-0157"/>
    <s v="PROD-048"/>
    <s v="R006"/>
    <n v="10"/>
    <n v="5100"/>
    <n v="26.3"/>
    <n v="37587"/>
    <s v="Pending"/>
    <s v="Pune"/>
    <s v="Beauty"/>
    <m/>
    <s v="Corporate"/>
    <n v="52"/>
    <m/>
    <m/>
    <m/>
    <m/>
  </r>
  <r>
    <s v="ORD-00478"/>
    <x v="278"/>
    <s v="CUST-0201"/>
    <s v="PROD-043"/>
    <s v="R028"/>
    <n v="1"/>
    <n v="3350"/>
    <n v="8.5"/>
    <n v="3065.25"/>
    <s v="Cancelled"/>
    <s v="Hyderabad"/>
    <s v="Beauty"/>
    <m/>
    <s v="Retail"/>
    <n v="31"/>
    <s v="North"/>
    <s v="Jun-24"/>
    <n v="1728"/>
    <n v="0.48417910447761192"/>
  </r>
  <r>
    <s v="ORD-01195"/>
    <x v="211"/>
    <s v="CUST-0091"/>
    <s v="PROD-036"/>
    <s v="R022"/>
    <n v="2"/>
    <n v="3250"/>
    <n v="25.7"/>
    <n v="4829.5"/>
    <s v="Refunded"/>
    <s v="Delhi"/>
    <s v="Home"/>
    <m/>
    <s v="Retail"/>
    <n v="55"/>
    <m/>
    <m/>
    <m/>
    <m/>
  </r>
  <r>
    <s v="ORD-00480"/>
    <x v="279"/>
    <s v="CUST-0052"/>
    <s v="PROD-028"/>
    <s v="R008"/>
    <n v="10"/>
    <n v="3660"/>
    <n v="12"/>
    <n v="32208"/>
    <s v="Completed"/>
    <s v="Pune"/>
    <s v="Grocery"/>
    <m/>
    <s v="Retail"/>
    <n v="38"/>
    <s v="East"/>
    <s v="Sep-24"/>
    <n v="2214"/>
    <n v="0.39508196721311473"/>
  </r>
  <r>
    <s v="ORD-00481"/>
    <x v="126"/>
    <s v="CUST-0069"/>
    <s v="PROD-058"/>
    <s v="R009"/>
    <n v="1"/>
    <n v="2400"/>
    <n v="24.5"/>
    <n v="1812"/>
    <s v="Completed"/>
    <s v="Chennai"/>
    <s v="Sports"/>
    <m/>
    <s v="Retail"/>
    <n v="51"/>
    <m/>
    <m/>
    <m/>
    <m/>
  </r>
  <r>
    <s v="ORD-00482"/>
    <x v="263"/>
    <s v="CUST-0294"/>
    <s v="PROD-035"/>
    <s v="R010"/>
    <n v="1"/>
    <n v="1090"/>
    <n v="18.399999999999999"/>
    <n v="889.44"/>
    <s v="Completed"/>
    <s v="Delhi"/>
    <s v="Home"/>
    <m/>
    <s v="Corporate"/>
    <n v="31"/>
    <s v="South"/>
    <s v="Aug-24"/>
    <n v="464"/>
    <n v="0.57431192660550456"/>
  </r>
  <r>
    <s v="ORD-00483"/>
    <x v="280"/>
    <s v="CUST-0019"/>
    <s v="PROD-059"/>
    <s v="R015"/>
    <n v="6"/>
    <n v="3780"/>
    <n v="15.9"/>
    <n v="19073.88"/>
    <s v="Completed"/>
    <s v="Chennai"/>
    <s v="Sports"/>
    <m/>
    <s v="Retail"/>
    <n v="22"/>
    <s v="South"/>
    <s v="Jul-24"/>
    <n v="1860"/>
    <n v="0.50793650793650791"/>
  </r>
  <r>
    <s v="ORD-00484"/>
    <x v="259"/>
    <s v="CUST-0087"/>
    <s v="PROD-043"/>
    <s v="R019"/>
    <n v="3"/>
    <n v="3350"/>
    <n v="18.8"/>
    <n v="8160.6"/>
    <s v="Refunded"/>
    <s v="Pune"/>
    <s v="Beauty"/>
    <m/>
    <s v="SMB"/>
    <n v="49"/>
    <m/>
    <m/>
    <m/>
    <m/>
  </r>
  <r>
    <s v="ORD-00485"/>
    <x v="46"/>
    <s v="CUST-0281"/>
    <s v="PROD-040"/>
    <s v="R030"/>
    <n v="3"/>
    <n v="1080"/>
    <n v="3.4"/>
    <n v="3129.84"/>
    <s v="Completed"/>
    <s v="Bengaluru"/>
    <s v="Home"/>
    <m/>
    <s v="Corporate"/>
    <n v="57"/>
    <m/>
    <m/>
    <m/>
    <m/>
  </r>
  <r>
    <s v="ORD-00486"/>
    <x v="281"/>
    <s v="CUST-0248"/>
    <s v="PROD-026"/>
    <s v="R022"/>
    <n v="6"/>
    <n v="4070"/>
    <n v="27.7"/>
    <n v="17655.66"/>
    <s v="Pending"/>
    <s v="Chennai"/>
    <s v="Grocery"/>
    <m/>
    <s v="SMB"/>
    <n v="57"/>
    <m/>
    <m/>
    <m/>
    <m/>
  </r>
  <r>
    <s v="ORD-00487"/>
    <x v="282"/>
    <s v="CUST-0019"/>
    <s v="PROD-041"/>
    <s v="R026"/>
    <n v="5"/>
    <n v="1540"/>
    <n v="24.9"/>
    <n v="5782.7"/>
    <s v="Completed"/>
    <s v="Chennai"/>
    <s v="Beauty"/>
    <m/>
    <s v="Retail"/>
    <n v="22"/>
    <s v="East"/>
    <s v="Aug-24"/>
    <n v="647"/>
    <n v="0.57987012987012987"/>
  </r>
  <r>
    <s v="ORD-00488"/>
    <x v="255"/>
    <s v="CUST-0092"/>
    <s v="PROD-021"/>
    <s v="R028"/>
    <n v="6"/>
    <n v="2760"/>
    <n v="29.9"/>
    <n v="11608.56"/>
    <s v="Completed"/>
    <s v="Bengaluru"/>
    <s v="Grocery"/>
    <m/>
    <s v="SMB"/>
    <n v="28"/>
    <s v="West"/>
    <s v="Aug-24"/>
    <n v="1435"/>
    <n v="0.48007246376811596"/>
  </r>
  <r>
    <s v="ORD-00489"/>
    <x v="167"/>
    <s v="CUST-0195"/>
    <s v="PROD-006"/>
    <s v="R022"/>
    <n v="8"/>
    <n v="3970"/>
    <n v="23.7"/>
    <n v="24232.880000000001"/>
    <s v="Completed"/>
    <s v="Bengaluru"/>
    <s v="Electronics"/>
    <m/>
    <s v="Retail"/>
    <n v="28"/>
    <s v="West"/>
    <s v="Jul-24"/>
    <n v="2865"/>
    <n v="0.27833753148614609"/>
  </r>
  <r>
    <s v="ORD-00490"/>
    <x v="254"/>
    <s v="CUST-0126"/>
    <s v="PROD-011"/>
    <s v="R021"/>
    <n v="1"/>
    <n v="3450"/>
    <n v="7.4"/>
    <n v="3194.7"/>
    <s v="Completed"/>
    <s v="Mumbai"/>
    <s v="Apparel"/>
    <m/>
    <s v="Retail"/>
    <n v="37"/>
    <s v="East"/>
    <s v="Dec-24"/>
    <n v="1748"/>
    <n v="0.49333333333333335"/>
  </r>
  <r>
    <s v="ORD-00491"/>
    <x v="231"/>
    <s v="CUST-0274"/>
    <s v="PROD-018"/>
    <s v="R005"/>
    <n v="3"/>
    <n v="3560"/>
    <n v="15.2"/>
    <n v="9056.64"/>
    <s v="Completed"/>
    <s v="Bengaluru"/>
    <s v="Apparel"/>
    <m/>
    <s v="Corporate"/>
    <n v="36"/>
    <s v="East"/>
    <s v="Sep-24"/>
    <n v="2629"/>
    <n v="0.26151685393258428"/>
  </r>
  <r>
    <s v="ORD-00492"/>
    <x v="49"/>
    <s v="CUST-0059"/>
    <s v="PROD-003"/>
    <s v="R030"/>
    <n v="4"/>
    <n v="3570"/>
    <n v="18.899999999999999"/>
    <n v="11581.08"/>
    <s v="Completed"/>
    <s v="Pune"/>
    <s v="Electronics"/>
    <m/>
    <s v="Corporate"/>
    <n v="29"/>
    <s v="North"/>
    <s v="Jan-24"/>
    <n v="1665"/>
    <n v="0.53361344537815125"/>
  </r>
  <r>
    <s v="ORD-00493"/>
    <x v="22"/>
    <s v="CUST-0264"/>
    <s v="PROD-057"/>
    <s v="R025"/>
    <n v="9"/>
    <n v="960"/>
    <n v="14"/>
    <n v="7430.4"/>
    <s v="Refunded"/>
    <s v="Pune"/>
    <s v="Sports"/>
    <m/>
    <s v="Retail"/>
    <n v="59"/>
    <m/>
    <m/>
    <m/>
    <m/>
  </r>
  <r>
    <s v="ORD-00494"/>
    <x v="5"/>
    <s v="CUST-0157"/>
    <s v="PROD-047"/>
    <s v="R016"/>
    <n v="9"/>
    <n v="3450"/>
    <n v="6"/>
    <n v="29187"/>
    <s v="Cancelled"/>
    <s v="Pune"/>
    <s v="Beauty"/>
    <m/>
    <s v="Corporate"/>
    <n v="52"/>
    <m/>
    <m/>
    <m/>
    <m/>
  </r>
  <r>
    <s v="ORD-00495"/>
    <x v="136"/>
    <s v="CUST-0028"/>
    <s v="PROD-043"/>
    <s v="R012"/>
    <n v="7"/>
    <n v="3350"/>
    <n v="14"/>
    <n v="20167"/>
    <s v="Cancelled"/>
    <s v="Bengaluru"/>
    <s v="Beauty"/>
    <m/>
    <s v="Retail"/>
    <n v="59"/>
    <m/>
    <m/>
    <m/>
    <m/>
  </r>
  <r>
    <s v="ORD-00496"/>
    <x v="129"/>
    <s v="CUST-0033"/>
    <s v="PROD-049"/>
    <s v="R004"/>
    <n v="6"/>
    <n v="960"/>
    <n v="10.1"/>
    <n v="5178.24"/>
    <s v="Completed"/>
    <s v="Delhi"/>
    <s v="Beauty"/>
    <m/>
    <s v="Retail"/>
    <n v="35"/>
    <s v="South"/>
    <s v="Jun-24"/>
    <n v="675"/>
    <n v="0.296875"/>
  </r>
  <r>
    <s v="ORD-00497"/>
    <x v="186"/>
    <s v="CUST-0280"/>
    <s v="PROD-005"/>
    <s v="R016"/>
    <n v="7"/>
    <n v="300"/>
    <n v="21.9"/>
    <n v="1640.1"/>
    <s v="Completed"/>
    <s v="Delhi"/>
    <s v="Electronics"/>
    <m/>
    <s v="SMB"/>
    <n v="27"/>
    <s v="North"/>
    <s v="Jan-24"/>
    <n v="128"/>
    <n v="0.57333333333333336"/>
  </r>
  <r>
    <s v="ORD-00498"/>
    <x v="44"/>
    <s v="CUST-0232"/>
    <s v="PROD-023"/>
    <s v="R019"/>
    <n v="2"/>
    <n v="2380"/>
    <n v="6.8"/>
    <n v="4436.32"/>
    <s v="Completed"/>
    <s v="Hyderabad"/>
    <s v="Grocery"/>
    <m/>
    <s v="Retail"/>
    <n v="38"/>
    <s v="South"/>
    <s v="Feb-24"/>
    <n v="1182"/>
    <n v="0.50336134453781511"/>
  </r>
  <r>
    <s v="ORD-00499"/>
    <x v="129"/>
    <s v="CUST-0270"/>
    <s v="PROD-057"/>
    <s v="R024"/>
    <n v="5"/>
    <n v="960"/>
    <n v="15"/>
    <n v="4080"/>
    <s v="Cancelled"/>
    <s v="Bengaluru"/>
    <s v="Sports"/>
    <m/>
    <s v="Retail"/>
    <n v="29"/>
    <s v="East"/>
    <s v="Apr-24"/>
    <n v="705"/>
    <n v="0.265625"/>
  </r>
  <r>
    <s v="ORD-00500"/>
    <x v="251"/>
    <s v="CUST-0203"/>
    <s v="PROD-059"/>
    <s v="R012"/>
    <n v="10"/>
    <n v="3780"/>
    <n v="24.1"/>
    <n v="28690.2"/>
    <s v="Refunded"/>
    <s v="Chennai"/>
    <s v="Sports"/>
    <m/>
    <s v="SMB"/>
    <n v="55"/>
    <m/>
    <m/>
    <m/>
    <m/>
  </r>
  <r>
    <s v="ORD-00501"/>
    <x v="36"/>
    <s v="CUST-0069"/>
    <s v="PROD-041"/>
    <s v="R020"/>
    <n v="4"/>
    <n v="1540"/>
    <n v="14.2"/>
    <n v="5285.28"/>
    <s v="Cancelled"/>
    <s v="Chennai"/>
    <s v="Beauty"/>
    <m/>
    <s v="Retail"/>
    <n v="51"/>
    <m/>
    <m/>
    <m/>
    <m/>
  </r>
  <r>
    <s v="ORD-00502"/>
    <x v="113"/>
    <s v="CUST-0037"/>
    <s v="PROD-017"/>
    <s v="R005"/>
    <n v="10"/>
    <n v="2510"/>
    <n v="20.8"/>
    <n v="19879.2"/>
    <s v="Completed"/>
    <s v="Bengaluru"/>
    <s v="Apparel"/>
    <m/>
    <s v="Retail"/>
    <n v="52"/>
    <m/>
    <m/>
    <m/>
    <m/>
  </r>
  <r>
    <s v="ORD-00503"/>
    <x v="163"/>
    <s v="CUST-0149"/>
    <s v="PROD-025"/>
    <s v="R014"/>
    <n v="9"/>
    <n v="4060"/>
    <n v="27.1"/>
    <n v="26637.66"/>
    <s v="Completed"/>
    <s v="Hyderabad"/>
    <s v="Grocery"/>
    <m/>
    <s v="Retail"/>
    <n v="44"/>
    <m/>
    <m/>
    <m/>
    <m/>
  </r>
  <r>
    <s v="ORD-00504"/>
    <x v="198"/>
    <s v="CUST-0131"/>
    <s v="PROD-058"/>
    <s v="R025"/>
    <n v="4"/>
    <n v="2400"/>
    <n v="19.100000000000001"/>
    <n v="7766.4"/>
    <s v="Completed"/>
    <s v="Delhi"/>
    <s v="Sports"/>
    <m/>
    <s v="SMB"/>
    <n v="28"/>
    <s v="South"/>
    <s v="Mar-24"/>
    <n v="974"/>
    <n v="0.59416666666666662"/>
  </r>
  <r>
    <s v="ORD-00505"/>
    <x v="283"/>
    <s v="CUST-0071"/>
    <s v="PROD-046"/>
    <s v="R022"/>
    <n v="8"/>
    <n v="4880"/>
    <n v="9.1999999999999993"/>
    <n v="35448.32"/>
    <s v="Cancelled"/>
    <s v="Delhi"/>
    <s v="Beauty"/>
    <m/>
    <s v="Corporate"/>
    <n v="46"/>
    <m/>
    <m/>
    <m/>
    <m/>
  </r>
  <r>
    <s v="ORD-00506"/>
    <x v="261"/>
    <s v="CUST-0249"/>
    <s v="PROD-048"/>
    <s v="R019"/>
    <n v="9"/>
    <n v="5100"/>
    <n v="11.1"/>
    <n v="40805.1"/>
    <s v="Cancelled"/>
    <s v="Mumbai"/>
    <s v="Beauty"/>
    <m/>
    <s v="Retail"/>
    <n v="44"/>
    <m/>
    <m/>
    <m/>
    <m/>
  </r>
  <r>
    <s v="ORD-00507"/>
    <x v="161"/>
    <s v="CUST-0181"/>
    <s v="PROD-005"/>
    <s v="R028"/>
    <n v="4"/>
    <n v="300"/>
    <n v="16.7"/>
    <n v="999.6"/>
    <s v="Completed"/>
    <s v="Delhi"/>
    <s v="Electronics"/>
    <m/>
    <s v="SMB"/>
    <n v="38"/>
    <s v="East"/>
    <s v="Oct-24"/>
    <n v="128"/>
    <n v="0.57333333333333336"/>
  </r>
  <r>
    <s v="ORD-00508"/>
    <x v="68"/>
    <s v="CUST-0085"/>
    <s v="PROD-019"/>
    <s v="R014"/>
    <n v="6"/>
    <n v="2480"/>
    <n v="3.3"/>
    <n v="14388.96"/>
    <s v="Completed"/>
    <s v="Chennai"/>
    <s v="Apparel"/>
    <m/>
    <s v="Retail"/>
    <n v="26"/>
    <s v="West"/>
    <s v="Dec-24"/>
    <n v="1173"/>
    <n v="0.52701612903225803"/>
  </r>
  <r>
    <s v="ORD-00509"/>
    <x v="28"/>
    <s v="CUST-0180"/>
    <s v="PROD-044"/>
    <s v="R023"/>
    <n v="10"/>
    <n v="1650"/>
    <n v="22.9"/>
    <n v="12721.5"/>
    <s v="Refunded"/>
    <s v="Chennai"/>
    <s v="Beauty"/>
    <m/>
    <s v="Retail"/>
    <n v="36"/>
    <s v="South"/>
    <s v="May-24"/>
    <n v="1222"/>
    <n v="0.2593939393939394"/>
  </r>
  <r>
    <s v="ORD-00510"/>
    <x v="158"/>
    <s v="CUST-0103"/>
    <s v="PROD-029"/>
    <s v="R012"/>
    <n v="3"/>
    <n v="2210"/>
    <n v="11.1"/>
    <n v="5894.07"/>
    <s v="Completed"/>
    <s v="Hyderabad"/>
    <s v="Grocery"/>
    <m/>
    <s v="Corporate"/>
    <n v="54"/>
    <m/>
    <m/>
    <m/>
    <m/>
  </r>
  <r>
    <s v="ORD-00511"/>
    <x v="5"/>
    <s v="CUST-0174"/>
    <s v="PROD-019"/>
    <s v="R005"/>
    <n v="10"/>
    <n v="2480"/>
    <n v="13"/>
    <n v="21576"/>
    <s v="Pending"/>
    <s v="Pune"/>
    <s v="Apparel"/>
    <m/>
    <s v="Retail"/>
    <n v="54"/>
    <m/>
    <m/>
    <m/>
    <m/>
  </r>
  <r>
    <s v="ORD-00512"/>
    <x v="98"/>
    <s v="CUST-0071"/>
    <s v="PROD-001"/>
    <s v="R023"/>
    <n v="10"/>
    <n v="5330"/>
    <n v="0.7"/>
    <n v="52926.9"/>
    <s v="Completed"/>
    <s v="Delhi"/>
    <s v="Electronics"/>
    <m/>
    <s v="Corporate"/>
    <n v="46"/>
    <m/>
    <m/>
    <m/>
    <m/>
  </r>
  <r>
    <s v="ORD-00513"/>
    <x v="109"/>
    <s v="CUST-0266"/>
    <s v="PROD-026"/>
    <s v="R012"/>
    <n v="9"/>
    <n v="4070"/>
    <n v="15.6"/>
    <n v="30915.72"/>
    <s v="Completed"/>
    <s v="Pune"/>
    <s v="Grocery"/>
    <m/>
    <s v="Retail"/>
    <n v="65"/>
    <m/>
    <m/>
    <m/>
    <m/>
  </r>
  <r>
    <s v="ORD-00514"/>
    <x v="284"/>
    <s v="CUST-0148"/>
    <s v="PROD-015"/>
    <s v="R001"/>
    <n v="5"/>
    <n v="2720"/>
    <n v="10.3"/>
    <n v="12199.2"/>
    <s v="Cancelled"/>
    <s v="Chennai"/>
    <s v="Apparel"/>
    <m/>
    <s v="Retail"/>
    <n v="32"/>
    <s v="South"/>
    <s v="Nov-24"/>
    <n v="1962"/>
    <n v="0.2786764705882353"/>
  </r>
  <r>
    <s v="ORD-00515"/>
    <x v="285"/>
    <s v="CUST-0030"/>
    <s v="PROD-055"/>
    <s v="R029"/>
    <n v="6"/>
    <n v="2860"/>
    <n v="28.9"/>
    <n v="12200.76"/>
    <s v="Completed"/>
    <s v="Bengaluru"/>
    <s v="Sports"/>
    <m/>
    <s v="Corporate"/>
    <n v="43"/>
    <m/>
    <m/>
    <m/>
    <m/>
  </r>
  <r>
    <s v="ORD-00516"/>
    <x v="165"/>
    <s v="CUST-0128"/>
    <s v="PROD-014"/>
    <s v="R012"/>
    <n v="5"/>
    <n v="3620"/>
    <n v="18.2"/>
    <n v="14805.8"/>
    <s v="Completed"/>
    <s v="Hyderabad"/>
    <s v="Apparel"/>
    <m/>
    <s v="Retail"/>
    <n v="35"/>
    <s v="West"/>
    <s v="Jul-24"/>
    <n v="2509"/>
    <n v="0.3069060773480663"/>
  </r>
  <r>
    <s v="ORD-00517"/>
    <x v="39"/>
    <s v="CUST-0056"/>
    <s v="PROD-044"/>
    <s v="R018"/>
    <n v="3"/>
    <n v="1650"/>
    <n v="10.7"/>
    <n v="4420.3500000000004"/>
    <s v="Completed"/>
    <s v="Bengaluru"/>
    <s v="Beauty"/>
    <m/>
    <s v="SMB"/>
    <n v="46"/>
    <m/>
    <m/>
    <m/>
    <m/>
  </r>
  <r>
    <s v="ORD-00518"/>
    <x v="185"/>
    <s v="CUST-0178"/>
    <s v="PROD-060"/>
    <s v="R029"/>
    <n v="8"/>
    <n v="190"/>
    <n v="18"/>
    <n v="1246.4000000000001"/>
    <s v="Pending"/>
    <s v="Hyderabad"/>
    <s v="Sports"/>
    <m/>
    <s v="Retail"/>
    <n v="25"/>
    <s v="East"/>
    <s v="May-24"/>
    <n v="147"/>
    <n v="0.22631578947368422"/>
  </r>
  <r>
    <s v="ORD-00519"/>
    <x v="68"/>
    <s v="CUST-0237"/>
    <s v="PROD-042"/>
    <s v="R029"/>
    <n v="7"/>
    <n v="2290"/>
    <n v="12.5"/>
    <n v="14026.25"/>
    <s v="Completed"/>
    <s v="Mumbai"/>
    <s v="Beauty"/>
    <m/>
    <s v="Retail"/>
    <n v="49"/>
    <m/>
    <m/>
    <m/>
    <m/>
  </r>
  <r>
    <s v="ORD-00520"/>
    <x v="198"/>
    <s v="CUST-0143"/>
    <s v="PROD-001"/>
    <s v="R017"/>
    <n v="2"/>
    <n v="5330"/>
    <n v="26.5"/>
    <n v="7835.1"/>
    <s v="Completed"/>
    <s v="Chennai"/>
    <s v="Electronics"/>
    <m/>
    <s v="SMB"/>
    <n v="52"/>
    <m/>
    <m/>
    <m/>
    <m/>
  </r>
  <r>
    <s v="ORD-00521"/>
    <x v="233"/>
    <s v="CUST-0233"/>
    <s v="PROD-001"/>
    <s v="R015"/>
    <n v="4"/>
    <n v="5330"/>
    <n v="25.6"/>
    <n v="15862.08"/>
    <s v="Completed"/>
    <s v="Mumbai"/>
    <s v="Electronics"/>
    <m/>
    <s v="SMB"/>
    <n v="65"/>
    <m/>
    <m/>
    <m/>
    <m/>
  </r>
  <r>
    <s v="ORD-00522"/>
    <x v="286"/>
    <s v="CUST-0161"/>
    <s v="PROD-034"/>
    <s v="R006"/>
    <n v="4"/>
    <n v="5080"/>
    <n v="28.6"/>
    <n v="14508.48"/>
    <s v="Completed"/>
    <s v="Chennai"/>
    <s v="Home"/>
    <m/>
    <s v="Retail"/>
    <n v="38"/>
    <s v="South"/>
    <s v="Jul-24"/>
    <n v="2459"/>
    <n v="0.51594488188976373"/>
  </r>
  <r>
    <s v="ORD-00523"/>
    <x v="40"/>
    <s v="CUST-0087"/>
    <s v="PROD-032"/>
    <s v="R002"/>
    <n v="4"/>
    <n v="370"/>
    <n v="12.6"/>
    <n v="1293.52"/>
    <s v="Pending"/>
    <s v="Pune"/>
    <s v="Home"/>
    <m/>
    <s v="SMB"/>
    <n v="49"/>
    <m/>
    <m/>
    <m/>
    <m/>
  </r>
  <r>
    <s v="ORD-00524"/>
    <x v="230"/>
    <s v="CUST-0235"/>
    <s v="PROD-053"/>
    <s v="R013"/>
    <n v="9"/>
    <n v="470"/>
    <n v="3.6"/>
    <n v="4077.72"/>
    <s v="Completed"/>
    <s v="Chennai"/>
    <s v="Sports"/>
    <m/>
    <s v="Retail"/>
    <n v="31"/>
    <s v="North"/>
    <s v="Apr-24"/>
    <n v="302"/>
    <n v="0.35744680851063831"/>
  </r>
  <r>
    <s v="ORD-00525"/>
    <x v="287"/>
    <s v="CUST-0183"/>
    <s v="PROD-052"/>
    <s v="R027"/>
    <n v="4"/>
    <n v="5410"/>
    <n v="11.3"/>
    <n v="19194.68"/>
    <s v="Refunded"/>
    <s v="Mumbai"/>
    <s v="Sports"/>
    <m/>
    <s v="SMB"/>
    <n v="27"/>
    <s v="South"/>
    <s v="Sep-24"/>
    <n v="2265"/>
    <n v="0.58133086876155271"/>
  </r>
  <r>
    <s v="ORD-00526"/>
    <x v="288"/>
    <s v="CUST-0199"/>
    <s v="PROD-014"/>
    <s v="R007"/>
    <n v="10"/>
    <n v="3620"/>
    <n v="2.5"/>
    <n v="35295"/>
    <s v="Completed"/>
    <s v="Hyderabad"/>
    <s v="Apparel"/>
    <m/>
    <s v="SMB"/>
    <n v="31"/>
    <s v="West"/>
    <s v="Dec-24"/>
    <n v="2509"/>
    <n v="0.3069060773480663"/>
  </r>
  <r>
    <s v="ORD-00527"/>
    <x v="82"/>
    <s v="CUST-0034"/>
    <s v="PROD-021"/>
    <s v="R030"/>
    <n v="1"/>
    <n v="2760"/>
    <n v="22.2"/>
    <n v="2147.2800000000002"/>
    <s v="Completed"/>
    <s v="Delhi"/>
    <s v="Grocery"/>
    <m/>
    <s v="Retail"/>
    <n v="47"/>
    <m/>
    <m/>
    <m/>
    <m/>
  </r>
  <r>
    <s v="ORD-00528"/>
    <x v="0"/>
    <s v="CUST-0206"/>
    <s v="PROD-047"/>
    <s v="R001"/>
    <n v="7"/>
    <n v="3450"/>
    <n v="8.6"/>
    <n v="22073.1"/>
    <s v="Completed"/>
    <s v="Mumbai"/>
    <s v="Beauty"/>
    <m/>
    <s v="Retail"/>
    <n v="40"/>
    <s v="West"/>
    <s v="Mar-24"/>
    <n v="2420"/>
    <n v="0.29855072463768118"/>
  </r>
  <r>
    <s v="ORD-00529"/>
    <x v="196"/>
    <s v="CUST-0246"/>
    <s v="PROD-028"/>
    <s v="R028"/>
    <n v="6"/>
    <n v="3660"/>
    <n v="10.6"/>
    <n v="19632.240000000002"/>
    <s v="Completed"/>
    <s v="Delhi"/>
    <s v="Grocery"/>
    <m/>
    <s v="SMB"/>
    <n v="29"/>
    <s v="North"/>
    <s v="Sep-24"/>
    <n v="2214"/>
    <n v="0.39508196721311473"/>
  </r>
  <r>
    <s v="ORD-00530"/>
    <x v="147"/>
    <s v="CUST-0075"/>
    <s v="PROD-003"/>
    <s v="R028"/>
    <n v="10"/>
    <n v="3570"/>
    <n v="1.2"/>
    <n v="35271.599999999999"/>
    <s v="Completed"/>
    <s v="Mumbai"/>
    <s v="Electronics"/>
    <m/>
    <s v="Corporate"/>
    <n v="55"/>
    <m/>
    <m/>
    <m/>
    <m/>
  </r>
  <r>
    <s v="ORD-00531"/>
    <x v="176"/>
    <s v="CUST-0298"/>
    <s v="PROD-035"/>
    <s v="R009"/>
    <n v="8"/>
    <n v="1090"/>
    <n v="13.2"/>
    <n v="7568.96"/>
    <s v="Refunded"/>
    <s v="Delhi"/>
    <s v="Home"/>
    <m/>
    <s v="Retail"/>
    <n v="44"/>
    <m/>
    <m/>
    <m/>
    <m/>
  </r>
  <r>
    <s v="ORD-00532"/>
    <x v="153"/>
    <s v="CUST-0165"/>
    <s v="PROD-014"/>
    <s v="R018"/>
    <n v="8"/>
    <n v="3620"/>
    <n v="29"/>
    <n v="20561.599999999999"/>
    <s v="Completed"/>
    <s v="Pune"/>
    <s v="Apparel"/>
    <m/>
    <s v="Retail"/>
    <n v="29"/>
    <s v="South"/>
    <s v="Sep-24"/>
    <n v="2509"/>
    <n v="0.3069060773480663"/>
  </r>
  <r>
    <s v="ORD-00533"/>
    <x v="289"/>
    <s v="CUST-0033"/>
    <s v="PROD-046"/>
    <s v="R010"/>
    <n v="7"/>
    <n v="4880"/>
    <n v="25.6"/>
    <n v="25415.040000000001"/>
    <s v="Refunded"/>
    <s v="Delhi"/>
    <s v="Beauty"/>
    <m/>
    <s v="Retail"/>
    <n v="35"/>
    <s v="East"/>
    <s v="Jan-24"/>
    <n v="2768"/>
    <n v="0.43278688524590164"/>
  </r>
  <r>
    <s v="ORD-00534"/>
    <x v="224"/>
    <s v="CUST-0205"/>
    <s v="PROD-053"/>
    <s v="R028"/>
    <n v="2"/>
    <n v="470"/>
    <n v="9.6999999999999993"/>
    <n v="848.82"/>
    <s v="Completed"/>
    <s v="Pune"/>
    <s v="Sports"/>
    <m/>
    <s v="Corporate"/>
    <n v="29"/>
    <s v="South"/>
    <s v="Sep-24"/>
    <n v="302"/>
    <n v="0.35744680851063831"/>
  </r>
  <r>
    <s v="ORD-00535"/>
    <x v="149"/>
    <s v="CUST-0037"/>
    <s v="PROD-042"/>
    <s v="R022"/>
    <n v="6"/>
    <n v="2290"/>
    <n v="8.9"/>
    <n v="12517.14"/>
    <s v="Completed"/>
    <s v="Bengaluru"/>
    <s v="Beauty"/>
    <m/>
    <s v="Retail"/>
    <n v="52"/>
    <m/>
    <m/>
    <m/>
    <m/>
  </r>
  <r>
    <s v="ORD-00536"/>
    <x v="290"/>
    <s v="CUST-0228"/>
    <s v="PROD-023"/>
    <s v="R010"/>
    <n v="3"/>
    <n v="2380"/>
    <n v="2.7"/>
    <n v="6947.22"/>
    <s v="Pending"/>
    <s v="Pune"/>
    <s v="Grocery"/>
    <m/>
    <s v="Corporate"/>
    <n v="37"/>
    <s v="East"/>
    <s v="Sep-24"/>
    <n v="1182"/>
    <n v="0.50336134453781511"/>
  </r>
  <r>
    <s v="ORD-00537"/>
    <x v="270"/>
    <s v="CUST-0279"/>
    <s v="PROD-023"/>
    <s v="R008"/>
    <n v="9"/>
    <n v="2380"/>
    <n v="20.100000000000001"/>
    <n v="17114.580000000002"/>
    <s v="Completed"/>
    <s v="Mumbai"/>
    <s v="Grocery"/>
    <m/>
    <s v="Retail"/>
    <n v="56"/>
    <m/>
    <m/>
    <m/>
    <m/>
  </r>
  <r>
    <s v="ORD-00538"/>
    <x v="291"/>
    <s v="CUST-0271"/>
    <s v="PROD-052"/>
    <s v="R014"/>
    <n v="8"/>
    <n v="5410"/>
    <n v="11.2"/>
    <n v="38432.639999999999"/>
    <s v="Completed"/>
    <s v="Bengaluru"/>
    <s v="Sports"/>
    <m/>
    <s v="Corporate"/>
    <n v="41"/>
    <m/>
    <m/>
    <m/>
    <m/>
  </r>
  <r>
    <s v="ORD-00539"/>
    <x v="150"/>
    <s v="CUST-0127"/>
    <s v="PROD-007"/>
    <s v="R008"/>
    <n v="1"/>
    <n v="1430"/>
    <n v="19.600000000000001"/>
    <n v="1149.72"/>
    <s v="Completed"/>
    <s v="Bengaluru"/>
    <s v="Electronics"/>
    <m/>
    <s v="SMB"/>
    <n v="36"/>
    <s v="South"/>
    <s v="Jan-24"/>
    <n v="861"/>
    <n v="0.39790209790209791"/>
  </r>
  <r>
    <s v="ORD-00540"/>
    <x v="292"/>
    <s v="CUST-0007"/>
    <s v="PROD-058"/>
    <s v="R027"/>
    <n v="9"/>
    <n v="2400"/>
    <n v="5"/>
    <n v="20520"/>
    <s v="Completed"/>
    <s v="Bengaluru"/>
    <s v="Sports"/>
    <m/>
    <s v="Retail"/>
    <n v="47"/>
    <m/>
    <m/>
    <m/>
    <m/>
  </r>
  <r>
    <s v="ORD-00541"/>
    <x v="293"/>
    <s v="CUST-0005"/>
    <s v="PROD-027"/>
    <s v="R001"/>
    <n v="1"/>
    <n v="3780"/>
    <n v="4.7"/>
    <n v="3602.34"/>
    <s v="Completed"/>
    <s v="Chennai"/>
    <s v="Grocery"/>
    <m/>
    <s v="Corporate"/>
    <n v="52"/>
    <m/>
    <m/>
    <m/>
    <m/>
  </r>
  <r>
    <s v="ORD-00542"/>
    <x v="95"/>
    <s v="CUST-0072"/>
    <s v="PROD-016"/>
    <s v="R019"/>
    <n v="2"/>
    <n v="620"/>
    <n v="8"/>
    <n v="1140.8"/>
    <s v="Completed"/>
    <s v="Mumbai"/>
    <s v="Apparel"/>
    <m/>
    <s v="Corporate"/>
    <n v="62"/>
    <m/>
    <m/>
    <m/>
    <m/>
  </r>
  <r>
    <s v="ORD-00543"/>
    <x v="229"/>
    <s v="CUST-0167"/>
    <s v="PROD-060"/>
    <s v="R007"/>
    <n v="3"/>
    <n v="190"/>
    <n v="17.899999999999999"/>
    <n v="467.97"/>
    <s v="Pending"/>
    <s v="Delhi"/>
    <s v="Sports"/>
    <m/>
    <s v="Retail"/>
    <n v="43"/>
    <m/>
    <m/>
    <m/>
    <m/>
  </r>
  <r>
    <s v="ORD-00544"/>
    <x v="10"/>
    <s v="CUST-0244"/>
    <s v="PROD-014"/>
    <s v="R019"/>
    <n v="2"/>
    <n v="3620"/>
    <n v="15.5"/>
    <n v="6117.8"/>
    <s v="Completed"/>
    <s v="Bengaluru"/>
    <s v="Apparel"/>
    <m/>
    <s v="Retail"/>
    <n v="61"/>
    <m/>
    <m/>
    <m/>
    <m/>
  </r>
  <r>
    <s v="ORD-00545"/>
    <x v="294"/>
    <s v="CUST-0086"/>
    <s v="PROD-055"/>
    <s v="R018"/>
    <n v="5"/>
    <n v="2860"/>
    <n v="26.8"/>
    <n v="10467.6"/>
    <s v="Completed"/>
    <s v="Hyderabad"/>
    <s v="Sports"/>
    <m/>
    <s v="Corporate"/>
    <n v="56"/>
    <m/>
    <m/>
    <m/>
    <m/>
  </r>
  <r>
    <s v="ORD-00546"/>
    <x v="198"/>
    <s v="CUST-0091"/>
    <s v="PROD-058"/>
    <s v="R023"/>
    <n v="6"/>
    <n v="2400"/>
    <n v="19.2"/>
    <n v="11635.2"/>
    <s v="Cancelled"/>
    <s v="Delhi"/>
    <s v="Sports"/>
    <m/>
    <s v="Retail"/>
    <n v="55"/>
    <m/>
    <m/>
    <m/>
    <m/>
  </r>
  <r>
    <s v="ORD-00547"/>
    <x v="14"/>
    <s v="CUST-0169"/>
    <s v="PROD-034"/>
    <s v="R009"/>
    <n v="7"/>
    <n v="5080"/>
    <n v="16.600000000000001"/>
    <n v="29657.040000000001"/>
    <s v="Pending"/>
    <s v="Bengaluru"/>
    <s v="Home"/>
    <m/>
    <s v="SMB"/>
    <n v="42"/>
    <m/>
    <m/>
    <m/>
    <m/>
  </r>
  <r>
    <s v="ORD-00548"/>
    <x v="295"/>
    <s v="CUST-0273"/>
    <s v="PROD-034"/>
    <s v="R015"/>
    <n v="10"/>
    <n v="5080"/>
    <n v="24.6"/>
    <n v="38303.199999999997"/>
    <s v="Completed"/>
    <s v="Hyderabad"/>
    <s v="Home"/>
    <m/>
    <s v="Corporate"/>
    <n v="32"/>
    <s v="South"/>
    <s v="Sep-24"/>
    <n v="2459"/>
    <n v="0.51594488188976373"/>
  </r>
  <r>
    <s v="ORD-00549"/>
    <x v="147"/>
    <s v="CUST-0233"/>
    <s v="PROD-057"/>
    <s v="R008"/>
    <n v="7"/>
    <n v="960"/>
    <n v="16.600000000000001"/>
    <n v="5604.48"/>
    <s v="Completed"/>
    <s v="Mumbai"/>
    <s v="Sports"/>
    <m/>
    <s v="SMB"/>
    <n v="65"/>
    <m/>
    <m/>
    <m/>
    <m/>
  </r>
  <r>
    <s v="ORD-00550"/>
    <x v="296"/>
    <s v="CUST-0175"/>
    <s v="PROD-028"/>
    <s v="R028"/>
    <n v="3"/>
    <n v="3660"/>
    <n v="3.2"/>
    <n v="10628.64"/>
    <s v="Pending"/>
    <s v="Delhi"/>
    <s v="Grocery"/>
    <m/>
    <s v="Corporate"/>
    <n v="55"/>
    <m/>
    <m/>
    <m/>
    <m/>
  </r>
  <r>
    <s v="ORD-00551"/>
    <x v="160"/>
    <s v="CUST-0241"/>
    <s v="PROD-010"/>
    <s v="R009"/>
    <n v="6"/>
    <n v="2640"/>
    <n v="26.3"/>
    <n v="11674.08"/>
    <s v="Completed"/>
    <s v="Pune"/>
    <s v="Electronics"/>
    <m/>
    <s v="Corporate"/>
    <n v="47"/>
    <m/>
    <m/>
    <m/>
    <m/>
  </r>
  <r>
    <s v="ORD-00552"/>
    <x v="254"/>
    <s v="CUST-0024"/>
    <s v="PROD-009"/>
    <s v="R009"/>
    <n v="6"/>
    <n v="1220"/>
    <n v="22.3"/>
    <n v="5687.64"/>
    <s v="Cancelled"/>
    <s v="Chennai"/>
    <s v="Electronics"/>
    <m/>
    <s v="SMB"/>
    <n v="64"/>
    <m/>
    <m/>
    <m/>
    <m/>
  </r>
  <r>
    <s v="ORD-00553"/>
    <x v="138"/>
    <s v="CUST-0252"/>
    <s v="PROD-005"/>
    <s v="R013"/>
    <n v="1"/>
    <n v="300"/>
    <n v="0.7"/>
    <n v="297.89999999999998"/>
    <s v="Completed"/>
    <s v="Bengaluru"/>
    <s v="Electronics"/>
    <m/>
    <s v="Retail"/>
    <n v="27"/>
    <s v="South"/>
    <s v="Sep-24"/>
    <n v="128"/>
    <n v="0.57333333333333336"/>
  </r>
  <r>
    <s v="ORD-00554"/>
    <x v="43"/>
    <s v="CUST-0245"/>
    <s v="PROD-054"/>
    <s v="R020"/>
    <n v="2"/>
    <n v="1010"/>
    <n v="28"/>
    <n v="1454.4"/>
    <s v="Completed"/>
    <s v="Hyderabad"/>
    <s v="Sports"/>
    <m/>
    <s v="Retail"/>
    <n v="65"/>
    <m/>
    <m/>
    <m/>
    <m/>
  </r>
  <r>
    <s v="ORD-00555"/>
    <x v="192"/>
    <s v="CUST-0046"/>
    <s v="PROD-002"/>
    <s v="R011"/>
    <n v="5"/>
    <n v="2600"/>
    <n v="0.8"/>
    <n v="12896"/>
    <s v="Cancelled"/>
    <s v="Delhi"/>
    <s v="Electronics"/>
    <m/>
    <s v="SMB"/>
    <n v="45"/>
    <m/>
    <m/>
    <m/>
    <m/>
  </r>
  <r>
    <s v="ORD-00556"/>
    <x v="186"/>
    <s v="CUST-0050"/>
    <s v="PROD-056"/>
    <s v="R026"/>
    <n v="3"/>
    <n v="6940"/>
    <n v="10.7"/>
    <n v="18592.259999999998"/>
    <s v="Cancelled"/>
    <s v="Mumbai"/>
    <s v="Sports"/>
    <m/>
    <s v="Retail"/>
    <n v="37"/>
    <s v="South"/>
    <s v="Apr-24"/>
    <n v="2827"/>
    <n v="0.5926512968299712"/>
  </r>
  <r>
    <s v="ORD-00557"/>
    <x v="297"/>
    <s v="CUST-0227"/>
    <s v="PROD-032"/>
    <s v="R011"/>
    <n v="1"/>
    <n v="370"/>
    <n v="10.3"/>
    <n v="331.89"/>
    <s v="Refunded"/>
    <s v="Bengaluru"/>
    <s v="Home"/>
    <m/>
    <s v="SMB"/>
    <n v="44"/>
    <m/>
    <m/>
    <m/>
    <m/>
  </r>
  <r>
    <s v="ORD-00558"/>
    <x v="298"/>
    <s v="CUST-0218"/>
    <s v="PROD-027"/>
    <s v="R029"/>
    <n v="2"/>
    <n v="3780"/>
    <n v="29.4"/>
    <n v="5337.36"/>
    <s v="Completed"/>
    <s v="Mumbai"/>
    <s v="Grocery"/>
    <m/>
    <s v="Retail"/>
    <n v="39"/>
    <s v="South"/>
    <s v="Oct-24"/>
    <n v="2436"/>
    <n v="0.35555555555555557"/>
  </r>
  <r>
    <s v="ORD-00559"/>
    <x v="39"/>
    <s v="CUST-0087"/>
    <s v="PROD-030"/>
    <s v="R022"/>
    <n v="5"/>
    <n v="970"/>
    <n v="14.6"/>
    <n v="4141.8999999999996"/>
    <s v="Completed"/>
    <s v="Pune"/>
    <s v="Grocery"/>
    <m/>
    <s v="SMB"/>
    <n v="49"/>
    <m/>
    <m/>
    <m/>
    <m/>
  </r>
  <r>
    <s v="ORD-00560"/>
    <x v="117"/>
    <s v="CUST-0209"/>
    <s v="PROD-022"/>
    <s v="R002"/>
    <n v="3"/>
    <n v="2270"/>
    <n v="6.5"/>
    <n v="6367.35"/>
    <s v="Completed"/>
    <s v="Pune"/>
    <s v="Grocery"/>
    <m/>
    <s v="Retail"/>
    <n v="31"/>
    <s v="East"/>
    <s v="May-24"/>
    <n v="1412"/>
    <n v="0.37797356828193834"/>
  </r>
  <r>
    <s v="ORD-00561"/>
    <x v="299"/>
    <s v="CUST-0212"/>
    <s v="PROD-041"/>
    <s v="R029"/>
    <n v="10"/>
    <n v="1540"/>
    <n v="16.5"/>
    <n v="12859"/>
    <s v="Completed"/>
    <s v="Chennai"/>
    <s v="Beauty"/>
    <m/>
    <s v="SMB"/>
    <n v="46"/>
    <m/>
    <m/>
    <m/>
    <m/>
  </r>
  <r>
    <s v="ORD-00562"/>
    <x v="51"/>
    <s v="CUST-0180"/>
    <s v="PROD-021"/>
    <s v="R017"/>
    <n v="4"/>
    <n v="2760"/>
    <n v="19.8"/>
    <n v="8854.08"/>
    <s v="Completed"/>
    <s v="Chennai"/>
    <s v="Grocery"/>
    <m/>
    <s v="Retail"/>
    <n v="36"/>
    <s v="West"/>
    <s v="Jun-24"/>
    <n v="1435"/>
    <n v="0.48007246376811596"/>
  </r>
  <r>
    <s v="ORD-00563"/>
    <x v="10"/>
    <s v="CUST-0025"/>
    <s v="PROD-024"/>
    <s v="R030"/>
    <n v="3"/>
    <n v="2270"/>
    <n v="29.5"/>
    <n v="4801.05"/>
    <s v="Refunded"/>
    <s v="Bengaluru"/>
    <s v="Grocery"/>
    <m/>
    <s v="Retail"/>
    <n v="23"/>
    <s v="East"/>
    <s v="Dec-24"/>
    <n v="1203"/>
    <n v="0.47004405286343615"/>
  </r>
  <r>
    <s v="ORD-00564"/>
    <x v="196"/>
    <s v="CUST-0271"/>
    <s v="PROD-045"/>
    <s v="R015"/>
    <n v="8"/>
    <n v="3020"/>
    <n v="1.2"/>
    <n v="23870.080000000002"/>
    <s v="Completed"/>
    <s v="Bengaluru"/>
    <s v="Beauty"/>
    <m/>
    <s v="Corporate"/>
    <n v="41"/>
    <m/>
    <m/>
    <m/>
    <m/>
  </r>
  <r>
    <s v="ORD-00565"/>
    <x v="156"/>
    <s v="CUST-0026"/>
    <s v="PROD-023"/>
    <s v="R018"/>
    <n v="6"/>
    <n v="2380"/>
    <n v="20.399999999999999"/>
    <n v="11366.88"/>
    <s v="Completed"/>
    <s v="Pune"/>
    <s v="Grocery"/>
    <m/>
    <s v="Retail"/>
    <n v="62"/>
    <m/>
    <m/>
    <m/>
    <m/>
  </r>
  <r>
    <s v="ORD-00566"/>
    <x v="19"/>
    <s v="CUST-0058"/>
    <s v="PROD-056"/>
    <s v="R028"/>
    <n v="1"/>
    <n v="6940"/>
    <n v="15"/>
    <n v="5899"/>
    <s v="Cancelled"/>
    <s v="Bengaluru"/>
    <s v="Sports"/>
    <m/>
    <s v="SMB"/>
    <n v="49"/>
    <m/>
    <m/>
    <m/>
    <m/>
  </r>
  <r>
    <s v="ORD-00567"/>
    <x v="16"/>
    <s v="CUST-0033"/>
    <s v="PROD-008"/>
    <s v="R010"/>
    <n v="1"/>
    <n v="2660"/>
    <n v="11.6"/>
    <n v="2351.44"/>
    <s v="Completed"/>
    <s v="Delhi"/>
    <s v="Electronics"/>
    <m/>
    <s v="Retail"/>
    <n v="35"/>
    <s v="West"/>
    <s v="Jun-24"/>
    <n v="1259"/>
    <n v="0.52669172932330832"/>
  </r>
  <r>
    <s v="ORD-00568"/>
    <x v="289"/>
    <s v="CUST-0057"/>
    <s v="PROD-030"/>
    <s v="R013"/>
    <n v="4"/>
    <n v="970"/>
    <n v="11.6"/>
    <n v="3429.92"/>
    <s v="Completed"/>
    <s v="Pune"/>
    <s v="Grocery"/>
    <m/>
    <s v="Retail"/>
    <n v="35"/>
    <s v="South"/>
    <s v="Dec-24"/>
    <n v="434"/>
    <n v="0.5525773195876289"/>
  </r>
  <r>
    <s v="ORD-00569"/>
    <x v="215"/>
    <s v="CUST-0231"/>
    <s v="PROD-022"/>
    <s v="R002"/>
    <n v="7"/>
    <n v="2270"/>
    <n v="27.9"/>
    <n v="11456.69"/>
    <s v="Completed"/>
    <s v="Chennai"/>
    <s v="Grocery"/>
    <m/>
    <s v="Retail"/>
    <n v="61"/>
    <m/>
    <m/>
    <m/>
    <m/>
  </r>
  <r>
    <s v="ORD-00570"/>
    <x v="300"/>
    <s v="CUST-0031"/>
    <s v="PROD-054"/>
    <s v="R016"/>
    <n v="8"/>
    <n v="1010"/>
    <n v="13.7"/>
    <n v="6973.04"/>
    <s v="Cancelled"/>
    <s v="Hyderabad"/>
    <s v="Sports"/>
    <m/>
    <s v="Retail"/>
    <n v="53"/>
    <m/>
    <m/>
    <m/>
    <m/>
  </r>
  <r>
    <s v="ORD-00571"/>
    <x v="259"/>
    <s v="CUST-0228"/>
    <s v="PROD-023"/>
    <s v="R001"/>
    <n v="8"/>
    <n v="2380"/>
    <n v="15.3"/>
    <n v="16126.88"/>
    <s v="Cancelled"/>
    <s v="Pune"/>
    <s v="Grocery"/>
    <m/>
    <s v="Corporate"/>
    <n v="37"/>
    <s v="South"/>
    <s v="Jan-24"/>
    <n v="1182"/>
    <n v="0.50336134453781511"/>
  </r>
  <r>
    <s v="ORD-00572"/>
    <x v="142"/>
    <s v="CUST-0127"/>
    <s v="PROD-053"/>
    <s v="R018"/>
    <n v="10"/>
    <n v="470"/>
    <n v="2.1"/>
    <n v="4601.3"/>
    <s v="Completed"/>
    <s v="Bengaluru"/>
    <s v="Sports"/>
    <m/>
    <s v="SMB"/>
    <n v="36"/>
    <s v="North"/>
    <s v="Feb-24"/>
    <n v="302"/>
    <n v="0.35744680851063831"/>
  </r>
  <r>
    <s v="ORD-00573"/>
    <x v="178"/>
    <s v="CUST-0117"/>
    <s v="PROD-048"/>
    <s v="R025"/>
    <n v="5"/>
    <n v="5100"/>
    <n v="9.6999999999999993"/>
    <n v="23026.5"/>
    <s v="Completed"/>
    <s v="Delhi"/>
    <s v="Beauty"/>
    <m/>
    <s v="SMB"/>
    <n v="34"/>
    <s v="East"/>
    <s v="Dec-24"/>
    <n v="2237"/>
    <n v="0.56137254901960787"/>
  </r>
  <r>
    <s v="ORD-00574"/>
    <x v="73"/>
    <s v="CUST-0159"/>
    <s v="PROD-049"/>
    <s v="R026"/>
    <n v="9"/>
    <n v="960"/>
    <n v="17.7"/>
    <n v="7110.72"/>
    <s v="Completed"/>
    <s v="Hyderabad"/>
    <s v="Beauty"/>
    <m/>
    <s v="Retail"/>
    <n v="32"/>
    <s v="West"/>
    <s v="Jul-24"/>
    <n v="675"/>
    <n v="0.296875"/>
  </r>
  <r>
    <s v="ORD-00575"/>
    <x v="35"/>
    <s v="CUST-0064"/>
    <s v="PROD-026"/>
    <s v="R007"/>
    <n v="2"/>
    <n v="4070"/>
    <n v="2.1"/>
    <n v="7969.06"/>
    <s v="Completed"/>
    <s v="Hyderabad"/>
    <s v="Grocery"/>
    <m/>
    <s v="SMB"/>
    <n v="40"/>
    <s v="West"/>
    <s v="Apr-24"/>
    <n v="2027"/>
    <n v="0.50196560196560192"/>
  </r>
  <r>
    <s v="ORD-00576"/>
    <x v="243"/>
    <s v="CUST-0272"/>
    <s v="PROD-031"/>
    <s v="R021"/>
    <n v="5"/>
    <n v="3730"/>
    <n v="16.5"/>
    <n v="15572.75"/>
    <s v="Completed"/>
    <s v="Mumbai"/>
    <s v="Home"/>
    <m/>
    <s v="SMB"/>
    <n v="47"/>
    <m/>
    <m/>
    <m/>
    <m/>
  </r>
  <r>
    <s v="ORD-00577"/>
    <x v="55"/>
    <s v="CUST-0071"/>
    <s v="PROD-055"/>
    <s v="R022"/>
    <n v="1"/>
    <n v="2860"/>
    <n v="10.4"/>
    <n v="2562.56"/>
    <s v="Cancelled"/>
    <s v="Delhi"/>
    <s v="Sports"/>
    <m/>
    <s v="Corporate"/>
    <n v="46"/>
    <m/>
    <m/>
    <m/>
    <m/>
  </r>
  <r>
    <s v="ORD-00578"/>
    <x v="11"/>
    <s v="CUST-0045"/>
    <s v="PROD-046"/>
    <s v="R018"/>
    <n v="4"/>
    <n v="4880"/>
    <n v="27.5"/>
    <n v="14152"/>
    <s v="Pending"/>
    <s v="Chennai"/>
    <s v="Beauty"/>
    <m/>
    <s v="SMB"/>
    <n v="39"/>
    <s v="East"/>
    <s v="Oct-24"/>
    <n v="2768"/>
    <n v="0.43278688524590164"/>
  </r>
  <r>
    <s v="ORD-00579"/>
    <x v="19"/>
    <s v="CUST-0148"/>
    <s v="PROD-022"/>
    <s v="R022"/>
    <n v="3"/>
    <n v="2270"/>
    <n v="6.7"/>
    <n v="6353.73"/>
    <s v="Completed"/>
    <s v="Chennai"/>
    <s v="Grocery"/>
    <m/>
    <s v="Retail"/>
    <n v="32"/>
    <s v="East"/>
    <s v="Aug-24"/>
    <n v="1412"/>
    <n v="0.37797356828193834"/>
  </r>
  <r>
    <s v="ORD-00580"/>
    <x v="55"/>
    <s v="CUST-0097"/>
    <s v="PROD-025"/>
    <s v="R007"/>
    <n v="10"/>
    <n v="4060"/>
    <n v="3.6"/>
    <n v="39138.400000000001"/>
    <s v="Pending"/>
    <s v="Mumbai"/>
    <s v="Grocery"/>
    <m/>
    <s v="Retail"/>
    <n v="65"/>
    <m/>
    <m/>
    <m/>
    <m/>
  </r>
  <r>
    <s v="ORD-00581"/>
    <x v="301"/>
    <s v="CUST-0151"/>
    <s v="PROD-010"/>
    <s v="R004"/>
    <n v="8"/>
    <n v="2640"/>
    <n v="28.8"/>
    <n v="15037.44"/>
    <s v="Completed"/>
    <s v="Mumbai"/>
    <s v="Electronics"/>
    <m/>
    <s v="Retail"/>
    <n v="53"/>
    <m/>
    <m/>
    <m/>
    <m/>
  </r>
  <r>
    <s v="ORD-00582"/>
    <x v="302"/>
    <s v="CUST-0048"/>
    <s v="PROD-031"/>
    <s v="R012"/>
    <n v="6"/>
    <n v="3730"/>
    <n v="21.9"/>
    <n v="17478.78"/>
    <s v="Completed"/>
    <s v="Delhi"/>
    <s v="Home"/>
    <m/>
    <s v="Retail"/>
    <n v="59"/>
    <m/>
    <m/>
    <m/>
    <m/>
  </r>
  <r>
    <s v="ORD-00583"/>
    <x v="68"/>
    <s v="CUST-0048"/>
    <s v="PROD-001"/>
    <s v="R006"/>
    <n v="9"/>
    <n v="5330"/>
    <n v="29.4"/>
    <n v="33866.82"/>
    <s v="Cancelled"/>
    <s v="Delhi"/>
    <s v="Electronics"/>
    <m/>
    <s v="Retail"/>
    <n v="59"/>
    <m/>
    <m/>
    <m/>
    <m/>
  </r>
  <r>
    <s v="ORD-00584"/>
    <x v="94"/>
    <s v="CUST-0156"/>
    <s v="PROD-011"/>
    <s v="R027"/>
    <n v="1"/>
    <n v="3450"/>
    <n v="23.3"/>
    <n v="2646.15"/>
    <s v="Completed"/>
    <s v="Mumbai"/>
    <s v="Apparel"/>
    <m/>
    <s v="Retail"/>
    <n v="33"/>
    <s v="North"/>
    <s v="May-24"/>
    <n v="1748"/>
    <n v="0.49333333333333335"/>
  </r>
  <r>
    <s v="ORD-00585"/>
    <x v="227"/>
    <s v="CUST-0022"/>
    <s v="PROD-050"/>
    <s v="R017"/>
    <n v="3"/>
    <n v="6080"/>
    <n v="14.5"/>
    <n v="15595.2"/>
    <s v="Completed"/>
    <s v="Bengaluru"/>
    <s v="Beauty"/>
    <m/>
    <s v="Corporate"/>
    <n v="55"/>
    <m/>
    <m/>
    <m/>
    <m/>
  </r>
  <r>
    <s v="ORD-00586"/>
    <x v="303"/>
    <s v="CUST-0193"/>
    <s v="PROD-031"/>
    <s v="R002"/>
    <n v="4"/>
    <n v="3730"/>
    <n v="3.4"/>
    <n v="14412.72"/>
    <s v="Cancelled"/>
    <s v="Bengaluru"/>
    <s v="Home"/>
    <m/>
    <s v="Retail"/>
    <n v="42"/>
    <m/>
    <m/>
    <m/>
    <m/>
  </r>
  <r>
    <s v="ORD-00587"/>
    <x v="304"/>
    <s v="CUST-0189"/>
    <s v="PROD-008"/>
    <s v="R022"/>
    <n v="10"/>
    <n v="2660"/>
    <n v="2.1"/>
    <n v="26041.4"/>
    <s v="Completed"/>
    <s v="Chennai"/>
    <s v="Electronics"/>
    <m/>
    <s v="Retail"/>
    <n v="41"/>
    <m/>
    <m/>
    <m/>
    <m/>
  </r>
  <r>
    <s v="ORD-00588"/>
    <x v="41"/>
    <s v="CUST-0101"/>
    <s v="PROD-029"/>
    <s v="R021"/>
    <n v="7"/>
    <n v="2210"/>
    <n v="17.100000000000001"/>
    <n v="12824.63"/>
    <s v="Completed"/>
    <s v="Hyderabad"/>
    <s v="Grocery"/>
    <m/>
    <s v="SMB"/>
    <n v="40"/>
    <s v="East"/>
    <s v="Jul-24"/>
    <n v="1010"/>
    <n v="0.54298642533936647"/>
  </r>
  <r>
    <s v="ORD-00589"/>
    <x v="84"/>
    <s v="CUST-0006"/>
    <s v="PROD-059"/>
    <s v="R013"/>
    <n v="6"/>
    <n v="3780"/>
    <n v="12.7"/>
    <n v="19799.64"/>
    <s v="Completed"/>
    <s v="Pune"/>
    <s v="Sports"/>
    <m/>
    <s v="SMB"/>
    <n v="44"/>
    <m/>
    <m/>
    <m/>
    <m/>
  </r>
  <r>
    <s v="ORD-00590"/>
    <x v="249"/>
    <s v="CUST-0235"/>
    <s v="PROD-038"/>
    <s v="R029"/>
    <n v="4"/>
    <n v="5490"/>
    <n v="26.9"/>
    <n v="16052.76"/>
    <s v="Completed"/>
    <s v="Chennai"/>
    <s v="Home"/>
    <m/>
    <s v="Retail"/>
    <n v="31"/>
    <s v="South"/>
    <s v="Nov-24"/>
    <n v="2549"/>
    <n v="0.53570127504553733"/>
  </r>
  <r>
    <s v="ORD-00591"/>
    <x v="116"/>
    <s v="CUST-0045"/>
    <s v="PROD-008"/>
    <s v="R013"/>
    <n v="9"/>
    <n v="2660"/>
    <n v="21.9"/>
    <n v="18697.14"/>
    <s v="Completed"/>
    <s v="Chennai"/>
    <s v="Electronics"/>
    <m/>
    <s v="SMB"/>
    <n v="39"/>
    <s v="West"/>
    <s v="Apr-24"/>
    <n v="1259"/>
    <n v="0.52669172932330832"/>
  </r>
  <r>
    <s v="ORD-00592"/>
    <x v="160"/>
    <s v="CUST-0028"/>
    <s v="PROD-056"/>
    <s v="R028"/>
    <n v="9"/>
    <n v="6940"/>
    <n v="8"/>
    <n v="57463.199999999997"/>
    <s v="Completed"/>
    <s v="Bengaluru"/>
    <s v="Sports"/>
    <m/>
    <s v="Retail"/>
    <n v="59"/>
    <m/>
    <m/>
    <m/>
    <m/>
  </r>
  <r>
    <s v="ORD-00593"/>
    <x v="73"/>
    <s v="CUST-0241"/>
    <s v="PROD-004"/>
    <s v="R006"/>
    <n v="1"/>
    <n v="3870"/>
    <n v="22.6"/>
    <n v="2995.38"/>
    <s v="Completed"/>
    <s v="Pune"/>
    <s v="Electronics"/>
    <m/>
    <s v="Corporate"/>
    <n v="47"/>
    <m/>
    <m/>
    <m/>
    <m/>
  </r>
  <r>
    <s v="ORD-00594"/>
    <x v="240"/>
    <s v="CUST-0278"/>
    <s v="PROD-035"/>
    <s v="R008"/>
    <n v="3"/>
    <n v="1090"/>
    <n v="28.1"/>
    <n v="2351.13"/>
    <s v="Completed"/>
    <s v="Hyderabad"/>
    <s v="Home"/>
    <m/>
    <s v="Retail"/>
    <n v="41"/>
    <m/>
    <m/>
    <m/>
    <m/>
  </r>
  <r>
    <s v="ORD-00595"/>
    <x v="111"/>
    <s v="CUST-0009"/>
    <s v="PROD-002"/>
    <s v="R001"/>
    <n v="2"/>
    <n v="2600"/>
    <n v="5.6"/>
    <n v="4908.8"/>
    <s v="Completed"/>
    <s v="Mumbai"/>
    <s v="Electronics"/>
    <m/>
    <s v="Retail"/>
    <n v="61"/>
    <m/>
    <m/>
    <m/>
    <m/>
  </r>
  <r>
    <s v="ORD-00596"/>
    <x v="54"/>
    <s v="CUST-0217"/>
    <s v="PROD-057"/>
    <s v="R020"/>
    <n v="4"/>
    <n v="960"/>
    <n v="21.7"/>
    <n v="3006.72"/>
    <s v="Completed"/>
    <s v="Pune"/>
    <s v="Sports"/>
    <m/>
    <s v="SMB"/>
    <n v="59"/>
    <m/>
    <m/>
    <m/>
    <m/>
  </r>
  <r>
    <s v="ORD-00597"/>
    <x v="80"/>
    <s v="CUST-0289"/>
    <s v="PROD-032"/>
    <s v="R026"/>
    <n v="6"/>
    <n v="370"/>
    <n v="22.5"/>
    <n v="1720.5"/>
    <s v="Completed"/>
    <s v="Mumbai"/>
    <s v="Home"/>
    <m/>
    <s v="Retail"/>
    <n v="54"/>
    <m/>
    <m/>
    <m/>
    <m/>
  </r>
  <r>
    <s v="ORD-00598"/>
    <x v="51"/>
    <s v="CUST-0176"/>
    <s v="PROD-034"/>
    <s v="R006"/>
    <n v="5"/>
    <n v="5080"/>
    <n v="23.8"/>
    <n v="19354.8"/>
    <s v="Completed"/>
    <s v="Bengaluru"/>
    <s v="Home"/>
    <m/>
    <s v="SMB"/>
    <n v="34"/>
    <s v="West"/>
    <s v="Aug-24"/>
    <n v="2459"/>
    <n v="0.51594488188976373"/>
  </r>
  <r>
    <s v="ORD-00599"/>
    <x v="67"/>
    <s v="CUST-0026"/>
    <s v="PROD-041"/>
    <s v="R003"/>
    <n v="5"/>
    <n v="1540"/>
    <n v="6.1"/>
    <n v="7230.3"/>
    <s v="Completed"/>
    <s v="Pune"/>
    <s v="Beauty"/>
    <m/>
    <s v="Retail"/>
    <n v="62"/>
    <m/>
    <m/>
    <m/>
    <m/>
  </r>
  <r>
    <s v="ORD-00600"/>
    <x v="305"/>
    <s v="CUST-0213"/>
    <s v="PROD-024"/>
    <s v="R015"/>
    <n v="7"/>
    <n v="2270"/>
    <n v="0.4"/>
    <n v="15826.44"/>
    <s v="Completed"/>
    <s v="Mumbai"/>
    <s v="Grocery"/>
    <m/>
    <s v="Retail"/>
    <n v="37"/>
    <s v="North"/>
    <s v="Mar-24"/>
    <n v="1203"/>
    <n v="0.47004405286343615"/>
  </r>
  <r>
    <s v="ORD-00601"/>
    <x v="236"/>
    <s v="CUST-0190"/>
    <s v="PROD-057"/>
    <s v="R015"/>
    <n v="2"/>
    <n v="960"/>
    <n v="3.7"/>
    <n v="1848.96"/>
    <s v="Completed"/>
    <s v="Hyderabad"/>
    <s v="Sports"/>
    <m/>
    <s v="Retail"/>
    <n v="52"/>
    <m/>
    <m/>
    <m/>
    <m/>
  </r>
  <r>
    <s v="ORD-00602"/>
    <x v="306"/>
    <s v="CUST-0150"/>
    <s v="PROD-007"/>
    <s v="R027"/>
    <n v="6"/>
    <n v="1430"/>
    <n v="2"/>
    <n v="8408.4"/>
    <s v="Pending"/>
    <s v="Pune"/>
    <s v="Electronics"/>
    <m/>
    <s v="SMB"/>
    <n v="53"/>
    <m/>
    <m/>
    <m/>
    <m/>
  </r>
  <r>
    <s v="ORD-00603"/>
    <x v="276"/>
    <s v="CUST-0129"/>
    <s v="PROD-047"/>
    <s v="R006"/>
    <n v="10"/>
    <n v="3450"/>
    <n v="19.100000000000001"/>
    <n v="27910.5"/>
    <s v="Completed"/>
    <s v="Hyderabad"/>
    <s v="Beauty"/>
    <m/>
    <s v="Retail"/>
    <n v="29"/>
    <s v="West"/>
    <s v="Apr-24"/>
    <n v="2420"/>
    <n v="0.29855072463768118"/>
  </r>
  <r>
    <s v="ORD-00604"/>
    <x v="249"/>
    <s v="CUST-0080"/>
    <s v="PROD-009"/>
    <s v="R026"/>
    <n v="8"/>
    <n v="1220"/>
    <n v="16.899999999999999"/>
    <n v="8110.56"/>
    <s v="Completed"/>
    <s v="Pune"/>
    <s v="Electronics"/>
    <m/>
    <s v="SMB"/>
    <n v="30"/>
    <s v="North"/>
    <s v="Oct-24"/>
    <n v="517"/>
    <n v="0.57622950819672136"/>
  </r>
  <r>
    <s v="ORD-00605"/>
    <x v="96"/>
    <s v="CUST-0034"/>
    <s v="PROD-021"/>
    <s v="R020"/>
    <n v="9"/>
    <n v="2760"/>
    <n v="16.899999999999999"/>
    <n v="20642.04"/>
    <s v="Completed"/>
    <s v="Delhi"/>
    <s v="Grocery"/>
    <m/>
    <s v="Retail"/>
    <n v="47"/>
    <m/>
    <m/>
    <m/>
    <m/>
  </r>
  <r>
    <s v="ORD-00606"/>
    <x v="106"/>
    <s v="CUST-0179"/>
    <s v="PROD-043"/>
    <s v="R017"/>
    <n v="6"/>
    <n v="3350"/>
    <n v="11.8"/>
    <n v="17728.2"/>
    <s v="Pending"/>
    <s v="Mumbai"/>
    <s v="Beauty"/>
    <m/>
    <s v="SMB"/>
    <n v="54"/>
    <m/>
    <m/>
    <m/>
    <m/>
  </r>
  <r>
    <s v="ORD-00607"/>
    <x v="23"/>
    <s v="CUST-0176"/>
    <s v="PROD-048"/>
    <s v="R013"/>
    <n v="6"/>
    <n v="5100"/>
    <n v="13.2"/>
    <n v="26560.799999999999"/>
    <s v="Completed"/>
    <s v="Bengaluru"/>
    <s v="Beauty"/>
    <m/>
    <s v="SMB"/>
    <n v="34"/>
    <s v="East"/>
    <s v="Oct-24"/>
    <n v="2237"/>
    <n v="0.56137254901960787"/>
  </r>
  <r>
    <s v="ORD-00608"/>
    <x v="267"/>
    <s v="CUST-0144"/>
    <s v="PROD-010"/>
    <s v="R027"/>
    <n v="6"/>
    <n v="2640"/>
    <n v="26.2"/>
    <n v="11689.92"/>
    <s v="Completed"/>
    <s v="Chennai"/>
    <s v="Electronics"/>
    <m/>
    <s v="Retail"/>
    <n v="49"/>
    <m/>
    <m/>
    <m/>
    <m/>
  </r>
  <r>
    <s v="ORD-00609"/>
    <x v="111"/>
    <s v="CUST-0218"/>
    <s v="PROD-028"/>
    <s v="R016"/>
    <n v="1"/>
    <n v="3660"/>
    <n v="19.7"/>
    <n v="2938.98"/>
    <s v="Completed"/>
    <s v="Mumbai"/>
    <s v="Grocery"/>
    <m/>
    <s v="Retail"/>
    <n v="39"/>
    <s v="West"/>
    <s v="Jul-24"/>
    <n v="2214"/>
    <n v="0.39508196721311473"/>
  </r>
  <r>
    <s v="ORD-00610"/>
    <x v="290"/>
    <s v="CUST-0249"/>
    <s v="PROD-032"/>
    <s v="R027"/>
    <n v="5"/>
    <n v="370"/>
    <n v="21.7"/>
    <n v="1448.55"/>
    <s v="Completed"/>
    <s v="Mumbai"/>
    <s v="Home"/>
    <m/>
    <s v="Retail"/>
    <n v="44"/>
    <m/>
    <m/>
    <m/>
    <m/>
  </r>
  <r>
    <s v="ORD-00611"/>
    <x v="260"/>
    <s v="CUST-0092"/>
    <s v="PROD-016"/>
    <s v="R025"/>
    <n v="5"/>
    <n v="620"/>
    <n v="10.199999999999999"/>
    <n v="2783.8"/>
    <s v="Completed"/>
    <s v="Bengaluru"/>
    <s v="Apparel"/>
    <m/>
    <s v="SMB"/>
    <n v="28"/>
    <s v="West"/>
    <s v="Jun-24"/>
    <n v="396"/>
    <n v="0.36129032258064514"/>
  </r>
  <r>
    <s v="ORD-00612"/>
    <x v="40"/>
    <s v="CUST-0245"/>
    <s v="PROD-053"/>
    <s v="R018"/>
    <n v="8"/>
    <n v="470"/>
    <n v="2.4"/>
    <n v="3669.76"/>
    <s v="Completed"/>
    <s v="Hyderabad"/>
    <s v="Sports"/>
    <m/>
    <s v="Retail"/>
    <n v="65"/>
    <m/>
    <m/>
    <m/>
    <m/>
  </r>
  <r>
    <s v="ORD-00613"/>
    <x v="294"/>
    <s v="CUST-0134"/>
    <s v="PROD-042"/>
    <s v="R005"/>
    <n v="3"/>
    <n v="2290"/>
    <n v="20.8"/>
    <n v="5441.04"/>
    <s v="Completed"/>
    <s v="Delhi"/>
    <s v="Beauty"/>
    <m/>
    <s v="Retail"/>
    <n v="40"/>
    <s v="East"/>
    <s v="Apr-24"/>
    <n v="1219"/>
    <n v="0.46768558951965067"/>
  </r>
  <r>
    <s v="ORD-00614"/>
    <x v="92"/>
    <s v="CUST-0063"/>
    <s v="PROD-057"/>
    <s v="R024"/>
    <n v="4"/>
    <n v="960"/>
    <n v="28.8"/>
    <n v="2734.08"/>
    <s v="Pending"/>
    <s v="Mumbai"/>
    <s v="Sports"/>
    <m/>
    <s v="SMB"/>
    <n v="53"/>
    <m/>
    <m/>
    <m/>
    <m/>
  </r>
  <r>
    <s v="ORD-00615"/>
    <x v="307"/>
    <s v="CUST-0172"/>
    <s v="PROD-028"/>
    <s v="R010"/>
    <n v="5"/>
    <n v="3660"/>
    <n v="11.9"/>
    <n v="16122.3"/>
    <s v="Pending"/>
    <s v="Pune"/>
    <s v="Grocery"/>
    <m/>
    <s v="Retail"/>
    <n v="65"/>
    <m/>
    <m/>
    <m/>
    <m/>
  </r>
  <r>
    <s v="ORD-00616"/>
    <x v="173"/>
    <s v="CUST-0139"/>
    <s v="PROD-003"/>
    <s v="R019"/>
    <n v="5"/>
    <n v="3570"/>
    <n v="12.4"/>
    <n v="15636.6"/>
    <s v="Completed"/>
    <s v="Hyderabad"/>
    <s v="Electronics"/>
    <m/>
    <s v="SMB"/>
    <n v="65"/>
    <m/>
    <m/>
    <m/>
    <m/>
  </r>
  <r>
    <s v="ORD-00617"/>
    <x v="246"/>
    <s v="CUST-0275"/>
    <s v="PROD-033"/>
    <s v="R017"/>
    <n v="9"/>
    <n v="2030"/>
    <n v="23.4"/>
    <n v="13994.82"/>
    <s v="Completed"/>
    <s v="Mumbai"/>
    <s v="Home"/>
    <m/>
    <s v="Retail"/>
    <n v="36"/>
    <s v="East"/>
    <s v="Jul-24"/>
    <n v="1143"/>
    <n v="0.43694581280788175"/>
  </r>
  <r>
    <s v="ORD-00618"/>
    <x v="60"/>
    <s v="CUST-0006"/>
    <s v="PROD-015"/>
    <s v="R024"/>
    <n v="7"/>
    <n v="2720"/>
    <n v="11.2"/>
    <n v="16907.52"/>
    <s v="Refunded"/>
    <s v="Pune"/>
    <s v="Apparel"/>
    <m/>
    <s v="SMB"/>
    <n v="44"/>
    <m/>
    <m/>
    <m/>
    <m/>
  </r>
  <r>
    <s v="ORD-00619"/>
    <x v="180"/>
    <s v="CUST-0279"/>
    <s v="PROD-003"/>
    <s v="R008"/>
    <n v="2"/>
    <n v="3570"/>
    <n v="6.1"/>
    <n v="6704.46"/>
    <s v="Cancelled"/>
    <s v="Mumbai"/>
    <s v="Electronics"/>
    <m/>
    <s v="Retail"/>
    <n v="56"/>
    <m/>
    <m/>
    <m/>
    <m/>
  </r>
  <r>
    <s v="ORD-00620"/>
    <x v="308"/>
    <s v="CUST-0093"/>
    <s v="PROD-058"/>
    <s v="R001"/>
    <n v="5"/>
    <n v="2400"/>
    <n v="16.100000000000001"/>
    <n v="10068"/>
    <s v="Completed"/>
    <s v="Pune"/>
    <s v="Sports"/>
    <m/>
    <s v="Retail"/>
    <n v="36"/>
    <s v="North"/>
    <s v="Dec-24"/>
    <n v="974"/>
    <n v="0.59416666666666662"/>
  </r>
  <r>
    <s v="ORD-00621"/>
    <x v="95"/>
    <s v="CUST-0063"/>
    <s v="PROD-024"/>
    <s v="R002"/>
    <n v="4"/>
    <n v="2270"/>
    <n v="27.5"/>
    <n v="6583"/>
    <s v="Pending"/>
    <s v="Mumbai"/>
    <s v="Grocery"/>
    <m/>
    <s v="SMB"/>
    <n v="53"/>
    <m/>
    <m/>
    <m/>
    <m/>
  </r>
  <r>
    <s v="ORD-00622"/>
    <x v="89"/>
    <s v="CUST-0071"/>
    <s v="PROD-030"/>
    <s v="R012"/>
    <n v="1"/>
    <n v="970"/>
    <n v="12.7"/>
    <n v="846.81"/>
    <s v="Completed"/>
    <s v="Delhi"/>
    <s v="Grocery"/>
    <m/>
    <s v="Corporate"/>
    <n v="46"/>
    <m/>
    <m/>
    <m/>
    <m/>
  </r>
  <r>
    <s v="ORD-00623"/>
    <x v="246"/>
    <s v="CUST-0119"/>
    <s v="PROD-056"/>
    <s v="R018"/>
    <n v="5"/>
    <n v="6940"/>
    <n v="16.2"/>
    <n v="29078.6"/>
    <s v="Completed"/>
    <s v="Bengaluru"/>
    <s v="Sports"/>
    <m/>
    <s v="SMB"/>
    <n v="43"/>
    <m/>
    <m/>
    <m/>
    <m/>
  </r>
  <r>
    <s v="ORD-00624"/>
    <x v="261"/>
    <s v="CUST-0035"/>
    <s v="PROD-056"/>
    <s v="R009"/>
    <n v="4"/>
    <n v="6940"/>
    <n v="15.1"/>
    <n v="23568.240000000002"/>
    <s v="Completed"/>
    <s v="Hyderabad"/>
    <s v="Sports"/>
    <m/>
    <s v="Retail"/>
    <n v="53"/>
    <m/>
    <m/>
    <m/>
    <m/>
  </r>
  <r>
    <s v="ORD-00625"/>
    <x v="78"/>
    <s v="CUST-0042"/>
    <s v="PROD-054"/>
    <s v="R006"/>
    <n v="1"/>
    <n v="1010"/>
    <n v="1.7"/>
    <n v="992.83"/>
    <s v="Completed"/>
    <s v="Pune"/>
    <s v="Sports"/>
    <m/>
    <s v="Retail"/>
    <n v="25"/>
    <s v="South"/>
    <s v="Oct-24"/>
    <n v="516"/>
    <n v="0.4891089108910891"/>
  </r>
  <r>
    <s v="ORD-00626"/>
    <x v="303"/>
    <s v="CUST-0033"/>
    <s v="PROD-004"/>
    <s v="R007"/>
    <n v="6"/>
    <n v="3870"/>
    <n v="12.2"/>
    <n v="20387.16"/>
    <s v="Completed"/>
    <s v="Delhi"/>
    <s v="Electronics"/>
    <m/>
    <s v="Retail"/>
    <n v="35"/>
    <s v="North"/>
    <s v="Oct-24"/>
    <n v="1559"/>
    <n v="0.59715762273901807"/>
  </r>
  <r>
    <s v="ORD-00627"/>
    <x v="309"/>
    <s v="CUST-0077"/>
    <s v="PROD-048"/>
    <s v="R011"/>
    <n v="9"/>
    <n v="5100"/>
    <n v="26.4"/>
    <n v="33782.400000000001"/>
    <s v="Completed"/>
    <s v="Hyderabad"/>
    <s v="Beauty"/>
    <m/>
    <s v="SMB"/>
    <n v="48"/>
    <m/>
    <m/>
    <m/>
    <m/>
  </r>
  <r>
    <s v="ORD-00628"/>
    <x v="310"/>
    <s v="CUST-0266"/>
    <s v="PROD-012"/>
    <s v="R008"/>
    <n v="2"/>
    <n v="3160"/>
    <n v="13.4"/>
    <n v="5473.12"/>
    <s v="Refunded"/>
    <s v="Pune"/>
    <s v="Apparel"/>
    <m/>
    <s v="Retail"/>
    <n v="65"/>
    <m/>
    <m/>
    <m/>
    <m/>
  </r>
  <r>
    <s v="ORD-00629"/>
    <x v="211"/>
    <s v="CUST-0272"/>
    <s v="PROD-029"/>
    <s v="R011"/>
    <n v="8"/>
    <n v="2210"/>
    <n v="26"/>
    <n v="13083.2"/>
    <s v="Completed"/>
    <s v="Mumbai"/>
    <s v="Grocery"/>
    <m/>
    <s v="SMB"/>
    <n v="47"/>
    <m/>
    <m/>
    <m/>
    <m/>
  </r>
  <r>
    <s v="ORD-00630"/>
    <x v="237"/>
    <s v="CUST-0253"/>
    <s v="PROD-018"/>
    <s v="R026"/>
    <n v="5"/>
    <n v="3560"/>
    <n v="15"/>
    <n v="15130"/>
    <s v="Completed"/>
    <s v="Delhi"/>
    <s v="Apparel"/>
    <m/>
    <s v="SMB"/>
    <n v="53"/>
    <m/>
    <m/>
    <m/>
    <m/>
  </r>
  <r>
    <s v="ORD-00631"/>
    <x v="142"/>
    <s v="CUST-0252"/>
    <s v="PROD-016"/>
    <s v="R010"/>
    <n v="10"/>
    <n v="620"/>
    <n v="15.8"/>
    <n v="5220.3999999999996"/>
    <s v="Refunded"/>
    <s v="Bengaluru"/>
    <s v="Apparel"/>
    <m/>
    <s v="Retail"/>
    <n v="27"/>
    <s v="West"/>
    <s v="Oct-24"/>
    <n v="396"/>
    <n v="0.36129032258064514"/>
  </r>
  <r>
    <s v="ORD-00632"/>
    <x v="276"/>
    <s v="CUST-0097"/>
    <s v="PROD-021"/>
    <s v="R002"/>
    <n v="3"/>
    <n v="2760"/>
    <n v="1.9"/>
    <n v="8122.68"/>
    <s v="Cancelled"/>
    <s v="Mumbai"/>
    <s v="Grocery"/>
    <m/>
    <s v="Retail"/>
    <n v="65"/>
    <m/>
    <m/>
    <m/>
    <m/>
  </r>
  <r>
    <s v="ORD-00633"/>
    <x v="287"/>
    <s v="CUST-0283"/>
    <s v="PROD-054"/>
    <s v="R005"/>
    <n v="10"/>
    <n v="1010"/>
    <n v="28.9"/>
    <n v="7181.1"/>
    <s v="Completed"/>
    <s v="Delhi"/>
    <s v="Sports"/>
    <m/>
    <s v="SMB"/>
    <n v="50"/>
    <m/>
    <m/>
    <m/>
    <m/>
  </r>
  <r>
    <s v="ORD-00634"/>
    <x v="279"/>
    <s v="CUST-0064"/>
    <s v="PROD-013"/>
    <s v="R002"/>
    <n v="1"/>
    <n v="3640"/>
    <n v="9.6999999999999993"/>
    <n v="3286.92"/>
    <s v="Completed"/>
    <s v="Hyderabad"/>
    <s v="Apparel"/>
    <m/>
    <s v="SMB"/>
    <n v="40"/>
    <s v="North"/>
    <s v="Dec-24"/>
    <n v="2611"/>
    <n v="0.28269230769230769"/>
  </r>
  <r>
    <s v="ORD-00635"/>
    <x v="135"/>
    <s v="CUST-0143"/>
    <s v="PROD-020"/>
    <s v="R010"/>
    <n v="1"/>
    <n v="820"/>
    <n v="15"/>
    <n v="697"/>
    <s v="Completed"/>
    <s v="Chennai"/>
    <s v="Apparel"/>
    <m/>
    <s v="SMB"/>
    <n v="52"/>
    <m/>
    <m/>
    <m/>
    <m/>
  </r>
  <r>
    <s v="ORD-00636"/>
    <x v="305"/>
    <s v="CUST-0265"/>
    <s v="PROD-013"/>
    <s v="R011"/>
    <n v="4"/>
    <n v="3640"/>
    <n v="17"/>
    <n v="12084.8"/>
    <s v="Completed"/>
    <s v="Chennai"/>
    <s v="Apparel"/>
    <m/>
    <s v="Retail"/>
    <n v="49"/>
    <m/>
    <m/>
    <m/>
    <m/>
  </r>
  <r>
    <s v="ORD-00637"/>
    <x v="54"/>
    <s v="CUST-0158"/>
    <s v="PROD-023"/>
    <s v="R002"/>
    <n v="7"/>
    <n v="2380"/>
    <n v="25.5"/>
    <n v="12411.7"/>
    <s v="Completed"/>
    <s v="Pune"/>
    <s v="Grocery"/>
    <m/>
    <s v="Corporate"/>
    <n v="42"/>
    <m/>
    <m/>
    <m/>
    <m/>
  </r>
  <r>
    <s v="ORD-00638"/>
    <x v="311"/>
    <s v="CUST-0154"/>
    <s v="PROD-037"/>
    <s v="R008"/>
    <n v="1"/>
    <n v="660"/>
    <n v="2.5"/>
    <n v="643.5"/>
    <s v="Completed"/>
    <s v="Pune"/>
    <s v="Home"/>
    <m/>
    <s v="Retail"/>
    <n v="36"/>
    <s v="North"/>
    <s v="May-24"/>
    <n v="329"/>
    <n v="0.50151515151515147"/>
  </r>
  <r>
    <s v="ORD-00639"/>
    <x v="177"/>
    <s v="CUST-0057"/>
    <s v="PROD-004"/>
    <s v="R020"/>
    <n v="7"/>
    <n v="3870"/>
    <n v="20.3"/>
    <n v="21590.73"/>
    <s v="Pending"/>
    <s v="Pune"/>
    <s v="Electronics"/>
    <m/>
    <s v="Retail"/>
    <n v="35"/>
    <s v="North"/>
    <s v="Nov-24"/>
    <n v="1559"/>
    <n v="0.59715762273901807"/>
  </r>
  <r>
    <s v="ORD-00640"/>
    <x v="176"/>
    <s v="CUST-0088"/>
    <s v="PROD-032"/>
    <s v="R016"/>
    <n v="10"/>
    <n v="370"/>
    <n v="1.3"/>
    <n v="3651.9"/>
    <s v="Refunded"/>
    <s v="Chennai"/>
    <s v="Home"/>
    <m/>
    <s v="Retail"/>
    <n v="24"/>
    <s v="East"/>
    <s v="Mar-24"/>
    <n v="288"/>
    <n v="0.22162162162162163"/>
  </r>
  <r>
    <s v="ORD-00641"/>
    <x v="13"/>
    <s v="CUST-0064"/>
    <s v="PROD-014"/>
    <s v="R018"/>
    <n v="1"/>
    <n v="3620"/>
    <n v="1.4"/>
    <n v="3569.32"/>
    <s v="Completed"/>
    <s v="Hyderabad"/>
    <s v="Apparel"/>
    <m/>
    <s v="SMB"/>
    <n v="40"/>
    <s v="South"/>
    <s v="Sep-24"/>
    <n v="2509"/>
    <n v="0.3069060773480663"/>
  </r>
  <r>
    <s v="ORD-00642"/>
    <x v="308"/>
    <s v="CUST-0192"/>
    <s v="PROD-008"/>
    <s v="R005"/>
    <n v="10"/>
    <n v="2660"/>
    <n v="20.2"/>
    <n v="21226.799999999999"/>
    <s v="Completed"/>
    <s v="Bengaluru"/>
    <s v="Electronics"/>
    <m/>
    <s v="Retail"/>
    <n v="55"/>
    <m/>
    <m/>
    <m/>
    <m/>
  </r>
  <r>
    <s v="ORD-00643"/>
    <x v="105"/>
    <s v="CUST-0175"/>
    <s v="PROD-051"/>
    <s v="R015"/>
    <n v="10"/>
    <n v="3450"/>
    <n v="25.1"/>
    <n v="25840.5"/>
    <s v="Completed"/>
    <s v="Delhi"/>
    <s v="Sports"/>
    <m/>
    <s v="Corporate"/>
    <n v="55"/>
    <m/>
    <m/>
    <m/>
    <m/>
  </r>
  <r>
    <s v="ORD-00644"/>
    <x v="98"/>
    <s v="CUST-0083"/>
    <s v="PROD-025"/>
    <s v="R013"/>
    <n v="3"/>
    <n v="4060"/>
    <n v="2.5"/>
    <n v="11875.5"/>
    <s v="Refunded"/>
    <s v="Bengaluru"/>
    <s v="Grocery"/>
    <m/>
    <s v="Corporate"/>
    <n v="31"/>
    <s v="South"/>
    <s v="Nov-24"/>
    <n v="2911"/>
    <n v="0.28300492610837441"/>
  </r>
  <r>
    <s v="ORD-00645"/>
    <x v="137"/>
    <s v="CUST-0142"/>
    <s v="PROD-057"/>
    <s v="R021"/>
    <n v="3"/>
    <n v="960"/>
    <n v="6.6"/>
    <n v="2689.92"/>
    <s v="Cancelled"/>
    <s v="Chennai"/>
    <s v="Sports"/>
    <m/>
    <s v="Corporate"/>
    <n v="55"/>
    <m/>
    <m/>
    <m/>
    <m/>
  </r>
  <r>
    <s v="ORD-00646"/>
    <x v="196"/>
    <s v="CUST-0185"/>
    <s v="PROD-008"/>
    <s v="R008"/>
    <n v="4"/>
    <n v="2660"/>
    <n v="16.899999999999999"/>
    <n v="8841.84"/>
    <s v="Completed"/>
    <s v="Hyderabad"/>
    <s v="Electronics"/>
    <m/>
    <s v="SMB"/>
    <n v="43"/>
    <m/>
    <m/>
    <m/>
    <m/>
  </r>
  <r>
    <s v="ORD-00647"/>
    <x v="264"/>
    <s v="CUST-0284"/>
    <s v="PROD-024"/>
    <s v="R018"/>
    <n v="6"/>
    <n v="2270"/>
    <n v="16.7"/>
    <n v="11345.46"/>
    <s v="Completed"/>
    <s v="Hyderabad"/>
    <s v="Grocery"/>
    <m/>
    <s v="SMB"/>
    <n v="65"/>
    <m/>
    <m/>
    <m/>
    <m/>
  </r>
  <r>
    <s v="ORD-00648"/>
    <x v="0"/>
    <s v="CUST-0092"/>
    <s v="PROD-027"/>
    <s v="R025"/>
    <n v="5"/>
    <n v="3780"/>
    <n v="21.5"/>
    <n v="14836.5"/>
    <s v="Completed"/>
    <s v="Bengaluru"/>
    <s v="Grocery"/>
    <m/>
    <s v="SMB"/>
    <n v="28"/>
    <s v="East"/>
    <s v="Mar-24"/>
    <n v="2436"/>
    <n v="0.35555555555555557"/>
  </r>
  <r>
    <s v="ORD-00649"/>
    <x v="265"/>
    <s v="CUST-0091"/>
    <s v="PROD-037"/>
    <s v="R019"/>
    <n v="10"/>
    <n v="660"/>
    <n v="18.8"/>
    <n v="5359.2"/>
    <s v="Completed"/>
    <s v="Delhi"/>
    <s v="Home"/>
    <m/>
    <s v="Retail"/>
    <n v="55"/>
    <m/>
    <m/>
    <m/>
    <m/>
  </r>
  <r>
    <s v="ORD-00650"/>
    <x v="3"/>
    <s v="CUST-0155"/>
    <s v="PROD-031"/>
    <s v="R024"/>
    <n v="10"/>
    <n v="3730"/>
    <n v="15.1"/>
    <n v="31667.7"/>
    <s v="Completed"/>
    <s v="Pune"/>
    <s v="Home"/>
    <m/>
    <s v="Corporate"/>
    <n v="40"/>
    <s v="East"/>
    <s v="Aug-24"/>
    <n v="2135"/>
    <n v="0.42761394101876676"/>
  </r>
  <r>
    <s v="ORD-00651"/>
    <x v="115"/>
    <s v="CUST-0280"/>
    <s v="PROD-025"/>
    <s v="R021"/>
    <n v="6"/>
    <n v="4060"/>
    <n v="20.100000000000001"/>
    <n v="19463.64"/>
    <s v="Pending"/>
    <s v="Delhi"/>
    <s v="Grocery"/>
    <m/>
    <s v="SMB"/>
    <n v="27"/>
    <s v="West"/>
    <s v="May-24"/>
    <n v="2911"/>
    <n v="0.28300492610837441"/>
  </r>
  <r>
    <s v="ORD-00652"/>
    <x v="283"/>
    <s v="CUST-0127"/>
    <s v="PROD-024"/>
    <s v="R003"/>
    <n v="2"/>
    <n v="2270"/>
    <n v="17.7"/>
    <n v="3736.42"/>
    <s v="Completed"/>
    <s v="Bengaluru"/>
    <s v="Grocery"/>
    <m/>
    <s v="SMB"/>
    <n v="36"/>
    <s v="East"/>
    <s v="Sep-24"/>
    <n v="1203"/>
    <n v="0.47004405286343615"/>
  </r>
  <r>
    <s v="ORD-00653"/>
    <x v="294"/>
    <s v="CUST-0077"/>
    <s v="PROD-003"/>
    <s v="R028"/>
    <n v="9"/>
    <n v="3570"/>
    <n v="29.9"/>
    <n v="22523.13"/>
    <s v="Completed"/>
    <s v="Hyderabad"/>
    <s v="Electronics"/>
    <m/>
    <s v="SMB"/>
    <n v="48"/>
    <m/>
    <m/>
    <m/>
    <m/>
  </r>
  <r>
    <s v="ORD-00654"/>
    <x v="126"/>
    <s v="CUST-0190"/>
    <s v="PROD-029"/>
    <s v="R004"/>
    <n v="7"/>
    <n v="2210"/>
    <n v="25"/>
    <n v="11602.5"/>
    <s v="Completed"/>
    <s v="Hyderabad"/>
    <s v="Grocery"/>
    <m/>
    <s v="Retail"/>
    <n v="52"/>
    <m/>
    <m/>
    <m/>
    <m/>
  </r>
  <r>
    <s v="ORD-00655"/>
    <x v="257"/>
    <s v="CUST-0089"/>
    <s v="PROD-057"/>
    <s v="R026"/>
    <n v="2"/>
    <n v="960"/>
    <n v="8.1999999999999993"/>
    <n v="1762.56"/>
    <s v="Cancelled"/>
    <s v="Mumbai"/>
    <s v="Sports"/>
    <m/>
    <s v="SMB"/>
    <n v="43"/>
    <m/>
    <m/>
    <m/>
    <m/>
  </r>
  <r>
    <s v="ORD-00656"/>
    <x v="24"/>
    <s v="CUST-0141"/>
    <s v="PROD-059"/>
    <s v="R026"/>
    <n v="9"/>
    <n v="3780"/>
    <n v="28.4"/>
    <n v="24358.32"/>
    <s v="Pending"/>
    <s v="Hyderabad"/>
    <s v="Sports"/>
    <m/>
    <s v="Corporate"/>
    <n v="22"/>
    <s v="West"/>
    <s v="Mar-24"/>
    <n v="1860"/>
    <n v="0.50793650793650791"/>
  </r>
  <r>
    <s v="ORD-00657"/>
    <x v="248"/>
    <s v="CUST-0123"/>
    <s v="PROD-048"/>
    <s v="R014"/>
    <n v="2"/>
    <n v="5100"/>
    <n v="8.6"/>
    <n v="9322.7999999999993"/>
    <s v="Completed"/>
    <s v="Chennai"/>
    <s v="Beauty"/>
    <m/>
    <s v="Corporate"/>
    <n v="44"/>
    <m/>
    <m/>
    <m/>
    <m/>
  </r>
  <r>
    <s v="ORD-00658"/>
    <x v="85"/>
    <s v="CUST-0041"/>
    <s v="PROD-019"/>
    <s v="R021"/>
    <n v="4"/>
    <n v="2480"/>
    <n v="16.600000000000001"/>
    <n v="8273.2800000000007"/>
    <s v="Completed"/>
    <s v="Bengaluru"/>
    <s v="Apparel"/>
    <m/>
    <s v="SMB"/>
    <n v="26"/>
    <s v="South"/>
    <s v="Oct-24"/>
    <n v="1173"/>
    <n v="0.52701612903225803"/>
  </r>
  <r>
    <s v="ORD-00659"/>
    <x v="68"/>
    <s v="CUST-0257"/>
    <s v="PROD-040"/>
    <s v="R018"/>
    <n v="10"/>
    <n v="1080"/>
    <n v="14.5"/>
    <n v="9234"/>
    <s v="Completed"/>
    <s v="Mumbai"/>
    <s v="Home"/>
    <m/>
    <s v="Corporate"/>
    <n v="46"/>
    <m/>
    <m/>
    <m/>
    <m/>
  </r>
  <r>
    <s v="ORD-00660"/>
    <x v="312"/>
    <s v="CUST-0134"/>
    <s v="PROD-002"/>
    <s v="R029"/>
    <n v="7"/>
    <n v="2600"/>
    <n v="21"/>
    <n v="14378"/>
    <s v="Completed"/>
    <s v="Delhi"/>
    <s v="Electronics"/>
    <m/>
    <s v="Retail"/>
    <n v="40"/>
    <s v="East"/>
    <s v="May-24"/>
    <n v="1052"/>
    <n v="0.5953846153846154"/>
  </r>
  <r>
    <s v="ORD-00661"/>
    <x v="81"/>
    <s v="CUST-0180"/>
    <s v="PROD-002"/>
    <s v="R015"/>
    <n v="7"/>
    <n v="2600"/>
    <n v="6.7"/>
    <n v="16980.599999999999"/>
    <s v="Pending"/>
    <s v="Chennai"/>
    <s v="Electronics"/>
    <m/>
    <s v="Retail"/>
    <n v="36"/>
    <s v="West"/>
    <s v="Mar-24"/>
    <n v="1052"/>
    <n v="0.5953846153846154"/>
  </r>
  <r>
    <s v="ORD-00662"/>
    <x v="210"/>
    <s v="CUST-0283"/>
    <s v="PROD-020"/>
    <s v="R023"/>
    <n v="8"/>
    <n v="820"/>
    <n v="17.8"/>
    <n v="5392.32"/>
    <s v="Pending"/>
    <s v="Delhi"/>
    <s v="Apparel"/>
    <m/>
    <s v="SMB"/>
    <n v="50"/>
    <m/>
    <m/>
    <m/>
    <m/>
  </r>
  <r>
    <s v="ORD-00663"/>
    <x v="147"/>
    <s v="CUST-0047"/>
    <s v="PROD-057"/>
    <s v="R009"/>
    <n v="3"/>
    <n v="960"/>
    <n v="17.8"/>
    <n v="2367.36"/>
    <s v="Completed"/>
    <s v="Pune"/>
    <s v="Sports"/>
    <m/>
    <s v="Retail"/>
    <n v="49"/>
    <m/>
    <m/>
    <m/>
    <m/>
  </r>
  <r>
    <s v="ORD-00664"/>
    <x v="114"/>
    <s v="CUST-0175"/>
    <s v="PROD-041"/>
    <s v="R023"/>
    <n v="2"/>
    <n v="1540"/>
    <n v="1.8"/>
    <n v="3024.56"/>
    <s v="Cancelled"/>
    <s v="Delhi"/>
    <s v="Beauty"/>
    <m/>
    <s v="Corporate"/>
    <n v="55"/>
    <m/>
    <m/>
    <m/>
    <m/>
  </r>
  <r>
    <s v="ORD-00665"/>
    <x v="81"/>
    <s v="CUST-0227"/>
    <s v="PROD-056"/>
    <s v="R030"/>
    <n v="5"/>
    <n v="6940"/>
    <n v="2.9"/>
    <n v="33693.699999999997"/>
    <s v="Completed"/>
    <s v="Bengaluru"/>
    <s v="Sports"/>
    <m/>
    <s v="SMB"/>
    <n v="44"/>
    <m/>
    <m/>
    <m/>
    <m/>
  </r>
  <r>
    <s v="ORD-00666"/>
    <x v="101"/>
    <s v="CUST-0287"/>
    <s v="PROD-041"/>
    <s v="R013"/>
    <n v="5"/>
    <n v="1540"/>
    <n v="28.8"/>
    <n v="5482.4"/>
    <s v="Completed"/>
    <s v="Chennai"/>
    <s v="Beauty"/>
    <m/>
    <s v="SMB"/>
    <n v="53"/>
    <m/>
    <m/>
    <m/>
    <m/>
  </r>
  <r>
    <s v="ORD-00667"/>
    <x v="179"/>
    <s v="CUST-0004"/>
    <s v="PROD-031"/>
    <s v="R012"/>
    <n v="8"/>
    <n v="3730"/>
    <n v="21.1"/>
    <n v="23543.759999999998"/>
    <s v="Completed"/>
    <s v="Delhi"/>
    <s v="Home"/>
    <m/>
    <s v="Retail"/>
    <n v="53"/>
    <m/>
    <m/>
    <m/>
    <m/>
  </r>
  <r>
    <s v="ORD-00668"/>
    <x v="208"/>
    <s v="CUST-0234"/>
    <s v="PROD-021"/>
    <s v="R023"/>
    <n v="7"/>
    <n v="2760"/>
    <n v="1.2"/>
    <n v="19088.16"/>
    <s v="Cancelled"/>
    <s v="Bengaluru"/>
    <s v="Grocery"/>
    <m/>
    <s v="Retail"/>
    <n v="34"/>
    <s v="South"/>
    <s v="Feb-24"/>
    <n v="1435"/>
    <n v="0.48007246376811596"/>
  </r>
  <r>
    <s v="ORD-00669"/>
    <x v="313"/>
    <s v="CUST-0255"/>
    <s v="PROD-006"/>
    <s v="R020"/>
    <n v="3"/>
    <n v="3970"/>
    <n v="18.3"/>
    <n v="9730.4699999999993"/>
    <s v="Completed"/>
    <s v="Chennai"/>
    <s v="Electronics"/>
    <m/>
    <s v="Corporate"/>
    <n v="51"/>
    <m/>
    <m/>
    <m/>
    <m/>
  </r>
  <r>
    <s v="ORD-00670"/>
    <x v="274"/>
    <s v="CUST-0092"/>
    <s v="PROD-027"/>
    <s v="R023"/>
    <n v="4"/>
    <n v="3780"/>
    <n v="24.6"/>
    <n v="11400.48"/>
    <s v="Completed"/>
    <s v="Bengaluru"/>
    <s v="Grocery"/>
    <m/>
    <s v="SMB"/>
    <n v="28"/>
    <s v="East"/>
    <s v="May-24"/>
    <n v="2436"/>
    <n v="0.35555555555555557"/>
  </r>
  <r>
    <s v="ORD-00671"/>
    <x v="146"/>
    <s v="CUST-0037"/>
    <s v="PROD-015"/>
    <s v="R008"/>
    <n v="10"/>
    <n v="2720"/>
    <n v="12.8"/>
    <n v="23718.400000000001"/>
    <s v="Completed"/>
    <s v="Bengaluru"/>
    <s v="Apparel"/>
    <m/>
    <s v="Retail"/>
    <n v="52"/>
    <m/>
    <m/>
    <m/>
    <m/>
  </r>
  <r>
    <s v="ORD-00672"/>
    <x v="2"/>
    <s v="CUST-0208"/>
    <s v="PROD-006"/>
    <s v="R017"/>
    <n v="5"/>
    <n v="3970"/>
    <n v="5.9"/>
    <n v="18678.849999999999"/>
    <s v="Completed"/>
    <s v="Mumbai"/>
    <s v="Electronics"/>
    <m/>
    <s v="Retail"/>
    <n v="49"/>
    <m/>
    <m/>
    <m/>
    <m/>
  </r>
  <r>
    <s v="ORD-00673"/>
    <x v="131"/>
    <s v="CUST-0008"/>
    <s v="PROD-020"/>
    <s v="R011"/>
    <n v="3"/>
    <n v="820"/>
    <n v="19.399999999999999"/>
    <n v="1982.76"/>
    <s v="Completed"/>
    <s v="Pune"/>
    <s v="Apparel"/>
    <m/>
    <s v="SMB"/>
    <n v="39"/>
    <s v="East"/>
    <s v="Mar-24"/>
    <n v="391"/>
    <n v="0.52317073170731709"/>
  </r>
  <r>
    <s v="ORD-00674"/>
    <x v="314"/>
    <s v="CUST-0050"/>
    <s v="PROD-016"/>
    <s v="R010"/>
    <n v="7"/>
    <n v="620"/>
    <n v="9.9"/>
    <n v="3910.34"/>
    <s v="Completed"/>
    <s v="Mumbai"/>
    <s v="Apparel"/>
    <m/>
    <s v="Retail"/>
    <n v="37"/>
    <s v="South"/>
    <s v="Nov-24"/>
    <n v="396"/>
    <n v="0.36129032258064514"/>
  </r>
  <r>
    <s v="ORD-00675"/>
    <x v="125"/>
    <s v="CUST-0166"/>
    <s v="PROD-042"/>
    <s v="R027"/>
    <n v="8"/>
    <n v="2290"/>
    <n v="18.3"/>
    <n v="14967.44"/>
    <s v="Completed"/>
    <s v="Hyderabad"/>
    <s v="Beauty"/>
    <m/>
    <s v="Retail"/>
    <n v="31"/>
    <s v="South"/>
    <s v="Jun-24"/>
    <n v="1219"/>
    <n v="0.46768558951965067"/>
  </r>
  <r>
    <s v="ORD-00676"/>
    <x v="234"/>
    <s v="CUST-0271"/>
    <s v="PROD-030"/>
    <s v="R025"/>
    <n v="3"/>
    <n v="970"/>
    <n v="18.399999999999999"/>
    <n v="2374.56"/>
    <s v="Completed"/>
    <s v="Bengaluru"/>
    <s v="Grocery"/>
    <m/>
    <s v="Corporate"/>
    <n v="41"/>
    <m/>
    <m/>
    <m/>
    <m/>
  </r>
  <r>
    <s v="ORD-00677"/>
    <x v="140"/>
    <s v="CUST-0034"/>
    <s v="PROD-032"/>
    <s v="R014"/>
    <n v="2"/>
    <n v="370"/>
    <n v="8.9"/>
    <n v="674.14"/>
    <s v="Completed"/>
    <s v="Delhi"/>
    <s v="Home"/>
    <m/>
    <s v="Retail"/>
    <n v="47"/>
    <m/>
    <m/>
    <m/>
    <m/>
  </r>
  <r>
    <s v="ORD-00678"/>
    <x v="215"/>
    <s v="CUST-0016"/>
    <s v="PROD-007"/>
    <s v="R007"/>
    <n v="1"/>
    <n v="1430"/>
    <n v="5.9"/>
    <n v="1345.63"/>
    <s v="Cancelled"/>
    <s v="Delhi"/>
    <s v="Electronics"/>
    <m/>
    <s v="SMB"/>
    <n v="26"/>
    <s v="South"/>
    <s v="May-24"/>
    <n v="861"/>
    <n v="0.39790209790209791"/>
  </r>
  <r>
    <s v="ORD-00679"/>
    <x v="315"/>
    <s v="CUST-0039"/>
    <s v="PROD-058"/>
    <s v="R030"/>
    <n v="2"/>
    <n v="2400"/>
    <n v="29.1"/>
    <n v="3403.2"/>
    <s v="Completed"/>
    <s v="Bengaluru"/>
    <s v="Sports"/>
    <m/>
    <s v="Retail"/>
    <n v="37"/>
    <s v="North"/>
    <s v="Dec-24"/>
    <n v="974"/>
    <n v="0.59416666666666662"/>
  </r>
  <r>
    <s v="ORD-00680"/>
    <x v="186"/>
    <s v="CUST-0253"/>
    <s v="PROD-007"/>
    <s v="R011"/>
    <n v="9"/>
    <n v="1430"/>
    <n v="6"/>
    <n v="12097.8"/>
    <s v="Completed"/>
    <s v="Delhi"/>
    <s v="Electronics"/>
    <m/>
    <s v="SMB"/>
    <n v="53"/>
    <m/>
    <m/>
    <m/>
    <m/>
  </r>
  <r>
    <s v="ORD-00681"/>
    <x v="256"/>
    <s v="CUST-0295"/>
    <s v="PROD-015"/>
    <s v="R007"/>
    <n v="8"/>
    <n v="2720"/>
    <n v="25.7"/>
    <n v="16167.68"/>
    <s v="Completed"/>
    <s v="Delhi"/>
    <s v="Apparel"/>
    <m/>
    <s v="SMB"/>
    <n v="48"/>
    <m/>
    <m/>
    <m/>
    <m/>
  </r>
  <r>
    <s v="ORD-00682"/>
    <x v="160"/>
    <s v="CUST-0138"/>
    <s v="PROD-056"/>
    <s v="R027"/>
    <n v="6"/>
    <n v="6940"/>
    <n v="25.7"/>
    <n v="30938.52"/>
    <s v="Completed"/>
    <s v="Chennai"/>
    <s v="Sports"/>
    <m/>
    <s v="Retail"/>
    <n v="24"/>
    <s v="North"/>
    <s v="Aug-24"/>
    <n v="2827"/>
    <n v="0.5926512968299712"/>
  </r>
  <r>
    <s v="ORD-00683"/>
    <x v="22"/>
    <s v="CUST-0002"/>
    <s v="PROD-014"/>
    <s v="R007"/>
    <n v="3"/>
    <n v="3620"/>
    <n v="29.7"/>
    <n v="7634.58"/>
    <s v="Completed"/>
    <s v="Pune"/>
    <s v="Apparel"/>
    <m/>
    <s v="Corporate"/>
    <n v="42"/>
    <m/>
    <m/>
    <m/>
    <m/>
  </r>
  <r>
    <s v="ORD-00684"/>
    <x v="70"/>
    <s v="CUST-0287"/>
    <s v="PROD-010"/>
    <s v="R025"/>
    <n v="8"/>
    <n v="2640"/>
    <n v="24.4"/>
    <n v="15966.72"/>
    <s v="Completed"/>
    <s v="Chennai"/>
    <s v="Electronics"/>
    <m/>
    <s v="SMB"/>
    <n v="53"/>
    <m/>
    <m/>
    <m/>
    <m/>
  </r>
  <r>
    <s v="ORD-00685"/>
    <x v="134"/>
    <s v="CUST-0279"/>
    <s v="PROD-038"/>
    <s v="R006"/>
    <n v="3"/>
    <n v="5490"/>
    <n v="13.5"/>
    <n v="14246.55"/>
    <s v="Completed"/>
    <s v="Mumbai"/>
    <s v="Home"/>
    <m/>
    <s v="Retail"/>
    <n v="56"/>
    <m/>
    <m/>
    <m/>
    <m/>
  </r>
  <r>
    <s v="ORD-00686"/>
    <x v="3"/>
    <s v="CUST-0008"/>
    <s v="PROD-034"/>
    <s v="R017"/>
    <n v="3"/>
    <n v="5080"/>
    <n v="9.3000000000000007"/>
    <n v="13822.68"/>
    <s v="Completed"/>
    <s v="Pune"/>
    <s v="Home"/>
    <m/>
    <s v="SMB"/>
    <n v="39"/>
    <s v="North"/>
    <s v="Feb-24"/>
    <n v="2459"/>
    <n v="0.51594488188976373"/>
  </r>
  <r>
    <s v="ORD-00687"/>
    <x v="50"/>
    <s v="CUST-0092"/>
    <s v="PROD-042"/>
    <s v="R030"/>
    <n v="4"/>
    <n v="2290"/>
    <n v="24.4"/>
    <n v="6924.96"/>
    <s v="Completed"/>
    <s v="Bengaluru"/>
    <s v="Beauty"/>
    <m/>
    <s v="SMB"/>
    <n v="28"/>
    <s v="East"/>
    <s v="May-24"/>
    <n v="1219"/>
    <n v="0.46768558951965067"/>
  </r>
  <r>
    <s v="ORD-00688"/>
    <x v="113"/>
    <s v="CUST-0106"/>
    <s v="PROD-033"/>
    <s v="R011"/>
    <n v="10"/>
    <n v="2030"/>
    <n v="13.6"/>
    <n v="17539.2"/>
    <s v="Pending"/>
    <s v="Pune"/>
    <s v="Home"/>
    <m/>
    <s v="Retail"/>
    <n v="22"/>
    <s v="West"/>
    <s v="Aug-24"/>
    <n v="1143"/>
    <n v="0.43694581280788175"/>
  </r>
  <r>
    <s v="ORD-00689"/>
    <x v="84"/>
    <s v="CUST-0010"/>
    <s v="PROD-007"/>
    <s v="R012"/>
    <n v="10"/>
    <n v="1430"/>
    <n v="16.100000000000001"/>
    <n v="11997.7"/>
    <s v="Cancelled"/>
    <s v="Mumbai"/>
    <s v="Electronics"/>
    <m/>
    <s v="SMB"/>
    <n v="61"/>
    <m/>
    <m/>
    <m/>
    <m/>
  </r>
  <r>
    <s v="ORD-00690"/>
    <x v="298"/>
    <s v="CUST-0179"/>
    <s v="PROD-027"/>
    <s v="R009"/>
    <n v="1"/>
    <n v="3780"/>
    <n v="22.7"/>
    <n v="2921.94"/>
    <s v="Completed"/>
    <s v="Mumbai"/>
    <s v="Grocery"/>
    <m/>
    <s v="SMB"/>
    <n v="54"/>
    <m/>
    <m/>
    <m/>
    <m/>
  </r>
  <r>
    <s v="ORD-00691"/>
    <x v="68"/>
    <s v="CUST-0216"/>
    <s v="PROD-012"/>
    <s v="R021"/>
    <n v="10"/>
    <n v="3160"/>
    <n v="13.4"/>
    <n v="27365.599999999999"/>
    <s v="Completed"/>
    <s v="Mumbai"/>
    <s v="Apparel"/>
    <m/>
    <s v="Retail"/>
    <n v="50"/>
    <m/>
    <m/>
    <m/>
    <m/>
  </r>
  <r>
    <s v="ORD-00692"/>
    <x v="124"/>
    <s v="CUST-0172"/>
    <s v="PROD-007"/>
    <s v="R003"/>
    <n v="2"/>
    <n v="1430"/>
    <n v="7.4"/>
    <n v="2648.36"/>
    <s v="Completed"/>
    <s v="Pune"/>
    <s v="Electronics"/>
    <m/>
    <s v="Retail"/>
    <n v="65"/>
    <m/>
    <m/>
    <m/>
    <m/>
  </r>
  <r>
    <s v="ORD-00693"/>
    <x v="93"/>
    <s v="CUST-0152"/>
    <s v="PROD-012"/>
    <s v="R006"/>
    <n v="5"/>
    <n v="3160"/>
    <n v="3.6"/>
    <n v="15231.2"/>
    <s v="Pending"/>
    <s v="Bengaluru"/>
    <s v="Apparel"/>
    <m/>
    <s v="SMB"/>
    <n v="64"/>
    <m/>
    <m/>
    <m/>
    <m/>
  </r>
  <r>
    <s v="ORD-00694"/>
    <x v="126"/>
    <s v="CUST-0154"/>
    <s v="PROD-042"/>
    <s v="R004"/>
    <n v="2"/>
    <n v="2290"/>
    <n v="28.2"/>
    <n v="3288.44"/>
    <s v="Completed"/>
    <s v="Pune"/>
    <s v="Beauty"/>
    <m/>
    <s v="Retail"/>
    <n v="36"/>
    <s v="North"/>
    <s v="Dec-24"/>
    <n v="1219"/>
    <n v="0.46768558951965067"/>
  </r>
  <r>
    <s v="ORD-00695"/>
    <x v="250"/>
    <s v="CUST-0001"/>
    <s v="PROD-011"/>
    <s v="R015"/>
    <n v="5"/>
    <n v="3450"/>
    <n v="18.100000000000001"/>
    <n v="14127.75"/>
    <s v="Cancelled"/>
    <s v="Pune"/>
    <s v="Apparel"/>
    <m/>
    <s v="Retail"/>
    <n v="36"/>
    <s v="North"/>
    <s v="Aug-24"/>
    <n v="1748"/>
    <n v="0.49333333333333335"/>
  </r>
  <r>
    <s v="ORD-00696"/>
    <x v="96"/>
    <s v="CUST-0069"/>
    <s v="PROD-018"/>
    <s v="R001"/>
    <n v="1"/>
    <n v="3560"/>
    <n v="18.7"/>
    <n v="2894.28"/>
    <s v="Completed"/>
    <s v="Chennai"/>
    <s v="Apparel"/>
    <m/>
    <s v="Retail"/>
    <n v="51"/>
    <m/>
    <m/>
    <m/>
    <m/>
  </r>
  <r>
    <s v="ORD-00697"/>
    <x v="87"/>
    <s v="CUST-0200"/>
    <s v="PROD-058"/>
    <s v="R009"/>
    <n v="9"/>
    <n v="2400"/>
    <n v="18.5"/>
    <n v="17604"/>
    <s v="Completed"/>
    <s v="Hyderabad"/>
    <s v="Sports"/>
    <m/>
    <s v="Corporate"/>
    <n v="46"/>
    <m/>
    <m/>
    <m/>
    <m/>
  </r>
  <r>
    <s v="ORD-00698"/>
    <x v="209"/>
    <s v="CUST-0164"/>
    <s v="PROD-004"/>
    <s v="R023"/>
    <n v="9"/>
    <n v="3870"/>
    <n v="6.9"/>
    <n v="32426.73"/>
    <s v="Refunded"/>
    <s v="Chennai"/>
    <s v="Electronics"/>
    <m/>
    <s v="Retail"/>
    <n v="60"/>
    <m/>
    <m/>
    <m/>
    <m/>
  </r>
  <r>
    <s v="ORD-00699"/>
    <x v="247"/>
    <s v="CUST-0004"/>
    <s v="PROD-028"/>
    <s v="R022"/>
    <n v="5"/>
    <n v="3660"/>
    <n v="11.7"/>
    <n v="16158.9"/>
    <s v="Completed"/>
    <s v="Delhi"/>
    <s v="Grocery"/>
    <m/>
    <s v="Retail"/>
    <n v="53"/>
    <m/>
    <m/>
    <m/>
    <m/>
  </r>
  <r>
    <s v="ORD-00700"/>
    <x v="63"/>
    <s v="CUST-0224"/>
    <s v="PROD-040"/>
    <s v="R030"/>
    <n v="4"/>
    <n v="1080"/>
    <n v="17.5"/>
    <n v="3564"/>
    <s v="Completed"/>
    <s v="Chennai"/>
    <s v="Home"/>
    <m/>
    <s v="Corporate"/>
    <n v="24"/>
    <s v="East"/>
    <s v="Nov-24"/>
    <n v="519"/>
    <n v="0.51944444444444449"/>
  </r>
  <r>
    <s v="ORD-01185"/>
    <x v="92"/>
    <s v="CUST-0037"/>
    <s v="PROD-059"/>
    <s v="R006"/>
    <n v="6"/>
    <n v="3780"/>
    <n v="27.8"/>
    <n v="16374.96"/>
    <s v="Completed"/>
    <s v="Bengaluru"/>
    <s v="Sports"/>
    <m/>
    <s v="Retail"/>
    <n v="52"/>
    <m/>
    <m/>
    <m/>
    <m/>
  </r>
  <r>
    <s v="ORD-00702"/>
    <x v="126"/>
    <s v="CUST-0179"/>
    <s v="PROD-019"/>
    <s v="R022"/>
    <n v="8"/>
    <n v="2480"/>
    <n v="15.7"/>
    <n v="16725.12"/>
    <s v="Pending"/>
    <s v="Mumbai"/>
    <s v="Apparel"/>
    <m/>
    <s v="SMB"/>
    <n v="54"/>
    <m/>
    <m/>
    <m/>
    <m/>
  </r>
  <r>
    <s v="ORD-00703"/>
    <x v="132"/>
    <s v="CUST-0018"/>
    <s v="PROD-054"/>
    <s v="R014"/>
    <n v="10"/>
    <n v="1010"/>
    <n v="0.1"/>
    <n v="10089.9"/>
    <s v="Pending"/>
    <s v="Pune"/>
    <s v="Sports"/>
    <m/>
    <s v="SMB"/>
    <n v="54"/>
    <m/>
    <m/>
    <m/>
    <m/>
  </r>
  <r>
    <s v="ORD-00704"/>
    <x v="5"/>
    <s v="CUST-0184"/>
    <s v="PROD-053"/>
    <s v="R015"/>
    <n v="3"/>
    <n v="470"/>
    <n v="1.1000000000000001"/>
    <n v="1394.49"/>
    <s v="Completed"/>
    <s v="Pune"/>
    <s v="Sports"/>
    <m/>
    <s v="Retail"/>
    <n v="63"/>
    <m/>
    <m/>
    <m/>
    <m/>
  </r>
  <r>
    <s v="ORD-00705"/>
    <x v="267"/>
    <s v="CUST-0066"/>
    <s v="PROD-024"/>
    <s v="R019"/>
    <n v="4"/>
    <n v="2270"/>
    <n v="17.100000000000001"/>
    <n v="7527.32"/>
    <s v="Completed"/>
    <s v="Delhi"/>
    <s v="Grocery"/>
    <m/>
    <s v="Retail"/>
    <n v="24"/>
    <s v="South"/>
    <s v="Apr-24"/>
    <n v="1203"/>
    <n v="0.47004405286343615"/>
  </r>
  <r>
    <s v="ORD-00706"/>
    <x v="276"/>
    <s v="CUST-0053"/>
    <s v="PROD-021"/>
    <s v="R010"/>
    <n v="7"/>
    <n v="2760"/>
    <n v="17.100000000000001"/>
    <n v="16016.28"/>
    <s v="Completed"/>
    <s v="Delhi"/>
    <s v="Grocery"/>
    <m/>
    <s v="Retail"/>
    <n v="53"/>
    <m/>
    <m/>
    <m/>
    <m/>
  </r>
  <r>
    <s v="ORD-00707"/>
    <x v="21"/>
    <s v="CUST-0278"/>
    <s v="PROD-051"/>
    <s v="R008"/>
    <n v="6"/>
    <n v="3450"/>
    <n v="6.6"/>
    <n v="19333.8"/>
    <s v="Refunded"/>
    <s v="Hyderabad"/>
    <s v="Sports"/>
    <m/>
    <s v="Retail"/>
    <n v="41"/>
    <m/>
    <m/>
    <m/>
    <m/>
  </r>
  <r>
    <s v="ORD-00708"/>
    <x v="316"/>
    <s v="CUST-0285"/>
    <s v="PROD-028"/>
    <s v="R007"/>
    <n v="8"/>
    <n v="3660"/>
    <n v="7.2"/>
    <n v="27171.84"/>
    <s v="Completed"/>
    <s v="Hyderabad"/>
    <s v="Grocery"/>
    <m/>
    <s v="Retail"/>
    <n v="22"/>
    <s v="North"/>
    <s v="Aug-24"/>
    <n v="2214"/>
    <n v="0.39508196721311473"/>
  </r>
  <r>
    <s v="ORD-00709"/>
    <x v="317"/>
    <s v="CUST-0060"/>
    <s v="PROD-009"/>
    <s v="R030"/>
    <n v="4"/>
    <n v="1220"/>
    <n v="24.3"/>
    <n v="3694.16"/>
    <s v="Cancelled"/>
    <s v="Pune"/>
    <s v="Electronics"/>
    <m/>
    <s v="Retail"/>
    <n v="39"/>
    <s v="North"/>
    <s v="Dec-24"/>
    <n v="517"/>
    <n v="0.57622950819672136"/>
  </r>
  <r>
    <s v="ORD-00710"/>
    <x v="294"/>
    <s v="CUST-0236"/>
    <s v="PROD-052"/>
    <s v="R007"/>
    <n v="2"/>
    <n v="5410"/>
    <n v="0.9"/>
    <n v="10722.62"/>
    <s v="Pending"/>
    <s v="Hyderabad"/>
    <s v="Sports"/>
    <m/>
    <s v="SMB"/>
    <n v="28"/>
    <s v="West"/>
    <s v="Sep-24"/>
    <n v="2265"/>
    <n v="0.58133086876155271"/>
  </r>
  <r>
    <s v="ORD-00711"/>
    <x v="94"/>
    <s v="CUST-0106"/>
    <s v="PROD-033"/>
    <s v="R009"/>
    <n v="5"/>
    <n v="2030"/>
    <n v="25.2"/>
    <n v="7592.2"/>
    <s v="Completed"/>
    <s v="Pune"/>
    <s v="Home"/>
    <m/>
    <s v="Retail"/>
    <n v="22"/>
    <s v="North"/>
    <s v="Nov-24"/>
    <n v="1143"/>
    <n v="0.43694581280788175"/>
  </r>
  <r>
    <s v="ORD-00712"/>
    <x v="26"/>
    <s v="CUST-0085"/>
    <s v="PROD-009"/>
    <s v="R012"/>
    <n v="5"/>
    <n v="1220"/>
    <n v="2.6"/>
    <n v="5941.4"/>
    <s v="Completed"/>
    <s v="Chennai"/>
    <s v="Electronics"/>
    <m/>
    <s v="Retail"/>
    <n v="26"/>
    <s v="South"/>
    <s v="Jan-24"/>
    <n v="517"/>
    <n v="0.57622950819672136"/>
  </r>
  <r>
    <s v="ORD-00713"/>
    <x v="77"/>
    <s v="CUST-0075"/>
    <s v="PROD-008"/>
    <s v="R006"/>
    <n v="4"/>
    <n v="2660"/>
    <n v="19.100000000000001"/>
    <n v="8607.76"/>
    <s v="Refunded"/>
    <s v="Mumbai"/>
    <s v="Electronics"/>
    <m/>
    <s v="Corporate"/>
    <n v="55"/>
    <m/>
    <m/>
    <m/>
    <m/>
  </r>
  <r>
    <s v="ORD-00714"/>
    <x v="116"/>
    <s v="CUST-0169"/>
    <s v="PROD-026"/>
    <s v="R016"/>
    <n v="3"/>
    <n v="4070"/>
    <n v="25.2"/>
    <n v="9133.08"/>
    <s v="Completed"/>
    <s v="Bengaluru"/>
    <s v="Grocery"/>
    <m/>
    <s v="SMB"/>
    <n v="42"/>
    <m/>
    <m/>
    <m/>
    <m/>
  </r>
  <r>
    <s v="ORD-00715"/>
    <x v="76"/>
    <s v="CUST-0166"/>
    <s v="PROD-049"/>
    <s v="R014"/>
    <n v="10"/>
    <n v="960"/>
    <n v="0.3"/>
    <n v="9571.2000000000007"/>
    <s v="Completed"/>
    <s v="Hyderabad"/>
    <s v="Beauty"/>
    <m/>
    <s v="Retail"/>
    <n v="31"/>
    <s v="South"/>
    <s v="Feb-24"/>
    <n v="675"/>
    <n v="0.296875"/>
  </r>
  <r>
    <s v="ORD-00716"/>
    <x v="313"/>
    <s v="CUST-0065"/>
    <s v="PROD-031"/>
    <s v="R029"/>
    <n v="2"/>
    <n v="3730"/>
    <n v="29.9"/>
    <n v="5229.46"/>
    <s v="Completed"/>
    <s v="Chennai"/>
    <s v="Home"/>
    <m/>
    <s v="Corporate"/>
    <n v="49"/>
    <m/>
    <m/>
    <m/>
    <m/>
  </r>
  <r>
    <s v="ORD-00717"/>
    <x v="95"/>
    <s v="CUST-0102"/>
    <s v="PROD-057"/>
    <s v="R004"/>
    <n v="9"/>
    <n v="960"/>
    <n v="1.9"/>
    <n v="8475.84"/>
    <s v="Completed"/>
    <s v="Chennai"/>
    <s v="Sports"/>
    <m/>
    <s v="SMB"/>
    <n v="62"/>
    <m/>
    <m/>
    <m/>
    <m/>
  </r>
  <r>
    <s v="ORD-00718"/>
    <x v="253"/>
    <s v="CUST-0052"/>
    <s v="PROD-011"/>
    <s v="R004"/>
    <n v="2"/>
    <n v="3450"/>
    <n v="22.9"/>
    <n v="5319.9"/>
    <s v="Pending"/>
    <s v="Pune"/>
    <s v="Apparel"/>
    <m/>
    <s v="Retail"/>
    <n v="38"/>
    <s v="North"/>
    <s v="Oct-24"/>
    <n v="1748"/>
    <n v="0.49333333333333335"/>
  </r>
  <r>
    <s v="ORD-00719"/>
    <x v="48"/>
    <s v="CUST-0130"/>
    <s v="PROD-052"/>
    <s v="R010"/>
    <n v="3"/>
    <n v="5410"/>
    <n v="15.5"/>
    <n v="13714.35"/>
    <s v="Completed"/>
    <s v="Bengaluru"/>
    <s v="Sports"/>
    <m/>
    <s v="Corporate"/>
    <n v="41"/>
    <m/>
    <m/>
    <m/>
    <m/>
  </r>
  <r>
    <s v="ORD-00720"/>
    <x v="120"/>
    <s v="CUST-0284"/>
    <s v="PROD-043"/>
    <s v="R019"/>
    <n v="8"/>
    <n v="3350"/>
    <n v="18.399999999999999"/>
    <n v="21868.799999999999"/>
    <s v="Completed"/>
    <s v="Hyderabad"/>
    <s v="Beauty"/>
    <m/>
    <s v="SMB"/>
    <n v="65"/>
    <m/>
    <m/>
    <m/>
    <m/>
  </r>
  <r>
    <s v="ORD-00721"/>
    <x v="4"/>
    <s v="CUST-0053"/>
    <s v="PROD-015"/>
    <s v="R008"/>
    <n v="5"/>
    <n v="2720"/>
    <n v="17.3"/>
    <n v="11247.2"/>
    <s v="Cancelled"/>
    <s v="Delhi"/>
    <s v="Apparel"/>
    <m/>
    <s v="Retail"/>
    <n v="53"/>
    <m/>
    <m/>
    <m/>
    <m/>
  </r>
  <r>
    <s v="ORD-00722"/>
    <x v="210"/>
    <s v="CUST-0293"/>
    <s v="PROD-028"/>
    <s v="R017"/>
    <n v="8"/>
    <n v="3660"/>
    <n v="28.8"/>
    <n v="20847.36"/>
    <s v="Completed"/>
    <s v="Bengaluru"/>
    <s v="Grocery"/>
    <m/>
    <s v="Retail"/>
    <n v="27"/>
    <s v="North"/>
    <s v="Nov-24"/>
    <n v="2214"/>
    <n v="0.39508196721311473"/>
  </r>
  <r>
    <s v="ORD-00723"/>
    <x v="21"/>
    <s v="CUST-0242"/>
    <s v="PROD-005"/>
    <s v="R013"/>
    <n v="6"/>
    <n v="300"/>
    <n v="23.9"/>
    <n v="1369.8"/>
    <s v="Cancelled"/>
    <s v="Chennai"/>
    <s v="Electronics"/>
    <m/>
    <s v="SMB"/>
    <n v="59"/>
    <m/>
    <m/>
    <m/>
    <m/>
  </r>
  <r>
    <s v="ORD-00724"/>
    <x v="289"/>
    <s v="CUST-0226"/>
    <s v="PROD-042"/>
    <s v="R026"/>
    <n v="3"/>
    <n v="2290"/>
    <n v="2.4"/>
    <n v="6705.12"/>
    <s v="Completed"/>
    <s v="Chennai"/>
    <s v="Beauty"/>
    <m/>
    <s v="Corporate"/>
    <n v="52"/>
    <m/>
    <m/>
    <m/>
    <m/>
  </r>
  <r>
    <s v="ORD-00725"/>
    <x v="210"/>
    <s v="CUST-0005"/>
    <s v="PROD-046"/>
    <s v="R014"/>
    <n v="6"/>
    <n v="4880"/>
    <n v="11.1"/>
    <n v="26029.919999999998"/>
    <s v="Pending"/>
    <s v="Chennai"/>
    <s v="Beauty"/>
    <m/>
    <s v="Corporate"/>
    <n v="52"/>
    <m/>
    <m/>
    <m/>
    <m/>
  </r>
  <r>
    <s v="ORD-00726"/>
    <x v="254"/>
    <s v="CUST-0211"/>
    <s v="PROD-005"/>
    <s v="R007"/>
    <n v="5"/>
    <n v="300"/>
    <n v="19.399999999999999"/>
    <n v="1209"/>
    <s v="Completed"/>
    <s v="Bengaluru"/>
    <s v="Electronics"/>
    <m/>
    <s v="Retail"/>
    <n v="36"/>
    <s v="South"/>
    <s v="Apr-24"/>
    <n v="128"/>
    <n v="0.57333333333333336"/>
  </r>
  <r>
    <s v="ORD-00727"/>
    <x v="208"/>
    <s v="CUST-0229"/>
    <s v="PROD-008"/>
    <s v="R030"/>
    <n v="3"/>
    <n v="2660"/>
    <n v="28.5"/>
    <n v="5705.7"/>
    <s v="Pending"/>
    <s v="Hyderabad"/>
    <s v="Electronics"/>
    <m/>
    <s v="SMB"/>
    <n v="25"/>
    <s v="North"/>
    <s v="Sep-24"/>
    <n v="1259"/>
    <n v="0.52669172932330832"/>
  </r>
  <r>
    <s v="ORD-00728"/>
    <x v="224"/>
    <s v="CUST-0037"/>
    <s v="PROD-035"/>
    <s v="R024"/>
    <n v="7"/>
    <n v="1090"/>
    <n v="10.3"/>
    <n v="6844.11"/>
    <s v="Completed"/>
    <s v="Bengaluru"/>
    <s v="Home"/>
    <m/>
    <s v="Retail"/>
    <n v="52"/>
    <m/>
    <m/>
    <m/>
    <m/>
  </r>
  <r>
    <s v="ORD-00729"/>
    <x v="154"/>
    <s v="CUST-0059"/>
    <s v="PROD-007"/>
    <s v="R012"/>
    <n v="9"/>
    <n v="1430"/>
    <n v="12.1"/>
    <n v="11312.73"/>
    <s v="Cancelled"/>
    <s v="Pune"/>
    <s v="Electronics"/>
    <m/>
    <s v="Corporate"/>
    <n v="29"/>
    <s v="West"/>
    <s v="May-24"/>
    <n v="861"/>
    <n v="0.39790209790209791"/>
  </r>
  <r>
    <s v="ORD-00730"/>
    <x v="112"/>
    <s v="CUST-0222"/>
    <s v="PROD-010"/>
    <s v="R005"/>
    <n v="5"/>
    <n v="2640"/>
    <n v="26.8"/>
    <n v="9662.4"/>
    <s v="Completed"/>
    <s v="Chennai"/>
    <s v="Electronics"/>
    <m/>
    <s v="Retail"/>
    <n v="37"/>
    <s v="South"/>
    <s v="Feb-24"/>
    <n v="1149"/>
    <n v="0.56477272727272732"/>
  </r>
  <r>
    <s v="ORD-00731"/>
    <x v="71"/>
    <s v="CUST-0157"/>
    <s v="PROD-015"/>
    <s v="R001"/>
    <n v="8"/>
    <n v="2720"/>
    <n v="17.5"/>
    <n v="17952"/>
    <s v="Completed"/>
    <s v="Pune"/>
    <s v="Apparel"/>
    <m/>
    <s v="Corporate"/>
    <n v="52"/>
    <m/>
    <m/>
    <m/>
    <m/>
  </r>
  <r>
    <s v="ORD-00732"/>
    <x v="226"/>
    <s v="CUST-0027"/>
    <s v="PROD-013"/>
    <s v="R016"/>
    <n v="9"/>
    <n v="3640"/>
    <n v="3.6"/>
    <n v="31580.639999999999"/>
    <s v="Completed"/>
    <s v="Hyderabad"/>
    <s v="Apparel"/>
    <m/>
    <s v="Corporate"/>
    <n v="52"/>
    <m/>
    <m/>
    <m/>
    <m/>
  </r>
  <r>
    <s v="ORD-00733"/>
    <x v="211"/>
    <s v="CUST-9846"/>
    <s v="PROD-050"/>
    <s v="R021"/>
    <n v="7"/>
    <n v="6080"/>
    <n v="23.6"/>
    <n v="32515.84"/>
    <s v="Completed"/>
    <s v="Mumbai"/>
    <s v="Beauty"/>
    <m/>
    <e v="#N/A"/>
    <e v="#N/A"/>
    <m/>
    <m/>
    <m/>
    <m/>
  </r>
  <r>
    <s v="ORD-00734"/>
    <x v="241"/>
    <s v="CUST-0011"/>
    <s v="PROD-001"/>
    <s v="R015"/>
    <n v="7"/>
    <n v="5330"/>
    <n v="19.7"/>
    <n v="29959.93"/>
    <s v="Cancelled"/>
    <s v="Chennai"/>
    <s v="Electronics"/>
    <m/>
    <s v="Corporate"/>
    <n v="41"/>
    <m/>
    <m/>
    <m/>
    <m/>
  </r>
  <r>
    <s v="ORD-00735"/>
    <x v="106"/>
    <s v="CUST-0043"/>
    <s v="PROD-039"/>
    <s v="R024"/>
    <n v="5"/>
    <n v="4610"/>
    <n v="3.6"/>
    <n v="22220.2"/>
    <s v="Completed"/>
    <s v="Hyderabad"/>
    <s v="Home"/>
    <m/>
    <s v="Retail"/>
    <n v="61"/>
    <m/>
    <m/>
    <m/>
    <m/>
  </r>
  <r>
    <s v="ORD-00736"/>
    <x v="272"/>
    <s v="CUST-0154"/>
    <s v="PROD-001"/>
    <s v="R030"/>
    <n v="9"/>
    <n v="5330"/>
    <n v="22.9"/>
    <n v="36984.870000000003"/>
    <s v="Completed"/>
    <s v="Pune"/>
    <s v="Electronics"/>
    <m/>
    <s v="Retail"/>
    <n v="36"/>
    <s v="West"/>
    <s v="Oct-24"/>
    <n v="2405"/>
    <n v="0.54878048780487809"/>
  </r>
  <r>
    <s v="ORD-00737"/>
    <x v="242"/>
    <s v="CUST-0163"/>
    <s v="PROD-050"/>
    <s v="R018"/>
    <n v="5"/>
    <n v="6080"/>
    <n v="6"/>
    <n v="28576"/>
    <s v="Refunded"/>
    <s v="Pune"/>
    <s v="Beauty"/>
    <m/>
    <s v="Retail"/>
    <n v="49"/>
    <m/>
    <m/>
    <m/>
    <m/>
  </r>
  <r>
    <s v="ORD-00738"/>
    <x v="193"/>
    <s v="CUST-0299"/>
    <s v="PROD-013"/>
    <s v="R017"/>
    <n v="7"/>
    <n v="3640"/>
    <n v="5.5"/>
    <n v="24078.6"/>
    <s v="Completed"/>
    <s v="Mumbai"/>
    <s v="Apparel"/>
    <m/>
    <s v="Corporate"/>
    <n v="51"/>
    <m/>
    <m/>
    <m/>
    <m/>
  </r>
  <r>
    <s v="ORD-00739"/>
    <x v="260"/>
    <s v="CUST-0240"/>
    <s v="PROD-008"/>
    <s v="R013"/>
    <n v="1"/>
    <n v="2660"/>
    <n v="6.1"/>
    <n v="2497.7399999999998"/>
    <s v="Cancelled"/>
    <s v="Chennai"/>
    <s v="Electronics"/>
    <m/>
    <s v="Corporate"/>
    <n v="35"/>
    <s v="East"/>
    <s v="Jan-24"/>
    <n v="1259"/>
    <n v="0.52669172932330832"/>
  </r>
  <r>
    <s v="ORD-00740"/>
    <x v="212"/>
    <s v="CUST-0291"/>
    <s v="PROD-043"/>
    <s v="R015"/>
    <n v="8"/>
    <n v="3350"/>
    <n v="19.5"/>
    <n v="21574"/>
    <s v="Completed"/>
    <s v="Pune"/>
    <s v="Beauty"/>
    <m/>
    <s v="SMB"/>
    <n v="29"/>
    <s v="South"/>
    <s v="Feb-24"/>
    <n v="1728"/>
    <n v="0.48417910447761192"/>
  </r>
  <r>
    <s v="ORD-00741"/>
    <x v="83"/>
    <s v="CUST-0243"/>
    <s v="PROD-039"/>
    <s v="R019"/>
    <n v="4"/>
    <n v="4610"/>
    <n v="24"/>
    <n v="14014.4"/>
    <s v="Completed"/>
    <s v="Pune"/>
    <s v="Home"/>
    <m/>
    <s v="SMB"/>
    <n v="44"/>
    <m/>
    <m/>
    <m/>
    <m/>
  </r>
  <r>
    <s v="ORD-00742"/>
    <x v="174"/>
    <s v="CUST-0073"/>
    <s v="PROD-055"/>
    <s v="R014"/>
    <n v="7"/>
    <n v="2860"/>
    <n v="23.2"/>
    <n v="15375.36"/>
    <s v="Completed"/>
    <s v="Pune"/>
    <s v="Sports"/>
    <m/>
    <s v="Corporate"/>
    <n v="40"/>
    <s v="East"/>
    <s v="Dec-24"/>
    <n v="2028"/>
    <n v="0.29090909090909089"/>
  </r>
  <r>
    <s v="ORD-00743"/>
    <x v="128"/>
    <s v="CUST-0154"/>
    <s v="PROD-043"/>
    <s v="R013"/>
    <n v="7"/>
    <n v="3350"/>
    <n v="10.6"/>
    <n v="20964.3"/>
    <s v="Pending"/>
    <s v="Pune"/>
    <s v="Beauty"/>
    <m/>
    <s v="Retail"/>
    <n v="36"/>
    <s v="South"/>
    <s v="Jan-24"/>
    <n v="1728"/>
    <n v="0.48417910447761192"/>
  </r>
  <r>
    <s v="ORD-00744"/>
    <x v="55"/>
    <s v="CUST-0084"/>
    <s v="PROD-029"/>
    <s v="R028"/>
    <n v="5"/>
    <n v="2210"/>
    <n v="12.1"/>
    <n v="9712.9500000000007"/>
    <s v="Completed"/>
    <s v="Chennai"/>
    <s v="Grocery"/>
    <m/>
    <s v="Retail"/>
    <n v="28"/>
    <s v="South"/>
    <s v="Dec-24"/>
    <n v="1010"/>
    <n v="0.54298642533936647"/>
  </r>
  <r>
    <s v="ORD-00745"/>
    <x v="90"/>
    <s v="CUST-0228"/>
    <s v="PROD-047"/>
    <s v="R013"/>
    <n v="1"/>
    <n v="3450"/>
    <n v="19.100000000000001"/>
    <n v="2791.05"/>
    <s v="Pending"/>
    <s v="Pune"/>
    <s v="Beauty"/>
    <m/>
    <s v="Corporate"/>
    <n v="37"/>
    <s v="West"/>
    <s v="Oct-24"/>
    <n v="2420"/>
    <n v="0.29855072463768118"/>
  </r>
  <r>
    <s v="ORD-00746"/>
    <x v="78"/>
    <s v="CUST-0232"/>
    <s v="PROD-048"/>
    <s v="R028"/>
    <n v="5"/>
    <n v="5100"/>
    <n v="2.8"/>
    <n v="24786"/>
    <s v="Completed"/>
    <s v="Hyderabad"/>
    <s v="Beauty"/>
    <m/>
    <s v="Retail"/>
    <n v="38"/>
    <s v="South"/>
    <s v="Feb-24"/>
    <n v="2237"/>
    <n v="0.56137254901960787"/>
  </r>
  <r>
    <s v="ORD-00747"/>
    <x v="318"/>
    <s v="CUST-0129"/>
    <s v="PROD-048"/>
    <s v="R003"/>
    <n v="9"/>
    <n v="5100"/>
    <n v="24.4"/>
    <n v="34700.400000000001"/>
    <s v="Completed"/>
    <s v="Hyderabad"/>
    <s v="Beauty"/>
    <m/>
    <s v="Retail"/>
    <n v="29"/>
    <s v="West"/>
    <s v="Oct-24"/>
    <n v="2237"/>
    <n v="0.56137254901960787"/>
  </r>
  <r>
    <s v="ORD-00748"/>
    <x v="296"/>
    <s v="CUST-0189"/>
    <s v="PROD-037"/>
    <s v="R006"/>
    <n v="9"/>
    <n v="660"/>
    <n v="19.8"/>
    <n v="4763.88"/>
    <s v="Completed"/>
    <s v="Chennai"/>
    <s v="Home"/>
    <m/>
    <s v="Retail"/>
    <n v="41"/>
    <m/>
    <m/>
    <m/>
    <m/>
  </r>
  <r>
    <s v="ORD-00749"/>
    <x v="0"/>
    <s v="CUST-0122"/>
    <s v="PROD-026"/>
    <s v="R006"/>
    <n v="3"/>
    <n v="4070"/>
    <n v="27.1"/>
    <n v="8901.09"/>
    <s v="Completed"/>
    <s v="Mumbai"/>
    <s v="Grocery"/>
    <m/>
    <s v="Retail"/>
    <n v="44"/>
    <m/>
    <m/>
    <m/>
    <m/>
  </r>
  <r>
    <s v="ORD-00750"/>
    <x v="172"/>
    <s v="CUST-0170"/>
    <s v="PROD-017"/>
    <s v="R007"/>
    <n v="2"/>
    <n v="2510"/>
    <n v="29.1"/>
    <n v="3559.18"/>
    <s v="Completed"/>
    <s v="Mumbai"/>
    <s v="Apparel"/>
    <m/>
    <s v="SMB"/>
    <n v="22"/>
    <s v="North"/>
    <s v="Sep-24"/>
    <n v="1075"/>
    <n v="0.57171314741035861"/>
  </r>
  <r>
    <s v="ORD-00751"/>
    <x v="121"/>
    <s v="CUST-0291"/>
    <s v="PROD-036"/>
    <s v="R030"/>
    <n v="4"/>
    <n v="3250"/>
    <n v="21.1"/>
    <n v="10257"/>
    <s v="Completed"/>
    <s v="Pune"/>
    <s v="Home"/>
    <m/>
    <s v="SMB"/>
    <n v="29"/>
    <s v="North"/>
    <s v="Jul-24"/>
    <n v="1556"/>
    <n v="0.52123076923076928"/>
  </r>
  <r>
    <s v="ORD-00752"/>
    <x v="77"/>
    <s v="CUST-0090"/>
    <s v="PROD-032"/>
    <s v="R005"/>
    <n v="3"/>
    <n v="370"/>
    <n v="7.7"/>
    <n v="1024.53"/>
    <s v="Completed"/>
    <s v="Bengaluru"/>
    <s v="Home"/>
    <m/>
    <s v="Corporate"/>
    <n v="26"/>
    <s v="West"/>
    <s v="Jun-24"/>
    <n v="288"/>
    <n v="0.22162162162162163"/>
  </r>
  <r>
    <s v="ORD-00753"/>
    <x v="319"/>
    <s v="CUST-0205"/>
    <s v="PROD-020"/>
    <s v="R006"/>
    <n v="10"/>
    <n v="820"/>
    <n v="3.5"/>
    <n v="7913"/>
    <s v="Completed"/>
    <s v="Pune"/>
    <s v="Apparel"/>
    <m/>
    <s v="Corporate"/>
    <n v="29"/>
    <s v="North"/>
    <s v="Nov-24"/>
    <n v="391"/>
    <n v="0.52317073170731709"/>
  </r>
  <r>
    <s v="ORD-00754"/>
    <x v="101"/>
    <s v="CUST-0192"/>
    <s v="PROD-026"/>
    <s v="R029"/>
    <n v="4"/>
    <n v="4070"/>
    <n v="23.8"/>
    <n v="12405.36"/>
    <s v="Completed"/>
    <s v="Bengaluru"/>
    <s v="Grocery"/>
    <m/>
    <s v="Retail"/>
    <n v="55"/>
    <m/>
    <m/>
    <m/>
    <m/>
  </r>
  <r>
    <s v="ORD-00755"/>
    <x v="320"/>
    <s v="CUST-0270"/>
    <s v="PROD-023"/>
    <s v="R011"/>
    <n v="1"/>
    <n v="2380"/>
    <n v="19.600000000000001"/>
    <n v="1913.52"/>
    <s v="Cancelled"/>
    <s v="Bengaluru"/>
    <s v="Grocery"/>
    <m/>
    <s v="Retail"/>
    <n v="29"/>
    <s v="West"/>
    <s v="Aug-24"/>
    <n v="1182"/>
    <n v="0.50336134453781511"/>
  </r>
  <r>
    <s v="ORD-00756"/>
    <x v="223"/>
    <s v="CUST-0266"/>
    <s v="PROD-038"/>
    <s v="R030"/>
    <n v="3"/>
    <n v="5490"/>
    <n v="2.5"/>
    <n v="16058.25"/>
    <s v="Completed"/>
    <s v="Pune"/>
    <s v="Home"/>
    <m/>
    <s v="Retail"/>
    <n v="65"/>
    <m/>
    <m/>
    <m/>
    <m/>
  </r>
  <r>
    <s v="ORD-00757"/>
    <x v="155"/>
    <s v="CUST-0208"/>
    <s v="PROD-013"/>
    <s v="R027"/>
    <n v="3"/>
    <n v="3640"/>
    <n v="23.3"/>
    <n v="8375.64"/>
    <s v="Completed"/>
    <s v="Mumbai"/>
    <s v="Apparel"/>
    <m/>
    <s v="Retail"/>
    <n v="49"/>
    <m/>
    <m/>
    <m/>
    <m/>
  </r>
  <r>
    <s v="ORD-00758"/>
    <x v="321"/>
    <s v="CUST-0224"/>
    <s v="PROD-039"/>
    <s v="R018"/>
    <n v="2"/>
    <n v="4610"/>
    <n v="5"/>
    <n v="8759"/>
    <s v="Pending"/>
    <s v="Chennai"/>
    <s v="Home"/>
    <m/>
    <s v="Corporate"/>
    <n v="24"/>
    <s v="West"/>
    <s v="Jul-24"/>
    <n v="1850"/>
    <n v="0.59869848156182215"/>
  </r>
  <r>
    <s v="ORD-00759"/>
    <x v="264"/>
    <s v="CUST-0264"/>
    <s v="PROD-058"/>
    <s v="R001"/>
    <n v="8"/>
    <n v="2400"/>
    <n v="10"/>
    <n v="17280"/>
    <s v="Pending"/>
    <s v="Pune"/>
    <s v="Sports"/>
    <m/>
    <s v="Retail"/>
    <n v="59"/>
    <m/>
    <m/>
    <m/>
    <m/>
  </r>
  <r>
    <s v="ORD-00760"/>
    <x v="100"/>
    <s v="CUST-0113"/>
    <s v="PROD-043"/>
    <s v="R002"/>
    <n v="7"/>
    <n v="3350"/>
    <n v="23.7"/>
    <n v="17892.349999999999"/>
    <s v="Completed"/>
    <s v="Delhi"/>
    <s v="Beauty"/>
    <m/>
    <s v="Retail"/>
    <n v="30"/>
    <s v="North"/>
    <s v="Mar-24"/>
    <n v="1728"/>
    <n v="0.48417910447761192"/>
  </r>
  <r>
    <s v="ORD-00761"/>
    <x v="4"/>
    <s v="CUST-0160"/>
    <s v="PROD-013"/>
    <s v="R012"/>
    <n v="4"/>
    <n v="3640"/>
    <n v="9.3000000000000007"/>
    <n v="13205.92"/>
    <s v="Cancelled"/>
    <s v="Hyderabad"/>
    <s v="Apparel"/>
    <m/>
    <s v="Retail"/>
    <n v="27"/>
    <s v="North"/>
    <s v="Nov-24"/>
    <n v="2611"/>
    <n v="0.28269230769230769"/>
  </r>
  <r>
    <s v="ORD-00762"/>
    <x v="133"/>
    <s v="CUST-0109"/>
    <s v="PROD-013"/>
    <s v="R028"/>
    <n v="9"/>
    <n v="3640"/>
    <n v="13.1"/>
    <n v="28468.44"/>
    <s v="Pending"/>
    <s v="Pune"/>
    <s v="Apparel"/>
    <m/>
    <s v="Retail"/>
    <n v="42"/>
    <m/>
    <m/>
    <m/>
    <m/>
  </r>
  <r>
    <s v="ORD-00763"/>
    <x v="287"/>
    <s v="CUST-0107"/>
    <s v="PROD-033"/>
    <s v="R014"/>
    <n v="2"/>
    <n v="2030"/>
    <n v="12.2"/>
    <n v="3564.68"/>
    <s v="Completed"/>
    <s v="Pune"/>
    <s v="Home"/>
    <m/>
    <s v="Retail"/>
    <n v="50"/>
    <m/>
    <m/>
    <m/>
    <m/>
  </r>
  <r>
    <s v="ORD-00764"/>
    <x v="314"/>
    <s v="CUST-0120"/>
    <s v="PROD-012"/>
    <s v="R002"/>
    <n v="4"/>
    <n v="3160"/>
    <n v="7.5"/>
    <n v="11692"/>
    <s v="Completed"/>
    <s v="Mumbai"/>
    <s v="Apparel"/>
    <m/>
    <s v="Retail"/>
    <n v="29"/>
    <s v="South"/>
    <s v="Dec-24"/>
    <n v="1886"/>
    <n v="0.4031645569620253"/>
  </r>
  <r>
    <s v="ORD-00765"/>
    <x v="322"/>
    <s v="CUST-0225"/>
    <s v="PROD-026"/>
    <s v="R029"/>
    <n v="10"/>
    <n v="4070"/>
    <n v="8.3000000000000007"/>
    <n v="37321.9"/>
    <s v="Completed"/>
    <s v="Chennai"/>
    <s v="Grocery"/>
    <m/>
    <s v="SMB"/>
    <n v="26"/>
    <s v="North"/>
    <s v="Jun-24"/>
    <n v="2027"/>
    <n v="0.50196560196560192"/>
  </r>
  <r>
    <s v="ORD-00766"/>
    <x v="30"/>
    <s v="CUST-0134"/>
    <s v="PROD-025"/>
    <s v="R024"/>
    <n v="8"/>
    <n v="4060"/>
    <n v="8.5"/>
    <n v="29719.200000000001"/>
    <s v="Completed"/>
    <s v="Delhi"/>
    <s v="Grocery"/>
    <m/>
    <s v="Retail"/>
    <n v="40"/>
    <s v="West"/>
    <s v="Feb-24"/>
    <n v="2911"/>
    <n v="0.28300492610837441"/>
  </r>
  <r>
    <s v="ORD-00767"/>
    <x v="323"/>
    <s v="CUST-0279"/>
    <s v="PROD-057"/>
    <s v="R018"/>
    <n v="8"/>
    <n v="960"/>
    <n v="8.6999999999999993"/>
    <n v="7011.84"/>
    <s v="Completed"/>
    <s v="Mumbai"/>
    <s v="Sports"/>
    <m/>
    <s v="Retail"/>
    <n v="56"/>
    <m/>
    <m/>
    <m/>
    <m/>
  </r>
  <r>
    <s v="ORD-00768"/>
    <x v="141"/>
    <s v="CUST-0247"/>
    <s v="PROD-022"/>
    <s v="R027"/>
    <n v="2"/>
    <n v="2270"/>
    <n v="10.199999999999999"/>
    <n v="4076.92"/>
    <s v="Completed"/>
    <s v="Pune"/>
    <s v="Grocery"/>
    <m/>
    <s v="SMB"/>
    <n v="35"/>
    <s v="East"/>
    <s v="Feb-24"/>
    <n v="1412"/>
    <n v="0.37797356828193834"/>
  </r>
  <r>
    <s v="ORD-00769"/>
    <x v="197"/>
    <s v="CUST-0129"/>
    <s v="PROD-027"/>
    <s v="R007"/>
    <n v="1"/>
    <n v="3780"/>
    <n v="15.3"/>
    <n v="3201.66"/>
    <s v="Cancelled"/>
    <s v="Hyderabad"/>
    <s v="Grocery"/>
    <m/>
    <s v="Retail"/>
    <n v="29"/>
    <s v="West"/>
    <s v="Jan-24"/>
    <n v="2436"/>
    <n v="0.35555555555555557"/>
  </r>
  <r>
    <s v="ORD-00770"/>
    <x v="135"/>
    <s v="CUST-0038"/>
    <s v="PROD-042"/>
    <s v="R028"/>
    <n v="10"/>
    <n v="2290"/>
    <n v="2.4"/>
    <n v="22350.400000000001"/>
    <s v="Pending"/>
    <s v="Mumbai"/>
    <s v="Beauty"/>
    <m/>
    <s v="Retail"/>
    <n v="57"/>
    <m/>
    <m/>
    <m/>
    <m/>
  </r>
  <r>
    <s v="ORD-00771"/>
    <x v="104"/>
    <s v="CUST-0109"/>
    <s v="PROD-043"/>
    <s v="R017"/>
    <n v="5"/>
    <n v="3350"/>
    <n v="18.5"/>
    <n v="13651.25"/>
    <s v="Cancelled"/>
    <s v="Pune"/>
    <s v="Beauty"/>
    <m/>
    <s v="Retail"/>
    <n v="42"/>
    <m/>
    <m/>
    <m/>
    <m/>
  </r>
  <r>
    <s v="ORD-00772"/>
    <x v="324"/>
    <s v="CUST-0051"/>
    <s v="PROD-017"/>
    <s v="R021"/>
    <n v="7"/>
    <n v="2510"/>
    <n v="4.2"/>
    <n v="16832.060000000001"/>
    <s v="Cancelled"/>
    <s v="Pune"/>
    <s v="Apparel"/>
    <m/>
    <s v="SMB"/>
    <n v="54"/>
    <m/>
    <m/>
    <m/>
    <m/>
  </r>
  <r>
    <s v="ORD-00773"/>
    <x v="325"/>
    <s v="CUST-0265"/>
    <s v="PROD-002"/>
    <s v="R018"/>
    <n v="1"/>
    <n v="2600"/>
    <n v="2.2000000000000002"/>
    <n v="2542.8000000000002"/>
    <s v="Completed"/>
    <s v="Chennai"/>
    <s v="Electronics"/>
    <m/>
    <s v="Retail"/>
    <n v="49"/>
    <m/>
    <m/>
    <m/>
    <m/>
  </r>
  <r>
    <s v="ORD-00774"/>
    <x v="299"/>
    <s v="CUST-0192"/>
    <s v="PROD-053"/>
    <s v="R003"/>
    <n v="8"/>
    <n v="470"/>
    <n v="25.2"/>
    <n v="2812.48"/>
    <s v="Completed"/>
    <s v="Bengaluru"/>
    <s v="Sports"/>
    <m/>
    <s v="Retail"/>
    <n v="55"/>
    <m/>
    <m/>
    <m/>
    <m/>
  </r>
  <r>
    <s v="ORD-00775"/>
    <x v="307"/>
    <s v="CUST-0241"/>
    <s v="PROD-040"/>
    <s v="R012"/>
    <n v="6"/>
    <n v="1080"/>
    <n v="25"/>
    <n v="4860"/>
    <s v="Completed"/>
    <s v="Pune"/>
    <s v="Home"/>
    <m/>
    <s v="Corporate"/>
    <n v="47"/>
    <m/>
    <m/>
    <m/>
    <m/>
  </r>
  <r>
    <s v="ORD-00776"/>
    <x v="218"/>
    <s v="CUST-0243"/>
    <s v="PROD-054"/>
    <s v="R019"/>
    <n v="2"/>
    <n v="1010"/>
    <n v="16.100000000000001"/>
    <n v="1694.78"/>
    <s v="Completed"/>
    <s v="Pune"/>
    <s v="Sports"/>
    <m/>
    <s v="SMB"/>
    <n v="44"/>
    <m/>
    <m/>
    <m/>
    <m/>
  </r>
  <r>
    <s v="ORD-00777"/>
    <x v="196"/>
    <s v="CUST-0016"/>
    <s v="PROD-004"/>
    <s v="R002"/>
    <n v="6"/>
    <n v="3870"/>
    <n v="22.4"/>
    <n v="18018.72"/>
    <s v="Cancelled"/>
    <s v="Delhi"/>
    <s v="Electronics"/>
    <m/>
    <s v="SMB"/>
    <n v="26"/>
    <s v="East"/>
    <s v="Dec-24"/>
    <n v="1559"/>
    <n v="0.59715762273901807"/>
  </r>
  <r>
    <s v="ORD-00778"/>
    <x v="219"/>
    <s v="CUST-0249"/>
    <s v="PROD-033"/>
    <s v="R027"/>
    <n v="3"/>
    <n v="2030"/>
    <n v="18.5"/>
    <n v="4963.3500000000004"/>
    <s v="Completed"/>
    <s v="Mumbai"/>
    <s v="Home"/>
    <m/>
    <s v="Retail"/>
    <n v="44"/>
    <m/>
    <m/>
    <m/>
    <m/>
  </r>
  <r>
    <s v="ORD-00779"/>
    <x v="326"/>
    <s v="CUST-0021"/>
    <s v="PROD-040"/>
    <s v="R027"/>
    <n v="7"/>
    <n v="1080"/>
    <n v="6.8"/>
    <n v="7045.92"/>
    <s v="Pending"/>
    <s v="Pune"/>
    <s v="Home"/>
    <m/>
    <s v="Retail"/>
    <n v="44"/>
    <m/>
    <m/>
    <m/>
    <m/>
  </r>
  <r>
    <s v="ORD-00780"/>
    <x v="303"/>
    <s v="CUST-0255"/>
    <s v="PROD-035"/>
    <s v="R009"/>
    <n v="1"/>
    <n v="1090"/>
    <n v="20.6"/>
    <n v="865.46"/>
    <s v="Completed"/>
    <s v="Chennai"/>
    <s v="Home"/>
    <m/>
    <s v="Corporate"/>
    <n v="51"/>
    <m/>
    <m/>
    <m/>
    <m/>
  </r>
  <r>
    <s v="ORD-00781"/>
    <x v="72"/>
    <s v="CUST-0084"/>
    <s v="PROD-032"/>
    <s v="R011"/>
    <n v="8"/>
    <n v="370"/>
    <n v="1.7"/>
    <n v="2909.68"/>
    <s v="Completed"/>
    <s v="Chennai"/>
    <s v="Home"/>
    <m/>
    <s v="Retail"/>
    <n v="28"/>
    <s v="South"/>
    <s v="Nov-24"/>
    <n v="288"/>
    <n v="0.22162162162162163"/>
  </r>
  <r>
    <s v="ORD-00782"/>
    <x v="327"/>
    <s v="CUST-0289"/>
    <s v="PROD-018"/>
    <s v="R018"/>
    <n v="7"/>
    <n v="3560"/>
    <n v="28.7"/>
    <n v="17767.96"/>
    <s v="Completed"/>
    <s v="Mumbai"/>
    <s v="Apparel"/>
    <m/>
    <s v="Retail"/>
    <n v="54"/>
    <m/>
    <m/>
    <m/>
    <m/>
  </r>
  <r>
    <s v="ORD-00783"/>
    <x v="328"/>
    <s v="CUST-0026"/>
    <s v="PROD-050"/>
    <s v="R016"/>
    <n v="9"/>
    <n v="6080"/>
    <n v="16.3"/>
    <n v="45800.639999999999"/>
    <s v="Cancelled"/>
    <s v="Pune"/>
    <s v="Beauty"/>
    <m/>
    <s v="Retail"/>
    <n v="62"/>
    <m/>
    <m/>
    <m/>
    <m/>
  </r>
  <r>
    <s v="ORD-00784"/>
    <x v="265"/>
    <s v="CUST-0273"/>
    <s v="PROD-051"/>
    <s v="R015"/>
    <n v="2"/>
    <n v="3450"/>
    <n v="17.600000000000001"/>
    <n v="5685.6"/>
    <s v="Pending"/>
    <s v="Hyderabad"/>
    <s v="Sports"/>
    <m/>
    <s v="Corporate"/>
    <n v="32"/>
    <s v="South"/>
    <s v="Jun-24"/>
    <n v="2467"/>
    <n v="0.28492753623188405"/>
  </r>
  <r>
    <s v="ORD-00785"/>
    <x v="24"/>
    <s v="CUST-0069"/>
    <s v="PROD-034"/>
    <s v="R009"/>
    <n v="1"/>
    <n v="5080"/>
    <n v="5.9"/>
    <n v="4780.28"/>
    <s v="Completed"/>
    <s v="Chennai"/>
    <s v="Home"/>
    <m/>
    <s v="Retail"/>
    <n v="51"/>
    <m/>
    <m/>
    <m/>
    <m/>
  </r>
  <r>
    <s v="ORD-00786"/>
    <x v="234"/>
    <s v="CUST-0236"/>
    <s v="PROD-011"/>
    <s v="R023"/>
    <n v="7"/>
    <n v="3450"/>
    <n v="17.399999999999999"/>
    <n v="19947.900000000001"/>
    <s v="Completed"/>
    <s v="Hyderabad"/>
    <s v="Apparel"/>
    <m/>
    <s v="SMB"/>
    <n v="28"/>
    <s v="South"/>
    <s v="Apr-24"/>
    <n v="1748"/>
    <n v="0.49333333333333335"/>
  </r>
  <r>
    <s v="ORD-00787"/>
    <x v="210"/>
    <s v="CUST-0060"/>
    <s v="PROD-024"/>
    <s v="R009"/>
    <n v="8"/>
    <n v="2270"/>
    <n v="24.7"/>
    <n v="13674.48"/>
    <s v="Completed"/>
    <s v="Pune"/>
    <s v="Grocery"/>
    <m/>
    <s v="Retail"/>
    <n v="39"/>
    <s v="East"/>
    <s v="Mar-24"/>
    <n v="1203"/>
    <n v="0.47004405286343615"/>
  </r>
  <r>
    <s v="ORD-00788"/>
    <x v="37"/>
    <s v="CUST-0243"/>
    <s v="PROD-012"/>
    <s v="R023"/>
    <n v="3"/>
    <n v="3160"/>
    <n v="1.5"/>
    <n v="9337.7999999999993"/>
    <s v="Pending"/>
    <s v="Pune"/>
    <s v="Apparel"/>
    <m/>
    <s v="SMB"/>
    <n v="44"/>
    <m/>
    <m/>
    <m/>
    <m/>
  </r>
  <r>
    <s v="ORD-00789"/>
    <x v="44"/>
    <s v="CUST-0188"/>
    <s v="PROD-043"/>
    <s v="R029"/>
    <n v="6"/>
    <n v="3350"/>
    <n v="0.9"/>
    <n v="19919.099999999999"/>
    <s v="Pending"/>
    <s v="Bengaluru"/>
    <s v="Beauty"/>
    <m/>
    <s v="Retail"/>
    <n v="54"/>
    <m/>
    <m/>
    <m/>
    <m/>
  </r>
  <r>
    <s v="ORD-00790"/>
    <x v="47"/>
    <s v="CUST-0174"/>
    <s v="PROD-044"/>
    <s v="R029"/>
    <n v="7"/>
    <n v="1650"/>
    <n v="5.6"/>
    <n v="10903.2"/>
    <s v="Refunded"/>
    <s v="Pune"/>
    <s v="Beauty"/>
    <m/>
    <s v="Retail"/>
    <n v="54"/>
    <m/>
    <m/>
    <m/>
    <m/>
  </r>
  <r>
    <s v="ORD-00791"/>
    <x v="73"/>
    <s v="CUST-0016"/>
    <s v="PROD-038"/>
    <s v="R003"/>
    <n v="1"/>
    <n v="5490"/>
    <n v="5.8"/>
    <n v="5171.58"/>
    <s v="Completed"/>
    <s v="Delhi"/>
    <s v="Home"/>
    <m/>
    <s v="SMB"/>
    <n v="26"/>
    <s v="West"/>
    <s v="Aug-24"/>
    <n v="2549"/>
    <n v="0.53570127504553733"/>
  </r>
  <r>
    <s v="ORD-00792"/>
    <x v="171"/>
    <s v="CUST-0184"/>
    <s v="PROD-040"/>
    <s v="R024"/>
    <n v="3"/>
    <n v="1080"/>
    <n v="20.9"/>
    <n v="2562.84"/>
    <s v="Completed"/>
    <s v="Pune"/>
    <s v="Home"/>
    <m/>
    <s v="Retail"/>
    <n v="63"/>
    <m/>
    <m/>
    <m/>
    <m/>
  </r>
  <r>
    <s v="ORD-00793"/>
    <x v="224"/>
    <s v="CUST-9568"/>
    <s v="PROD-027"/>
    <s v="R018"/>
    <n v="10"/>
    <n v="3780"/>
    <n v="5.5"/>
    <n v="35721"/>
    <s v="Completed"/>
    <s v="Hyderabad"/>
    <s v="Grocery"/>
    <m/>
    <e v="#N/A"/>
    <e v="#N/A"/>
    <m/>
    <m/>
    <m/>
    <m/>
  </r>
  <r>
    <s v="ORD-00794"/>
    <x v="307"/>
    <s v="CUST-0118"/>
    <s v="PROD-033"/>
    <s v="R030"/>
    <n v="2"/>
    <n v="2030"/>
    <n v="2"/>
    <n v="3978.8"/>
    <s v="Pending"/>
    <s v="Hyderabad"/>
    <s v="Home"/>
    <m/>
    <s v="Retail"/>
    <n v="26"/>
    <s v="East"/>
    <s v="May-24"/>
    <n v="1143"/>
    <n v="0.43694581280788175"/>
  </r>
  <r>
    <s v="ORD-00795"/>
    <x v="329"/>
    <s v="CUST-0271"/>
    <s v="PROD-041"/>
    <s v="R019"/>
    <n v="8"/>
    <n v="1540"/>
    <n v="9"/>
    <n v="11211.2"/>
    <s v="Cancelled"/>
    <s v="Bengaluru"/>
    <s v="Beauty"/>
    <m/>
    <s v="Corporate"/>
    <n v="41"/>
    <m/>
    <m/>
    <m/>
    <m/>
  </r>
  <r>
    <s v="ORD-00796"/>
    <x v="131"/>
    <s v="CUST-0147"/>
    <s v="PROD-036"/>
    <s v="R015"/>
    <n v="9"/>
    <n v="3250"/>
    <n v="20.5"/>
    <n v="23253.75"/>
    <s v="Completed"/>
    <s v="Pune"/>
    <s v="Home"/>
    <m/>
    <s v="Retail"/>
    <n v="56"/>
    <m/>
    <m/>
    <m/>
    <m/>
  </r>
  <r>
    <s v="ORD-00797"/>
    <x v="112"/>
    <s v="CUST-0253"/>
    <s v="PROD-047"/>
    <s v="R005"/>
    <n v="3"/>
    <n v="3450"/>
    <n v="17.899999999999999"/>
    <n v="8497.35"/>
    <s v="Completed"/>
    <s v="Delhi"/>
    <s v="Beauty"/>
    <m/>
    <s v="SMB"/>
    <n v="53"/>
    <m/>
    <m/>
    <m/>
    <m/>
  </r>
  <r>
    <s v="ORD-00798"/>
    <x v="172"/>
    <s v="CUST-0224"/>
    <s v="PROD-038"/>
    <s v="R008"/>
    <n v="5"/>
    <n v="5490"/>
    <n v="7.9"/>
    <n v="25281.45"/>
    <s v="Completed"/>
    <s v="Chennai"/>
    <s v="Home"/>
    <m/>
    <s v="Corporate"/>
    <n v="24"/>
    <s v="North"/>
    <s v="Feb-24"/>
    <n v="2549"/>
    <n v="0.53570127504553733"/>
  </r>
  <r>
    <s v="ORD-00799"/>
    <x v="141"/>
    <s v="CUST-0134"/>
    <s v="PROD-032"/>
    <s v="R029"/>
    <n v="3"/>
    <n v="370"/>
    <n v="13.4"/>
    <n v="961.26"/>
    <s v="Completed"/>
    <s v="Delhi"/>
    <s v="Home"/>
    <m/>
    <s v="Retail"/>
    <n v="40"/>
    <s v="North"/>
    <s v="Jul-24"/>
    <n v="288"/>
    <n v="0.22162162162162163"/>
  </r>
  <r>
    <s v="ORD-00800"/>
    <x v="3"/>
    <s v="CUST-0287"/>
    <s v="PROD-001"/>
    <s v="R009"/>
    <n v="7"/>
    <n v="5330"/>
    <n v="29.7"/>
    <n v="26228.93"/>
    <s v="Pending"/>
    <s v="Chennai"/>
    <s v="Electronics"/>
    <m/>
    <s v="SMB"/>
    <n v="53"/>
    <m/>
    <m/>
    <m/>
    <m/>
  </r>
  <r>
    <s v="ORD-00801"/>
    <x v="213"/>
    <s v="CUST-0144"/>
    <s v="PROD-051"/>
    <s v="R016"/>
    <n v="8"/>
    <n v="3450"/>
    <n v="23.7"/>
    <n v="21058.799999999999"/>
    <s v="Completed"/>
    <s v="Chennai"/>
    <s v="Sports"/>
    <m/>
    <s v="Retail"/>
    <n v="49"/>
    <m/>
    <m/>
    <m/>
    <m/>
  </r>
  <r>
    <s v="ORD-00802"/>
    <x v="309"/>
    <s v="CUST-0255"/>
    <s v="PROD-011"/>
    <s v="R027"/>
    <n v="8"/>
    <n v="3450"/>
    <n v="5.4"/>
    <n v="26109.599999999999"/>
    <s v="Completed"/>
    <s v="Chennai"/>
    <s v="Apparel"/>
    <m/>
    <s v="Corporate"/>
    <n v="51"/>
    <m/>
    <m/>
    <m/>
    <m/>
  </r>
  <r>
    <s v="ORD-00803"/>
    <x v="325"/>
    <s v="CUST-0054"/>
    <s v="PROD-050"/>
    <s v="R029"/>
    <n v="1"/>
    <n v="6080"/>
    <n v="22.3"/>
    <n v="4724.16"/>
    <s v="Completed"/>
    <s v="Mumbai"/>
    <s v="Beauty"/>
    <m/>
    <s v="Corporate"/>
    <n v="62"/>
    <m/>
    <m/>
    <m/>
    <m/>
  </r>
  <r>
    <s v="ORD-00804"/>
    <x v="100"/>
    <s v="CUST-0283"/>
    <s v="PROD-017"/>
    <s v="R011"/>
    <n v="9"/>
    <n v="2510"/>
    <n v="27.4"/>
    <n v="16400.34"/>
    <s v="Completed"/>
    <s v="Delhi"/>
    <s v="Apparel"/>
    <m/>
    <s v="SMB"/>
    <n v="50"/>
    <m/>
    <m/>
    <m/>
    <m/>
  </r>
  <r>
    <s v="ORD-00805"/>
    <x v="40"/>
    <s v="CUST-0182"/>
    <s v="PROD-054"/>
    <s v="R012"/>
    <n v="10"/>
    <n v="1010"/>
    <n v="28.4"/>
    <n v="7231.6"/>
    <s v="Completed"/>
    <s v="Mumbai"/>
    <s v="Sports"/>
    <m/>
    <s v="Retail"/>
    <n v="54"/>
    <m/>
    <m/>
    <m/>
    <m/>
  </r>
  <r>
    <s v="ORD-00806"/>
    <x v="24"/>
    <s v="CUST-0289"/>
    <s v="PROD-018"/>
    <s v="R023"/>
    <n v="1"/>
    <n v="3560"/>
    <n v="26"/>
    <n v="2634.4"/>
    <s v="Completed"/>
    <s v="Mumbai"/>
    <s v="Apparel"/>
    <m/>
    <s v="Retail"/>
    <n v="54"/>
    <m/>
    <m/>
    <m/>
    <m/>
  </r>
  <r>
    <s v="ORD-00807"/>
    <x v="245"/>
    <s v="CUST-0104"/>
    <s v="PROD-045"/>
    <s v="R006"/>
    <n v="8"/>
    <n v="3020"/>
    <n v="6.9"/>
    <n v="22492.959999999999"/>
    <s v="Completed"/>
    <s v="Hyderabad"/>
    <s v="Beauty"/>
    <m/>
    <s v="Corporate"/>
    <n v="43"/>
    <m/>
    <m/>
    <m/>
    <m/>
  </r>
  <r>
    <s v="ORD-00808"/>
    <x v="114"/>
    <s v="CUST-0085"/>
    <s v="PROD-026"/>
    <s v="R017"/>
    <n v="1"/>
    <n v="4070"/>
    <n v="8.1999999999999993"/>
    <n v="3736.26"/>
    <s v="Completed"/>
    <s v="Chennai"/>
    <s v="Grocery"/>
    <m/>
    <s v="Retail"/>
    <n v="26"/>
    <s v="North"/>
    <s v="Apr-24"/>
    <n v="2027"/>
    <n v="0.50196560196560192"/>
  </r>
  <r>
    <s v="ORD-00809"/>
    <x v="324"/>
    <s v="CUST-0120"/>
    <s v="PROD-032"/>
    <s v="R020"/>
    <n v="9"/>
    <n v="370"/>
    <n v="19.8"/>
    <n v="2670.66"/>
    <s v="Completed"/>
    <s v="Mumbai"/>
    <s v="Home"/>
    <m/>
    <s v="Retail"/>
    <n v="29"/>
    <s v="East"/>
    <s v="Jan-24"/>
    <n v="288"/>
    <n v="0.22162162162162163"/>
  </r>
  <r>
    <s v="ORD-00810"/>
    <x v="227"/>
    <s v="CUST-0236"/>
    <s v="PROD-030"/>
    <s v="R020"/>
    <n v="6"/>
    <n v="970"/>
    <n v="16.2"/>
    <n v="4877.16"/>
    <s v="Completed"/>
    <s v="Hyderabad"/>
    <s v="Grocery"/>
    <m/>
    <s v="SMB"/>
    <n v="28"/>
    <s v="East"/>
    <s v="Feb-24"/>
    <n v="434"/>
    <n v="0.5525773195876289"/>
  </r>
  <r>
    <s v="ORD-00811"/>
    <x v="142"/>
    <s v="CUST-0094"/>
    <s v="PROD-015"/>
    <s v="R019"/>
    <n v="10"/>
    <n v="2720"/>
    <n v="3"/>
    <n v="26384"/>
    <s v="Pending"/>
    <s v="Pune"/>
    <s v="Apparel"/>
    <m/>
    <s v="SMB"/>
    <n v="60"/>
    <m/>
    <m/>
    <m/>
    <m/>
  </r>
  <r>
    <s v="ORD-00812"/>
    <x v="174"/>
    <s v="CUST-0030"/>
    <s v="PROD-058"/>
    <s v="R014"/>
    <n v="7"/>
    <n v="2400"/>
    <n v="29.4"/>
    <n v="11860.8"/>
    <s v="Completed"/>
    <s v="Bengaluru"/>
    <s v="Sports"/>
    <m/>
    <s v="Corporate"/>
    <n v="43"/>
    <m/>
    <m/>
    <m/>
    <m/>
  </r>
  <r>
    <s v="ORD-00813"/>
    <x v="148"/>
    <s v="CUST-0172"/>
    <s v="PROD-018"/>
    <s v="R012"/>
    <n v="8"/>
    <n v="3560"/>
    <n v="21.7"/>
    <n v="22299.84"/>
    <s v="Completed"/>
    <s v="Pune"/>
    <s v="Apparel"/>
    <m/>
    <s v="Retail"/>
    <n v="65"/>
    <m/>
    <m/>
    <m/>
    <m/>
  </r>
  <r>
    <s v="ORD-00814"/>
    <x v="217"/>
    <s v="CUST-0221"/>
    <s v="PROD-026"/>
    <s v="R015"/>
    <n v="7"/>
    <n v="4070"/>
    <n v="10.5"/>
    <n v="25498.55"/>
    <s v="Completed"/>
    <s v="Delhi"/>
    <s v="Grocery"/>
    <m/>
    <s v="SMB"/>
    <n v="29"/>
    <s v="South"/>
    <s v="Sep-24"/>
    <n v="2027"/>
    <n v="0.50196560196560192"/>
  </r>
  <r>
    <s v="ORD-01052"/>
    <x v="193"/>
    <s v="CUST-0151"/>
    <s v="PROD-052"/>
    <s v="R008"/>
    <n v="3"/>
    <n v="5410"/>
    <n v="0.2"/>
    <n v="16197.54"/>
    <s v="Completed"/>
    <s v="Mumbai"/>
    <s v="Sports"/>
    <m/>
    <s v="Retail"/>
    <n v="53"/>
    <m/>
    <m/>
    <m/>
    <m/>
  </r>
  <r>
    <s v="ORD-00816"/>
    <x v="330"/>
    <s v="CUST-0068"/>
    <s v="PROD-021"/>
    <s v="R028"/>
    <n v="4"/>
    <n v="2760"/>
    <n v="27.5"/>
    <n v="8004"/>
    <s v="Cancelled"/>
    <s v="Delhi"/>
    <s v="Grocery"/>
    <m/>
    <s v="SMB"/>
    <n v="48"/>
    <m/>
    <m/>
    <m/>
    <m/>
  </r>
  <r>
    <s v="ORD-01136"/>
    <x v="267"/>
    <s v="CUST-0165"/>
    <s v="PROD-034"/>
    <s v="R013"/>
    <n v="3"/>
    <n v="5080"/>
    <n v="27.2"/>
    <n v="11094.72"/>
    <s v="Completed"/>
    <s v="Pune"/>
    <s v="Home"/>
    <m/>
    <s v="Retail"/>
    <n v="29"/>
    <s v="West"/>
    <s v="Dec-24"/>
    <n v="2459"/>
    <n v="0.51594488188976373"/>
  </r>
  <r>
    <s v="ORD-00818"/>
    <x v="139"/>
    <s v="CUST-0060"/>
    <s v="PROD-035"/>
    <s v="R017"/>
    <n v="5"/>
    <n v="1090"/>
    <n v="3.3"/>
    <n v="5270.15"/>
    <s v="Completed"/>
    <s v="Pune"/>
    <s v="Home"/>
    <m/>
    <s v="Retail"/>
    <n v="39"/>
    <s v="South"/>
    <s v="Jul-24"/>
    <n v="464"/>
    <n v="0.57431192660550456"/>
  </r>
  <r>
    <s v="ORD-00819"/>
    <x v="60"/>
    <s v="CUST-0130"/>
    <s v="PROD-023"/>
    <s v="R029"/>
    <n v="10"/>
    <n v="2380"/>
    <n v="7"/>
    <n v="22134"/>
    <s v="Completed"/>
    <s v="Bengaluru"/>
    <s v="Grocery"/>
    <m/>
    <s v="Corporate"/>
    <n v="41"/>
    <m/>
    <m/>
    <m/>
    <m/>
  </r>
  <r>
    <s v="ORD-00820"/>
    <x v="156"/>
    <s v="CUST-0023"/>
    <s v="PROD-012"/>
    <s v="R026"/>
    <n v="5"/>
    <n v="3160"/>
    <n v="25.6"/>
    <n v="11755.2"/>
    <s v="Completed"/>
    <s v="Chennai"/>
    <s v="Apparel"/>
    <m/>
    <s v="SMB"/>
    <n v="43"/>
    <m/>
    <m/>
    <m/>
    <m/>
  </r>
  <r>
    <s v="ORD-00821"/>
    <x v="331"/>
    <s v="CUST-0089"/>
    <s v="PROD-058"/>
    <s v="R029"/>
    <n v="9"/>
    <n v="2400"/>
    <n v="8.4"/>
    <n v="19785.599999999999"/>
    <s v="Completed"/>
    <s v="Mumbai"/>
    <s v="Sports"/>
    <m/>
    <s v="SMB"/>
    <n v="43"/>
    <m/>
    <m/>
    <m/>
    <m/>
  </r>
  <r>
    <s v="ORD-00822"/>
    <x v="121"/>
    <s v="CUST-0300"/>
    <s v="PROD-002"/>
    <s v="R020"/>
    <n v="4"/>
    <n v="2600"/>
    <n v="4.2"/>
    <n v="9963.2000000000007"/>
    <s v="Completed"/>
    <s v="Mumbai"/>
    <s v="Electronics"/>
    <m/>
    <s v="Retail"/>
    <n v="38"/>
    <s v="West"/>
    <s v="Mar-24"/>
    <n v="1052"/>
    <n v="0.5953846153846154"/>
  </r>
  <r>
    <s v="ORD-00823"/>
    <x v="132"/>
    <s v="CUST-9578"/>
    <s v="PROD-024"/>
    <s v="R023"/>
    <n v="5"/>
    <n v="2270"/>
    <n v="0.1"/>
    <n v="11338.65"/>
    <s v="Completed"/>
    <s v="Mumbai"/>
    <s v="Grocery"/>
    <m/>
    <e v="#N/A"/>
    <e v="#N/A"/>
    <m/>
    <m/>
    <m/>
    <m/>
  </r>
  <r>
    <s v="ORD-00824"/>
    <x v="57"/>
    <s v="CUST-0130"/>
    <s v="PROD-038"/>
    <s v="R020"/>
    <n v="7"/>
    <n v="5490"/>
    <n v="14.9"/>
    <n v="32703.93"/>
    <s v="Completed"/>
    <s v="Bengaluru"/>
    <s v="Home"/>
    <m/>
    <s v="Corporate"/>
    <n v="41"/>
    <m/>
    <m/>
    <m/>
    <m/>
  </r>
  <r>
    <s v="ORD-00825"/>
    <x v="209"/>
    <s v="CUST-0247"/>
    <s v="PROD-004"/>
    <s v="R009"/>
    <n v="5"/>
    <n v="3870"/>
    <n v="13.3"/>
    <n v="16776.45"/>
    <s v="Cancelled"/>
    <s v="Pune"/>
    <s v="Electronics"/>
    <m/>
    <s v="SMB"/>
    <n v="35"/>
    <s v="East"/>
    <s v="Jun-24"/>
    <n v="1559"/>
    <n v="0.59715762273901807"/>
  </r>
  <r>
    <s v="ORD-00826"/>
    <x v="332"/>
    <s v="CUST-0256"/>
    <s v="PROD-049"/>
    <s v="R024"/>
    <n v="2"/>
    <n v="960"/>
    <n v="17.5"/>
    <n v="1584"/>
    <s v="Completed"/>
    <s v="Hyderabad"/>
    <s v="Beauty"/>
    <m/>
    <s v="Retail"/>
    <n v="28"/>
    <s v="South"/>
    <s v="May-24"/>
    <n v="675"/>
    <n v="0.296875"/>
  </r>
  <r>
    <s v="ORD-00827"/>
    <x v="171"/>
    <s v="CUST-0213"/>
    <s v="PROD-046"/>
    <s v="R001"/>
    <n v="4"/>
    <n v="4880"/>
    <n v="12.2"/>
    <n v="17138.560000000001"/>
    <s v="Cancelled"/>
    <s v="Mumbai"/>
    <s v="Beauty"/>
    <m/>
    <s v="Retail"/>
    <n v="37"/>
    <s v="West"/>
    <s v="Mar-24"/>
    <n v="2768"/>
    <n v="0.43278688524590164"/>
  </r>
  <r>
    <s v="ORD-00828"/>
    <x v="140"/>
    <s v="CUST-0183"/>
    <s v="PROD-058"/>
    <s v="R008"/>
    <n v="5"/>
    <n v="2400"/>
    <n v="15"/>
    <n v="10200"/>
    <s v="Completed"/>
    <s v="Mumbai"/>
    <s v="Sports"/>
    <m/>
    <s v="SMB"/>
    <n v="27"/>
    <s v="North"/>
    <s v="Apr-24"/>
    <n v="974"/>
    <n v="0.59416666666666662"/>
  </r>
  <r>
    <s v="ORD-00829"/>
    <x v="190"/>
    <s v="CUST-0051"/>
    <s v="PROD-016"/>
    <s v="R015"/>
    <n v="9"/>
    <n v="620"/>
    <n v="20.399999999999999"/>
    <n v="4441.68"/>
    <s v="Pending"/>
    <s v="Pune"/>
    <s v="Apparel"/>
    <m/>
    <s v="SMB"/>
    <n v="54"/>
    <m/>
    <m/>
    <m/>
    <m/>
  </r>
  <r>
    <s v="ORD-00830"/>
    <x v="191"/>
    <s v="CUST-0001"/>
    <s v="PROD-039"/>
    <s v="R013"/>
    <n v="1"/>
    <n v="4610"/>
    <n v="1.8"/>
    <n v="4527.0200000000004"/>
    <s v="Pending"/>
    <s v="Pune"/>
    <s v="Home"/>
    <m/>
    <s v="Retail"/>
    <n v="36"/>
    <s v="South"/>
    <s v="Aug-24"/>
    <n v="1850"/>
    <n v="0.59869848156182215"/>
  </r>
  <r>
    <s v="ORD-00831"/>
    <x v="66"/>
    <s v="CUST-0105"/>
    <s v="PROD-039"/>
    <s v="R014"/>
    <n v="7"/>
    <n v="4610"/>
    <n v="27"/>
    <n v="23557.1"/>
    <s v="Completed"/>
    <s v="Chennai"/>
    <s v="Home"/>
    <m/>
    <s v="SMB"/>
    <n v="51"/>
    <m/>
    <m/>
    <m/>
    <m/>
  </r>
  <r>
    <s v="ORD-00832"/>
    <x v="170"/>
    <s v="CUST-0199"/>
    <s v="PROD-030"/>
    <s v="R029"/>
    <n v="6"/>
    <n v="970"/>
    <n v="4.7"/>
    <n v="5546.46"/>
    <s v="Cancelled"/>
    <s v="Hyderabad"/>
    <s v="Grocery"/>
    <m/>
    <s v="SMB"/>
    <n v="31"/>
    <s v="South"/>
    <s v="Jul-24"/>
    <n v="434"/>
    <n v="0.5525773195876289"/>
  </r>
  <r>
    <s v="ORD-00833"/>
    <x v="331"/>
    <s v="CUST-0240"/>
    <s v="PROD-007"/>
    <s v="R026"/>
    <n v="8"/>
    <n v="1430"/>
    <n v="8.6999999999999993"/>
    <n v="10444.719999999999"/>
    <s v="Completed"/>
    <s v="Chennai"/>
    <s v="Electronics"/>
    <m/>
    <s v="Corporate"/>
    <n v="35"/>
    <s v="West"/>
    <s v="Nov-24"/>
    <n v="861"/>
    <n v="0.39790209790209791"/>
  </r>
  <r>
    <s v="ORD-00834"/>
    <x v="333"/>
    <s v="CUST-0283"/>
    <s v="PROD-027"/>
    <s v="R011"/>
    <n v="5"/>
    <n v="3780"/>
    <n v="2.9"/>
    <n v="18351.900000000001"/>
    <s v="Completed"/>
    <s v="Delhi"/>
    <s v="Grocery"/>
    <m/>
    <s v="SMB"/>
    <n v="50"/>
    <m/>
    <m/>
    <m/>
    <m/>
  </r>
  <r>
    <s v="ORD-00835"/>
    <x v="147"/>
    <s v="CUST-0284"/>
    <s v="PROD-041"/>
    <s v="R023"/>
    <n v="2"/>
    <n v="1540"/>
    <n v="12.7"/>
    <n v="2688.84"/>
    <s v="Completed"/>
    <s v="Hyderabad"/>
    <s v="Beauty"/>
    <m/>
    <s v="SMB"/>
    <n v="65"/>
    <m/>
    <m/>
    <m/>
    <m/>
  </r>
  <r>
    <s v="ORD-00836"/>
    <x v="155"/>
    <s v="CUST-0060"/>
    <s v="PROD-040"/>
    <s v="R020"/>
    <n v="9"/>
    <n v="1080"/>
    <n v="11.2"/>
    <n v="8631.36"/>
    <s v="Cancelled"/>
    <s v="Pune"/>
    <s v="Home"/>
    <m/>
    <s v="Retail"/>
    <n v="39"/>
    <s v="East"/>
    <s v="Aug-24"/>
    <n v="519"/>
    <n v="0.51944444444444449"/>
  </r>
  <r>
    <s v="ORD-00837"/>
    <x v="213"/>
    <s v="CUST-0266"/>
    <s v="PROD-058"/>
    <s v="R007"/>
    <n v="3"/>
    <n v="2400"/>
    <n v="28.6"/>
    <n v="5140.8"/>
    <s v="Completed"/>
    <s v="Pune"/>
    <s v="Sports"/>
    <m/>
    <s v="Retail"/>
    <n v="65"/>
    <m/>
    <m/>
    <m/>
    <m/>
  </r>
  <r>
    <s v="ORD-00838"/>
    <x v="120"/>
    <s v="CUST-0056"/>
    <s v="PROD-040"/>
    <s v="R018"/>
    <n v="5"/>
    <n v="1080"/>
    <n v="18.3"/>
    <n v="4411.8"/>
    <s v="Completed"/>
    <s v="Bengaluru"/>
    <s v="Home"/>
    <m/>
    <s v="SMB"/>
    <n v="46"/>
    <m/>
    <m/>
    <m/>
    <m/>
  </r>
  <r>
    <s v="ORD-00839"/>
    <x v="294"/>
    <s v="CUST-0187"/>
    <s v="PROD-024"/>
    <s v="R027"/>
    <n v="7"/>
    <n v="2270"/>
    <n v="1.7"/>
    <n v="15619.87"/>
    <s v="Cancelled"/>
    <s v="Chennai"/>
    <s v="Grocery"/>
    <m/>
    <s v="SMB"/>
    <n v="51"/>
    <m/>
    <m/>
    <m/>
    <m/>
  </r>
  <r>
    <s v="ORD-00840"/>
    <x v="334"/>
    <s v="CUST-0183"/>
    <s v="PROD-028"/>
    <s v="R026"/>
    <n v="8"/>
    <n v="3660"/>
    <n v="19.100000000000001"/>
    <n v="23687.52"/>
    <s v="Cancelled"/>
    <s v="Mumbai"/>
    <s v="Grocery"/>
    <m/>
    <s v="SMB"/>
    <n v="27"/>
    <s v="West"/>
    <s v="Nov-24"/>
    <n v="2214"/>
    <n v="0.39508196721311473"/>
  </r>
  <r>
    <s v="ORD-00841"/>
    <x v="302"/>
    <s v="CUST-0068"/>
    <s v="PROD-036"/>
    <s v="R003"/>
    <n v="5"/>
    <n v="3250"/>
    <n v="12.9"/>
    <n v="14153.75"/>
    <s v="Completed"/>
    <s v="Delhi"/>
    <s v="Home"/>
    <m/>
    <s v="SMB"/>
    <n v="48"/>
    <m/>
    <m/>
    <m/>
    <m/>
  </r>
  <r>
    <s v="ORD-00842"/>
    <x v="60"/>
    <s v="CUST-0135"/>
    <s v="PROD-044"/>
    <s v="R012"/>
    <n v="4"/>
    <n v="1650"/>
    <n v="4.0999999999999996"/>
    <n v="6329.4"/>
    <s v="Completed"/>
    <s v="Pune"/>
    <s v="Beauty"/>
    <m/>
    <s v="SMB"/>
    <n v="24"/>
    <s v="North"/>
    <s v="Jul-24"/>
    <n v="1222"/>
    <n v="0.2593939393939394"/>
  </r>
  <r>
    <s v="ORD-00843"/>
    <x v="207"/>
    <s v="CUST-0191"/>
    <s v="PROD-034"/>
    <s v="R003"/>
    <n v="6"/>
    <n v="5080"/>
    <n v="3"/>
    <n v="29565.599999999999"/>
    <s v="Completed"/>
    <s v="Hyderabad"/>
    <s v="Home"/>
    <m/>
    <s v="SMB"/>
    <n v="43"/>
    <m/>
    <m/>
    <m/>
    <m/>
  </r>
  <r>
    <s v="ORD-00844"/>
    <x v="105"/>
    <s v="CUST-0244"/>
    <s v="PROD-051"/>
    <s v="R027"/>
    <n v="8"/>
    <n v="3450"/>
    <n v="20.9"/>
    <n v="21831.599999999999"/>
    <s v="Completed"/>
    <s v="Bengaluru"/>
    <s v="Sports"/>
    <m/>
    <s v="Retail"/>
    <n v="61"/>
    <m/>
    <m/>
    <m/>
    <m/>
  </r>
  <r>
    <s v="ORD-00845"/>
    <x v="335"/>
    <s v="CUST-0189"/>
    <s v="PROD-043"/>
    <s v="R018"/>
    <n v="6"/>
    <n v="3350"/>
    <n v="24.8"/>
    <n v="15115.2"/>
    <s v="Completed"/>
    <s v="Chennai"/>
    <s v="Beauty"/>
    <m/>
    <s v="Retail"/>
    <n v="41"/>
    <m/>
    <m/>
    <m/>
    <m/>
  </r>
  <r>
    <s v="ORD-00846"/>
    <x v="310"/>
    <s v="CUST-0166"/>
    <s v="PROD-029"/>
    <s v="R027"/>
    <n v="10"/>
    <n v="2210"/>
    <n v="4.2"/>
    <n v="21171.8"/>
    <s v="Completed"/>
    <s v="Hyderabad"/>
    <s v="Grocery"/>
    <m/>
    <s v="Retail"/>
    <n v="31"/>
    <s v="East"/>
    <s v="May-24"/>
    <n v="1010"/>
    <n v="0.54298642533936647"/>
  </r>
  <r>
    <s v="ORD-00847"/>
    <x v="328"/>
    <s v="CUST-0167"/>
    <s v="PROD-046"/>
    <s v="R006"/>
    <n v="10"/>
    <n v="4880"/>
    <n v="0.7"/>
    <n v="48458.400000000001"/>
    <s v="Completed"/>
    <s v="Delhi"/>
    <s v="Beauty"/>
    <m/>
    <s v="Retail"/>
    <n v="43"/>
    <m/>
    <m/>
    <m/>
    <m/>
  </r>
  <r>
    <s v="ORD-00848"/>
    <x v="264"/>
    <s v="CUST-0265"/>
    <s v="PROD-055"/>
    <s v="R004"/>
    <n v="7"/>
    <n v="2860"/>
    <n v="28.1"/>
    <n v="14394.38"/>
    <s v="Pending"/>
    <s v="Chennai"/>
    <s v="Sports"/>
    <m/>
    <s v="Retail"/>
    <n v="49"/>
    <m/>
    <m/>
    <m/>
    <m/>
  </r>
  <r>
    <s v="ORD-00849"/>
    <x v="248"/>
    <s v="CUST-0172"/>
    <s v="PROD-030"/>
    <s v="R005"/>
    <n v="3"/>
    <n v="970"/>
    <n v="28.3"/>
    <n v="2086.4699999999998"/>
    <s v="Completed"/>
    <s v="Pune"/>
    <s v="Grocery"/>
    <m/>
    <s v="Retail"/>
    <n v="65"/>
    <m/>
    <m/>
    <m/>
    <m/>
  </r>
  <r>
    <s v="ORD-00850"/>
    <x v="315"/>
    <s v="CUST-0205"/>
    <s v="PROD-022"/>
    <s v="R008"/>
    <n v="1"/>
    <n v="2270"/>
    <n v="15.1"/>
    <n v="1927.23"/>
    <s v="Completed"/>
    <s v="Pune"/>
    <s v="Grocery"/>
    <m/>
    <s v="Corporate"/>
    <n v="29"/>
    <s v="North"/>
    <s v="Oct-24"/>
    <n v="1412"/>
    <n v="0.37797356828193834"/>
  </r>
  <r>
    <s v="ORD-00851"/>
    <x v="258"/>
    <s v="CUST-0102"/>
    <s v="PROD-018"/>
    <s v="R015"/>
    <n v="5"/>
    <n v="3560"/>
    <n v="11.5"/>
    <n v="15753"/>
    <s v="Completed"/>
    <s v="Chennai"/>
    <s v="Apparel"/>
    <m/>
    <s v="SMB"/>
    <n v="62"/>
    <m/>
    <m/>
    <m/>
    <m/>
  </r>
  <r>
    <s v="ORD-00852"/>
    <x v="140"/>
    <s v="CUST-0142"/>
    <s v="PROD-052"/>
    <s v="R010"/>
    <n v="2"/>
    <n v="5410"/>
    <n v="14.8"/>
    <n v="9218.64"/>
    <s v="Pending"/>
    <s v="Chennai"/>
    <s v="Sports"/>
    <m/>
    <s v="Corporate"/>
    <n v="55"/>
    <m/>
    <m/>
    <m/>
    <m/>
  </r>
  <r>
    <s v="ORD-00853"/>
    <x v="165"/>
    <s v="CUST-0195"/>
    <s v="PROD-019"/>
    <s v="R006"/>
    <n v="2"/>
    <n v="2480"/>
    <n v="27.2"/>
    <n v="3610.88"/>
    <s v="Completed"/>
    <s v="Bengaluru"/>
    <s v="Apparel"/>
    <m/>
    <s v="Retail"/>
    <n v="28"/>
    <s v="South"/>
    <s v="May-24"/>
    <n v="1173"/>
    <n v="0.52701612903225803"/>
  </r>
  <r>
    <s v="ORD-00854"/>
    <x v="154"/>
    <s v="CUST-0125"/>
    <s v="PROD-020"/>
    <s v="R014"/>
    <n v="6"/>
    <n v="820"/>
    <n v="6.6"/>
    <n v="4595.28"/>
    <s v="Completed"/>
    <s v="Delhi"/>
    <s v="Apparel"/>
    <m/>
    <s v="Retail"/>
    <n v="45"/>
    <m/>
    <m/>
    <m/>
    <m/>
  </r>
  <r>
    <s v="ORD-00855"/>
    <x v="224"/>
    <s v="CUST-0234"/>
    <s v="PROD-001"/>
    <s v="R015"/>
    <n v="10"/>
    <n v="5330"/>
    <n v="16.100000000000001"/>
    <n v="44718.7"/>
    <s v="Completed"/>
    <s v="Bengaluru"/>
    <s v="Electronics"/>
    <m/>
    <s v="Retail"/>
    <n v="34"/>
    <s v="South"/>
    <s v="Feb-24"/>
    <n v="2405"/>
    <n v="0.54878048780487809"/>
  </r>
  <r>
    <s v="ORD-00856"/>
    <x v="334"/>
    <s v="CUST-0061"/>
    <s v="PROD-047"/>
    <s v="R004"/>
    <n v="2"/>
    <n v="3450"/>
    <n v="11.3"/>
    <n v="6120.3"/>
    <s v="Pending"/>
    <s v="Hyderabad"/>
    <s v="Beauty"/>
    <m/>
    <s v="Retail"/>
    <n v="64"/>
    <m/>
    <m/>
    <m/>
    <m/>
  </r>
  <r>
    <s v="ORD-00857"/>
    <x v="97"/>
    <s v="CUST-0189"/>
    <s v="PROD-049"/>
    <s v="R023"/>
    <n v="7"/>
    <n v="960"/>
    <n v="17.100000000000001"/>
    <n v="5570.88"/>
    <s v="Completed"/>
    <s v="Chennai"/>
    <s v="Beauty"/>
    <m/>
    <s v="Retail"/>
    <n v="41"/>
    <m/>
    <m/>
    <m/>
    <m/>
  </r>
  <r>
    <s v="ORD-00858"/>
    <x v="235"/>
    <s v="CUST-0191"/>
    <s v="PROD-011"/>
    <s v="R003"/>
    <n v="5"/>
    <n v="3450"/>
    <n v="22.9"/>
    <n v="13299.75"/>
    <s v="Completed"/>
    <s v="Hyderabad"/>
    <s v="Apparel"/>
    <m/>
    <s v="SMB"/>
    <n v="43"/>
    <m/>
    <m/>
    <m/>
    <m/>
  </r>
  <r>
    <s v="ORD-00859"/>
    <x v="287"/>
    <s v="CUST-0217"/>
    <s v="PROD-009"/>
    <s v="R008"/>
    <n v="5"/>
    <n v="1220"/>
    <n v="0.3"/>
    <n v="6081.7"/>
    <s v="Completed"/>
    <s v="Pune"/>
    <s v="Electronics"/>
    <m/>
    <s v="SMB"/>
    <n v="59"/>
    <m/>
    <m/>
    <m/>
    <m/>
  </r>
  <r>
    <s v="ORD-00860"/>
    <x v="231"/>
    <s v="CUST-0060"/>
    <s v="PROD-001"/>
    <s v="R007"/>
    <n v="5"/>
    <n v="5330"/>
    <n v="29"/>
    <n v="18921.5"/>
    <s v="Completed"/>
    <s v="Pune"/>
    <s v="Electronics"/>
    <m/>
    <s v="Retail"/>
    <n v="39"/>
    <s v="North"/>
    <s v="Dec-24"/>
    <n v="2405"/>
    <n v="0.54878048780487809"/>
  </r>
  <r>
    <s v="ORD-00861"/>
    <x v="29"/>
    <s v="CUST-0270"/>
    <s v="PROD-003"/>
    <s v="R028"/>
    <n v="3"/>
    <n v="3570"/>
    <n v="20"/>
    <n v="8568"/>
    <s v="Cancelled"/>
    <s v="Bengaluru"/>
    <s v="Electronics"/>
    <m/>
    <s v="Retail"/>
    <n v="29"/>
    <s v="North"/>
    <s v="Jan-24"/>
    <n v="1665"/>
    <n v="0.53361344537815125"/>
  </r>
  <r>
    <s v="ORD-00862"/>
    <x v="8"/>
    <s v="CUST-0279"/>
    <s v="PROD-029"/>
    <s v="R026"/>
    <n v="9"/>
    <n v="2210"/>
    <n v="12.4"/>
    <n v="17423.64"/>
    <s v="Completed"/>
    <s v="Mumbai"/>
    <s v="Grocery"/>
    <m/>
    <s v="Retail"/>
    <n v="56"/>
    <m/>
    <m/>
    <m/>
    <m/>
  </r>
  <r>
    <s v="ORD-00863"/>
    <x v="272"/>
    <s v="CUST-0008"/>
    <s v="PROD-059"/>
    <s v="R029"/>
    <n v="5"/>
    <n v="3780"/>
    <n v="3.9"/>
    <n v="18162.900000000001"/>
    <s v="Completed"/>
    <s v="Pune"/>
    <s v="Sports"/>
    <m/>
    <s v="SMB"/>
    <n v="39"/>
    <s v="West"/>
    <s v="Apr-24"/>
    <n v="1860"/>
    <n v="0.50793650793650791"/>
  </r>
  <r>
    <s v="ORD-00864"/>
    <x v="17"/>
    <s v="CUST-0259"/>
    <s v="PROD-010"/>
    <s v="R008"/>
    <n v="10"/>
    <n v="2640"/>
    <n v="17.8"/>
    <n v="21700.799999999999"/>
    <s v="Refunded"/>
    <s v="Mumbai"/>
    <s v="Electronics"/>
    <m/>
    <s v="Retail"/>
    <n v="34"/>
    <s v="West"/>
    <s v="Jan-24"/>
    <n v="1149"/>
    <n v="0.56477272727272732"/>
  </r>
  <r>
    <s v="ORD-00865"/>
    <x v="279"/>
    <s v="CUST-0169"/>
    <s v="PROD-005"/>
    <s v="R024"/>
    <n v="5"/>
    <n v="300"/>
    <n v="12.9"/>
    <n v="1306.5"/>
    <s v="Completed"/>
    <s v="Bengaluru"/>
    <s v="Electronics"/>
    <m/>
    <s v="SMB"/>
    <n v="42"/>
    <m/>
    <m/>
    <m/>
    <m/>
  </r>
  <r>
    <s v="ORD-00866"/>
    <x v="276"/>
    <s v="CUST-0191"/>
    <s v="PROD-058"/>
    <s v="R013"/>
    <n v="2"/>
    <n v="2400"/>
    <n v="17.100000000000001"/>
    <n v="3979.2"/>
    <s v="Pending"/>
    <s v="Hyderabad"/>
    <s v="Sports"/>
    <m/>
    <s v="SMB"/>
    <n v="43"/>
    <m/>
    <m/>
    <m/>
    <m/>
  </r>
  <r>
    <s v="ORD-00867"/>
    <x v="336"/>
    <s v="CUST-0129"/>
    <s v="PROD-040"/>
    <s v="R026"/>
    <n v="5"/>
    <n v="1080"/>
    <n v="15.7"/>
    <n v="4552.2"/>
    <s v="Pending"/>
    <s v="Hyderabad"/>
    <s v="Home"/>
    <m/>
    <s v="Retail"/>
    <n v="29"/>
    <s v="South"/>
    <s v="Oct-24"/>
    <n v="519"/>
    <n v="0.51944444444444449"/>
  </r>
  <r>
    <s v="ORD-00868"/>
    <x v="72"/>
    <s v="CUST-0066"/>
    <s v="PROD-036"/>
    <s v="R003"/>
    <n v="1"/>
    <n v="3250"/>
    <n v="14.7"/>
    <n v="2772.25"/>
    <s v="Completed"/>
    <s v="Delhi"/>
    <s v="Home"/>
    <m/>
    <s v="Retail"/>
    <n v="24"/>
    <s v="West"/>
    <s v="Oct-24"/>
    <n v="1556"/>
    <n v="0.52123076923076928"/>
  </r>
  <r>
    <s v="ORD-00869"/>
    <x v="169"/>
    <s v="CUST-0114"/>
    <s v="PROD-032"/>
    <s v="R021"/>
    <n v="7"/>
    <n v="370"/>
    <n v="6"/>
    <n v="2434.6"/>
    <s v="Cancelled"/>
    <s v="Bengaluru"/>
    <s v="Home"/>
    <m/>
    <s v="Corporate"/>
    <n v="42"/>
    <m/>
    <m/>
    <m/>
    <m/>
  </r>
  <r>
    <s v="ORD-00870"/>
    <x v="186"/>
    <s v="CUST-9833"/>
    <s v="PROD-038"/>
    <s v="R029"/>
    <n v="7"/>
    <n v="5490"/>
    <n v="10.199999999999999"/>
    <n v="34510.14"/>
    <s v="Completed"/>
    <s v="Pune"/>
    <s v="Home"/>
    <m/>
    <e v="#N/A"/>
    <e v="#N/A"/>
    <m/>
    <m/>
    <m/>
    <m/>
  </r>
  <r>
    <s v="ORD-00871"/>
    <x v="337"/>
    <s v="CUST-0076"/>
    <s v="PROD-006"/>
    <s v="R028"/>
    <n v="3"/>
    <n v="3970"/>
    <n v="2.4"/>
    <n v="11624.16"/>
    <s v="Completed"/>
    <s v="Mumbai"/>
    <s v="Electronics"/>
    <m/>
    <s v="Retail"/>
    <n v="38"/>
    <s v="West"/>
    <s v="Feb-24"/>
    <n v="2865"/>
    <n v="0.27833753148614609"/>
  </r>
  <r>
    <s v="ORD-00872"/>
    <x v="336"/>
    <s v="CUST-0215"/>
    <s v="PROD-009"/>
    <s v="R007"/>
    <n v="4"/>
    <n v="1220"/>
    <n v="25.3"/>
    <n v="3645.36"/>
    <s v="Completed"/>
    <s v="Hyderabad"/>
    <s v="Electronics"/>
    <m/>
    <s v="Retail"/>
    <n v="52"/>
    <m/>
    <m/>
    <m/>
    <m/>
  </r>
  <r>
    <s v="ORD-00873"/>
    <x v="132"/>
    <s v="CUST-0061"/>
    <s v="PROD-012"/>
    <s v="R026"/>
    <n v="3"/>
    <n v="3160"/>
    <n v="19.8"/>
    <n v="7602.96"/>
    <s v="Completed"/>
    <s v="Hyderabad"/>
    <s v="Apparel"/>
    <m/>
    <s v="Retail"/>
    <n v="64"/>
    <m/>
    <m/>
    <m/>
    <m/>
  </r>
  <r>
    <s v="ORD-00874"/>
    <x v="195"/>
    <s v="CUST-0249"/>
    <s v="PROD-005"/>
    <s v="R008"/>
    <n v="1"/>
    <n v="300"/>
    <n v="24.5"/>
    <n v="226.5"/>
    <s v="Completed"/>
    <s v="Mumbai"/>
    <s v="Electronics"/>
    <m/>
    <s v="Retail"/>
    <n v="44"/>
    <m/>
    <m/>
    <m/>
    <m/>
  </r>
  <r>
    <s v="ORD-00875"/>
    <x v="16"/>
    <s v="CUST-0105"/>
    <s v="PROD-047"/>
    <s v="R029"/>
    <n v="5"/>
    <n v="3450"/>
    <n v="13.4"/>
    <n v="14938.5"/>
    <s v="Pending"/>
    <s v="Chennai"/>
    <s v="Beauty"/>
    <m/>
    <s v="SMB"/>
    <n v="51"/>
    <m/>
    <m/>
    <m/>
    <m/>
  </r>
  <r>
    <s v="ORD-00876"/>
    <x v="245"/>
    <s v="CUST-0161"/>
    <s v="PROD-014"/>
    <s v="R027"/>
    <n v="7"/>
    <n v="3620"/>
    <n v="19.2"/>
    <n v="20474.72"/>
    <s v="Completed"/>
    <s v="Chennai"/>
    <s v="Apparel"/>
    <m/>
    <s v="Retail"/>
    <n v="38"/>
    <s v="West"/>
    <s v="Dec-24"/>
    <n v="2509"/>
    <n v="0.3069060773480663"/>
  </r>
  <r>
    <s v="ORD-00877"/>
    <x v="265"/>
    <s v="CUST-0275"/>
    <s v="PROD-024"/>
    <s v="R010"/>
    <n v="10"/>
    <n v="2270"/>
    <n v="20.5"/>
    <n v="18046.5"/>
    <s v="Completed"/>
    <s v="Mumbai"/>
    <s v="Grocery"/>
    <m/>
    <s v="Retail"/>
    <n v="36"/>
    <s v="West"/>
    <s v="Apr-24"/>
    <n v="1203"/>
    <n v="0.47004405286343615"/>
  </r>
  <r>
    <s v="ORD-00878"/>
    <x v="194"/>
    <s v="CUST-0049"/>
    <s v="PROD-015"/>
    <s v="R024"/>
    <n v="5"/>
    <n v="2720"/>
    <n v="29.3"/>
    <n v="9615.2000000000007"/>
    <s v="Completed"/>
    <s v="Mumbai"/>
    <s v="Apparel"/>
    <m/>
    <s v="Corporate"/>
    <n v="42"/>
    <m/>
    <m/>
    <m/>
    <m/>
  </r>
  <r>
    <s v="ORD-00879"/>
    <x v="59"/>
    <s v="CUST-0235"/>
    <s v="PROD-027"/>
    <s v="R022"/>
    <n v="9"/>
    <n v="3780"/>
    <n v="2.2999999999999998"/>
    <n v="33237.54"/>
    <s v="Completed"/>
    <s v="Chennai"/>
    <s v="Grocery"/>
    <m/>
    <s v="Retail"/>
    <n v="31"/>
    <s v="West"/>
    <s v="Apr-24"/>
    <n v="2436"/>
    <n v="0.35555555555555557"/>
  </r>
  <r>
    <s v="ORD-00880"/>
    <x v="184"/>
    <s v="CUST-0220"/>
    <s v="PROD-025"/>
    <s v="R014"/>
    <n v="9"/>
    <n v="4060"/>
    <n v="11.5"/>
    <n v="32337.9"/>
    <s v="Completed"/>
    <s v="Chennai"/>
    <s v="Grocery"/>
    <m/>
    <s v="Retail"/>
    <n v="34"/>
    <s v="East"/>
    <s v="Jul-24"/>
    <n v="2911"/>
    <n v="0.28300492610837441"/>
  </r>
  <r>
    <s v="ORD-00881"/>
    <x v="25"/>
    <s v="CUST-0298"/>
    <s v="PROD-021"/>
    <s v="R012"/>
    <n v="10"/>
    <n v="2760"/>
    <n v="3.9"/>
    <n v="26523.599999999999"/>
    <s v="Refunded"/>
    <s v="Delhi"/>
    <s v="Grocery"/>
    <m/>
    <s v="Retail"/>
    <n v="44"/>
    <m/>
    <m/>
    <m/>
    <m/>
  </r>
  <r>
    <s v="ORD-00882"/>
    <x v="106"/>
    <s v="CUST-0222"/>
    <s v="PROD-040"/>
    <s v="R021"/>
    <n v="10"/>
    <n v="1080"/>
    <n v="21.4"/>
    <n v="8488.7999999999993"/>
    <s v="Completed"/>
    <s v="Chennai"/>
    <s v="Home"/>
    <m/>
    <s v="Retail"/>
    <n v="37"/>
    <s v="South"/>
    <s v="Aug-24"/>
    <n v="519"/>
    <n v="0.51944444444444449"/>
  </r>
  <r>
    <s v="ORD-00883"/>
    <x v="255"/>
    <s v="CUST-0049"/>
    <s v="PROD-034"/>
    <s v="R023"/>
    <n v="6"/>
    <n v="5080"/>
    <n v="29.8"/>
    <n v="21396.959999999999"/>
    <s v="Pending"/>
    <s v="Mumbai"/>
    <s v="Home"/>
    <m/>
    <s v="Corporate"/>
    <n v="42"/>
    <m/>
    <m/>
    <m/>
    <m/>
  </r>
  <r>
    <s v="ORD-00884"/>
    <x v="174"/>
    <s v="CUST-0147"/>
    <s v="PROD-046"/>
    <s v="R030"/>
    <n v="1"/>
    <n v="4880"/>
    <n v="28.2"/>
    <n v="3503.84"/>
    <s v="Completed"/>
    <s v="Pune"/>
    <s v="Beauty"/>
    <m/>
    <s v="Retail"/>
    <n v="56"/>
    <m/>
    <m/>
    <m/>
    <m/>
  </r>
  <r>
    <s v="ORD-00885"/>
    <x v="254"/>
    <s v="CUST-0177"/>
    <s v="PROD-022"/>
    <s v="R027"/>
    <n v="1"/>
    <n v="2270"/>
    <n v="27.8"/>
    <n v="1638.94"/>
    <s v="Completed"/>
    <s v="Mumbai"/>
    <s v="Grocery"/>
    <m/>
    <s v="SMB"/>
    <n v="36"/>
    <s v="West"/>
    <s v="Jan-24"/>
    <n v="1412"/>
    <n v="0.37797356828193834"/>
  </r>
  <r>
    <s v="ORD-00886"/>
    <x v="198"/>
    <s v="CUST-0121"/>
    <s v="PROD-006"/>
    <s v="R019"/>
    <n v="9"/>
    <n v="3970"/>
    <n v="7"/>
    <n v="33228.9"/>
    <s v="Completed"/>
    <s v="Delhi"/>
    <s v="Electronics"/>
    <m/>
    <s v="SMB"/>
    <n v="55"/>
    <m/>
    <m/>
    <m/>
    <m/>
  </r>
  <r>
    <s v="ORD-00887"/>
    <x v="199"/>
    <s v="CUST-0262"/>
    <s v="PROD-048"/>
    <s v="R003"/>
    <n v="9"/>
    <n v="5100"/>
    <n v="9.6999999999999993"/>
    <n v="41447.699999999997"/>
    <s v="Completed"/>
    <s v="Mumbai"/>
    <s v="Beauty"/>
    <m/>
    <s v="Retail"/>
    <n v="52"/>
    <m/>
    <m/>
    <m/>
    <m/>
  </r>
  <r>
    <s v="ORD-00888"/>
    <x v="71"/>
    <s v="CUST-0246"/>
    <s v="PROD-060"/>
    <s v="R005"/>
    <n v="8"/>
    <n v="190"/>
    <n v="10.199999999999999"/>
    <n v="1364.96"/>
    <s v="Completed"/>
    <s v="Delhi"/>
    <s v="Sports"/>
    <m/>
    <s v="SMB"/>
    <n v="29"/>
    <s v="North"/>
    <s v="Apr-24"/>
    <n v="147"/>
    <n v="0.22631578947368422"/>
  </r>
  <r>
    <s v="ORD-00889"/>
    <x v="51"/>
    <s v="CUST-0070"/>
    <s v="PROD-050"/>
    <s v="R026"/>
    <n v="1"/>
    <n v="6080"/>
    <n v="5.6"/>
    <n v="5739.52"/>
    <s v="Completed"/>
    <s v="Mumbai"/>
    <s v="Beauty"/>
    <m/>
    <s v="Retail"/>
    <n v="42"/>
    <m/>
    <m/>
    <m/>
    <m/>
  </r>
  <r>
    <s v="ORD-00890"/>
    <x v="285"/>
    <s v="CUST-0218"/>
    <s v="PROD-057"/>
    <s v="R020"/>
    <n v="6"/>
    <n v="960"/>
    <n v="1.9"/>
    <n v="5650.56"/>
    <s v="Completed"/>
    <s v="Mumbai"/>
    <s v="Sports"/>
    <m/>
    <s v="Retail"/>
    <n v="39"/>
    <s v="West"/>
    <s v="Dec-24"/>
    <n v="705"/>
    <n v="0.265625"/>
  </r>
  <r>
    <s v="ORD-00891"/>
    <x v="309"/>
    <s v="CUST-0068"/>
    <s v="PROD-041"/>
    <s v="R004"/>
    <n v="7"/>
    <n v="1540"/>
    <n v="7.1"/>
    <n v="10014.620000000001"/>
    <s v="Completed"/>
    <s v="Delhi"/>
    <s v="Beauty"/>
    <m/>
    <s v="SMB"/>
    <n v="48"/>
    <m/>
    <m/>
    <m/>
    <m/>
  </r>
  <r>
    <s v="ORD-00892"/>
    <x v="60"/>
    <s v="CUST-0261"/>
    <s v="PROD-005"/>
    <s v="R011"/>
    <n v="10"/>
    <n v="300"/>
    <n v="12.8"/>
    <n v="2616"/>
    <s v="Cancelled"/>
    <s v="Delhi"/>
    <s v="Electronics"/>
    <m/>
    <s v="Retail"/>
    <n v="54"/>
    <m/>
    <m/>
    <m/>
    <m/>
  </r>
  <r>
    <s v="ORD-00893"/>
    <x v="145"/>
    <s v="CUST-0077"/>
    <s v="PROD-046"/>
    <s v="R011"/>
    <n v="4"/>
    <n v="4880"/>
    <n v="26.5"/>
    <n v="14347.2"/>
    <s v="Completed"/>
    <s v="Hyderabad"/>
    <s v="Beauty"/>
    <m/>
    <s v="SMB"/>
    <n v="48"/>
    <m/>
    <m/>
    <m/>
    <m/>
  </r>
  <r>
    <s v="ORD-00894"/>
    <x v="55"/>
    <s v="CUST-0188"/>
    <s v="PROD-032"/>
    <s v="R003"/>
    <n v="2"/>
    <n v="370"/>
    <n v="26.5"/>
    <n v="543.9"/>
    <s v="Completed"/>
    <s v="Bengaluru"/>
    <s v="Home"/>
    <m/>
    <s v="Retail"/>
    <n v="54"/>
    <m/>
    <m/>
    <m/>
    <m/>
  </r>
  <r>
    <s v="ORD-00895"/>
    <x v="106"/>
    <s v="CUST-0145"/>
    <s v="PROD-039"/>
    <s v="R002"/>
    <n v="3"/>
    <n v="4610"/>
    <n v="29.7"/>
    <n v="9722.49"/>
    <s v="Completed"/>
    <s v="Bengaluru"/>
    <s v="Home"/>
    <m/>
    <s v="SMB"/>
    <n v="44"/>
    <m/>
    <m/>
    <m/>
    <m/>
  </r>
  <r>
    <s v="ORD-00896"/>
    <x v="149"/>
    <s v="CUST-0036"/>
    <s v="PROD-002"/>
    <s v="R013"/>
    <n v="5"/>
    <n v="2600"/>
    <n v="21.4"/>
    <n v="10218"/>
    <s v="Completed"/>
    <s v="Mumbai"/>
    <s v="Electronics"/>
    <m/>
    <s v="Retail"/>
    <n v="35"/>
    <s v="North"/>
    <s v="Oct-24"/>
    <n v="1052"/>
    <n v="0.5953846153846154"/>
  </r>
  <r>
    <s v="ORD-00600"/>
    <x v="295"/>
    <s v="CUST-0269"/>
    <s v="PROD-009"/>
    <s v="R025"/>
    <n v="10"/>
    <n v="1220"/>
    <n v="24.3"/>
    <n v="9235.4"/>
    <s v="Completed"/>
    <s v="Pune"/>
    <s v="Electronics"/>
    <m/>
    <s v="Retail"/>
    <n v="48"/>
    <m/>
    <m/>
    <m/>
    <m/>
  </r>
  <r>
    <s v="ORD-00898"/>
    <x v="34"/>
    <s v="CUST-9607"/>
    <s v="PROD-007"/>
    <s v="R015"/>
    <n v="10"/>
    <n v="1430"/>
    <n v="5.0999999999999996"/>
    <n v="13570.7"/>
    <s v="Cancelled"/>
    <s v="Chennai"/>
    <s v="Electronics"/>
    <m/>
    <e v="#N/A"/>
    <e v="#N/A"/>
    <m/>
    <m/>
    <m/>
    <m/>
  </r>
  <r>
    <s v="ORD-00899"/>
    <x v="35"/>
    <s v="CUST-0189"/>
    <s v="PROD-046"/>
    <s v="R030"/>
    <n v="10"/>
    <n v="4880"/>
    <n v="25.5"/>
    <n v="36356"/>
    <s v="Cancelled"/>
    <s v="Chennai"/>
    <s v="Beauty"/>
    <m/>
    <s v="Retail"/>
    <n v="41"/>
    <m/>
    <m/>
    <m/>
    <m/>
  </r>
  <r>
    <s v="ORD-00900"/>
    <x v="79"/>
    <s v="CUST-0199"/>
    <s v="PROD-050"/>
    <s v="R028"/>
    <n v="6"/>
    <n v="6080"/>
    <n v="21.6"/>
    <n v="28600.32"/>
    <s v="Completed"/>
    <s v="Hyderabad"/>
    <s v="Beauty"/>
    <m/>
    <s v="SMB"/>
    <n v="31"/>
    <s v="West"/>
    <s v="Jul-24"/>
    <n v="2617"/>
    <n v="0.56957236842105263"/>
  </r>
  <r>
    <s v="ORD-00901"/>
    <x v="158"/>
    <s v="CUST-0277"/>
    <s v="PROD-045"/>
    <s v="R013"/>
    <n v="3"/>
    <n v="3020"/>
    <n v="20.7"/>
    <n v="7184.58"/>
    <s v="Completed"/>
    <s v="Chennai"/>
    <s v="Beauty"/>
    <m/>
    <s v="Corporate"/>
    <n v="34"/>
    <s v="West"/>
    <s v="Aug-24"/>
    <n v="1626"/>
    <n v="0.46158940397350995"/>
  </r>
  <r>
    <s v="ORD-00902"/>
    <x v="338"/>
    <s v="CUST-0108"/>
    <s v="PROD-015"/>
    <s v="R013"/>
    <n v="9"/>
    <n v="2720"/>
    <n v="21.4"/>
    <n v="19241.28"/>
    <s v="Completed"/>
    <s v="Bengaluru"/>
    <s v="Apparel"/>
    <m/>
    <s v="Corporate"/>
    <n v="59"/>
    <m/>
    <m/>
    <m/>
    <m/>
  </r>
  <r>
    <s v="ORD-00903"/>
    <x v="53"/>
    <s v="CUST-0203"/>
    <s v="PROD-003"/>
    <s v="R025"/>
    <n v="10"/>
    <n v="3570"/>
    <n v="4.4000000000000004"/>
    <n v="34129.199999999997"/>
    <s v="Completed"/>
    <s v="Chennai"/>
    <s v="Electronics"/>
    <m/>
    <s v="SMB"/>
    <n v="55"/>
    <m/>
    <m/>
    <m/>
    <m/>
  </r>
  <r>
    <s v="ORD-00904"/>
    <x v="119"/>
    <s v="CUST-0272"/>
    <s v="PROD-040"/>
    <s v="R014"/>
    <n v="8"/>
    <n v="1080"/>
    <n v="23.8"/>
    <n v="6583.68"/>
    <s v="Completed"/>
    <s v="Mumbai"/>
    <s v="Home"/>
    <m/>
    <s v="SMB"/>
    <n v="47"/>
    <m/>
    <m/>
    <m/>
    <m/>
  </r>
  <r>
    <s v="ORD-00905"/>
    <x v="27"/>
    <s v="CUST-0039"/>
    <s v="PROD-035"/>
    <s v="R011"/>
    <n v="8"/>
    <n v="1090"/>
    <n v="17.5"/>
    <n v="7194"/>
    <s v="Completed"/>
    <s v="Bengaluru"/>
    <s v="Home"/>
    <m/>
    <s v="Retail"/>
    <n v="37"/>
    <s v="South"/>
    <s v="Jan-24"/>
    <n v="464"/>
    <n v="0.57431192660550456"/>
  </r>
  <r>
    <s v="ORD-00906"/>
    <x v="70"/>
    <s v="CUST-0105"/>
    <s v="PROD-018"/>
    <s v="R027"/>
    <n v="7"/>
    <n v="3560"/>
    <n v="11.1"/>
    <n v="22153.88"/>
    <s v="Completed"/>
    <s v="Chennai"/>
    <s v="Apparel"/>
    <m/>
    <s v="SMB"/>
    <n v="51"/>
    <m/>
    <m/>
    <m/>
    <m/>
  </r>
  <r>
    <s v="ORD-00907"/>
    <x v="59"/>
    <s v="CUST-0095"/>
    <s v="PROD-060"/>
    <s v="R022"/>
    <n v="6"/>
    <n v="190"/>
    <n v="17.100000000000001"/>
    <n v="945.06"/>
    <s v="Cancelled"/>
    <s v="Mumbai"/>
    <s v="Sports"/>
    <m/>
    <s v="SMB"/>
    <n v="54"/>
    <m/>
    <m/>
    <m/>
    <m/>
  </r>
  <r>
    <s v="ORD-00908"/>
    <x v="320"/>
    <s v="CUST-0138"/>
    <s v="PROD-025"/>
    <s v="R025"/>
    <n v="7"/>
    <n v="4060"/>
    <n v="0.6"/>
    <n v="28249.48"/>
    <s v="Completed"/>
    <s v="Chennai"/>
    <s v="Grocery"/>
    <m/>
    <s v="Retail"/>
    <n v="24"/>
    <s v="East"/>
    <s v="Jul-24"/>
    <n v="2911"/>
    <n v="0.28300492610837441"/>
  </r>
  <r>
    <s v="ORD-00909"/>
    <x v="63"/>
    <s v="CUST-0155"/>
    <s v="PROD-039"/>
    <s v="R021"/>
    <n v="4"/>
    <n v="4610"/>
    <n v="1.9"/>
    <n v="18089.64"/>
    <s v="Pending"/>
    <s v="Pune"/>
    <s v="Home"/>
    <m/>
    <s v="Corporate"/>
    <n v="40"/>
    <s v="West"/>
    <s v="Mar-24"/>
    <n v="1850"/>
    <n v="0.59869848156182215"/>
  </r>
  <r>
    <s v="ORD-00910"/>
    <x v="93"/>
    <s v="CUST-0198"/>
    <s v="PROD-026"/>
    <s v="R020"/>
    <n v="4"/>
    <n v="4070"/>
    <n v="26.8"/>
    <n v="11916.96"/>
    <s v="Completed"/>
    <s v="Chennai"/>
    <s v="Grocery"/>
    <m/>
    <s v="Corporate"/>
    <n v="22"/>
    <s v="East"/>
    <s v="Feb-24"/>
    <n v="2027"/>
    <n v="0.50196560196560192"/>
  </r>
  <r>
    <s v="ORD-00911"/>
    <x v="142"/>
    <s v="CUST-0267"/>
    <s v="PROD-014"/>
    <s v="R004"/>
    <n v="4"/>
    <n v="3620"/>
    <n v="11.7"/>
    <n v="12785.84"/>
    <s v="Completed"/>
    <s v="Hyderabad"/>
    <s v="Apparel"/>
    <m/>
    <s v="Retail"/>
    <n v="27"/>
    <s v="East"/>
    <s v="Dec-24"/>
    <n v="2509"/>
    <n v="0.3069060773480663"/>
  </r>
  <r>
    <s v="ORD-00912"/>
    <x v="195"/>
    <s v="CUST-0248"/>
    <s v="PROD-006"/>
    <s v="R030"/>
    <n v="3"/>
    <n v="3970"/>
    <n v="24.7"/>
    <n v="8968.23"/>
    <s v="Completed"/>
    <s v="Chennai"/>
    <s v="Electronics"/>
    <m/>
    <s v="SMB"/>
    <n v="57"/>
    <m/>
    <m/>
    <m/>
    <m/>
  </r>
  <r>
    <s v="ORD-00913"/>
    <x v="36"/>
    <s v="CUST-0114"/>
    <s v="PROD-030"/>
    <s v="R028"/>
    <n v="4"/>
    <n v="970"/>
    <n v="0.4"/>
    <n v="3864.48"/>
    <s v="Completed"/>
    <s v="Bengaluru"/>
    <s v="Grocery"/>
    <m/>
    <s v="Corporate"/>
    <n v="42"/>
    <m/>
    <m/>
    <m/>
    <m/>
  </r>
  <r>
    <s v="ORD-00914"/>
    <x v="229"/>
    <s v="CUST-0129"/>
    <s v="PROD-057"/>
    <s v="R023"/>
    <n v="2"/>
    <n v="960"/>
    <n v="1.4"/>
    <n v="1893.12"/>
    <s v="Completed"/>
    <s v="Hyderabad"/>
    <s v="Sports"/>
    <m/>
    <s v="Retail"/>
    <n v="29"/>
    <s v="West"/>
    <s v="Mar-24"/>
    <n v="705"/>
    <n v="0.265625"/>
  </r>
  <r>
    <s v="ORD-00915"/>
    <x v="67"/>
    <s v="CUST-0182"/>
    <s v="PROD-005"/>
    <s v="R016"/>
    <n v="7"/>
    <n v="300"/>
    <n v="20.399999999999999"/>
    <n v="1671.6"/>
    <s v="Completed"/>
    <s v="Mumbai"/>
    <s v="Electronics"/>
    <m/>
    <s v="Retail"/>
    <n v="54"/>
    <m/>
    <m/>
    <m/>
    <m/>
  </r>
  <r>
    <s v="ORD-00916"/>
    <x v="245"/>
    <s v="CUST-0020"/>
    <s v="PROD-002"/>
    <s v="R014"/>
    <n v="8"/>
    <n v="2600"/>
    <n v="2.2000000000000002"/>
    <n v="20342.400000000001"/>
    <s v="Cancelled"/>
    <s v="Hyderabad"/>
    <s v="Electronics"/>
    <m/>
    <s v="Retail"/>
    <n v="46"/>
    <m/>
    <m/>
    <m/>
    <m/>
  </r>
  <r>
    <s v="ORD-00917"/>
    <x v="297"/>
    <s v="CUST-0163"/>
    <s v="PROD-032"/>
    <s v="R008"/>
    <n v="2"/>
    <n v="370"/>
    <n v="17.7"/>
    <n v="609.02"/>
    <s v="Completed"/>
    <s v="Pune"/>
    <s v="Home"/>
    <m/>
    <s v="Retail"/>
    <n v="49"/>
    <m/>
    <m/>
    <m/>
    <m/>
  </r>
  <r>
    <s v="ORD-00918"/>
    <x v="6"/>
    <s v="CUST-0142"/>
    <s v="PROD-047"/>
    <s v="R026"/>
    <n v="4"/>
    <n v="3450"/>
    <n v="9.8000000000000007"/>
    <n v="12447.6"/>
    <s v="Cancelled"/>
    <s v="Chennai"/>
    <s v="Beauty"/>
    <m/>
    <s v="Corporate"/>
    <n v="55"/>
    <m/>
    <m/>
    <m/>
    <m/>
  </r>
  <r>
    <s v="ORD-00919"/>
    <x v="97"/>
    <s v="CUST-0221"/>
    <s v="PROD-019"/>
    <s v="R020"/>
    <n v="1"/>
    <n v="2480"/>
    <n v="5.8"/>
    <n v="2336.16"/>
    <s v="Completed"/>
    <s v="Delhi"/>
    <s v="Apparel"/>
    <m/>
    <s v="SMB"/>
    <n v="29"/>
    <s v="West"/>
    <s v="Jun-24"/>
    <n v="1173"/>
    <n v="0.52701612903225803"/>
  </r>
  <r>
    <s v="ORD-00920"/>
    <x v="90"/>
    <s v="CUST-0079"/>
    <s v="PROD-028"/>
    <s v="R019"/>
    <n v="5"/>
    <n v="3660"/>
    <n v="4.7"/>
    <n v="17439.900000000001"/>
    <s v="Pending"/>
    <s v="Mumbai"/>
    <s v="Grocery"/>
    <m/>
    <s v="Corporate"/>
    <n v="60"/>
    <m/>
    <m/>
    <m/>
    <m/>
  </r>
  <r>
    <s v="ORD-00921"/>
    <x v="162"/>
    <s v="CUST-0133"/>
    <s v="PROD-044"/>
    <s v="R023"/>
    <n v="7"/>
    <n v="1650"/>
    <n v="8.6"/>
    <n v="10556.7"/>
    <s v="Completed"/>
    <s v="Chennai"/>
    <s v="Beauty"/>
    <m/>
    <s v="Retail"/>
    <n v="26"/>
    <s v="East"/>
    <s v="Feb-24"/>
    <n v="1222"/>
    <n v="0.2593939393939394"/>
  </r>
  <r>
    <s v="ORD-00922"/>
    <x v="339"/>
    <s v="CUST-0086"/>
    <s v="PROD-060"/>
    <s v="R025"/>
    <n v="6"/>
    <n v="190"/>
    <n v="14.6"/>
    <n v="973.56"/>
    <s v="Completed"/>
    <s v="Hyderabad"/>
    <s v="Sports"/>
    <m/>
    <s v="Corporate"/>
    <n v="56"/>
    <m/>
    <m/>
    <m/>
    <m/>
  </r>
  <r>
    <s v="ORD-00923"/>
    <x v="14"/>
    <s v="CUST-0155"/>
    <s v="PROD-022"/>
    <s v="R001"/>
    <n v="5"/>
    <n v="2270"/>
    <n v="5.9"/>
    <n v="10680.35"/>
    <s v="Completed"/>
    <s v="Pune"/>
    <s v="Grocery"/>
    <m/>
    <s v="Corporate"/>
    <n v="40"/>
    <s v="West"/>
    <s v="Jun-24"/>
    <n v="1412"/>
    <n v="0.37797356828193834"/>
  </r>
  <r>
    <s v="ORD-00924"/>
    <x v="327"/>
    <s v="CUST-0244"/>
    <s v="PROD-024"/>
    <s v="R011"/>
    <n v="1"/>
    <n v="2270"/>
    <n v="14.9"/>
    <n v="1931.77"/>
    <s v="Completed"/>
    <s v="Bengaluru"/>
    <s v="Grocery"/>
    <m/>
    <s v="Retail"/>
    <n v="61"/>
    <m/>
    <m/>
    <m/>
    <m/>
  </r>
  <r>
    <s v="ORD-00925"/>
    <x v="133"/>
    <s v="CUST-0262"/>
    <s v="PROD-011"/>
    <s v="R018"/>
    <n v="4"/>
    <n v="3450"/>
    <n v="11.7"/>
    <n v="12185.4"/>
    <s v="Cancelled"/>
    <s v="Mumbai"/>
    <s v="Apparel"/>
    <m/>
    <s v="Retail"/>
    <n v="52"/>
    <m/>
    <m/>
    <m/>
    <m/>
  </r>
  <r>
    <s v="ORD-00926"/>
    <x v="46"/>
    <s v="CUST-0251"/>
    <s v="PROD-045"/>
    <s v="R028"/>
    <n v="7"/>
    <n v="3020"/>
    <n v="18.8"/>
    <n v="17165.68"/>
    <s v="Completed"/>
    <s v="Mumbai"/>
    <s v="Beauty"/>
    <m/>
    <s v="Retail"/>
    <n v="44"/>
    <m/>
    <m/>
    <m/>
    <m/>
  </r>
  <r>
    <s v="ORD-00927"/>
    <x v="284"/>
    <s v="CUST-0007"/>
    <s v="PROD-033"/>
    <s v="R016"/>
    <n v="4"/>
    <n v="2030"/>
    <n v="25.7"/>
    <n v="6033.16"/>
    <s v="Completed"/>
    <s v="Bengaluru"/>
    <s v="Home"/>
    <m/>
    <s v="Retail"/>
    <n v="47"/>
    <m/>
    <m/>
    <m/>
    <m/>
  </r>
  <r>
    <s v="ORD-00928"/>
    <x v="331"/>
    <s v="CUST-0161"/>
    <s v="PROD-011"/>
    <s v="R014"/>
    <n v="4"/>
    <n v="3450"/>
    <n v="3.9"/>
    <n v="13261.8"/>
    <s v="Completed"/>
    <s v="Chennai"/>
    <s v="Apparel"/>
    <m/>
    <s v="Retail"/>
    <n v="38"/>
    <s v="South"/>
    <s v="Nov-24"/>
    <n v="1748"/>
    <n v="0.49333333333333335"/>
  </r>
  <r>
    <s v="ORD-00929"/>
    <x v="324"/>
    <s v="CUST-0251"/>
    <s v="PROD-049"/>
    <s v="R028"/>
    <n v="5"/>
    <n v="960"/>
    <n v="8"/>
    <n v="4416"/>
    <s v="Completed"/>
    <s v="Mumbai"/>
    <s v="Beauty"/>
    <m/>
    <s v="Retail"/>
    <n v="44"/>
    <m/>
    <m/>
    <m/>
    <m/>
  </r>
  <r>
    <s v="ORD-00930"/>
    <x v="269"/>
    <s v="CUST-0098"/>
    <s v="PROD-006"/>
    <s v="R001"/>
    <n v="7"/>
    <n v="3970"/>
    <n v="11.7"/>
    <n v="24538.57"/>
    <s v="Completed"/>
    <s v="Delhi"/>
    <s v="Electronics"/>
    <m/>
    <s v="Retail"/>
    <n v="52"/>
    <m/>
    <m/>
    <m/>
    <m/>
  </r>
  <r>
    <s v="ORD-00931"/>
    <x v="211"/>
    <s v="CUST-0200"/>
    <s v="PROD-052"/>
    <s v="R026"/>
    <n v="3"/>
    <n v="5410"/>
    <n v="10"/>
    <n v="14607"/>
    <s v="Completed"/>
    <s v="Hyderabad"/>
    <s v="Sports"/>
    <m/>
    <s v="Corporate"/>
    <n v="46"/>
    <m/>
    <m/>
    <m/>
    <m/>
  </r>
  <r>
    <s v="ORD-00932"/>
    <x v="49"/>
    <s v="CUST-0228"/>
    <s v="PROD-003"/>
    <s v="R007"/>
    <n v="8"/>
    <n v="3570"/>
    <n v="8.5"/>
    <n v="26132.400000000001"/>
    <s v="Completed"/>
    <s v="Pune"/>
    <s v="Electronics"/>
    <m/>
    <s v="Corporate"/>
    <n v="37"/>
    <s v="West"/>
    <s v="Sep-24"/>
    <n v="1665"/>
    <n v="0.53361344537815125"/>
  </r>
  <r>
    <s v="ORD-00933"/>
    <x v="25"/>
    <s v="CUST-0095"/>
    <s v="PROD-002"/>
    <s v="R014"/>
    <n v="7"/>
    <n v="2600"/>
    <n v="27.1"/>
    <n v="13267.8"/>
    <s v="Completed"/>
    <s v="Mumbai"/>
    <s v="Electronics"/>
    <m/>
    <s v="SMB"/>
    <n v="54"/>
    <m/>
    <m/>
    <m/>
    <m/>
  </r>
  <r>
    <s v="ORD-00934"/>
    <x v="33"/>
    <s v="CUST-0175"/>
    <s v="PROD-053"/>
    <s v="R026"/>
    <n v="6"/>
    <n v="470"/>
    <n v="2.4"/>
    <n v="2752.32"/>
    <s v="Pending"/>
    <s v="Delhi"/>
    <s v="Sports"/>
    <m/>
    <s v="Corporate"/>
    <n v="55"/>
    <m/>
    <m/>
    <m/>
    <m/>
  </r>
  <r>
    <s v="ORD-00935"/>
    <x v="2"/>
    <s v="CUST-0270"/>
    <s v="PROD-053"/>
    <s v="R025"/>
    <n v="3"/>
    <n v="470"/>
    <n v="6.3"/>
    <n v="1321.17"/>
    <s v="Completed"/>
    <s v="Bengaluru"/>
    <s v="Sports"/>
    <m/>
    <s v="Retail"/>
    <n v="29"/>
    <s v="West"/>
    <s v="May-24"/>
    <n v="302"/>
    <n v="0.35744680851063831"/>
  </r>
  <r>
    <s v="ORD-00936"/>
    <x v="326"/>
    <s v="CUST-0105"/>
    <s v="PROD-059"/>
    <s v="R004"/>
    <n v="3"/>
    <n v="3780"/>
    <n v="19.399999999999999"/>
    <n v="9140.0400000000009"/>
    <s v="Pending"/>
    <s v="Chennai"/>
    <s v="Sports"/>
    <m/>
    <s v="SMB"/>
    <n v="51"/>
    <m/>
    <m/>
    <m/>
    <m/>
  </r>
  <r>
    <s v="ORD-00937"/>
    <x v="40"/>
    <s v="CUST-0147"/>
    <s v="PROD-056"/>
    <s v="R019"/>
    <n v="5"/>
    <n v="6940"/>
    <n v="12.6"/>
    <n v="30327.8"/>
    <s v="Completed"/>
    <s v="Pune"/>
    <s v="Sports"/>
    <m/>
    <s v="Retail"/>
    <n v="56"/>
    <m/>
    <m/>
    <m/>
    <m/>
  </r>
  <r>
    <s v="ORD-00938"/>
    <x v="194"/>
    <s v="CUST-0106"/>
    <s v="PROD-004"/>
    <s v="R030"/>
    <n v="2"/>
    <n v="3870"/>
    <n v="10.5"/>
    <n v="6927.3"/>
    <s v="Completed"/>
    <s v="Pune"/>
    <s v="Electronics"/>
    <m/>
    <s v="Retail"/>
    <n v="22"/>
    <s v="East"/>
    <s v="Apr-24"/>
    <n v="1559"/>
    <n v="0.59715762273901807"/>
  </r>
  <r>
    <s v="ORD-00939"/>
    <x v="340"/>
    <s v="CUST-0130"/>
    <s v="PROD-052"/>
    <s v="R014"/>
    <n v="8"/>
    <n v="5410"/>
    <n v="28.4"/>
    <n v="30988.48"/>
    <s v="Pending"/>
    <s v="Bengaluru"/>
    <s v="Sports"/>
    <m/>
    <s v="Corporate"/>
    <n v="41"/>
    <m/>
    <m/>
    <m/>
    <m/>
  </r>
  <r>
    <s v="ORD-00940"/>
    <x v="221"/>
    <s v="CUST-0241"/>
    <s v="PROD-006"/>
    <s v="R030"/>
    <n v="7"/>
    <n v="3970"/>
    <n v="12.3"/>
    <n v="24371.83"/>
    <s v="Completed"/>
    <s v="Pune"/>
    <s v="Electronics"/>
    <m/>
    <s v="Corporate"/>
    <n v="47"/>
    <m/>
    <m/>
    <m/>
    <m/>
  </r>
  <r>
    <s v="ORD-00941"/>
    <x v="294"/>
    <s v="CUST-0151"/>
    <s v="PROD-056"/>
    <s v="R001"/>
    <n v="5"/>
    <n v="6940"/>
    <n v="1.5"/>
    <n v="34179.5"/>
    <s v="Completed"/>
    <s v="Mumbai"/>
    <s v="Sports"/>
    <m/>
    <s v="Retail"/>
    <n v="53"/>
    <m/>
    <m/>
    <m/>
    <m/>
  </r>
  <r>
    <s v="ORD-00942"/>
    <x v="110"/>
    <s v="CUST-0022"/>
    <s v="PROD-012"/>
    <s v="R006"/>
    <n v="7"/>
    <n v="3160"/>
    <n v="2.4"/>
    <n v="21589.119999999999"/>
    <s v="Refunded"/>
    <s v="Bengaluru"/>
    <s v="Apparel"/>
    <m/>
    <s v="Corporate"/>
    <n v="55"/>
    <m/>
    <m/>
    <m/>
    <m/>
  </r>
  <r>
    <s v="ORD-00943"/>
    <x v="255"/>
    <s v="CUST-0030"/>
    <s v="PROD-020"/>
    <s v="R024"/>
    <n v="2"/>
    <n v="820"/>
    <n v="8.1"/>
    <n v="1507.16"/>
    <s v="Completed"/>
    <s v="Bengaluru"/>
    <s v="Apparel"/>
    <m/>
    <s v="Corporate"/>
    <n v="43"/>
    <m/>
    <m/>
    <m/>
    <m/>
  </r>
  <r>
    <s v="ORD-00944"/>
    <x v="237"/>
    <s v="CUST-0176"/>
    <s v="PROD-041"/>
    <s v="R030"/>
    <n v="2"/>
    <n v="1540"/>
    <n v="17.7"/>
    <n v="2534.84"/>
    <s v="Completed"/>
    <s v="Bengaluru"/>
    <s v="Beauty"/>
    <m/>
    <s v="SMB"/>
    <n v="34"/>
    <s v="West"/>
    <s v="Jul-24"/>
    <n v="647"/>
    <n v="0.57987012987012987"/>
  </r>
  <r>
    <s v="ORD-00945"/>
    <x v="310"/>
    <s v="CUST-0270"/>
    <s v="PROD-004"/>
    <s v="R001"/>
    <n v="10"/>
    <n v="3870"/>
    <n v="12.2"/>
    <n v="33978.6"/>
    <s v="Refunded"/>
    <s v="Bengaluru"/>
    <s v="Electronics"/>
    <m/>
    <s v="Retail"/>
    <n v="29"/>
    <s v="West"/>
    <s v="Oct-24"/>
    <n v="1559"/>
    <n v="0.59715762273901807"/>
  </r>
  <r>
    <s v="ORD-00946"/>
    <x v="56"/>
    <s v="CUST-0216"/>
    <s v="PROD-008"/>
    <s v="R002"/>
    <n v="7"/>
    <n v="2660"/>
    <n v="4.7"/>
    <n v="17744.86"/>
    <s v="Completed"/>
    <s v="Mumbai"/>
    <s v="Electronics"/>
    <m/>
    <s v="Retail"/>
    <n v="50"/>
    <m/>
    <m/>
    <m/>
    <m/>
  </r>
  <r>
    <s v="ORD-00947"/>
    <x v="313"/>
    <s v="CUST-0187"/>
    <s v="PROD-003"/>
    <s v="R009"/>
    <n v="4"/>
    <n v="3570"/>
    <n v="19.3"/>
    <n v="11523.96"/>
    <s v="Completed"/>
    <s v="Chennai"/>
    <s v="Electronics"/>
    <m/>
    <s v="SMB"/>
    <n v="51"/>
    <m/>
    <m/>
    <m/>
    <m/>
  </r>
  <r>
    <s v="ORD-00948"/>
    <x v="274"/>
    <s v="CUST-0143"/>
    <s v="PROD-033"/>
    <s v="R002"/>
    <n v="2"/>
    <n v="2030"/>
    <n v="2.6"/>
    <n v="3954.44"/>
    <s v="Completed"/>
    <s v="Chennai"/>
    <s v="Home"/>
    <m/>
    <s v="SMB"/>
    <n v="52"/>
    <m/>
    <m/>
    <m/>
    <m/>
  </r>
  <r>
    <s v="ORD-00949"/>
    <x v="273"/>
    <s v="CUST-0104"/>
    <s v="PROD-012"/>
    <s v="R013"/>
    <n v="6"/>
    <n v="3160"/>
    <n v="25.8"/>
    <n v="14068.32"/>
    <s v="Completed"/>
    <s v="Hyderabad"/>
    <s v="Apparel"/>
    <m/>
    <s v="Corporate"/>
    <n v="43"/>
    <m/>
    <m/>
    <m/>
    <m/>
  </r>
  <r>
    <s v="ORD-00950"/>
    <x v="157"/>
    <s v="CUST-0121"/>
    <s v="PROD-034"/>
    <s v="R014"/>
    <n v="4"/>
    <n v="5080"/>
    <n v="2"/>
    <n v="19913.599999999999"/>
    <s v="Completed"/>
    <s v=" Delhi "/>
    <s v="Home"/>
    <m/>
    <s v="SMB"/>
    <n v="55"/>
    <m/>
    <m/>
    <m/>
    <m/>
  </r>
  <r>
    <s v="ORD-00951"/>
    <x v="322"/>
    <s v="CUST-0228"/>
    <s v="PROD-047"/>
    <s v="R010"/>
    <n v="6"/>
    <n v="3450"/>
    <n v="1.8"/>
    <n v="20327.400000000001"/>
    <s v="Cancelled"/>
    <s v="Pune"/>
    <s v="Beauty"/>
    <m/>
    <s v="Corporate"/>
    <n v="37"/>
    <s v="South"/>
    <s v="Oct-24"/>
    <n v="2420"/>
    <n v="0.29855072463768118"/>
  </r>
  <r>
    <s v="ORD-00952"/>
    <x v="189"/>
    <s v="CUST-0218"/>
    <s v="PROD-051"/>
    <s v="R016"/>
    <n v="3"/>
    <n v="3450"/>
    <n v="4.7"/>
    <n v="9863.5499999999993"/>
    <s v="Pending"/>
    <s v="Mumbai"/>
    <s v="Sports"/>
    <m/>
    <s v="Retail"/>
    <n v="39"/>
    <s v="South"/>
    <s v="Feb-24"/>
    <n v="2467"/>
    <n v="0.28492753623188405"/>
  </r>
  <r>
    <s v="ORD-00953"/>
    <x v="27"/>
    <s v="CUST-0118"/>
    <s v="PROD-001"/>
    <s v="R027"/>
    <n v="7"/>
    <n v="5330"/>
    <n v="16.399999999999999"/>
    <n v="31191.16"/>
    <s v="Completed"/>
    <s v="Hyderabad"/>
    <s v="Electronics"/>
    <m/>
    <s v="Retail"/>
    <n v="26"/>
    <s v="South"/>
    <s v="Oct-24"/>
    <n v="2405"/>
    <n v="0.54878048780487809"/>
  </r>
  <r>
    <s v="ORD-00954"/>
    <x v="190"/>
    <s v="CUST-0262"/>
    <s v="PROD-029"/>
    <s v="R003"/>
    <n v="6"/>
    <n v="2210"/>
    <n v="13.1"/>
    <n v="11522.94"/>
    <s v="Completed"/>
    <s v="Mumbai"/>
    <s v="Grocery"/>
    <m/>
    <s v="Retail"/>
    <n v="52"/>
    <m/>
    <m/>
    <m/>
    <m/>
  </r>
  <r>
    <s v="ORD-00955"/>
    <x v="133"/>
    <s v="CUST-0137"/>
    <s v="PROD-040"/>
    <s v="R026"/>
    <n v="8"/>
    <n v="1080"/>
    <n v="8.6999999999999993"/>
    <n v="7888.32"/>
    <s v="Completed"/>
    <s v="Mumbai"/>
    <s v="Home"/>
    <m/>
    <s v="Retail"/>
    <n v="41"/>
    <m/>
    <m/>
    <m/>
    <m/>
  </r>
  <r>
    <s v="ORD-00956"/>
    <x v="185"/>
    <s v="CUST-0145"/>
    <s v="PROD-014"/>
    <s v="R015"/>
    <n v="5"/>
    <n v="3620"/>
    <n v="16.100000000000001"/>
    <n v="15185.9"/>
    <s v="Completed"/>
    <s v="Bengaluru"/>
    <s v="Apparel"/>
    <m/>
    <s v="SMB"/>
    <n v="44"/>
    <m/>
    <m/>
    <m/>
    <m/>
  </r>
  <r>
    <s v="ORD-00957"/>
    <x v="64"/>
    <s v="CUST-0275"/>
    <s v="PROD-018"/>
    <s v="R011"/>
    <n v="7"/>
    <n v="3560"/>
    <n v="8.5"/>
    <n v="22801.8"/>
    <s v="Completed"/>
    <s v="Mumbai"/>
    <s v="Apparel"/>
    <m/>
    <s v="Retail"/>
    <n v="36"/>
    <s v="South"/>
    <s v="Jul-24"/>
    <n v="2629"/>
    <n v="0.26151685393258428"/>
  </r>
  <r>
    <s v="ORD-00958"/>
    <x v="263"/>
    <s v="CUST-0189"/>
    <s v="PROD-033"/>
    <s v="R025"/>
    <n v="8"/>
    <n v="2030"/>
    <n v="18.100000000000001"/>
    <n v="13300.56"/>
    <s v="Completed"/>
    <s v="Chennai"/>
    <s v="Home"/>
    <m/>
    <s v="Retail"/>
    <n v="41"/>
    <m/>
    <m/>
    <m/>
    <m/>
  </r>
  <r>
    <s v="ORD-00959"/>
    <x v="154"/>
    <s v="CUST-0105"/>
    <s v="PROD-044"/>
    <s v="R011"/>
    <n v="10"/>
    <n v="1650"/>
    <n v="7.1"/>
    <n v="15328.5"/>
    <s v="Completed"/>
    <s v="Chennai"/>
    <s v="Beauty"/>
    <m/>
    <s v="SMB"/>
    <n v="51"/>
    <m/>
    <m/>
    <m/>
    <m/>
  </r>
  <r>
    <s v="ORD-00960"/>
    <x v="25"/>
    <s v="CUST-0284"/>
    <s v="PROD-021"/>
    <s v="R017"/>
    <n v="4"/>
    <n v="2760"/>
    <n v="17.600000000000001"/>
    <n v="9096.9599999999991"/>
    <s v="Cancelled"/>
    <s v="Hyderabad"/>
    <s v="Grocery"/>
    <m/>
    <s v="SMB"/>
    <n v="65"/>
    <m/>
    <m/>
    <m/>
    <m/>
  </r>
  <r>
    <s v="ORD-00961"/>
    <x v="151"/>
    <s v="CUST-0296"/>
    <s v="PROD-006"/>
    <s v="R009"/>
    <n v="4"/>
    <n v="3970"/>
    <n v="4.3"/>
    <n v="15197.16"/>
    <s v="Completed"/>
    <s v="Delhi"/>
    <s v="Electronics"/>
    <m/>
    <s v="Corporate"/>
    <n v="47"/>
    <m/>
    <m/>
    <m/>
    <m/>
  </r>
  <r>
    <s v="ORD-00962"/>
    <x v="89"/>
    <s v="CUST-0087"/>
    <s v="PROD-050"/>
    <s v="R010"/>
    <n v="2"/>
    <n v="6080"/>
    <n v="23.8"/>
    <n v="9265.92"/>
    <s v="Completed"/>
    <s v="Pune"/>
    <s v="Beauty"/>
    <m/>
    <s v="SMB"/>
    <n v="49"/>
    <m/>
    <m/>
    <m/>
    <m/>
  </r>
  <r>
    <s v="ORD-00963"/>
    <x v="341"/>
    <s v="CUST-0012"/>
    <s v="PROD-024"/>
    <s v="R004"/>
    <n v="4"/>
    <n v="2270"/>
    <n v="28.9"/>
    <n v="6455.88"/>
    <s v="Completed"/>
    <s v="Pune"/>
    <s v="Grocery"/>
    <m/>
    <s v="Retail"/>
    <n v="43"/>
    <m/>
    <m/>
    <m/>
    <m/>
  </r>
  <r>
    <s v="ORD-00964"/>
    <x v="236"/>
    <s v="CUST-0241"/>
    <s v="PROD-006"/>
    <s v="R004"/>
    <n v="10"/>
    <n v="3970"/>
    <n v="26.2"/>
    <n v="29298.6"/>
    <s v="Completed"/>
    <s v="Pune"/>
    <s v="Electronics"/>
    <m/>
    <s v="Corporate"/>
    <n v="47"/>
    <m/>
    <m/>
    <m/>
    <m/>
  </r>
  <r>
    <s v="ORD-00965"/>
    <x v="239"/>
    <s v="CUST-0133"/>
    <s v="PROD-048"/>
    <s v="R013"/>
    <n v="4"/>
    <n v="5100"/>
    <n v="2.1"/>
    <n v="19971.599999999999"/>
    <s v="Completed"/>
    <s v="Chennai"/>
    <s v="Beauty"/>
    <m/>
    <s v="Retail"/>
    <n v="26"/>
    <s v="North"/>
    <s v="May-24"/>
    <n v="2237"/>
    <n v="0.56137254901960787"/>
  </r>
  <r>
    <s v="ORD-00966"/>
    <x v="49"/>
    <s v="CUST-0230"/>
    <s v="PROD-045"/>
    <s v="R024"/>
    <n v="5"/>
    <n v="3020"/>
    <n v="17.3"/>
    <n v="12487.7"/>
    <s v="Completed"/>
    <s v="Pune"/>
    <s v="Beauty"/>
    <m/>
    <s v="Corporate"/>
    <n v="33"/>
    <s v="South"/>
    <s v="Mar-24"/>
    <n v="1626"/>
    <n v="0.46158940397350995"/>
  </r>
  <r>
    <s v="ORD-00967"/>
    <x v="126"/>
    <s v="CUST-0126"/>
    <s v="PROD-057"/>
    <s v="R016"/>
    <n v="8"/>
    <n v="960"/>
    <n v="1.3"/>
    <n v="7580.16"/>
    <s v="Cancelled"/>
    <s v="Mumbai"/>
    <s v="Sports"/>
    <m/>
    <s v="Retail"/>
    <n v="37"/>
    <s v="West"/>
    <s v="May-24"/>
    <n v="705"/>
    <n v="0.265625"/>
  </r>
  <r>
    <s v="ORD-00968"/>
    <x v="109"/>
    <s v="CUST-0233"/>
    <s v="PROD-019"/>
    <s v="R008"/>
    <n v="9"/>
    <n v="2480"/>
    <n v="15.6"/>
    <n v="18838.080000000002"/>
    <s v="Completed"/>
    <s v="Mumbai"/>
    <s v="Apparel"/>
    <m/>
    <s v="SMB"/>
    <n v="65"/>
    <m/>
    <m/>
    <m/>
    <m/>
  </r>
  <r>
    <s v="ORD-00969"/>
    <x v="286"/>
    <s v="CUST-9555"/>
    <s v="PROD-030"/>
    <s v="R012"/>
    <n v="1"/>
    <n v="970"/>
    <n v="24.9"/>
    <n v="728.47"/>
    <s v="Completed"/>
    <s v="Bengaluru"/>
    <s v="Grocery"/>
    <m/>
    <e v="#N/A"/>
    <e v="#N/A"/>
    <m/>
    <m/>
    <m/>
    <m/>
  </r>
  <r>
    <s v="ORD-00970"/>
    <x v="38"/>
    <s v="CUST-0150"/>
    <s v="PROD-023"/>
    <s v="R022"/>
    <n v="4"/>
    <n v="2380"/>
    <n v="9.5"/>
    <n v="8615.6"/>
    <s v="Cancelled"/>
    <s v="Pune"/>
    <s v="Grocery"/>
    <m/>
    <s v="SMB"/>
    <n v="53"/>
    <m/>
    <m/>
    <m/>
    <m/>
  </r>
  <r>
    <s v="ORD-00971"/>
    <x v="318"/>
    <s v="CUST-0204"/>
    <s v="PROD-052"/>
    <s v="R005"/>
    <n v="4"/>
    <n v="5410"/>
    <n v="18.7"/>
    <n v="17593.32"/>
    <s v="Completed"/>
    <s v="Hyderabad"/>
    <s v="Sports"/>
    <m/>
    <s v="Retail"/>
    <n v="60"/>
    <m/>
    <m/>
    <m/>
    <m/>
  </r>
  <r>
    <s v="ORD-00972"/>
    <x v="52"/>
    <s v="CUST-0040"/>
    <s v="PROD-034"/>
    <s v="R022"/>
    <n v="7"/>
    <n v="5080"/>
    <n v="6.5"/>
    <n v="33248.6"/>
    <s v="Completed"/>
    <s v="Chennai"/>
    <s v="Home"/>
    <m/>
    <s v="Retail"/>
    <n v="28"/>
    <s v="North"/>
    <s v="May-24"/>
    <n v="2459"/>
    <n v="0.51594488188976373"/>
  </r>
  <r>
    <s v="ORD-00973"/>
    <x v="220"/>
    <s v="CUST-0060"/>
    <s v="PROD-007"/>
    <s v="R025"/>
    <n v="5"/>
    <n v="1430"/>
    <n v="19.8"/>
    <n v="5734.3"/>
    <s v="Completed"/>
    <s v="Pune"/>
    <s v="Electronics"/>
    <m/>
    <s v="Retail"/>
    <n v="39"/>
    <s v="East"/>
    <s v="Oct-24"/>
    <n v="861"/>
    <n v="0.39790209790209791"/>
  </r>
  <r>
    <s v="ORD-00974"/>
    <x v="4"/>
    <s v="CUST-0017"/>
    <s v="PROD-037"/>
    <s v="R011"/>
    <n v="7"/>
    <n v="660"/>
    <n v="17.3"/>
    <n v="3820.74"/>
    <s v="Completed"/>
    <s v="Delhi"/>
    <s v="Home"/>
    <m/>
    <s v="SMB"/>
    <n v="38"/>
    <s v="West"/>
    <s v="Feb-24"/>
    <n v="329"/>
    <n v="0.50151515151515147"/>
  </r>
  <r>
    <s v="ORD-00975"/>
    <x v="265"/>
    <s v="CUST-0093"/>
    <s v="PROD-041"/>
    <s v="R004"/>
    <n v="10"/>
    <n v="1540"/>
    <n v="17.5"/>
    <n v="12705"/>
    <s v="Completed"/>
    <s v="Pune"/>
    <s v="Beauty"/>
    <m/>
    <s v="Retail"/>
    <n v="36"/>
    <s v="South"/>
    <s v="Nov-24"/>
    <n v="647"/>
    <n v="0.57987012987012987"/>
  </r>
  <r>
    <s v="ORD-01662"/>
    <x v="243"/>
    <s v="CUST-0068"/>
    <s v="PROD-029"/>
    <s v="R003"/>
    <n v="10"/>
    <n v="2210"/>
    <n v="24.1"/>
    <n v="16773.900000000001"/>
    <s v="Pending"/>
    <s v="Delhi"/>
    <s v="Grocery"/>
    <m/>
    <s v="SMB"/>
    <n v="48"/>
    <m/>
    <m/>
    <m/>
    <m/>
  </r>
  <r>
    <s v="ORD-00977"/>
    <x v="281"/>
    <s v="CUST-0251"/>
    <s v="PROD-057"/>
    <s v="R022"/>
    <n v="4"/>
    <n v="960"/>
    <n v="13.4"/>
    <n v="3325.44"/>
    <s v="Completed"/>
    <s v="Mumbai"/>
    <s v="Sports"/>
    <m/>
    <s v="Retail"/>
    <n v="44"/>
    <m/>
    <m/>
    <m/>
    <m/>
  </r>
  <r>
    <s v="ORD-00978"/>
    <x v="108"/>
    <s v="CUST-0076"/>
    <s v="PROD-047"/>
    <s v="R022"/>
    <n v="8"/>
    <n v="3450"/>
    <n v="3.7"/>
    <n v="26578.799999999999"/>
    <s v="Completed"/>
    <s v="Mumbai"/>
    <s v="Beauty"/>
    <m/>
    <s v="Retail"/>
    <n v="38"/>
    <s v="East"/>
    <s v="Aug-24"/>
    <n v="2420"/>
    <n v="0.29855072463768118"/>
  </r>
  <r>
    <s v="ORD-00979"/>
    <x v="214"/>
    <s v="CUST-9927"/>
    <s v="PROD-033"/>
    <s v="R005"/>
    <n v="6"/>
    <n v="2030"/>
    <n v="9.5"/>
    <n v="11022.9"/>
    <s v="Completed"/>
    <s v="Mumbai"/>
    <s v="Home"/>
    <m/>
    <e v="#N/A"/>
    <e v="#N/A"/>
    <m/>
    <m/>
    <m/>
    <m/>
  </r>
  <r>
    <s v="ORD-00980"/>
    <x v="342"/>
    <s v="CUST-0135"/>
    <s v="PROD-011"/>
    <s v="R009"/>
    <n v="7"/>
    <n v="3450"/>
    <n v="28.2"/>
    <n v="17339.7"/>
    <s v="Completed"/>
    <s v="Pune"/>
    <s v="Apparel"/>
    <m/>
    <s v="SMB"/>
    <n v="24"/>
    <s v="North"/>
    <s v="Jul-24"/>
    <n v="1748"/>
    <n v="0.49333333333333335"/>
  </r>
  <r>
    <s v="ORD-00981"/>
    <x v="101"/>
    <s v="CUST-0163"/>
    <s v="PROD-027"/>
    <s v="R011"/>
    <n v="7"/>
    <n v="3780"/>
    <n v="15.1"/>
    <n v="22464.54"/>
    <s v="Completed"/>
    <s v="Pune"/>
    <s v="Grocery"/>
    <m/>
    <s v="Retail"/>
    <n v="49"/>
    <m/>
    <m/>
    <m/>
    <m/>
  </r>
  <r>
    <s v="ORD-00947"/>
    <x v="53"/>
    <s v="CUST-0107"/>
    <s v="PROD-021"/>
    <s v="R002"/>
    <n v="4"/>
    <n v="2760"/>
    <n v="14.8"/>
    <n v="9406.08"/>
    <s v="Completed"/>
    <s v="Pune"/>
    <s v="Grocery"/>
    <m/>
    <s v="Retail"/>
    <n v="50"/>
    <m/>
    <m/>
    <m/>
    <m/>
  </r>
  <r>
    <s v="ORD-00983"/>
    <x v="322"/>
    <s v="CUST-0209"/>
    <s v="PROD-041"/>
    <s v="R029"/>
    <n v="4"/>
    <n v="1540"/>
    <n v="13.9"/>
    <n v="5303.76"/>
    <s v="Completed"/>
    <s v="Pune"/>
    <s v="Beauty"/>
    <m/>
    <s v="Retail"/>
    <n v="31"/>
    <s v="North"/>
    <s v="May-24"/>
    <n v="647"/>
    <n v="0.57987012987012987"/>
  </r>
  <r>
    <s v="ORD-00984"/>
    <x v="334"/>
    <s v="CUST-0074"/>
    <s v="PROD-031"/>
    <s v="R007"/>
    <n v="2"/>
    <n v="3730"/>
    <n v="15.7"/>
    <n v="6288.78"/>
    <s v="Cancelled"/>
    <s v="Bengaluru"/>
    <s v="Home"/>
    <m/>
    <s v="Retail"/>
    <n v="27"/>
    <s v="West"/>
    <s v="Feb-24"/>
    <n v="2135"/>
    <n v="0.42761394101876676"/>
  </r>
  <r>
    <s v="ORD-00985"/>
    <x v="251"/>
    <s v="CUST-0037"/>
    <s v="PROD-031"/>
    <s v="R027"/>
    <n v="4"/>
    <n v="3730"/>
    <n v="2.1"/>
    <n v="14606.68"/>
    <s v="Completed"/>
    <s v="Bengaluru"/>
    <s v="Home"/>
    <m/>
    <s v="Retail"/>
    <n v="52"/>
    <m/>
    <m/>
    <m/>
    <m/>
  </r>
  <r>
    <s v="ORD-00986"/>
    <x v="136"/>
    <s v="CUST-0026"/>
    <s v="PROD-012"/>
    <s v="R013"/>
    <n v="1"/>
    <n v="3160"/>
    <n v="29.8"/>
    <n v="2218.3200000000002"/>
    <s v="Completed"/>
    <s v="Pune"/>
    <s v="Apparel"/>
    <m/>
    <s v="Retail"/>
    <n v="62"/>
    <m/>
    <m/>
    <m/>
    <m/>
  </r>
  <r>
    <s v="ORD-00987"/>
    <x v="227"/>
    <s v="CUST-0151"/>
    <s v="PROD-042"/>
    <s v="R022"/>
    <n v="9"/>
    <n v="2290"/>
    <n v="8.3000000000000007"/>
    <n v="18899.37"/>
    <s v="Pending"/>
    <s v="Mumbai"/>
    <s v="Beauty"/>
    <m/>
    <s v="Retail"/>
    <n v="53"/>
    <m/>
    <m/>
    <m/>
    <m/>
  </r>
  <r>
    <s v="ORD-00988"/>
    <x v="215"/>
    <s v="CUST-0210"/>
    <s v="PROD-004"/>
    <s v="R013"/>
    <n v="2"/>
    <n v="3870"/>
    <n v="5.2"/>
    <n v="7337.52"/>
    <s v="Completed"/>
    <s v="Pune"/>
    <s v="Electronics"/>
    <m/>
    <s v="Corporate"/>
    <n v="48"/>
    <m/>
    <m/>
    <m/>
    <m/>
  </r>
  <r>
    <s v="ORD-00989"/>
    <x v="57"/>
    <s v="CUST-0192"/>
    <s v="PROD-003"/>
    <s v="R007"/>
    <n v="5"/>
    <n v="3570"/>
    <n v="19.899999999999999"/>
    <n v="14297.85"/>
    <s v="Completed"/>
    <s v="Bengaluru"/>
    <s v="Electronics"/>
    <m/>
    <s v="Retail"/>
    <n v="55"/>
    <m/>
    <m/>
    <m/>
    <m/>
  </r>
  <r>
    <s v="ORD-00990"/>
    <x v="305"/>
    <s v="CUST-0161"/>
    <s v="PROD-054"/>
    <s v="R001"/>
    <n v="5"/>
    <n v="1010"/>
    <n v="2.2000000000000002"/>
    <n v="4938.8999999999996"/>
    <s v="Completed"/>
    <s v="Chennai"/>
    <s v="Sports"/>
    <m/>
    <s v="Retail"/>
    <n v="38"/>
    <s v="North"/>
    <s v="Jun-24"/>
    <n v="516"/>
    <n v="0.4891089108910891"/>
  </r>
  <r>
    <s v="ORD-00991"/>
    <x v="119"/>
    <s v="CUST-0255"/>
    <s v="PROD-042"/>
    <s v="R004"/>
    <n v="10"/>
    <n v="2290"/>
    <n v="16.8"/>
    <n v="19052.8"/>
    <s v="Cancelled"/>
    <s v="Chennai"/>
    <s v="Beauty"/>
    <m/>
    <s v="Corporate"/>
    <n v="51"/>
    <m/>
    <m/>
    <m/>
    <m/>
  </r>
  <r>
    <s v="ORD-00992"/>
    <x v="293"/>
    <s v="CUST-0027"/>
    <s v="PROD-039"/>
    <s v="R019"/>
    <n v="3"/>
    <n v="4610"/>
    <n v="13.2"/>
    <n v="12004.44"/>
    <s v="Pending"/>
    <s v="Hyderabad"/>
    <s v="Home"/>
    <m/>
    <s v="Corporate"/>
    <n v="52"/>
    <m/>
    <m/>
    <m/>
    <m/>
  </r>
  <r>
    <s v="ORD-00993"/>
    <x v="320"/>
    <s v="CUST-0228"/>
    <s v="PROD-017"/>
    <s v="R003"/>
    <n v="1"/>
    <n v="2510"/>
    <n v="16.899999999999999"/>
    <n v="2085.81"/>
    <s v="Completed"/>
    <s v="Pune"/>
    <s v="Apparel"/>
    <m/>
    <s v="Corporate"/>
    <n v="37"/>
    <s v="East"/>
    <s v="Jul-24"/>
    <n v="1075"/>
    <n v="0.57171314741035861"/>
  </r>
  <r>
    <s v="ORD-00994"/>
    <x v="27"/>
    <s v="CUST-0183"/>
    <s v="PROD-045"/>
    <s v="R009"/>
    <n v="1"/>
    <n v="3020"/>
    <n v="26.7"/>
    <n v="2213.66"/>
    <s v="Completed"/>
    <s v="Mumbai"/>
    <s v="Beauty"/>
    <m/>
    <s v="SMB"/>
    <n v="27"/>
    <s v="North"/>
    <s v="Mar-24"/>
    <n v="1626"/>
    <n v="0.46158940397350995"/>
  </r>
  <r>
    <s v="ORD-00995"/>
    <x v="343"/>
    <s v="CUST-0026"/>
    <s v="PROD-060"/>
    <s v="R012"/>
    <n v="6"/>
    <n v="190"/>
    <n v="7.1"/>
    <n v="1059.06"/>
    <s v="Completed"/>
    <s v="Pune"/>
    <s v="Sports"/>
    <m/>
    <s v="Retail"/>
    <n v="62"/>
    <m/>
    <m/>
    <m/>
    <m/>
  </r>
  <r>
    <s v="ORD-00996"/>
    <x v="201"/>
    <s v="CUST-0211"/>
    <s v="PROD-033"/>
    <s v="R002"/>
    <n v="6"/>
    <n v="2030"/>
    <n v="13.5"/>
    <n v="10535.7"/>
    <s v="Cancelled"/>
    <s v="Bengaluru"/>
    <s v="Home"/>
    <m/>
    <s v="Retail"/>
    <n v="36"/>
    <s v="South"/>
    <s v="Jan-24"/>
    <n v="1143"/>
    <n v="0.43694581280788175"/>
  </r>
  <r>
    <s v="ORD-00997"/>
    <x v="74"/>
    <s v="CUST-0190"/>
    <s v="PROD-036"/>
    <s v="R012"/>
    <n v="10"/>
    <n v="3250"/>
    <n v="8.6999999999999993"/>
    <n v="29672.5"/>
    <s v="Completed"/>
    <s v="Hyderabad"/>
    <s v="Home"/>
    <m/>
    <s v="Retail"/>
    <n v="52"/>
    <m/>
    <m/>
    <m/>
    <m/>
  </r>
  <r>
    <s v="ORD-00998"/>
    <x v="193"/>
    <s v="CUST-0172"/>
    <s v="PROD-033"/>
    <s v="R029"/>
    <n v="9"/>
    <n v="2030"/>
    <n v="29.3"/>
    <n v="12916.89"/>
    <s v="Completed"/>
    <s v="Pune"/>
    <s v="Home"/>
    <m/>
    <s v="Retail"/>
    <n v="65"/>
    <m/>
    <m/>
    <m/>
    <m/>
  </r>
  <r>
    <s v="ORD-00999"/>
    <x v="82"/>
    <s v="CUST-0272"/>
    <s v="PROD-023"/>
    <s v="R025"/>
    <n v="1"/>
    <n v="2380"/>
    <n v="12.9"/>
    <n v="2072.98"/>
    <s v="Completed"/>
    <s v="Mumbai"/>
    <s v="Grocery"/>
    <m/>
    <s v="SMB"/>
    <n v="47"/>
    <m/>
    <m/>
    <m/>
    <m/>
  </r>
  <r>
    <s v="ORD-01000"/>
    <x v="126"/>
    <s v="CUST-0232"/>
    <s v="PROD-011"/>
    <s v="R024"/>
    <n v="10"/>
    <n v="3450"/>
    <n v="18.5"/>
    <n v="28117.5"/>
    <s v="Completed"/>
    <s v="Hyderabad"/>
    <s v="Apparel"/>
    <m/>
    <s v="Retail"/>
    <n v="38"/>
    <s v="West"/>
    <s v="Mar-24"/>
    <n v="1748"/>
    <n v="0.49333333333333335"/>
  </r>
  <r>
    <s v="ORD-01001"/>
    <x v="66"/>
    <s v="CUST-0282"/>
    <s v="PROD-012"/>
    <s v="R002"/>
    <n v="10"/>
    <n v="3160"/>
    <n v="26.3"/>
    <n v="23289.200000000001"/>
    <s v="Completed"/>
    <s v="Hyderabad"/>
    <s v="Apparel"/>
    <m/>
    <s v="Corporate"/>
    <n v="29"/>
    <s v="West"/>
    <s v="Aug-24"/>
    <n v="1886"/>
    <n v="0.4031645569620253"/>
  </r>
  <r>
    <s v="ORD-01002"/>
    <x v="101"/>
    <s v="CUST-0164"/>
    <s v="PROD-038"/>
    <s v="R026"/>
    <n v="10"/>
    <n v="5490"/>
    <n v="22.7"/>
    <n v="42437.7"/>
    <s v="Completed"/>
    <s v="Chennai"/>
    <s v="Home"/>
    <m/>
    <s v="Retail"/>
    <n v="60"/>
    <m/>
    <m/>
    <m/>
    <m/>
  </r>
  <r>
    <s v="ORD-01003"/>
    <x v="232"/>
    <s v="CUST-0212"/>
    <s v="PROD-055"/>
    <s v="R006"/>
    <n v="8"/>
    <n v="2860"/>
    <n v="14.3"/>
    <n v="19608.16"/>
    <s v="Completed"/>
    <s v="Chennai"/>
    <s v="Sports"/>
    <m/>
    <s v="SMB"/>
    <n v="46"/>
    <m/>
    <m/>
    <m/>
    <m/>
  </r>
  <r>
    <s v="ORD-01004"/>
    <x v="104"/>
    <s v="CUST-0234"/>
    <s v="PROD-049"/>
    <s v="R011"/>
    <n v="1"/>
    <n v="960"/>
    <n v="11.9"/>
    <n v="845.76"/>
    <s v="Completed"/>
    <s v="Bengaluru"/>
    <s v="Beauty"/>
    <m/>
    <s v="Retail"/>
    <n v="34"/>
    <s v="North"/>
    <s v="Sep-24"/>
    <n v="675"/>
    <n v="0.296875"/>
  </r>
  <r>
    <s v="ORD-01005"/>
    <x v="195"/>
    <s v="CUST-0292"/>
    <s v="PROD-040"/>
    <s v="R007"/>
    <n v="3"/>
    <n v="1080"/>
    <n v="26"/>
    <n v="2397.6"/>
    <s v="Completed"/>
    <s v="Bengaluru"/>
    <s v="Home"/>
    <m/>
    <s v="Retail"/>
    <n v="32"/>
    <s v="South"/>
    <s v="May-24"/>
    <n v="519"/>
    <n v="0.51944444444444449"/>
  </r>
  <r>
    <s v="ORD-01006"/>
    <x v="65"/>
    <s v="CUST-0018"/>
    <s v="PROD-055"/>
    <s v="R001"/>
    <n v="10"/>
    <n v="2860"/>
    <n v="13.1"/>
    <n v="24853.4"/>
    <s v="Refunded"/>
    <s v="Pune"/>
    <s v="Sports"/>
    <m/>
    <s v="SMB"/>
    <n v="54"/>
    <m/>
    <m/>
    <m/>
    <m/>
  </r>
  <r>
    <s v="ORD-01007"/>
    <x v="316"/>
    <s v="CUST-0220"/>
    <s v="PROD-013"/>
    <s v="R001"/>
    <n v="3"/>
    <n v="3640"/>
    <n v="18.2"/>
    <n v="8932.56"/>
    <s v="Completed"/>
    <s v="Chennai"/>
    <s v="Apparel"/>
    <m/>
    <s v="Retail"/>
    <n v="34"/>
    <s v="North"/>
    <s v="Oct-24"/>
    <n v="2611"/>
    <n v="0.28269230769230769"/>
  </r>
  <r>
    <s v="ORD-01008"/>
    <x v="171"/>
    <s v="CUST-0064"/>
    <s v="PROD-015"/>
    <s v="R018"/>
    <n v="3"/>
    <n v="2720"/>
    <n v="3.6"/>
    <n v="7866.24"/>
    <s v="Completed"/>
    <s v="Hyderabad"/>
    <s v="Apparel"/>
    <m/>
    <s v="SMB"/>
    <n v="40"/>
    <s v="North"/>
    <s v="Dec-24"/>
    <n v="1962"/>
    <n v="0.2786764705882353"/>
  </r>
  <r>
    <s v="ORD-01009"/>
    <x v="316"/>
    <s v="CUST-0077"/>
    <s v="PROD-024"/>
    <s v="R008"/>
    <n v="4"/>
    <n v="2270"/>
    <n v="18.399999999999999"/>
    <n v="7409.28"/>
    <s v="Completed"/>
    <s v="Hyderabad"/>
    <s v="Grocery"/>
    <m/>
    <s v="SMB"/>
    <n v="48"/>
    <m/>
    <m/>
    <m/>
    <m/>
  </r>
  <r>
    <s v="ORD-01010"/>
    <x v="64"/>
    <s v="CUST-0229"/>
    <s v="PROD-009"/>
    <s v="R029"/>
    <n v="5"/>
    <n v="1220"/>
    <n v="13.9"/>
    <n v="5252.1"/>
    <s v="Completed"/>
    <s v="Hyderabad"/>
    <s v="Electronics"/>
    <m/>
    <s v="SMB"/>
    <n v="25"/>
    <s v="North"/>
    <s v="Dec-24"/>
    <n v="517"/>
    <n v="0.57622950819672136"/>
  </r>
  <r>
    <s v="ORD-01011"/>
    <x v="21"/>
    <s v="CUST-0129"/>
    <s v="PROD-010"/>
    <s v="R015"/>
    <n v="8"/>
    <n v="2640"/>
    <n v="17.3"/>
    <n v="17466.240000000002"/>
    <s v="Completed"/>
    <s v="Hyderabad"/>
    <s v="Electronics"/>
    <m/>
    <s v="Retail"/>
    <n v="29"/>
    <s v="West"/>
    <s v="Jul-24"/>
    <n v="1149"/>
    <n v="0.56477272727272732"/>
  </r>
  <r>
    <s v="ORD-01012"/>
    <x v="66"/>
    <s v="CUST-0145"/>
    <s v="PROD-030"/>
    <s v="R015"/>
    <n v="1"/>
    <n v="970"/>
    <n v="28"/>
    <n v="698.4"/>
    <s v="Cancelled"/>
    <s v="Bengaluru"/>
    <s v="Grocery"/>
    <m/>
    <s v="SMB"/>
    <n v="44"/>
    <m/>
    <m/>
    <m/>
    <m/>
  </r>
  <r>
    <s v="ORD-01013"/>
    <x v="243"/>
    <s v="CUST-0258"/>
    <s v="PROD-031"/>
    <s v="R025"/>
    <n v="8"/>
    <n v="3730"/>
    <n v="2.1"/>
    <n v="29213.360000000001"/>
    <s v="Refunded"/>
    <s v="Pune"/>
    <s v="Home"/>
    <m/>
    <s v="Retail"/>
    <n v="44"/>
    <m/>
    <m/>
    <m/>
    <m/>
  </r>
  <r>
    <s v="ORD-01014"/>
    <x v="311"/>
    <s v="CUST-0209"/>
    <s v="PROD-030"/>
    <s v="R024"/>
    <n v="7"/>
    <n v="970"/>
    <n v="25.5"/>
    <n v="5058.55"/>
    <s v="Completed"/>
    <s v="Pune"/>
    <s v="Grocery"/>
    <m/>
    <s v="Retail"/>
    <n v="31"/>
    <s v="West"/>
    <s v="Mar-24"/>
    <n v="434"/>
    <n v="0.5525773195876289"/>
  </r>
  <r>
    <s v="ORD-01015"/>
    <x v="125"/>
    <s v="CUST-0131"/>
    <s v="PROD-003"/>
    <s v="R022"/>
    <n v="6"/>
    <n v="3570"/>
    <n v="9.9"/>
    <n v="19299.419999999998"/>
    <s v="Completed"/>
    <s v="Delhi"/>
    <s v="Electronics"/>
    <m/>
    <s v="SMB"/>
    <n v="28"/>
    <s v="West"/>
    <s v="Nov-24"/>
    <n v="1665"/>
    <n v="0.53361344537815125"/>
  </r>
  <r>
    <s v="ORD-01016"/>
    <x v="111"/>
    <s v="CUST-0276"/>
    <s v="PROD-030"/>
    <s v="R016"/>
    <n v="6"/>
    <n v="970"/>
    <n v="19.600000000000001"/>
    <n v="4679.28"/>
    <s v="Completed"/>
    <s v="Chennai"/>
    <s v="Grocery"/>
    <m/>
    <s v="Retail"/>
    <n v="26"/>
    <s v="East"/>
    <s v="Jan-24"/>
    <n v="434"/>
    <n v="0.5525773195876289"/>
  </r>
  <r>
    <s v="ORD-01017"/>
    <x v="211"/>
    <s v="CUST-0283"/>
    <s v="PROD-059"/>
    <s v="R011"/>
    <n v="8"/>
    <n v="3780"/>
    <n v="26.5"/>
    <n v="22226.400000000001"/>
    <s v="Completed"/>
    <s v="Delhi"/>
    <s v="Sports"/>
    <m/>
    <s v="SMB"/>
    <n v="50"/>
    <m/>
    <m/>
    <m/>
    <m/>
  </r>
  <r>
    <s v="ORD-01018"/>
    <x v="72"/>
    <s v="CUST-0195"/>
    <s v="PROD-058"/>
    <s v="R011"/>
    <n v="6"/>
    <n v="2400"/>
    <n v="1.4"/>
    <n v="14198.4"/>
    <s v="Completed"/>
    <s v="Bengaluru"/>
    <s v="Sports"/>
    <m/>
    <s v="Retail"/>
    <n v="28"/>
    <s v="South"/>
    <s v="Sep-24"/>
    <n v="974"/>
    <n v="0.59416666666666662"/>
  </r>
  <r>
    <s v="ORD-01019"/>
    <x v="97"/>
    <s v="CUST-0181"/>
    <s v="PROD-036"/>
    <s v="R021"/>
    <n v="10"/>
    <n v="3250"/>
    <n v="19.3"/>
    <n v="26227.5"/>
    <s v="Completed"/>
    <s v="Delhi"/>
    <s v="Home"/>
    <m/>
    <s v="SMB"/>
    <n v="38"/>
    <s v="South"/>
    <s v="Aug-24"/>
    <n v="1556"/>
    <n v="0.52123076923076928"/>
  </r>
  <r>
    <s v="ORD-01020"/>
    <x v="260"/>
    <s v="CUST-0149"/>
    <s v="PROD-021"/>
    <s v="R014"/>
    <n v="7"/>
    <n v="2760"/>
    <n v="23.6"/>
    <n v="14760.48"/>
    <s v="Pending"/>
    <s v="Hyderabad"/>
    <s v="Grocery"/>
    <m/>
    <s v="Retail"/>
    <n v="44"/>
    <m/>
    <m/>
    <m/>
    <m/>
  </r>
  <r>
    <s v="ORD-01021"/>
    <x v="113"/>
    <s v="CUST-0152"/>
    <s v="PROD-003"/>
    <s v="R001"/>
    <n v="3"/>
    <n v="3570"/>
    <n v="26.3"/>
    <n v="7893.27"/>
    <s v="Completed"/>
    <s v="Bengaluru"/>
    <s v="Electronics"/>
    <m/>
    <s v="SMB"/>
    <n v="64"/>
    <m/>
    <m/>
    <m/>
    <m/>
  </r>
  <r>
    <s v="ORD-01022"/>
    <x v="40"/>
    <s v="CUST-0085"/>
    <s v="PROD-027"/>
    <s v="R015"/>
    <n v="4"/>
    <n v="3780"/>
    <n v="10.1"/>
    <n v="13592.88"/>
    <s v="Completed"/>
    <s v="Chennai"/>
    <s v="Grocery"/>
    <m/>
    <s v="Retail"/>
    <n v="26"/>
    <s v="North"/>
    <s v="Jun-24"/>
    <n v="2436"/>
    <n v="0.35555555555555557"/>
  </r>
  <r>
    <s v="ORD-01023"/>
    <x v="77"/>
    <s v="CUST-0231"/>
    <s v="PROD-007"/>
    <s v="R019"/>
    <n v="10"/>
    <n v="1430"/>
    <n v="3.7"/>
    <n v="13770.9"/>
    <s v="Completed"/>
    <s v="Chennai"/>
    <s v="Electronics"/>
    <m/>
    <s v="Retail"/>
    <n v="61"/>
    <m/>
    <m/>
    <m/>
    <m/>
  </r>
  <r>
    <s v="ORD-01024"/>
    <x v="91"/>
    <s v="CUST-0044"/>
    <s v="PROD-022"/>
    <s v="R011"/>
    <n v="6"/>
    <n v="2270"/>
    <n v="7.9"/>
    <n v="12544.02"/>
    <s v="Refunded"/>
    <s v="Hyderabad"/>
    <s v="Grocery"/>
    <m/>
    <s v="SMB"/>
    <n v="29"/>
    <s v="East"/>
    <s v="Nov-24"/>
    <n v="1412"/>
    <n v="0.37797356828193834"/>
  </r>
  <r>
    <s v="ORD-01025"/>
    <x v="5"/>
    <s v="CUST-0027"/>
    <s v="PROD-054"/>
    <s v="R013"/>
    <n v="1"/>
    <n v="1010"/>
    <n v="6.9"/>
    <n v="940.31"/>
    <s v="Pending"/>
    <s v="Hyderabad"/>
    <s v="Sports"/>
    <m/>
    <s v="Corporate"/>
    <n v="52"/>
    <m/>
    <m/>
    <m/>
    <m/>
  </r>
  <r>
    <s v="ORD-01026"/>
    <x v="91"/>
    <s v="CUST-0101"/>
    <s v="PROD-055"/>
    <s v="R014"/>
    <n v="2"/>
    <n v="2860"/>
    <n v="20.100000000000001"/>
    <n v="4570.28"/>
    <s v="Completed"/>
    <s v="Hyderabad"/>
    <s v="Sports"/>
    <m/>
    <s v="SMB"/>
    <n v="40"/>
    <s v="South"/>
    <s v="Apr-24"/>
    <n v="2028"/>
    <n v="0.29090909090909089"/>
  </r>
  <r>
    <s v="ORD-01027"/>
    <x v="76"/>
    <s v="CUST-0123"/>
    <s v="PROD-002"/>
    <s v="R019"/>
    <n v="9"/>
    <n v="2600"/>
    <n v="15.9"/>
    <n v="19679.400000000001"/>
    <s v="Cancelled"/>
    <s v="Chennai"/>
    <s v="Electronics"/>
    <m/>
    <s v="Corporate"/>
    <n v="44"/>
    <m/>
    <m/>
    <m/>
    <m/>
  </r>
  <r>
    <s v="ORD-01028"/>
    <x v="132"/>
    <s v="CUST-0124"/>
    <s v="PROD-053"/>
    <s v="R024"/>
    <n v="10"/>
    <n v="470"/>
    <n v="23.1"/>
    <n v="3614.3"/>
    <s v="Pending"/>
    <s v="Pune"/>
    <s v="Sports"/>
    <m/>
    <s v="Retail"/>
    <n v="57"/>
    <m/>
    <m/>
    <m/>
    <m/>
  </r>
  <r>
    <s v="ORD-01029"/>
    <x v="185"/>
    <s v="CUST-0159"/>
    <s v="PROD-037"/>
    <s v="R013"/>
    <n v="10"/>
    <n v="660"/>
    <n v="9.4"/>
    <n v="5979.6"/>
    <s v="Completed"/>
    <s v="Hyderabad"/>
    <s v="Home"/>
    <m/>
    <s v="Retail"/>
    <n v="32"/>
    <s v="West"/>
    <s v="Apr-24"/>
    <n v="329"/>
    <n v="0.50151515151515147"/>
  </r>
  <r>
    <s v="ORD-01030"/>
    <x v="246"/>
    <s v="CUST-0087"/>
    <s v="PROD-009"/>
    <s v="R023"/>
    <n v="5"/>
    <n v="1220"/>
    <n v="23.3"/>
    <n v="4678.7"/>
    <s v="Completed"/>
    <s v="Pune"/>
    <s v="Electronics"/>
    <m/>
    <s v="SMB"/>
    <n v="49"/>
    <m/>
    <m/>
    <m/>
    <m/>
  </r>
  <r>
    <s v="ORD-01031"/>
    <x v="137"/>
    <s v="CUST-0295"/>
    <s v="PROD-036"/>
    <s v="R011"/>
    <n v="9"/>
    <n v="3250"/>
    <n v="19.600000000000001"/>
    <n v="23517"/>
    <s v="Pending"/>
    <s v="Delhi"/>
    <s v="Home"/>
    <m/>
    <s v="SMB"/>
    <n v="48"/>
    <m/>
    <m/>
    <m/>
    <m/>
  </r>
  <r>
    <s v="ORD-01032"/>
    <x v="176"/>
    <s v="CUST-0211"/>
    <s v="PROD-016"/>
    <s v="R018"/>
    <n v="7"/>
    <n v="620"/>
    <n v="29"/>
    <n v="3081.4"/>
    <s v="Completed"/>
    <s v="Bengaluru"/>
    <s v="Apparel"/>
    <m/>
    <s v="Retail"/>
    <n v="36"/>
    <s v="South"/>
    <s v="Jan-24"/>
    <n v="396"/>
    <n v="0.36129032258064514"/>
  </r>
  <r>
    <s v="ORD-01033"/>
    <x v="99"/>
    <s v="CUST-0265"/>
    <s v="PROD-026"/>
    <s v="R006"/>
    <n v="9"/>
    <n v="4070"/>
    <n v="16.2"/>
    <n v="30695.94"/>
    <s v="Completed"/>
    <s v="Chennai"/>
    <s v="Grocery"/>
    <m/>
    <s v="Retail"/>
    <n v="49"/>
    <m/>
    <m/>
    <m/>
    <m/>
  </r>
  <r>
    <s v="ORD-01034"/>
    <x v="116"/>
    <s v="CUST-0252"/>
    <s v="PROD-012"/>
    <s v="R007"/>
    <n v="8"/>
    <n v="3160"/>
    <n v="23.8"/>
    <n v="19263.36"/>
    <s v="Completed"/>
    <s v="Bengaluru"/>
    <s v="Apparel"/>
    <m/>
    <s v="Retail"/>
    <n v="27"/>
    <s v="North"/>
    <s v="Jun-24"/>
    <n v="1886"/>
    <n v="0.4031645569620253"/>
  </r>
  <r>
    <s v="ORD-01035"/>
    <x v="124"/>
    <s v="CUST-0180"/>
    <s v="PROD-029"/>
    <s v="R022"/>
    <n v="3"/>
    <n v="2210"/>
    <n v="29.7"/>
    <n v="4660.8900000000003"/>
    <s v="Completed"/>
    <s v="Chennai"/>
    <s v="Grocery"/>
    <m/>
    <s v="Retail"/>
    <n v="36"/>
    <s v="North"/>
    <s v="Feb-24"/>
    <n v="1010"/>
    <n v="0.54298642533936647"/>
  </r>
  <r>
    <s v="ORD-01036"/>
    <x v="268"/>
    <s v="CUST-0231"/>
    <s v="PROD-053"/>
    <s v="R025"/>
    <n v="9"/>
    <n v="470"/>
    <n v="27.1"/>
    <n v="3083.67"/>
    <s v="Completed"/>
    <s v="Chennai"/>
    <s v="Sports"/>
    <m/>
    <s v="Retail"/>
    <n v="61"/>
    <m/>
    <m/>
    <m/>
    <m/>
  </r>
  <r>
    <s v="ORD-01037"/>
    <x v="81"/>
    <s v="CUST-0161"/>
    <s v="PROD-032"/>
    <s v="R020"/>
    <n v="6"/>
    <n v="370"/>
    <n v="5.4"/>
    <n v="2100.12"/>
    <s v="Completed"/>
    <s v="Chennai"/>
    <s v="Home"/>
    <m/>
    <s v="Retail"/>
    <n v="38"/>
    <s v="West"/>
    <s v="Mar-24"/>
    <n v="288"/>
    <n v="0.22162162162162163"/>
  </r>
  <r>
    <s v="ORD-01038"/>
    <x v="263"/>
    <s v="CUST-0249"/>
    <s v="PROD-059"/>
    <s v="R018"/>
    <n v="10"/>
    <n v="3780"/>
    <n v="21.5"/>
    <n v="29673"/>
    <s v="Pending"/>
    <s v="Mumbai"/>
    <s v="Sports"/>
    <m/>
    <s v="Retail"/>
    <n v="44"/>
    <m/>
    <m/>
    <m/>
    <m/>
  </r>
  <r>
    <s v="ORD-01039"/>
    <x v="344"/>
    <s v="CUST-0048"/>
    <s v="PROD-056"/>
    <s v="R009"/>
    <n v="4"/>
    <n v="6940"/>
    <n v="3.9"/>
    <n v="26677.360000000001"/>
    <s v="Cancelled"/>
    <s v="Delhi"/>
    <s v="Sports"/>
    <m/>
    <s v="Retail"/>
    <n v="59"/>
    <m/>
    <m/>
    <m/>
    <m/>
  </r>
  <r>
    <s v="ORD-01040"/>
    <x v="233"/>
    <s v="CUST-0068"/>
    <s v="PROD-031"/>
    <s v="R022"/>
    <n v="3"/>
    <n v="3730"/>
    <n v="20.7"/>
    <n v="8873.67"/>
    <s v="Completed"/>
    <s v="Delhi"/>
    <s v="Home"/>
    <m/>
    <s v="SMB"/>
    <n v="48"/>
    <m/>
    <m/>
    <m/>
    <m/>
  </r>
  <r>
    <s v="ORD-01041"/>
    <x v="212"/>
    <s v="CUST-0213"/>
    <s v="PROD-034"/>
    <s v="R025"/>
    <n v="8"/>
    <n v="5080"/>
    <n v="6.2"/>
    <n v="38120.32"/>
    <s v="Completed"/>
    <s v="Mumbai"/>
    <s v="Home"/>
    <m/>
    <s v="Retail"/>
    <n v="37"/>
    <s v="East"/>
    <s v="Jul-24"/>
    <n v="2459"/>
    <n v="0.51594488188976373"/>
  </r>
  <r>
    <s v="ORD-01042"/>
    <x v="6"/>
    <s v="CUST-0159"/>
    <s v="PROD-052"/>
    <s v="R001"/>
    <n v="5"/>
    <n v="5410"/>
    <n v="5.2"/>
    <n v="25643.4"/>
    <s v="Completed"/>
    <s v="Hyderabad"/>
    <s v="Sports"/>
    <m/>
    <s v="Retail"/>
    <n v="32"/>
    <s v="West"/>
    <s v="Jan-24"/>
    <n v="2265"/>
    <n v="0.58133086876155271"/>
  </r>
  <r>
    <s v="ORD-01043"/>
    <x v="280"/>
    <s v="CUST-0298"/>
    <s v="PROD-015"/>
    <s v="R026"/>
    <n v="6"/>
    <n v="2720"/>
    <n v="29.8"/>
    <n v="11456.64"/>
    <s v="Pending"/>
    <s v="Delhi"/>
    <s v="Apparel"/>
    <m/>
    <s v="Retail"/>
    <n v="44"/>
    <m/>
    <m/>
    <m/>
    <m/>
  </r>
  <r>
    <s v="ORD-01044"/>
    <x v="290"/>
    <s v="CUST-0145"/>
    <s v="PROD-009"/>
    <s v="R010"/>
    <n v="1"/>
    <n v="1220"/>
    <n v="22.6"/>
    <n v="944.28"/>
    <s v="Completed"/>
    <s v="Bengaluru"/>
    <s v="Electronics"/>
    <m/>
    <s v="SMB"/>
    <n v="44"/>
    <m/>
    <m/>
    <m/>
    <m/>
  </r>
  <r>
    <s v="ORD-01045"/>
    <x v="93"/>
    <s v="CUST-0015"/>
    <s v="PROD-046"/>
    <s v="R008"/>
    <n v="10"/>
    <n v="4880"/>
    <n v="7.3"/>
    <n v="45237.599999999999"/>
    <s v="Completed"/>
    <s v="Chennai"/>
    <s v="Beauty"/>
    <m/>
    <s v="Retail"/>
    <n v="31"/>
    <s v="South"/>
    <s v="Jun-24"/>
    <n v="2768"/>
    <n v="0.43278688524590164"/>
  </r>
  <r>
    <s v="ORD-01046"/>
    <x v="216"/>
    <s v="CUST-0054"/>
    <s v="PROD-022"/>
    <s v="R021"/>
    <n v="10"/>
    <n v="2270"/>
    <n v="1.6"/>
    <n v="22336.799999999999"/>
    <s v="Completed"/>
    <s v="Mumbai"/>
    <s v="Grocery"/>
    <m/>
    <s v="Corporate"/>
    <n v="62"/>
    <m/>
    <m/>
    <m/>
    <m/>
  </r>
  <r>
    <s v="ORD-01047"/>
    <x v="55"/>
    <s v="CUST-0150"/>
    <s v="PROD-030"/>
    <s v="R003"/>
    <n v="8"/>
    <n v="970"/>
    <n v="13.1"/>
    <n v="6743.44"/>
    <s v="Completed"/>
    <s v="Pune"/>
    <s v="Grocery"/>
    <m/>
    <s v="SMB"/>
    <n v="53"/>
    <m/>
    <m/>
    <m/>
    <m/>
  </r>
  <r>
    <s v="ORD-01048"/>
    <x v="34"/>
    <s v="CUST-0096"/>
    <s v="PROD-023"/>
    <s v="R012"/>
    <n v="7"/>
    <n v="2380"/>
    <n v="10.6"/>
    <n v="14894.04"/>
    <s v="Cancelled"/>
    <s v="Delhi"/>
    <s v="Grocery"/>
    <m/>
    <s v="Corporate"/>
    <n v="27"/>
    <s v="North"/>
    <s v="Oct-24"/>
    <n v="1182"/>
    <n v="0.50336134453781511"/>
  </r>
  <r>
    <s v="ORD-01049"/>
    <x v="56"/>
    <s v="CUST-0288"/>
    <s v="PROD-014"/>
    <s v="R016"/>
    <n v="6"/>
    <n v="3620"/>
    <n v="21.3"/>
    <n v="17093.64"/>
    <s v="Cancelled"/>
    <s v="Hyderabad"/>
    <s v="Apparel"/>
    <m/>
    <s v="Corporate"/>
    <n v="25"/>
    <s v="South"/>
    <s v="Dec-24"/>
    <n v="2509"/>
    <n v="0.3069060773480663"/>
  </r>
  <r>
    <s v="ORD-01050"/>
    <x v="122"/>
    <s v="CUST-0048"/>
    <s v="PROD-026"/>
    <s v="R027"/>
    <n v="3"/>
    <n v="4070"/>
    <n v="8.1999999999999993"/>
    <n v="11208.78"/>
    <s v="Cancelled"/>
    <s v="Delhi"/>
    <s v="Grocery"/>
    <m/>
    <s v="Retail"/>
    <n v="59"/>
    <m/>
    <m/>
    <m/>
    <m/>
  </r>
  <r>
    <s v="ORD-01051"/>
    <x v="344"/>
    <s v="CUST-0104"/>
    <s v="PROD-048"/>
    <s v="R026"/>
    <n v="8"/>
    <n v="5100"/>
    <n v="26.9"/>
    <n v="29824.799999999999"/>
    <s v="Completed"/>
    <s v="Hyderabad"/>
    <s v="Beauty"/>
    <m/>
    <s v="Corporate"/>
    <n v="43"/>
    <m/>
    <m/>
    <m/>
    <m/>
  </r>
  <r>
    <s v="ORD-01052"/>
    <x v="197"/>
    <s v="CUST-0054"/>
    <s v="PROD-045"/>
    <s v="R017"/>
    <n v="3"/>
    <n v="3020"/>
    <n v="18.5"/>
    <n v="7383.9"/>
    <s v="Cancelled"/>
    <s v="Mumbai"/>
    <s v="Beauty"/>
    <m/>
    <s v="Corporate"/>
    <n v="62"/>
    <m/>
    <m/>
    <m/>
    <m/>
  </r>
  <r>
    <s v="ORD-01053"/>
    <x v="148"/>
    <s v="CUST-0158"/>
    <s v="PROD-049"/>
    <s v="R002"/>
    <n v="8"/>
    <n v="960"/>
    <n v="7.1"/>
    <n v="7134.72"/>
    <s v="Completed"/>
    <s v="Pune"/>
    <s v="Beauty"/>
    <m/>
    <s v="Corporate"/>
    <n v="42"/>
    <m/>
    <m/>
    <m/>
    <m/>
  </r>
  <r>
    <s v="ORD-01054"/>
    <x v="266"/>
    <s v="CUST-0231"/>
    <s v="PROD-034"/>
    <s v="R015"/>
    <n v="8"/>
    <n v="5080"/>
    <n v="6.2"/>
    <n v="38120.32"/>
    <s v="Completed"/>
    <s v="Chennai"/>
    <s v="Home"/>
    <m/>
    <s v="Retail"/>
    <n v="61"/>
    <m/>
    <m/>
    <m/>
    <m/>
  </r>
  <r>
    <s v="ORD-01055"/>
    <x v="295"/>
    <s v="CUST-0277"/>
    <s v="PROD-050"/>
    <s v="R010"/>
    <n v="6"/>
    <n v="6080"/>
    <n v="25.8"/>
    <n v="27068.16"/>
    <s v="Completed"/>
    <s v="Chennai"/>
    <s v="Beauty"/>
    <m/>
    <s v="Corporate"/>
    <n v="34"/>
    <s v="South"/>
    <s v="Apr-24"/>
    <n v="2617"/>
    <n v="0.56957236842105263"/>
  </r>
  <r>
    <s v="ORD-01056"/>
    <x v="227"/>
    <s v="CUST-0232"/>
    <s v="PROD-041"/>
    <s v="R010"/>
    <n v="5"/>
    <n v="1540"/>
    <n v="24.6"/>
    <n v="5805.8"/>
    <s v="Completed"/>
    <s v="Hyderabad"/>
    <s v="Beauty"/>
    <m/>
    <s v="Retail"/>
    <n v="38"/>
    <s v="South"/>
    <s v="May-24"/>
    <n v="647"/>
    <n v="0.57987012987012987"/>
  </r>
  <r>
    <s v="ORD-01057"/>
    <x v="280"/>
    <s v="CUST-0074"/>
    <s v="PROD-054"/>
    <s v="R024"/>
    <n v="4"/>
    <n v="1010"/>
    <n v="2.9"/>
    <n v="3922.84"/>
    <s v="Pending"/>
    <s v="Bengaluru"/>
    <s v="Sports"/>
    <m/>
    <s v="Retail"/>
    <n v="27"/>
    <s v="South"/>
    <s v="Sep-24"/>
    <n v="516"/>
    <n v="0.4891089108910891"/>
  </r>
  <r>
    <s v="ORD-01058"/>
    <x v="261"/>
    <s v="CUST-0068"/>
    <s v="PROD-049"/>
    <s v="R026"/>
    <n v="5"/>
    <n v="960"/>
    <n v="11.4"/>
    <n v="4252.8"/>
    <s v="Completed"/>
    <s v="Delhi"/>
    <s v="Beauty"/>
    <m/>
    <s v="SMB"/>
    <n v="48"/>
    <m/>
    <m/>
    <m/>
    <m/>
  </r>
  <r>
    <s v="ORD-01059"/>
    <x v="111"/>
    <s v="CUST-0152"/>
    <s v="PROD-041"/>
    <s v="R010"/>
    <n v="1"/>
    <n v="1540"/>
    <n v="5.6"/>
    <n v="1453.76"/>
    <s v="Completed"/>
    <s v="Bengaluru"/>
    <s v="Beauty"/>
    <m/>
    <s v="SMB"/>
    <n v="64"/>
    <m/>
    <m/>
    <m/>
    <m/>
  </r>
  <r>
    <s v="ORD-01060"/>
    <x v="245"/>
    <s v="CUST-0046"/>
    <s v="PROD-043"/>
    <s v="R019"/>
    <n v="9"/>
    <n v="3350"/>
    <n v="2.1"/>
    <n v="29516.85"/>
    <s v="Completed"/>
    <s v="Delhi"/>
    <s v="Beauty"/>
    <m/>
    <s v="SMB"/>
    <n v="45"/>
    <m/>
    <m/>
    <m/>
    <m/>
  </r>
  <r>
    <s v="ORD-01061"/>
    <x v="260"/>
    <s v="CUST-0201"/>
    <s v="PROD-051"/>
    <s v="R021"/>
    <n v="7"/>
    <n v="3450"/>
    <n v="4.7"/>
    <n v="23014.95"/>
    <s v="Completed"/>
    <s v="Hyderabad"/>
    <s v="Sports"/>
    <m/>
    <s v="Retail"/>
    <n v="31"/>
    <s v="East"/>
    <s v="Apr-24"/>
    <n v="2467"/>
    <n v="0.28492753623188405"/>
  </r>
  <r>
    <s v="ORD-01062"/>
    <x v="345"/>
    <s v="CUST-0191"/>
    <s v="PROD-057"/>
    <s v="R019"/>
    <n v="10"/>
    <n v="960"/>
    <n v="17.899999999999999"/>
    <n v="7881.6"/>
    <s v="Completed"/>
    <s v="Hyderabad"/>
    <s v="Sports"/>
    <m/>
    <s v="SMB"/>
    <n v="43"/>
    <m/>
    <m/>
    <m/>
    <m/>
  </r>
  <r>
    <s v="ORD-01063"/>
    <x v="7"/>
    <s v="CUST-0192"/>
    <s v="PROD-013"/>
    <s v="R014"/>
    <n v="1"/>
    <n v="3640"/>
    <n v="8.8000000000000007"/>
    <n v="3319.68"/>
    <s v="Completed"/>
    <s v="Bengaluru"/>
    <s v="Apparel"/>
    <m/>
    <s v="Retail"/>
    <n v="55"/>
    <m/>
    <m/>
    <m/>
    <m/>
  </r>
  <r>
    <s v="ORD-01064"/>
    <x v="239"/>
    <s v="CUST-0074"/>
    <s v="PROD-029"/>
    <s v="R017"/>
    <n v="1"/>
    <n v="2210"/>
    <n v="10.7"/>
    <n v="1973.53"/>
    <s v="Completed"/>
    <s v="Bengaluru"/>
    <s v="Grocery"/>
    <m/>
    <s v="Retail"/>
    <n v="27"/>
    <s v="South"/>
    <s v="Nov-24"/>
    <n v="1010"/>
    <n v="0.54298642533936647"/>
  </r>
  <r>
    <s v="ORD-01065"/>
    <x v="125"/>
    <s v="CUST-0071"/>
    <s v="PROD-031"/>
    <s v="R005"/>
    <n v="2"/>
    <n v="3730"/>
    <n v="13.9"/>
    <n v="6423.06"/>
    <s v="Completed"/>
    <s v="Delhi"/>
    <s v="Home"/>
    <m/>
    <s v="Corporate"/>
    <n v="46"/>
    <m/>
    <m/>
    <m/>
    <m/>
  </r>
  <r>
    <s v="ORD-01066"/>
    <x v="176"/>
    <s v="CUST-0210"/>
    <s v="PROD-052"/>
    <s v="R010"/>
    <n v="7"/>
    <n v="5410"/>
    <n v="23.6"/>
    <n v="28932.68"/>
    <s v="Completed"/>
    <s v="Pune"/>
    <s v="Sports"/>
    <m/>
    <s v="Corporate"/>
    <n v="48"/>
    <m/>
    <m/>
    <m/>
    <m/>
  </r>
  <r>
    <s v="ORD-01067"/>
    <x v="221"/>
    <s v="CUST-0054"/>
    <s v="PROD-027"/>
    <s v="R018"/>
    <n v="7"/>
    <n v="3780"/>
    <n v="8.5"/>
    <n v="24210.9"/>
    <s v="Cancelled"/>
    <s v="Mumbai"/>
    <s v="Grocery"/>
    <m/>
    <s v="Corporate"/>
    <n v="62"/>
    <m/>
    <m/>
    <m/>
    <m/>
  </r>
  <r>
    <s v="ORD-01068"/>
    <x v="122"/>
    <s v="CUST-0194"/>
    <s v="PROD-039"/>
    <s v="R016"/>
    <n v="9"/>
    <n v="4610"/>
    <n v="26.6"/>
    <n v="30453.66"/>
    <s v="Completed"/>
    <s v="Delhi"/>
    <s v="Home"/>
    <m/>
    <s v="SMB"/>
    <n v="55"/>
    <m/>
    <m/>
    <m/>
    <m/>
  </r>
  <r>
    <s v="ORD-01069"/>
    <x v="41"/>
    <s v="CUST-0231"/>
    <s v="PROD-010"/>
    <s v="R025"/>
    <n v="5"/>
    <n v="2640"/>
    <n v="1.5"/>
    <n v="13002"/>
    <s v="Completed"/>
    <s v="Chennai"/>
    <s v="Electronics"/>
    <m/>
    <s v="Retail"/>
    <n v="61"/>
    <m/>
    <m/>
    <m/>
    <m/>
  </r>
  <r>
    <s v="ORD-01070"/>
    <x v="50"/>
    <s v="CUST-0053"/>
    <s v="PROD-014"/>
    <s v="R010"/>
    <n v="3"/>
    <n v="3620"/>
    <n v="3.1"/>
    <n v="10523.34"/>
    <s v="Completed"/>
    <s v="Delhi"/>
    <s v="Apparel"/>
    <m/>
    <s v="Retail"/>
    <n v="53"/>
    <m/>
    <m/>
    <m/>
    <m/>
  </r>
  <r>
    <s v="ORD-01071"/>
    <x v="21"/>
    <s v="CUST-0290"/>
    <s v="PROD-053"/>
    <s v="R018"/>
    <n v="5"/>
    <n v="470"/>
    <n v="10.6"/>
    <n v="2100.9"/>
    <s v="Cancelled"/>
    <s v="Delhi"/>
    <s v="Sports"/>
    <m/>
    <s v="Retail"/>
    <n v="63"/>
    <m/>
    <m/>
    <m/>
    <m/>
  </r>
  <r>
    <s v="ORD-01072"/>
    <x v="113"/>
    <s v="CUST-0261"/>
    <s v="PROD-001"/>
    <s v="R009"/>
    <n v="7"/>
    <n v="5330"/>
    <n v="25"/>
    <n v="27982.5"/>
    <s v="Cancelled"/>
    <s v="Delhi"/>
    <s v="Electronics"/>
    <m/>
    <s v="Retail"/>
    <n v="54"/>
    <m/>
    <m/>
    <m/>
    <m/>
  </r>
  <r>
    <s v="ORD-01073"/>
    <x v="346"/>
    <s v="CUST-0045"/>
    <s v="PROD-050"/>
    <s v="R014"/>
    <n v="1"/>
    <n v="6080"/>
    <n v="27.8"/>
    <n v="4389.76"/>
    <s v="Completed"/>
    <s v="Chennai"/>
    <s v="Beauty"/>
    <m/>
    <s v="SMB"/>
    <n v="39"/>
    <s v="South"/>
    <s v="Jun-24"/>
    <n v="2617"/>
    <n v="0.56957236842105263"/>
  </r>
  <r>
    <s v="ORD-01074"/>
    <x v="324"/>
    <s v="CUST-0064"/>
    <s v="PROD-043"/>
    <s v="R024"/>
    <n v="6"/>
    <n v="3350"/>
    <n v="12"/>
    <n v="17688"/>
    <s v="Completed"/>
    <s v="Hyderabad"/>
    <s v="Beauty"/>
    <m/>
    <s v="SMB"/>
    <n v="40"/>
    <s v="South"/>
    <s v="Jan-24"/>
    <n v="1728"/>
    <n v="0.48417910447761192"/>
  </r>
  <r>
    <s v="ORD-01075"/>
    <x v="95"/>
    <s v="CUST-9754"/>
    <s v="PROD-056"/>
    <s v="R027"/>
    <n v="6"/>
    <n v="6940"/>
    <n v="20"/>
    <n v="33312"/>
    <s v="Completed"/>
    <s v="Chennai"/>
    <s v="Sports"/>
    <m/>
    <e v="#N/A"/>
    <e v="#N/A"/>
    <m/>
    <m/>
    <m/>
    <m/>
  </r>
  <r>
    <s v="ORD-01076"/>
    <x v="184"/>
    <s v="CUST-0200"/>
    <s v="PROD-032"/>
    <s v="R007"/>
    <n v="1"/>
    <n v="370"/>
    <n v="10"/>
    <n v="333"/>
    <s v="Completed"/>
    <s v="Hyderabad"/>
    <s v="Home"/>
    <m/>
    <s v="Corporate"/>
    <n v="46"/>
    <m/>
    <m/>
    <m/>
    <m/>
  </r>
  <r>
    <s v="ORD-01077"/>
    <x v="39"/>
    <s v="CUST-0058"/>
    <s v="PROD-038"/>
    <s v="R020"/>
    <n v="2"/>
    <n v="5490"/>
    <n v="27.9"/>
    <n v="7916.58"/>
    <s v="Completed"/>
    <s v="Bengaluru"/>
    <s v="Home"/>
    <m/>
    <s v="SMB"/>
    <n v="49"/>
    <m/>
    <m/>
    <m/>
    <m/>
  </r>
  <r>
    <s v="ORD-01078"/>
    <x v="319"/>
    <s v="CUST-0156"/>
    <s v="PROD-028"/>
    <s v="R009"/>
    <n v="5"/>
    <n v="3660"/>
    <n v="4.5999999999999996"/>
    <n v="17458.2"/>
    <s v="Completed"/>
    <s v="Mumbai"/>
    <s v="Grocery"/>
    <m/>
    <s v="Retail"/>
    <n v="33"/>
    <s v="East"/>
    <s v="May-24"/>
    <n v="2214"/>
    <n v="0.39508196721311473"/>
  </r>
  <r>
    <s v="ORD-01079"/>
    <x v="232"/>
    <s v="CUST-0107"/>
    <s v="PROD-005"/>
    <s v="R029"/>
    <n v="6"/>
    <n v="300"/>
    <n v="9"/>
    <n v="1638"/>
    <s v="Completed"/>
    <s v="Pune"/>
    <s v="Electronics"/>
    <m/>
    <s v="Retail"/>
    <n v="50"/>
    <m/>
    <m/>
    <m/>
    <m/>
  </r>
  <r>
    <s v="ORD-01080"/>
    <x v="271"/>
    <s v="CUST-0184"/>
    <s v="PROD-005"/>
    <s v="R012"/>
    <n v="3"/>
    <n v="300"/>
    <n v="19.2"/>
    <n v="727.2"/>
    <s v="Completed"/>
    <s v="Pune"/>
    <s v="Electronics"/>
    <m/>
    <s v="Retail"/>
    <n v="63"/>
    <m/>
    <m/>
    <m/>
    <m/>
  </r>
  <r>
    <s v="ORD-01081"/>
    <x v="205"/>
    <s v="CUST-0202"/>
    <s v="PROD-049"/>
    <s v="R014"/>
    <n v="6"/>
    <n v="960"/>
    <n v="29.3"/>
    <n v="4072.32"/>
    <s v="Cancelled"/>
    <s v="Chennai"/>
    <s v="Beauty"/>
    <m/>
    <s v="Retail"/>
    <n v="39"/>
    <s v="South"/>
    <s v="Aug-24"/>
    <n v="675"/>
    <n v="0.296875"/>
  </r>
  <r>
    <s v="ORD-01082"/>
    <x v="266"/>
    <s v="CUST-0137"/>
    <s v="PROD-022"/>
    <s v="R025"/>
    <n v="1"/>
    <n v="2270"/>
    <n v="12.4"/>
    <n v="1988.52"/>
    <s v="Completed"/>
    <s v="Mumbai"/>
    <s v="Grocery"/>
    <m/>
    <s v="Retail"/>
    <n v="41"/>
    <m/>
    <m/>
    <m/>
    <m/>
  </r>
  <r>
    <s v="ORD-01083"/>
    <x v="110"/>
    <s v="CUST-0108"/>
    <s v="PROD-033"/>
    <s v="R027"/>
    <n v="10"/>
    <n v="2030"/>
    <n v="4"/>
    <n v="19488"/>
    <s v="Completed"/>
    <s v="Bengaluru"/>
    <s v="Home"/>
    <m/>
    <s v="Corporate"/>
    <n v="59"/>
    <m/>
    <m/>
    <m/>
    <m/>
  </r>
  <r>
    <s v="ORD-01084"/>
    <x v="303"/>
    <s v="CUST-0126"/>
    <s v="PROD-040"/>
    <s v="R021"/>
    <n v="9"/>
    <n v="1080"/>
    <n v="19.2"/>
    <n v="7853.76"/>
    <s v="Pending"/>
    <s v="Mumbai"/>
    <s v="Home"/>
    <m/>
    <s v="Retail"/>
    <n v="37"/>
    <s v="West"/>
    <s v="Sep-24"/>
    <n v="519"/>
    <n v="0.51944444444444449"/>
  </r>
  <r>
    <s v="ORD-01085"/>
    <x v="113"/>
    <s v="CUST-0107"/>
    <s v="PROD-055"/>
    <s v="R025"/>
    <n v="5"/>
    <n v="2860"/>
    <n v="25"/>
    <n v="10725"/>
    <s v="Pending"/>
    <s v="Pune"/>
    <s v="Sports"/>
    <m/>
    <s v="Retail"/>
    <n v="50"/>
    <m/>
    <m/>
    <m/>
    <m/>
  </r>
  <r>
    <s v="ORD-01086"/>
    <x v="276"/>
    <s v="CUST-0071"/>
    <s v="PROD-024"/>
    <s v="R012"/>
    <n v="6"/>
    <n v="2270"/>
    <n v="9.3000000000000007"/>
    <n v="12353.34"/>
    <s v="Completed"/>
    <s v="Delhi"/>
    <s v="Grocery"/>
    <m/>
    <s v="Corporate"/>
    <n v="46"/>
    <m/>
    <m/>
    <m/>
    <m/>
  </r>
  <r>
    <s v="ORD-01087"/>
    <x v="60"/>
    <s v="CUST-0238"/>
    <s v="PROD-015"/>
    <s v="R024"/>
    <n v="1"/>
    <n v="2720"/>
    <n v="15.2"/>
    <n v="2306.56"/>
    <s v="Completed"/>
    <s v="Delhi"/>
    <s v="Apparel"/>
    <m/>
    <s v="Retail"/>
    <n v="49"/>
    <m/>
    <m/>
    <m/>
    <m/>
  </r>
  <r>
    <s v="ORD-01088"/>
    <x v="198"/>
    <s v="CUST-0022"/>
    <s v="PROD-004"/>
    <s v="R005"/>
    <n v="10"/>
    <n v="3870"/>
    <n v="4.9000000000000004"/>
    <n v="36803.699999999997"/>
    <s v="Cancelled"/>
    <s v="Bengaluru"/>
    <s v="Electronics"/>
    <m/>
    <s v="Corporate"/>
    <n v="55"/>
    <m/>
    <m/>
    <m/>
    <m/>
  </r>
  <r>
    <s v="ORD-01089"/>
    <x v="10"/>
    <s v="CUST-0100"/>
    <s v="PROD-011"/>
    <s v="R019"/>
    <n v="8"/>
    <n v="3450"/>
    <n v="20.6"/>
    <n v="21914.400000000001"/>
    <s v="Completed"/>
    <s v="Hyderabad"/>
    <s v="Apparel"/>
    <m/>
    <s v="Corporate"/>
    <n v="60"/>
    <m/>
    <m/>
    <m/>
    <m/>
  </r>
  <r>
    <s v="ORD-01090"/>
    <x v="5"/>
    <s v="CUST-0263"/>
    <s v="PROD-053"/>
    <s v="R002"/>
    <n v="1"/>
    <n v="470"/>
    <n v="5.4"/>
    <n v="444.62"/>
    <s v="Refunded"/>
    <s v="Mumbai"/>
    <s v="Sports"/>
    <m/>
    <s v="Retail"/>
    <n v="40"/>
    <s v="East"/>
    <s v="Feb-24"/>
    <n v="302"/>
    <n v="0.35744680851063831"/>
  </r>
  <r>
    <s v="ORD-01091"/>
    <x v="171"/>
    <s v="CUST-0032"/>
    <s v="PROD-006"/>
    <s v="R009"/>
    <n v="5"/>
    <n v="3970"/>
    <n v="5.8"/>
    <n v="18698.7"/>
    <s v="Completed"/>
    <s v="Hyderabad"/>
    <s v="Electronics"/>
    <m/>
    <s v="Retail"/>
    <n v="28"/>
    <s v="North"/>
    <s v="Apr-24"/>
    <n v="2865"/>
    <n v="0.27833753148614609"/>
  </r>
  <r>
    <s v="ORD-01092"/>
    <x v="277"/>
    <s v="CUST-0227"/>
    <s v="PROD-048"/>
    <s v="R012"/>
    <n v="2"/>
    <n v="5100"/>
    <n v="19.899999999999999"/>
    <n v="8170.2"/>
    <s v="Completed"/>
    <s v="Bengaluru"/>
    <s v="Beauty"/>
    <m/>
    <s v="SMB"/>
    <n v="44"/>
    <m/>
    <m/>
    <m/>
    <m/>
  </r>
  <r>
    <s v="ORD-01093"/>
    <x v="165"/>
    <s v="CUST-0124"/>
    <s v="PROD-047"/>
    <s v="R001"/>
    <n v="6"/>
    <n v="3450"/>
    <n v="13"/>
    <n v="18009"/>
    <s v="Completed"/>
    <s v="Pune"/>
    <s v="Beauty"/>
    <m/>
    <s v="Retail"/>
    <n v="57"/>
    <m/>
    <m/>
    <m/>
    <m/>
  </r>
  <r>
    <s v="ORD-01094"/>
    <x v="168"/>
    <s v="CUST-0276"/>
    <s v="PROD-031"/>
    <s v="R012"/>
    <n v="9"/>
    <n v="3730"/>
    <n v="15.5"/>
    <n v="28366.65"/>
    <s v="Completed"/>
    <s v="Chennai"/>
    <s v="Home"/>
    <m/>
    <s v="Retail"/>
    <n v="26"/>
    <s v="North"/>
    <s v="Dec-24"/>
    <n v="2135"/>
    <n v="0.42761394101876676"/>
  </r>
  <r>
    <s v="ORD-01095"/>
    <x v="242"/>
    <s v="CUST-0100"/>
    <s v="PROD-049"/>
    <s v="R020"/>
    <n v="5"/>
    <n v="960"/>
    <n v="9.3000000000000007"/>
    <n v="4353.6000000000004"/>
    <s v="Completed"/>
    <s v="Hyderabad"/>
    <s v="Beauty"/>
    <m/>
    <s v="Corporate"/>
    <n v="60"/>
    <m/>
    <m/>
    <m/>
    <m/>
  </r>
  <r>
    <s v="ORD-01096"/>
    <x v="187"/>
    <s v="CUST-0221"/>
    <s v="PROD-034"/>
    <s v="R008"/>
    <n v="3"/>
    <n v="5080"/>
    <n v="17.399999999999999"/>
    <n v="12588.24"/>
    <s v="Cancelled"/>
    <s v="Delhi"/>
    <s v="Home"/>
    <m/>
    <s v="SMB"/>
    <n v="29"/>
    <s v="East"/>
    <s v="May-24"/>
    <n v="2459"/>
    <n v="0.51594488188976373"/>
  </r>
  <r>
    <s v="ORD-01097"/>
    <x v="212"/>
    <s v="CUST-0266"/>
    <s v="PROD-004"/>
    <s v="R003"/>
    <n v="4"/>
    <n v="3870"/>
    <n v="20.5"/>
    <n v="12306.6"/>
    <s v="Pending"/>
    <s v="Pune"/>
    <s v="Electronics"/>
    <m/>
    <s v="Retail"/>
    <n v="65"/>
    <m/>
    <m/>
    <m/>
    <m/>
  </r>
  <r>
    <s v="ORD-01098"/>
    <x v="72"/>
    <s v="CUST-0210"/>
    <s v="PROD-059"/>
    <s v="R024"/>
    <n v="1"/>
    <n v="3780"/>
    <n v="21.5"/>
    <n v="2967.3"/>
    <s v="Completed"/>
    <s v="Pune"/>
    <s v="Sports"/>
    <m/>
    <s v="Corporate"/>
    <n v="48"/>
    <m/>
    <m/>
    <m/>
    <m/>
  </r>
  <r>
    <s v="ORD-01099"/>
    <x v="81"/>
    <s v="CUST-0293"/>
    <s v="PROD-004"/>
    <s v="R017"/>
    <n v="3"/>
    <n v="3870"/>
    <n v="21.9"/>
    <n v="9067.41"/>
    <s v="Pending"/>
    <s v="Bengaluru"/>
    <s v="Electronics"/>
    <m/>
    <s v="Retail"/>
    <n v="27"/>
    <s v="West"/>
    <s v="Aug-24"/>
    <n v="1559"/>
    <n v="0.59715762273901807"/>
  </r>
  <r>
    <s v="ORD-01100"/>
    <x v="113"/>
    <s v="CUST-0291"/>
    <s v="PROD-033"/>
    <s v="R009"/>
    <n v="4"/>
    <n v="2030"/>
    <n v="23.4"/>
    <n v="6219.92"/>
    <s v="Completed"/>
    <s v="Pune"/>
    <s v="Home"/>
    <m/>
    <s v="SMB"/>
    <n v="29"/>
    <s v="East"/>
    <s v="Nov-24"/>
    <n v="1143"/>
    <n v="0.43694581280788175"/>
  </r>
  <r>
    <s v="ORD-01101"/>
    <x v="192"/>
    <s v="CUST-0295"/>
    <s v="PROD-029"/>
    <s v="R003"/>
    <n v="6"/>
    <n v="2210"/>
    <n v="9.1"/>
    <n v="12053.34"/>
    <s v="Completed"/>
    <s v="Delhi"/>
    <s v="Grocery"/>
    <m/>
    <s v="SMB"/>
    <n v="48"/>
    <m/>
    <m/>
    <m/>
    <m/>
  </r>
  <r>
    <s v="ORD-01102"/>
    <x v="180"/>
    <s v="CUST-0123"/>
    <s v="PROD-041"/>
    <s v="R017"/>
    <n v="5"/>
    <n v="1540"/>
    <n v="18.100000000000001"/>
    <n v="6306.3"/>
    <s v="Completed"/>
    <s v="Chennai"/>
    <s v="Beauty"/>
    <m/>
    <s v="Corporate"/>
    <n v="44"/>
    <m/>
    <m/>
    <m/>
    <m/>
  </r>
  <r>
    <s v="ORD-01103"/>
    <x v="274"/>
    <s v="CUST-0167"/>
    <s v="PROD-054"/>
    <s v="R011"/>
    <n v="1"/>
    <n v="1010"/>
    <n v="7.3"/>
    <n v="936.27"/>
    <s v="Completed"/>
    <s v="Delhi"/>
    <s v="Sports"/>
    <m/>
    <s v="Retail"/>
    <n v="43"/>
    <m/>
    <m/>
    <m/>
    <m/>
  </r>
  <r>
    <s v="ORD-01104"/>
    <x v="107"/>
    <s v="CUST-0247"/>
    <s v="PROD-001"/>
    <s v="R015"/>
    <n v="10"/>
    <n v="5330"/>
    <n v="27.3"/>
    <n v="38749.1"/>
    <s v="Completed"/>
    <s v="Pune"/>
    <s v="Electronics"/>
    <m/>
    <s v="SMB"/>
    <n v="35"/>
    <s v="South"/>
    <s v="Apr-24"/>
    <n v="2405"/>
    <n v="0.54878048780487809"/>
  </r>
  <r>
    <s v="ORD-01105"/>
    <x v="289"/>
    <s v="CUST-0224"/>
    <s v="PROD-003"/>
    <s v="R022"/>
    <n v="7"/>
    <n v="3570"/>
    <n v="24.3"/>
    <n v="18917.43"/>
    <s v="Completed"/>
    <s v="Chennai"/>
    <s v="Electronics"/>
    <m/>
    <s v="Corporate"/>
    <n v="24"/>
    <s v="South"/>
    <s v="Mar-24"/>
    <n v="1665"/>
    <n v="0.53361344537815125"/>
  </r>
  <r>
    <s v="ORD-01106"/>
    <x v="28"/>
    <s v="CUST-0102"/>
    <s v="PROD-043"/>
    <s v="R017"/>
    <n v="1"/>
    <n v="3350"/>
    <n v="14.9"/>
    <n v="2850.85"/>
    <s v="Completed"/>
    <s v="Chennai"/>
    <s v="Beauty"/>
    <m/>
    <s v="SMB"/>
    <n v="62"/>
    <m/>
    <m/>
    <m/>
    <m/>
  </r>
  <r>
    <s v="ORD-01107"/>
    <x v="110"/>
    <s v="CUST-0151"/>
    <s v="PROD-017"/>
    <s v="R023"/>
    <n v="2"/>
    <n v="2510"/>
    <n v="10.6"/>
    <n v="4487.88"/>
    <s v="Completed"/>
    <s v="Mumbai"/>
    <s v="Apparel"/>
    <m/>
    <s v="Retail"/>
    <n v="53"/>
    <m/>
    <m/>
    <m/>
    <m/>
  </r>
  <r>
    <s v="ORD-01108"/>
    <x v="264"/>
    <s v="CUST-0182"/>
    <s v="PROD-030"/>
    <s v="R025"/>
    <n v="5"/>
    <n v="970"/>
    <n v="6.8"/>
    <n v="4520.2"/>
    <s v="Pending"/>
    <s v="Mumbai"/>
    <s v="Grocery"/>
    <m/>
    <s v="Retail"/>
    <n v="54"/>
    <m/>
    <m/>
    <m/>
    <m/>
  </r>
  <r>
    <s v="ORD-01109"/>
    <x v="281"/>
    <s v="CUST-0152"/>
    <s v="PROD-027"/>
    <s v="R002"/>
    <n v="5"/>
    <n v="3780"/>
    <n v="16.600000000000001"/>
    <n v="15762.6"/>
    <s v="Completed"/>
    <s v="Bengaluru"/>
    <s v="Grocery"/>
    <m/>
    <s v="SMB"/>
    <n v="64"/>
    <m/>
    <m/>
    <m/>
    <m/>
  </r>
  <r>
    <s v="ORD-01110"/>
    <x v="229"/>
    <s v="CUST-0247"/>
    <s v="PROD-017"/>
    <s v="R007"/>
    <n v="3"/>
    <n v="2510"/>
    <n v="24.9"/>
    <n v="5655.03"/>
    <s v="Cancelled"/>
    <s v="Pune"/>
    <s v="Apparel"/>
    <m/>
    <s v="SMB"/>
    <n v="35"/>
    <s v="North"/>
    <s v="Aug-24"/>
    <n v="1075"/>
    <n v="0.57171314741035861"/>
  </r>
  <r>
    <s v="ORD-01111"/>
    <x v="289"/>
    <s v="CUST-0220"/>
    <s v="PROD-033"/>
    <s v="R008"/>
    <n v="3"/>
    <n v="2030"/>
    <n v="3.8"/>
    <n v="5858.58"/>
    <s v="Completed"/>
    <s v="Chennai"/>
    <s v="Home"/>
    <m/>
    <s v="Retail"/>
    <n v="34"/>
    <s v="North"/>
    <s v="Mar-24"/>
    <n v="1143"/>
    <n v="0.43694581280788175"/>
  </r>
  <r>
    <s v="ORD-01112"/>
    <x v="35"/>
    <s v="CUST-0206"/>
    <s v="PROD-060"/>
    <s v="R014"/>
    <n v="9"/>
    <n v="190"/>
    <n v="5.4"/>
    <n v="1617.66"/>
    <s v="Completed"/>
    <s v="Mumbai"/>
    <s v="Sports"/>
    <m/>
    <s v="Retail"/>
    <n v="40"/>
    <s v="North"/>
    <s v="Sep-24"/>
    <n v="147"/>
    <n v="0.22631578947368422"/>
  </r>
  <r>
    <s v="ORD-01113"/>
    <x v="200"/>
    <s v="CUST-0219"/>
    <s v="PROD-029"/>
    <s v="R020"/>
    <n v="6"/>
    <n v="2210"/>
    <n v="29.4"/>
    <n v="9361.56"/>
    <s v="Completed"/>
    <s v="Chennai"/>
    <s v="Grocery"/>
    <m/>
    <s v="Corporate"/>
    <n v="38"/>
    <s v="South"/>
    <s v="Jul-24"/>
    <n v="1010"/>
    <n v="0.54298642533936647"/>
  </r>
  <r>
    <s v="ORD-01114"/>
    <x v="14"/>
    <s v="CUST-0298"/>
    <s v="PROD-013"/>
    <s v="R005"/>
    <n v="4"/>
    <n v="3640"/>
    <n v="0.6"/>
    <n v="14472.64"/>
    <s v="Completed"/>
    <s v="Delhi"/>
    <s v="Apparel"/>
    <m/>
    <s v="Retail"/>
    <n v="44"/>
    <m/>
    <m/>
    <m/>
    <m/>
  </r>
  <r>
    <s v="ORD-01115"/>
    <x v="17"/>
    <s v="CUST-0254"/>
    <s v="PROD-009"/>
    <s v="R009"/>
    <n v="9"/>
    <n v="1220"/>
    <n v="24.1"/>
    <n v="8333.82"/>
    <s v="Completed"/>
    <s v="Bengaluru"/>
    <s v="Electronics"/>
    <m/>
    <s v="Retail"/>
    <n v="35"/>
    <s v="North"/>
    <s v="Sep-24"/>
    <n v="517"/>
    <n v="0.57622950819672136"/>
  </r>
  <r>
    <s v="ORD-01116"/>
    <x v="73"/>
    <s v="CUST-0085"/>
    <s v="PROD-056"/>
    <s v="R009"/>
    <n v="2"/>
    <n v="6940"/>
    <n v="27"/>
    <n v="10132.4"/>
    <s v="Completed"/>
    <s v="Chennai"/>
    <s v="Sports"/>
    <m/>
    <s v="Retail"/>
    <n v="26"/>
    <s v="South"/>
    <s v="Nov-24"/>
    <n v="2827"/>
    <n v="0.5926512968299712"/>
  </r>
  <r>
    <s v="ORD-01117"/>
    <x v="117"/>
    <s v="CUST-0181"/>
    <s v="PROD-055"/>
    <s v="R010"/>
    <n v="6"/>
    <n v="2860"/>
    <n v="6.6"/>
    <n v="16027.44"/>
    <s v="Completed"/>
    <s v="Delhi"/>
    <s v="Sports"/>
    <m/>
    <s v="SMB"/>
    <n v="38"/>
    <s v="South"/>
    <s v="Apr-24"/>
    <n v="2028"/>
    <n v="0.29090909090909089"/>
  </r>
  <r>
    <s v="ORD-01118"/>
    <x v="182"/>
    <s v="CUST-0143"/>
    <s v="PROD-015"/>
    <s v="R018"/>
    <n v="5"/>
    <n v="2720"/>
    <n v="21.4"/>
    <n v="10689.6"/>
    <s v="Completed"/>
    <s v="Chennai"/>
    <s v="Apparel"/>
    <m/>
    <s v="SMB"/>
    <n v="52"/>
    <m/>
    <m/>
    <m/>
    <m/>
  </r>
  <r>
    <s v="ORD-01119"/>
    <x v="338"/>
    <s v="CUST-0263"/>
    <s v="PROD-020"/>
    <s v="R006"/>
    <n v="5"/>
    <n v="820"/>
    <n v="28.6"/>
    <n v="2927.4"/>
    <s v="Completed"/>
    <s v="Mumbai"/>
    <s v="Apparel"/>
    <m/>
    <s v="Retail"/>
    <n v="40"/>
    <s v="East"/>
    <s v="Sep-24"/>
    <n v="391"/>
    <n v="0.52317073170731709"/>
  </r>
  <r>
    <s v="ORD-01120"/>
    <x v="135"/>
    <s v="CUST-0105"/>
    <s v="PROD-042"/>
    <s v="R022"/>
    <n v="6"/>
    <n v="2290"/>
    <n v="18.8"/>
    <n v="11156.88"/>
    <s v="Completed"/>
    <s v="Chennai"/>
    <s v="Beauty"/>
    <m/>
    <s v="SMB"/>
    <n v="51"/>
    <m/>
    <m/>
    <m/>
    <m/>
  </r>
  <r>
    <s v="ORD-01121"/>
    <x v="18"/>
    <s v="CUST-0256"/>
    <s v="PROD-047"/>
    <s v="R021"/>
    <n v="6"/>
    <n v="3450"/>
    <n v="28.4"/>
    <n v="14821.2"/>
    <s v="Completed"/>
    <s v="Hyderabad"/>
    <s v="Beauty"/>
    <m/>
    <s v="Retail"/>
    <n v="28"/>
    <s v="East"/>
    <s v="Jul-24"/>
    <n v="2420"/>
    <n v="0.29855072463768118"/>
  </r>
  <r>
    <s v="ORD-01122"/>
    <x v="1"/>
    <s v="CUST-0260"/>
    <s v="PROD-033"/>
    <s v="R002"/>
    <n v="10"/>
    <n v="2030"/>
    <n v="8"/>
    <n v="18676"/>
    <s v="Completed"/>
    <s v="Bengaluru"/>
    <s v="Home"/>
    <m/>
    <s v="Retail"/>
    <n v="42"/>
    <m/>
    <m/>
    <m/>
    <m/>
  </r>
  <r>
    <s v="ORD-01123"/>
    <x v="239"/>
    <s v="CUST-0233"/>
    <s v="PROD-058"/>
    <s v="R022"/>
    <n v="1"/>
    <n v="2400"/>
    <n v="9.6999999999999993"/>
    <n v="2167.1999999999998"/>
    <s v="Completed"/>
    <s v="Mumbai"/>
    <s v="Sports"/>
    <m/>
    <s v="SMB"/>
    <n v="65"/>
    <m/>
    <m/>
    <m/>
    <m/>
  </r>
  <r>
    <s v="ORD-01124"/>
    <x v="264"/>
    <s v="CUST-0183"/>
    <s v="PROD-033"/>
    <s v="R014"/>
    <n v="4"/>
    <n v="2030"/>
    <n v="24.8"/>
    <n v="6106.24"/>
    <s v="Pending"/>
    <s v="Mumbai"/>
    <s v="Home"/>
    <m/>
    <s v="SMB"/>
    <n v="27"/>
    <s v="East"/>
    <s v="Mar-24"/>
    <n v="1143"/>
    <n v="0.43694581280788175"/>
  </r>
  <r>
    <s v="ORD-01125"/>
    <x v="191"/>
    <s v="CUST-0142"/>
    <s v="PROD-025"/>
    <s v="R002"/>
    <n v="5"/>
    <n v="4060"/>
    <n v="9.1"/>
    <n v="18452.7"/>
    <s v="Pending"/>
    <s v="Chennai"/>
    <s v="Grocery"/>
    <m/>
    <s v="Corporate"/>
    <n v="55"/>
    <m/>
    <m/>
    <m/>
    <m/>
  </r>
  <r>
    <s v="ORD-01126"/>
    <x v="334"/>
    <s v="CUST-0150"/>
    <s v="PROD-033"/>
    <s v="R013"/>
    <n v="9"/>
    <n v="2030"/>
    <n v="15.9"/>
    <n v="15365.07"/>
    <s v="Pending"/>
    <s v="Pune"/>
    <s v="Home"/>
    <m/>
    <s v="SMB"/>
    <n v="53"/>
    <m/>
    <m/>
    <m/>
    <m/>
  </r>
  <r>
    <s v="ORD-01127"/>
    <x v="201"/>
    <s v="CUST-0001"/>
    <s v="PROD-043"/>
    <s v="R014"/>
    <n v="1"/>
    <n v="3350"/>
    <n v="23.2"/>
    <n v="2572.8000000000002"/>
    <s v="Refunded"/>
    <s v="Pune"/>
    <s v="Beauty"/>
    <m/>
    <s v="Retail"/>
    <n v="36"/>
    <s v="South"/>
    <s v="May-24"/>
    <n v="1728"/>
    <n v="0.48417910447761192"/>
  </r>
  <r>
    <s v="ORD-01128"/>
    <x v="287"/>
    <s v="CUST-0104"/>
    <s v="PROD-037"/>
    <s v="R006"/>
    <n v="4"/>
    <n v="660"/>
    <n v="27.1"/>
    <n v="1924.56"/>
    <s v="Completed"/>
    <s v="Hyderabad"/>
    <s v="Home"/>
    <m/>
    <s v="Corporate"/>
    <n v="43"/>
    <m/>
    <m/>
    <m/>
    <m/>
  </r>
  <r>
    <s v="ORD-01129"/>
    <x v="236"/>
    <s v="CUST-0261"/>
    <s v="PROD-045"/>
    <s v="R014"/>
    <n v="3"/>
    <n v="3020"/>
    <n v="7.2"/>
    <n v="8407.68"/>
    <s v="Completed"/>
    <s v="Delhi"/>
    <s v="Beauty"/>
    <m/>
    <s v="Retail"/>
    <n v="54"/>
    <m/>
    <m/>
    <m/>
    <m/>
  </r>
  <r>
    <s v="ORD-01130"/>
    <x v="132"/>
    <s v="CUST-0010"/>
    <s v="PROD-008"/>
    <s v="R006"/>
    <n v="3"/>
    <n v="2660"/>
    <n v="0.2"/>
    <n v="7964.04"/>
    <s v="Completed"/>
    <s v="Mumbai"/>
    <s v="Electronics"/>
    <m/>
    <s v="SMB"/>
    <n v="61"/>
    <m/>
    <m/>
    <m/>
    <m/>
  </r>
  <r>
    <s v="ORD-01131"/>
    <x v="181"/>
    <s v="CUST-0237"/>
    <s v="PROD-054"/>
    <s v="R006"/>
    <n v="4"/>
    <n v="1010"/>
    <n v="3.1"/>
    <n v="3914.76"/>
    <s v="Completed"/>
    <s v="Mumbai"/>
    <s v="Sports"/>
    <m/>
    <s v="Retail"/>
    <n v="49"/>
    <m/>
    <m/>
    <m/>
    <m/>
  </r>
  <r>
    <s v="ORD-01132"/>
    <x v="82"/>
    <s v="CUST-0128"/>
    <s v="PROD-038"/>
    <s v="R017"/>
    <n v="5"/>
    <n v="5490"/>
    <n v="3.6"/>
    <n v="26461.8"/>
    <s v="Completed"/>
    <s v="Hyderabad"/>
    <s v="Home"/>
    <m/>
    <s v="Retail"/>
    <n v="35"/>
    <s v="North"/>
    <s v="Dec-24"/>
    <n v="2549"/>
    <n v="0.53570127504553733"/>
  </r>
  <r>
    <s v="ORD-01133"/>
    <x v="94"/>
    <s v="CUST-0182"/>
    <s v="PROD-058"/>
    <s v="R019"/>
    <n v="1"/>
    <n v="2400"/>
    <n v="24.3"/>
    <n v="1816.8"/>
    <s v="Completed"/>
    <s v="Mumbai"/>
    <s v="Sports"/>
    <m/>
    <s v="Retail"/>
    <n v="54"/>
    <m/>
    <m/>
    <m/>
    <m/>
  </r>
  <r>
    <s v="ORD-01134"/>
    <x v="147"/>
    <s v="CUST-0131"/>
    <s v="PROD-037"/>
    <s v="R009"/>
    <n v="8"/>
    <n v="660"/>
    <n v="19.8"/>
    <n v="4234.5600000000004"/>
    <s v="Completed"/>
    <s v="Delhi"/>
    <s v="Home"/>
    <m/>
    <s v="SMB"/>
    <n v="28"/>
    <s v="East"/>
    <s v="Jan-24"/>
    <n v="329"/>
    <n v="0.50151515151515147"/>
  </r>
  <r>
    <s v="ORD-01135"/>
    <x v="172"/>
    <s v="CUST-0023"/>
    <s v="PROD-001"/>
    <s v="R016"/>
    <n v="9"/>
    <n v="5330"/>
    <n v="16.5"/>
    <n v="40054.949999999997"/>
    <s v="Completed"/>
    <s v="Chennai"/>
    <s v="Electronics"/>
    <m/>
    <s v="SMB"/>
    <n v="43"/>
    <m/>
    <m/>
    <m/>
    <m/>
  </r>
  <r>
    <s v="ORD-01136"/>
    <x v="340"/>
    <s v="CUST-0171"/>
    <s v="PROD-002"/>
    <s v="R007"/>
    <n v="5"/>
    <n v="2600"/>
    <n v="0.3"/>
    <n v="12961"/>
    <s v="Completed"/>
    <s v="Chennai"/>
    <s v="Electronics"/>
    <m/>
    <s v="Corporate"/>
    <n v="30"/>
    <s v="South"/>
    <s v="Jul-24"/>
    <n v="1052"/>
    <n v="0.5953846153846154"/>
  </r>
  <r>
    <s v="ORD-01137"/>
    <x v="32"/>
    <s v="CUST-0116"/>
    <s v="PROD-034"/>
    <s v="R018"/>
    <n v="4"/>
    <n v="5080"/>
    <n v="13.8"/>
    <n v="17515.84"/>
    <s v="Pending"/>
    <s v="Bengaluru"/>
    <s v="Home"/>
    <m/>
    <s v="Retail"/>
    <n v="53"/>
    <m/>
    <m/>
    <m/>
    <m/>
  </r>
  <r>
    <s v="ORD-01138"/>
    <x v="100"/>
    <s v="CUST-0021"/>
    <s v="PROD-023"/>
    <s v="R002"/>
    <n v="7"/>
    <n v="2380"/>
    <n v="15.5"/>
    <n v="14077.7"/>
    <s v="Completed"/>
    <s v="Pune"/>
    <s v="Grocery"/>
    <m/>
    <s v="Retail"/>
    <n v="44"/>
    <m/>
    <m/>
    <m/>
    <m/>
  </r>
  <r>
    <s v="ORD-01139"/>
    <x v="83"/>
    <s v="CUST-0234"/>
    <s v="PROD-046"/>
    <s v="R006"/>
    <n v="3"/>
    <n v="4880"/>
    <n v="6.1"/>
    <n v="13746.96"/>
    <s v="Completed"/>
    <s v="Bengaluru"/>
    <s v="Beauty"/>
    <m/>
    <s v="Retail"/>
    <n v="34"/>
    <s v="North"/>
    <s v="Nov-24"/>
    <n v="2768"/>
    <n v="0.43278688524590164"/>
  </r>
  <r>
    <s v="ORD-01140"/>
    <x v="36"/>
    <s v="CUST-0225"/>
    <s v="PROD-043"/>
    <s v="R009"/>
    <n v="2"/>
    <n v="3350"/>
    <n v="17.2"/>
    <n v="5547.6"/>
    <s v="Completed"/>
    <s v="Chennai"/>
    <s v="Beauty"/>
    <m/>
    <s v="SMB"/>
    <n v="26"/>
    <s v="North"/>
    <s v="Dec-24"/>
    <n v="1728"/>
    <n v="0.48417910447761192"/>
  </r>
  <r>
    <s v="ORD-01141"/>
    <x v="238"/>
    <s v="CUST-0268"/>
    <s v="PROD-030"/>
    <s v="R024"/>
    <n v="5"/>
    <n v="970"/>
    <n v="23.6"/>
    <n v="3705.4"/>
    <s v="Completed"/>
    <s v="Chennai"/>
    <s v="Grocery"/>
    <m/>
    <s v="Retail"/>
    <n v="35"/>
    <s v="South"/>
    <s v="Mar-24"/>
    <n v="434"/>
    <n v="0.5525773195876289"/>
  </r>
  <r>
    <s v="ORD-01142"/>
    <x v="215"/>
    <s v="CUST-0248"/>
    <s v="PROD-005"/>
    <s v="R022"/>
    <n v="5"/>
    <n v="300"/>
    <n v="3.8"/>
    <n v="1443"/>
    <s v="Completed"/>
    <s v="Chennai"/>
    <s v="Electronics"/>
    <m/>
    <s v="SMB"/>
    <n v="57"/>
    <m/>
    <m/>
    <m/>
    <m/>
  </r>
  <r>
    <s v="ORD-01143"/>
    <x v="243"/>
    <s v="CUST-0026"/>
    <s v="PROD-006"/>
    <s v="R005"/>
    <n v="9"/>
    <n v="3970"/>
    <n v="0.8"/>
    <n v="35444.160000000003"/>
    <s v="Completed"/>
    <s v="Pune"/>
    <s v="Electronics"/>
    <m/>
    <s v="Retail"/>
    <n v="62"/>
    <m/>
    <m/>
    <m/>
    <m/>
  </r>
  <r>
    <s v="ORD-01144"/>
    <x v="242"/>
    <s v="CUST-0257"/>
    <s v="PROD-015"/>
    <s v="R013"/>
    <n v="4"/>
    <n v="2720"/>
    <n v="12.7"/>
    <n v="9498.24"/>
    <s v="Completed"/>
    <s v="Mumbai"/>
    <s v="Apparel"/>
    <m/>
    <s v="Corporate"/>
    <n v="46"/>
    <m/>
    <m/>
    <m/>
    <m/>
  </r>
  <r>
    <s v="ORD-01145"/>
    <x v="249"/>
    <s v="CUST-0258"/>
    <s v="PROD-016"/>
    <s v="R021"/>
    <n v="3"/>
    <n v="620"/>
    <n v="5.5"/>
    <n v="1757.7"/>
    <s v="Completed"/>
    <s v="Pune"/>
    <s v="Apparel"/>
    <m/>
    <s v="Retail"/>
    <n v="44"/>
    <m/>
    <m/>
    <m/>
    <m/>
  </r>
  <r>
    <s v="ORD-01146"/>
    <x v="319"/>
    <s v="CUST-0142"/>
    <s v="PROD-041"/>
    <s v="R024"/>
    <n v="2"/>
    <n v="1540"/>
    <n v="2.2000000000000002"/>
    <n v="3012.24"/>
    <s v="Pending"/>
    <s v="Chennai"/>
    <s v="Beauty"/>
    <m/>
    <s v="Corporate"/>
    <n v="55"/>
    <m/>
    <m/>
    <m/>
    <m/>
  </r>
  <r>
    <s v="ORD-01147"/>
    <x v="166"/>
    <s v="CUST-0020"/>
    <s v="PROD-042"/>
    <s v="R026"/>
    <n v="1"/>
    <n v="2290"/>
    <n v="24.4"/>
    <n v="1731.24"/>
    <s v="Cancelled"/>
    <s v="Hyderabad"/>
    <s v="Beauty"/>
    <m/>
    <s v="Retail"/>
    <n v="46"/>
    <m/>
    <m/>
    <m/>
    <m/>
  </r>
  <r>
    <s v="ORD-01148"/>
    <x v="343"/>
    <s v="CUST-0016"/>
    <s v="PROD-015"/>
    <s v="R018"/>
    <n v="8"/>
    <n v="2720"/>
    <n v="1.7"/>
    <n v="21390.080000000002"/>
    <s v="Completed"/>
    <s v="Delhi"/>
    <s v="Apparel"/>
    <m/>
    <s v="SMB"/>
    <n v="26"/>
    <s v="West"/>
    <s v="Aug-24"/>
    <n v="1962"/>
    <n v="0.2786764705882353"/>
  </r>
  <r>
    <s v="ORD-01149"/>
    <x v="69"/>
    <s v="CUST-0288"/>
    <s v="PROD-025"/>
    <s v="R023"/>
    <n v="4"/>
    <n v="4060"/>
    <n v="19.600000000000001"/>
    <n v="13056.96"/>
    <s v="Cancelled"/>
    <s v="Hyderabad"/>
    <s v="Grocery"/>
    <m/>
    <s v="Corporate"/>
    <n v="25"/>
    <s v="East"/>
    <s v="Jan-24"/>
    <n v="2911"/>
    <n v="0.28300492610837441"/>
  </r>
  <r>
    <s v="ORD-01150"/>
    <x v="43"/>
    <s v="CUST-0133"/>
    <s v="PROD-003"/>
    <s v="R016"/>
    <n v="8"/>
    <n v="3570"/>
    <n v="10.8"/>
    <n v="25475.52"/>
    <s v="Completed"/>
    <s v="Chennai"/>
    <s v="Electronics"/>
    <m/>
    <s v="Retail"/>
    <n v="26"/>
    <s v="East"/>
    <s v="Apr-24"/>
    <n v="1665"/>
    <n v="0.53361344537815125"/>
  </r>
  <r>
    <s v="ORD-01151"/>
    <x v="258"/>
    <s v="CUST-0192"/>
    <s v="PROD-051"/>
    <s v="R004"/>
    <n v="10"/>
    <n v="3450"/>
    <n v="13.5"/>
    <n v="29842.5"/>
    <s v="Pending"/>
    <s v="Bengaluru"/>
    <s v="Sports"/>
    <m/>
    <s v="Retail"/>
    <n v="55"/>
    <m/>
    <m/>
    <m/>
    <m/>
  </r>
  <r>
    <s v="ORD-01152"/>
    <x v="277"/>
    <s v="CUST-0298"/>
    <s v="PROD-010"/>
    <s v="R007"/>
    <n v="10"/>
    <n v="2640"/>
    <n v="29.8"/>
    <n v="18532.8"/>
    <s v="Completed"/>
    <s v="Delhi"/>
    <s v="Electronics"/>
    <m/>
    <s v="Retail"/>
    <n v="44"/>
    <m/>
    <m/>
    <m/>
    <m/>
  </r>
  <r>
    <s v="ORD-01153"/>
    <x v="204"/>
    <s v="CUST-0088"/>
    <s v="PROD-032"/>
    <s v="R009"/>
    <n v="3"/>
    <n v="370"/>
    <n v="25.5"/>
    <n v="826.95"/>
    <s v="Completed"/>
    <s v="Chennai"/>
    <s v="Home"/>
    <m/>
    <s v="Retail"/>
    <n v="24"/>
    <s v="North"/>
    <s v="Jun-24"/>
    <n v="288"/>
    <n v="0.22162162162162163"/>
  </r>
  <r>
    <s v="ORD-01154"/>
    <x v="180"/>
    <s v="CUST-0274"/>
    <s v="PROD-009"/>
    <s v="R030"/>
    <n v="3"/>
    <n v="1220"/>
    <n v="7.7"/>
    <n v="3378.18"/>
    <s v="Pending"/>
    <s v="Bengaluru"/>
    <s v="Electronics"/>
    <m/>
    <s v="Corporate"/>
    <n v="36"/>
    <s v="South"/>
    <s v="Nov-24"/>
    <n v="517"/>
    <n v="0.57622950819672136"/>
  </r>
  <r>
    <s v="ORD-01155"/>
    <x v="59"/>
    <s v="CUST-0165"/>
    <s v="PROD-010"/>
    <s v="R022"/>
    <n v="1"/>
    <n v="2640"/>
    <n v="23.6"/>
    <n v="2016.96"/>
    <s v="Completed"/>
    <s v="Pune"/>
    <s v="Electronics"/>
    <m/>
    <s v="Retail"/>
    <n v="29"/>
    <s v="West"/>
    <s v="Dec-24"/>
    <n v="1149"/>
    <n v="0.56477272727272732"/>
  </r>
  <r>
    <s v="ORD-01156"/>
    <x v="232"/>
    <s v="CUST-0275"/>
    <s v="PROD-048"/>
    <s v="R011"/>
    <n v="9"/>
    <n v="5100"/>
    <n v="9.5"/>
    <n v="41539.5"/>
    <s v="Completed"/>
    <s v="Mumbai"/>
    <s v="Beauty"/>
    <m/>
    <s v="Retail"/>
    <n v="36"/>
    <s v="East"/>
    <s v="Jul-24"/>
    <n v="2237"/>
    <n v="0.56137254901960787"/>
  </r>
  <r>
    <s v="ORD-01157"/>
    <x v="347"/>
    <s v="CUST-0225"/>
    <s v="PROD-050"/>
    <s v="R008"/>
    <n v="7"/>
    <n v="6080"/>
    <n v="17.5"/>
    <n v="35112"/>
    <s v="Completed"/>
    <s v="Chennai"/>
    <s v="Beauty"/>
    <m/>
    <s v="SMB"/>
    <n v="26"/>
    <s v="South"/>
    <s v="Sep-24"/>
    <n v="2617"/>
    <n v="0.56957236842105263"/>
  </r>
  <r>
    <s v="ORD-01158"/>
    <x v="341"/>
    <s v="CUST-0059"/>
    <s v="PROD-005"/>
    <s v="R026"/>
    <n v="1"/>
    <n v="300"/>
    <n v="26.9"/>
    <n v="219.3"/>
    <s v="Completed"/>
    <s v="Pune"/>
    <s v="Electronics"/>
    <m/>
    <s v="Corporate"/>
    <n v="29"/>
    <s v="North"/>
    <s v="May-24"/>
    <n v="128"/>
    <n v="0.57333333333333336"/>
  </r>
  <r>
    <s v="ORD-01159"/>
    <x v="181"/>
    <s v="CUST-0149"/>
    <s v="PROD-045"/>
    <s v="R020"/>
    <n v="6"/>
    <n v="3020"/>
    <n v="28.5"/>
    <n v="12955.8"/>
    <s v="Completed"/>
    <s v="Hyderabad"/>
    <s v="Beauty"/>
    <m/>
    <s v="Retail"/>
    <n v="44"/>
    <m/>
    <m/>
    <m/>
    <m/>
  </r>
  <r>
    <s v="ORD-01160"/>
    <x v="137"/>
    <s v="CUST-0283"/>
    <s v="PROD-005"/>
    <s v="R018"/>
    <n v="8"/>
    <n v="300"/>
    <n v="1.2"/>
    <n v="2371.1999999999998"/>
    <s v="Completed"/>
    <s v="Delhi"/>
    <s v="Electronics"/>
    <m/>
    <s v="SMB"/>
    <n v="50"/>
    <m/>
    <m/>
    <m/>
    <m/>
  </r>
  <r>
    <s v="ORD-01161"/>
    <x v="271"/>
    <s v="CUST-0039"/>
    <s v="PROD-043"/>
    <s v="R011"/>
    <n v="9"/>
    <n v="3350"/>
    <n v="0.6"/>
    <n v="29969.1"/>
    <s v="Refunded"/>
    <s v="Bengaluru"/>
    <s v="Beauty"/>
    <m/>
    <s v="Retail"/>
    <n v="37"/>
    <s v="East"/>
    <s v="Jan-24"/>
    <n v="1728"/>
    <n v="0.48417910447761192"/>
  </r>
  <r>
    <s v="ORD-01162"/>
    <x v="319"/>
    <s v="CUST-0046"/>
    <s v="PROD-026"/>
    <s v="R024"/>
    <n v="4"/>
    <n v="4070"/>
    <n v="10.1"/>
    <n v="14635.72"/>
    <s v="Completed"/>
    <s v="Delhi"/>
    <s v="Grocery"/>
    <m/>
    <s v="SMB"/>
    <n v="45"/>
    <m/>
    <m/>
    <m/>
    <m/>
  </r>
  <r>
    <s v="ORD-01163"/>
    <x v="105"/>
    <s v="CUST-0105"/>
    <s v="PROD-059"/>
    <s v="R024"/>
    <n v="9"/>
    <n v="3780"/>
    <n v="27.8"/>
    <n v="24562.44"/>
    <s v="Cancelled"/>
    <s v="Chennai"/>
    <s v="Sports"/>
    <m/>
    <s v="SMB"/>
    <n v="51"/>
    <m/>
    <m/>
    <m/>
    <m/>
  </r>
  <r>
    <s v="ORD-01164"/>
    <x v="192"/>
    <s v="CUST-0006"/>
    <s v="PROD-040"/>
    <s v="R030"/>
    <n v="6"/>
    <n v="1080"/>
    <n v="17.5"/>
    <n v="5346"/>
    <s v="Completed"/>
    <s v="Pune"/>
    <s v="Home"/>
    <m/>
    <s v="SMB"/>
    <n v="44"/>
    <m/>
    <m/>
    <m/>
    <m/>
  </r>
  <r>
    <s v="ORD-01165"/>
    <x v="348"/>
    <s v="CUST-0192"/>
    <s v="PROD-002"/>
    <s v="R023"/>
    <n v="3"/>
    <n v="2600"/>
    <n v="1.9"/>
    <n v="7651.8"/>
    <s v="Completed"/>
    <s v="Bengaluru"/>
    <s v="Electronics"/>
    <m/>
    <s v="Retail"/>
    <n v="55"/>
    <m/>
    <m/>
    <m/>
    <m/>
  </r>
  <r>
    <s v="ORD-01166"/>
    <x v="67"/>
    <s v="CUST-0290"/>
    <s v="PROD-015"/>
    <s v="R008"/>
    <n v="5"/>
    <n v="2720"/>
    <n v="1.8"/>
    <n v="13355.2"/>
    <s v="Cancelled"/>
    <s v="Delhi"/>
    <s v="Apparel"/>
    <m/>
    <s v="Retail"/>
    <n v="63"/>
    <m/>
    <m/>
    <m/>
    <m/>
  </r>
  <r>
    <s v="ORD-01167"/>
    <x v="270"/>
    <s v="CUST-0287"/>
    <s v="PROD-028"/>
    <s v="R012"/>
    <n v="8"/>
    <n v="3660"/>
    <n v="29.5"/>
    <n v="20642.400000000001"/>
    <s v="Completed"/>
    <s v="Chennai"/>
    <s v="Grocery"/>
    <m/>
    <s v="SMB"/>
    <n v="53"/>
    <m/>
    <m/>
    <m/>
    <m/>
  </r>
  <r>
    <s v="ORD-01168"/>
    <x v="237"/>
    <s v="CUST-0025"/>
    <s v="PROD-044"/>
    <s v="R005"/>
    <n v="9"/>
    <n v="1650"/>
    <n v="19.8"/>
    <n v="11909.7"/>
    <s v="Refunded"/>
    <s v="Bengaluru"/>
    <s v="Beauty"/>
    <m/>
    <s v="Retail"/>
    <n v="23"/>
    <s v="South"/>
    <s v="Jul-24"/>
    <n v="1222"/>
    <n v="0.2593939393939394"/>
  </r>
  <r>
    <s v="ORD-01169"/>
    <x v="349"/>
    <s v="CUST-0139"/>
    <s v="PROD-055"/>
    <s v="R019"/>
    <n v="3"/>
    <n v="2860"/>
    <n v="22.7"/>
    <n v="6632.34"/>
    <s v="Completed"/>
    <s v="Hyderabad"/>
    <s v="Sports"/>
    <m/>
    <s v="SMB"/>
    <n v="65"/>
    <m/>
    <m/>
    <m/>
    <m/>
  </r>
  <r>
    <s v="ORD-01170"/>
    <x v="335"/>
    <s v="CUST-0278"/>
    <s v="PROD-051"/>
    <s v="R025"/>
    <n v="4"/>
    <n v="3450"/>
    <n v="9.1999999999999993"/>
    <n v="12530.4"/>
    <s v="Completed"/>
    <s v="Hyderabad"/>
    <s v="Sports"/>
    <m/>
    <s v="Retail"/>
    <n v="41"/>
    <m/>
    <m/>
    <m/>
    <m/>
  </r>
  <r>
    <s v="ORD-01171"/>
    <x v="171"/>
    <s v="CUST-0258"/>
    <s v="PROD-033"/>
    <s v="R003"/>
    <n v="4"/>
    <n v="2030"/>
    <n v="17.100000000000001"/>
    <n v="6731.48"/>
    <s v="Completed"/>
    <s v="Pune"/>
    <s v="Home"/>
    <m/>
    <s v="Retail"/>
    <n v="44"/>
    <m/>
    <m/>
    <m/>
    <m/>
  </r>
  <r>
    <s v="ORD-01172"/>
    <x v="24"/>
    <s v="CUST-0106"/>
    <s v="PROD-022"/>
    <s v="R016"/>
    <n v="4"/>
    <n v="2270"/>
    <n v="27.3"/>
    <n v="6601.16"/>
    <s v="Completed"/>
    <s v="Pune"/>
    <s v="Grocery"/>
    <m/>
    <s v="Retail"/>
    <n v="22"/>
    <s v="North"/>
    <s v="Apr-24"/>
    <n v="1412"/>
    <n v="0.37797356828193834"/>
  </r>
  <r>
    <s v="ORD-01173"/>
    <x v="41"/>
    <s v="CUST-0009"/>
    <s v="PROD-034"/>
    <s v="R013"/>
    <n v="9"/>
    <n v="5080"/>
    <n v="10.9"/>
    <n v="40736.519999999997"/>
    <s v="Completed"/>
    <s v="Mumbai"/>
    <s v="Home"/>
    <m/>
    <s v="Retail"/>
    <n v="61"/>
    <m/>
    <m/>
    <m/>
    <m/>
  </r>
  <r>
    <s v="ORD-01174"/>
    <x v="341"/>
    <s v="CUST-0209"/>
    <s v="PROD-026"/>
    <s v="R029"/>
    <n v="8"/>
    <n v="4070"/>
    <n v="17.7"/>
    <n v="26796.880000000001"/>
    <s v="Completed"/>
    <s v="Pune"/>
    <s v="Grocery"/>
    <m/>
    <s v="Retail"/>
    <n v="31"/>
    <s v="South"/>
    <s v="Mar-24"/>
    <n v="2027"/>
    <n v="0.50196560196560192"/>
  </r>
  <r>
    <s v="ORD-01175"/>
    <x v="332"/>
    <s v="CUST-0111"/>
    <s v="PROD-041"/>
    <s v="R005"/>
    <n v="1"/>
    <n v="1540"/>
    <n v="0.9"/>
    <n v="1526.14"/>
    <s v="Completed"/>
    <s v="Chennai"/>
    <s v="Beauty"/>
    <m/>
    <s v="SMB"/>
    <n v="64"/>
    <m/>
    <m/>
    <m/>
    <m/>
  </r>
  <r>
    <s v="ORD-01176"/>
    <x v="104"/>
    <s v="CUST-0014"/>
    <s v="PROD-048"/>
    <s v="R024"/>
    <n v="10"/>
    <n v="5100"/>
    <n v="3"/>
    <n v="49470"/>
    <s v="Completed"/>
    <s v="Bengaluru"/>
    <s v="Beauty"/>
    <m/>
    <s v="Retail"/>
    <n v="48"/>
    <m/>
    <m/>
    <m/>
    <m/>
  </r>
  <r>
    <s v="ORD-01177"/>
    <x v="165"/>
    <s v="CUST-0073"/>
    <s v="PROD-014"/>
    <s v="R006"/>
    <n v="6"/>
    <n v="3620"/>
    <n v="20.2"/>
    <n v="17332.560000000001"/>
    <s v="Completed"/>
    <s v="Pune"/>
    <s v="Apparel"/>
    <m/>
    <s v="Corporate"/>
    <n v="40"/>
    <s v="West"/>
    <s v="May-24"/>
    <n v="2509"/>
    <n v="0.3069060773480663"/>
  </r>
  <r>
    <s v="ORD-01178"/>
    <x v="258"/>
    <s v="CUST-0147"/>
    <s v="PROD-046"/>
    <s v="R003"/>
    <n v="7"/>
    <n v="4880"/>
    <n v="5"/>
    <n v="32452"/>
    <s v="Completed"/>
    <s v="Pune"/>
    <s v="Beauty"/>
    <m/>
    <s v="Retail"/>
    <n v="56"/>
    <m/>
    <m/>
    <m/>
    <m/>
  </r>
  <r>
    <s v="ORD-01179"/>
    <x v="22"/>
    <s v="CUST-0006"/>
    <s v="PROD-010"/>
    <s v="R024"/>
    <n v="1"/>
    <n v="2640"/>
    <n v="4.0999999999999996"/>
    <n v="2531.7600000000002"/>
    <s v="Completed"/>
    <s v="Pune"/>
    <s v="Electronics"/>
    <m/>
    <s v="SMB"/>
    <n v="44"/>
    <m/>
    <m/>
    <m/>
    <m/>
  </r>
  <r>
    <s v="ORD-01180"/>
    <x v="118"/>
    <s v="CUST-0031"/>
    <s v="PROD-026"/>
    <s v="R020"/>
    <n v="9"/>
    <n v="4070"/>
    <n v="4.4000000000000004"/>
    <n v="35018.28"/>
    <s v="Completed"/>
    <s v="Hyderabad"/>
    <s v="Grocery"/>
    <m/>
    <s v="Retail"/>
    <n v="53"/>
    <m/>
    <m/>
    <m/>
    <m/>
  </r>
  <r>
    <s v="ORD-01181"/>
    <x v="7"/>
    <s v="CUST-0084"/>
    <s v="PROD-003"/>
    <s v="R025"/>
    <n v="9"/>
    <n v="3570"/>
    <n v="24.8"/>
    <n v="24161.759999999998"/>
    <s v="Completed"/>
    <s v="Chennai"/>
    <s v="Electronics"/>
    <m/>
    <s v="Retail"/>
    <n v="28"/>
    <s v="East"/>
    <s v="Aug-24"/>
    <n v="1665"/>
    <n v="0.53361344537815125"/>
  </r>
  <r>
    <s v="ORD-01182"/>
    <x v="19"/>
    <s v="CUST-0203"/>
    <s v="PROD-043"/>
    <s v="R005"/>
    <n v="10"/>
    <n v="3350"/>
    <n v="25.1"/>
    <n v="25091.5"/>
    <s v="Cancelled"/>
    <s v="Chennai"/>
    <s v="Beauty"/>
    <m/>
    <s v="SMB"/>
    <n v="55"/>
    <m/>
    <m/>
    <m/>
    <m/>
  </r>
  <r>
    <s v="ORD-01183"/>
    <x v="246"/>
    <s v="CUST-0138"/>
    <s v="PROD-059"/>
    <s v="R025"/>
    <n v="3"/>
    <n v="3780"/>
    <n v="3.8"/>
    <n v="10909.08"/>
    <s v="Completed"/>
    <s v="Chennai"/>
    <s v="Sports"/>
    <m/>
    <s v="Retail"/>
    <n v="24"/>
    <s v="North"/>
    <s v="Jun-24"/>
    <n v="1860"/>
    <n v="0.50793650793650791"/>
  </r>
  <r>
    <s v="ORD-01184"/>
    <x v="330"/>
    <s v="CUST-0157"/>
    <s v="PROD-003"/>
    <s v="R008"/>
    <n v="4"/>
    <n v="3570"/>
    <n v="0.9"/>
    <n v="14151.48"/>
    <s v="Pending"/>
    <s v="Pune"/>
    <s v="Electronics"/>
    <m/>
    <s v="Corporate"/>
    <n v="52"/>
    <m/>
    <m/>
    <m/>
    <m/>
  </r>
  <r>
    <s v="ORD-01185"/>
    <x v="295"/>
    <s v="CUST-0298"/>
    <s v="PROD-055"/>
    <s v="R024"/>
    <n v="5"/>
    <n v="2860"/>
    <n v="20.100000000000001"/>
    <n v="11425.7"/>
    <s v="Completed"/>
    <s v="Delhi"/>
    <s v="Sports"/>
    <m/>
    <s v="Retail"/>
    <n v="44"/>
    <m/>
    <m/>
    <m/>
    <m/>
  </r>
  <r>
    <s v="ORD-01186"/>
    <x v="79"/>
    <s v="CUST-0132"/>
    <s v="PROD-016"/>
    <s v="R003"/>
    <n v="1"/>
    <n v="620"/>
    <n v="1.1000000000000001"/>
    <n v="613.17999999999995"/>
    <s v="Cancelled"/>
    <s v="Delhi"/>
    <s v="Apparel"/>
    <m/>
    <s v="Retail"/>
    <n v="41"/>
    <m/>
    <m/>
    <m/>
    <m/>
  </r>
  <r>
    <s v="ORD-01187"/>
    <x v="39"/>
    <s v="CUST-0006"/>
    <s v="PROD-003"/>
    <s v="R012"/>
    <n v="1"/>
    <n v="3570"/>
    <n v="11.1"/>
    <n v="3173.73"/>
    <s v="Cancelled"/>
    <s v="Pune"/>
    <s v="Electronics"/>
    <m/>
    <s v="SMB"/>
    <n v="44"/>
    <m/>
    <m/>
    <m/>
    <m/>
  </r>
  <r>
    <s v="ORD-01188"/>
    <x v="317"/>
    <s v="CUST-0011"/>
    <s v="PROD-001"/>
    <s v="R012"/>
    <n v="1"/>
    <n v="5330"/>
    <n v="3.5"/>
    <n v="5143.45"/>
    <s v="Completed"/>
    <s v="Chennai"/>
    <s v="Electronics"/>
    <m/>
    <s v="Corporate"/>
    <n v="41"/>
    <m/>
    <m/>
    <m/>
    <m/>
  </r>
  <r>
    <s v="ORD-01189"/>
    <x v="333"/>
    <s v="CUST-0170"/>
    <s v="PROD-052"/>
    <s v="R018"/>
    <n v="7"/>
    <n v="5410"/>
    <n v="26.2"/>
    <n v="27948.06"/>
    <s v="Completed"/>
    <s v="Mumbai"/>
    <s v="Sports"/>
    <m/>
    <s v="SMB"/>
    <n v="22"/>
    <s v="South"/>
    <s v="Sep-24"/>
    <n v="2265"/>
    <n v="0.58133086876155271"/>
  </r>
  <r>
    <s v="ORD-01190"/>
    <x v="163"/>
    <s v="CUST-0109"/>
    <s v="PROD-034"/>
    <s v="R016"/>
    <n v="10"/>
    <n v="5080"/>
    <n v="3.7"/>
    <n v="48920.4"/>
    <s v="Pending"/>
    <s v="Pune"/>
    <s v="Home"/>
    <m/>
    <s v="Retail"/>
    <n v="42"/>
    <m/>
    <m/>
    <m/>
    <m/>
  </r>
  <r>
    <s v="ORD-01191"/>
    <x v="43"/>
    <s v="CUST-0066"/>
    <s v="PROD-003"/>
    <s v="R005"/>
    <n v="9"/>
    <n v="3570"/>
    <n v="5.6"/>
    <n v="30330.720000000001"/>
    <s v="Completed"/>
    <s v="Delhi"/>
    <s v="Electronics"/>
    <m/>
    <s v="Retail"/>
    <n v="24"/>
    <s v="South"/>
    <s v="Mar-24"/>
    <n v="1665"/>
    <n v="0.53361344537815125"/>
  </r>
  <r>
    <s v="ORD-01192"/>
    <x v="165"/>
    <s v="CUST-0055"/>
    <s v="PROD-030"/>
    <s v="R022"/>
    <n v="9"/>
    <n v="970"/>
    <n v="19.5"/>
    <n v="7027.65"/>
    <s v="Completed"/>
    <s v="Bengaluru"/>
    <s v="Grocery"/>
    <m/>
    <s v="Retail"/>
    <n v="34"/>
    <s v="North"/>
    <s v="Mar-24"/>
    <n v="434"/>
    <n v="0.5525773195876289"/>
  </r>
  <r>
    <s v="ORD-01193"/>
    <x v="298"/>
    <s v="CUST-0298"/>
    <s v="PROD-005"/>
    <s v="R009"/>
    <n v="10"/>
    <n v="300"/>
    <n v="23"/>
    <n v="2310"/>
    <s v="Cancelled"/>
    <s v="Delhi"/>
    <s v="Electronics"/>
    <m/>
    <s v="Retail"/>
    <n v="44"/>
    <m/>
    <m/>
    <m/>
    <m/>
  </r>
  <r>
    <s v="ORD-01194"/>
    <x v="319"/>
    <s v="CUST-0024"/>
    <s v="PROD-050"/>
    <s v="R003"/>
    <n v="10"/>
    <n v="6080"/>
    <n v="3.9"/>
    <n v="58428.800000000003"/>
    <s v="Completed"/>
    <s v="Chennai"/>
    <s v="Beauty"/>
    <m/>
    <s v="SMB"/>
    <n v="64"/>
    <m/>
    <m/>
    <m/>
    <m/>
  </r>
  <r>
    <s v="ORD-01195"/>
    <x v="149"/>
    <s v="CUST-0008"/>
    <s v="PROD-048"/>
    <s v="R011"/>
    <n v="2"/>
    <n v="5100"/>
    <n v="11"/>
    <n v="9078"/>
    <s v="Completed"/>
    <s v="Pune"/>
    <s v="Beauty"/>
    <m/>
    <s v="SMB"/>
    <n v="39"/>
    <s v="North"/>
    <s v="Jul-24"/>
    <n v="2237"/>
    <n v="0.56137254901960787"/>
  </r>
  <r>
    <s v="ORD-01196"/>
    <x v="18"/>
    <s v="CUST-0070"/>
    <s v="PROD-011"/>
    <s v="R019"/>
    <n v="9"/>
    <n v="3450"/>
    <n v="23.7"/>
    <n v="23691.15"/>
    <s v="Completed"/>
    <s v="Mumbai"/>
    <s v="Apparel"/>
    <m/>
    <s v="Retail"/>
    <n v="42"/>
    <m/>
    <m/>
    <m/>
    <m/>
  </r>
  <r>
    <s v="ORD-01197"/>
    <x v="164"/>
    <s v="CUST-0270"/>
    <s v="PROD-019"/>
    <s v="R011"/>
    <n v="5"/>
    <n v="2480"/>
    <n v="20.399999999999999"/>
    <n v="9870.4"/>
    <s v="Completed"/>
    <s v="Bengaluru"/>
    <s v="Apparel"/>
    <m/>
    <s v="Retail"/>
    <n v="29"/>
    <s v="East"/>
    <s v="Apr-24"/>
    <n v="1173"/>
    <n v="0.52701612903225803"/>
  </r>
  <r>
    <s v="ORD-01198"/>
    <x v="323"/>
    <s v="CUST-0175"/>
    <s v="PROD-060"/>
    <s v="R010"/>
    <n v="4"/>
    <n v="190"/>
    <n v="2.6"/>
    <n v="740.24"/>
    <s v="Completed"/>
    <s v="Delhi"/>
    <s v="Sports"/>
    <m/>
    <s v="Corporate"/>
    <n v="55"/>
    <m/>
    <m/>
    <m/>
    <m/>
  </r>
  <r>
    <s v="ORD-01199"/>
    <x v="212"/>
    <s v="CUST-0227"/>
    <s v="PROD-022"/>
    <s v="R020"/>
    <n v="4"/>
    <n v="2270"/>
    <n v="8.1"/>
    <n v="8344.52"/>
    <s v="Pending"/>
    <s v="Bengaluru"/>
    <s v="Grocery"/>
    <m/>
    <s v="SMB"/>
    <n v="44"/>
    <m/>
    <m/>
    <m/>
    <m/>
  </r>
  <r>
    <s v="ORD-01200"/>
    <x v="169"/>
    <s v="CUST-0041"/>
    <s v="PROD-017"/>
    <s v="R028"/>
    <n v="7"/>
    <n v="2510"/>
    <n v="25.5"/>
    <n v="13089.65"/>
    <s v="Completed"/>
    <s v="Bengaluru"/>
    <s v="Apparel"/>
    <m/>
    <s v="SMB"/>
    <n v="26"/>
    <s v="East"/>
    <s v="Jan-24"/>
    <n v="1075"/>
    <n v="0.57171314741035861"/>
  </r>
  <r>
    <s v="ORD-01201"/>
    <x v="318"/>
    <s v="CUST-0147"/>
    <s v="PROD-059"/>
    <s v="R004"/>
    <n v="3"/>
    <n v="3780"/>
    <n v="16.8"/>
    <n v="9434.8799999999992"/>
    <s v="Completed"/>
    <s v="Pune"/>
    <s v="Sports"/>
    <m/>
    <s v="Retail"/>
    <n v="56"/>
    <m/>
    <m/>
    <m/>
    <m/>
  </r>
  <r>
    <s v="ORD-01202"/>
    <x v="79"/>
    <s v="CUST-0185"/>
    <s v="PROD-003"/>
    <s v="R010"/>
    <n v="7"/>
    <n v="3570"/>
    <n v="23.7"/>
    <n v="19067.37"/>
    <s v="Completed"/>
    <s v="Hyderabad"/>
    <s v="Electronics"/>
    <m/>
    <s v="SMB"/>
    <n v="43"/>
    <m/>
    <m/>
    <m/>
    <m/>
  </r>
  <r>
    <s v="ORD-01203"/>
    <x v="115"/>
    <s v="CUST-0210"/>
    <s v="PROD-037"/>
    <s v="R011"/>
    <n v="4"/>
    <n v="660"/>
    <n v="3.6"/>
    <n v="2544.96"/>
    <s v="Completed"/>
    <s v="Pune"/>
    <s v="Home"/>
    <m/>
    <s v="Corporate"/>
    <n v="48"/>
    <m/>
    <m/>
    <m/>
    <m/>
  </r>
  <r>
    <s v="ORD-01204"/>
    <x v="350"/>
    <s v="CUST-0289"/>
    <s v="PROD-030"/>
    <s v="R010"/>
    <n v="7"/>
    <n v="970"/>
    <n v="23.7"/>
    <n v="5180.7700000000004"/>
    <s v="Completed"/>
    <s v="Mumbai"/>
    <s v="Grocery"/>
    <m/>
    <s v="Retail"/>
    <n v="54"/>
    <m/>
    <m/>
    <m/>
    <m/>
  </r>
  <r>
    <s v="ORD-01205"/>
    <x v="200"/>
    <s v="CUST-0017"/>
    <s v="PROD-024"/>
    <s v="R006"/>
    <n v="8"/>
    <n v="2270"/>
    <n v="6.8"/>
    <n v="16925.12"/>
    <s v="Completed"/>
    <s v="Delhi"/>
    <s v="Grocery"/>
    <m/>
    <s v="SMB"/>
    <n v="38"/>
    <s v="South"/>
    <s v="Jul-24"/>
    <n v="1203"/>
    <n v="0.47004405286343615"/>
  </r>
  <r>
    <s v="ORD-01206"/>
    <x v="65"/>
    <s v="CUST-0115"/>
    <s v="PROD-058"/>
    <s v="R012"/>
    <n v="1"/>
    <n v="2400"/>
    <n v="26.5"/>
    <n v="1764"/>
    <s v="Completed"/>
    <s v="Mumbai"/>
    <s v="Sports"/>
    <m/>
    <s v="SMB"/>
    <n v="65"/>
    <m/>
    <m/>
    <m/>
    <m/>
  </r>
  <r>
    <s v="ORD-01207"/>
    <x v="283"/>
    <s v="CUST-0183"/>
    <s v="PROD-034"/>
    <s v="R010"/>
    <n v="5"/>
    <n v="5080"/>
    <n v="29.6"/>
    <n v="17881.599999999999"/>
    <s v="Completed"/>
    <s v="Mumbai"/>
    <s v="Home"/>
    <m/>
    <s v="SMB"/>
    <n v="27"/>
    <s v="South"/>
    <s v="Oct-24"/>
    <n v="2459"/>
    <n v="0.51594488188976373"/>
  </r>
  <r>
    <s v="ORD-01208"/>
    <x v="116"/>
    <s v="CUST-0193"/>
    <s v="PROD-043"/>
    <s v="R014"/>
    <n v="9"/>
    <n v="3350"/>
    <n v="6.2"/>
    <n v="28280.7"/>
    <s v="Completed"/>
    <s v="Bengaluru"/>
    <s v="Beauty"/>
    <m/>
    <s v="Retail"/>
    <n v="42"/>
    <m/>
    <m/>
    <m/>
    <m/>
  </r>
  <r>
    <s v="ORD-01209"/>
    <x v="9"/>
    <s v="CUST-0019"/>
    <s v="PROD-041"/>
    <s v="R001"/>
    <n v="4"/>
    <n v="1540"/>
    <n v="22.2"/>
    <n v="4792.4799999999996"/>
    <s v="Completed"/>
    <s v="Chennai"/>
    <s v="Beauty"/>
    <m/>
    <s v="Retail"/>
    <n v="22"/>
    <s v="South"/>
    <s v="Feb-24"/>
    <n v="647"/>
    <n v="0.57987012987012987"/>
  </r>
  <r>
    <s v="ORD-01210"/>
    <x v="313"/>
    <s v="CUST-0097"/>
    <s v="PROD-034"/>
    <s v="R002"/>
    <n v="10"/>
    <n v="5080"/>
    <n v="11.8"/>
    <n v="44805.599999999999"/>
    <s v="Completed"/>
    <s v="Mumbai"/>
    <s v="Home"/>
    <m/>
    <s v="Retail"/>
    <n v="65"/>
    <m/>
    <m/>
    <m/>
    <m/>
  </r>
  <r>
    <s v="ORD-01211"/>
    <x v="197"/>
    <s v="CUST-0237"/>
    <s v="PROD-018"/>
    <s v="R012"/>
    <n v="9"/>
    <n v="3560"/>
    <n v="15.9"/>
    <n v="26945.64"/>
    <s v="Completed"/>
    <s v="Mumbai"/>
    <s v="Apparel"/>
    <m/>
    <s v="Retail"/>
    <n v="49"/>
    <m/>
    <m/>
    <m/>
    <m/>
  </r>
  <r>
    <s v="ORD-01212"/>
    <x v="98"/>
    <s v="CUST-0252"/>
    <s v="PROD-040"/>
    <s v="R009"/>
    <n v="2"/>
    <n v="1080"/>
    <n v="21.1"/>
    <n v="1704.24"/>
    <s v="Completed"/>
    <s v="Bengaluru"/>
    <s v="Home"/>
    <m/>
    <s v="Retail"/>
    <n v="27"/>
    <s v="South"/>
    <s v="Jan-24"/>
    <n v="519"/>
    <n v="0.51944444444444449"/>
  </r>
  <r>
    <s v="ORD-01213"/>
    <x v="202"/>
    <s v="CUST-0216"/>
    <s v="PROD-023"/>
    <s v="R018"/>
    <n v="5"/>
    <n v="2380"/>
    <n v="20.5"/>
    <n v="9460.5"/>
    <s v="Completed"/>
    <s v="Mumbai"/>
    <s v="Grocery"/>
    <m/>
    <s v="Retail"/>
    <n v="50"/>
    <m/>
    <m/>
    <m/>
    <m/>
  </r>
  <r>
    <s v="ORD-01214"/>
    <x v="71"/>
    <s v="CUST-0248"/>
    <s v="PROD-019"/>
    <s v="R025"/>
    <n v="9"/>
    <n v="2480"/>
    <n v="1.2"/>
    <n v="22052.16"/>
    <s v="Completed"/>
    <s v="Chennai"/>
    <s v="Apparel"/>
    <m/>
    <s v="SMB"/>
    <n v="57"/>
    <m/>
    <m/>
    <m/>
    <m/>
  </r>
  <r>
    <s v="ORD-01215"/>
    <x v="333"/>
    <s v="CUST-0044"/>
    <s v="PROD-042"/>
    <s v="R012"/>
    <n v="9"/>
    <n v="2290"/>
    <n v="0.9"/>
    <n v="20424.509999999998"/>
    <s v="Completed"/>
    <s v="Hyderabad"/>
    <s v="Beauty"/>
    <m/>
    <s v="SMB"/>
    <n v="29"/>
    <s v="West"/>
    <s v="Jul-24"/>
    <n v="1219"/>
    <n v="0.46768558951965067"/>
  </r>
  <r>
    <s v="ORD-01216"/>
    <x v="143"/>
    <s v="CUST-0251"/>
    <s v="PROD-011"/>
    <s v="R011"/>
    <n v="3"/>
    <n v="3450"/>
    <n v="29.5"/>
    <n v="7296.75"/>
    <s v="Completed"/>
    <s v="Mumbai"/>
    <s v="Apparel"/>
    <m/>
    <s v="Retail"/>
    <n v="44"/>
    <m/>
    <m/>
    <m/>
    <m/>
  </r>
  <r>
    <s v="ORD-01217"/>
    <x v="28"/>
    <s v="CUST-0280"/>
    <s v="PROD-047"/>
    <s v="R024"/>
    <n v="9"/>
    <n v="3450"/>
    <n v="19.399999999999999"/>
    <n v="25026.3"/>
    <s v="Completed"/>
    <s v="Delhi"/>
    <s v="Beauty"/>
    <m/>
    <s v="SMB"/>
    <n v="27"/>
    <s v="South"/>
    <s v="Mar-24"/>
    <n v="2420"/>
    <n v="0.29855072463768118"/>
  </r>
  <r>
    <s v="ORD-01218"/>
    <x v="340"/>
    <s v="CUST-0108"/>
    <s v="PROD-002"/>
    <s v="R030"/>
    <n v="2"/>
    <n v="2600"/>
    <n v="20.2"/>
    <n v="4149.6000000000004"/>
    <s v="Cancelled"/>
    <s v="Bengaluru"/>
    <s v="Electronics"/>
    <m/>
    <s v="Corporate"/>
    <n v="59"/>
    <m/>
    <m/>
    <m/>
    <m/>
  </r>
  <r>
    <s v="ORD-01219"/>
    <x v="281"/>
    <s v="CUST-0058"/>
    <s v="PROD-021"/>
    <s v="R025"/>
    <n v="1"/>
    <n v="2760"/>
    <n v="9.5"/>
    <n v="2497.8000000000002"/>
    <s v="Completed"/>
    <s v="Bengaluru"/>
    <s v="Grocery"/>
    <m/>
    <s v="SMB"/>
    <n v="49"/>
    <m/>
    <m/>
    <m/>
    <m/>
  </r>
  <r>
    <s v="ORD-01220"/>
    <x v="106"/>
    <s v="CUST-0090"/>
    <s v="PROD-039"/>
    <s v="R003"/>
    <n v="4"/>
    <n v="4610"/>
    <n v="14.8"/>
    <n v="15710.88"/>
    <s v="Completed"/>
    <s v="Bengaluru"/>
    <s v="Home"/>
    <m/>
    <s v="Corporate"/>
    <n v="26"/>
    <s v="West"/>
    <s v="Aug-24"/>
    <n v="1850"/>
    <n v="0.59869848156182215"/>
  </r>
  <r>
    <s v="ORD-01221"/>
    <x v="147"/>
    <s v="CUST-0204"/>
    <s v="PROD-019"/>
    <s v="R024"/>
    <n v="3"/>
    <n v="2480"/>
    <n v="3.7"/>
    <n v="7164.72"/>
    <s v="Completed"/>
    <s v="Hyderabad"/>
    <s v="Apparel"/>
    <m/>
    <s v="Retail"/>
    <n v="60"/>
    <m/>
    <m/>
    <m/>
    <m/>
  </r>
  <r>
    <s v="ORD-01222"/>
    <x v="294"/>
    <s v="CUST-0044"/>
    <s v="PROD-056"/>
    <s v="R011"/>
    <n v="5"/>
    <n v="6940"/>
    <n v="0.3"/>
    <n v="34595.9"/>
    <s v="Completed"/>
    <s v="Hyderabad"/>
    <s v="Sports"/>
    <m/>
    <s v="SMB"/>
    <n v="29"/>
    <s v="West"/>
    <s v="Aug-24"/>
    <n v="2827"/>
    <n v="0.5926512968299712"/>
  </r>
  <r>
    <s v="ORD-01223"/>
    <x v="9"/>
    <s v="CUST-0068"/>
    <s v="PROD-022"/>
    <s v="R023"/>
    <n v="8"/>
    <n v="2270"/>
    <n v="15.6"/>
    <n v="15327.04"/>
    <s v="Pending"/>
    <s v="Delhi"/>
    <s v="Grocery"/>
    <m/>
    <s v="SMB"/>
    <n v="48"/>
    <m/>
    <m/>
    <m/>
    <m/>
  </r>
  <r>
    <s v="ORD-01224"/>
    <x v="313"/>
    <s v="CUST-0127"/>
    <s v="PROD-048"/>
    <s v="R030"/>
    <n v="5"/>
    <n v="5100"/>
    <n v="9.5"/>
    <n v="23077.5"/>
    <s v="Completed"/>
    <s v="Bengaluru"/>
    <s v="Beauty"/>
    <m/>
    <s v="SMB"/>
    <n v="36"/>
    <s v="East"/>
    <s v="Sep-24"/>
    <n v="2237"/>
    <n v="0.56137254901960787"/>
  </r>
  <r>
    <s v="ORD-01225"/>
    <x v="345"/>
    <s v="CUST-0191"/>
    <s v="PROD-036"/>
    <s v="R011"/>
    <n v="5"/>
    <n v="3250"/>
    <n v="8.1"/>
    <n v="14933.75"/>
    <s v="Completed"/>
    <s v="Hyderabad"/>
    <s v="Home"/>
    <m/>
    <s v="SMB"/>
    <n v="43"/>
    <m/>
    <m/>
    <m/>
    <m/>
  </r>
  <r>
    <s v="ORD-01226"/>
    <x v="303"/>
    <s v="CUST-0028"/>
    <s v="PROD-006"/>
    <s v="R003"/>
    <n v="6"/>
    <n v="3970"/>
    <n v="18.8"/>
    <n v="19341.84"/>
    <s v="Pending"/>
    <s v="Bengaluru"/>
    <s v="Electronics"/>
    <m/>
    <s v="Retail"/>
    <n v="59"/>
    <m/>
    <m/>
    <m/>
    <m/>
  </r>
  <r>
    <s v="ORD-01227"/>
    <x v="14"/>
    <s v="CUST-0027"/>
    <s v="PROD-001"/>
    <s v="R025"/>
    <n v="4"/>
    <n v="5330"/>
    <n v="19.7"/>
    <n v="17119.96"/>
    <s v="Completed"/>
    <s v="Hyderabad"/>
    <s v="Electronics"/>
    <m/>
    <s v="Corporate"/>
    <n v="52"/>
    <m/>
    <m/>
    <m/>
    <m/>
  </r>
  <r>
    <s v="ORD-01228"/>
    <x v="84"/>
    <s v="CUST-0193"/>
    <s v="PROD-008"/>
    <s v="R004"/>
    <n v="7"/>
    <n v="2660"/>
    <n v="8.5"/>
    <n v="17037.3"/>
    <s v="Completed"/>
    <s v="Bengaluru"/>
    <s v="Electronics"/>
    <m/>
    <s v="Retail"/>
    <n v="42"/>
    <m/>
    <m/>
    <m/>
    <m/>
  </r>
  <r>
    <s v="ORD-01229"/>
    <x v="124"/>
    <s v="CUST-0202"/>
    <s v="PROD-012"/>
    <s v="R029"/>
    <n v="5"/>
    <n v="3160"/>
    <n v="13.4"/>
    <n v="13682.8"/>
    <s v="Pending"/>
    <s v="Chennai"/>
    <s v="Apparel"/>
    <m/>
    <s v="Retail"/>
    <n v="39"/>
    <s v="North"/>
    <s v="Nov-24"/>
    <n v="1886"/>
    <n v="0.4031645569620253"/>
  </r>
  <r>
    <s v="ORD-01230"/>
    <x v="287"/>
    <s v="CUST-0230"/>
    <s v="PROD-054"/>
    <s v="R019"/>
    <n v="10"/>
    <n v="1010"/>
    <n v="14"/>
    <n v="8686"/>
    <s v="Completed"/>
    <s v="Pune"/>
    <s v="Sports"/>
    <m/>
    <s v="Corporate"/>
    <n v="33"/>
    <s v="West"/>
    <s v="May-24"/>
    <n v="516"/>
    <n v="0.4891089108910891"/>
  </r>
  <r>
    <s v="ORD-01231"/>
    <x v="351"/>
    <s v="CUST-0280"/>
    <s v="PROD-041"/>
    <s v="R003"/>
    <n v="3"/>
    <n v="1540"/>
    <n v="13.7"/>
    <n v="3987.06"/>
    <s v="Pending"/>
    <s v="Delhi"/>
    <s v="Beauty"/>
    <m/>
    <s v="SMB"/>
    <n v="27"/>
    <s v="East"/>
    <s v="Dec-24"/>
    <n v="647"/>
    <n v="0.57987012987012987"/>
  </r>
  <r>
    <s v="ORD-01232"/>
    <x v="343"/>
    <s v="CUST-0196"/>
    <s v="PROD-048"/>
    <s v="R009"/>
    <n v="10"/>
    <n v="5100"/>
    <n v="13.8"/>
    <n v="43962"/>
    <s v="Completed"/>
    <s v="Chennai"/>
    <s v="Beauty"/>
    <m/>
    <s v="Retail"/>
    <n v="26"/>
    <s v="North"/>
    <s v="Mar-24"/>
    <n v="2237"/>
    <n v="0.56137254901960787"/>
  </r>
  <r>
    <s v="ORD-01233"/>
    <x v="136"/>
    <s v="CUST-0019"/>
    <s v="PROD-007"/>
    <s v="R030"/>
    <n v="3"/>
    <n v="1430"/>
    <n v="1.5"/>
    <n v="4225.6499999999996"/>
    <s v="Completed"/>
    <s v="Chennai"/>
    <s v="Electronics"/>
    <m/>
    <s v="Retail"/>
    <n v="22"/>
    <s v="South"/>
    <s v="Jan-24"/>
    <n v="861"/>
    <n v="0.39790209790209791"/>
  </r>
  <r>
    <s v="ORD-01234"/>
    <x v="247"/>
    <s v="CUST-0201"/>
    <s v="PROD-038"/>
    <s v="R013"/>
    <n v="8"/>
    <n v="5490"/>
    <n v="23.2"/>
    <n v="33730.559999999998"/>
    <s v="Completed"/>
    <s v="Hyderabad"/>
    <s v="Home"/>
    <m/>
    <s v="Retail"/>
    <n v="31"/>
    <s v="West"/>
    <s v="Jun-24"/>
    <n v="2549"/>
    <n v="0.53570127504553733"/>
  </r>
  <r>
    <s v="ORD-01235"/>
    <x v="185"/>
    <s v="CUST-0146"/>
    <s v="PROD-044"/>
    <s v="R008"/>
    <n v="6"/>
    <n v="1650"/>
    <n v="16.8"/>
    <n v="8236.7999999999993"/>
    <s v="Completed"/>
    <s v="Hyderabad"/>
    <s v="Beauty"/>
    <m/>
    <s v="Retail"/>
    <n v="22"/>
    <s v="South"/>
    <s v="Nov-24"/>
    <n v="1222"/>
    <n v="0.2593939393939394"/>
  </r>
  <r>
    <s v="ORD-01236"/>
    <x v="151"/>
    <s v="CUST-0199"/>
    <s v="PROD-045"/>
    <s v="R018"/>
    <n v="3"/>
    <n v="3020"/>
    <n v="14.5"/>
    <n v="7746.3"/>
    <s v="Completed"/>
    <s v="Hyderabad"/>
    <s v="Beauty"/>
    <m/>
    <s v="SMB"/>
    <n v="31"/>
    <s v="North"/>
    <s v="Jul-24"/>
    <n v="1626"/>
    <n v="0.46158940397350995"/>
  </r>
  <r>
    <s v="ORD-01237"/>
    <x v="334"/>
    <s v="CUST-0099"/>
    <s v="PROD-041"/>
    <s v="R003"/>
    <n v="5"/>
    <n v="1540"/>
    <n v="27.2"/>
    <n v="5605.6"/>
    <s v="Completed"/>
    <s v="Bengaluru"/>
    <s v="Beauty"/>
    <m/>
    <s v="SMB"/>
    <n v="54"/>
    <m/>
    <m/>
    <m/>
    <m/>
  </r>
  <r>
    <s v="ORD-00372"/>
    <x v="246"/>
    <s v="CUST-0094"/>
    <s v="PROD-056"/>
    <s v="R023"/>
    <n v="4"/>
    <n v="6940"/>
    <n v="3.2"/>
    <n v="26871.68"/>
    <s v="Completed"/>
    <s v="Pune"/>
    <s v="Sports"/>
    <m/>
    <s v="SMB"/>
    <n v="60"/>
    <m/>
    <m/>
    <m/>
    <m/>
  </r>
  <r>
    <s v="ORD-01239"/>
    <x v="25"/>
    <s v="CUST-0275"/>
    <s v="PROD-048"/>
    <s v="R017"/>
    <n v="2"/>
    <n v="5100"/>
    <n v="18.100000000000001"/>
    <n v="8353.7999999999993"/>
    <s v="Completed"/>
    <s v="Mumbai"/>
    <s v="Beauty"/>
    <m/>
    <s v="Retail"/>
    <n v="36"/>
    <s v="East"/>
    <s v="Jan-24"/>
    <n v="2237"/>
    <n v="0.56137254901960787"/>
  </r>
  <r>
    <s v="ORD-01240"/>
    <x v="189"/>
    <s v="CUST-0230"/>
    <s v="PROD-001"/>
    <s v="R016"/>
    <n v="6"/>
    <n v="5330"/>
    <n v="0.3"/>
    <n v="31884.06"/>
    <s v="Pending"/>
    <s v="Pune"/>
    <s v="Electronics"/>
    <m/>
    <s v="Corporate"/>
    <n v="33"/>
    <s v="East"/>
    <s v="Aug-24"/>
    <n v="2405"/>
    <n v="0.54878048780487809"/>
  </r>
  <r>
    <s v="ORD-01241"/>
    <x v="121"/>
    <s v="CUST-0227"/>
    <s v="PROD-057"/>
    <s v="R029"/>
    <n v="5"/>
    <n v="960"/>
    <n v="16.600000000000001"/>
    <n v="4003.2"/>
    <s v="Completed"/>
    <s v="Bengaluru"/>
    <s v="Sports"/>
    <m/>
    <s v="SMB"/>
    <n v="44"/>
    <m/>
    <m/>
    <m/>
    <m/>
  </r>
  <r>
    <s v="ORD-01365"/>
    <x v="214"/>
    <s v="CUST-0200"/>
    <s v="PROD-014"/>
    <s v="R022"/>
    <n v="7"/>
    <n v="3620"/>
    <n v="5.4"/>
    <n v="23971.64"/>
    <s v="Completed"/>
    <s v="Hyderabad"/>
    <s v="Apparel"/>
    <m/>
    <s v="Corporate"/>
    <n v="46"/>
    <m/>
    <m/>
    <m/>
    <m/>
  </r>
  <r>
    <s v="ORD-01243"/>
    <x v="213"/>
    <s v="CUST-0268"/>
    <s v="PROD-002"/>
    <s v="R006"/>
    <n v="6"/>
    <n v="2600"/>
    <n v="25.9"/>
    <n v="11559.6"/>
    <s v="Completed"/>
    <s v="Chennai"/>
    <s v="Electronics"/>
    <m/>
    <s v="Retail"/>
    <n v="35"/>
    <s v="East"/>
    <s v="Jul-24"/>
    <n v="1052"/>
    <n v="0.5953846153846154"/>
  </r>
  <r>
    <s v="ORD-01244"/>
    <x v="129"/>
    <s v="CUST-0163"/>
    <s v="PROD-008"/>
    <s v="R013"/>
    <n v="7"/>
    <n v="2660"/>
    <n v="20.2"/>
    <n v="14858.76"/>
    <s v="Completed"/>
    <s v="Pune"/>
    <s v="Electronics"/>
    <m/>
    <s v="Retail"/>
    <n v="49"/>
    <m/>
    <m/>
    <m/>
    <m/>
  </r>
  <r>
    <s v="ORD-01245"/>
    <x v="22"/>
    <s v="CUST-0233"/>
    <s v="PROD-019"/>
    <s v="R022"/>
    <n v="9"/>
    <n v="2480"/>
    <n v="14.7"/>
    <n v="19038.96"/>
    <s v="Completed"/>
    <s v="Mumbai"/>
    <s v="Apparel"/>
    <m/>
    <s v="SMB"/>
    <n v="65"/>
    <m/>
    <m/>
    <m/>
    <m/>
  </r>
  <r>
    <s v="ORD-01246"/>
    <x v="296"/>
    <s v="CUST-0181"/>
    <s v="PROD-008"/>
    <s v="R015"/>
    <n v="4"/>
    <n v="2660"/>
    <n v="8.9"/>
    <n v="9693.0400000000009"/>
    <s v="Completed"/>
    <s v="Delhi"/>
    <s v="Electronics"/>
    <m/>
    <s v="SMB"/>
    <n v="38"/>
    <s v="East"/>
    <s v="Jun-24"/>
    <n v="1259"/>
    <n v="0.52669172932330832"/>
  </r>
  <r>
    <s v="ORD-01247"/>
    <x v="326"/>
    <s v="CUST-0254"/>
    <s v="PROD-001"/>
    <s v="R010"/>
    <n v="1"/>
    <n v="5330"/>
    <n v="26.8"/>
    <n v="3901.56"/>
    <s v="Completed"/>
    <s v="Bengaluru"/>
    <s v="Electronics"/>
    <m/>
    <s v="Retail"/>
    <n v="35"/>
    <s v="South"/>
    <s v="Oct-24"/>
    <n v="2405"/>
    <n v="0.54878048780487809"/>
  </r>
  <r>
    <s v="ORD-01248"/>
    <x v="227"/>
    <s v="CUST-0116"/>
    <s v="PROD-051"/>
    <s v="R027"/>
    <n v="6"/>
    <n v="3450"/>
    <n v="19.2"/>
    <n v="16725.599999999999"/>
    <s v="Pending"/>
    <s v="Bengaluru"/>
    <s v="Sports"/>
    <m/>
    <s v="Retail"/>
    <n v="53"/>
    <m/>
    <m/>
    <m/>
    <m/>
  </r>
  <r>
    <s v="ORD-01249"/>
    <x v="323"/>
    <s v="CUST-0259"/>
    <s v="PROD-060"/>
    <s v="R025"/>
    <n v="10"/>
    <n v="190"/>
    <n v="18.100000000000001"/>
    <n v="1556.1"/>
    <s v="Completed"/>
    <s v="Mumbai"/>
    <s v="Sports"/>
    <m/>
    <s v="Retail"/>
    <n v="34"/>
    <s v="West"/>
    <s v="Sep-24"/>
    <n v="147"/>
    <n v="0.22631578947368422"/>
  </r>
  <r>
    <s v="ORD-01250"/>
    <x v="241"/>
    <s v="CUST-0198"/>
    <s v="PROD-006"/>
    <s v="R009"/>
    <n v="9"/>
    <n v="3970"/>
    <n v="18.2"/>
    <n v="29227.14"/>
    <s v="Pending"/>
    <s v="Chennai"/>
    <s v="Electronics"/>
    <m/>
    <s v="Corporate"/>
    <n v="22"/>
    <s v="West"/>
    <s v="Feb-24"/>
    <n v="2865"/>
    <n v="0.27833753148614609"/>
  </r>
  <r>
    <s v="ORD-01251"/>
    <x v="280"/>
    <s v="CUST-0204"/>
    <s v="PROD-039"/>
    <s v="R002"/>
    <n v="4"/>
    <n v="4610"/>
    <n v="15.1"/>
    <n v="15655.56"/>
    <s v="Cancelled"/>
    <s v="Hyderabad"/>
    <s v="Home"/>
    <m/>
    <s v="Retail"/>
    <n v="60"/>
    <m/>
    <m/>
    <m/>
    <m/>
  </r>
  <r>
    <s v="ORD-01252"/>
    <x v="233"/>
    <s v="CUST-0216"/>
    <s v="PROD-016"/>
    <s v="R025"/>
    <n v="2"/>
    <n v="620"/>
    <n v="3.3"/>
    <n v="1199.08"/>
    <s v="Completed"/>
    <s v="Mumbai"/>
    <s v="Apparel"/>
    <m/>
    <s v="Retail"/>
    <n v="50"/>
    <m/>
    <m/>
    <m/>
    <m/>
  </r>
  <r>
    <s v="ORD-01253"/>
    <x v="214"/>
    <s v="CUST-0030"/>
    <s v="PROD-041"/>
    <s v="R025"/>
    <n v="7"/>
    <n v="1540"/>
    <n v="27.5"/>
    <n v="7815.5"/>
    <s v="Completed"/>
    <s v="Bengaluru"/>
    <s v="Beauty"/>
    <m/>
    <s v="Corporate"/>
    <n v="43"/>
    <m/>
    <m/>
    <m/>
    <m/>
  </r>
  <r>
    <s v="ORD-01254"/>
    <x v="178"/>
    <s v="CUST-0019"/>
    <s v="PROD-053"/>
    <s v="R017"/>
    <n v="10"/>
    <n v="470"/>
    <n v="3.9"/>
    <n v="4516.7"/>
    <s v="Completed"/>
    <s v="Chennai"/>
    <s v="Sports"/>
    <m/>
    <s v="Retail"/>
    <n v="22"/>
    <s v="West"/>
    <s v="Jul-24"/>
    <n v="302"/>
    <n v="0.35744680851063831"/>
  </r>
  <r>
    <s v="ORD-01255"/>
    <x v="348"/>
    <s v="CUST-0034"/>
    <s v="PROD-046"/>
    <s v="R002"/>
    <n v="5"/>
    <n v="4880"/>
    <n v="27.4"/>
    <n v="17714.400000000001"/>
    <s v="Completed"/>
    <s v="Delhi"/>
    <s v="Beauty"/>
    <m/>
    <s v="Retail"/>
    <n v="47"/>
    <m/>
    <m/>
    <m/>
    <m/>
  </r>
  <r>
    <s v="ORD-01256"/>
    <x v="289"/>
    <s v="CUST-0063"/>
    <s v="PROD-052"/>
    <s v="R029"/>
    <n v="1"/>
    <n v="5410"/>
    <n v="8.3000000000000007"/>
    <n v="4960.97"/>
    <s v="Completed"/>
    <s v="Mumbai"/>
    <s v="Sports"/>
    <m/>
    <s v="SMB"/>
    <n v="53"/>
    <m/>
    <m/>
    <m/>
    <m/>
  </r>
  <r>
    <s v="ORD-01257"/>
    <x v="337"/>
    <s v="CUST-0203"/>
    <s v="PROD-004"/>
    <s v="R022"/>
    <n v="8"/>
    <n v="3870"/>
    <n v="9.3000000000000007"/>
    <n v="28080.720000000001"/>
    <s v="Pending"/>
    <s v="Chennai"/>
    <s v="Electronics"/>
    <m/>
    <s v="SMB"/>
    <n v="55"/>
    <m/>
    <m/>
    <m/>
    <m/>
  </r>
  <r>
    <s v="ORD-01258"/>
    <x v="136"/>
    <s v="CUST-0016"/>
    <s v="PROD-010"/>
    <s v="R017"/>
    <n v="10"/>
    <n v="2640"/>
    <n v="19.899999999999999"/>
    <n v="21146.400000000001"/>
    <s v="Completed"/>
    <s v="Delhi"/>
    <s v="Electronics"/>
    <m/>
    <s v="SMB"/>
    <n v="26"/>
    <s v="East"/>
    <s v="Jul-24"/>
    <n v="1149"/>
    <n v="0.56477272727272732"/>
  </r>
  <r>
    <s v="ORD-01259"/>
    <x v="118"/>
    <s v="CUST-0198"/>
    <s v="PROD-034"/>
    <s v="R007"/>
    <n v="1"/>
    <n v="5080"/>
    <n v="8.6"/>
    <n v="4643.12"/>
    <s v="Completed"/>
    <s v="Chennai"/>
    <s v="Home"/>
    <m/>
    <s v="Corporate"/>
    <n v="22"/>
    <s v="East"/>
    <s v="Jun-24"/>
    <n v="2459"/>
    <n v="0.51594488188976373"/>
  </r>
  <r>
    <s v="ORD-01260"/>
    <x v="342"/>
    <s v="CUST-0212"/>
    <s v="PROD-036"/>
    <s v="R018"/>
    <n v="9"/>
    <n v="3250"/>
    <n v="18.2"/>
    <n v="23926.5"/>
    <s v="Pending"/>
    <s v="Chennai"/>
    <s v="Home"/>
    <m/>
    <s v="SMB"/>
    <n v="46"/>
    <m/>
    <m/>
    <m/>
    <m/>
  </r>
  <r>
    <s v="ORD-01261"/>
    <x v="84"/>
    <s v="CUST-0265"/>
    <s v="PROD-006"/>
    <s v="R002"/>
    <n v="8"/>
    <n v="3970"/>
    <n v="22.4"/>
    <n v="24645.759999999998"/>
    <s v="Completed"/>
    <s v="Chennai"/>
    <s v="Electronics"/>
    <m/>
    <s v="Retail"/>
    <n v="49"/>
    <m/>
    <m/>
    <m/>
    <m/>
  </r>
  <r>
    <s v="ORD-01262"/>
    <x v="192"/>
    <s v="CUST-0165"/>
    <s v="PROD-037"/>
    <s v="R017"/>
    <n v="3"/>
    <n v="660"/>
    <n v="3.1"/>
    <n v="1918.62"/>
    <s v="Completed"/>
    <s v="Pune"/>
    <s v="Home"/>
    <m/>
    <s v="Retail"/>
    <n v="29"/>
    <s v="North"/>
    <s v="Nov-24"/>
    <n v="329"/>
    <n v="0.50151515151515147"/>
  </r>
  <r>
    <s v="ORD-01263"/>
    <x v="298"/>
    <s v="CUST-0109"/>
    <s v="PROD-002"/>
    <s v="R022"/>
    <n v="7"/>
    <n v="2600"/>
    <n v="15.4"/>
    <n v="15397.2"/>
    <s v="Completed"/>
    <s v="Pune"/>
    <s v="Electronics"/>
    <m/>
    <s v="Retail"/>
    <n v="42"/>
    <m/>
    <m/>
    <m/>
    <m/>
  </r>
  <r>
    <s v="ORD-01264"/>
    <x v="45"/>
    <s v="CUST-0155"/>
    <s v="PROD-037"/>
    <s v="R015"/>
    <n v="9"/>
    <n v="660"/>
    <n v="23.7"/>
    <n v="4532.22"/>
    <s v="Completed"/>
    <s v="Pune"/>
    <s v="Home"/>
    <m/>
    <s v="Corporate"/>
    <n v="40"/>
    <s v="East"/>
    <s v="Mar-24"/>
    <n v="329"/>
    <n v="0.50151515151515147"/>
  </r>
  <r>
    <s v="ORD-01265"/>
    <x v="183"/>
    <s v="CUST-0194"/>
    <s v="PROD-023"/>
    <s v="R021"/>
    <n v="3"/>
    <n v="2380"/>
    <n v="19.5"/>
    <n v="5747.7"/>
    <s v="Cancelled"/>
    <s v="Delhi"/>
    <s v="Grocery"/>
    <m/>
    <s v="SMB"/>
    <n v="55"/>
    <m/>
    <m/>
    <m/>
    <m/>
  </r>
  <r>
    <s v="ORD-01266"/>
    <x v="207"/>
    <s v="CUST-0084"/>
    <s v="PROD-044"/>
    <s v="R010"/>
    <n v="9"/>
    <n v="1650"/>
    <n v="2.5"/>
    <n v="14478.75"/>
    <s v="Completed"/>
    <s v="Chennai"/>
    <s v="Beauty"/>
    <m/>
    <s v="Retail"/>
    <n v="28"/>
    <s v="East"/>
    <s v="Apr-24"/>
    <n v="1222"/>
    <n v="0.2593939393939394"/>
  </r>
  <r>
    <s v="ORD-01267"/>
    <x v="181"/>
    <s v="CUST-9684"/>
    <s v="PROD-010"/>
    <s v="R006"/>
    <n v="8"/>
    <n v="2640"/>
    <n v="24.4"/>
    <n v="15966.72"/>
    <s v="Completed"/>
    <s v="Mumbai"/>
    <s v="Electronics"/>
    <m/>
    <e v="#N/A"/>
    <e v="#N/A"/>
    <m/>
    <m/>
    <m/>
    <m/>
  </r>
  <r>
    <s v="ORD-01268"/>
    <x v="43"/>
    <s v="CUST-0218"/>
    <s v="PROD-023"/>
    <s v="R013"/>
    <n v="8"/>
    <n v="2380"/>
    <n v="24.2"/>
    <n v="14432.32"/>
    <s v="Completed"/>
    <s v="Mumbai"/>
    <s v="Grocery"/>
    <m/>
    <s v="Retail"/>
    <n v="39"/>
    <s v="North"/>
    <s v="Dec-24"/>
    <n v="1182"/>
    <n v="0.50336134453781511"/>
  </r>
  <r>
    <s v="ORD-01269"/>
    <x v="41"/>
    <s v="CUST-0194"/>
    <s v="PROD-029"/>
    <s v="R007"/>
    <n v="10"/>
    <n v="2210"/>
    <n v="3.6"/>
    <n v="21304.400000000001"/>
    <s v="Completed"/>
    <s v="Delhi"/>
    <s v="Grocery"/>
    <m/>
    <s v="SMB"/>
    <n v="55"/>
    <m/>
    <m/>
    <m/>
    <m/>
  </r>
  <r>
    <s v="ORD-01270"/>
    <x v="139"/>
    <s v="CUST-0037"/>
    <s v="PROD-050"/>
    <s v="R018"/>
    <n v="9"/>
    <n v="6080"/>
    <n v="17.2"/>
    <n v="45308.160000000003"/>
    <s v="Pending"/>
    <s v="Bengaluru"/>
    <s v="Beauty"/>
    <m/>
    <s v="Retail"/>
    <n v="52"/>
    <m/>
    <m/>
    <m/>
    <m/>
  </r>
  <r>
    <s v="ORD-01271"/>
    <x v="10"/>
    <s v="CUST-0245"/>
    <s v="PROD-054"/>
    <s v="R022"/>
    <n v="8"/>
    <n v="1010"/>
    <n v="12.3"/>
    <n v="7086.16"/>
    <s v="Completed"/>
    <s v="Hyderabad"/>
    <s v="Sports"/>
    <m/>
    <s v="Retail"/>
    <n v="65"/>
    <m/>
    <m/>
    <m/>
    <m/>
  </r>
  <r>
    <s v="ORD-01272"/>
    <x v="329"/>
    <s v="CUST-0266"/>
    <s v="PROD-028"/>
    <s v="R011"/>
    <n v="8"/>
    <n v="3660"/>
    <n v="8.4"/>
    <n v="26820.48"/>
    <s v="Completed"/>
    <s v="Pune"/>
    <s v="Grocery"/>
    <m/>
    <s v="Retail"/>
    <n v="65"/>
    <m/>
    <m/>
    <m/>
    <m/>
  </r>
  <r>
    <s v="ORD-01273"/>
    <x v="68"/>
    <s v="CUST-0058"/>
    <s v="PROD-039"/>
    <s v="R029"/>
    <n v="8"/>
    <n v="4610"/>
    <n v="15.4"/>
    <n v="31200.48"/>
    <s v="Cancelled"/>
    <s v="Bengaluru"/>
    <s v="Home"/>
    <m/>
    <s v="SMB"/>
    <n v="49"/>
    <m/>
    <m/>
    <m/>
    <m/>
  </r>
  <r>
    <s v="ORD-01274"/>
    <x v="283"/>
    <s v="CUST-0058"/>
    <s v="PROD-048"/>
    <s v="R006"/>
    <n v="9"/>
    <n v="5100"/>
    <n v="25.2"/>
    <n v="34333.199999999997"/>
    <s v="Cancelled"/>
    <s v="Bengaluru"/>
    <s v="Beauty"/>
    <m/>
    <s v="SMB"/>
    <n v="49"/>
    <m/>
    <m/>
    <m/>
    <m/>
  </r>
  <r>
    <s v="ORD-01275"/>
    <x v="312"/>
    <s v="CUST-0028"/>
    <s v="PROD-045"/>
    <s v="R019"/>
    <n v="5"/>
    <n v="3020"/>
    <n v="23"/>
    <n v="11627"/>
    <s v="Completed"/>
    <s v="Bengaluru"/>
    <s v="Beauty"/>
    <m/>
    <s v="Retail"/>
    <n v="59"/>
    <m/>
    <m/>
    <m/>
    <m/>
  </r>
  <r>
    <s v="ORD-01276"/>
    <x v="3"/>
    <s v="CUST-0262"/>
    <s v="PROD-059"/>
    <s v="R015"/>
    <n v="8"/>
    <n v="3780"/>
    <n v="17.100000000000001"/>
    <n v="25068.959999999999"/>
    <s v="Completed"/>
    <s v="Mumbai"/>
    <s v="Sports"/>
    <m/>
    <s v="Retail"/>
    <n v="52"/>
    <m/>
    <m/>
    <m/>
    <m/>
  </r>
  <r>
    <s v="ORD-01277"/>
    <x v="352"/>
    <s v="CUST-0241"/>
    <s v="PROD-029"/>
    <s v="R001"/>
    <n v="10"/>
    <n v="2210"/>
    <n v="8.5"/>
    <n v="20221.5"/>
    <s v="Completed"/>
    <s v="Pune"/>
    <s v="Grocery"/>
    <m/>
    <s v="Corporate"/>
    <n v="47"/>
    <m/>
    <m/>
    <m/>
    <m/>
  </r>
  <r>
    <s v="ORD-01278"/>
    <x v="117"/>
    <s v="CUST-0109"/>
    <s v="PROD-029"/>
    <s v="R015"/>
    <n v="4"/>
    <n v="2210"/>
    <n v="3.1"/>
    <n v="8565.9599999999991"/>
    <s v="Completed"/>
    <s v="Pune"/>
    <s v="Grocery"/>
    <m/>
    <s v="Retail"/>
    <n v="42"/>
    <m/>
    <m/>
    <m/>
    <m/>
  </r>
  <r>
    <s v="ORD-01279"/>
    <x v="326"/>
    <s v="CUST-0228"/>
    <s v="PROD-044"/>
    <s v="R015"/>
    <n v="1"/>
    <n v="1650"/>
    <n v="10"/>
    <n v="1485"/>
    <s v="Completed"/>
    <s v="Pune"/>
    <s v="Beauty"/>
    <m/>
    <s v="Corporate"/>
    <n v="37"/>
    <s v="South"/>
    <s v="Nov-24"/>
    <n v="1222"/>
    <n v="0.2593939393939394"/>
  </r>
  <r>
    <s v="ORD-01280"/>
    <x v="100"/>
    <s v="CUST-0239"/>
    <s v="PROD-060"/>
    <s v="R005"/>
    <n v="6"/>
    <n v="190"/>
    <n v="3.5"/>
    <n v="1100.0999999999999"/>
    <s v="Cancelled"/>
    <s v="Mumbai"/>
    <s v="Sports"/>
    <m/>
    <s v="Retail"/>
    <n v="61"/>
    <m/>
    <m/>
    <m/>
    <m/>
  </r>
  <r>
    <s v="ORD-01281"/>
    <x v="55"/>
    <s v="CUST-0092"/>
    <s v="PROD-055"/>
    <s v="R027"/>
    <n v="8"/>
    <n v="2860"/>
    <n v="14.7"/>
    <n v="19516.64"/>
    <s v="Completed"/>
    <s v="Bengaluru"/>
    <s v="Sports"/>
    <m/>
    <s v="SMB"/>
    <n v="28"/>
    <s v="North"/>
    <s v="Nov-24"/>
    <n v="2028"/>
    <n v="0.29090909090909089"/>
  </r>
  <r>
    <s v="ORD-01282"/>
    <x v="120"/>
    <s v="CUST-0283"/>
    <s v="PROD-005"/>
    <s v="R030"/>
    <n v="9"/>
    <n v="300"/>
    <n v="19.5"/>
    <n v="2173.5"/>
    <s v="Completed"/>
    <s v="Delhi"/>
    <s v="Electronics"/>
    <m/>
    <s v="SMB"/>
    <n v="50"/>
    <m/>
    <m/>
    <m/>
    <m/>
  </r>
  <r>
    <s v="ORD-01283"/>
    <x v="170"/>
    <s v="CUST-0206"/>
    <s v="PROD-049"/>
    <s v="R007"/>
    <n v="10"/>
    <n v="960"/>
    <n v="9.6999999999999993"/>
    <n v="8668.7999999999993"/>
    <s v="Completed"/>
    <s v="Mumbai"/>
    <s v="Beauty"/>
    <m/>
    <s v="Retail"/>
    <n v="40"/>
    <s v="West"/>
    <s v="Jun-24"/>
    <n v="675"/>
    <n v="0.296875"/>
  </r>
  <r>
    <s v="ORD-01284"/>
    <x v="292"/>
    <s v="CUST-0174"/>
    <s v="PROD-020"/>
    <s v="R013"/>
    <n v="5"/>
    <n v="820"/>
    <n v="0.5"/>
    <n v="4079.5"/>
    <s v="Completed"/>
    <s v="Pune"/>
    <s v="Apparel"/>
    <m/>
    <s v="Retail"/>
    <n v="54"/>
    <m/>
    <m/>
    <m/>
    <m/>
  </r>
  <r>
    <s v="ORD-01285"/>
    <x v="266"/>
    <s v="CUST-0040"/>
    <s v="PROD-032"/>
    <s v="R004"/>
    <n v="2"/>
    <n v="370"/>
    <n v="10.5"/>
    <n v="662.3"/>
    <s v="Pending"/>
    <s v="Chennai"/>
    <s v="Home"/>
    <m/>
    <s v="Retail"/>
    <n v="28"/>
    <s v="South"/>
    <s v="May-24"/>
    <n v="288"/>
    <n v="0.22162162162162163"/>
  </r>
  <r>
    <s v="ORD-01286"/>
    <x v="99"/>
    <s v="CUST-0153"/>
    <s v="PROD-038"/>
    <s v="R023"/>
    <n v="9"/>
    <n v="5490"/>
    <n v="14.2"/>
    <n v="42393.78"/>
    <s v="Cancelled"/>
    <s v="Mumbai"/>
    <s v="Home"/>
    <m/>
    <s v="Retail"/>
    <n v="35"/>
    <s v="North"/>
    <s v="Apr-24"/>
    <n v="2549"/>
    <n v="0.53570127504553733"/>
  </r>
  <r>
    <s v="ORD-01287"/>
    <x v="62"/>
    <s v="CUST-0236"/>
    <s v="PROD-032"/>
    <s v="R018"/>
    <n v="3"/>
    <n v="370"/>
    <n v="18.399999999999999"/>
    <n v="905.76"/>
    <s v="Completed"/>
    <s v="Hyderabad"/>
    <s v="Home"/>
    <m/>
    <s v="SMB"/>
    <n v="28"/>
    <s v="East"/>
    <s v="Jun-24"/>
    <n v="288"/>
    <n v="0.22162162162162163"/>
  </r>
  <r>
    <s v="ORD-01288"/>
    <x v="241"/>
    <s v="CUST-0295"/>
    <s v="PROD-060"/>
    <s v="R018"/>
    <n v="6"/>
    <n v="190"/>
    <n v="12.9"/>
    <n v="992.94"/>
    <s v="Completed"/>
    <s v="Delhi"/>
    <s v="Sports"/>
    <m/>
    <s v="SMB"/>
    <n v="48"/>
    <m/>
    <m/>
    <m/>
    <m/>
  </r>
  <r>
    <s v="ORD-01289"/>
    <x v="245"/>
    <s v="CUST-0145"/>
    <s v="PROD-029"/>
    <s v="R023"/>
    <n v="8"/>
    <n v="2210"/>
    <n v="9.8000000000000007"/>
    <n v="15947.36"/>
    <s v="Completed"/>
    <s v="Bengaluru"/>
    <s v="Grocery"/>
    <m/>
    <s v="SMB"/>
    <n v="44"/>
    <m/>
    <m/>
    <m/>
    <m/>
  </r>
  <r>
    <s v="ORD-01290"/>
    <x v="99"/>
    <s v="CUST-0192"/>
    <s v="PROD-044"/>
    <s v="R009"/>
    <n v="7"/>
    <n v="1650"/>
    <n v="8.4"/>
    <n v="10579.8"/>
    <s v="Completed"/>
    <s v="Bengaluru"/>
    <s v="Beauty"/>
    <m/>
    <s v="Retail"/>
    <n v="55"/>
    <m/>
    <m/>
    <m/>
    <m/>
  </r>
  <r>
    <s v="ORD-01291"/>
    <x v="353"/>
    <s v="CUST-0148"/>
    <s v="PROD-037"/>
    <s v="R013"/>
    <n v="8"/>
    <n v="660"/>
    <n v="7.5"/>
    <n v="4884"/>
    <s v="Completed"/>
    <s v="Chennai"/>
    <s v="Home"/>
    <m/>
    <s v="Retail"/>
    <n v="32"/>
    <s v="South"/>
    <s v="Jun-24"/>
    <n v="329"/>
    <n v="0.50151515151515147"/>
  </r>
  <r>
    <s v="ORD-01292"/>
    <x v="128"/>
    <s v="CUST-0227"/>
    <s v="PROD-039"/>
    <s v="R004"/>
    <n v="3"/>
    <n v="4610"/>
    <n v="29.6"/>
    <n v="9736.32"/>
    <s v="Completed"/>
    <s v="Bengaluru"/>
    <s v="Home"/>
    <m/>
    <s v="SMB"/>
    <n v="44"/>
    <m/>
    <m/>
    <m/>
    <m/>
  </r>
  <r>
    <s v="ORD-01293"/>
    <x v="354"/>
    <s v="CUST-0170"/>
    <s v="PROD-029"/>
    <s v="R025"/>
    <n v="6"/>
    <n v="2210"/>
    <n v="9.5"/>
    <n v="12000.3"/>
    <s v="Completed"/>
    <s v="Mumbai"/>
    <s v="Grocery"/>
    <m/>
    <s v="SMB"/>
    <n v="22"/>
    <s v="North"/>
    <s v="Dec-24"/>
    <n v="1010"/>
    <n v="0.54298642533936647"/>
  </r>
  <r>
    <s v="ORD-01294"/>
    <x v="80"/>
    <s v="CUST-0102"/>
    <s v="PROD-042"/>
    <s v="R017"/>
    <n v="4"/>
    <n v="2290"/>
    <n v="3.3"/>
    <n v="8857.7199999999993"/>
    <s v="Completed"/>
    <s v="Chennai"/>
    <s v="Beauty"/>
    <m/>
    <s v="SMB"/>
    <n v="62"/>
    <m/>
    <m/>
    <m/>
    <m/>
  </r>
  <r>
    <s v="ORD-01295"/>
    <x v="264"/>
    <s v="CUST-0071"/>
    <s v="PROD-040"/>
    <s v="R026"/>
    <n v="5"/>
    <n v="1080"/>
    <n v="26.1"/>
    <n v="3990.6"/>
    <s v="Completed"/>
    <s v="Delhi"/>
    <s v="Home"/>
    <m/>
    <s v="Corporate"/>
    <n v="46"/>
    <m/>
    <m/>
    <m/>
    <m/>
  </r>
  <r>
    <s v="ORD-01296"/>
    <x v="42"/>
    <s v="CUST-0080"/>
    <s v="PROD-057"/>
    <s v="R010"/>
    <n v="7"/>
    <n v="960"/>
    <n v="17.7"/>
    <n v="5530.56"/>
    <s v="Completed"/>
    <s v="Pune"/>
    <s v="Sports"/>
    <m/>
    <s v="SMB"/>
    <n v="30"/>
    <s v="West"/>
    <s v="Mar-24"/>
    <n v="705"/>
    <n v="0.265625"/>
  </r>
  <r>
    <s v="ORD-01297"/>
    <x v="338"/>
    <s v="CUST-0272"/>
    <s v="PROD-058"/>
    <s v="R008"/>
    <n v="1"/>
    <n v="2400"/>
    <n v="29.9"/>
    <n v="1682.4"/>
    <s v="Completed"/>
    <s v="Mumbai"/>
    <s v="Sports"/>
    <m/>
    <s v="SMB"/>
    <n v="47"/>
    <m/>
    <m/>
    <m/>
    <m/>
  </r>
  <r>
    <s v="ORD-01298"/>
    <x v="184"/>
    <s v="CUST-0076"/>
    <s v="PROD-042"/>
    <s v="R010"/>
    <n v="9"/>
    <n v="2290"/>
    <n v="28.8"/>
    <n v="14674.32"/>
    <s v="Completed"/>
    <s v="Mumbai"/>
    <s v="Beauty"/>
    <m/>
    <s v="Retail"/>
    <n v="38"/>
    <s v="North"/>
    <s v="Jun-24"/>
    <n v="1219"/>
    <n v="0.46768558951965067"/>
  </r>
  <r>
    <s v="ORD-01299"/>
    <x v="137"/>
    <s v="CUST-0222"/>
    <s v="PROD-040"/>
    <s v="R018"/>
    <n v="9"/>
    <n v="1080"/>
    <n v="10.3"/>
    <n v="8718.84"/>
    <s v="Completed"/>
    <s v="Chennai"/>
    <s v="Home"/>
    <m/>
    <s v="Retail"/>
    <n v="37"/>
    <s v="South"/>
    <s v="Dec-24"/>
    <n v="519"/>
    <n v="0.51944444444444449"/>
  </r>
  <r>
    <s v="ORD-01300"/>
    <x v="121"/>
    <s v="CUST-0091"/>
    <s v="PROD-035"/>
    <s v="R004"/>
    <n v="1"/>
    <n v="1090"/>
    <n v="5.8"/>
    <n v="1026.78"/>
    <s v="Cancelled"/>
    <s v="Delhi"/>
    <s v="Home"/>
    <m/>
    <s v="Retail"/>
    <n v="55"/>
    <m/>
    <m/>
    <m/>
    <m/>
  </r>
  <r>
    <s v="ORD-01301"/>
    <x v="9"/>
    <s v="CUST-0126"/>
    <s v="PROD-029"/>
    <s v="R018"/>
    <n v="3"/>
    <n v="2210"/>
    <n v="18.2"/>
    <n v="5423.34"/>
    <s v="Pending"/>
    <s v="Mumbai"/>
    <s v="Grocery"/>
    <m/>
    <s v="Retail"/>
    <n v="37"/>
    <s v="North"/>
    <s v="Jun-24"/>
    <n v="1010"/>
    <n v="0.54298642533936647"/>
  </r>
  <r>
    <s v="ORD-01302"/>
    <x v="276"/>
    <s v="CUST-0241"/>
    <s v="PROD-014"/>
    <s v="R015"/>
    <n v="8"/>
    <n v="3620"/>
    <n v="1.4"/>
    <n v="28554.560000000001"/>
    <s v="Completed"/>
    <s v="Pune"/>
    <s v="Apparel"/>
    <m/>
    <s v="Corporate"/>
    <n v="47"/>
    <m/>
    <m/>
    <m/>
    <m/>
  </r>
  <r>
    <s v="ORD-01303"/>
    <x v="107"/>
    <s v="CUST-0118"/>
    <s v="PROD-033"/>
    <s v="R011"/>
    <n v="7"/>
    <n v="2030"/>
    <n v="27.7"/>
    <n v="10273.83"/>
    <s v="Completed"/>
    <s v="Hyderabad"/>
    <s v="Home"/>
    <m/>
    <s v="Retail"/>
    <n v="26"/>
    <s v="South"/>
    <s v="Oct-24"/>
    <n v="1143"/>
    <n v="0.43694581280788175"/>
  </r>
  <r>
    <s v="ORD-01304"/>
    <x v="309"/>
    <s v="CUST-0090"/>
    <s v="PROD-004"/>
    <s v="R023"/>
    <n v="1"/>
    <n v="3870"/>
    <n v="29.6"/>
    <n v="2724.48"/>
    <s v="Completed"/>
    <s v="Bengaluru"/>
    <s v="Electronics"/>
    <m/>
    <s v="Corporate"/>
    <n v="26"/>
    <s v="South"/>
    <s v="Mar-24"/>
    <n v="1559"/>
    <n v="0.59715762273901807"/>
  </r>
  <r>
    <s v="ORD-01305"/>
    <x v="258"/>
    <s v="CUST-0037"/>
    <s v="PROD-003"/>
    <s v="R014"/>
    <n v="5"/>
    <n v="3570"/>
    <n v="11.8"/>
    <n v="15743.7"/>
    <s v="Refunded"/>
    <s v="Bengaluru"/>
    <s v="Electronics"/>
    <m/>
    <s v="Retail"/>
    <n v="52"/>
    <m/>
    <m/>
    <m/>
    <m/>
  </r>
  <r>
    <s v="ORD-01306"/>
    <x v="181"/>
    <s v="CUST-0083"/>
    <s v="PROD-001"/>
    <s v="R019"/>
    <n v="7"/>
    <n v="5330"/>
    <n v="8.1999999999999993"/>
    <n v="34250.58"/>
    <s v="Completed"/>
    <s v="Bengaluru"/>
    <s v="Electronics"/>
    <m/>
    <s v="Corporate"/>
    <n v="31"/>
    <s v="South"/>
    <s v="Feb-24"/>
    <n v="2405"/>
    <n v="0.54878048780487809"/>
  </r>
  <r>
    <s v="ORD-01307"/>
    <x v="148"/>
    <s v="CUST-0154"/>
    <s v="PROD-009"/>
    <s v="R009"/>
    <n v="5"/>
    <n v="1220"/>
    <n v="17.8"/>
    <n v="5014.2"/>
    <s v="Refunded"/>
    <s v="Pune"/>
    <s v="Electronics"/>
    <m/>
    <s v="Retail"/>
    <n v="36"/>
    <s v="East"/>
    <s v="Dec-24"/>
    <n v="517"/>
    <n v="0.57622950819672136"/>
  </r>
  <r>
    <s v="ORD-01308"/>
    <x v="78"/>
    <s v="CUST-0265"/>
    <s v="PROD-011"/>
    <s v="R019"/>
    <n v="7"/>
    <n v="3450"/>
    <n v="29.3"/>
    <n v="17074.05"/>
    <s v="Completed"/>
    <s v="Chennai"/>
    <s v="Apparel"/>
    <m/>
    <s v="Retail"/>
    <n v="49"/>
    <m/>
    <m/>
    <m/>
    <m/>
  </r>
  <r>
    <s v="ORD-01309"/>
    <x v="152"/>
    <s v="CUST-0115"/>
    <s v="PROD-018"/>
    <s v="R013"/>
    <n v="6"/>
    <n v="3560"/>
    <n v="9.4"/>
    <n v="19352.16"/>
    <s v="Pending"/>
    <s v="Mumbai"/>
    <s v="Apparel"/>
    <m/>
    <s v="SMB"/>
    <n v="65"/>
    <m/>
    <m/>
    <m/>
    <m/>
  </r>
  <r>
    <s v="ORD-01310"/>
    <x v="217"/>
    <s v="CUST-0274"/>
    <s v="PROD-032"/>
    <s v="R005"/>
    <n v="4"/>
    <n v="370"/>
    <n v="4.9000000000000004"/>
    <n v="1407.48"/>
    <s v="Completed"/>
    <s v="Bengaluru"/>
    <s v="Home"/>
    <m/>
    <s v="Corporate"/>
    <n v="36"/>
    <s v="South"/>
    <s v="Sep-24"/>
    <n v="288"/>
    <n v="0.22162162162162163"/>
  </r>
  <r>
    <s v="ORD-01311"/>
    <x v="262"/>
    <s v="CUST-0269"/>
    <s v="PROD-009"/>
    <s v="R003"/>
    <n v="1"/>
    <n v="1220"/>
    <n v="15.2"/>
    <n v="1034.56"/>
    <s v="Completed"/>
    <s v="Pune"/>
    <s v="Electronics"/>
    <m/>
    <s v="Retail"/>
    <n v="48"/>
    <m/>
    <m/>
    <m/>
    <m/>
  </r>
  <r>
    <s v="ORD-01312"/>
    <x v="12"/>
    <s v="CUST-0045"/>
    <s v="PROD-013"/>
    <s v="R006"/>
    <n v="3"/>
    <n v="3640"/>
    <n v="12.3"/>
    <n v="9576.84"/>
    <s v="Pending"/>
    <s v="Chennai"/>
    <s v="Apparel"/>
    <m/>
    <s v="SMB"/>
    <n v="39"/>
    <s v="North"/>
    <s v="Dec-24"/>
    <n v="2611"/>
    <n v="0.28269230769230769"/>
  </r>
  <r>
    <s v="ORD-01313"/>
    <x v="115"/>
    <s v="CUST-0054"/>
    <s v="PROD-045"/>
    <s v="R010"/>
    <n v="8"/>
    <n v="3020"/>
    <n v="28.2"/>
    <n v="17346.88"/>
    <s v="Pending"/>
    <s v="Mumbai"/>
    <s v="Beauty"/>
    <m/>
    <s v="Corporate"/>
    <n v="62"/>
    <m/>
    <m/>
    <m/>
    <m/>
  </r>
  <r>
    <s v="ORD-01314"/>
    <x v="277"/>
    <s v="CUST-0160"/>
    <s v="PROD-048"/>
    <s v="R008"/>
    <n v="3"/>
    <n v="5100"/>
    <n v="7.8"/>
    <n v="14106.6"/>
    <s v="Completed"/>
    <s v="Hyderabad"/>
    <s v="Beauty"/>
    <m/>
    <s v="Retail"/>
    <n v="27"/>
    <s v="South"/>
    <s v="Sep-24"/>
    <n v="2237"/>
    <n v="0.56137254901960787"/>
  </r>
  <r>
    <s v="ORD-01315"/>
    <x v="192"/>
    <s v="CUST-0163"/>
    <s v="PROD-005"/>
    <s v="R001"/>
    <n v="9"/>
    <n v="300"/>
    <n v="19"/>
    <n v="2187"/>
    <s v="Completed"/>
    <s v="Pune"/>
    <s v="Electronics"/>
    <m/>
    <s v="Retail"/>
    <n v="49"/>
    <m/>
    <m/>
    <m/>
    <m/>
  </r>
  <r>
    <s v="ORD-01316"/>
    <x v="287"/>
    <s v="CUST-0006"/>
    <s v="PROD-042"/>
    <s v="R007"/>
    <n v="10"/>
    <n v="2290"/>
    <n v="27.7"/>
    <n v="16556.7"/>
    <s v="Completed"/>
    <s v="Pune"/>
    <s v="Beauty"/>
    <m/>
    <s v="SMB"/>
    <n v="44"/>
    <m/>
    <m/>
    <m/>
    <m/>
  </r>
  <r>
    <s v="ORD-01317"/>
    <x v="253"/>
    <s v="CUST-0142"/>
    <s v="PROD-013"/>
    <s v="R024"/>
    <n v="9"/>
    <n v="3640"/>
    <n v="20.100000000000001"/>
    <n v="26175.24"/>
    <s v="Completed"/>
    <s v="Chennai"/>
    <s v="Apparel"/>
    <m/>
    <s v="Corporate"/>
    <n v="55"/>
    <m/>
    <m/>
    <m/>
    <m/>
  </r>
  <r>
    <s v="ORD-01318"/>
    <x v="45"/>
    <s v="CUST-0262"/>
    <s v="PROD-020"/>
    <s v="R022"/>
    <n v="4"/>
    <n v="820"/>
    <n v="7.6"/>
    <n v="3030.72"/>
    <s v="Completed"/>
    <s v="Mumbai"/>
    <s v="Apparel"/>
    <m/>
    <s v="Retail"/>
    <n v="52"/>
    <m/>
    <m/>
    <m/>
    <m/>
  </r>
  <r>
    <s v="ORD-01319"/>
    <x v="68"/>
    <s v="CUST-0049"/>
    <s v="PROD-030"/>
    <s v="R014"/>
    <n v="1"/>
    <n v="970"/>
    <n v="1.7"/>
    <n v="953.51"/>
    <s v="Completed"/>
    <s v="Mumbai"/>
    <s v="Grocery"/>
    <m/>
    <s v="Corporate"/>
    <n v="42"/>
    <m/>
    <m/>
    <m/>
    <m/>
  </r>
  <r>
    <s v="ORD-01320"/>
    <x v="125"/>
    <s v="CUST-0204"/>
    <s v="PROD-018"/>
    <s v="R019"/>
    <n v="5"/>
    <n v="3560"/>
    <n v="10.5"/>
    <n v="15931"/>
    <s v="Completed"/>
    <s v="Hyderabad"/>
    <s v="Apparel"/>
    <m/>
    <s v="Retail"/>
    <n v="60"/>
    <m/>
    <m/>
    <m/>
    <m/>
  </r>
  <r>
    <s v="ORD-01321"/>
    <x v="231"/>
    <s v="CUST-0164"/>
    <s v="PROD-035"/>
    <s v="R009"/>
    <n v="6"/>
    <n v="1090"/>
    <n v="2.4"/>
    <n v="6383.04"/>
    <s v="Pending"/>
    <s v="Chennai"/>
    <s v="Home"/>
    <m/>
    <s v="Retail"/>
    <n v="60"/>
    <m/>
    <m/>
    <m/>
    <m/>
  </r>
  <r>
    <s v="ORD-01322"/>
    <x v="141"/>
    <s v="CUST-0003"/>
    <s v="PROD-008"/>
    <s v="R017"/>
    <n v="6"/>
    <n v="2660"/>
    <n v="6.4"/>
    <n v="14938.56"/>
    <s v="Completed"/>
    <s v="Mumbai"/>
    <s v="Electronics"/>
    <m/>
    <s v="Retail"/>
    <n v="33"/>
    <s v="South"/>
    <s v="Jan-24"/>
    <n v="1259"/>
    <n v="0.52669172932330832"/>
  </r>
  <r>
    <s v="ORD-01323"/>
    <x v="39"/>
    <s v="CUST-0032"/>
    <s v="PROD-006"/>
    <s v="R001"/>
    <n v="5"/>
    <n v="3970"/>
    <n v="18.8"/>
    <n v="16118.2"/>
    <s v="Pending"/>
    <s v="Hyderabad"/>
    <s v="Electronics"/>
    <m/>
    <s v="Retail"/>
    <n v="28"/>
    <s v="East"/>
    <s v="Jan-24"/>
    <n v="2865"/>
    <n v="0.27833753148614609"/>
  </r>
  <r>
    <s v="ORD-01324"/>
    <x v="264"/>
    <s v="CUST-0208"/>
    <s v="PROD-056"/>
    <s v="R021"/>
    <n v="7"/>
    <n v="6940"/>
    <n v="23.8"/>
    <n v="37017.96"/>
    <s v="Refunded"/>
    <s v="Mumbai"/>
    <s v="Sports"/>
    <m/>
    <s v="Retail"/>
    <n v="49"/>
    <m/>
    <m/>
    <m/>
    <m/>
  </r>
  <r>
    <s v="ORD-01325"/>
    <x v="227"/>
    <s v="CUST-0183"/>
    <s v="PROD-058"/>
    <s v="R004"/>
    <n v="3"/>
    <n v="2400"/>
    <n v="9.8000000000000007"/>
    <n v="6494.4"/>
    <s v="Completed"/>
    <s v="Mumbai"/>
    <s v="Sports"/>
    <m/>
    <s v="SMB"/>
    <n v="27"/>
    <s v="East"/>
    <s v="Mar-24"/>
    <n v="974"/>
    <n v="0.59416666666666662"/>
  </r>
  <r>
    <s v="ORD-01326"/>
    <x v="183"/>
    <s v="CUST-0021"/>
    <s v="PROD-051"/>
    <s v="R023"/>
    <n v="8"/>
    <n v="3450"/>
    <n v="26.6"/>
    <n v="20258.400000000001"/>
    <s v="Cancelled"/>
    <s v="Pune"/>
    <s v="Sports"/>
    <m/>
    <s v="Retail"/>
    <n v="44"/>
    <m/>
    <m/>
    <m/>
    <m/>
  </r>
  <r>
    <s v="ORD-01327"/>
    <x v="44"/>
    <s v="CUST-0080"/>
    <s v="PROD-009"/>
    <s v="R004"/>
    <n v="4"/>
    <n v="1220"/>
    <n v="5.5"/>
    <n v="4611.6000000000004"/>
    <s v="Completed"/>
    <s v="Pune"/>
    <s v="Electronics"/>
    <m/>
    <s v="SMB"/>
    <n v="30"/>
    <s v="East"/>
    <s v="Apr-24"/>
    <n v="517"/>
    <n v="0.57622950819672136"/>
  </r>
  <r>
    <s v="ORD-01328"/>
    <x v="355"/>
    <s v="CUST-0286"/>
    <s v="PROD-016"/>
    <s v="R007"/>
    <n v="1"/>
    <n v="620"/>
    <n v="22.3"/>
    <n v="481.74"/>
    <s v="Pending"/>
    <s v="Delhi"/>
    <s v="Apparel"/>
    <m/>
    <s v="Retail"/>
    <n v="62"/>
    <m/>
    <m/>
    <m/>
    <m/>
  </r>
  <r>
    <s v="ORD-01329"/>
    <x v="333"/>
    <s v="CUST-0152"/>
    <s v="PROD-005"/>
    <s v="R023"/>
    <n v="1"/>
    <n v="300"/>
    <n v="12.5"/>
    <n v="262.5"/>
    <s v="Completed"/>
    <s v="Bengaluru"/>
    <s v="Electronics"/>
    <m/>
    <s v="SMB"/>
    <n v="64"/>
    <m/>
    <m/>
    <m/>
    <m/>
  </r>
  <r>
    <s v="ORD-01330"/>
    <x v="349"/>
    <s v="CUST-0254"/>
    <s v="PROD-054"/>
    <s v="R020"/>
    <n v="3"/>
    <n v="1010"/>
    <n v="14.1"/>
    <n v="2602.77"/>
    <s v="Completed"/>
    <s v="Bengaluru"/>
    <s v="Sports"/>
    <m/>
    <s v="Retail"/>
    <n v="35"/>
    <s v="East"/>
    <s v="Feb-24"/>
    <n v="516"/>
    <n v="0.4891089108910891"/>
  </r>
  <r>
    <s v="ORD-01331"/>
    <x v="77"/>
    <s v="CUST-0290"/>
    <s v="PROD-034"/>
    <s v="R027"/>
    <n v="2"/>
    <n v="5080"/>
    <n v="16.8"/>
    <n v="8453.1200000000008"/>
    <s v="Completed"/>
    <s v="Delhi"/>
    <s v="Home"/>
    <m/>
    <s v="Retail"/>
    <n v="63"/>
    <m/>
    <m/>
    <m/>
    <m/>
  </r>
  <r>
    <s v="ORD-01332"/>
    <x v="104"/>
    <s v="CUST-0101"/>
    <s v="PROD-012"/>
    <s v="R027"/>
    <n v="2"/>
    <n v="3160"/>
    <n v="21.4"/>
    <n v="4967.5200000000004"/>
    <s v="Completed"/>
    <s v="Hyderabad"/>
    <s v="Apparel"/>
    <m/>
    <s v="SMB"/>
    <n v="40"/>
    <s v="West"/>
    <s v="Nov-24"/>
    <n v="1886"/>
    <n v="0.4031645569620253"/>
  </r>
  <r>
    <s v="ORD-01333"/>
    <x v="275"/>
    <s v="CUST-0058"/>
    <s v="PROD-047"/>
    <s v="R016"/>
    <n v="7"/>
    <n v="3450"/>
    <n v="21.3"/>
    <n v="19006.05"/>
    <s v="Completed"/>
    <s v="Bengaluru"/>
    <s v="Beauty"/>
    <m/>
    <s v="SMB"/>
    <n v="49"/>
    <m/>
    <m/>
    <m/>
    <m/>
  </r>
  <r>
    <s v="ORD-01334"/>
    <x v="94"/>
    <s v="CUST-0296"/>
    <s v="PROD-001"/>
    <s v="R006"/>
    <n v="2"/>
    <n v="5330"/>
    <n v="4.3"/>
    <n v="10201.620000000001"/>
    <s v="Completed"/>
    <s v="Delhi"/>
    <s v="Electronics"/>
    <m/>
    <s v="Corporate"/>
    <n v="47"/>
    <m/>
    <m/>
    <m/>
    <m/>
  </r>
  <r>
    <s v="ORD-01335"/>
    <x v="17"/>
    <s v="CUST-0249"/>
    <s v="PROD-056"/>
    <s v="R014"/>
    <n v="5"/>
    <n v="6940"/>
    <n v="2.9"/>
    <n v="33693.699999999997"/>
    <s v="Completed"/>
    <s v="Mumbai"/>
    <s v="Sports"/>
    <m/>
    <s v="Retail"/>
    <n v="44"/>
    <m/>
    <m/>
    <m/>
    <m/>
  </r>
  <r>
    <s v="ORD-01336"/>
    <x v="166"/>
    <s v="CUST-0055"/>
    <s v="PROD-037"/>
    <s v="R028"/>
    <n v="5"/>
    <n v="660"/>
    <n v="15.8"/>
    <n v="2778.6"/>
    <s v="Completed"/>
    <s v="Bengaluru"/>
    <s v="Home"/>
    <m/>
    <s v="Retail"/>
    <n v="34"/>
    <s v="South"/>
    <s v="Nov-24"/>
    <n v="329"/>
    <n v="0.50151515151515147"/>
  </r>
  <r>
    <s v="ORD-01337"/>
    <x v="281"/>
    <s v="CUST-0005"/>
    <s v="PROD-048"/>
    <s v="R013"/>
    <n v="9"/>
    <n v="5100"/>
    <n v="0.4"/>
    <n v="45716.4"/>
    <s v="Completed"/>
    <s v="Chennai"/>
    <s v="Beauty"/>
    <m/>
    <s v="Corporate"/>
    <n v="52"/>
    <m/>
    <m/>
    <m/>
    <m/>
  </r>
  <r>
    <s v="ORD-01338"/>
    <x v="162"/>
    <s v="CUST-9595"/>
    <s v="PROD-044"/>
    <s v="R014"/>
    <n v="5"/>
    <n v="1650"/>
    <n v="0.8"/>
    <n v="8184"/>
    <s v="Pending"/>
    <s v="Chennai"/>
    <s v="Beauty"/>
    <m/>
    <e v="#N/A"/>
    <e v="#N/A"/>
    <m/>
    <m/>
    <m/>
    <m/>
  </r>
  <r>
    <s v="ORD-01339"/>
    <x v="286"/>
    <s v="CUST-0138"/>
    <s v="PROD-013"/>
    <s v="R018"/>
    <n v="7"/>
    <n v="3640"/>
    <n v="25.5"/>
    <n v="18982.599999999999"/>
    <s v="Completed"/>
    <s v="Chennai"/>
    <s v="Apparel"/>
    <m/>
    <s v="Retail"/>
    <n v="24"/>
    <s v="South"/>
    <s v="Jan-24"/>
    <n v="2611"/>
    <n v="0.28269230769230769"/>
  </r>
  <r>
    <s v="ORD-01340"/>
    <x v="175"/>
    <s v="CUST-0112"/>
    <s v="PROD-046"/>
    <s v="R029"/>
    <n v="6"/>
    <n v="4880"/>
    <n v="12.6"/>
    <n v="25590.720000000001"/>
    <s v="Cancelled"/>
    <s v="Hyderabad"/>
    <s v="Beauty"/>
    <m/>
    <s v="Retail"/>
    <n v="64"/>
    <m/>
    <m/>
    <m/>
    <m/>
  </r>
  <r>
    <s v="ORD-01341"/>
    <x v="124"/>
    <s v="CUST-0254"/>
    <s v="PROD-001"/>
    <s v="R028"/>
    <n v="4"/>
    <n v="5330"/>
    <n v="16.2"/>
    <n v="17866.16"/>
    <s v="Completed"/>
    <s v="Bengaluru"/>
    <s v="Electronics"/>
    <m/>
    <s v="Retail"/>
    <n v="35"/>
    <s v="West"/>
    <s v="Dec-24"/>
    <n v="2405"/>
    <n v="0.54878048780487809"/>
  </r>
  <r>
    <s v="ORD-01342"/>
    <x v="169"/>
    <s v="CUST-0087"/>
    <s v="PROD-038"/>
    <s v="R023"/>
    <n v="3"/>
    <n v="5490"/>
    <n v="26.7"/>
    <n v="12072.51"/>
    <s v="Completed"/>
    <s v="Pune"/>
    <s v="Home"/>
    <m/>
    <s v="SMB"/>
    <n v="49"/>
    <m/>
    <m/>
    <m/>
    <m/>
  </r>
  <r>
    <s v="ORD-01343"/>
    <x v="148"/>
    <s v="CUST-0142"/>
    <s v="PROD-060"/>
    <s v="R002"/>
    <n v="7"/>
    <n v="190"/>
    <n v="11.6"/>
    <n v="1175.72"/>
    <s v="Completed"/>
    <s v="Chennai"/>
    <s v="Sports"/>
    <m/>
    <s v="Corporate"/>
    <n v="55"/>
    <m/>
    <m/>
    <m/>
    <m/>
  </r>
  <r>
    <s v="ORD-01344"/>
    <x v="352"/>
    <s v="CUST-0293"/>
    <s v="PROD-012"/>
    <s v="R016"/>
    <n v="5"/>
    <n v="3160"/>
    <n v="24.1"/>
    <n v="11992.2"/>
    <s v="Completed"/>
    <s v="Bengaluru"/>
    <s v="Apparel"/>
    <m/>
    <s v="Retail"/>
    <n v="27"/>
    <s v="North"/>
    <s v="Sep-24"/>
    <n v="1886"/>
    <n v="0.4031645569620253"/>
  </r>
  <r>
    <s v="ORD-01345"/>
    <x v="183"/>
    <s v="CUST-0025"/>
    <s v="PROD-035"/>
    <s v="R023"/>
    <n v="1"/>
    <n v="1090"/>
    <n v="9.6"/>
    <n v="985.36"/>
    <s v="Refunded"/>
    <s v="Bengaluru"/>
    <s v="Home"/>
    <m/>
    <s v="Retail"/>
    <n v="23"/>
    <s v="South"/>
    <s v="May-24"/>
    <n v="464"/>
    <n v="0.57431192660550456"/>
  </r>
  <r>
    <s v="ORD-01346"/>
    <x v="130"/>
    <s v="CUST-0096"/>
    <s v="PROD-032"/>
    <s v="R004"/>
    <n v="9"/>
    <n v="370"/>
    <n v="4"/>
    <n v="3196.8"/>
    <s v="Completed"/>
    <s v="Delhi"/>
    <s v="Home"/>
    <m/>
    <s v="Corporate"/>
    <n v="27"/>
    <s v="East"/>
    <s v="Apr-24"/>
    <n v="288"/>
    <n v="0.22162162162162163"/>
  </r>
  <r>
    <s v="ORD-01347"/>
    <x v="212"/>
    <s v="CUST-0069"/>
    <s v="PROD-008"/>
    <s v="R002"/>
    <n v="5"/>
    <n v="2660"/>
    <n v="24.6"/>
    <n v="10028.200000000001"/>
    <s v="Cancelled"/>
    <s v="Chennai"/>
    <s v="Electronics"/>
    <m/>
    <s v="Retail"/>
    <n v="51"/>
    <m/>
    <m/>
    <m/>
    <m/>
  </r>
  <r>
    <s v="ORD-01348"/>
    <x v="322"/>
    <s v="CUST-0220"/>
    <s v="PROD-018"/>
    <s v="R018"/>
    <n v="4"/>
    <n v="3560"/>
    <n v="25.7"/>
    <n v="10580.32"/>
    <s v="Completed"/>
    <s v="Chennai"/>
    <s v="Apparel"/>
    <m/>
    <s v="Retail"/>
    <n v="34"/>
    <s v="North"/>
    <s v="Jan-24"/>
    <n v="2629"/>
    <n v="0.26151685393258428"/>
  </r>
  <r>
    <s v="ORD-01349"/>
    <x v="306"/>
    <s v="CUST-0005"/>
    <s v="PROD-049"/>
    <s v="R005"/>
    <n v="8"/>
    <n v="960"/>
    <n v="0.1"/>
    <n v="7672.32"/>
    <s v="Completed"/>
    <s v="Chennai"/>
    <s v="Beauty"/>
    <m/>
    <s v="Corporate"/>
    <n v="52"/>
    <m/>
    <m/>
    <m/>
    <m/>
  </r>
  <r>
    <s v="ORD-01350"/>
    <x v="128"/>
    <s v="CUST-0222"/>
    <s v="PROD-032"/>
    <s v="R024"/>
    <n v="10"/>
    <n v="370"/>
    <n v="16.399999999999999"/>
    <n v="3093.2"/>
    <s v="Cancelled"/>
    <s v="Chennai"/>
    <s v="Home"/>
    <m/>
    <s v="Retail"/>
    <n v="37"/>
    <s v="North"/>
    <s v="Apr-24"/>
    <n v="288"/>
    <n v="0.22162162162162163"/>
  </r>
  <r>
    <s v="ORD-01351"/>
    <x v="342"/>
    <s v="CUST-0039"/>
    <s v="PROD-015"/>
    <s v="R029"/>
    <n v="4"/>
    <n v="2720"/>
    <n v="3.1"/>
    <n v="10542.72"/>
    <s v="Completed"/>
    <s v="Bengaluru"/>
    <s v="Apparel"/>
    <m/>
    <s v="Retail"/>
    <n v="37"/>
    <s v="West"/>
    <s v="Dec-24"/>
    <n v="1962"/>
    <n v="0.2786764705882353"/>
  </r>
  <r>
    <s v="ORD-01352"/>
    <x v="236"/>
    <s v="CUST-0224"/>
    <s v="PROD-034"/>
    <s v="R005"/>
    <n v="10"/>
    <n v="5080"/>
    <n v="6.8"/>
    <n v="47345.599999999999"/>
    <s v="Completed"/>
    <s v="Chennai"/>
    <s v="Home"/>
    <m/>
    <s v="Corporate"/>
    <n v="24"/>
    <s v="West"/>
    <s v="Apr-24"/>
    <n v="2459"/>
    <n v="0.51594488188976373"/>
  </r>
  <r>
    <s v="ORD-01353"/>
    <x v="229"/>
    <s v="CUST-0288"/>
    <s v="PROD-042"/>
    <s v="R008"/>
    <n v="6"/>
    <n v="2290"/>
    <n v="22.6"/>
    <n v="10634.76"/>
    <s v="Completed"/>
    <s v="Hyderabad"/>
    <s v="Beauty"/>
    <m/>
    <s v="Corporate"/>
    <n v="25"/>
    <s v="North"/>
    <s v="May-24"/>
    <n v="1219"/>
    <n v="0.46768558951965067"/>
  </r>
  <r>
    <s v="ORD-01354"/>
    <x v="349"/>
    <s v="CUST-0002"/>
    <s v="PROD-021"/>
    <s v="R006"/>
    <n v="4"/>
    <n v="2760"/>
    <n v="27.2"/>
    <n v="8037.12"/>
    <s v="Refunded"/>
    <s v="Pune"/>
    <s v="Grocery"/>
    <m/>
    <s v="Corporate"/>
    <n v="42"/>
    <m/>
    <m/>
    <m/>
    <m/>
  </r>
  <r>
    <s v="ORD-01355"/>
    <x v="12"/>
    <s v="CUST-0172"/>
    <s v="PROD-024"/>
    <s v="R027"/>
    <n v="9"/>
    <n v="2270"/>
    <n v="5.2"/>
    <n v="19367.64"/>
    <s v="Completed"/>
    <s v="Pune"/>
    <s v="Grocery"/>
    <m/>
    <s v="Retail"/>
    <n v="65"/>
    <m/>
    <m/>
    <m/>
    <m/>
  </r>
  <r>
    <s v="ORD-01356"/>
    <x v="66"/>
    <s v="CUST-0287"/>
    <s v="PROD-017"/>
    <s v="R008"/>
    <n v="3"/>
    <n v="2510"/>
    <n v="16.399999999999999"/>
    <n v="6295.08"/>
    <s v="Completed"/>
    <s v="Chennai"/>
    <s v="Apparel"/>
    <m/>
    <s v="SMB"/>
    <n v="53"/>
    <m/>
    <m/>
    <m/>
    <m/>
  </r>
  <r>
    <s v="ORD-01357"/>
    <x v="186"/>
    <s v="CUST-0020"/>
    <s v="PROD-023"/>
    <s v="R012"/>
    <n v="1"/>
    <n v="2380"/>
    <n v="23.5"/>
    <n v="1820.7"/>
    <s v="Completed"/>
    <s v="Hyderabad"/>
    <s v="Grocery"/>
    <m/>
    <s v="Retail"/>
    <n v="46"/>
    <m/>
    <m/>
    <m/>
    <m/>
  </r>
  <r>
    <s v="ORD-01358"/>
    <x v="130"/>
    <s v="CUST-0039"/>
    <s v="PROD-059"/>
    <s v="R019"/>
    <n v="2"/>
    <n v="3780"/>
    <n v="29.1"/>
    <n v="5360.04"/>
    <s v="Completed"/>
    <s v="Bengaluru"/>
    <s v="Sports"/>
    <m/>
    <s v="Retail"/>
    <n v="37"/>
    <s v="South"/>
    <s v="Feb-24"/>
    <n v="1860"/>
    <n v="0.50793650793650791"/>
  </r>
  <r>
    <s v="ORD-01359"/>
    <x v="14"/>
    <s v="CUST-0128"/>
    <s v="PROD-011"/>
    <s v="R026"/>
    <n v="1"/>
    <n v="3450"/>
    <n v="17.8"/>
    <n v="2835.9"/>
    <s v="Completed"/>
    <s v="Hyderabad"/>
    <s v="Apparel"/>
    <m/>
    <s v="Retail"/>
    <n v="35"/>
    <s v="East"/>
    <s v="Jun-24"/>
    <n v="1748"/>
    <n v="0.49333333333333335"/>
  </r>
  <r>
    <s v="ORD-01360"/>
    <x v="310"/>
    <s v="CUST-0149"/>
    <s v="PROD-046"/>
    <s v="R006"/>
    <n v="6"/>
    <n v="4880"/>
    <n v="15.6"/>
    <n v="24712.32"/>
    <s v="Pending"/>
    <s v="Hyderabad"/>
    <s v="Beauty"/>
    <m/>
    <s v="Retail"/>
    <n v="44"/>
    <m/>
    <m/>
    <m/>
    <m/>
  </r>
  <r>
    <s v="ORD-01361"/>
    <x v="273"/>
    <s v="CUST-0101"/>
    <s v="PROD-049"/>
    <s v="R016"/>
    <n v="6"/>
    <n v="960"/>
    <n v="7.5"/>
    <n v="5328"/>
    <s v="Pending"/>
    <s v="Hyderabad"/>
    <s v="Beauty"/>
    <m/>
    <s v="SMB"/>
    <n v="40"/>
    <s v="North"/>
    <s v="Jun-24"/>
    <n v="675"/>
    <n v="0.296875"/>
  </r>
  <r>
    <s v="ORD-01362"/>
    <x v="147"/>
    <s v="CUST-0106"/>
    <s v="PROD-018"/>
    <s v="R023"/>
    <n v="1"/>
    <n v="3560"/>
    <n v="12.9"/>
    <n v="3100.76"/>
    <s v="Completed"/>
    <s v="Pune"/>
    <s v="Apparel"/>
    <m/>
    <s v="Retail"/>
    <n v="22"/>
    <s v="South"/>
    <s v="May-24"/>
    <n v="2629"/>
    <n v="0.26151685393258428"/>
  </r>
  <r>
    <s v="ORD-01363"/>
    <x v="12"/>
    <s v="CUST-0085"/>
    <s v="PROD-025"/>
    <s v="R005"/>
    <n v="5"/>
    <n v="4060"/>
    <n v="18.100000000000001"/>
    <n v="16625.7"/>
    <s v="Pending"/>
    <s v="Chennai"/>
    <s v="Grocery"/>
    <m/>
    <s v="Retail"/>
    <n v="26"/>
    <s v="East"/>
    <s v="Aug-24"/>
    <n v="2911"/>
    <n v="0.28300492610837441"/>
  </r>
  <r>
    <s v="ORD-01364"/>
    <x v="182"/>
    <s v="CUST-0071"/>
    <s v="PROD-015"/>
    <s v="R020"/>
    <n v="10"/>
    <n v="2720"/>
    <n v="23.2"/>
    <n v="20889.599999999999"/>
    <s v="Completed"/>
    <s v="Delhi"/>
    <s v="Apparel"/>
    <m/>
    <s v="Corporate"/>
    <n v="46"/>
    <m/>
    <m/>
    <m/>
    <m/>
  </r>
  <r>
    <s v="ORD-01365"/>
    <x v="74"/>
    <s v="CUST-0185"/>
    <s v="PROD-029"/>
    <s v="R022"/>
    <n v="1"/>
    <n v="2210"/>
    <n v="5.8"/>
    <n v="2081.8200000000002"/>
    <s v="Pending"/>
    <s v="Hyderabad"/>
    <s v="Grocery"/>
    <m/>
    <s v="SMB"/>
    <n v="43"/>
    <m/>
    <m/>
    <m/>
    <m/>
  </r>
  <r>
    <s v="ORD-01366"/>
    <x v="74"/>
    <s v="CUST-0182"/>
    <s v="PROD-047"/>
    <s v="R013"/>
    <n v="5"/>
    <n v="3450"/>
    <n v="27.9"/>
    <n v="12437.25"/>
    <s v="Pending"/>
    <s v="Mumbai"/>
    <s v="Beauty"/>
    <m/>
    <s v="Retail"/>
    <n v="54"/>
    <m/>
    <m/>
    <m/>
    <m/>
  </r>
  <r>
    <s v="ORD-01367"/>
    <x v="269"/>
    <s v="CUST-0177"/>
    <s v="PROD-023"/>
    <s v="R023"/>
    <n v="9"/>
    <n v="2380"/>
    <n v="15.2"/>
    <n v="18164.16"/>
    <s v="Refunded"/>
    <s v="Mumbai"/>
    <s v="Grocery"/>
    <m/>
    <s v="SMB"/>
    <n v="36"/>
    <s v="South"/>
    <s v="Sep-24"/>
    <n v="1182"/>
    <n v="0.50336134453781511"/>
  </r>
  <r>
    <s v="ORD-01368"/>
    <x v="317"/>
    <s v="CUST-0253"/>
    <s v="PROD-023"/>
    <s v="R002"/>
    <n v="2"/>
    <n v="2380"/>
    <n v="24.3"/>
    <n v="3603.32"/>
    <s v="Completed"/>
    <s v="Delhi"/>
    <s v="Grocery"/>
    <m/>
    <s v="SMB"/>
    <n v="53"/>
    <m/>
    <m/>
    <m/>
    <m/>
  </r>
  <r>
    <s v="ORD-01369"/>
    <x v="9"/>
    <s v="CUST-0071"/>
    <s v="PROD-018"/>
    <s v="R012"/>
    <n v="9"/>
    <n v="3560"/>
    <n v="6.6"/>
    <n v="29925.360000000001"/>
    <s v="Refunded"/>
    <s v="Delhi"/>
    <s v="Apparel"/>
    <m/>
    <s v="Corporate"/>
    <n v="46"/>
    <m/>
    <m/>
    <m/>
    <m/>
  </r>
  <r>
    <s v="ORD-01370"/>
    <x v="259"/>
    <s v="CUST-0240"/>
    <s v="PROD-009"/>
    <s v="R018"/>
    <n v="7"/>
    <n v="1220"/>
    <n v="29.4"/>
    <n v="6029.24"/>
    <s v="Completed"/>
    <s v="Chennai"/>
    <s v="Electronics"/>
    <m/>
    <s v="Corporate"/>
    <n v="35"/>
    <s v="South"/>
    <s v="Sep-24"/>
    <n v="517"/>
    <n v="0.57622950819672136"/>
  </r>
  <r>
    <s v="ORD-01371"/>
    <x v="9"/>
    <s v="CUST-0050"/>
    <s v="PROD-056"/>
    <s v="R017"/>
    <n v="7"/>
    <n v="6940"/>
    <n v="9.6"/>
    <n v="43916.32"/>
    <s v="Completed"/>
    <s v="Mumbai"/>
    <s v="Sports"/>
    <m/>
    <s v="Retail"/>
    <n v="37"/>
    <s v="East"/>
    <s v="Feb-24"/>
    <n v="2827"/>
    <n v="0.5926512968299712"/>
  </r>
  <r>
    <s v="ORD-01372"/>
    <x v="183"/>
    <s v="CUST-0089"/>
    <s v="PROD-035"/>
    <s v="R022"/>
    <n v="2"/>
    <n v="1090"/>
    <n v="17"/>
    <n v="1809.4"/>
    <s v="Completed"/>
    <s v="Mumbai"/>
    <s v="Home"/>
    <m/>
    <s v="SMB"/>
    <n v="43"/>
    <m/>
    <m/>
    <m/>
    <m/>
  </r>
  <r>
    <s v="ORD-01373"/>
    <x v="97"/>
    <s v="CUST-0209"/>
    <s v="PROD-023"/>
    <s v="R028"/>
    <n v="4"/>
    <n v="2380"/>
    <n v="18.899999999999999"/>
    <n v="7720.72"/>
    <s v="Pending"/>
    <s v="Pune"/>
    <s v="Grocery"/>
    <m/>
    <s v="Retail"/>
    <n v="31"/>
    <s v="East"/>
    <s v="Apr-24"/>
    <n v="1182"/>
    <n v="0.50336134453781511"/>
  </r>
  <r>
    <s v="ORD-01374"/>
    <x v="344"/>
    <s v="CUST-0089"/>
    <s v="PROD-024"/>
    <s v="R004"/>
    <n v="6"/>
    <n v="2270"/>
    <n v="20.9"/>
    <n v="10773.42"/>
    <s v="Pending"/>
    <s v="Mumbai"/>
    <s v="Grocery"/>
    <m/>
    <s v="SMB"/>
    <n v="43"/>
    <m/>
    <m/>
    <m/>
    <m/>
  </r>
  <r>
    <s v="ORD-01375"/>
    <x v="248"/>
    <s v="CUST-0093"/>
    <s v="PROD-033"/>
    <s v="R019"/>
    <n v="10"/>
    <n v="2030"/>
    <n v="25"/>
    <n v="15225"/>
    <s v="Completed"/>
    <s v="Pune"/>
    <s v="Home"/>
    <m/>
    <s v="Retail"/>
    <n v="36"/>
    <s v="North"/>
    <s v="Oct-24"/>
    <n v="1143"/>
    <n v="0.43694581280788175"/>
  </r>
  <r>
    <s v="ORD-01376"/>
    <x v="118"/>
    <s v="CUST-0018"/>
    <s v="PROD-035"/>
    <s v="R027"/>
    <n v="3"/>
    <n v="1090"/>
    <n v="12.1"/>
    <n v="2874.33"/>
    <s v="Completed"/>
    <s v="Pune"/>
    <s v="Home"/>
    <m/>
    <s v="SMB"/>
    <n v="54"/>
    <m/>
    <m/>
    <m/>
    <m/>
  </r>
  <r>
    <s v="ORD-01377"/>
    <x v="291"/>
    <s v="CUST-0089"/>
    <s v="PROD-017"/>
    <s v="R017"/>
    <n v="3"/>
    <n v="2510"/>
    <n v="28.7"/>
    <n v="5368.89"/>
    <s v="Completed"/>
    <s v="Mumbai"/>
    <s v="Apparel"/>
    <m/>
    <s v="SMB"/>
    <n v="43"/>
    <m/>
    <m/>
    <m/>
    <m/>
  </r>
  <r>
    <s v="ORD-01378"/>
    <x v="249"/>
    <s v="CUST-0116"/>
    <s v="PROD-024"/>
    <s v="R026"/>
    <n v="9"/>
    <n v="2270"/>
    <n v="25.4"/>
    <n v="15240.78"/>
    <s v="Pending"/>
    <s v="Bengaluru"/>
    <s v="Grocery"/>
    <m/>
    <s v="Retail"/>
    <n v="53"/>
    <m/>
    <m/>
    <m/>
    <m/>
  </r>
  <r>
    <s v="ORD-01379"/>
    <x v="169"/>
    <s v="CUST-0071"/>
    <s v="PROD-006"/>
    <s v="R029"/>
    <n v="9"/>
    <n v="3970"/>
    <n v="10.1"/>
    <n v="32121.27"/>
    <s v="Cancelled"/>
    <s v="Delhi"/>
    <s v="Electronics"/>
    <m/>
    <s v="Corporate"/>
    <n v="46"/>
    <m/>
    <m/>
    <m/>
    <m/>
  </r>
  <r>
    <s v="ORD-01380"/>
    <x v="23"/>
    <s v="CUST-0115"/>
    <s v="PROD-029"/>
    <s v="R014"/>
    <n v="6"/>
    <n v="2210"/>
    <n v="7.4"/>
    <n v="12278.76"/>
    <s v="Completed"/>
    <s v="Mumbai"/>
    <s v="Grocery"/>
    <m/>
    <s v="SMB"/>
    <n v="65"/>
    <m/>
    <m/>
    <m/>
    <m/>
  </r>
  <r>
    <s v="ORD-01381"/>
    <x v="107"/>
    <s v="CUST-0258"/>
    <s v="PROD-041"/>
    <s v="R017"/>
    <n v="7"/>
    <n v="1540"/>
    <n v="20.6"/>
    <n v="8559.32"/>
    <s v="Completed"/>
    <s v="Pune"/>
    <s v="Beauty"/>
    <m/>
    <s v="Retail"/>
    <n v="44"/>
    <m/>
    <m/>
    <m/>
    <m/>
  </r>
  <r>
    <s v="ORD-01382"/>
    <x v="323"/>
    <s v="CUST-0290"/>
    <s v="PROD-039"/>
    <s v="R027"/>
    <n v="9"/>
    <n v="4610"/>
    <n v="2.1"/>
    <n v="40618.71"/>
    <s v="Completed"/>
    <s v="Delhi"/>
    <s v="Home"/>
    <m/>
    <s v="Retail"/>
    <n v="63"/>
    <m/>
    <m/>
    <m/>
    <m/>
  </r>
  <r>
    <s v="ORD-01383"/>
    <x v="159"/>
    <s v="CUST-0279"/>
    <s v="PROD-006"/>
    <s v="R002"/>
    <n v="10"/>
    <n v="3970"/>
    <n v="13.3"/>
    <n v="34419.9"/>
    <s v="Pending"/>
    <s v="Mumbai"/>
    <s v="Electronics"/>
    <m/>
    <s v="Retail"/>
    <n v="56"/>
    <m/>
    <m/>
    <m/>
    <m/>
  </r>
  <r>
    <s v="ORD-01384"/>
    <x v="166"/>
    <s v="CUST-0132"/>
    <s v="PROD-008"/>
    <s v="R008"/>
    <n v="8"/>
    <n v="2660"/>
    <n v="16.8"/>
    <n v="17704.96"/>
    <s v="Completed"/>
    <s v="Delhi"/>
    <s v="Electronics"/>
    <m/>
    <s v="Retail"/>
    <n v="41"/>
    <m/>
    <m/>
    <m/>
    <m/>
  </r>
  <r>
    <s v="ORD-01385"/>
    <x v="90"/>
    <s v="CUST-0029"/>
    <s v="PROD-047"/>
    <s v="R021"/>
    <n v="6"/>
    <n v="3450"/>
    <n v="23.4"/>
    <n v="15856.2"/>
    <s v="Completed"/>
    <s v="Chennai"/>
    <s v="Beauty"/>
    <m/>
    <s v="Corporate"/>
    <n v="54"/>
    <m/>
    <m/>
    <m/>
    <m/>
  </r>
  <r>
    <s v="ORD-01386"/>
    <x v="356"/>
    <s v="CUST-0295"/>
    <s v="PROD-053"/>
    <s v="R007"/>
    <n v="10"/>
    <n v="470"/>
    <n v="21.2"/>
    <n v="3703.6"/>
    <s v="Completed"/>
    <s v="Delhi"/>
    <s v="Sports"/>
    <m/>
    <s v="SMB"/>
    <n v="48"/>
    <m/>
    <m/>
    <m/>
    <m/>
  </r>
  <r>
    <s v="ORD-00168"/>
    <x v="323"/>
    <s v="CUST-0106"/>
    <s v="PROD-059"/>
    <s v="R022"/>
    <n v="7"/>
    <n v="3780"/>
    <n v="10.1"/>
    <n v="23787.54"/>
    <s v="Completed"/>
    <s v="Pune"/>
    <s v="Sports"/>
    <m/>
    <s v="Retail"/>
    <n v="22"/>
    <s v="North"/>
    <s v="Nov-24"/>
    <n v="1860"/>
    <n v="0.50793650793650791"/>
  </r>
  <r>
    <s v="ORD-01388"/>
    <x v="258"/>
    <s v="CUST-0127"/>
    <s v="PROD-014"/>
    <s v="R027"/>
    <n v="3"/>
    <n v="3620"/>
    <n v="4.2"/>
    <n v="10403.879999999999"/>
    <s v="Completed"/>
    <s v="Bengaluru"/>
    <s v="Apparel"/>
    <m/>
    <s v="SMB"/>
    <n v="36"/>
    <s v="East"/>
    <s v="Feb-24"/>
    <n v="2509"/>
    <n v="0.3069060773480663"/>
  </r>
  <r>
    <s v="ORD-01389"/>
    <x v="110"/>
    <s v="CUST-0031"/>
    <s v="PROD-049"/>
    <s v="R028"/>
    <n v="7"/>
    <n v="960"/>
    <n v="9"/>
    <n v="6115.2"/>
    <s v="Completed"/>
    <s v="Hyderabad"/>
    <s v="Beauty"/>
    <m/>
    <s v="Retail"/>
    <n v="53"/>
    <m/>
    <m/>
    <m/>
    <m/>
  </r>
  <r>
    <s v="ORD-01390"/>
    <x v="112"/>
    <s v="CUST-0256"/>
    <s v="PROD-043"/>
    <s v="R007"/>
    <n v="10"/>
    <n v="3350"/>
    <n v="1.2"/>
    <n v="33098"/>
    <s v="Cancelled"/>
    <s v="Hyderabad"/>
    <s v="Beauty"/>
    <m/>
    <s v="Retail"/>
    <n v="28"/>
    <s v="West"/>
    <s v="Sep-24"/>
    <n v="1728"/>
    <n v="0.48417910447761192"/>
  </r>
  <r>
    <s v="ORD-01391"/>
    <x v="321"/>
    <s v="CUST-0131"/>
    <s v="PROD-058"/>
    <s v="R030"/>
    <n v="3"/>
    <n v="2400"/>
    <n v="15.4"/>
    <n v="6091.2"/>
    <s v="Completed"/>
    <s v="Delhi"/>
    <s v="Sports"/>
    <m/>
    <s v="SMB"/>
    <n v="28"/>
    <s v="North"/>
    <s v="Feb-24"/>
    <n v="974"/>
    <n v="0.59416666666666662"/>
  </r>
  <r>
    <s v="ORD-01392"/>
    <x v="192"/>
    <s v="CUST-0270"/>
    <s v="PROD-055"/>
    <s v="R002"/>
    <n v="2"/>
    <n v="2860"/>
    <n v="10.5"/>
    <n v="5119.3999999999996"/>
    <s v="Completed"/>
    <s v="Bengaluru"/>
    <s v="Sports"/>
    <m/>
    <s v="Retail"/>
    <n v="29"/>
    <s v="West"/>
    <s v="Apr-24"/>
    <n v="2028"/>
    <n v="0.29090909090909089"/>
  </r>
  <r>
    <s v="ORD-01393"/>
    <x v="247"/>
    <s v="CUST-0212"/>
    <s v="PROD-042"/>
    <s v="R008"/>
    <n v="4"/>
    <n v="2290"/>
    <n v="5.9"/>
    <n v="8619.56"/>
    <s v="Completed"/>
    <s v="Chennai"/>
    <s v="Beauty"/>
    <m/>
    <s v="SMB"/>
    <n v="46"/>
    <m/>
    <m/>
    <m/>
    <m/>
  </r>
  <r>
    <s v="ORD-01394"/>
    <x v="59"/>
    <s v="CUST-0216"/>
    <s v="PROD-001"/>
    <s v="R023"/>
    <n v="7"/>
    <n v="5330"/>
    <n v="3.5"/>
    <n v="36004.15"/>
    <s v="Cancelled"/>
    <s v="Mumbai"/>
    <s v="Electronics"/>
    <m/>
    <s v="Retail"/>
    <n v="50"/>
    <m/>
    <m/>
    <m/>
    <m/>
  </r>
  <r>
    <s v="ORD-01395"/>
    <x v="65"/>
    <s v="CUST-0189"/>
    <s v="PROD-013"/>
    <s v="R018"/>
    <n v="10"/>
    <n v="3640"/>
    <n v="20.100000000000001"/>
    <n v="29083.599999999999"/>
    <s v="Completed"/>
    <s v="Chennai"/>
    <s v="Apparel"/>
    <m/>
    <s v="Retail"/>
    <n v="41"/>
    <m/>
    <m/>
    <m/>
    <m/>
  </r>
  <r>
    <s v="ORD-01396"/>
    <x v="142"/>
    <s v="CUST-0064"/>
    <s v="PROD-034"/>
    <s v="R024"/>
    <n v="10"/>
    <n v="5080"/>
    <n v="2.1"/>
    <n v="49733.2"/>
    <s v="Completed"/>
    <s v="Hyderabad"/>
    <s v="Home"/>
    <m/>
    <s v="SMB"/>
    <n v="40"/>
    <s v="East"/>
    <s v="Oct-24"/>
    <n v="2459"/>
    <n v="0.51594488188976373"/>
  </r>
  <r>
    <s v="ORD-01397"/>
    <x v="25"/>
    <s v="CUST-0016"/>
    <s v="PROD-035"/>
    <s v="R018"/>
    <n v="4"/>
    <n v="1090"/>
    <n v="18.5"/>
    <n v="3553.4"/>
    <s v="Refunded"/>
    <s v="Delhi"/>
    <s v="Home"/>
    <m/>
    <s v="SMB"/>
    <n v="26"/>
    <s v="West"/>
    <s v="Dec-24"/>
    <n v="464"/>
    <n v="0.57431192660550456"/>
  </r>
  <r>
    <s v="ORD-01398"/>
    <x v="218"/>
    <s v="CUST-0296"/>
    <s v="PROD-047"/>
    <s v="R030"/>
    <n v="10"/>
    <n v="3450"/>
    <n v="26.5"/>
    <n v="25357.5"/>
    <s v="Refunded"/>
    <s v="Delhi"/>
    <s v="Beauty"/>
    <m/>
    <s v="Corporate"/>
    <n v="47"/>
    <m/>
    <m/>
    <m/>
    <m/>
  </r>
  <r>
    <s v="ORD-01399"/>
    <x v="64"/>
    <s v="CUST-0031"/>
    <s v="PROD-052"/>
    <s v="R009"/>
    <n v="9"/>
    <n v="5410"/>
    <n v="11.5"/>
    <n v="43090.65"/>
    <s v="Completed"/>
    <s v="Hyderabad"/>
    <s v="Sports"/>
    <m/>
    <s v="Retail"/>
    <n v="53"/>
    <m/>
    <m/>
    <m/>
    <m/>
  </r>
  <r>
    <s v="ORD-01400"/>
    <x v="338"/>
    <s v="CUST-0207"/>
    <s v="PROD-011"/>
    <s v="R030"/>
    <n v="9"/>
    <n v="3450"/>
    <n v="0.3"/>
    <n v="30956.85"/>
    <s v="Refunded"/>
    <s v="Hyderabad"/>
    <s v="Apparel"/>
    <m/>
    <s v="SMB"/>
    <n v="34"/>
    <s v="South"/>
    <s v="Jul-24"/>
    <n v="1748"/>
    <n v="0.49333333333333335"/>
  </r>
  <r>
    <s v="ORD-01401"/>
    <x v="105"/>
    <s v="CUST-0165"/>
    <s v="PROD-012"/>
    <s v="R025"/>
    <n v="10"/>
    <n v="3160"/>
    <n v="13.6"/>
    <n v="27302.400000000001"/>
    <s v="Completed"/>
    <s v="Pune"/>
    <s v="Apparel"/>
    <m/>
    <s v="Retail"/>
    <n v="29"/>
    <s v="West"/>
    <s v="Jun-24"/>
    <n v="1886"/>
    <n v="0.4031645569620253"/>
  </r>
  <r>
    <s v="ORD-01402"/>
    <x v="301"/>
    <s v="CUST-0281"/>
    <s v="PROD-041"/>
    <s v="R026"/>
    <n v="3"/>
    <n v="1540"/>
    <n v="21.2"/>
    <n v="3640.56"/>
    <s v="Completed"/>
    <s v="Bengaluru"/>
    <s v="Beauty"/>
    <m/>
    <s v="Corporate"/>
    <n v="57"/>
    <m/>
    <m/>
    <m/>
    <m/>
  </r>
  <r>
    <s v="ORD-01403"/>
    <x v="73"/>
    <s v="CUST-0018"/>
    <s v="PROD-013"/>
    <s v="R022"/>
    <n v="5"/>
    <n v="3640"/>
    <n v="17.5"/>
    <n v="15015"/>
    <s v="Completed"/>
    <s v="Pune"/>
    <s v="Apparel"/>
    <m/>
    <s v="SMB"/>
    <n v="54"/>
    <m/>
    <m/>
    <m/>
    <m/>
  </r>
  <r>
    <s v="ORD-01404"/>
    <x v="272"/>
    <s v="CUST-0204"/>
    <s v="PROD-059"/>
    <s v="R002"/>
    <n v="4"/>
    <n v="3780"/>
    <n v="9"/>
    <n v="13759.2"/>
    <s v="Pending"/>
    <s v="Hyderabad"/>
    <s v="Sports"/>
    <m/>
    <s v="Retail"/>
    <n v="60"/>
    <m/>
    <m/>
    <m/>
    <m/>
  </r>
  <r>
    <s v="ORD-01405"/>
    <x v="357"/>
    <s v="CUST-0028"/>
    <s v="PROD-015"/>
    <s v="R025"/>
    <n v="9"/>
    <n v="2720"/>
    <n v="8.9"/>
    <n v="22301.279999999999"/>
    <s v="Completed"/>
    <s v="Bengaluru"/>
    <s v="Apparel"/>
    <m/>
    <s v="Retail"/>
    <n v="59"/>
    <m/>
    <m/>
    <m/>
    <m/>
  </r>
  <r>
    <s v="ORD-01406"/>
    <x v="83"/>
    <s v="CUST-0144"/>
    <s v="PROD-014"/>
    <s v="R004"/>
    <n v="4"/>
    <n v="3620"/>
    <n v="8"/>
    <n v="13321.6"/>
    <s v="Pending"/>
    <s v="Chennai"/>
    <s v="Apparel"/>
    <m/>
    <s v="Retail"/>
    <n v="49"/>
    <m/>
    <m/>
    <m/>
    <m/>
  </r>
  <r>
    <s v="ORD-01407"/>
    <x v="354"/>
    <s v="CUST-0043"/>
    <s v="PROD-011"/>
    <s v="R004"/>
    <n v="1"/>
    <n v="3450"/>
    <n v="0.2"/>
    <n v="3443.1"/>
    <s v="Completed"/>
    <s v="Hyderabad"/>
    <s v="Apparel"/>
    <m/>
    <s v="Retail"/>
    <n v="61"/>
    <m/>
    <m/>
    <m/>
    <m/>
  </r>
  <r>
    <s v="ORD-01408"/>
    <x v="93"/>
    <s v="CUST-0246"/>
    <s v="PROD-013"/>
    <s v="R014"/>
    <n v="7"/>
    <n v="3640"/>
    <n v="4.5999999999999996"/>
    <n v="24307.919999999998"/>
    <s v="Completed"/>
    <s v="Delhi"/>
    <s v="Apparel"/>
    <m/>
    <s v="SMB"/>
    <n v="29"/>
    <s v="North"/>
    <s v="Feb-24"/>
    <n v="2611"/>
    <n v="0.28269230769230769"/>
  </r>
  <r>
    <s v="ORD-01409"/>
    <x v="318"/>
    <s v="CUST-0156"/>
    <s v="PROD-016"/>
    <s v="R023"/>
    <n v="9"/>
    <n v="620"/>
    <n v="8.5"/>
    <n v="5105.7"/>
    <s v="Completed"/>
    <s v="Mumbai"/>
    <s v="Apparel"/>
    <m/>
    <s v="Retail"/>
    <n v="33"/>
    <s v="South"/>
    <s v="Dec-24"/>
    <n v="396"/>
    <n v="0.36129032258064514"/>
  </r>
  <r>
    <s v="ORD-01410"/>
    <x v="318"/>
    <s v="CUST-0066"/>
    <s v="PROD-059"/>
    <s v="R016"/>
    <n v="10"/>
    <n v="3780"/>
    <n v="5.8"/>
    <n v="35607.599999999999"/>
    <s v="Completed"/>
    <s v="Delhi"/>
    <s v="Sports"/>
    <m/>
    <s v="Retail"/>
    <n v="24"/>
    <s v="East"/>
    <s v="May-24"/>
    <n v="1860"/>
    <n v="0.50793650793650791"/>
  </r>
  <r>
    <s v="ORD-01411"/>
    <x v="79"/>
    <s v="CUST-0121"/>
    <s v="PROD-003"/>
    <s v="R009"/>
    <n v="7"/>
    <n v="3570"/>
    <n v="26.1"/>
    <n v="18467.61"/>
    <s v="Completed"/>
    <s v="Delhi"/>
    <s v="Electronics"/>
    <m/>
    <s v="SMB"/>
    <n v="55"/>
    <m/>
    <m/>
    <m/>
    <m/>
  </r>
  <r>
    <s v="ORD-01412"/>
    <x v="141"/>
    <s v="CUST-0066"/>
    <s v="PROD-044"/>
    <s v="R002"/>
    <n v="2"/>
    <n v="1650"/>
    <n v="3.8"/>
    <n v="3174.6"/>
    <s v="Completed"/>
    <s v="Delhi"/>
    <s v="Beauty"/>
    <m/>
    <s v="Retail"/>
    <n v="24"/>
    <s v="South"/>
    <s v="Aug-24"/>
    <n v="1222"/>
    <n v="0.2593939393939394"/>
  </r>
  <r>
    <s v="ORD-01413"/>
    <x v="63"/>
    <s v="CUST-0099"/>
    <s v="PROD-049"/>
    <s v="R012"/>
    <n v="2"/>
    <n v="960"/>
    <n v="6.8"/>
    <n v="1789.44"/>
    <s v="Completed"/>
    <s v="Bengaluru"/>
    <s v="Beauty"/>
    <m/>
    <s v="SMB"/>
    <n v="54"/>
    <m/>
    <m/>
    <m/>
    <m/>
  </r>
  <r>
    <s v="ORD-01414"/>
    <x v="351"/>
    <s v="CUST-0054"/>
    <s v="PROD-005"/>
    <s v="R006"/>
    <n v="2"/>
    <n v="300"/>
    <n v="2.8"/>
    <n v="583.20000000000005"/>
    <s v="Completed"/>
    <s v="Mumbai"/>
    <s v="Electronics"/>
    <m/>
    <s v="Corporate"/>
    <n v="62"/>
    <m/>
    <m/>
    <m/>
    <m/>
  </r>
  <r>
    <s v="ORD-01415"/>
    <x v="230"/>
    <s v="CUST-0124"/>
    <s v="PROD-025"/>
    <s v="R027"/>
    <n v="10"/>
    <n v="4060"/>
    <n v="15.1"/>
    <n v="34469.4"/>
    <s v="Completed"/>
    <s v="Pune"/>
    <s v="Grocery"/>
    <m/>
    <s v="Retail"/>
    <n v="57"/>
    <m/>
    <m/>
    <m/>
    <m/>
  </r>
  <r>
    <s v="ORD-01416"/>
    <x v="153"/>
    <s v="CUST-0211"/>
    <s v="PROD-001"/>
    <s v="R022"/>
    <n v="6"/>
    <n v="5330"/>
    <n v="2"/>
    <n v="31340.400000000001"/>
    <s v="Completed"/>
    <s v="Bengaluru"/>
    <s v="Electronics"/>
    <m/>
    <s v="Retail"/>
    <n v="36"/>
    <s v="West"/>
    <s v="Sep-24"/>
    <n v="2405"/>
    <n v="0.54878048780487809"/>
  </r>
  <r>
    <s v="ORD-01417"/>
    <x v="160"/>
    <s v="CUST-0298"/>
    <s v="PROD-031"/>
    <s v="R021"/>
    <n v="9"/>
    <n v="3730"/>
    <n v="24.5"/>
    <n v="25345.35"/>
    <s v="Refunded"/>
    <s v="Delhi"/>
    <s v="Home"/>
    <m/>
    <s v="Retail"/>
    <n v="44"/>
    <m/>
    <m/>
    <m/>
    <m/>
  </r>
  <r>
    <s v="ORD-01418"/>
    <x v="4"/>
    <s v="CUST-0164"/>
    <s v="PROD-050"/>
    <s v="R030"/>
    <n v="1"/>
    <n v="6080"/>
    <n v="4.4000000000000004"/>
    <n v="5812.48"/>
    <s v="Cancelled"/>
    <s v="Chennai"/>
    <s v="Beauty"/>
    <m/>
    <s v="Retail"/>
    <n v="60"/>
    <m/>
    <m/>
    <m/>
    <m/>
  </r>
  <r>
    <s v="ORD-01419"/>
    <x v="111"/>
    <s v="CUST-0003"/>
    <s v="PROD-015"/>
    <s v="R025"/>
    <n v="5"/>
    <n v="2720"/>
    <n v="9.1999999999999993"/>
    <n v="12348.8"/>
    <s v="Completed"/>
    <s v="Mumbai"/>
    <s v="Apparel"/>
    <m/>
    <s v="Retail"/>
    <n v="33"/>
    <s v="West"/>
    <s v="Nov-24"/>
    <n v="1962"/>
    <n v="0.2786764705882353"/>
  </r>
  <r>
    <s v="ORD-01420"/>
    <x v="334"/>
    <s v="CUST-0239"/>
    <s v="PROD-011"/>
    <s v="R023"/>
    <n v="1"/>
    <n v="3450"/>
    <n v="15.6"/>
    <n v="2911.8"/>
    <s v="Completed"/>
    <s v="Mumbai"/>
    <s v="Apparel"/>
    <m/>
    <s v="Retail"/>
    <n v="61"/>
    <m/>
    <m/>
    <m/>
    <m/>
  </r>
  <r>
    <s v="ORD-01421"/>
    <x v="285"/>
    <s v="CUST-0116"/>
    <s v="PROD-035"/>
    <s v="R022"/>
    <n v="2"/>
    <n v="1090"/>
    <n v="0.4"/>
    <n v="2171.2800000000002"/>
    <s v="Refunded"/>
    <s v="Bengaluru"/>
    <s v="Home"/>
    <m/>
    <s v="Retail"/>
    <n v="53"/>
    <m/>
    <m/>
    <m/>
    <m/>
  </r>
  <r>
    <s v="ORD-01422"/>
    <x v="175"/>
    <s v="CUST-0232"/>
    <s v="PROD-003"/>
    <s v="R017"/>
    <n v="2"/>
    <n v="3570"/>
    <n v="9"/>
    <n v="6497.4"/>
    <s v="Completed"/>
    <s v="Hyderabad"/>
    <s v="Electronics"/>
    <m/>
    <s v="Retail"/>
    <n v="38"/>
    <s v="East"/>
    <s v="Jul-24"/>
    <n v="1665"/>
    <n v="0.53361344537815125"/>
  </r>
  <r>
    <s v="ORD-01423"/>
    <x v="352"/>
    <s v="CUST-0121"/>
    <s v="PROD-019"/>
    <s v="R014"/>
    <n v="9"/>
    <n v="2480"/>
    <n v="3.6"/>
    <n v="21516.48"/>
    <s v="Pending"/>
    <s v="Delhi"/>
    <s v="Apparel"/>
    <m/>
    <s v="SMB"/>
    <n v="55"/>
    <m/>
    <m/>
    <m/>
    <m/>
  </r>
  <r>
    <s v="ORD-01424"/>
    <x v="291"/>
    <s v="CUST-0178"/>
    <s v="PROD-027"/>
    <s v="R022"/>
    <n v="9"/>
    <n v="3780"/>
    <n v="4.5"/>
    <n v="32489.1"/>
    <s v="Completed"/>
    <s v="Hyderabad"/>
    <s v="Grocery"/>
    <m/>
    <s v="Retail"/>
    <n v="25"/>
    <s v="South"/>
    <s v="May-24"/>
    <n v="2436"/>
    <n v="0.35555555555555557"/>
  </r>
  <r>
    <s v="ORD-01425"/>
    <x v="252"/>
    <s v="CUST-0131"/>
    <s v="PROD-025"/>
    <s v="R010"/>
    <n v="5"/>
    <n v="4060"/>
    <n v="2.7"/>
    <n v="19751.900000000001"/>
    <s v="Completed"/>
    <s v="Delhi"/>
    <s v="Grocery"/>
    <m/>
    <s v="SMB"/>
    <n v="28"/>
    <s v="East"/>
    <s v="Jan-24"/>
    <n v="2911"/>
    <n v="0.28300492610837441"/>
  </r>
  <r>
    <s v="ORD-01426"/>
    <x v="148"/>
    <s v="CUST-0155"/>
    <s v="PROD-005"/>
    <s v="R002"/>
    <n v="8"/>
    <n v="300"/>
    <n v="19.8"/>
    <n v="1924.8"/>
    <s v="Cancelled"/>
    <s v="Pune"/>
    <s v="Electronics"/>
    <m/>
    <s v="Corporate"/>
    <n v="40"/>
    <s v="South"/>
    <s v="Dec-24"/>
    <n v="128"/>
    <n v="0.57333333333333336"/>
  </r>
  <r>
    <s v="ORD-01427"/>
    <x v="253"/>
    <s v="CUST-0170"/>
    <s v="PROD-036"/>
    <s v="R002"/>
    <n v="10"/>
    <n v="3250"/>
    <n v="21.3"/>
    <n v="25577.5"/>
    <s v="Cancelled"/>
    <s v="Mumbai"/>
    <s v="Home"/>
    <m/>
    <s v="SMB"/>
    <n v="22"/>
    <s v="North"/>
    <s v="Sep-24"/>
    <n v="1556"/>
    <n v="0.52123076923076928"/>
  </r>
  <r>
    <s v="ORD-01428"/>
    <x v="48"/>
    <s v="CUST-0180"/>
    <s v="PROD-055"/>
    <s v="R009"/>
    <n v="2"/>
    <n v="2860"/>
    <n v="13.7"/>
    <n v="4936.3599999999997"/>
    <s v="Completed"/>
    <s v="Chennai"/>
    <s v="Sports"/>
    <m/>
    <s v="Retail"/>
    <n v="36"/>
    <s v="North"/>
    <s v="Jun-24"/>
    <n v="2028"/>
    <n v="0.29090909090909089"/>
  </r>
  <r>
    <s v="ORD-01429"/>
    <x v="271"/>
    <s v="CUST-0066"/>
    <s v="PROD-009"/>
    <s v="R017"/>
    <n v="10"/>
    <n v="1220"/>
    <n v="15.4"/>
    <n v="10321.200000000001"/>
    <s v="Completed"/>
    <s v="Delhi"/>
    <s v="Electronics"/>
    <m/>
    <s v="Retail"/>
    <n v="24"/>
    <s v="South"/>
    <s v="Nov-24"/>
    <n v="517"/>
    <n v="0.57622950819672136"/>
  </r>
  <r>
    <s v="ORD-01430"/>
    <x v="96"/>
    <s v="CUST-0267"/>
    <s v="PROD-027"/>
    <s v="R010"/>
    <n v="3"/>
    <n v="3780"/>
    <n v="1.9"/>
    <n v="11124.54"/>
    <s v="Completed"/>
    <s v="Hyderabad"/>
    <s v="Grocery"/>
    <m/>
    <s v="Retail"/>
    <n v="27"/>
    <s v="East"/>
    <s v="Aug-24"/>
    <n v="2436"/>
    <n v="0.35555555555555557"/>
  </r>
  <r>
    <s v="ORD-01431"/>
    <x v="133"/>
    <s v="CUST-0034"/>
    <s v="PROD-038"/>
    <s v="R018"/>
    <n v="6"/>
    <n v="5490"/>
    <n v="0.5"/>
    <n v="32775.300000000003"/>
    <s v="Pending"/>
    <s v="Delhi"/>
    <s v="Home"/>
    <m/>
    <s v="Retail"/>
    <n v="47"/>
    <m/>
    <m/>
    <m/>
    <m/>
  </r>
  <r>
    <s v="ORD-01432"/>
    <x v="185"/>
    <s v="CUST-0029"/>
    <s v="PROD-022"/>
    <s v="R029"/>
    <n v="6"/>
    <n v="2270"/>
    <n v="21.5"/>
    <n v="10691.7"/>
    <s v="Completed"/>
    <s v="Chennai"/>
    <s v="Grocery"/>
    <m/>
    <s v="Corporate"/>
    <n v="54"/>
    <m/>
    <m/>
    <m/>
    <m/>
  </r>
  <r>
    <s v="ORD-01433"/>
    <x v="77"/>
    <s v="CUST-0224"/>
    <s v="PROD-029"/>
    <s v="R023"/>
    <n v="7"/>
    <n v="2210"/>
    <n v="10.3"/>
    <n v="13876.59"/>
    <s v="Completed"/>
    <s v="Chennai"/>
    <s v="Grocery"/>
    <m/>
    <s v="Corporate"/>
    <n v="24"/>
    <s v="West"/>
    <s v="Jul-24"/>
    <n v="1010"/>
    <n v="0.54298642533936647"/>
  </r>
  <r>
    <s v="ORD-01434"/>
    <x v="150"/>
    <s v="CUST-9889"/>
    <s v="PROD-035"/>
    <s v="R009"/>
    <n v="8"/>
    <n v="1090"/>
    <n v="21.7"/>
    <n v="6827.76"/>
    <s v="Completed"/>
    <s v="Pune"/>
    <s v="Home"/>
    <m/>
    <e v="#N/A"/>
    <e v="#N/A"/>
    <m/>
    <m/>
    <m/>
    <m/>
  </r>
  <r>
    <s v="ORD-01435"/>
    <x v="311"/>
    <s v="CUST-0130"/>
    <s v="PROD-018"/>
    <s v="R002"/>
    <n v="5"/>
    <n v="3560"/>
    <n v="19.399999999999999"/>
    <n v="14346.8"/>
    <s v="Pending"/>
    <s v="Bengaluru"/>
    <s v="Apparel"/>
    <m/>
    <s v="Corporate"/>
    <n v="41"/>
    <m/>
    <m/>
    <m/>
    <m/>
  </r>
  <r>
    <s v="ORD-01436"/>
    <x v="358"/>
    <s v="CUST-0060"/>
    <s v="PROD-054"/>
    <s v="R028"/>
    <n v="7"/>
    <n v="1010"/>
    <n v="28.2"/>
    <n v="5076.26"/>
    <s v="Completed"/>
    <s v="Pune"/>
    <s v="Sports"/>
    <m/>
    <s v="Retail"/>
    <n v="39"/>
    <s v="North"/>
    <s v="Nov-24"/>
    <n v="516"/>
    <n v="0.4891089108910891"/>
  </r>
  <r>
    <s v="ORD-01437"/>
    <x v="19"/>
    <s v="CUST-0299"/>
    <s v="PROD-033"/>
    <s v="R015"/>
    <n v="2"/>
    <n v="2030"/>
    <n v="27.3"/>
    <n v="2951.62"/>
    <s v="Refunded"/>
    <s v="Mumbai"/>
    <s v="Home"/>
    <m/>
    <s v="Corporate"/>
    <n v="51"/>
    <m/>
    <m/>
    <m/>
    <m/>
  </r>
  <r>
    <s v="ORD-01438"/>
    <x v="154"/>
    <s v="CUST-0013"/>
    <s v="PROD-001"/>
    <s v="R012"/>
    <n v="6"/>
    <n v="5330"/>
    <n v="0.6"/>
    <n v="31788.12"/>
    <s v="Completed"/>
    <s v="Delhi"/>
    <s v="Electronics"/>
    <m/>
    <s v="Retail"/>
    <n v="41"/>
    <m/>
    <m/>
    <m/>
    <m/>
  </r>
  <r>
    <s v="ORD-01439"/>
    <x v="282"/>
    <s v="CUST-0193"/>
    <s v="PROD-010"/>
    <s v="R007"/>
    <n v="2"/>
    <n v="2640"/>
    <n v="26"/>
    <n v="3907.2"/>
    <s v="Pending"/>
    <s v="Bengaluru"/>
    <s v="Electronics"/>
    <m/>
    <s v="Retail"/>
    <n v="42"/>
    <m/>
    <m/>
    <m/>
    <m/>
  </r>
  <r>
    <s v="ORD-01440"/>
    <x v="130"/>
    <s v="CUST-0170"/>
    <s v="PROD-008"/>
    <s v="R012"/>
    <n v="8"/>
    <n v="2660"/>
    <n v="2.9"/>
    <n v="20662.88"/>
    <s v="Completed"/>
    <s v="Mumbai"/>
    <s v="Electronics"/>
    <m/>
    <s v="SMB"/>
    <n v="22"/>
    <s v="North"/>
    <s v="Aug-24"/>
    <n v="1259"/>
    <n v="0.52669172932330832"/>
  </r>
  <r>
    <s v="ORD-01441"/>
    <x v="69"/>
    <s v="CUST-0063"/>
    <s v="PROD-036"/>
    <s v="R023"/>
    <n v="6"/>
    <n v="3250"/>
    <n v="11.1"/>
    <n v="17335.5"/>
    <s v="Completed"/>
    <s v="Mumbai"/>
    <s v="Home"/>
    <m/>
    <s v="SMB"/>
    <n v="53"/>
    <m/>
    <m/>
    <m/>
    <m/>
  </r>
  <r>
    <s v="ORD-01442"/>
    <x v="246"/>
    <s v="CUST-0168"/>
    <s v="PROD-029"/>
    <s v="R004"/>
    <n v="1"/>
    <n v="2210"/>
    <n v="3.5"/>
    <n v="2132.65"/>
    <s v="Completed"/>
    <s v="Pune"/>
    <s v="Grocery"/>
    <m/>
    <s v="Retail"/>
    <n v="25"/>
    <s v="East"/>
    <s v="Apr-24"/>
    <n v="1010"/>
    <n v="0.54298642533936647"/>
  </r>
  <r>
    <s v="ORD-01443"/>
    <x v="39"/>
    <s v="CUST-0124"/>
    <s v="PROD-032"/>
    <s v="R019"/>
    <n v="9"/>
    <n v="370"/>
    <n v="12.4"/>
    <n v="2917.08"/>
    <s v="Completed"/>
    <s v="Pune"/>
    <s v="Home"/>
    <m/>
    <s v="Retail"/>
    <n v="57"/>
    <m/>
    <m/>
    <m/>
    <m/>
  </r>
  <r>
    <s v="ORD-01444"/>
    <x v="99"/>
    <s v="CUST-0138"/>
    <s v="PROD-059"/>
    <s v="R022"/>
    <n v="3"/>
    <n v="3780"/>
    <n v="8.5"/>
    <n v="10376.1"/>
    <s v="Pending"/>
    <s v="Chennai"/>
    <s v="Sports"/>
    <m/>
    <s v="Retail"/>
    <n v="24"/>
    <s v="East"/>
    <s v="May-24"/>
    <n v="1860"/>
    <n v="0.50793650793650791"/>
  </r>
  <r>
    <s v="ORD-01445"/>
    <x v="245"/>
    <s v="CUST-0146"/>
    <s v="PROD-054"/>
    <s v="R002"/>
    <n v="2"/>
    <n v="1010"/>
    <n v="2.7"/>
    <n v="1965.46"/>
    <s v="Completed"/>
    <s v="Hyderabad"/>
    <s v="Sports"/>
    <m/>
    <s v="Retail"/>
    <n v="22"/>
    <s v="East"/>
    <s v="Jun-24"/>
    <n v="516"/>
    <n v="0.4891089108910891"/>
  </r>
  <r>
    <s v="ORD-01446"/>
    <x v="167"/>
    <s v="CUST-0244"/>
    <s v="PROD-020"/>
    <s v="R012"/>
    <n v="2"/>
    <n v="820"/>
    <n v="13.2"/>
    <n v="1423.52"/>
    <s v="Pending"/>
    <s v="Bengaluru"/>
    <s v="Apparel"/>
    <m/>
    <s v="Retail"/>
    <n v="61"/>
    <m/>
    <m/>
    <m/>
    <m/>
  </r>
  <r>
    <s v="ORD-01447"/>
    <x v="337"/>
    <s v="CUST-0291"/>
    <s v="PROD-028"/>
    <s v="R012"/>
    <n v="1"/>
    <n v="3660"/>
    <n v="14"/>
    <n v="3147.6"/>
    <s v="Refunded"/>
    <s v="Pune"/>
    <s v="Grocery"/>
    <m/>
    <s v="SMB"/>
    <n v="29"/>
    <s v="South"/>
    <s v="Dec-24"/>
    <n v="2214"/>
    <n v="0.39508196721311473"/>
  </r>
  <r>
    <s v="ORD-01448"/>
    <x v="130"/>
    <s v="CUST-0222"/>
    <s v="PROD-022"/>
    <s v="R017"/>
    <n v="6"/>
    <n v="2270"/>
    <n v="16"/>
    <n v="11440.8"/>
    <s v="Completed"/>
    <s v="Chennai"/>
    <s v="Grocery"/>
    <m/>
    <s v="Retail"/>
    <n v="37"/>
    <s v="South"/>
    <s v="Jul-24"/>
    <n v="1412"/>
    <n v="0.37797356828193834"/>
  </r>
  <r>
    <s v="ORD-01449"/>
    <x v="311"/>
    <s v="CUST-0137"/>
    <s v="PROD-049"/>
    <s v="R019"/>
    <n v="7"/>
    <n v="960"/>
    <n v="28.8"/>
    <n v="4784.6400000000003"/>
    <s v="Refunded"/>
    <s v="Mumbai"/>
    <s v="Beauty"/>
    <m/>
    <s v="Retail"/>
    <n v="41"/>
    <m/>
    <m/>
    <m/>
    <m/>
  </r>
  <r>
    <s v="ORD-01450"/>
    <x v="218"/>
    <s v="CUST-0150"/>
    <s v="PROD-033"/>
    <s v="R025"/>
    <n v="9"/>
    <n v="2030"/>
    <n v="3.4"/>
    <n v="17648.82"/>
    <s v="Completed"/>
    <s v="Pune"/>
    <s v="Home"/>
    <m/>
    <s v="SMB"/>
    <n v="53"/>
    <m/>
    <m/>
    <m/>
    <m/>
  </r>
  <r>
    <s v="ORD-01451"/>
    <x v="193"/>
    <s v="CUST-0058"/>
    <s v="PROD-023"/>
    <s v="R005"/>
    <n v="6"/>
    <n v="2380"/>
    <n v="13.2"/>
    <n v="12395.04"/>
    <s v="Completed"/>
    <s v="Bengaluru"/>
    <s v="Grocery"/>
    <m/>
    <s v="SMB"/>
    <n v="49"/>
    <m/>
    <m/>
    <m/>
    <m/>
  </r>
  <r>
    <s v="ORD-01452"/>
    <x v="231"/>
    <s v="CUST-0187"/>
    <s v="PROD-047"/>
    <s v="R009"/>
    <n v="10"/>
    <n v="3450"/>
    <n v="8.6999999999999993"/>
    <n v="31498.5"/>
    <s v="Completed"/>
    <s v="Chennai"/>
    <s v="Beauty"/>
    <m/>
    <s v="SMB"/>
    <n v="51"/>
    <m/>
    <m/>
    <m/>
    <m/>
  </r>
  <r>
    <s v="ORD-01453"/>
    <x v="173"/>
    <s v="CUST-0116"/>
    <s v="PROD-049"/>
    <s v="R021"/>
    <n v="6"/>
    <n v="960"/>
    <n v="20.6"/>
    <n v="4573.4399999999996"/>
    <s v="Pending"/>
    <s v="Bengaluru"/>
    <s v="Beauty"/>
    <m/>
    <s v="Retail"/>
    <n v="53"/>
    <m/>
    <m/>
    <m/>
    <m/>
  </r>
  <r>
    <s v="ORD-01454"/>
    <x v="123"/>
    <s v="CUST-0290"/>
    <s v="PROD-018"/>
    <s v="R013"/>
    <n v="10"/>
    <n v="3560"/>
    <n v="1.4"/>
    <n v="35101.599999999999"/>
    <s v="Pending"/>
    <s v="Delhi"/>
    <s v="Apparel"/>
    <m/>
    <s v="Retail"/>
    <n v="63"/>
    <m/>
    <m/>
    <m/>
    <m/>
  </r>
  <r>
    <s v="ORD-01455"/>
    <x v="20"/>
    <s v="CUST-0053"/>
    <s v="PROD-015"/>
    <s v="R014"/>
    <n v="4"/>
    <n v="2720"/>
    <n v="19.399999999999999"/>
    <n v="8769.2800000000007"/>
    <s v="Refunded"/>
    <s v="Delhi"/>
    <s v="Apparel"/>
    <m/>
    <s v="Retail"/>
    <n v="53"/>
    <m/>
    <m/>
    <m/>
    <m/>
  </r>
  <r>
    <s v="ORD-01456"/>
    <x v="86"/>
    <s v="CUST-0044"/>
    <s v="PROD-009"/>
    <s v="R029"/>
    <n v="5"/>
    <n v="1220"/>
    <n v="15.6"/>
    <n v="5148.3999999999996"/>
    <s v="Completed"/>
    <s v="Hyderabad"/>
    <s v="Electronics"/>
    <m/>
    <s v="SMB"/>
    <n v="29"/>
    <s v="South"/>
    <s v="Mar-24"/>
    <n v="517"/>
    <n v="0.57622950819672136"/>
  </r>
  <r>
    <s v="ORD-01457"/>
    <x v="234"/>
    <s v="CUST-0267"/>
    <s v="PROD-035"/>
    <s v="R026"/>
    <n v="5"/>
    <n v="1090"/>
    <n v="15"/>
    <n v="4632.5"/>
    <s v="Completed"/>
    <s v="Hyderabad"/>
    <s v="Home"/>
    <m/>
    <s v="Retail"/>
    <n v="27"/>
    <s v="West"/>
    <s v="Jun-24"/>
    <n v="464"/>
    <n v="0.57431192660550456"/>
  </r>
  <r>
    <s v="ORD-01458"/>
    <x v="221"/>
    <s v="CUST-0179"/>
    <s v="PROD-032"/>
    <s v="R029"/>
    <n v="9"/>
    <n v="370"/>
    <n v="25.4"/>
    <n v="2484.1799999999998"/>
    <s v="Completed"/>
    <s v="Mumbai"/>
    <s v="Home"/>
    <m/>
    <s v="SMB"/>
    <n v="54"/>
    <m/>
    <m/>
    <m/>
    <m/>
  </r>
  <r>
    <s v="ORD-01459"/>
    <x v="145"/>
    <s v="CUST-0089"/>
    <s v="PROD-055"/>
    <s v="R007"/>
    <n v="7"/>
    <n v="2860"/>
    <n v="14"/>
    <n v="17217.2"/>
    <s v="Completed"/>
    <s v="Mumbai"/>
    <s v="Sports"/>
    <m/>
    <s v="SMB"/>
    <n v="43"/>
    <m/>
    <m/>
    <m/>
    <m/>
  </r>
  <r>
    <s v="ORD-01460"/>
    <x v="156"/>
    <s v="CUST-0090"/>
    <s v="PROD-029"/>
    <s v="R026"/>
    <n v="1"/>
    <n v="2210"/>
    <n v="1.7"/>
    <n v="2172.4299999999998"/>
    <s v="Completed"/>
    <s v="Bengaluru"/>
    <s v="Grocery"/>
    <m/>
    <s v="Corporate"/>
    <n v="26"/>
    <s v="North"/>
    <s v="Jun-24"/>
    <n v="1010"/>
    <n v="0.54298642533936647"/>
  </r>
  <r>
    <s v="ORD-01461"/>
    <x v="241"/>
    <s v="CUST-0135"/>
    <s v="PROD-030"/>
    <s v="R025"/>
    <n v="3"/>
    <n v="970"/>
    <n v="20.3"/>
    <n v="2319.27"/>
    <s v="Pending"/>
    <s v="Pune"/>
    <s v="Grocery"/>
    <m/>
    <s v="SMB"/>
    <n v="24"/>
    <s v="West"/>
    <s v="Jul-24"/>
    <n v="434"/>
    <n v="0.5525773195876289"/>
  </r>
  <r>
    <s v="ORD-01462"/>
    <x v="233"/>
    <s v="CUST-0252"/>
    <s v="PROD-018"/>
    <s v="R021"/>
    <n v="5"/>
    <n v="3560"/>
    <n v="17.100000000000001"/>
    <n v="14756.2"/>
    <s v="Completed"/>
    <s v="Bengaluru"/>
    <s v="Apparel"/>
    <m/>
    <s v="Retail"/>
    <n v="27"/>
    <s v="West"/>
    <s v="Oct-24"/>
    <n v="2629"/>
    <n v="0.26151685393258428"/>
  </r>
  <r>
    <s v="ORD-01463"/>
    <x v="244"/>
    <s v="CUST-0086"/>
    <s v="PROD-040"/>
    <s v="R023"/>
    <n v="10"/>
    <n v="1080"/>
    <n v="12.8"/>
    <n v="9417.6"/>
    <s v="Completed"/>
    <s v="Hyderabad"/>
    <s v="Home"/>
    <m/>
    <s v="Corporate"/>
    <n v="56"/>
    <m/>
    <m/>
    <m/>
    <m/>
  </r>
  <r>
    <s v="ORD-01464"/>
    <x v="258"/>
    <s v="CUST-0264"/>
    <s v="PROD-009"/>
    <s v="R011"/>
    <n v="3"/>
    <n v="1220"/>
    <n v="1.9"/>
    <n v="3590.46"/>
    <s v="Completed"/>
    <s v="Pune"/>
    <s v="Electronics"/>
    <m/>
    <s v="Retail"/>
    <n v="59"/>
    <m/>
    <m/>
    <m/>
    <m/>
  </r>
  <r>
    <s v="ORD-01465"/>
    <x v="319"/>
    <s v="CUST-9851"/>
    <s v="PROD-031"/>
    <s v="R009"/>
    <n v="1"/>
    <n v="3730"/>
    <n v="14.7"/>
    <n v="3181.69"/>
    <s v="Pending"/>
    <s v="Pune"/>
    <s v="Home"/>
    <m/>
    <e v="#N/A"/>
    <e v="#N/A"/>
    <m/>
    <m/>
    <m/>
    <m/>
  </r>
  <r>
    <s v="ORD-01466"/>
    <x v="108"/>
    <s v="CUST-0143"/>
    <s v="PROD-007"/>
    <s v="R001"/>
    <n v="3"/>
    <n v="1430"/>
    <n v="13.2"/>
    <n v="3723.72"/>
    <s v="Completed"/>
    <s v="Chennai"/>
    <s v="Electronics"/>
    <m/>
    <s v="SMB"/>
    <n v="52"/>
    <m/>
    <m/>
    <m/>
    <m/>
  </r>
  <r>
    <s v="ORD-01467"/>
    <x v="3"/>
    <s v="CUST-0086"/>
    <s v="PROD-050"/>
    <s v="R018"/>
    <n v="2"/>
    <n v="6080"/>
    <n v="21.8"/>
    <n v="9509.1200000000008"/>
    <s v="Cancelled"/>
    <s v="Hyderabad"/>
    <s v="Beauty"/>
    <m/>
    <s v="Corporate"/>
    <n v="56"/>
    <m/>
    <m/>
    <m/>
    <m/>
  </r>
  <r>
    <s v="ORD-01468"/>
    <x v="30"/>
    <s v="CUST-0196"/>
    <s v="PROD-048"/>
    <s v="R015"/>
    <n v="9"/>
    <n v="5100"/>
    <n v="29.3"/>
    <n v="32451.3"/>
    <s v="Completed"/>
    <s v="Chennai"/>
    <s v="Beauty"/>
    <m/>
    <s v="Retail"/>
    <n v="26"/>
    <s v="East"/>
    <s v="May-24"/>
    <n v="2237"/>
    <n v="0.56137254901960787"/>
  </r>
  <r>
    <s v="ORD-01469"/>
    <x v="75"/>
    <s v="CUST-0089"/>
    <s v="PROD-011"/>
    <s v="R014"/>
    <n v="5"/>
    <n v="3450"/>
    <n v="5.3"/>
    <n v="16335.75"/>
    <s v="Completed"/>
    <s v="Mumbai"/>
    <s v="Apparel"/>
    <m/>
    <s v="SMB"/>
    <n v="43"/>
    <m/>
    <m/>
    <m/>
    <m/>
  </r>
  <r>
    <s v="ORD-01470"/>
    <x v="215"/>
    <s v="CUST-0149"/>
    <s v="PROD-003"/>
    <s v="R002"/>
    <n v="6"/>
    <n v="3570"/>
    <n v="17.3"/>
    <n v="17714.34"/>
    <s v="Completed"/>
    <s v="Hyderabad"/>
    <s v="Electronics"/>
    <m/>
    <s v="Retail"/>
    <n v="44"/>
    <m/>
    <m/>
    <m/>
    <m/>
  </r>
  <r>
    <s v="ORD-01471"/>
    <x v="328"/>
    <s v="CUST-0161"/>
    <s v="PROD-031"/>
    <s v="R018"/>
    <n v="6"/>
    <n v="3730"/>
    <n v="1"/>
    <n v="22156.2"/>
    <s v="Completed"/>
    <s v="Chennai"/>
    <s v="Home"/>
    <m/>
    <s v="Retail"/>
    <n v="38"/>
    <s v="North"/>
    <s v="Dec-24"/>
    <n v="2135"/>
    <n v="0.42761394101876676"/>
  </r>
  <r>
    <s v="ORD-01472"/>
    <x v="182"/>
    <s v="CUST-0022"/>
    <s v="PROD-059"/>
    <s v="R019"/>
    <n v="4"/>
    <n v="3780"/>
    <n v="13.1"/>
    <n v="13139.28"/>
    <s v="Completed"/>
    <s v="Bengaluru"/>
    <s v="Sports"/>
    <m/>
    <s v="Corporate"/>
    <n v="55"/>
    <m/>
    <m/>
    <m/>
    <m/>
  </r>
  <r>
    <s v="ORD-01473"/>
    <x v="187"/>
    <s v="CUST-0169"/>
    <s v="PROD-017"/>
    <s v="R011"/>
    <n v="1"/>
    <n v="2510"/>
    <n v="27.8"/>
    <n v="1812.22"/>
    <s v="Cancelled"/>
    <s v="Bengaluru"/>
    <s v="Apparel"/>
    <m/>
    <s v="SMB"/>
    <n v="42"/>
    <m/>
    <m/>
    <m/>
    <m/>
  </r>
  <r>
    <s v="ORD-01474"/>
    <x v="251"/>
    <s v="CUST-0290"/>
    <s v="PROD-037"/>
    <s v="R007"/>
    <n v="9"/>
    <n v="660"/>
    <n v="29.3"/>
    <n v="4199.58"/>
    <s v="Completed"/>
    <s v="Delhi"/>
    <s v="Home"/>
    <m/>
    <s v="Retail"/>
    <n v="63"/>
    <m/>
    <m/>
    <m/>
    <m/>
  </r>
  <r>
    <s v="ORD-01475"/>
    <x v="11"/>
    <s v="CUST-0156"/>
    <s v="PROD-013"/>
    <s v="R030"/>
    <n v="7"/>
    <n v="3640"/>
    <n v="11.6"/>
    <n v="22524.32"/>
    <s v="Completed"/>
    <s v="Mumbai"/>
    <s v="Apparel"/>
    <m/>
    <s v="Retail"/>
    <n v="33"/>
    <s v="North"/>
    <s v="Oct-24"/>
    <n v="2611"/>
    <n v="0.28269230769230769"/>
  </r>
  <r>
    <s v="ORD-01476"/>
    <x v="209"/>
    <s v="CUST-0005"/>
    <s v="PROD-052"/>
    <s v="R019"/>
    <n v="8"/>
    <n v="5410"/>
    <n v="25.6"/>
    <n v="32200.32"/>
    <s v="Completed"/>
    <s v="Chennai"/>
    <s v="Sports"/>
    <m/>
    <s v="Corporate"/>
    <n v="52"/>
    <m/>
    <m/>
    <m/>
    <m/>
  </r>
  <r>
    <s v="ORD-01477"/>
    <x v="305"/>
    <s v="CUST-0206"/>
    <s v="PROD-058"/>
    <s v="R008"/>
    <n v="4"/>
    <n v="2400"/>
    <n v="10.4"/>
    <n v="8601.6"/>
    <s v="Completed"/>
    <s v="Mumbai"/>
    <s v="Sports"/>
    <m/>
    <s v="Retail"/>
    <n v="40"/>
    <s v="East"/>
    <s v="May-24"/>
    <n v="974"/>
    <n v="0.59416666666666662"/>
  </r>
  <r>
    <s v="ORD-01478"/>
    <x v="144"/>
    <s v="CUST-0240"/>
    <s v="PROD-038"/>
    <s v="R028"/>
    <n v="2"/>
    <n v="5490"/>
    <n v="5.4"/>
    <n v="10387.08"/>
    <s v="Completed"/>
    <s v="Chennai"/>
    <s v="Home"/>
    <m/>
    <s v="Corporate"/>
    <n v="35"/>
    <s v="North"/>
    <s v="Feb-24"/>
    <n v="2549"/>
    <n v="0.53570127504553733"/>
  </r>
  <r>
    <s v="ORD-01479"/>
    <x v="340"/>
    <s v="CUST-0109"/>
    <s v="PROD-041"/>
    <s v="R016"/>
    <n v="6"/>
    <n v="1540"/>
    <n v="0.6"/>
    <n v="9184.56"/>
    <s v="Completed"/>
    <s v="Pune"/>
    <s v="Beauty"/>
    <m/>
    <s v="Retail"/>
    <n v="42"/>
    <m/>
    <m/>
    <m/>
    <m/>
  </r>
  <r>
    <s v="ORD-01480"/>
    <x v="30"/>
    <s v="CUST-0201"/>
    <s v="PROD-001"/>
    <s v="R001"/>
    <n v="3"/>
    <n v="5330"/>
    <n v="1"/>
    <n v="15830.1"/>
    <s v="Pending"/>
    <s v="Hyderabad"/>
    <s v="Electronics"/>
    <m/>
    <s v="Retail"/>
    <n v="31"/>
    <s v="South"/>
    <s v="Aug-24"/>
    <n v="2405"/>
    <n v="0.54878048780487809"/>
  </r>
  <r>
    <s v="ORD-01481"/>
    <x v="190"/>
    <s v="CUST-0100"/>
    <s v="PROD-055"/>
    <s v="R012"/>
    <n v="6"/>
    <n v="2860"/>
    <n v="13.3"/>
    <n v="14877.72"/>
    <s v="Completed"/>
    <s v="Hyderabad"/>
    <s v="Sports"/>
    <m/>
    <s v="Corporate"/>
    <n v="60"/>
    <m/>
    <m/>
    <m/>
    <m/>
  </r>
  <r>
    <s v="ORD-01482"/>
    <x v="359"/>
    <s v="CUST-0262"/>
    <s v="PROD-046"/>
    <s v="R006"/>
    <n v="3"/>
    <n v="4880"/>
    <n v="12.1"/>
    <n v="12868.56"/>
    <s v="Completed"/>
    <s v="Mumbai"/>
    <s v="Beauty"/>
    <m/>
    <s v="Retail"/>
    <n v="52"/>
    <m/>
    <m/>
    <m/>
    <m/>
  </r>
  <r>
    <s v="ORD-01483"/>
    <x v="177"/>
    <s v="CUST-0067"/>
    <s v="PROD-017"/>
    <s v="R005"/>
    <n v="5"/>
    <n v="2510"/>
    <n v="2.9"/>
    <n v="12186.05"/>
    <s v="Pending"/>
    <s v="Delhi"/>
    <s v="Apparel"/>
    <m/>
    <s v="SMB"/>
    <n v="59"/>
    <m/>
    <m/>
    <m/>
    <m/>
  </r>
  <r>
    <s v="ORD-01484"/>
    <x v="283"/>
    <s v="CUST-9844"/>
    <s v="PROD-006"/>
    <s v="R020"/>
    <n v="9"/>
    <n v="3970"/>
    <n v="28"/>
    <n v="25725.599999999999"/>
    <s v="Completed"/>
    <s v="Pune"/>
    <s v="Electronics"/>
    <m/>
    <e v="#N/A"/>
    <e v="#N/A"/>
    <m/>
    <m/>
    <m/>
    <m/>
  </r>
  <r>
    <s v="ORD-01485"/>
    <x v="106"/>
    <s v="CUST-0122"/>
    <s v="PROD-053"/>
    <s v="R027"/>
    <n v="4"/>
    <n v="470"/>
    <n v="19.100000000000001"/>
    <n v="1520.92"/>
    <s v="Pending"/>
    <s v="Mumbai"/>
    <s v="Sports"/>
    <m/>
    <s v="Retail"/>
    <n v="44"/>
    <m/>
    <m/>
    <m/>
    <m/>
  </r>
  <r>
    <s v="ORD-01486"/>
    <x v="269"/>
    <s v="CUST-0129"/>
    <s v="PROD-001"/>
    <s v="R025"/>
    <n v="7"/>
    <n v="5330"/>
    <n v="17.2"/>
    <n v="30892.68"/>
    <s v="Cancelled"/>
    <s v="Hyderabad"/>
    <s v="Electronics"/>
    <m/>
    <s v="Retail"/>
    <n v="29"/>
    <s v="West"/>
    <s v="Oct-24"/>
    <n v="2405"/>
    <n v="0.54878048780487809"/>
  </r>
  <r>
    <s v="ORD-01487"/>
    <x v="187"/>
    <s v="CUST-0056"/>
    <s v="PROD-035"/>
    <s v="R012"/>
    <n v="4"/>
    <n v="1090"/>
    <n v="4.9000000000000004"/>
    <n v="4146.3599999999997"/>
    <s v="Cancelled"/>
    <s v="Bengaluru"/>
    <s v="Home"/>
    <m/>
    <s v="SMB"/>
    <n v="46"/>
    <m/>
    <m/>
    <m/>
    <m/>
  </r>
  <r>
    <s v="ORD-01488"/>
    <x v="145"/>
    <s v="CUST-0080"/>
    <s v="PROD-054"/>
    <s v="R009"/>
    <n v="2"/>
    <n v="1010"/>
    <n v="14"/>
    <n v="1737.2"/>
    <s v="Completed"/>
    <s v="Pune"/>
    <s v="Sports"/>
    <m/>
    <s v="SMB"/>
    <n v="30"/>
    <s v="South"/>
    <s v="Aug-24"/>
    <n v="516"/>
    <n v="0.4891089108910891"/>
  </r>
  <r>
    <s v="ORD-01489"/>
    <x v="30"/>
    <s v="CUST-0155"/>
    <s v="PROD-004"/>
    <s v="R016"/>
    <n v="9"/>
    <n v="3870"/>
    <n v="8.1999999999999993"/>
    <n v="31973.94"/>
    <s v="Completed"/>
    <s v="Pune"/>
    <s v="Electronics"/>
    <m/>
    <s v="Corporate"/>
    <n v="40"/>
    <s v="South"/>
    <s v="Jun-24"/>
    <n v="1559"/>
    <n v="0.59715762273901807"/>
  </r>
  <r>
    <s v="ORD-01490"/>
    <x v="304"/>
    <s v="CUST-0278"/>
    <s v="PROD-008"/>
    <s v="R013"/>
    <n v="7"/>
    <n v="2660"/>
    <n v="15.9"/>
    <n v="15659.42"/>
    <s v="Completed"/>
    <s v="Hyderabad"/>
    <s v="Electronics"/>
    <m/>
    <s v="Retail"/>
    <n v="41"/>
    <m/>
    <m/>
    <m/>
    <m/>
  </r>
  <r>
    <s v="ORD-01491"/>
    <x v="204"/>
    <s v="CUST-0075"/>
    <s v="PROD-007"/>
    <s v="R019"/>
    <n v="4"/>
    <n v="1430"/>
    <n v="25.6"/>
    <n v="4255.68"/>
    <s v="Completed"/>
    <s v="Mumbai"/>
    <s v="Electronics"/>
    <m/>
    <s v="Corporate"/>
    <n v="55"/>
    <m/>
    <m/>
    <m/>
    <m/>
  </r>
  <r>
    <s v="ORD-01492"/>
    <x v="163"/>
    <s v="CUST-0274"/>
    <s v="PROD-046"/>
    <s v="R023"/>
    <n v="4"/>
    <n v="4880"/>
    <n v="19.399999999999999"/>
    <n v="15733.12"/>
    <s v="Cancelled"/>
    <s v="Bengaluru"/>
    <s v="Beauty"/>
    <m/>
    <s v="Corporate"/>
    <n v="36"/>
    <s v="East"/>
    <s v="Nov-24"/>
    <n v="2768"/>
    <n v="0.43278688524590164"/>
  </r>
  <r>
    <s v="ORD-01493"/>
    <x v="286"/>
    <s v="CUST-0197"/>
    <s v="PROD-060"/>
    <s v="R001"/>
    <n v="2"/>
    <n v="190"/>
    <n v="9"/>
    <n v="345.8"/>
    <s v="Completed"/>
    <s v="Bengaluru"/>
    <s v="Sports"/>
    <m/>
    <s v="Retail"/>
    <n v="55"/>
    <m/>
    <m/>
    <m/>
    <m/>
  </r>
  <r>
    <s v="ORD-01494"/>
    <x v="209"/>
    <s v="CUST-0294"/>
    <s v="PROD-045"/>
    <s v="R019"/>
    <n v="1"/>
    <n v="3020"/>
    <n v="3.6"/>
    <n v="2911.28"/>
    <s v="Refunded"/>
    <s v="Delhi"/>
    <s v="Beauty"/>
    <m/>
    <s v="Corporate"/>
    <n v="31"/>
    <s v="North"/>
    <s v="Oct-24"/>
    <n v="1626"/>
    <n v="0.46158940397350995"/>
  </r>
  <r>
    <s v="ORD-01495"/>
    <x v="131"/>
    <s v="CUST-0281"/>
    <s v="PROD-046"/>
    <s v="R019"/>
    <n v="2"/>
    <n v="4880"/>
    <n v="2"/>
    <n v="9564.7999999999993"/>
    <s v="Cancelled"/>
    <s v="Bengaluru"/>
    <s v="Beauty"/>
    <m/>
    <s v="Corporate"/>
    <n v="57"/>
    <m/>
    <m/>
    <m/>
    <m/>
  </r>
  <r>
    <s v="ORD-01496"/>
    <x v="158"/>
    <s v="CUST-0130"/>
    <s v="PROD-058"/>
    <s v="R027"/>
    <n v="4"/>
    <n v="2400"/>
    <n v="11.5"/>
    <n v="8496"/>
    <s v="Completed"/>
    <s v="Bengaluru"/>
    <s v="Sports"/>
    <m/>
    <s v="Corporate"/>
    <n v="41"/>
    <m/>
    <m/>
    <m/>
    <m/>
  </r>
  <r>
    <s v="ORD-01497"/>
    <x v="298"/>
    <s v="CUST-0097"/>
    <s v="PROD-050"/>
    <s v="R002"/>
    <n v="2"/>
    <n v="6080"/>
    <n v="0.5"/>
    <n v="12099.2"/>
    <s v="Cancelled"/>
    <s v="Mumbai"/>
    <s v="Beauty"/>
    <m/>
    <s v="Retail"/>
    <n v="65"/>
    <m/>
    <m/>
    <m/>
    <m/>
  </r>
  <r>
    <s v="ORD-01498"/>
    <x v="360"/>
    <s v="CUST-0148"/>
    <s v="PROD-023"/>
    <s v="R023"/>
    <n v="7"/>
    <n v="2380"/>
    <n v="12.3"/>
    <n v="14610.82"/>
    <s v="Completed"/>
    <s v="Chennai"/>
    <s v="Grocery"/>
    <m/>
    <s v="Retail"/>
    <n v="32"/>
    <s v="North"/>
    <s v="Mar-24"/>
    <n v="1182"/>
    <n v="0.50336134453781511"/>
  </r>
  <r>
    <s v="ORD-01499"/>
    <x v="89"/>
    <s v="CUST-0102"/>
    <s v="PROD-041"/>
    <s v="R001"/>
    <n v="10"/>
    <n v="1540"/>
    <n v="20.6"/>
    <n v="12227.6"/>
    <s v="Completed"/>
    <s v="Chennai"/>
    <s v="Beauty"/>
    <m/>
    <s v="SMB"/>
    <n v="62"/>
    <m/>
    <m/>
    <m/>
    <m/>
  </r>
  <r>
    <s v="ORD-01500"/>
    <x v="226"/>
    <s v="CUST-0265"/>
    <s v="PROD-004"/>
    <s v="R028"/>
    <n v="7"/>
    <n v="3870"/>
    <n v="6.1"/>
    <n v="25437.51"/>
    <s v="Completed"/>
    <s v="Chennai"/>
    <s v="Electronics"/>
    <m/>
    <s v="Retail"/>
    <n v="49"/>
    <m/>
    <m/>
    <m/>
    <m/>
  </r>
  <r>
    <s v="ORD-01501"/>
    <x v="266"/>
    <s v="CUST-0073"/>
    <s v="PROD-032"/>
    <s v="R021"/>
    <n v="3"/>
    <n v="370"/>
    <n v="13.7"/>
    <n v="957.93"/>
    <s v="Completed"/>
    <s v="Pune"/>
    <s v="Home"/>
    <m/>
    <s v="Corporate"/>
    <n v="40"/>
    <s v="West"/>
    <s v="Aug-24"/>
    <n v="288"/>
    <n v="0.22162162162162163"/>
  </r>
  <r>
    <s v="ORD-01502"/>
    <x v="60"/>
    <s v="CUST-0070"/>
    <s v="PROD-060"/>
    <s v="R027"/>
    <n v="8"/>
    <n v="190"/>
    <n v="0.2"/>
    <n v="1516.96"/>
    <s v="Completed"/>
    <s v="Mumbai"/>
    <s v="Sports"/>
    <m/>
    <s v="Retail"/>
    <n v="42"/>
    <m/>
    <m/>
    <m/>
    <m/>
  </r>
  <r>
    <s v="ORD-01503"/>
    <x v="350"/>
    <s v="CUST-0202"/>
    <s v="PROD-007"/>
    <s v="R011"/>
    <n v="6"/>
    <n v="1430"/>
    <n v="0.1"/>
    <n v="8571.42"/>
    <s v="Completed"/>
    <s v="Chennai"/>
    <s v="Electronics"/>
    <m/>
    <s v="Retail"/>
    <n v="39"/>
    <s v="West"/>
    <s v="Feb-24"/>
    <n v="861"/>
    <n v="0.39790209790209791"/>
  </r>
  <r>
    <s v="ORD-01504"/>
    <x v="63"/>
    <s v="CUST-0240"/>
    <s v="PROD-053"/>
    <s v="R020"/>
    <n v="4"/>
    <n v="470"/>
    <n v="3"/>
    <n v="1823.6"/>
    <s v="Completed"/>
    <s v="Chennai"/>
    <s v="Sports"/>
    <m/>
    <s v="Corporate"/>
    <n v="35"/>
    <s v="South"/>
    <s v="Jul-24"/>
    <n v="302"/>
    <n v="0.35744680851063831"/>
  </r>
  <r>
    <s v="ORD-01505"/>
    <x v="225"/>
    <s v="CUST-0163"/>
    <s v="PROD-018"/>
    <s v="R004"/>
    <n v="4"/>
    <n v="3560"/>
    <n v="1.1000000000000001"/>
    <n v="14083.36"/>
    <s v="Completed"/>
    <s v="Pune"/>
    <s v="Apparel"/>
    <m/>
    <s v="Retail"/>
    <n v="49"/>
    <m/>
    <m/>
    <m/>
    <m/>
  </r>
  <r>
    <s v="ORD-01506"/>
    <x v="126"/>
    <s v="CUST-0238"/>
    <s v="PROD-046"/>
    <s v="R012"/>
    <n v="5"/>
    <n v="4880"/>
    <n v="17"/>
    <n v="20252"/>
    <s v="Completed"/>
    <s v="Delhi"/>
    <s v="Beauty"/>
    <m/>
    <s v="Retail"/>
    <n v="49"/>
    <m/>
    <m/>
    <m/>
    <m/>
  </r>
  <r>
    <s v="ORD-01507"/>
    <x v="64"/>
    <s v="CUST-0196"/>
    <s v="PROD-003"/>
    <s v="R009"/>
    <n v="9"/>
    <n v="3570"/>
    <n v="12"/>
    <n v="28274.400000000001"/>
    <s v="Completed"/>
    <s v="Chennai"/>
    <s v="Electronics"/>
    <m/>
    <s v="Retail"/>
    <n v="26"/>
    <s v="South"/>
    <s v="Aug-24"/>
    <n v="1665"/>
    <n v="0.53361344537815125"/>
  </r>
  <r>
    <s v="ORD-01508"/>
    <x v="43"/>
    <s v="CUST-0220"/>
    <s v="PROD-051"/>
    <s v="R025"/>
    <n v="6"/>
    <n v="3450"/>
    <n v="22.7"/>
    <n v="16001.1"/>
    <s v="Cancelled"/>
    <s v="Chennai"/>
    <s v="Sports"/>
    <m/>
    <s v="Retail"/>
    <n v="34"/>
    <s v="South"/>
    <s v="Jul-24"/>
    <n v="2467"/>
    <n v="0.28492753623188405"/>
  </r>
  <r>
    <s v="ORD-01509"/>
    <x v="145"/>
    <s v="CUST-0142"/>
    <s v="PROD-040"/>
    <s v="R002"/>
    <n v="10"/>
    <n v="1080"/>
    <n v="27.4"/>
    <n v="7840.8"/>
    <s v="Completed"/>
    <s v="Chennai"/>
    <s v="Home"/>
    <m/>
    <s v="Corporate"/>
    <n v="55"/>
    <m/>
    <m/>
    <m/>
    <m/>
  </r>
  <r>
    <s v="ORD-01510"/>
    <x v="150"/>
    <s v="CUST-0217"/>
    <s v="PROD-041"/>
    <s v="R025"/>
    <n v="6"/>
    <n v="1540"/>
    <n v="17.100000000000001"/>
    <n v="7659.96"/>
    <s v="Completed"/>
    <s v="Pune"/>
    <s v="Beauty"/>
    <m/>
    <s v="SMB"/>
    <n v="59"/>
    <m/>
    <m/>
    <m/>
    <m/>
  </r>
  <r>
    <s v="ORD-01511"/>
    <x v="361"/>
    <s v="CUST-9582"/>
    <s v="PROD-015"/>
    <s v="R013"/>
    <n v="6"/>
    <n v="2720"/>
    <n v="28.1"/>
    <n v="11734.08"/>
    <s v="Completed"/>
    <s v="Mumbai"/>
    <s v="Apparel"/>
    <m/>
    <e v="#N/A"/>
    <e v="#N/A"/>
    <m/>
    <m/>
    <m/>
    <m/>
  </r>
  <r>
    <s v="ORD-01512"/>
    <x v="28"/>
    <s v="CUST-0267"/>
    <s v="PROD-034"/>
    <s v="R005"/>
    <n v="2"/>
    <n v="5080"/>
    <n v="11.1"/>
    <n v="9032.24"/>
    <s v="Completed"/>
    <s v="Hyderabad"/>
    <s v="Home"/>
    <m/>
    <s v="Retail"/>
    <n v="27"/>
    <s v="South"/>
    <s v="Sep-24"/>
    <n v="2459"/>
    <n v="0.51594488188976373"/>
  </r>
  <r>
    <s v="ORD-01513"/>
    <x v="90"/>
    <s v="CUST-9565"/>
    <s v="PROD-016"/>
    <s v="R008"/>
    <n v="5"/>
    <n v="620"/>
    <n v="10.9"/>
    <n v="2762.1"/>
    <s v="Pending"/>
    <s v="Chennai"/>
    <s v="Apparel"/>
    <m/>
    <e v="#N/A"/>
    <e v="#N/A"/>
    <m/>
    <m/>
    <m/>
    <m/>
  </r>
  <r>
    <s v="ORD-01514"/>
    <x v="312"/>
    <s v="CUST-0051"/>
    <s v="PROD-019"/>
    <s v="R003"/>
    <n v="3"/>
    <n v="2480"/>
    <n v="5"/>
    <n v="7068"/>
    <s v="Completed"/>
    <s v="Pune"/>
    <s v="Apparel"/>
    <m/>
    <s v="SMB"/>
    <n v="54"/>
    <m/>
    <m/>
    <m/>
    <m/>
  </r>
  <r>
    <s v="ORD-01515"/>
    <x v="205"/>
    <s v="CUST-0075"/>
    <s v="PROD-054"/>
    <s v="R005"/>
    <n v="9"/>
    <n v="1010"/>
    <n v="21.9"/>
    <n v="7099.29"/>
    <s v="Completed"/>
    <s v="Mumbai"/>
    <s v="Sports"/>
    <m/>
    <s v="Corporate"/>
    <n v="55"/>
    <m/>
    <m/>
    <m/>
    <m/>
  </r>
  <r>
    <s v="ORD-01516"/>
    <x v="269"/>
    <s v="CUST-0106"/>
    <s v="PROD-040"/>
    <s v="R004"/>
    <n v="2"/>
    <n v="1080"/>
    <n v="8.5"/>
    <n v="1976.4"/>
    <s v="Completed"/>
    <s v="Pune"/>
    <s v="Home"/>
    <m/>
    <s v="Retail"/>
    <n v="22"/>
    <s v="North"/>
    <s v="Sep-24"/>
    <n v="519"/>
    <n v="0.51944444444444449"/>
  </r>
  <r>
    <s v="ORD-01517"/>
    <x v="354"/>
    <s v="CUST-0053"/>
    <s v="PROD-053"/>
    <s v="R025"/>
    <n v="5"/>
    <n v="470"/>
    <n v="8"/>
    <n v="2162"/>
    <s v="Completed"/>
    <s v="Delhi"/>
    <s v="Sports"/>
    <m/>
    <s v="Retail"/>
    <n v="53"/>
    <m/>
    <m/>
    <m/>
    <m/>
  </r>
  <r>
    <s v="ORD-01518"/>
    <x v="67"/>
    <s v="CUST-0042"/>
    <s v="PROD-006"/>
    <s v="R020"/>
    <n v="9"/>
    <n v="3970"/>
    <n v="18.5"/>
    <n v="29119.95"/>
    <s v="Completed"/>
    <s v="Pune"/>
    <s v="Electronics"/>
    <m/>
    <s v="Retail"/>
    <n v="25"/>
    <s v="West"/>
    <s v="Feb-24"/>
    <n v="2865"/>
    <n v="0.27833753148614609"/>
  </r>
  <r>
    <s v="ORD-01519"/>
    <x v="105"/>
    <s v="CUST-0120"/>
    <s v="PROD-044"/>
    <s v="R010"/>
    <n v="9"/>
    <n v="1650"/>
    <n v="19.5"/>
    <n v="11954.25"/>
    <s v="Completed"/>
    <s v="Mumbai"/>
    <s v="Beauty"/>
    <m/>
    <s v="Retail"/>
    <n v="29"/>
    <s v="East"/>
    <s v="Mar-24"/>
    <n v="1222"/>
    <n v="0.2593939393939394"/>
  </r>
  <r>
    <s v="ORD-01520"/>
    <x v="234"/>
    <s v="CUST-0166"/>
    <s v="PROD-043"/>
    <s v="R006"/>
    <n v="9"/>
    <n v="3350"/>
    <n v="4.0999999999999996"/>
    <n v="28913.85"/>
    <s v="Completed"/>
    <s v="Hyderabad"/>
    <s v="Beauty"/>
    <m/>
    <s v="Retail"/>
    <n v="31"/>
    <s v="South"/>
    <s v="Nov-24"/>
    <n v="1728"/>
    <n v="0.48417910447761192"/>
  </r>
  <r>
    <s v="ORD-01521"/>
    <x v="305"/>
    <s v="CUST-0175"/>
    <s v="PROD-006"/>
    <s v="R023"/>
    <n v="7"/>
    <n v="3970"/>
    <n v="15.6"/>
    <n v="23454.76"/>
    <s v="Completed"/>
    <s v="Delhi"/>
    <s v="Electronics"/>
    <m/>
    <s v="Corporate"/>
    <n v="55"/>
    <m/>
    <m/>
    <m/>
    <m/>
  </r>
  <r>
    <s v="ORD-01522"/>
    <x v="253"/>
    <s v="CUST-0001"/>
    <s v="PROD-027"/>
    <s v="R018"/>
    <n v="7"/>
    <n v="3780"/>
    <n v="18.7"/>
    <n v="21511.98"/>
    <s v="Completed"/>
    <s v="Pune"/>
    <s v="Grocery"/>
    <m/>
    <s v="Retail"/>
    <n v="36"/>
    <s v="East"/>
    <s v="Feb-24"/>
    <n v="2436"/>
    <n v="0.35555555555555557"/>
  </r>
  <r>
    <s v="ORD-01523"/>
    <x v="327"/>
    <s v="CUST-0238"/>
    <s v="PROD-020"/>
    <s v="R013"/>
    <n v="4"/>
    <n v="820"/>
    <n v="18.8"/>
    <n v="2663.36"/>
    <s v="Cancelled"/>
    <s v="Delhi"/>
    <s v="Apparel"/>
    <m/>
    <s v="Retail"/>
    <n v="49"/>
    <m/>
    <m/>
    <m/>
    <m/>
  </r>
  <r>
    <s v="ORD-01524"/>
    <x v="77"/>
    <s v="CUST-0279"/>
    <s v="PROD-044"/>
    <s v="R022"/>
    <n v="1"/>
    <n v="1650"/>
    <n v="18.8"/>
    <n v="1339.8"/>
    <s v="Cancelled"/>
    <s v="Mumbai"/>
    <s v="Beauty"/>
    <m/>
    <s v="Retail"/>
    <n v="56"/>
    <m/>
    <m/>
    <m/>
    <m/>
  </r>
  <r>
    <s v="ORD-01525"/>
    <x v="245"/>
    <s v="CUST-0042"/>
    <s v="PROD-027"/>
    <s v="R021"/>
    <n v="2"/>
    <n v="3780"/>
    <n v="1"/>
    <n v="7484.4"/>
    <s v="Refunded"/>
    <s v="Pune"/>
    <s v="Grocery"/>
    <m/>
    <s v="Retail"/>
    <n v="25"/>
    <s v="East"/>
    <s v="Nov-24"/>
    <n v="2436"/>
    <n v="0.35555555555555557"/>
  </r>
  <r>
    <s v="ORD-01526"/>
    <x v="53"/>
    <s v="CUST-0137"/>
    <s v="PROD-029"/>
    <s v="R027"/>
    <n v="5"/>
    <n v="2210"/>
    <n v="16.600000000000001"/>
    <n v="9215.7000000000007"/>
    <s v="Completed"/>
    <s v="Mumbai"/>
    <s v="Grocery"/>
    <m/>
    <s v="Retail"/>
    <n v="41"/>
    <m/>
    <m/>
    <m/>
    <m/>
  </r>
  <r>
    <s v="ORD-01527"/>
    <x v="173"/>
    <s v="CUST-0160"/>
    <s v="PROD-056"/>
    <s v="R010"/>
    <n v="10"/>
    <n v="6940"/>
    <n v="10.6"/>
    <n v="62043.6"/>
    <s v="Completed"/>
    <s v="Hyderabad"/>
    <s v="Sports"/>
    <m/>
    <s v="Retail"/>
    <n v="27"/>
    <s v="West"/>
    <s v="May-24"/>
    <n v="2827"/>
    <n v="0.5926512968299712"/>
  </r>
  <r>
    <s v="ORD-01528"/>
    <x v="253"/>
    <s v="CUST-0102"/>
    <s v="PROD-042"/>
    <s v="R005"/>
    <n v="8"/>
    <n v="2290"/>
    <n v="12.2"/>
    <n v="16084.96"/>
    <s v="Completed"/>
    <s v="Chennai"/>
    <s v="Beauty"/>
    <m/>
    <s v="SMB"/>
    <n v="62"/>
    <m/>
    <m/>
    <m/>
    <m/>
  </r>
  <r>
    <s v="ORD-01529"/>
    <x v="201"/>
    <s v="CUST-0133"/>
    <s v="PROD-033"/>
    <s v="R025"/>
    <n v="5"/>
    <n v="2030"/>
    <n v="23.8"/>
    <n v="7734.3"/>
    <s v="Cancelled"/>
    <s v="Chennai"/>
    <s v="Home"/>
    <m/>
    <s v="Retail"/>
    <n v="26"/>
    <s v="North"/>
    <s v="Jun-24"/>
    <n v="1143"/>
    <n v="0.43694581280788175"/>
  </r>
  <r>
    <s v="ORD-01530"/>
    <x v="14"/>
    <s v="CUST-0080"/>
    <s v="PROD-006"/>
    <s v="R029"/>
    <n v="3"/>
    <n v="3970"/>
    <n v="7.7"/>
    <n v="10992.93"/>
    <s v="Completed"/>
    <s v="Pune"/>
    <s v="Electronics"/>
    <m/>
    <s v="SMB"/>
    <n v="30"/>
    <s v="West"/>
    <s v="Aug-24"/>
    <n v="2865"/>
    <n v="0.27833753148614609"/>
  </r>
  <r>
    <s v="ORD-01821"/>
    <x v="214"/>
    <s v="CUST-0299"/>
    <s v="PROD-020"/>
    <s v="R016"/>
    <n v="1"/>
    <n v="820"/>
    <n v="5.4"/>
    <n v="775.72"/>
    <s v="Completed"/>
    <s v="Mumbai"/>
    <s v="Apparel"/>
    <m/>
    <s v="Corporate"/>
    <n v="51"/>
    <m/>
    <m/>
    <m/>
    <m/>
  </r>
  <r>
    <s v="ORD-01532"/>
    <x v="22"/>
    <s v="CUST-0078"/>
    <s v="PROD-004"/>
    <s v="R025"/>
    <n v="3"/>
    <n v="3870"/>
    <n v="1.9"/>
    <n v="11389.41"/>
    <s v="Completed"/>
    <s v="Delhi"/>
    <s v="Electronics"/>
    <m/>
    <s v="Retail"/>
    <n v="31"/>
    <s v="South"/>
    <s v="Jul-24"/>
    <n v="1559"/>
    <n v="0.59715762273901807"/>
  </r>
  <r>
    <s v="ORD-01533"/>
    <x v="197"/>
    <s v="CUST-0251"/>
    <s v="PROD-030"/>
    <s v="R022"/>
    <n v="6"/>
    <n v="970"/>
    <n v="27.1"/>
    <n v="4242.78"/>
    <s v="Completed"/>
    <s v="Mumbai"/>
    <s v="Grocery"/>
    <m/>
    <s v="Retail"/>
    <n v="44"/>
    <m/>
    <m/>
    <m/>
    <m/>
  </r>
  <r>
    <s v="ORD-01534"/>
    <x v="237"/>
    <s v="CUST-0191"/>
    <s v="PROD-046"/>
    <s v="R025"/>
    <n v="1"/>
    <n v="4880"/>
    <n v="26.8"/>
    <n v="3572.16"/>
    <s v="Completed"/>
    <s v="Hyderabad"/>
    <s v="Beauty"/>
    <m/>
    <s v="SMB"/>
    <n v="43"/>
    <m/>
    <m/>
    <m/>
    <m/>
  </r>
  <r>
    <s v="ORD-01535"/>
    <x v="186"/>
    <s v="CUST-0130"/>
    <s v="PROD-022"/>
    <s v="R023"/>
    <n v="1"/>
    <n v="2270"/>
    <n v="22.2"/>
    <n v="1766.06"/>
    <s v="Completed"/>
    <s v="Bengaluru"/>
    <s v="Grocery"/>
    <m/>
    <s v="Corporate"/>
    <n v="41"/>
    <m/>
    <m/>
    <m/>
    <m/>
  </r>
  <r>
    <s v="ORD-01536"/>
    <x v="351"/>
    <s v="CUST-0056"/>
    <s v="PROD-047"/>
    <s v="R026"/>
    <n v="10"/>
    <n v="3450"/>
    <n v="21.9"/>
    <n v="26944.5"/>
    <s v="Completed"/>
    <s v="Bengaluru"/>
    <s v="Beauty"/>
    <m/>
    <s v="SMB"/>
    <n v="46"/>
    <m/>
    <m/>
    <m/>
    <m/>
  </r>
  <r>
    <s v="ORD-01537"/>
    <x v="48"/>
    <s v="CUST-0185"/>
    <s v="PROD-022"/>
    <s v="R011"/>
    <n v="3"/>
    <n v="2270"/>
    <n v="19.100000000000001"/>
    <n v="5509.29"/>
    <s v="Cancelled"/>
    <s v="Hyderabad"/>
    <s v="Grocery"/>
    <m/>
    <s v="SMB"/>
    <n v="43"/>
    <m/>
    <m/>
    <m/>
    <m/>
  </r>
  <r>
    <s v="ORD-01538"/>
    <x v="107"/>
    <s v="CUST-0195"/>
    <s v="PROD-029"/>
    <s v="R030"/>
    <n v="10"/>
    <n v="2210"/>
    <n v="22.3"/>
    <n v="17171.7"/>
    <s v="Completed"/>
    <s v="Bengaluru"/>
    <s v="Grocery"/>
    <m/>
    <s v="Retail"/>
    <n v="28"/>
    <s v="South"/>
    <s v="Nov-24"/>
    <n v="1010"/>
    <n v="0.54298642533936647"/>
  </r>
  <r>
    <s v="ORD-01539"/>
    <x v="57"/>
    <s v="CUST-0067"/>
    <s v="PROD-033"/>
    <s v="R011"/>
    <n v="9"/>
    <n v="2030"/>
    <n v="24.8"/>
    <n v="13739.04"/>
    <s v="Completed"/>
    <s v="Delhi"/>
    <s v="Home"/>
    <m/>
    <s v="SMB"/>
    <n v="59"/>
    <m/>
    <m/>
    <m/>
    <m/>
  </r>
  <r>
    <s v="ORD-01540"/>
    <x v="82"/>
    <s v="CUST-0149"/>
    <s v="PROD-043"/>
    <s v="R023"/>
    <n v="5"/>
    <n v="3350"/>
    <n v="18.2"/>
    <n v="13701.5"/>
    <s v="Completed"/>
    <s v="Hyderabad"/>
    <s v="Beauty"/>
    <m/>
    <s v="Retail"/>
    <n v="44"/>
    <m/>
    <m/>
    <m/>
    <m/>
  </r>
  <r>
    <s v="ORD-01541"/>
    <x v="243"/>
    <s v="CUST-0268"/>
    <s v="PROD-013"/>
    <s v="R008"/>
    <n v="7"/>
    <n v="3640"/>
    <n v="14.4"/>
    <n v="21810.880000000001"/>
    <s v="Completed"/>
    <s v="Chennai"/>
    <s v="Apparel"/>
    <m/>
    <s v="Retail"/>
    <n v="35"/>
    <s v="East"/>
    <s v="Mar-24"/>
    <n v="2611"/>
    <n v="0.28269230769230769"/>
  </r>
  <r>
    <s v="ORD-01542"/>
    <x v="217"/>
    <s v="CUST-0126"/>
    <s v="PROD-051"/>
    <s v="R018"/>
    <n v="9"/>
    <n v="3450"/>
    <n v="20.100000000000001"/>
    <n v="24808.95"/>
    <s v="Completed"/>
    <s v="Mumbai"/>
    <s v="Sports"/>
    <m/>
    <s v="Retail"/>
    <n v="37"/>
    <s v="North"/>
    <s v="Mar-24"/>
    <n v="2467"/>
    <n v="0.28492753623188405"/>
  </r>
  <r>
    <s v="ORD-01543"/>
    <x v="68"/>
    <s v="CUST-0017"/>
    <s v="PROD-047"/>
    <s v="R003"/>
    <n v="6"/>
    <n v="3450"/>
    <n v="19.899999999999999"/>
    <n v="16580.7"/>
    <s v="Pending"/>
    <s v="Delhi"/>
    <s v="Beauty"/>
    <m/>
    <s v="SMB"/>
    <n v="38"/>
    <s v="East"/>
    <s v="Apr-24"/>
    <n v="2420"/>
    <n v="0.29855072463768118"/>
  </r>
  <r>
    <s v="ORD-01544"/>
    <x v="37"/>
    <s v="CUST-0250"/>
    <s v="PROD-042"/>
    <s v="R022"/>
    <n v="4"/>
    <n v="2290"/>
    <n v="4.8"/>
    <n v="8720.32"/>
    <s v="Pending"/>
    <s v="Delhi"/>
    <s v="Beauty"/>
    <m/>
    <s v="Retail"/>
    <n v="31"/>
    <s v="North"/>
    <s v="May-24"/>
    <n v="1219"/>
    <n v="0.46768558951965067"/>
  </r>
  <r>
    <s v="ORD-01545"/>
    <x v="319"/>
    <s v="CUST-0245"/>
    <s v="PROD-057"/>
    <s v="R010"/>
    <n v="9"/>
    <n v="960"/>
    <n v="2.4"/>
    <n v="8432.64"/>
    <s v="Completed"/>
    <s v="Hyderabad"/>
    <s v="Sports"/>
    <m/>
    <s v="Retail"/>
    <n v="65"/>
    <m/>
    <m/>
    <m/>
    <m/>
  </r>
  <r>
    <s v="ORD-01546"/>
    <x v="135"/>
    <s v="CUST-0016"/>
    <s v="PROD-039"/>
    <s v="R025"/>
    <n v="9"/>
    <n v="4610"/>
    <n v="21.3"/>
    <n v="32652.63"/>
    <s v="Completed"/>
    <s v="Delhi"/>
    <s v="Home"/>
    <m/>
    <s v="SMB"/>
    <n v="26"/>
    <s v="South"/>
    <s v="Jul-24"/>
    <n v="1850"/>
    <n v="0.59869848156182215"/>
  </r>
  <r>
    <s v="ORD-01547"/>
    <x v="282"/>
    <s v="CUST-0063"/>
    <s v="PROD-028"/>
    <s v="R003"/>
    <n v="1"/>
    <n v="3660"/>
    <n v="15.6"/>
    <n v="3089.04"/>
    <s v="Completed"/>
    <s v="Mumbai"/>
    <s v="Grocery"/>
    <m/>
    <s v="SMB"/>
    <n v="53"/>
    <m/>
    <m/>
    <m/>
    <m/>
  </r>
  <r>
    <s v="ORD-01548"/>
    <x v="168"/>
    <s v="CUST-0200"/>
    <s v="PROD-008"/>
    <s v="R012"/>
    <n v="5"/>
    <n v="2660"/>
    <n v="20.399999999999999"/>
    <n v="10586.8"/>
    <s v="Completed"/>
    <s v="Hyderabad"/>
    <s v="Electronics"/>
    <m/>
    <s v="Corporate"/>
    <n v="46"/>
    <m/>
    <m/>
    <m/>
    <m/>
  </r>
  <r>
    <s v="ORD-01549"/>
    <x v="24"/>
    <s v="CUST-0017"/>
    <s v="PROD-041"/>
    <s v="R026"/>
    <n v="8"/>
    <n v="1540"/>
    <n v="0.5"/>
    <n v="12258.4"/>
    <s v="Completed"/>
    <s v="Delhi"/>
    <s v="Beauty"/>
    <m/>
    <s v="SMB"/>
    <n v="38"/>
    <s v="South"/>
    <s v="Dec-24"/>
    <n v="647"/>
    <n v="0.57987012987012987"/>
  </r>
  <r>
    <s v="ORD-01550"/>
    <x v="356"/>
    <s v="CUST-0264"/>
    <s v="PROD-006"/>
    <s v="R004"/>
    <n v="4"/>
    <n v="3970"/>
    <n v="22.5"/>
    <n v="12307"/>
    <s v="Completed"/>
    <s v="Pune"/>
    <s v="Electronics"/>
    <m/>
    <s v="Retail"/>
    <n v="59"/>
    <m/>
    <m/>
    <m/>
    <m/>
  </r>
  <r>
    <s v="ORD-01551"/>
    <x v="213"/>
    <s v="CUST-0102"/>
    <s v="PROD-059"/>
    <s v="R007"/>
    <n v="8"/>
    <n v="3780"/>
    <n v="3.8"/>
    <n v="29090.880000000001"/>
    <s v="Completed"/>
    <s v="Chennai"/>
    <s v="Sports"/>
    <m/>
    <s v="SMB"/>
    <n v="62"/>
    <m/>
    <m/>
    <m/>
    <m/>
  </r>
  <r>
    <s v="ORD-01552"/>
    <x v="269"/>
    <s v="CUST-0092"/>
    <s v="PROD-022"/>
    <s v="R004"/>
    <n v="4"/>
    <n v="2270"/>
    <n v="3.8"/>
    <n v="8734.9599999999991"/>
    <s v="Cancelled"/>
    <s v="Bengaluru"/>
    <s v="Grocery"/>
    <m/>
    <s v="SMB"/>
    <n v="28"/>
    <s v="North"/>
    <s v="Mar-24"/>
    <n v="1412"/>
    <n v="0.37797356828193834"/>
  </r>
  <r>
    <s v="ORD-01553"/>
    <x v="300"/>
    <s v="CUST-0139"/>
    <s v="PROD-009"/>
    <s v="R009"/>
    <n v="10"/>
    <n v="1220"/>
    <n v="19.5"/>
    <n v="9821"/>
    <s v="Completed"/>
    <s v="Hyderabad"/>
    <s v="Electronics"/>
    <m/>
    <s v="SMB"/>
    <n v="65"/>
    <m/>
    <m/>
    <m/>
    <m/>
  </r>
  <r>
    <s v="ORD-01554"/>
    <x v="188"/>
    <s v="CUST-0129"/>
    <s v="PROD-043"/>
    <s v="R015"/>
    <n v="10"/>
    <n v="3350"/>
    <n v="7.8"/>
    <n v="30887"/>
    <s v="Completed"/>
    <s v="Hyderabad"/>
    <s v="Beauty"/>
    <m/>
    <s v="Retail"/>
    <n v="29"/>
    <s v="South"/>
    <s v="Jan-24"/>
    <n v="1728"/>
    <n v="0.48417910447761192"/>
  </r>
  <r>
    <s v="ORD-01555"/>
    <x v="243"/>
    <s v="CUST-9841"/>
    <s v="PROD-043"/>
    <s v="R030"/>
    <n v="7"/>
    <n v="3350"/>
    <n v="14.5"/>
    <n v="20049.75"/>
    <s v="Completed"/>
    <s v="Bengaluru"/>
    <s v="Beauty"/>
    <m/>
    <e v="#N/A"/>
    <e v="#N/A"/>
    <m/>
    <m/>
    <m/>
    <m/>
  </r>
  <r>
    <s v="ORD-01556"/>
    <x v="242"/>
    <s v="CUST-0069"/>
    <s v="PROD-038"/>
    <s v="R014"/>
    <n v="6"/>
    <n v="5490"/>
    <n v="8"/>
    <n v="30304.799999999999"/>
    <s v="Completed"/>
    <s v="Chennai"/>
    <s v="Home"/>
    <m/>
    <s v="Retail"/>
    <n v="51"/>
    <m/>
    <m/>
    <m/>
    <m/>
  </r>
  <r>
    <s v="ORD-01557"/>
    <x v="221"/>
    <s v="CUST-0140"/>
    <s v="PROD-055"/>
    <s v="R018"/>
    <n v="3"/>
    <n v="2860"/>
    <n v="19.899999999999999"/>
    <n v="6872.58"/>
    <s v="Completed"/>
    <s v="Hyderabad"/>
    <s v="Sports"/>
    <m/>
    <s v="SMB"/>
    <n v="39"/>
    <s v="South"/>
    <s v="May-24"/>
    <n v="2028"/>
    <n v="0.29090909090909089"/>
  </r>
  <r>
    <s v="ORD-01558"/>
    <x v="146"/>
    <s v="CUST-0138"/>
    <s v="PROD-010"/>
    <s v="R024"/>
    <n v="3"/>
    <n v="2640"/>
    <n v="29.3"/>
    <n v="5599.44"/>
    <s v="Completed"/>
    <s v="Chennai"/>
    <s v="Electronics"/>
    <m/>
    <s v="Retail"/>
    <n v="24"/>
    <s v="East"/>
    <s v="Nov-24"/>
    <n v="1149"/>
    <n v="0.56477272727272732"/>
  </r>
  <r>
    <s v="ORD-01559"/>
    <x v="360"/>
    <s v="CUST-0277"/>
    <s v="PROD-011"/>
    <s v="R029"/>
    <n v="8"/>
    <n v="3450"/>
    <n v="15.2"/>
    <n v="23404.799999999999"/>
    <s v="Cancelled"/>
    <s v="Chennai"/>
    <s v="Apparel"/>
    <m/>
    <s v="Corporate"/>
    <n v="34"/>
    <s v="West"/>
    <s v="Jan-24"/>
    <n v="1748"/>
    <n v="0.49333333333333335"/>
  </r>
  <r>
    <s v="ORD-01560"/>
    <x v="134"/>
    <s v="CUST-0017"/>
    <s v="PROD-032"/>
    <s v="R025"/>
    <n v="6"/>
    <n v="370"/>
    <n v="7"/>
    <n v="2064.6"/>
    <s v="Completed"/>
    <s v="Delhi"/>
    <s v="Home"/>
    <m/>
    <s v="SMB"/>
    <n v="38"/>
    <s v="West"/>
    <s v="Apr-24"/>
    <n v="288"/>
    <n v="0.22162162162162163"/>
  </r>
  <r>
    <s v="ORD-01561"/>
    <x v="96"/>
    <s v="CUST-0170"/>
    <s v="PROD-025"/>
    <s v="R029"/>
    <n v="10"/>
    <n v="4060"/>
    <n v="4.7"/>
    <n v="38691.800000000003"/>
    <s v="Cancelled"/>
    <s v="Mumbai"/>
    <s v="Grocery"/>
    <m/>
    <s v="SMB"/>
    <n v="22"/>
    <s v="West"/>
    <s v="Feb-24"/>
    <n v="2911"/>
    <n v="0.28300492610837441"/>
  </r>
  <r>
    <s v="ORD-01562"/>
    <x v="87"/>
    <s v="CUST-0022"/>
    <s v="PROD-004"/>
    <s v="R024"/>
    <n v="1"/>
    <n v="3870"/>
    <n v="18.2"/>
    <n v="3165.66"/>
    <s v="Pending"/>
    <s v="Bengaluru"/>
    <s v="Electronics"/>
    <m/>
    <s v="Corporate"/>
    <n v="55"/>
    <m/>
    <m/>
    <m/>
    <m/>
  </r>
  <r>
    <s v="ORD-01563"/>
    <x v="217"/>
    <s v="CUST-0158"/>
    <s v="PROD-001"/>
    <s v="R006"/>
    <n v="1"/>
    <n v="5330"/>
    <n v="3.9"/>
    <n v="5122.13"/>
    <s v="Refunded"/>
    <s v="Pune"/>
    <s v="Electronics"/>
    <m/>
    <s v="Corporate"/>
    <n v="42"/>
    <m/>
    <m/>
    <m/>
    <m/>
  </r>
  <r>
    <s v="ORD-01564"/>
    <x v="42"/>
    <s v="CUST-0160"/>
    <s v="PROD-032"/>
    <s v="R020"/>
    <n v="8"/>
    <n v="370"/>
    <n v="1.3"/>
    <n v="2921.52"/>
    <s v="Completed"/>
    <s v="Hyderabad"/>
    <s v="Home"/>
    <m/>
    <s v="Retail"/>
    <n v="27"/>
    <s v="North"/>
    <s v="Apr-24"/>
    <n v="288"/>
    <n v="0.22162162162162163"/>
  </r>
  <r>
    <s v="ORD-01565"/>
    <x v="81"/>
    <s v="CUST-0009"/>
    <s v="PROD-005"/>
    <s v="R020"/>
    <n v="7"/>
    <n v="300"/>
    <n v="7.1"/>
    <n v="1950.9"/>
    <s v="Completed"/>
    <s v="Mumbai"/>
    <s v="Electronics"/>
    <m/>
    <s v="Retail"/>
    <n v="61"/>
    <m/>
    <m/>
    <m/>
    <m/>
  </r>
  <r>
    <s v="ORD-01566"/>
    <x v="118"/>
    <s v="CUST-0151"/>
    <s v="PROD-043"/>
    <s v="R012"/>
    <n v="8"/>
    <n v="3350"/>
    <n v="11.2"/>
    <n v="23798.400000000001"/>
    <s v="Completed"/>
    <s v="Mumbai"/>
    <s v="Beauty"/>
    <m/>
    <s v="Retail"/>
    <n v="53"/>
    <m/>
    <m/>
    <m/>
    <m/>
  </r>
  <r>
    <s v="ORD-01567"/>
    <x v="72"/>
    <s v="CUST-0105"/>
    <s v="PROD-056"/>
    <s v="R009"/>
    <n v="6"/>
    <n v="6940"/>
    <n v="0.3"/>
    <n v="41515.08"/>
    <s v="Completed"/>
    <s v="Chennai"/>
    <s v="Sports"/>
    <m/>
    <s v="SMB"/>
    <n v="51"/>
    <m/>
    <m/>
    <m/>
    <m/>
  </r>
  <r>
    <s v="ORD-01568"/>
    <x v="64"/>
    <s v="CUST-0292"/>
    <s v="PROD-049"/>
    <s v="R008"/>
    <n v="10"/>
    <n v="960"/>
    <n v="9.3000000000000007"/>
    <n v="8707.2000000000007"/>
    <s v="Cancelled"/>
    <s v="Bengaluru"/>
    <s v="Beauty"/>
    <m/>
    <s v="Retail"/>
    <n v="32"/>
    <s v="South"/>
    <s v="Aug-24"/>
    <n v="675"/>
    <n v="0.296875"/>
  </r>
  <r>
    <s v="ORD-01569"/>
    <x v="327"/>
    <s v="CUST-0076"/>
    <s v="PROD-021"/>
    <s v="R021"/>
    <n v="10"/>
    <n v="2760"/>
    <n v="17.2"/>
    <n v="22852.799999999999"/>
    <s v="Completed"/>
    <s v="Mumbai"/>
    <s v="Grocery"/>
    <m/>
    <s v="Retail"/>
    <n v="38"/>
    <s v="North"/>
    <s v="Jul-24"/>
    <n v="1435"/>
    <n v="0.48007246376811596"/>
  </r>
  <r>
    <s v="ORD-01570"/>
    <x v="243"/>
    <s v="CUST-0152"/>
    <s v="PROD-024"/>
    <s v="R026"/>
    <n v="4"/>
    <n v="2270"/>
    <n v="26.8"/>
    <n v="6646.56"/>
    <s v="Completed"/>
    <s v="Bengaluru"/>
    <s v="Grocery"/>
    <m/>
    <s v="SMB"/>
    <n v="64"/>
    <m/>
    <m/>
    <m/>
    <m/>
  </r>
  <r>
    <s v="ORD-01571"/>
    <x v="305"/>
    <s v="CUST-0146"/>
    <s v="PROD-002"/>
    <s v="R021"/>
    <n v="2"/>
    <n v="2600"/>
    <n v="27"/>
    <n v="3796"/>
    <s v="Completed"/>
    <s v="Hyderabad"/>
    <s v="Electronics"/>
    <m/>
    <s v="Retail"/>
    <n v="22"/>
    <s v="West"/>
    <s v="Mar-24"/>
    <n v="1052"/>
    <n v="0.5953846153846154"/>
  </r>
  <r>
    <s v="ORD-01572"/>
    <x v="300"/>
    <s v="CUST-0127"/>
    <s v="PROD-003"/>
    <s v="R024"/>
    <n v="4"/>
    <n v="3570"/>
    <n v="12.3"/>
    <n v="12523.56"/>
    <s v="Completed"/>
    <s v="Bengaluru"/>
    <s v="Electronics"/>
    <m/>
    <s v="SMB"/>
    <n v="36"/>
    <s v="East"/>
    <s v="Feb-24"/>
    <n v="1665"/>
    <n v="0.53361344537815125"/>
  </r>
  <r>
    <s v="ORD-01573"/>
    <x v="309"/>
    <s v="CUST-0173"/>
    <s v="PROD-034"/>
    <s v="R016"/>
    <n v="5"/>
    <n v="5080"/>
    <n v="1.3"/>
    <n v="25069.8"/>
    <s v="Completed"/>
    <s v="Mumbai"/>
    <s v="Home"/>
    <m/>
    <s v="Retail"/>
    <n v="65"/>
    <m/>
    <m/>
    <m/>
    <m/>
  </r>
  <r>
    <s v="ORD-01574"/>
    <x v="1"/>
    <s v="CUST-0206"/>
    <s v="PROD-049"/>
    <s v="R016"/>
    <n v="5"/>
    <n v="960"/>
    <n v="25.2"/>
    <n v="3590.4"/>
    <s v="Completed"/>
    <s v="Mumbai"/>
    <s v="Beauty"/>
    <m/>
    <s v="Retail"/>
    <n v="40"/>
    <s v="South"/>
    <s v="Jan-24"/>
    <n v="675"/>
    <n v="0.296875"/>
  </r>
  <r>
    <s v="ORD-01575"/>
    <x v="117"/>
    <s v="CUST-0072"/>
    <s v="PROD-053"/>
    <s v="R010"/>
    <n v="7"/>
    <n v="470"/>
    <n v="21.6"/>
    <n v="2579.36"/>
    <s v="Completed"/>
    <s v="Mumbai"/>
    <s v="Sports"/>
    <m/>
    <s v="Corporate"/>
    <n v="62"/>
    <m/>
    <m/>
    <m/>
    <m/>
  </r>
  <r>
    <s v="ORD-01576"/>
    <x v="327"/>
    <s v="CUST-0004"/>
    <s v="PROD-009"/>
    <s v="R027"/>
    <n v="4"/>
    <n v="1220"/>
    <n v="12.6"/>
    <n v="4265.12"/>
    <s v="Completed"/>
    <s v="Delhi"/>
    <s v="Electronics"/>
    <m/>
    <s v="Retail"/>
    <n v="53"/>
    <m/>
    <m/>
    <m/>
    <m/>
  </r>
  <r>
    <s v="ORD-01577"/>
    <x v="174"/>
    <s v="CUST-0249"/>
    <s v="PROD-054"/>
    <s v="R008"/>
    <n v="4"/>
    <n v="1010"/>
    <n v="11.3"/>
    <n v="3583.48"/>
    <s v="Completed"/>
    <s v="Mumbai"/>
    <s v="Sports"/>
    <m/>
    <s v="Retail"/>
    <n v="44"/>
    <m/>
    <m/>
    <m/>
    <m/>
  </r>
  <r>
    <s v="ORD-01578"/>
    <x v="253"/>
    <s v="CUST-0139"/>
    <s v="PROD-028"/>
    <s v="R005"/>
    <n v="4"/>
    <n v="3660"/>
    <n v="7.2"/>
    <n v="13585.92"/>
    <s v="Completed"/>
    <s v="Hyderabad"/>
    <s v="Grocery"/>
    <m/>
    <s v="SMB"/>
    <n v="65"/>
    <m/>
    <m/>
    <m/>
    <m/>
  </r>
  <r>
    <s v="ORD-01579"/>
    <x v="138"/>
    <s v="CUST-0019"/>
    <s v="PROD-038"/>
    <s v="R010"/>
    <n v="4"/>
    <n v="5490"/>
    <n v="8"/>
    <n v="20203.2"/>
    <s v="Completed"/>
    <s v="Chennai"/>
    <s v="Home"/>
    <m/>
    <s v="Retail"/>
    <n v="22"/>
    <s v="North"/>
    <s v="Jun-24"/>
    <n v="2549"/>
    <n v="0.53570127504553733"/>
  </r>
  <r>
    <s v="ORD-01580"/>
    <x v="218"/>
    <s v="CUST-0210"/>
    <s v="PROD-022"/>
    <s v="R003"/>
    <n v="6"/>
    <n v="2270"/>
    <n v="17.100000000000001"/>
    <n v="11290.98"/>
    <s v="Completed"/>
    <s v="Pune"/>
    <s v="Grocery"/>
    <m/>
    <s v="Corporate"/>
    <n v="48"/>
    <m/>
    <m/>
    <m/>
    <m/>
  </r>
  <r>
    <s v="ORD-01581"/>
    <x v="276"/>
    <s v="CUST-0168"/>
    <s v="PROD-022"/>
    <s v="R015"/>
    <n v="8"/>
    <n v="2270"/>
    <n v="11.9"/>
    <n v="15998.96"/>
    <s v="Pending"/>
    <s v="Pune"/>
    <s v="Grocery"/>
    <m/>
    <s v="Retail"/>
    <n v="25"/>
    <s v="North"/>
    <s v="Dec-24"/>
    <n v="1412"/>
    <n v="0.37797356828193834"/>
  </r>
  <r>
    <s v="ORD-01582"/>
    <x v="95"/>
    <s v="CUST-0094"/>
    <s v="PROD-002"/>
    <s v="R018"/>
    <n v="6"/>
    <n v="2600"/>
    <n v="5.0999999999999996"/>
    <n v="14804.4"/>
    <s v="Completed"/>
    <s v="Pune"/>
    <s v="Electronics"/>
    <m/>
    <s v="SMB"/>
    <n v="60"/>
    <m/>
    <m/>
    <m/>
    <m/>
  </r>
  <r>
    <s v="ORD-01583"/>
    <x v="210"/>
    <s v="CUST-0259"/>
    <s v="PROD-004"/>
    <s v="R027"/>
    <n v="9"/>
    <n v="3870"/>
    <n v="1.8"/>
    <n v="34203.06"/>
    <s v="Cancelled"/>
    <s v="Mumbai"/>
    <s v="Electronics"/>
    <m/>
    <s v="Retail"/>
    <n v="34"/>
    <s v="East"/>
    <s v="Oct-24"/>
    <n v="1559"/>
    <n v="0.59715762273901807"/>
  </r>
  <r>
    <s v="ORD-01584"/>
    <x v="61"/>
    <s v="CUST-0150"/>
    <s v="PROD-006"/>
    <s v="R006"/>
    <n v="3"/>
    <n v="3970"/>
    <n v="8.1999999999999993"/>
    <n v="10933.38"/>
    <s v="Completed"/>
    <s v="Pune"/>
    <s v="Electronics"/>
    <m/>
    <s v="SMB"/>
    <n v="53"/>
    <m/>
    <m/>
    <m/>
    <m/>
  </r>
  <r>
    <s v="ORD-01585"/>
    <x v="334"/>
    <s v="CUST-0040"/>
    <s v="PROD-049"/>
    <s v="R028"/>
    <n v="9"/>
    <n v="960"/>
    <n v="21.7"/>
    <n v="6765.12"/>
    <s v="Cancelled"/>
    <s v="Chennai"/>
    <s v="Beauty"/>
    <m/>
    <s v="Retail"/>
    <n v="28"/>
    <s v="North"/>
    <s v="Jun-24"/>
    <n v="675"/>
    <n v="0.296875"/>
  </r>
  <r>
    <s v="ORD-01586"/>
    <x v="215"/>
    <s v="CUST-0290"/>
    <s v="PROD-052"/>
    <s v="R025"/>
    <n v="3"/>
    <n v="5410"/>
    <n v="20.3"/>
    <n v="12935.31"/>
    <s v="Completed"/>
    <s v="Delhi"/>
    <s v="Sports"/>
    <m/>
    <s v="Retail"/>
    <n v="63"/>
    <m/>
    <m/>
    <m/>
    <m/>
  </r>
  <r>
    <s v="ORD-01587"/>
    <x v="133"/>
    <s v="CUST-0123"/>
    <s v="PROD-011"/>
    <s v="R005"/>
    <n v="3"/>
    <n v="3450"/>
    <n v="11.6"/>
    <n v="9149.4"/>
    <s v="Completed"/>
    <s v="Chennai"/>
    <s v="Apparel"/>
    <m/>
    <s v="Corporate"/>
    <n v="44"/>
    <m/>
    <m/>
    <m/>
    <m/>
  </r>
  <r>
    <s v="ORD-01588"/>
    <x v="40"/>
    <s v="CUST-0053"/>
    <s v="PROD-045"/>
    <s v="R008"/>
    <n v="2"/>
    <n v="3020"/>
    <n v="20.8"/>
    <n v="4783.68"/>
    <s v="Pending"/>
    <s v="Delhi"/>
    <s v="Beauty"/>
    <m/>
    <s v="Retail"/>
    <n v="53"/>
    <m/>
    <m/>
    <m/>
    <m/>
  </r>
  <r>
    <s v="ORD-01589"/>
    <x v="232"/>
    <s v="CUST-0179"/>
    <s v="PROD-060"/>
    <s v="R002"/>
    <n v="3"/>
    <n v="190"/>
    <n v="10.7"/>
    <n v="509.01"/>
    <s v="Completed"/>
    <s v="Mumbai"/>
    <s v="Sports"/>
    <m/>
    <s v="SMB"/>
    <n v="54"/>
    <m/>
    <m/>
    <m/>
    <m/>
  </r>
  <r>
    <s v="ORD-01590"/>
    <x v="137"/>
    <s v="CUST-0006"/>
    <s v="PROD-031"/>
    <s v="R012"/>
    <n v="4"/>
    <n v="3730"/>
    <n v="6.9"/>
    <n v="13890.52"/>
    <s v="Completed"/>
    <s v="Pune"/>
    <s v="Home"/>
    <m/>
    <s v="SMB"/>
    <n v="44"/>
    <m/>
    <m/>
    <m/>
    <m/>
  </r>
  <r>
    <s v="ORD-01591"/>
    <x v="240"/>
    <s v="CUST-0272"/>
    <s v="PROD-051"/>
    <s v="R025"/>
    <n v="9"/>
    <n v="3450"/>
    <n v="22.2"/>
    <n v="24156.9"/>
    <s v="Cancelled"/>
    <s v="Mumbai"/>
    <s v="Sports"/>
    <m/>
    <s v="SMB"/>
    <n v="47"/>
    <m/>
    <m/>
    <m/>
    <m/>
  </r>
  <r>
    <s v="ORD-01592"/>
    <x v="260"/>
    <s v="CUST-0274"/>
    <s v="PROD-006"/>
    <s v="R002"/>
    <n v="3"/>
    <n v="3970"/>
    <n v="6.8"/>
    <n v="11100.12"/>
    <s v="Completed"/>
    <s v="Bengaluru"/>
    <s v="Electronics"/>
    <m/>
    <s v="Corporate"/>
    <n v="36"/>
    <s v="West"/>
    <s v="Jul-24"/>
    <n v="2865"/>
    <n v="0.27833753148614609"/>
  </r>
  <r>
    <s v="ORD-01593"/>
    <x v="32"/>
    <s v="CUST-0262"/>
    <s v="PROD-035"/>
    <s v="R022"/>
    <n v="3"/>
    <n v="1090"/>
    <n v="23.7"/>
    <n v="2495.0100000000002"/>
    <s v="Completed"/>
    <s v="Mumbai"/>
    <s v="Home"/>
    <m/>
    <s v="Retail"/>
    <n v="52"/>
    <m/>
    <m/>
    <m/>
    <m/>
  </r>
  <r>
    <s v="ORD-01594"/>
    <x v="212"/>
    <s v="CUST-0087"/>
    <s v="PROD-033"/>
    <s v="R023"/>
    <n v="3"/>
    <n v="2030"/>
    <n v="18.8"/>
    <n v="4945.08"/>
    <s v="Completed"/>
    <s v="Pune"/>
    <s v="Home"/>
    <m/>
    <s v="SMB"/>
    <n v="49"/>
    <m/>
    <m/>
    <m/>
    <m/>
  </r>
  <r>
    <s v="ORD-01595"/>
    <x v="27"/>
    <s v="CUST-0198"/>
    <s v="PROD-026"/>
    <s v="R008"/>
    <n v="2"/>
    <n v="4070"/>
    <n v="14.3"/>
    <n v="6975.98"/>
    <s v="Completed"/>
    <s v="Chennai"/>
    <s v="Grocery"/>
    <m/>
    <s v="Corporate"/>
    <n v="22"/>
    <s v="East"/>
    <s v="Jan-24"/>
    <n v="2027"/>
    <n v="0.50196560196560192"/>
  </r>
  <r>
    <s v="ORD-01596"/>
    <x v="306"/>
    <s v="CUST-0065"/>
    <s v="PROD-014"/>
    <s v="R028"/>
    <n v="3"/>
    <n v="3620"/>
    <n v="13.5"/>
    <n v="9393.9"/>
    <s v="Completed"/>
    <s v="Chennai"/>
    <s v="Apparel"/>
    <m/>
    <s v="Corporate"/>
    <n v="49"/>
    <m/>
    <m/>
    <m/>
    <m/>
  </r>
  <r>
    <s v="ORD-01597"/>
    <x v="235"/>
    <s v="CUST-0209"/>
    <s v="PROD-054"/>
    <s v="R001"/>
    <n v="4"/>
    <n v="1010"/>
    <n v="3.3"/>
    <n v="3906.68"/>
    <s v="Completed"/>
    <s v="Pune"/>
    <s v="Sports"/>
    <m/>
    <s v="Retail"/>
    <n v="31"/>
    <s v="West"/>
    <s v="Apr-24"/>
    <n v="516"/>
    <n v="0.4891089108910891"/>
  </r>
  <r>
    <s v="ORD-01598"/>
    <x v="304"/>
    <s v="CUST-0181"/>
    <s v="PROD-030"/>
    <s v="R005"/>
    <n v="7"/>
    <n v="970"/>
    <n v="0.1"/>
    <n v="6783.21"/>
    <s v="Completed"/>
    <s v="Delhi"/>
    <s v="Grocery"/>
    <m/>
    <s v="SMB"/>
    <n v="38"/>
    <s v="North"/>
    <s v="Nov-24"/>
    <n v="434"/>
    <n v="0.5525773195876289"/>
  </r>
  <r>
    <s v="ORD-01599"/>
    <x v="297"/>
    <s v="CUST-0007"/>
    <s v="PROD-053"/>
    <s v="R027"/>
    <n v="5"/>
    <n v="470"/>
    <n v="18.3"/>
    <n v="1919.95"/>
    <s v="Refunded"/>
    <s v="Bengaluru"/>
    <s v="Sports"/>
    <m/>
    <s v="Retail"/>
    <n v="47"/>
    <m/>
    <m/>
    <m/>
    <m/>
  </r>
  <r>
    <s v="ORD-01600"/>
    <x v="274"/>
    <s v="CUST-0050"/>
    <s v="PROD-011"/>
    <s v="R010"/>
    <n v="8"/>
    <n v="3450"/>
    <n v="5.0999999999999996"/>
    <n v="26192.400000000001"/>
    <s v="Refunded"/>
    <s v="Mumbai"/>
    <s v="Apparel"/>
    <m/>
    <s v="Retail"/>
    <n v="37"/>
    <s v="West"/>
    <s v="Oct-24"/>
    <n v="1748"/>
    <n v="0.49333333333333335"/>
  </r>
  <r>
    <s v="ORD-01601"/>
    <x v="57"/>
    <s v="CUST-0155"/>
    <s v="PROD-010"/>
    <s v="R022"/>
    <n v="1"/>
    <n v="2640"/>
    <n v="5.9"/>
    <n v="2484.2399999999998"/>
    <s v="Completed"/>
    <s v="Pune"/>
    <s v="Electronics"/>
    <m/>
    <s v="Corporate"/>
    <n v="40"/>
    <s v="South"/>
    <s v="Apr-24"/>
    <n v="1149"/>
    <n v="0.56477272727272732"/>
  </r>
  <r>
    <s v="ORD-01602"/>
    <x v="20"/>
    <s v="CUST-0085"/>
    <s v="PROD-003"/>
    <s v="R020"/>
    <n v="10"/>
    <n v="3570"/>
    <n v="21.5"/>
    <n v="28024.5"/>
    <s v="Completed"/>
    <s v="Chennai"/>
    <s v="Electronics"/>
    <m/>
    <s v="Retail"/>
    <n v="26"/>
    <s v="East"/>
    <s v="Jun-24"/>
    <n v="1665"/>
    <n v="0.53361344537815125"/>
  </r>
  <r>
    <s v="ORD-01603"/>
    <x v="248"/>
    <s v="CUST-0285"/>
    <s v="PROD-007"/>
    <s v="R016"/>
    <n v="10"/>
    <n v="1430"/>
    <n v="11.4"/>
    <n v="12669.8"/>
    <s v="Cancelled"/>
    <s v="Hyderabad"/>
    <s v="Electronics"/>
    <m/>
    <s v="Retail"/>
    <n v="22"/>
    <s v="East"/>
    <s v="Mar-24"/>
    <n v="861"/>
    <n v="0.39790209790209791"/>
  </r>
  <r>
    <s v="ORD-01604"/>
    <x v="175"/>
    <s v="CUST-0148"/>
    <s v="PROD-057"/>
    <s v="R013"/>
    <n v="7"/>
    <n v="960"/>
    <n v="22.9"/>
    <n v="5181.12"/>
    <s v="Completed"/>
    <s v="Chennai"/>
    <s v="Sports"/>
    <m/>
    <s v="Retail"/>
    <n v="32"/>
    <s v="South"/>
    <s v="Oct-24"/>
    <n v="705"/>
    <n v="0.265625"/>
  </r>
  <r>
    <s v="ORD-01605"/>
    <x v="38"/>
    <s v="CUST-0252"/>
    <s v="PROD-036"/>
    <s v="R010"/>
    <n v="8"/>
    <n v="3250"/>
    <n v="1.9"/>
    <n v="25506"/>
    <s v="Completed"/>
    <s v="Bengaluru"/>
    <s v="Home"/>
    <m/>
    <s v="Retail"/>
    <n v="27"/>
    <s v="South"/>
    <s v="Dec-24"/>
    <n v="1556"/>
    <n v="0.52123076923076928"/>
  </r>
  <r>
    <s v="ORD-01606"/>
    <x v="320"/>
    <s v="CUST-0141"/>
    <s v="PROD-051"/>
    <s v="R018"/>
    <n v="9"/>
    <n v="3450"/>
    <n v="18"/>
    <n v="25461"/>
    <s v="Completed"/>
    <s v="Hyderabad"/>
    <s v="Sports"/>
    <m/>
    <s v="Corporate"/>
    <n v="22"/>
    <s v="South"/>
    <s v="Nov-24"/>
    <n v="2467"/>
    <n v="0.28492753623188405"/>
  </r>
  <r>
    <s v="ORD-01607"/>
    <x v="30"/>
    <s v="CUST-0101"/>
    <s v="PROD-024"/>
    <s v="R016"/>
    <n v="5"/>
    <n v="2270"/>
    <n v="11.5"/>
    <n v="10044.75"/>
    <s v="Completed"/>
    <s v="Hyderabad"/>
    <s v="Grocery"/>
    <m/>
    <s v="SMB"/>
    <n v="40"/>
    <s v="East"/>
    <s v="Mar-24"/>
    <n v="1203"/>
    <n v="0.47004405286343615"/>
  </r>
  <r>
    <s v="ORD-01608"/>
    <x v="121"/>
    <s v="CUST-0223"/>
    <s v="PROD-045"/>
    <s v="R019"/>
    <n v="6"/>
    <n v="3020"/>
    <n v="12.6"/>
    <n v="15836.88"/>
    <s v="Completed"/>
    <s v="Bengaluru"/>
    <s v="Beauty"/>
    <m/>
    <s v="Retail"/>
    <n v="46"/>
    <m/>
    <m/>
    <m/>
    <m/>
  </r>
  <r>
    <s v="ORD-01609"/>
    <x v="58"/>
    <s v="CUST-0197"/>
    <s v="PROD-010"/>
    <s v="R008"/>
    <n v="8"/>
    <n v="2640"/>
    <n v="14.5"/>
    <n v="18057.599999999999"/>
    <s v="Refunded"/>
    <s v="Bengaluru"/>
    <s v="Electronics"/>
    <m/>
    <s v="Retail"/>
    <n v="55"/>
    <m/>
    <m/>
    <m/>
    <m/>
  </r>
  <r>
    <s v="ORD-01610"/>
    <x v="230"/>
    <s v="CUST-0260"/>
    <s v="PROD-024"/>
    <s v="R027"/>
    <n v="2"/>
    <n v="2270"/>
    <n v="27"/>
    <n v="3314.2"/>
    <s v="Completed"/>
    <s v="Bengaluru"/>
    <s v="Grocery"/>
    <m/>
    <s v="Retail"/>
    <n v="42"/>
    <m/>
    <m/>
    <m/>
    <m/>
  </r>
  <r>
    <s v="ORD-01611"/>
    <x v="184"/>
    <s v="CUST-0180"/>
    <s v="PROD-021"/>
    <s v="R027"/>
    <n v="8"/>
    <n v="2760"/>
    <n v="18"/>
    <n v="18105.599999999999"/>
    <s v="Cancelled"/>
    <s v="Chennai"/>
    <s v="Grocery"/>
    <m/>
    <s v="Retail"/>
    <n v="36"/>
    <s v="West"/>
    <s v="Sep-24"/>
    <n v="1435"/>
    <n v="0.48007246376811596"/>
  </r>
  <r>
    <s v="ORD-01612"/>
    <x v="62"/>
    <s v="CUST-0166"/>
    <s v="PROD-014"/>
    <s v="R023"/>
    <n v="8"/>
    <n v="3620"/>
    <n v="7.1"/>
    <n v="26903.84"/>
    <s v="Completed"/>
    <s v="Hyderabad"/>
    <s v="Apparel"/>
    <m/>
    <s v="Retail"/>
    <n v="31"/>
    <s v="West"/>
    <s v="Dec-24"/>
    <n v="2509"/>
    <n v="0.3069060773480663"/>
  </r>
  <r>
    <s v="ORD-01613"/>
    <x v="302"/>
    <s v="CUST-0062"/>
    <s v="PROD-042"/>
    <s v="R021"/>
    <n v="8"/>
    <n v="2290"/>
    <n v="16.399999999999999"/>
    <n v="15315.52"/>
    <s v="Completed"/>
    <s v="Pune"/>
    <s v="Beauty"/>
    <m/>
    <s v="Retail"/>
    <n v="54"/>
    <m/>
    <m/>
    <m/>
    <m/>
  </r>
  <r>
    <s v="ORD-01614"/>
    <x v="32"/>
    <s v="CUST-0130"/>
    <s v="PROD-044"/>
    <s v="R019"/>
    <n v="3"/>
    <n v="1650"/>
    <n v="1.8"/>
    <n v="4860.8999999999996"/>
    <s v="Cancelled"/>
    <s v="Bengaluru"/>
    <s v="Beauty"/>
    <m/>
    <s v="Corporate"/>
    <n v="41"/>
    <m/>
    <m/>
    <m/>
    <m/>
  </r>
  <r>
    <s v="ORD-01615"/>
    <x v="362"/>
    <s v="CUST-0162"/>
    <s v="PROD-001"/>
    <s v="R018"/>
    <n v="3"/>
    <n v="5330"/>
    <n v="22.2"/>
    <n v="12440.22"/>
    <s v="Completed"/>
    <s v="Mumbai"/>
    <s v="Electronics"/>
    <m/>
    <s v="Corporate"/>
    <n v="35"/>
    <s v="East"/>
    <s v="Jun-24"/>
    <n v="2405"/>
    <n v="0.54878048780487809"/>
  </r>
  <r>
    <s v="ORD-01616"/>
    <x v="166"/>
    <s v="CUST-0153"/>
    <s v="PROD-040"/>
    <s v="R022"/>
    <n v="7"/>
    <n v="1080"/>
    <n v="17.899999999999999"/>
    <n v="6206.76"/>
    <s v="Completed"/>
    <s v="Mumbai"/>
    <s v="Home"/>
    <m/>
    <s v="Retail"/>
    <n v="35"/>
    <s v="East"/>
    <s v="Dec-24"/>
    <n v="519"/>
    <n v="0.51944444444444449"/>
  </r>
  <r>
    <s v="ORD-01617"/>
    <x v="151"/>
    <s v="CUST-0071"/>
    <s v="PROD-009"/>
    <s v="R022"/>
    <n v="10"/>
    <n v="1220"/>
    <n v="5.7"/>
    <n v="11504.6"/>
    <s v="Completed"/>
    <s v="Delhi"/>
    <s v="Electronics"/>
    <m/>
    <s v="Corporate"/>
    <n v="46"/>
    <m/>
    <m/>
    <m/>
    <m/>
  </r>
  <r>
    <s v="ORD-01618"/>
    <x v="83"/>
    <s v="CUST-0200"/>
    <s v="PROD-037"/>
    <s v="R030"/>
    <n v="10"/>
    <n v="660"/>
    <n v="7.5"/>
    <n v="6105"/>
    <s v="Completed"/>
    <s v="Hyderabad"/>
    <s v="Home"/>
    <m/>
    <s v="Corporate"/>
    <n v="46"/>
    <m/>
    <m/>
    <m/>
    <m/>
  </r>
  <r>
    <s v="ORD-01619"/>
    <x v="88"/>
    <s v="CUST-0266"/>
    <s v="PROD-040"/>
    <s v="R020"/>
    <n v="6"/>
    <n v="1080"/>
    <n v="28.9"/>
    <n v="4607.28"/>
    <s v="Completed"/>
    <s v="Pune"/>
    <s v="Home"/>
    <m/>
    <s v="Retail"/>
    <n v="65"/>
    <m/>
    <m/>
    <m/>
    <m/>
  </r>
  <r>
    <s v="ORD-01620"/>
    <x v="241"/>
    <s v="CUST-0171"/>
    <s v="PROD-022"/>
    <s v="R020"/>
    <n v="7"/>
    <n v="2270"/>
    <n v="1.4"/>
    <n v="15667.54"/>
    <s v="Completed"/>
    <s v="Chennai"/>
    <s v="Grocery"/>
    <m/>
    <s v="Corporate"/>
    <n v="30"/>
    <s v="East"/>
    <s v="Sep-24"/>
    <n v="1412"/>
    <n v="0.37797356828193834"/>
  </r>
  <r>
    <s v="ORD-01621"/>
    <x v="206"/>
    <s v="CUST-0221"/>
    <s v="PROD-032"/>
    <s v="R028"/>
    <n v="3"/>
    <n v="370"/>
    <n v="9.6"/>
    <n v="1003.44"/>
    <s v="Refunded"/>
    <s v="Delhi"/>
    <s v="Home"/>
    <m/>
    <s v="SMB"/>
    <n v="29"/>
    <s v="East"/>
    <s v="Oct-24"/>
    <n v="288"/>
    <n v="0.22162162162162163"/>
  </r>
  <r>
    <s v="ORD-01622"/>
    <x v="13"/>
    <s v="CUST-0038"/>
    <s v="PROD-030"/>
    <s v="R009"/>
    <n v="9"/>
    <n v="970"/>
    <n v="29.7"/>
    <n v="6137.19"/>
    <s v="Completed"/>
    <s v="Mumbai"/>
    <s v="Grocery"/>
    <m/>
    <s v="Retail"/>
    <n v="57"/>
    <m/>
    <m/>
    <m/>
    <m/>
  </r>
  <r>
    <s v="ORD-00613"/>
    <x v="171"/>
    <s v="CUST-0174"/>
    <s v="PROD-016"/>
    <s v="R003"/>
    <n v="1"/>
    <n v="620"/>
    <n v="10.4"/>
    <n v="555.52"/>
    <s v="Cancelled"/>
    <s v="Pune"/>
    <s v="Apparel"/>
    <m/>
    <s v="Retail"/>
    <n v="54"/>
    <m/>
    <m/>
    <m/>
    <m/>
  </r>
  <r>
    <s v="ORD-01624"/>
    <x v="80"/>
    <s v="CUST-0054"/>
    <s v="PROD-028"/>
    <s v="R029"/>
    <n v="5"/>
    <n v="3660"/>
    <n v="8"/>
    <n v="16836"/>
    <s v="Completed"/>
    <s v="Mumbai"/>
    <s v="Grocery"/>
    <m/>
    <s v="Corporate"/>
    <n v="62"/>
    <m/>
    <m/>
    <m/>
    <m/>
  </r>
  <r>
    <s v="ORD-01625"/>
    <x v="108"/>
    <s v="CUST-0071"/>
    <s v="PROD-029"/>
    <s v="R024"/>
    <n v="7"/>
    <n v="2210"/>
    <n v="13.7"/>
    <n v="13350.61"/>
    <s v="Refunded"/>
    <s v="Delhi"/>
    <s v="Grocery"/>
    <m/>
    <s v="Corporate"/>
    <n v="46"/>
    <m/>
    <m/>
    <m/>
    <m/>
  </r>
  <r>
    <s v="ORD-01626"/>
    <x v="252"/>
    <s v="CUST-0004"/>
    <s v="PROD-059"/>
    <s v="R028"/>
    <n v="1"/>
    <n v="3780"/>
    <n v="11.5"/>
    <n v="3345.3"/>
    <s v="Completed"/>
    <s v="Delhi"/>
    <s v="Sports"/>
    <m/>
    <s v="Retail"/>
    <n v="53"/>
    <m/>
    <m/>
    <m/>
    <m/>
  </r>
  <r>
    <s v="ORD-01627"/>
    <x v="131"/>
    <s v="CUST-0033"/>
    <s v="PROD-002"/>
    <s v="R005"/>
    <n v="10"/>
    <n v="2600"/>
    <n v="29.4"/>
    <n v="18356"/>
    <s v="Completed"/>
    <s v="Delhi"/>
    <s v="Electronics"/>
    <m/>
    <s v="Retail"/>
    <n v="35"/>
    <s v="West"/>
    <s v="Dec-24"/>
    <n v="1052"/>
    <n v="0.5953846153846154"/>
  </r>
  <r>
    <s v="ORD-01628"/>
    <x v="13"/>
    <s v="CUST-0079"/>
    <s v="PROD-027"/>
    <s v="R017"/>
    <n v="3"/>
    <n v="3780"/>
    <n v="14.4"/>
    <n v="9707.0400000000009"/>
    <s v="Completed"/>
    <s v="Mumbai"/>
    <s v="Grocery"/>
    <m/>
    <s v="Corporate"/>
    <n v="60"/>
    <m/>
    <m/>
    <m/>
    <m/>
  </r>
  <r>
    <s v="ORD-01629"/>
    <x v="292"/>
    <s v="CUST-0176"/>
    <s v="PROD-010"/>
    <s v="R003"/>
    <n v="10"/>
    <n v="2640"/>
    <n v="26.8"/>
    <n v="19324.8"/>
    <s v="Pending"/>
    <s v="Bengaluru"/>
    <s v="Electronics"/>
    <m/>
    <s v="SMB"/>
    <n v="34"/>
    <s v="East"/>
    <s v="Mar-24"/>
    <n v="1149"/>
    <n v="0.56477272727272732"/>
  </r>
  <r>
    <s v="ORD-01630"/>
    <x v="324"/>
    <s v="CUST-0254"/>
    <s v="PROD-035"/>
    <s v="R013"/>
    <n v="3"/>
    <n v="1090"/>
    <n v="9.1"/>
    <n v="2972.43"/>
    <s v="Completed"/>
    <s v="Bengaluru"/>
    <s v="Home"/>
    <m/>
    <s v="Retail"/>
    <n v="35"/>
    <s v="North"/>
    <s v="May-24"/>
    <n v="464"/>
    <n v="0.57431192660550456"/>
  </r>
  <r>
    <s v="ORD-01631"/>
    <x v="308"/>
    <s v="CUST-0212"/>
    <s v="PROD-011"/>
    <s v="R024"/>
    <n v="3"/>
    <n v="3450"/>
    <n v="23"/>
    <n v="7969.5"/>
    <s v="Pending"/>
    <s v="Chennai"/>
    <s v="Apparel"/>
    <m/>
    <s v="SMB"/>
    <n v="46"/>
    <m/>
    <m/>
    <m/>
    <m/>
  </r>
  <r>
    <s v="ORD-01632"/>
    <x v="13"/>
    <s v="CUST-0109"/>
    <s v="PROD-049"/>
    <s v="R015"/>
    <n v="1"/>
    <n v="960"/>
    <n v="1.1000000000000001"/>
    <n v="949.44"/>
    <s v="Completed"/>
    <s v="Pune"/>
    <s v="Beauty"/>
    <m/>
    <s v="Retail"/>
    <n v="42"/>
    <m/>
    <m/>
    <m/>
    <m/>
  </r>
  <r>
    <s v="ORD-01633"/>
    <x v="251"/>
    <s v="CUST-0087"/>
    <s v="PROD-028"/>
    <s v="R030"/>
    <n v="9"/>
    <n v="3660"/>
    <n v="9"/>
    <n v="29975.4"/>
    <s v="Completed"/>
    <s v="Pune"/>
    <s v="Grocery"/>
    <m/>
    <s v="SMB"/>
    <n v="49"/>
    <m/>
    <m/>
    <m/>
    <m/>
  </r>
  <r>
    <s v="ORD-01634"/>
    <x v="103"/>
    <s v="CUST-0167"/>
    <s v="PROD-031"/>
    <s v="R008"/>
    <n v="3"/>
    <n v="3730"/>
    <n v="15.8"/>
    <n v="9421.98"/>
    <s v="Completed"/>
    <s v="Delhi"/>
    <s v="Home"/>
    <m/>
    <s v="Retail"/>
    <n v="43"/>
    <m/>
    <m/>
    <m/>
    <m/>
  </r>
  <r>
    <s v="ORD-01635"/>
    <x v="324"/>
    <s v="CUST-0079"/>
    <s v="PROD-026"/>
    <s v="R004"/>
    <n v="6"/>
    <n v="4070"/>
    <n v="6.2"/>
    <n v="22905.96"/>
    <s v="Completed"/>
    <s v="Mumbai"/>
    <s v="Grocery"/>
    <m/>
    <s v="Corporate"/>
    <n v="60"/>
    <m/>
    <m/>
    <m/>
    <m/>
  </r>
  <r>
    <s v="ORD-01636"/>
    <x v="90"/>
    <s v="CUST-0115"/>
    <s v="PROD-008"/>
    <s v="R022"/>
    <n v="1"/>
    <n v="2660"/>
    <n v="14.6"/>
    <n v="2271.64"/>
    <s v="Completed"/>
    <s v="Mumbai"/>
    <s v="Electronics"/>
    <m/>
    <s v="SMB"/>
    <n v="65"/>
    <m/>
    <m/>
    <m/>
    <m/>
  </r>
  <r>
    <s v="ORD-01637"/>
    <x v="239"/>
    <s v="CUST-0184"/>
    <s v="PROD-033"/>
    <s v="R003"/>
    <n v="3"/>
    <n v="2030"/>
    <n v="13.3"/>
    <n v="5280.03"/>
    <s v="Cancelled"/>
    <s v="Pune"/>
    <s v="Home"/>
    <m/>
    <s v="Retail"/>
    <n v="63"/>
    <m/>
    <m/>
    <m/>
    <m/>
  </r>
  <r>
    <s v="ORD-01638"/>
    <x v="274"/>
    <s v="CUST-0084"/>
    <s v="PROD-028"/>
    <s v="R001"/>
    <n v="4"/>
    <n v="3660"/>
    <n v="2.2000000000000002"/>
    <n v="14317.92"/>
    <s v="Completed"/>
    <s v="Chennai"/>
    <s v="Grocery"/>
    <m/>
    <s v="Retail"/>
    <n v="28"/>
    <s v="North"/>
    <s v="Mar-24"/>
    <n v="2214"/>
    <n v="0.39508196721311473"/>
  </r>
  <r>
    <s v="ORD-01639"/>
    <x v="234"/>
    <s v="CUST-0186"/>
    <s v="PROD-008"/>
    <s v="R006"/>
    <n v="2"/>
    <n v="2660"/>
    <n v="7.2"/>
    <n v="4936.96"/>
    <s v="Cancelled"/>
    <s v="Bengaluru"/>
    <s v="Electronics"/>
    <m/>
    <s v="Retail"/>
    <n v="42"/>
    <m/>
    <m/>
    <m/>
    <m/>
  </r>
  <r>
    <s v="ORD-01640"/>
    <x v="207"/>
    <s v="CUST-0077"/>
    <s v="PROD-046"/>
    <s v="R013"/>
    <n v="2"/>
    <n v="4880"/>
    <n v="23.8"/>
    <n v="7437.12"/>
    <s v="Completed"/>
    <s v="Hyderabad"/>
    <s v="Beauty"/>
    <m/>
    <s v="SMB"/>
    <n v="48"/>
    <m/>
    <m/>
    <m/>
    <m/>
  </r>
  <r>
    <s v="ORD-01641"/>
    <x v="91"/>
    <s v="CUST-0093"/>
    <s v="PROD-011"/>
    <s v="R011"/>
    <n v="1"/>
    <n v="3450"/>
    <n v="1.7"/>
    <n v="3391.35"/>
    <s v="Completed"/>
    <s v="Pune"/>
    <s v="Apparel"/>
    <m/>
    <s v="Retail"/>
    <n v="36"/>
    <s v="South"/>
    <s v="Nov-24"/>
    <n v="1748"/>
    <n v="0.49333333333333335"/>
  </r>
  <r>
    <s v="ORD-01642"/>
    <x v="269"/>
    <s v="CUST-0018"/>
    <s v="PROD-045"/>
    <s v="R023"/>
    <n v="4"/>
    <n v="3020"/>
    <n v="17.8"/>
    <n v="9929.76"/>
    <s v="Completed"/>
    <s v="Pune"/>
    <s v="Beauty"/>
    <m/>
    <s v="SMB"/>
    <n v="54"/>
    <m/>
    <m/>
    <m/>
    <m/>
  </r>
  <r>
    <s v="ORD-01643"/>
    <x v="15"/>
    <s v="CUST-0034"/>
    <s v="PROD-056"/>
    <s v="R021"/>
    <n v="6"/>
    <n v="6940"/>
    <n v="8.9"/>
    <n v="37934.04"/>
    <s v="Completed"/>
    <s v="Delhi"/>
    <s v="Sports"/>
    <m/>
    <s v="Retail"/>
    <n v="47"/>
    <m/>
    <m/>
    <m/>
    <m/>
  </r>
  <r>
    <s v="ORD-01644"/>
    <x v="271"/>
    <s v="CUST-0111"/>
    <s v="PROD-021"/>
    <s v="R023"/>
    <n v="10"/>
    <n v="2760"/>
    <n v="8.9"/>
    <n v="25143.599999999999"/>
    <s v="Completed"/>
    <s v="Chennai"/>
    <s v="Grocery"/>
    <m/>
    <s v="SMB"/>
    <n v="64"/>
    <m/>
    <m/>
    <m/>
    <m/>
  </r>
  <r>
    <s v="ORD-01645"/>
    <x v="202"/>
    <s v="CUST-0210"/>
    <s v="PROD-049"/>
    <s v="R020"/>
    <n v="8"/>
    <n v="960"/>
    <n v="20.9"/>
    <n v="6074.88"/>
    <s v="Completed"/>
    <s v="Pune"/>
    <s v="Beauty"/>
    <m/>
    <s v="Corporate"/>
    <n v="48"/>
    <m/>
    <m/>
    <m/>
    <m/>
  </r>
  <r>
    <s v="ORD-01646"/>
    <x v="71"/>
    <s v="CUST-0037"/>
    <s v="PROD-049"/>
    <s v="R012"/>
    <n v="4"/>
    <n v="960"/>
    <n v="29.1"/>
    <n v="2722.56"/>
    <s v="Completed"/>
    <s v="Bengaluru"/>
    <s v="Beauty"/>
    <m/>
    <s v="Retail"/>
    <n v="52"/>
    <m/>
    <m/>
    <m/>
    <m/>
  </r>
  <r>
    <s v="ORD-01647"/>
    <x v="306"/>
    <s v="CUST-0192"/>
    <s v="PROD-030"/>
    <s v="R021"/>
    <n v="1"/>
    <n v="970"/>
    <n v="8.4"/>
    <n v="888.52"/>
    <s v="Cancelled"/>
    <s v="Bengaluru"/>
    <s v="Grocery"/>
    <m/>
    <s v="Retail"/>
    <n v="55"/>
    <m/>
    <m/>
    <m/>
    <m/>
  </r>
  <r>
    <s v="ORD-01648"/>
    <x v="169"/>
    <s v="CUST-0038"/>
    <s v="PROD-050"/>
    <s v="R023"/>
    <n v="5"/>
    <n v="6080"/>
    <n v="17.600000000000001"/>
    <n v="25049.599999999999"/>
    <s v="Completed"/>
    <s v="Mumbai"/>
    <s v="Beauty"/>
    <m/>
    <s v="Retail"/>
    <n v="57"/>
    <m/>
    <m/>
    <m/>
    <m/>
  </r>
  <r>
    <s v="ORD-01649"/>
    <x v="283"/>
    <s v="CUST-0034"/>
    <s v="PROD-028"/>
    <s v="R013"/>
    <n v="4"/>
    <n v="3660"/>
    <n v="21.8"/>
    <n v="11448.48"/>
    <s v="Pending"/>
    <s v="Delhi"/>
    <s v="Grocery"/>
    <m/>
    <s v="Retail"/>
    <n v="47"/>
    <m/>
    <m/>
    <m/>
    <m/>
  </r>
  <r>
    <s v="ORD-01650"/>
    <x v="32"/>
    <s v="CUST-0248"/>
    <s v="PROD-031"/>
    <s v="R008"/>
    <n v="6"/>
    <n v="3730"/>
    <n v="13.3"/>
    <n v="19403.46"/>
    <s v="Cancelled"/>
    <s v="Chennai"/>
    <s v="Home"/>
    <m/>
    <s v="SMB"/>
    <n v="57"/>
    <m/>
    <m/>
    <m/>
    <m/>
  </r>
  <r>
    <s v="ORD-01651"/>
    <x v="327"/>
    <s v="CUST-0194"/>
    <s v="PROD-004"/>
    <s v="R029"/>
    <n v="8"/>
    <n v="3870"/>
    <n v="21.2"/>
    <n v="24396.48"/>
    <s v="Pending"/>
    <s v="Delhi"/>
    <s v="Electronics"/>
    <m/>
    <s v="SMB"/>
    <n v="55"/>
    <m/>
    <m/>
    <m/>
    <m/>
  </r>
  <r>
    <s v="ORD-01652"/>
    <x v="69"/>
    <s v="CUST-0114"/>
    <s v="PROD-021"/>
    <s v="R016"/>
    <n v="4"/>
    <n v="2760"/>
    <n v="14"/>
    <n v="9494.4"/>
    <s v="Completed"/>
    <s v="Bengaluru"/>
    <s v="Grocery"/>
    <m/>
    <s v="Corporate"/>
    <n v="42"/>
    <m/>
    <m/>
    <m/>
    <m/>
  </r>
  <r>
    <s v="ORD-01653"/>
    <x v="100"/>
    <s v="CUST-0118"/>
    <s v="PROD-023"/>
    <s v="R020"/>
    <n v="5"/>
    <n v="2380"/>
    <n v="16.399999999999999"/>
    <n v="9948.4"/>
    <s v="Completed"/>
    <s v="Hyderabad"/>
    <s v="Grocery"/>
    <m/>
    <s v="Retail"/>
    <n v="26"/>
    <s v="South"/>
    <s v="Apr-24"/>
    <n v="1182"/>
    <n v="0.50336134453781511"/>
  </r>
  <r>
    <s v="ORD-01654"/>
    <x v="246"/>
    <s v="CUST-9719"/>
    <s v="PROD-050"/>
    <s v="R015"/>
    <n v="2"/>
    <n v="6080"/>
    <n v="20.100000000000001"/>
    <n v="9715.84"/>
    <s v="Cancelled"/>
    <s v="Mumbai"/>
    <s v="Beauty"/>
    <m/>
    <e v="#N/A"/>
    <e v="#N/A"/>
    <m/>
    <m/>
    <m/>
    <m/>
  </r>
  <r>
    <s v="ORD-01655"/>
    <x v="296"/>
    <s v="CUST-0232"/>
    <s v="PROD-016"/>
    <s v="R016"/>
    <n v="2"/>
    <n v="620"/>
    <n v="4.3"/>
    <n v="1186.68"/>
    <s v="Completed"/>
    <s v="Hyderabad"/>
    <s v="Apparel"/>
    <m/>
    <s v="Retail"/>
    <n v="38"/>
    <s v="South"/>
    <s v="Jan-24"/>
    <n v="396"/>
    <n v="0.36129032258064514"/>
  </r>
  <r>
    <s v="ORD-01656"/>
    <x v="16"/>
    <s v="CUST-0240"/>
    <s v="PROD-004"/>
    <s v="R012"/>
    <n v="7"/>
    <n v="3870"/>
    <n v="5.9"/>
    <n v="25491.69"/>
    <s v="Completed"/>
    <s v="Chennai"/>
    <s v="Electronics"/>
    <m/>
    <s v="Corporate"/>
    <n v="35"/>
    <s v="South"/>
    <s v="Oct-24"/>
    <n v="1559"/>
    <n v="0.59715762273901807"/>
  </r>
  <r>
    <s v="ORD-01657"/>
    <x v="249"/>
    <s v="CUST-0227"/>
    <s v="PROD-003"/>
    <s v="R020"/>
    <n v="8"/>
    <n v="3570"/>
    <n v="24.6"/>
    <n v="21534.240000000002"/>
    <s v="Completed"/>
    <s v="Bengaluru"/>
    <s v="Electronics"/>
    <m/>
    <s v="SMB"/>
    <n v="44"/>
    <m/>
    <m/>
    <m/>
    <m/>
  </r>
  <r>
    <s v="ORD-01658"/>
    <x v="168"/>
    <s v="CUST-0234"/>
    <s v="PROD-026"/>
    <s v="R010"/>
    <n v="1"/>
    <n v="4070"/>
    <n v="29.1"/>
    <n v="2885.63"/>
    <s v="Pending"/>
    <s v="Bengaluru"/>
    <s v="Grocery"/>
    <m/>
    <s v="Retail"/>
    <n v="34"/>
    <s v="East"/>
    <s v="Apr-24"/>
    <n v="2027"/>
    <n v="0.50196560196560192"/>
  </r>
  <r>
    <s v="ORD-01659"/>
    <x v="296"/>
    <s v="CUST-0041"/>
    <s v="PROD-020"/>
    <s v="R017"/>
    <n v="1"/>
    <n v="820"/>
    <n v="17.899999999999999"/>
    <n v="673.22"/>
    <s v="Completed"/>
    <s v="Bengaluru"/>
    <s v="Apparel"/>
    <m/>
    <s v="SMB"/>
    <n v="26"/>
    <s v="South"/>
    <s v="Dec-24"/>
    <n v="391"/>
    <n v="0.52317073170731709"/>
  </r>
  <r>
    <s v="ORD-01660"/>
    <x v="175"/>
    <s v="CUST-0129"/>
    <s v="PROD-045"/>
    <s v="R029"/>
    <n v="5"/>
    <n v="3020"/>
    <n v="26.2"/>
    <n v="11143.8"/>
    <s v="Completed"/>
    <s v="Hyderabad"/>
    <s v="Beauty"/>
    <m/>
    <s v="Retail"/>
    <n v="29"/>
    <s v="East"/>
    <s v="Oct-24"/>
    <n v="1626"/>
    <n v="0.46158940397350995"/>
  </r>
  <r>
    <s v="ORD-01661"/>
    <x v="91"/>
    <s v="CUST-0141"/>
    <s v="PROD-018"/>
    <s v="R022"/>
    <n v="10"/>
    <n v="3560"/>
    <n v="15.4"/>
    <n v="30117.599999999999"/>
    <s v="Refunded"/>
    <s v="Hyderabad"/>
    <s v="Apparel"/>
    <m/>
    <s v="Corporate"/>
    <n v="22"/>
    <s v="West"/>
    <s v="Dec-24"/>
    <n v="2629"/>
    <n v="0.26151685393258428"/>
  </r>
  <r>
    <s v="ORD-01662"/>
    <x v="299"/>
    <s v="CUST-0282"/>
    <s v="PROD-043"/>
    <s v="R001"/>
    <n v="3"/>
    <n v="3350"/>
    <n v="8.1"/>
    <n v="9235.9500000000007"/>
    <s v="Completed"/>
    <s v="Hyderabad"/>
    <s v="Beauty"/>
    <m/>
    <s v="Corporate"/>
    <n v="29"/>
    <s v="East"/>
    <s v="Apr-24"/>
    <n v="1728"/>
    <n v="0.48417910447761192"/>
  </r>
  <r>
    <s v="ORD-01663"/>
    <x v="176"/>
    <s v="CUST-0269"/>
    <s v="PROD-042"/>
    <s v="R025"/>
    <n v="10"/>
    <n v="2290"/>
    <n v="7"/>
    <n v="21297"/>
    <s v="Completed"/>
    <s v="Pune"/>
    <s v="Beauty"/>
    <m/>
    <s v="Retail"/>
    <n v="48"/>
    <m/>
    <m/>
    <m/>
    <m/>
  </r>
  <r>
    <s v="ORD-01664"/>
    <x v="64"/>
    <s v="CUST-0239"/>
    <s v="PROD-028"/>
    <s v="R003"/>
    <n v="6"/>
    <n v="3660"/>
    <n v="29.9"/>
    <n v="15393.96"/>
    <s v="Completed"/>
    <s v="Mumbai"/>
    <s v="Grocery"/>
    <m/>
    <s v="Retail"/>
    <n v="61"/>
    <m/>
    <m/>
    <m/>
    <m/>
  </r>
  <r>
    <s v="ORD-01665"/>
    <x v="87"/>
    <s v="CUST-0075"/>
    <s v="PROD-010"/>
    <s v="R013"/>
    <n v="8"/>
    <n v="2640"/>
    <n v="4.2"/>
    <n v="20232.96"/>
    <s v="Refunded"/>
    <s v="Mumbai"/>
    <s v="Electronics"/>
    <m/>
    <s v="Corporate"/>
    <n v="55"/>
    <m/>
    <m/>
    <m/>
    <m/>
  </r>
  <r>
    <s v="ORD-01666"/>
    <x v="194"/>
    <s v="CUST-0184"/>
    <s v="PROD-032"/>
    <s v="R006"/>
    <n v="5"/>
    <n v="370"/>
    <n v="6"/>
    <n v="1739"/>
    <s v="Completed"/>
    <s v="Pune"/>
    <s v="Home"/>
    <m/>
    <s v="Retail"/>
    <n v="63"/>
    <m/>
    <m/>
    <m/>
    <m/>
  </r>
  <r>
    <s v="ORD-01667"/>
    <x v="312"/>
    <s v="CUST-0144"/>
    <s v="PROD-024"/>
    <s v="R007"/>
    <n v="9"/>
    <n v="2270"/>
    <n v="4.7"/>
    <n v="19469.79"/>
    <s v="Completed"/>
    <s v="Chennai"/>
    <s v="Grocery"/>
    <m/>
    <s v="Retail"/>
    <n v="49"/>
    <m/>
    <m/>
    <m/>
    <m/>
  </r>
  <r>
    <s v="ORD-01668"/>
    <x v="85"/>
    <s v="CUST-0039"/>
    <s v="PROD-037"/>
    <s v="R011"/>
    <n v="5"/>
    <n v="660"/>
    <n v="21"/>
    <n v="2607"/>
    <s v="Completed"/>
    <s v="Bengaluru"/>
    <s v="Home"/>
    <m/>
    <s v="Retail"/>
    <n v="37"/>
    <s v="North"/>
    <s v="Mar-24"/>
    <n v="329"/>
    <n v="0.50151515151515147"/>
  </r>
  <r>
    <s v="ORD-01669"/>
    <x v="192"/>
    <s v="CUST-9765"/>
    <s v="PROD-057"/>
    <s v="R003"/>
    <n v="2"/>
    <n v="960"/>
    <n v="7.3"/>
    <n v="1779.84"/>
    <s v="Completed"/>
    <s v="Bengaluru"/>
    <s v="Sports"/>
    <m/>
    <e v="#N/A"/>
    <e v="#N/A"/>
    <m/>
    <m/>
    <m/>
    <m/>
  </r>
  <r>
    <s v="ORD-01670"/>
    <x v="89"/>
    <s v="CUST-0159"/>
    <s v="PROD-048"/>
    <s v="R009"/>
    <n v="3"/>
    <n v="5100"/>
    <n v="21"/>
    <n v="12087"/>
    <s v="Completed"/>
    <s v="Hyderabad"/>
    <s v="Beauty"/>
    <m/>
    <s v="Retail"/>
    <n v="32"/>
    <s v="North"/>
    <s v="Apr-24"/>
    <n v="2237"/>
    <n v="0.56137254901960787"/>
  </r>
  <r>
    <s v="ORD-01671"/>
    <x v="286"/>
    <s v="CUST-0168"/>
    <s v="PROD-012"/>
    <s v="R004"/>
    <n v="3"/>
    <n v="3160"/>
    <n v="13.5"/>
    <n v="8200.2000000000007"/>
    <s v="Completed"/>
    <s v="Pune"/>
    <s v="Apparel"/>
    <m/>
    <s v="Retail"/>
    <n v="25"/>
    <s v="South"/>
    <s v="Aug-24"/>
    <n v="1886"/>
    <n v="0.4031645569620253"/>
  </r>
  <r>
    <s v="ORD-01672"/>
    <x v="111"/>
    <s v="CUST-9552"/>
    <s v="PROD-041"/>
    <s v="R005"/>
    <n v="9"/>
    <n v="1540"/>
    <n v="18.2"/>
    <n v="11337.48"/>
    <s v="Cancelled"/>
    <s v="Bengaluru"/>
    <s v="Beauty"/>
    <m/>
    <e v="#N/A"/>
    <e v="#N/A"/>
    <m/>
    <m/>
    <m/>
    <m/>
  </r>
  <r>
    <s v="ORD-01673"/>
    <x v="313"/>
    <s v="CUST-0056"/>
    <s v="PROD-047"/>
    <s v="R024"/>
    <n v="4"/>
    <n v="3450"/>
    <n v="26.4"/>
    <n v="10156.799999999999"/>
    <s v="Pending"/>
    <s v="Bengaluru"/>
    <s v="Beauty"/>
    <m/>
    <s v="SMB"/>
    <n v="46"/>
    <m/>
    <m/>
    <m/>
    <m/>
  </r>
  <r>
    <s v="ORD-01674"/>
    <x v="311"/>
    <s v="CUST-0239"/>
    <s v="PROD-023"/>
    <s v="R026"/>
    <n v="4"/>
    <n v="2380"/>
    <n v="6.9"/>
    <n v="8863.1200000000008"/>
    <s v="Completed"/>
    <s v="Mumbai"/>
    <s v="Grocery"/>
    <m/>
    <s v="Retail"/>
    <n v="61"/>
    <m/>
    <m/>
    <m/>
    <m/>
  </r>
  <r>
    <s v="ORD-01675"/>
    <x v="140"/>
    <s v="CUST-0168"/>
    <s v="PROD-031"/>
    <s v="R003"/>
    <n v="2"/>
    <n v="3730"/>
    <n v="22.9"/>
    <n v="5751.66"/>
    <s v="Completed"/>
    <s v="Pune"/>
    <s v="Home"/>
    <m/>
    <s v="Retail"/>
    <n v="25"/>
    <s v="West"/>
    <s v="Nov-24"/>
    <n v="2135"/>
    <n v="0.42761394101876676"/>
  </r>
  <r>
    <s v="ORD-01676"/>
    <x v="0"/>
    <s v="CUST-0012"/>
    <s v="PROD-036"/>
    <s v="R002"/>
    <n v="7"/>
    <n v="3250"/>
    <n v="6"/>
    <n v="21385"/>
    <s v="Completed"/>
    <s v="Pune"/>
    <s v="Home"/>
    <m/>
    <s v="Retail"/>
    <n v="43"/>
    <m/>
    <m/>
    <m/>
    <m/>
  </r>
  <r>
    <s v="ORD-01677"/>
    <x v="281"/>
    <s v="CUST-0057"/>
    <s v="PROD-053"/>
    <s v="R020"/>
    <n v="9"/>
    <n v="470"/>
    <n v="11.6"/>
    <n v="3739.32"/>
    <s v="Completed"/>
    <s v="Pune"/>
    <s v="Sports"/>
    <m/>
    <s v="Retail"/>
    <n v="35"/>
    <s v="North"/>
    <s v="Sep-24"/>
    <n v="302"/>
    <n v="0.35744680851063831"/>
  </r>
  <r>
    <s v="ORD-01678"/>
    <x v="308"/>
    <s v="CUST-0030"/>
    <s v="PROD-042"/>
    <s v="R026"/>
    <n v="5"/>
    <n v="2290"/>
    <n v="27.6"/>
    <n v="8289.7999999999993"/>
    <s v="Completed"/>
    <s v="Bengaluru"/>
    <s v="Beauty"/>
    <m/>
    <s v="Corporate"/>
    <n v="43"/>
    <m/>
    <m/>
    <m/>
    <m/>
  </r>
  <r>
    <s v="ORD-01679"/>
    <x v="32"/>
    <s v="CUST-0166"/>
    <s v="PROD-007"/>
    <s v="R029"/>
    <n v="6"/>
    <n v="1430"/>
    <n v="18.399999999999999"/>
    <n v="7001.28"/>
    <s v="Pending"/>
    <s v="Hyderabad"/>
    <s v="Electronics"/>
    <m/>
    <s v="Retail"/>
    <n v="31"/>
    <s v="West"/>
    <s v="Oct-24"/>
    <n v="861"/>
    <n v="0.39790209790209791"/>
  </r>
  <r>
    <s v="ORD-01680"/>
    <x v="260"/>
    <s v="CUST-0188"/>
    <s v="PROD-055"/>
    <s v="R002"/>
    <n v="7"/>
    <n v="2860"/>
    <n v="19.5"/>
    <n v="16116.1"/>
    <s v="Completed"/>
    <s v="Bengaluru"/>
    <s v="Sports"/>
    <m/>
    <s v="Retail"/>
    <n v="54"/>
    <m/>
    <m/>
    <m/>
    <m/>
  </r>
  <r>
    <s v="ORD-01681"/>
    <x v="96"/>
    <s v="CUST-0097"/>
    <s v="PROD-047"/>
    <s v="R020"/>
    <n v="8"/>
    <n v="3450"/>
    <n v="25.5"/>
    <n v="20562"/>
    <s v="Pending"/>
    <s v="Mumbai"/>
    <s v="Beauty"/>
    <m/>
    <s v="Retail"/>
    <n v="65"/>
    <m/>
    <m/>
    <m/>
    <m/>
  </r>
  <r>
    <s v="ORD-01682"/>
    <x v="344"/>
    <s v="CUST-0026"/>
    <s v="PROD-052"/>
    <s v="R019"/>
    <n v="7"/>
    <n v="5410"/>
    <n v="15.2"/>
    <n v="32113.759999999998"/>
    <s v="Cancelled"/>
    <s v="Pune"/>
    <s v="Sports"/>
    <m/>
    <s v="Retail"/>
    <n v="62"/>
    <m/>
    <m/>
    <m/>
    <m/>
  </r>
  <r>
    <s v="ORD-01683"/>
    <x v="276"/>
    <s v="CUST-0026"/>
    <s v="PROD-040"/>
    <s v="R025"/>
    <n v="3"/>
    <n v="1080"/>
    <n v="26"/>
    <n v="2397.6"/>
    <s v="Completed"/>
    <s v="Pune"/>
    <s v="Home"/>
    <m/>
    <s v="Retail"/>
    <n v="62"/>
    <m/>
    <m/>
    <m/>
    <m/>
  </r>
  <r>
    <s v="ORD-01684"/>
    <x v="20"/>
    <s v="CUST-0020"/>
    <s v="PROD-055"/>
    <s v="R019"/>
    <n v="8"/>
    <n v="2860"/>
    <n v="14.8"/>
    <n v="19493.759999999998"/>
    <s v="Completed"/>
    <s v="Hyderabad"/>
    <s v="Sports"/>
    <m/>
    <s v="Retail"/>
    <n v="46"/>
    <m/>
    <m/>
    <m/>
    <m/>
  </r>
  <r>
    <s v="ORD-01685"/>
    <x v="10"/>
    <s v="CUST-9740"/>
    <s v="PROD-045"/>
    <s v="R013"/>
    <n v="4"/>
    <n v="3020"/>
    <n v="8.1"/>
    <n v="11101.52"/>
    <s v="Completed"/>
    <s v="Hyderabad"/>
    <s v="Beauty"/>
    <m/>
    <e v="#N/A"/>
    <e v="#N/A"/>
    <m/>
    <m/>
    <m/>
    <m/>
  </r>
  <r>
    <s v="ORD-01686"/>
    <x v="51"/>
    <s v="CUST-0095"/>
    <s v="PROD-057"/>
    <s v="R025"/>
    <n v="4"/>
    <n v="960"/>
    <n v="6.4"/>
    <n v="3594.24"/>
    <s v="Cancelled"/>
    <s v="Mumbai"/>
    <s v="Sports"/>
    <m/>
    <s v="SMB"/>
    <n v="54"/>
    <m/>
    <m/>
    <m/>
    <m/>
  </r>
  <r>
    <s v="ORD-01687"/>
    <x v="102"/>
    <s v="CUST-0079"/>
    <s v="PROD-004"/>
    <s v="R029"/>
    <n v="4"/>
    <n v="3870"/>
    <n v="15.9"/>
    <n v="13018.68"/>
    <s v="Completed"/>
    <s v="Mumbai"/>
    <s v="Electronics"/>
    <m/>
    <s v="Corporate"/>
    <n v="60"/>
    <m/>
    <m/>
    <m/>
    <m/>
  </r>
  <r>
    <s v="ORD-01688"/>
    <x v="239"/>
    <s v="CUST-0060"/>
    <s v="PROD-012"/>
    <s v="R020"/>
    <n v="5"/>
    <n v="3160"/>
    <n v="29.8"/>
    <n v="11091.6"/>
    <s v="Completed"/>
    <s v="Pune"/>
    <s v="Apparel"/>
    <m/>
    <s v="Retail"/>
    <n v="39"/>
    <s v="West"/>
    <s v="Oct-24"/>
    <n v="1886"/>
    <n v="0.4031645569620253"/>
  </r>
  <r>
    <s v="ORD-01689"/>
    <x v="210"/>
    <s v="CUST-0080"/>
    <s v="PROD-047"/>
    <s v="R027"/>
    <n v="5"/>
    <n v="3450"/>
    <n v="29.4"/>
    <n v="12178.5"/>
    <s v="Completed"/>
    <s v="Pune"/>
    <s v="Beauty"/>
    <m/>
    <s v="SMB"/>
    <n v="30"/>
    <s v="East"/>
    <s v="Mar-24"/>
    <n v="2420"/>
    <n v="0.29855072463768118"/>
  </r>
  <r>
    <s v="ORD-01690"/>
    <x v="275"/>
    <s v="CUST-0136"/>
    <s v="PROD-049"/>
    <s v="R018"/>
    <n v="10"/>
    <n v="960"/>
    <n v="27"/>
    <n v="7008"/>
    <s v="Cancelled"/>
    <s v="Chennai"/>
    <s v="Beauty"/>
    <m/>
    <s v="SMB"/>
    <n v="26"/>
    <s v="West"/>
    <s v="Apr-24"/>
    <n v="675"/>
    <n v="0.296875"/>
  </r>
  <r>
    <s v="ORD-01691"/>
    <x v="335"/>
    <s v="CUST-0074"/>
    <s v="PROD-056"/>
    <s v="R018"/>
    <n v="10"/>
    <n v="6940"/>
    <n v="20.100000000000001"/>
    <n v="55450.6"/>
    <s v="Completed"/>
    <s v="Bengaluru"/>
    <s v="Sports"/>
    <m/>
    <s v="Retail"/>
    <n v="27"/>
    <s v="East"/>
    <s v="Aug-24"/>
    <n v="2827"/>
    <n v="0.5926512968299712"/>
  </r>
  <r>
    <s v="ORD-01692"/>
    <x v="295"/>
    <s v="CUST-0090"/>
    <s v="PROD-058"/>
    <s v="R009"/>
    <n v="9"/>
    <n v="2400"/>
    <n v="7.8"/>
    <n v="19915.2"/>
    <s v="Completed"/>
    <s v="Bengaluru"/>
    <s v="Sports"/>
    <m/>
    <s v="Corporate"/>
    <n v="26"/>
    <s v="East"/>
    <s v="May-24"/>
    <n v="974"/>
    <n v="0.59416666666666662"/>
  </r>
  <r>
    <s v="ORD-01693"/>
    <x v="245"/>
    <s v="CUST-0300"/>
    <s v="PROD-052"/>
    <s v="R017"/>
    <n v="1"/>
    <n v="5410"/>
    <n v="22.8"/>
    <n v="4176.5200000000004"/>
    <s v="Completed"/>
    <s v="Mumbai"/>
    <s v="Sports"/>
    <m/>
    <s v="Retail"/>
    <n v="38"/>
    <s v="South"/>
    <s v="May-24"/>
    <n v="2265"/>
    <n v="0.58133086876155271"/>
  </r>
  <r>
    <s v="ORD-01694"/>
    <x v="98"/>
    <s v="CUST-0188"/>
    <s v="PROD-009"/>
    <s v="R004"/>
    <n v="7"/>
    <n v="1220"/>
    <n v="18.8"/>
    <n v="6934.48"/>
    <s v="Pending"/>
    <s v="Bengaluru"/>
    <s v="Electronics"/>
    <m/>
    <s v="Retail"/>
    <n v="54"/>
    <m/>
    <m/>
    <m/>
    <m/>
  </r>
  <r>
    <s v="ORD-01695"/>
    <x v="127"/>
    <s v="CUST-0250"/>
    <s v="PROD-035"/>
    <s v="R019"/>
    <n v="1"/>
    <n v="1090"/>
    <n v="23.5"/>
    <n v="833.85"/>
    <s v="Completed"/>
    <s v="Delhi"/>
    <s v="Home"/>
    <m/>
    <s v="Retail"/>
    <n v="31"/>
    <s v="North"/>
    <s v="Dec-24"/>
    <n v="464"/>
    <n v="0.57431192660550456"/>
  </r>
  <r>
    <s v="ORD-01696"/>
    <x v="101"/>
    <s v="CUST-0195"/>
    <s v="PROD-021"/>
    <s v="R023"/>
    <n v="2"/>
    <n v="2760"/>
    <n v="2.2999999999999998"/>
    <n v="5393.04"/>
    <s v="Completed"/>
    <s v="Bengaluru"/>
    <s v="Grocery"/>
    <m/>
    <s v="Retail"/>
    <n v="28"/>
    <s v="East"/>
    <s v="Oct-24"/>
    <n v="1435"/>
    <n v="0.48007246376811596"/>
  </r>
  <r>
    <s v="ORD-01697"/>
    <x v="17"/>
    <s v="CUST-0185"/>
    <s v="PROD-003"/>
    <s v="R026"/>
    <n v="3"/>
    <n v="3570"/>
    <n v="18.399999999999999"/>
    <n v="8739.36"/>
    <s v="Refunded"/>
    <s v="Hyderabad"/>
    <s v="Electronics"/>
    <m/>
    <s v="SMB"/>
    <n v="43"/>
    <m/>
    <m/>
    <m/>
    <m/>
  </r>
  <r>
    <s v="ORD-01698"/>
    <x v="349"/>
    <s v="CUST-0256"/>
    <s v="PROD-009"/>
    <s v="R004"/>
    <n v="7"/>
    <n v="1220"/>
    <n v="25.8"/>
    <n v="6336.68"/>
    <s v="Refunded"/>
    <s v="Hyderabad"/>
    <s v="Electronics"/>
    <m/>
    <s v="Retail"/>
    <n v="28"/>
    <s v="West"/>
    <s v="Nov-24"/>
    <n v="517"/>
    <n v="0.57622950819672136"/>
  </r>
  <r>
    <s v="ORD-01699"/>
    <x v="350"/>
    <s v="CUST-0060"/>
    <s v="PROD-051"/>
    <s v="R029"/>
    <n v="6"/>
    <n v="3450"/>
    <n v="13.1"/>
    <n v="17988.3"/>
    <s v="Completed"/>
    <s v="Pune"/>
    <s v="Sports"/>
    <m/>
    <s v="Retail"/>
    <n v="39"/>
    <s v="North"/>
    <s v="Jul-24"/>
    <n v="2467"/>
    <n v="0.28492753623188405"/>
  </r>
  <r>
    <s v="ORD-01700"/>
    <x v="347"/>
    <s v="CUST-0275"/>
    <s v="PROD-029"/>
    <s v="R004"/>
    <n v="10"/>
    <n v="2210"/>
    <n v="16.600000000000001"/>
    <n v="18431.400000000001"/>
    <s v="Completed"/>
    <s v="Mumbai"/>
    <s v="Grocery"/>
    <m/>
    <s v="Retail"/>
    <n v="36"/>
    <s v="West"/>
    <s v="Jul-24"/>
    <n v="1010"/>
    <n v="0.54298642533936647"/>
  </r>
  <r>
    <s v="ORD-01701"/>
    <x v="146"/>
    <s v="CUST-0114"/>
    <s v="PROD-019"/>
    <s v="R027"/>
    <n v="10"/>
    <n v="2480"/>
    <n v="17.5"/>
    <n v="20460"/>
    <s v="Completed"/>
    <s v="Bengaluru"/>
    <s v="Apparel"/>
    <m/>
    <s v="Corporate"/>
    <n v="42"/>
    <m/>
    <m/>
    <m/>
    <m/>
  </r>
  <r>
    <s v="ORD-01702"/>
    <x v="286"/>
    <s v="CUST-0060"/>
    <s v="PROD-036"/>
    <s v="R019"/>
    <n v="9"/>
    <n v="3250"/>
    <n v="25.9"/>
    <n v="21674.25"/>
    <s v="Completed"/>
    <s v="Pune"/>
    <s v="Home"/>
    <m/>
    <s v="Retail"/>
    <n v="39"/>
    <s v="West"/>
    <s v="Jan-24"/>
    <n v="1556"/>
    <n v="0.52123076923076928"/>
  </r>
  <r>
    <s v="ORD-01703"/>
    <x v="267"/>
    <s v="CUST-0039"/>
    <s v="PROD-058"/>
    <s v="R008"/>
    <n v="3"/>
    <n v="2400"/>
    <n v="17.5"/>
    <n v="5940"/>
    <s v="Completed"/>
    <s v="Bengaluru"/>
    <s v="Sports"/>
    <m/>
    <s v="Retail"/>
    <n v="37"/>
    <s v="East"/>
    <s v="Oct-24"/>
    <n v="974"/>
    <n v="0.59416666666666662"/>
  </r>
  <r>
    <s v="ORD-01704"/>
    <x v="332"/>
    <s v="CUST-0033"/>
    <s v="PROD-052"/>
    <s v="R006"/>
    <n v="8"/>
    <n v="5410"/>
    <n v="8.3000000000000007"/>
    <n v="39687.760000000002"/>
    <s v="Completed"/>
    <s v="Delhi"/>
    <s v="Sports"/>
    <m/>
    <s v="Retail"/>
    <n v="35"/>
    <s v="North"/>
    <s v="Jul-24"/>
    <n v="2265"/>
    <n v="0.58133086876155271"/>
  </r>
  <r>
    <s v="ORD-01705"/>
    <x v="81"/>
    <s v="CUST-0037"/>
    <s v="PROD-002"/>
    <s v="R018"/>
    <n v="1"/>
    <n v="2600"/>
    <n v="5.9"/>
    <n v="2446.6"/>
    <s v="Completed"/>
    <s v="Bengaluru"/>
    <s v="Electronics"/>
    <m/>
    <s v="Retail"/>
    <n v="52"/>
    <m/>
    <m/>
    <m/>
    <m/>
  </r>
  <r>
    <s v="ORD-01706"/>
    <x v="348"/>
    <s v="CUST-0081"/>
    <s v="PROD-025"/>
    <s v="R003"/>
    <n v="10"/>
    <n v="4060"/>
    <n v="2.2999999999999998"/>
    <n v="39666.199999999997"/>
    <s v="Completed"/>
    <s v="Mumbai"/>
    <s v="Grocery"/>
    <m/>
    <s v="Retail"/>
    <n v="25"/>
    <s v="East"/>
    <s v="Nov-24"/>
    <n v="2911"/>
    <n v="0.28300492610837441"/>
  </r>
  <r>
    <s v="ORD-01707"/>
    <x v="279"/>
    <s v="CUST-0279"/>
    <s v="PROD-001"/>
    <s v="R020"/>
    <n v="9"/>
    <n v="5330"/>
    <n v="23.5"/>
    <n v="36697.050000000003"/>
    <s v="Completed"/>
    <s v="Mumbai"/>
    <s v="Electronics"/>
    <m/>
    <s v="Retail"/>
    <n v="56"/>
    <m/>
    <m/>
    <m/>
    <m/>
  </r>
  <r>
    <s v="ORD-01708"/>
    <x v="77"/>
    <s v="CUST-0129"/>
    <s v="PROD-043"/>
    <s v="R025"/>
    <n v="7"/>
    <n v="3350"/>
    <n v="13.4"/>
    <n v="20307.7"/>
    <s v="Pending"/>
    <s v="Hyderabad"/>
    <s v="Beauty"/>
    <m/>
    <s v="Retail"/>
    <n v="29"/>
    <s v="East"/>
    <s v="Mar-24"/>
    <n v="1728"/>
    <n v="0.48417910447761192"/>
  </r>
  <r>
    <s v="ORD-01709"/>
    <x v="252"/>
    <s v="CUST-0010"/>
    <s v="PROD-017"/>
    <s v="R014"/>
    <n v="4"/>
    <n v="2510"/>
    <n v="26.6"/>
    <n v="7369.36"/>
    <s v="Completed"/>
    <s v="Mumbai"/>
    <s v="Apparel"/>
    <m/>
    <s v="SMB"/>
    <n v="61"/>
    <m/>
    <m/>
    <m/>
    <m/>
  </r>
  <r>
    <s v="ORD-01710"/>
    <x v="145"/>
    <s v="CUST-0006"/>
    <s v="PROD-045"/>
    <s v="R021"/>
    <n v="1"/>
    <n v="3020"/>
    <n v="15.2"/>
    <n v="2560.96"/>
    <s v="Cancelled"/>
    <s v="Pune"/>
    <s v="Beauty"/>
    <m/>
    <s v="SMB"/>
    <n v="44"/>
    <m/>
    <m/>
    <m/>
    <m/>
  </r>
  <r>
    <s v="ORD-01711"/>
    <x v="149"/>
    <s v="CUST-0206"/>
    <s v="PROD-020"/>
    <s v="R029"/>
    <n v="1"/>
    <n v="820"/>
    <n v="6.3"/>
    <n v="768.34"/>
    <s v="Completed"/>
    <s v="Mumbai"/>
    <s v="Apparel"/>
    <m/>
    <s v="Retail"/>
    <n v="40"/>
    <s v="East"/>
    <s v="Jun-24"/>
    <n v="391"/>
    <n v="0.52317073170731709"/>
  </r>
  <r>
    <s v="ORD-01712"/>
    <x v="56"/>
    <s v="CUST-0034"/>
    <s v="PROD-012"/>
    <s v="R027"/>
    <n v="4"/>
    <n v="3160"/>
    <n v="3.6"/>
    <n v="12184.96"/>
    <s v="Pending"/>
    <s v="Delhi"/>
    <s v="Apparel"/>
    <m/>
    <s v="Retail"/>
    <n v="47"/>
    <m/>
    <m/>
    <m/>
    <m/>
  </r>
  <r>
    <s v="ORD-01713"/>
    <x v="43"/>
    <s v="CUST-0121"/>
    <s v="PROD-028"/>
    <s v="R012"/>
    <n v="1"/>
    <n v="3660"/>
    <n v="28.2"/>
    <n v="2627.88"/>
    <s v="Pending"/>
    <s v="Delhi"/>
    <s v="Grocery"/>
    <m/>
    <s v="SMB"/>
    <n v="55"/>
    <m/>
    <m/>
    <m/>
    <m/>
  </r>
  <r>
    <s v="ORD-01714"/>
    <x v="18"/>
    <s v="CUST-0098"/>
    <s v="PROD-020"/>
    <s v="R026"/>
    <n v="2"/>
    <n v="820"/>
    <n v="7"/>
    <n v="1525.2"/>
    <s v="Completed"/>
    <s v="Delhi"/>
    <s v="Apparel"/>
    <m/>
    <s v="Retail"/>
    <n v="52"/>
    <m/>
    <m/>
    <m/>
    <m/>
  </r>
  <r>
    <s v="ORD-01715"/>
    <x v="225"/>
    <s v="CUST-0031"/>
    <s v="PROD-023"/>
    <s v="R022"/>
    <n v="5"/>
    <n v="2380"/>
    <n v="23"/>
    <n v="9163"/>
    <s v="Completed"/>
    <s v="Hyderabad"/>
    <s v="Grocery"/>
    <m/>
    <s v="Retail"/>
    <n v="53"/>
    <m/>
    <m/>
    <m/>
    <m/>
  </r>
  <r>
    <s v="ORD-01716"/>
    <x v="109"/>
    <s v="CUST-0185"/>
    <s v="PROD-004"/>
    <s v="R013"/>
    <n v="1"/>
    <n v="3870"/>
    <n v="27.3"/>
    <n v="2813.49"/>
    <s v="Completed"/>
    <s v="Hyderabad"/>
    <s v="Electronics"/>
    <m/>
    <s v="SMB"/>
    <n v="43"/>
    <m/>
    <m/>
    <m/>
    <m/>
  </r>
  <r>
    <s v="ORD-01717"/>
    <x v="114"/>
    <s v="CUST-0011"/>
    <s v="PROD-005"/>
    <s v="R007"/>
    <n v="10"/>
    <n v="300"/>
    <n v="14.1"/>
    <n v="2577"/>
    <s v="Cancelled"/>
    <s v="Chennai"/>
    <s v="Electronics"/>
    <m/>
    <s v="Corporate"/>
    <n v="41"/>
    <m/>
    <m/>
    <m/>
    <m/>
  </r>
  <r>
    <s v="ORD-01718"/>
    <x v="262"/>
    <s v="CUST-0223"/>
    <s v="PROD-048"/>
    <s v="R027"/>
    <n v="10"/>
    <n v="5100"/>
    <n v="12.7"/>
    <n v="44523"/>
    <s v="Completed"/>
    <s v="Bengaluru"/>
    <s v="Beauty"/>
    <m/>
    <s v="Retail"/>
    <n v="46"/>
    <m/>
    <m/>
    <m/>
    <m/>
  </r>
  <r>
    <s v="ORD-01719"/>
    <x v="55"/>
    <s v="CUST-0126"/>
    <s v="PROD-021"/>
    <s v="R013"/>
    <n v="1"/>
    <n v="2760"/>
    <n v="17.8"/>
    <n v="2268.7199999999998"/>
    <s v="Refunded"/>
    <s v="Mumbai"/>
    <s v="Grocery"/>
    <m/>
    <s v="Retail"/>
    <n v="37"/>
    <s v="West"/>
    <s v="Dec-24"/>
    <n v="1435"/>
    <n v="0.48007246376811596"/>
  </r>
  <r>
    <s v="ORD-01720"/>
    <x v="143"/>
    <s v="CUST-0284"/>
    <s v="PROD-001"/>
    <s v="R002"/>
    <n v="8"/>
    <n v="5330"/>
    <n v="16.399999999999999"/>
    <n v="35647.040000000001"/>
    <s v="Completed"/>
    <s v="Hyderabad"/>
    <s v="Electronics"/>
    <m/>
    <s v="SMB"/>
    <n v="65"/>
    <m/>
    <m/>
    <m/>
    <m/>
  </r>
  <r>
    <s v="ORD-01721"/>
    <x v="136"/>
    <s v="CUST-0011"/>
    <s v="PROD-054"/>
    <s v="R016"/>
    <n v="1"/>
    <n v="1010"/>
    <n v="20.399999999999999"/>
    <n v="803.96"/>
    <s v="Cancelled"/>
    <s v="Chennai"/>
    <s v="Sports"/>
    <m/>
    <s v="Corporate"/>
    <n v="41"/>
    <m/>
    <m/>
    <m/>
    <m/>
  </r>
  <r>
    <s v="ORD-01722"/>
    <x v="351"/>
    <s v="CUST-0275"/>
    <s v="PROD-008"/>
    <s v="R019"/>
    <n v="10"/>
    <n v="2660"/>
    <n v="29.3"/>
    <n v="18806.2"/>
    <s v="Completed"/>
    <s v="Mumbai"/>
    <s v="Electronics"/>
    <m/>
    <s v="Retail"/>
    <n v="36"/>
    <s v="South"/>
    <s v="Jun-24"/>
    <n v="1259"/>
    <n v="0.52669172932330832"/>
  </r>
  <r>
    <s v="ORD-01723"/>
    <x v="47"/>
    <s v="CUST-0259"/>
    <s v="PROD-006"/>
    <s v="R011"/>
    <n v="9"/>
    <n v="3970"/>
    <n v="10.4"/>
    <n v="32014.080000000002"/>
    <s v="Pending"/>
    <s v="Mumbai"/>
    <s v="Electronics"/>
    <m/>
    <s v="Retail"/>
    <n v="34"/>
    <s v="East"/>
    <s v="Mar-24"/>
    <n v="2865"/>
    <n v="0.27833753148614609"/>
  </r>
  <r>
    <s v="ORD-01724"/>
    <x v="22"/>
    <s v="CUST-0089"/>
    <s v="PROD-014"/>
    <s v="R008"/>
    <n v="3"/>
    <n v="3620"/>
    <n v="22"/>
    <n v="8470.7999999999993"/>
    <s v="Completed"/>
    <s v="Mumbai"/>
    <s v="Apparel"/>
    <m/>
    <s v="SMB"/>
    <n v="43"/>
    <m/>
    <m/>
    <m/>
    <m/>
  </r>
  <r>
    <s v="ORD-01725"/>
    <x v="266"/>
    <s v="CUST-0232"/>
    <s v="PROD-022"/>
    <s v="R018"/>
    <n v="6"/>
    <n v="2270"/>
    <n v="11.1"/>
    <n v="12108.18"/>
    <s v="Cancelled"/>
    <s v="Hyderabad"/>
    <s v="Grocery"/>
    <m/>
    <s v="Retail"/>
    <n v="38"/>
    <s v="North"/>
    <s v="Jun-24"/>
    <n v="1412"/>
    <n v="0.37797356828193834"/>
  </r>
  <r>
    <s v="ORD-01726"/>
    <x v="363"/>
    <s v="CUST-0220"/>
    <s v="PROD-022"/>
    <s v="R014"/>
    <n v="4"/>
    <n v="2270"/>
    <n v="27.2"/>
    <n v="6610.24"/>
    <s v="Pending"/>
    <s v="Chennai"/>
    <s v="Grocery"/>
    <m/>
    <s v="Retail"/>
    <n v="34"/>
    <s v="East"/>
    <s v="Apr-24"/>
    <n v="1412"/>
    <n v="0.37797356828193834"/>
  </r>
  <r>
    <s v="ORD-01727"/>
    <x v="31"/>
    <s v="CUST-0137"/>
    <s v="PROD-039"/>
    <s v="R012"/>
    <n v="8"/>
    <n v="4610"/>
    <n v="24.5"/>
    <n v="27844.400000000001"/>
    <s v="Completed"/>
    <s v="Mumbai"/>
    <s v="Home"/>
    <m/>
    <s v="Retail"/>
    <n v="41"/>
    <m/>
    <m/>
    <m/>
    <m/>
  </r>
  <r>
    <s v="ORD-01728"/>
    <x v="250"/>
    <s v="CUST-0132"/>
    <s v="PROD-060"/>
    <s v="R020"/>
    <n v="6"/>
    <n v="190"/>
    <n v="8.6999999999999993"/>
    <n v="1040.82"/>
    <s v="Cancelled"/>
    <s v="Delhi"/>
    <s v="Sports"/>
    <m/>
    <s v="Retail"/>
    <n v="41"/>
    <m/>
    <m/>
    <m/>
    <m/>
  </r>
  <r>
    <s v="ORD-01729"/>
    <x v="7"/>
    <s v="CUST-0226"/>
    <s v="PROD-033"/>
    <s v="R026"/>
    <n v="5"/>
    <n v="2030"/>
    <n v="0.9"/>
    <n v="10058.65"/>
    <s v="Cancelled"/>
    <s v="Chennai"/>
    <s v="Home"/>
    <m/>
    <s v="Corporate"/>
    <n v="52"/>
    <m/>
    <m/>
    <m/>
    <m/>
  </r>
  <r>
    <s v="ORD-01730"/>
    <x v="105"/>
    <s v="CUST-0080"/>
    <s v="PROD-026"/>
    <s v="R020"/>
    <n v="1"/>
    <n v="4070"/>
    <n v="9.3000000000000007"/>
    <n v="3691.49"/>
    <s v="Refunded"/>
    <s v="Pune"/>
    <s v="Grocery"/>
    <m/>
    <s v="SMB"/>
    <n v="30"/>
    <s v="West"/>
    <s v="Nov-24"/>
    <n v="2027"/>
    <n v="0.50196560196560192"/>
  </r>
  <r>
    <s v="ORD-01731"/>
    <x v="151"/>
    <s v="CUST-0068"/>
    <s v="PROD-042"/>
    <s v="R001"/>
    <n v="3"/>
    <n v="2290"/>
    <n v="12.1"/>
    <n v="6038.73"/>
    <s v="Completed"/>
    <s v="Delhi"/>
    <s v="Beauty"/>
    <m/>
    <s v="SMB"/>
    <n v="48"/>
    <m/>
    <m/>
    <m/>
    <m/>
  </r>
  <r>
    <s v="ORD-01732"/>
    <x v="282"/>
    <s v="CUST-0146"/>
    <s v="PROD-031"/>
    <s v="R020"/>
    <n v="7"/>
    <n v="3730"/>
    <n v="4.5"/>
    <n v="24935.05"/>
    <s v="Completed"/>
    <s v="Hyderabad"/>
    <s v="Home"/>
    <m/>
    <s v="Retail"/>
    <n v="22"/>
    <s v="North"/>
    <s v="Jun-24"/>
    <n v="2135"/>
    <n v="0.42761394101876676"/>
  </r>
  <r>
    <s v="ORD-01733"/>
    <x v="141"/>
    <s v="CUST-0106"/>
    <s v="PROD-016"/>
    <s v="R005"/>
    <n v="5"/>
    <n v="620"/>
    <n v="7.5"/>
    <n v="2867.5"/>
    <s v="Completed"/>
    <s v="Pune"/>
    <s v="Apparel"/>
    <m/>
    <s v="Retail"/>
    <n v="22"/>
    <s v="East"/>
    <s v="Aug-24"/>
    <n v="396"/>
    <n v="0.36129032258064514"/>
  </r>
  <r>
    <s v="ORD-01734"/>
    <x v="6"/>
    <s v="CUST-0096"/>
    <s v="PROD-010"/>
    <s v="R010"/>
    <n v="8"/>
    <n v="2640"/>
    <n v="16.399999999999999"/>
    <n v="17656.32"/>
    <s v="Completed"/>
    <s v="Delhi"/>
    <s v="Electronics"/>
    <m/>
    <s v="Corporate"/>
    <n v="27"/>
    <s v="North"/>
    <s v="Jan-24"/>
    <n v="1149"/>
    <n v="0.56477272727272732"/>
  </r>
  <r>
    <s v="ORD-01735"/>
    <x v="148"/>
    <s v="CUST-0248"/>
    <s v="PROD-028"/>
    <s v="R004"/>
    <n v="6"/>
    <n v="3660"/>
    <n v="6.2"/>
    <n v="20598.48"/>
    <s v="Completed"/>
    <s v="Chennai"/>
    <s v="Grocery"/>
    <m/>
    <s v="SMB"/>
    <n v="57"/>
    <m/>
    <m/>
    <m/>
    <m/>
  </r>
  <r>
    <s v="ORD-01736"/>
    <x v="11"/>
    <s v="CUST-0297"/>
    <s v="PROD-020"/>
    <s v="R020"/>
    <n v="2"/>
    <n v="820"/>
    <n v="25.4"/>
    <n v="1223.44"/>
    <s v="Completed"/>
    <s v="Hyderabad"/>
    <s v="Apparel"/>
    <m/>
    <s v="Retail"/>
    <n v="50"/>
    <m/>
    <m/>
    <m/>
    <m/>
  </r>
  <r>
    <s v="ORD-01737"/>
    <x v="102"/>
    <s v="CUST-0120"/>
    <s v="PROD-019"/>
    <s v="R021"/>
    <n v="3"/>
    <n v="2480"/>
    <n v="28.7"/>
    <n v="5304.72"/>
    <s v="Pending"/>
    <s v="Mumbai"/>
    <s v="Apparel"/>
    <m/>
    <s v="Retail"/>
    <n v="29"/>
    <s v="East"/>
    <s v="Aug-24"/>
    <n v="1173"/>
    <n v="0.52701612903225803"/>
  </r>
  <r>
    <s v="ORD-01738"/>
    <x v="166"/>
    <s v="CUST-0148"/>
    <s v="PROD-050"/>
    <s v="R028"/>
    <n v="10"/>
    <n v="6080"/>
    <n v="18.899999999999999"/>
    <n v="49308.800000000003"/>
    <s v="Completed"/>
    <s v="Chennai"/>
    <s v="Beauty"/>
    <m/>
    <s v="Retail"/>
    <n v="32"/>
    <s v="East"/>
    <s v="Oct-24"/>
    <n v="2617"/>
    <n v="0.56957236842105263"/>
  </r>
  <r>
    <s v="ORD-01739"/>
    <x v="260"/>
    <s v="CUST-0008"/>
    <s v="PROD-060"/>
    <s v="R022"/>
    <n v="1"/>
    <n v="190"/>
    <n v="5.7"/>
    <n v="179.17"/>
    <s v="Completed"/>
    <s v="Pune"/>
    <s v="Sports"/>
    <m/>
    <s v="SMB"/>
    <n v="39"/>
    <s v="West"/>
    <s v="Aug-24"/>
    <n v="147"/>
    <n v="0.22631578947368422"/>
  </r>
  <r>
    <s v="ORD-01740"/>
    <x v="113"/>
    <s v="CUST-0013"/>
    <s v="PROD-059"/>
    <s v="R026"/>
    <n v="2"/>
    <n v="3780"/>
    <n v="11.8"/>
    <n v="6667.92"/>
    <s v="Completed"/>
    <s v="Delhi"/>
    <s v="Sports"/>
    <m/>
    <s v="Retail"/>
    <n v="41"/>
    <m/>
    <m/>
    <m/>
    <m/>
  </r>
  <r>
    <s v="ORD-01741"/>
    <x v="341"/>
    <s v="CUST-0234"/>
    <s v="PROD-036"/>
    <s v="R001"/>
    <n v="5"/>
    <n v="3250"/>
    <n v="19.899999999999999"/>
    <n v="13016.25"/>
    <s v="Completed"/>
    <s v="Bengaluru"/>
    <s v="Home"/>
    <m/>
    <s v="Retail"/>
    <n v="34"/>
    <s v="West"/>
    <s v="Jun-24"/>
    <n v="1556"/>
    <n v="0.52123076923076928"/>
  </r>
  <r>
    <s v="ORD-01742"/>
    <x v="13"/>
    <s v="CUST-0207"/>
    <s v="PROD-033"/>
    <s v="R008"/>
    <n v="7"/>
    <n v="2030"/>
    <n v="4.0999999999999996"/>
    <n v="13627.39"/>
    <s v="Completed"/>
    <s v="Hyderabad"/>
    <s v="Home"/>
    <m/>
    <s v="SMB"/>
    <n v="34"/>
    <s v="North"/>
    <s v="Nov-24"/>
    <n v="1143"/>
    <n v="0.43694581280788175"/>
  </r>
  <r>
    <s v="ORD-01743"/>
    <x v="330"/>
    <s v="CUST-0245"/>
    <s v="PROD-046"/>
    <s v="R012"/>
    <n v="5"/>
    <n v="4880"/>
    <n v="22.9"/>
    <n v="18812.400000000001"/>
    <s v="Completed"/>
    <s v="Hyderabad"/>
    <s v="Beauty"/>
    <m/>
    <s v="Retail"/>
    <n v="65"/>
    <m/>
    <m/>
    <m/>
    <m/>
  </r>
  <r>
    <s v="ORD-01744"/>
    <x v="92"/>
    <s v="CUST-0044"/>
    <s v="PROD-043"/>
    <s v="R020"/>
    <n v="3"/>
    <n v="3350"/>
    <n v="15.2"/>
    <n v="8522.4"/>
    <s v="Pending"/>
    <s v="Hyderabad"/>
    <s v="Beauty"/>
    <m/>
    <s v="SMB"/>
    <n v="29"/>
    <s v="South"/>
    <s v="Dec-24"/>
    <n v="1728"/>
    <n v="0.48417910447761192"/>
  </r>
  <r>
    <s v="ORD-01745"/>
    <x v="54"/>
    <s v="CUST-0264"/>
    <s v="PROD-055"/>
    <s v="R029"/>
    <n v="10"/>
    <n v="2860"/>
    <n v="15"/>
    <n v="24310"/>
    <s v="Completed"/>
    <s v="Pune"/>
    <s v="Sports"/>
    <m/>
    <s v="Retail"/>
    <n v="59"/>
    <m/>
    <m/>
    <m/>
    <m/>
  </r>
  <r>
    <s v="ORD-01746"/>
    <x v="328"/>
    <s v="CUST-0193"/>
    <s v="PROD-047"/>
    <s v="R018"/>
    <n v="5"/>
    <n v="3450"/>
    <n v="2.2999999999999998"/>
    <n v="16853.25"/>
    <s v="Completed"/>
    <s v="Bengaluru"/>
    <s v="Beauty"/>
    <m/>
    <s v="Retail"/>
    <n v="42"/>
    <m/>
    <m/>
    <m/>
    <m/>
  </r>
  <r>
    <s v="ORD-01747"/>
    <x v="245"/>
    <s v="CUST-0006"/>
    <s v="PROD-024"/>
    <s v="R015"/>
    <n v="3"/>
    <n v="2270"/>
    <n v="2.8"/>
    <n v="6619.32"/>
    <s v="Pending"/>
    <s v="Pune"/>
    <s v="Grocery"/>
    <m/>
    <s v="SMB"/>
    <n v="44"/>
    <m/>
    <m/>
    <m/>
    <m/>
  </r>
  <r>
    <s v="ORD-01748"/>
    <x v="20"/>
    <s v="CUST-0221"/>
    <s v="PROD-028"/>
    <s v="R007"/>
    <n v="8"/>
    <n v="3660"/>
    <n v="16.8"/>
    <n v="24360.959999999999"/>
    <s v="Completed"/>
    <s v="Delhi"/>
    <s v="Grocery"/>
    <m/>
    <s v="SMB"/>
    <n v="29"/>
    <s v="South"/>
    <s v="Apr-24"/>
    <n v="2214"/>
    <n v="0.39508196721311473"/>
  </r>
  <r>
    <s v="ORD-01749"/>
    <x v="277"/>
    <s v="CUST-0151"/>
    <s v="PROD-045"/>
    <s v="R008"/>
    <n v="7"/>
    <n v="3020"/>
    <n v="17.8"/>
    <n v="17377.080000000002"/>
    <s v="Completed"/>
    <s v="Mumbai"/>
    <s v="Beauty"/>
    <m/>
    <s v="Retail"/>
    <n v="53"/>
    <m/>
    <m/>
    <m/>
    <m/>
  </r>
  <r>
    <s v="ORD-01750"/>
    <x v="78"/>
    <s v="CUST-0188"/>
    <s v="PROD-040"/>
    <s v="R014"/>
    <n v="7"/>
    <n v="1080"/>
    <n v="12.9"/>
    <n v="6584.76"/>
    <s v="Completed"/>
    <s v="Bengaluru"/>
    <s v="Home"/>
    <m/>
    <s v="Retail"/>
    <n v="54"/>
    <m/>
    <m/>
    <m/>
    <m/>
  </r>
  <r>
    <s v="ORD-01751"/>
    <x v="315"/>
    <s v="CUST-0010"/>
    <s v="PROD-022"/>
    <s v="R012"/>
    <n v="2"/>
    <n v="2270"/>
    <n v="8.6"/>
    <n v="4149.5600000000004"/>
    <s v="Cancelled"/>
    <s v="Mumbai"/>
    <s v="Grocery"/>
    <m/>
    <s v="SMB"/>
    <n v="61"/>
    <m/>
    <m/>
    <m/>
    <m/>
  </r>
  <r>
    <s v="ORD-01752"/>
    <x v="338"/>
    <s v="CUST-0018"/>
    <s v="PROD-016"/>
    <s v="R012"/>
    <n v="10"/>
    <n v="620"/>
    <n v="26.1"/>
    <n v="4581.8"/>
    <s v="Completed"/>
    <s v="Pune"/>
    <s v="Apparel"/>
    <m/>
    <s v="SMB"/>
    <n v="54"/>
    <m/>
    <m/>
    <m/>
    <m/>
  </r>
  <r>
    <s v="ORD-01753"/>
    <x v="230"/>
    <s v="CUST-0262"/>
    <s v="PROD-025"/>
    <s v="R015"/>
    <n v="2"/>
    <n v="4060"/>
    <n v="3.8"/>
    <n v="7811.44"/>
    <s v="Completed"/>
    <s v="Mumbai"/>
    <s v="Grocery"/>
    <m/>
    <s v="Retail"/>
    <n v="52"/>
    <m/>
    <m/>
    <m/>
    <m/>
  </r>
  <r>
    <s v="ORD-01754"/>
    <x v="56"/>
    <s v="CUST-0282"/>
    <s v="PROD-027"/>
    <s v="R012"/>
    <n v="1"/>
    <n v="3780"/>
    <n v="27.9"/>
    <n v="2725.38"/>
    <s v="Completed"/>
    <s v="Hyderabad"/>
    <s v="Grocery"/>
    <m/>
    <s v="Corporate"/>
    <n v="29"/>
    <s v="South"/>
    <s v="Sep-24"/>
    <n v="2436"/>
    <n v="0.35555555555555557"/>
  </r>
  <r>
    <s v="ORD-01755"/>
    <x v="7"/>
    <s v="CUST-0194"/>
    <s v="PROD-023"/>
    <s v="R022"/>
    <n v="8"/>
    <n v="2380"/>
    <n v="3.8"/>
    <n v="18316.48"/>
    <s v="Completed"/>
    <s v="Delhi"/>
    <s v="Grocery"/>
    <m/>
    <s v="SMB"/>
    <n v="55"/>
    <m/>
    <m/>
    <m/>
    <m/>
  </r>
  <r>
    <s v="ORD-01756"/>
    <x v="239"/>
    <s v="CUST-0161"/>
    <s v="PROD-026"/>
    <s v="R024"/>
    <n v="7"/>
    <n v="4070"/>
    <n v="0.3"/>
    <n v="28404.53"/>
    <s v="Completed"/>
    <s v="Chennai"/>
    <s v="Grocery"/>
    <m/>
    <s v="Retail"/>
    <n v="38"/>
    <s v="East"/>
    <s v="Nov-24"/>
    <n v="2027"/>
    <n v="0.50196560196560192"/>
  </r>
  <r>
    <s v="ORD-01757"/>
    <x v="61"/>
    <s v="CUST-0120"/>
    <s v="PROD-010"/>
    <s v="R020"/>
    <n v="6"/>
    <n v="2640"/>
    <n v="3.4"/>
    <n v="15301.44"/>
    <s v="Completed"/>
    <s v="Mumbai"/>
    <s v="Electronics"/>
    <m/>
    <s v="Retail"/>
    <n v="29"/>
    <s v="West"/>
    <s v="Mar-24"/>
    <n v="1149"/>
    <n v="0.56477272727272732"/>
  </r>
  <r>
    <s v="ORD-01758"/>
    <x v="312"/>
    <s v="CUST-0250"/>
    <s v="PROD-059"/>
    <s v="R030"/>
    <n v="10"/>
    <n v="3780"/>
    <n v="13.3"/>
    <n v="32772.6"/>
    <s v="Completed"/>
    <s v="Delhi"/>
    <s v="Sports"/>
    <m/>
    <s v="Retail"/>
    <n v="31"/>
    <s v="East"/>
    <s v="Jun-24"/>
    <n v="1860"/>
    <n v="0.50793650793650791"/>
  </r>
  <r>
    <s v="ORD-01759"/>
    <x v="272"/>
    <s v="CUST-0054"/>
    <s v="PROD-043"/>
    <s v="R009"/>
    <n v="9"/>
    <n v="3350"/>
    <n v="12.8"/>
    <n v="26290.799999999999"/>
    <s v="Completed"/>
    <s v="Mumbai"/>
    <s v="Beauty"/>
    <m/>
    <s v="Corporate"/>
    <n v="62"/>
    <m/>
    <m/>
    <m/>
    <m/>
  </r>
  <r>
    <s v="ORD-01760"/>
    <x v="61"/>
    <s v="CUST-0247"/>
    <s v="PROD-012"/>
    <s v="R024"/>
    <n v="7"/>
    <n v="3160"/>
    <n v="15.3"/>
    <n v="18735.64"/>
    <s v="Completed"/>
    <s v="Pune"/>
    <s v="Apparel"/>
    <m/>
    <s v="SMB"/>
    <n v="35"/>
    <s v="South"/>
    <s v="Jan-24"/>
    <n v="1886"/>
    <n v="0.4031645569620253"/>
  </r>
  <r>
    <s v="ORD-01761"/>
    <x v="49"/>
    <s v="CUST-0127"/>
    <s v="PROD-055"/>
    <s v="R004"/>
    <n v="6"/>
    <n v="2860"/>
    <n v="17.5"/>
    <n v="14157"/>
    <s v="Completed"/>
    <s v="Bengaluru"/>
    <s v="Sports"/>
    <m/>
    <s v="SMB"/>
    <n v="36"/>
    <s v="West"/>
    <s v="Jun-24"/>
    <n v="2028"/>
    <n v="0.29090909090909089"/>
  </r>
  <r>
    <s v="ORD-01762"/>
    <x v="123"/>
    <s v="CUST-0030"/>
    <s v="PROD-005"/>
    <s v="R010"/>
    <n v="9"/>
    <n v="300"/>
    <n v="25.2"/>
    <n v="2019.6"/>
    <s v="Completed"/>
    <s v="Bengaluru"/>
    <s v="Electronics"/>
    <m/>
    <s v="Corporate"/>
    <n v="43"/>
    <m/>
    <m/>
    <m/>
    <m/>
  </r>
  <r>
    <s v="ORD-01763"/>
    <x v="197"/>
    <s v="CUST-0205"/>
    <s v="PROD-060"/>
    <s v="R020"/>
    <n v="5"/>
    <n v="190"/>
    <n v="1.8"/>
    <n v="932.9"/>
    <s v="Completed"/>
    <s v="Pune"/>
    <s v="Sports"/>
    <m/>
    <s v="Corporate"/>
    <n v="29"/>
    <s v="South"/>
    <s v="Feb-24"/>
    <n v="147"/>
    <n v="0.22631578947368422"/>
  </r>
  <r>
    <s v="ORD-01764"/>
    <x v="80"/>
    <s v="CUST-0172"/>
    <s v="PROD-054"/>
    <s v="R021"/>
    <n v="7"/>
    <n v="1010"/>
    <n v="11.2"/>
    <n v="6278.16"/>
    <s v="Completed"/>
    <s v="Pune"/>
    <s v="Sports"/>
    <m/>
    <s v="Retail"/>
    <n v="65"/>
    <m/>
    <m/>
    <m/>
    <m/>
  </r>
  <r>
    <s v="ORD-01765"/>
    <x v="50"/>
    <s v="CUST-0283"/>
    <s v="PROD-051"/>
    <s v="R001"/>
    <n v="8"/>
    <n v="3450"/>
    <n v="8.4"/>
    <n v="25281.599999999999"/>
    <s v="Completed"/>
    <s v="Delhi"/>
    <s v="Sports"/>
    <m/>
    <s v="SMB"/>
    <n v="50"/>
    <m/>
    <m/>
    <m/>
    <m/>
  </r>
  <r>
    <s v="ORD-01766"/>
    <x v="100"/>
    <s v="CUST-0005"/>
    <s v="PROD-005"/>
    <s v="R001"/>
    <n v="3"/>
    <n v="300"/>
    <n v="7.5"/>
    <n v="832.5"/>
    <s v="Refunded"/>
    <s v="Chennai"/>
    <s v="Electronics"/>
    <m/>
    <s v="Corporate"/>
    <n v="52"/>
    <m/>
    <m/>
    <m/>
    <m/>
  </r>
  <r>
    <s v="ORD-01767"/>
    <x v="43"/>
    <s v="CUST-0095"/>
    <s v="PROD-031"/>
    <s v="R018"/>
    <n v="4"/>
    <n v="3730"/>
    <n v="24.8"/>
    <n v="11219.84"/>
    <s v="Completed"/>
    <s v="Mumbai"/>
    <s v="Home"/>
    <m/>
    <s v="SMB"/>
    <n v="54"/>
    <m/>
    <m/>
    <m/>
    <m/>
  </r>
  <r>
    <s v="ORD-01768"/>
    <x v="32"/>
    <s v="CUST-0142"/>
    <s v="PROD-058"/>
    <s v="R020"/>
    <n v="5"/>
    <n v="2400"/>
    <n v="9.1999999999999993"/>
    <n v="10896"/>
    <s v="Completed"/>
    <s v="Chennai"/>
    <s v="Sports"/>
    <m/>
    <s v="Corporate"/>
    <n v="55"/>
    <m/>
    <m/>
    <m/>
    <m/>
  </r>
  <r>
    <s v="ORD-01769"/>
    <x v="303"/>
    <s v="CUST-0028"/>
    <s v="PROD-021"/>
    <s v="R001"/>
    <n v="3"/>
    <n v="2760"/>
    <n v="2.4"/>
    <n v="8081.28"/>
    <s v="Completed"/>
    <s v="Bengaluru"/>
    <s v="Grocery"/>
    <m/>
    <s v="Retail"/>
    <n v="59"/>
    <m/>
    <m/>
    <m/>
    <m/>
  </r>
  <r>
    <s v="ORD-01770"/>
    <x v="289"/>
    <s v="CUST-0118"/>
    <s v="PROD-053"/>
    <s v="R009"/>
    <n v="8"/>
    <n v="470"/>
    <n v="24.8"/>
    <n v="2827.52"/>
    <s v="Pending"/>
    <s v="Hyderabad"/>
    <s v="Sports"/>
    <m/>
    <s v="Retail"/>
    <n v="26"/>
    <s v="North"/>
    <s v="Nov-24"/>
    <n v="302"/>
    <n v="0.35744680851063831"/>
  </r>
  <r>
    <s v="ORD-01771"/>
    <x v="142"/>
    <s v="CUST-0231"/>
    <s v="PROD-053"/>
    <s v="R027"/>
    <n v="3"/>
    <n v="470"/>
    <n v="18.600000000000001"/>
    <n v="1147.74"/>
    <s v="Completed"/>
    <s v="Chennai"/>
    <s v="Sports"/>
    <m/>
    <s v="Retail"/>
    <n v="61"/>
    <m/>
    <m/>
    <m/>
    <m/>
  </r>
  <r>
    <s v="ORD-01772"/>
    <x v="228"/>
    <s v="CUST-0264"/>
    <s v="PROD-032"/>
    <s v="R028"/>
    <n v="2"/>
    <n v="370"/>
    <n v="24"/>
    <n v="562.4"/>
    <s v="Completed"/>
    <s v="Pune"/>
    <s v="Home"/>
    <m/>
    <s v="Retail"/>
    <n v="59"/>
    <m/>
    <m/>
    <m/>
    <m/>
  </r>
  <r>
    <s v="ORD-01773"/>
    <x v="90"/>
    <s v="CUST-0120"/>
    <s v="PROD-029"/>
    <s v="R001"/>
    <n v="6"/>
    <n v="2210"/>
    <n v="28.3"/>
    <n v="9507.42"/>
    <s v="Cancelled"/>
    <s v="Mumbai"/>
    <s v="Grocery"/>
    <m/>
    <s v="Retail"/>
    <n v="29"/>
    <s v="West"/>
    <s v="Oct-24"/>
    <n v="1010"/>
    <n v="0.54298642533936647"/>
  </r>
  <r>
    <s v="ORD-01774"/>
    <x v="0"/>
    <s v="CUST-0185"/>
    <s v="PROD-056"/>
    <s v="R002"/>
    <n v="3"/>
    <n v="6940"/>
    <n v="27.2"/>
    <n v="15156.96"/>
    <s v="Refunded"/>
    <s v="Hyderabad"/>
    <s v="Sports"/>
    <m/>
    <s v="SMB"/>
    <n v="43"/>
    <m/>
    <m/>
    <m/>
    <m/>
  </r>
  <r>
    <s v="ORD-01775"/>
    <x v="318"/>
    <s v="CUST-0174"/>
    <s v="PROD-033"/>
    <s v="R018"/>
    <n v="10"/>
    <n v="2030"/>
    <n v="25.6"/>
    <n v="15103.2"/>
    <s v="Completed"/>
    <s v="Pune"/>
    <s v="Home"/>
    <m/>
    <s v="Retail"/>
    <n v="54"/>
    <m/>
    <m/>
    <m/>
    <m/>
  </r>
  <r>
    <s v="ORD-01776"/>
    <x v="80"/>
    <s v="CUST-0174"/>
    <s v="PROD-054"/>
    <s v="R017"/>
    <n v="9"/>
    <n v="1010"/>
    <n v="9.3000000000000007"/>
    <n v="8244.6299999999992"/>
    <s v="Completed"/>
    <s v="Pune"/>
    <s v="Sports"/>
    <m/>
    <s v="Retail"/>
    <n v="54"/>
    <m/>
    <m/>
    <m/>
    <m/>
  </r>
  <r>
    <s v="ORD-01777"/>
    <x v="297"/>
    <s v="CUST-0084"/>
    <s v="PROD-017"/>
    <s v="R002"/>
    <n v="5"/>
    <n v="2510"/>
    <n v="22.2"/>
    <n v="9763.9"/>
    <s v="Completed"/>
    <s v="Chennai"/>
    <s v="Apparel"/>
    <m/>
    <s v="Retail"/>
    <n v="28"/>
    <s v="East"/>
    <s v="Aug-24"/>
    <n v="1075"/>
    <n v="0.57171314741035861"/>
  </r>
  <r>
    <s v="ORD-01778"/>
    <x v="236"/>
    <s v="CUST-0270"/>
    <s v="PROD-032"/>
    <s v="R002"/>
    <n v="10"/>
    <n v="370"/>
    <n v="29"/>
    <n v="2627"/>
    <s v="Completed"/>
    <s v="Bengaluru"/>
    <s v="Home"/>
    <m/>
    <s v="Retail"/>
    <n v="29"/>
    <s v="North"/>
    <s v="Oct-24"/>
    <n v="288"/>
    <n v="0.22162162162162163"/>
  </r>
  <r>
    <s v="ORD-01779"/>
    <x v="210"/>
    <s v="CUST-0178"/>
    <s v="PROD-019"/>
    <s v="R021"/>
    <n v="3"/>
    <n v="2480"/>
    <n v="9.6"/>
    <n v="6725.76"/>
    <s v="Completed"/>
    <s v="Hyderabad"/>
    <s v="Apparel"/>
    <m/>
    <s v="Retail"/>
    <n v="25"/>
    <s v="North"/>
    <s v="May-24"/>
    <n v="1173"/>
    <n v="0.52701612903225803"/>
  </r>
  <r>
    <s v="ORD-01780"/>
    <x v="128"/>
    <s v="CUST-0019"/>
    <s v="PROD-010"/>
    <s v="R017"/>
    <n v="3"/>
    <n v="2640"/>
    <n v="10.199999999999999"/>
    <n v="7112.16"/>
    <s v="Cancelled"/>
    <s v="Chennai"/>
    <s v="Electronics"/>
    <m/>
    <s v="Retail"/>
    <n v="22"/>
    <s v="East"/>
    <s v="Apr-24"/>
    <n v="1149"/>
    <n v="0.56477272727272732"/>
  </r>
  <r>
    <s v="ORD-01781"/>
    <x v="172"/>
    <s v="CUST-0276"/>
    <s v="PROD-035"/>
    <s v="R020"/>
    <n v="1"/>
    <n v="1090"/>
    <n v="21.6"/>
    <n v="854.56"/>
    <s v="Cancelled"/>
    <s v="Chennai"/>
    <s v="Home"/>
    <m/>
    <s v="Retail"/>
    <n v="26"/>
    <s v="East"/>
    <s v="Dec-24"/>
    <n v="464"/>
    <n v="0.57431192660550456"/>
  </r>
  <r>
    <s v="ORD-01782"/>
    <x v="38"/>
    <s v="CUST-0076"/>
    <s v="PROD-043"/>
    <s v="R002"/>
    <n v="10"/>
    <n v="3350"/>
    <n v="12.1"/>
    <n v="29446.5"/>
    <s v="Completed"/>
    <s v="Mumbai"/>
    <s v="Beauty"/>
    <m/>
    <s v="Retail"/>
    <n v="38"/>
    <s v="East"/>
    <s v="Jul-24"/>
    <n v="1728"/>
    <n v="0.48417910447761192"/>
  </r>
  <r>
    <s v="ORD-01783"/>
    <x v="254"/>
    <s v="CUST-0085"/>
    <s v="PROD-050"/>
    <s v="R015"/>
    <n v="4"/>
    <n v="6080"/>
    <n v="26.7"/>
    <n v="17826.560000000001"/>
    <s v="Cancelled"/>
    <s v="Chennai"/>
    <s v="Beauty"/>
    <m/>
    <s v="Retail"/>
    <n v="26"/>
    <s v="North"/>
    <s v="Nov-24"/>
    <n v="2617"/>
    <n v="0.56957236842105263"/>
  </r>
  <r>
    <s v="ORD-01784"/>
    <x v="332"/>
    <s v="CUST-0245"/>
    <s v="PROD-049"/>
    <s v="R002"/>
    <n v="3"/>
    <n v="960"/>
    <n v="13.2"/>
    <n v="2499.84"/>
    <s v="Completed"/>
    <s v="Hyderabad"/>
    <s v="Beauty"/>
    <m/>
    <s v="Retail"/>
    <n v="65"/>
    <m/>
    <m/>
    <m/>
    <m/>
  </r>
  <r>
    <s v="ORD-01785"/>
    <x v="294"/>
    <s v="CUST-0135"/>
    <s v="PROD-028"/>
    <s v="R007"/>
    <n v="9"/>
    <n v="3660"/>
    <n v="9.3000000000000007"/>
    <n v="29876.58"/>
    <s v="Cancelled"/>
    <s v="Pune"/>
    <s v="Grocery"/>
    <m/>
    <s v="SMB"/>
    <n v="24"/>
    <s v="North"/>
    <s v="Mar-24"/>
    <n v="2214"/>
    <n v="0.39508196721311473"/>
  </r>
  <r>
    <s v="ORD-01786"/>
    <x v="321"/>
    <s v="CUST-0224"/>
    <s v="PROD-047"/>
    <s v="R019"/>
    <n v="6"/>
    <n v="3450"/>
    <n v="8.1999999999999993"/>
    <n v="19002.599999999999"/>
    <s v="Completed"/>
    <s v="Chennai"/>
    <s v="Beauty"/>
    <m/>
    <s v="Corporate"/>
    <n v="24"/>
    <s v="North"/>
    <s v="Nov-24"/>
    <n v="2420"/>
    <n v="0.29855072463768118"/>
  </r>
  <r>
    <s v="ORD-01787"/>
    <x v="292"/>
    <s v="CUST-0036"/>
    <s v="PROD-039"/>
    <s v="R020"/>
    <n v="7"/>
    <n v="4610"/>
    <n v="10.4"/>
    <n v="28913.919999999998"/>
    <s v="Completed"/>
    <s v="Mumbai"/>
    <s v="Home"/>
    <m/>
    <s v="Retail"/>
    <n v="35"/>
    <s v="East"/>
    <s v="Apr-24"/>
    <n v="1850"/>
    <n v="0.59869848156182215"/>
  </r>
  <r>
    <s v="ORD-01788"/>
    <x v="201"/>
    <s v="CUST-0197"/>
    <s v="PROD-057"/>
    <s v="R009"/>
    <n v="2"/>
    <n v="960"/>
    <n v="16.5"/>
    <n v="1603.2"/>
    <s v="Completed"/>
    <s v="Bengaluru"/>
    <s v="Sports"/>
    <m/>
    <s v="Retail"/>
    <n v="55"/>
    <m/>
    <m/>
    <m/>
    <m/>
  </r>
  <r>
    <s v="ORD-01789"/>
    <x v="223"/>
    <s v="CUST-0111"/>
    <s v="PROD-032"/>
    <s v="R023"/>
    <n v="7"/>
    <n v="370"/>
    <n v="1.4"/>
    <n v="2553.7399999999998"/>
    <s v="Refunded"/>
    <s v="Chennai"/>
    <s v="Home"/>
    <m/>
    <s v="SMB"/>
    <n v="64"/>
    <m/>
    <m/>
    <m/>
    <m/>
  </r>
  <r>
    <s v="ORD-01790"/>
    <x v="275"/>
    <s v="CUST-0198"/>
    <s v="PROD-024"/>
    <s v="R004"/>
    <n v="3"/>
    <n v="2270"/>
    <n v="12.6"/>
    <n v="5951.94"/>
    <s v="Completed"/>
    <s v="Chennai"/>
    <s v="Grocery"/>
    <m/>
    <s v="Corporate"/>
    <n v="22"/>
    <s v="East"/>
    <s v="Sep-24"/>
    <n v="1203"/>
    <n v="0.47004405286343615"/>
  </r>
  <r>
    <s v="ORD-00268"/>
    <x v="114"/>
    <s v="CUST-0049"/>
    <s v="PROD-036"/>
    <s v="R014"/>
    <n v="1"/>
    <n v="3250"/>
    <n v="17.8"/>
    <n v="2671.5"/>
    <s v="Completed"/>
    <s v="Mumbai"/>
    <s v="Home"/>
    <m/>
    <s v="Corporate"/>
    <n v="42"/>
    <m/>
    <m/>
    <m/>
    <m/>
  </r>
  <r>
    <s v="ORD-01792"/>
    <x v="280"/>
    <s v="CUST-0029"/>
    <s v="PROD-016"/>
    <s v="R018"/>
    <n v="5"/>
    <n v="620"/>
    <n v="19.399999999999999"/>
    <n v="2498.6"/>
    <s v="Pending"/>
    <s v="Chennai"/>
    <s v="Apparel"/>
    <m/>
    <s v="Corporate"/>
    <n v="54"/>
    <m/>
    <m/>
    <m/>
    <m/>
  </r>
  <r>
    <s v="ORD-01793"/>
    <x v="77"/>
    <s v="CUST-0018"/>
    <s v="PROD-008"/>
    <s v="R005"/>
    <n v="6"/>
    <n v="2660"/>
    <n v="14.9"/>
    <n v="13581.96"/>
    <s v="Completed"/>
    <s v="Pune"/>
    <s v="Electronics"/>
    <m/>
    <s v="SMB"/>
    <n v="54"/>
    <m/>
    <m/>
    <m/>
    <m/>
  </r>
  <r>
    <s v="ORD-01794"/>
    <x v="357"/>
    <s v="CUST-0007"/>
    <s v="PROD-014"/>
    <s v="R001"/>
    <n v="5"/>
    <n v="3620"/>
    <n v="21"/>
    <n v="14299"/>
    <s v="Cancelled"/>
    <s v="Bengaluru"/>
    <s v="Apparel"/>
    <m/>
    <s v="Retail"/>
    <n v="47"/>
    <m/>
    <m/>
    <m/>
    <m/>
  </r>
  <r>
    <s v="ORD-01795"/>
    <x v="228"/>
    <s v="CUST-0014"/>
    <s v="PROD-013"/>
    <s v="R021"/>
    <n v="1"/>
    <n v="3640"/>
    <n v="15.8"/>
    <n v="3064.88"/>
    <s v="Completed"/>
    <s v="Bengaluru"/>
    <s v="Apparel"/>
    <m/>
    <s v="Retail"/>
    <n v="48"/>
    <m/>
    <m/>
    <m/>
    <m/>
  </r>
  <r>
    <s v="ORD-01796"/>
    <x v="328"/>
    <s v="CUST-0215"/>
    <s v="PROD-009"/>
    <s v="R007"/>
    <n v="1"/>
    <n v="1220"/>
    <n v="0.6"/>
    <n v="1212.68"/>
    <s v="Refunded"/>
    <s v="Hyderabad"/>
    <s v="Electronics"/>
    <m/>
    <s v="Retail"/>
    <n v="52"/>
    <m/>
    <m/>
    <m/>
    <m/>
  </r>
  <r>
    <s v="ORD-01797"/>
    <x v="154"/>
    <s v="CUST-0056"/>
    <s v="PROD-019"/>
    <s v="R002"/>
    <n v="10"/>
    <n v="2480"/>
    <n v="0.6"/>
    <n v="24651.200000000001"/>
    <s v="Completed"/>
    <s v="Bengaluru"/>
    <s v="Apparel"/>
    <m/>
    <s v="SMB"/>
    <n v="46"/>
    <m/>
    <m/>
    <m/>
    <m/>
  </r>
  <r>
    <s v="ORD-01798"/>
    <x v="287"/>
    <s v="CUST-0231"/>
    <s v="PROD-044"/>
    <s v="R027"/>
    <n v="9"/>
    <n v="1650"/>
    <n v="26.8"/>
    <n v="10870.2"/>
    <s v="Completed"/>
    <s v="Chennai"/>
    <s v="Beauty"/>
    <m/>
    <s v="Retail"/>
    <n v="61"/>
    <m/>
    <m/>
    <m/>
    <m/>
  </r>
  <r>
    <s v="ORD-01799"/>
    <x v="9"/>
    <s v="CUST-0138"/>
    <s v="PROD-045"/>
    <s v="R008"/>
    <n v="10"/>
    <n v="3020"/>
    <n v="2.6"/>
    <n v="29414.799999999999"/>
    <s v="Completed"/>
    <s v="Chennai"/>
    <s v="Beauty"/>
    <m/>
    <s v="Retail"/>
    <n v="24"/>
    <s v="West"/>
    <s v="Dec-24"/>
    <n v="1626"/>
    <n v="0.46158940397350995"/>
  </r>
  <r>
    <s v="ORD-01800"/>
    <x v="227"/>
    <s v="CUST-0007"/>
    <s v="PROD-011"/>
    <s v="R014"/>
    <n v="5"/>
    <n v="3450"/>
    <n v="25.3"/>
    <n v="12885.75"/>
    <s v="Completed"/>
    <s v="Bengaluru"/>
    <s v="Apparel"/>
    <m/>
    <s v="Retail"/>
    <n v="47"/>
    <m/>
    <m/>
    <m/>
    <m/>
  </r>
  <r>
    <s v="ORD-01801"/>
    <x v="136"/>
    <s v="CUST-0118"/>
    <s v="PROD-009"/>
    <s v="R019"/>
    <n v="7"/>
    <n v="1220"/>
    <n v="13.1"/>
    <n v="7421.26"/>
    <s v="Completed"/>
    <s v="Hyderabad"/>
    <s v="Electronics"/>
    <m/>
    <s v="Retail"/>
    <n v="26"/>
    <s v="South"/>
    <s v="Sep-24"/>
    <n v="517"/>
    <n v="0.57622950819672136"/>
  </r>
  <r>
    <s v="ORD-01802"/>
    <x v="344"/>
    <s v="CUST-0064"/>
    <s v="PROD-027"/>
    <s v="R005"/>
    <n v="10"/>
    <n v="3780"/>
    <n v="23.7"/>
    <n v="28841.4"/>
    <s v="Completed"/>
    <s v="Hyderabad"/>
    <s v="Grocery"/>
    <m/>
    <s v="SMB"/>
    <n v="40"/>
    <s v="East"/>
    <s v="Jun-24"/>
    <n v="2436"/>
    <n v="0.35555555555555557"/>
  </r>
  <r>
    <s v="ORD-01803"/>
    <x v="171"/>
    <s v="CUST-0298"/>
    <s v="PROD-008"/>
    <s v="R002"/>
    <n v="8"/>
    <n v="2660"/>
    <n v="16.100000000000001"/>
    <n v="17853.919999999998"/>
    <s v="Completed"/>
    <s v="Delhi"/>
    <s v="Electronics"/>
    <m/>
    <s v="Retail"/>
    <n v="44"/>
    <m/>
    <m/>
    <m/>
    <m/>
  </r>
  <r>
    <s v="ORD-01804"/>
    <x v="200"/>
    <s v="CUST-0020"/>
    <s v="PROD-035"/>
    <s v="R008"/>
    <n v="6"/>
    <n v="1090"/>
    <n v="20"/>
    <n v="5232"/>
    <s v="Pending"/>
    <s v="Hyderabad"/>
    <s v="Home"/>
    <m/>
    <s v="Retail"/>
    <n v="46"/>
    <m/>
    <m/>
    <m/>
    <m/>
  </r>
  <r>
    <s v="ORD-01805"/>
    <x v="258"/>
    <s v="CUST-9725"/>
    <s v="PROD-037"/>
    <s v="R016"/>
    <n v="2"/>
    <n v="660"/>
    <n v="18.7"/>
    <n v="1073.1600000000001"/>
    <s v="Completed"/>
    <s v="Mumbai"/>
    <s v="Home"/>
    <m/>
    <e v="#N/A"/>
    <e v="#N/A"/>
    <m/>
    <m/>
    <m/>
    <m/>
  </r>
  <r>
    <s v="ORD-01806"/>
    <x v="10"/>
    <s v="CUST-0063"/>
    <s v="PROD-035"/>
    <s v="R015"/>
    <n v="7"/>
    <n v="1090"/>
    <n v="19.399999999999999"/>
    <n v="6149.78"/>
    <s v="Pending"/>
    <s v="Mumbai"/>
    <s v="Home"/>
    <m/>
    <s v="SMB"/>
    <n v="53"/>
    <m/>
    <m/>
    <m/>
    <m/>
  </r>
  <r>
    <s v="ORD-01807"/>
    <x v="335"/>
    <s v="CUST-0193"/>
    <s v="PROD-029"/>
    <s v="R015"/>
    <n v="3"/>
    <n v="2210"/>
    <n v="11"/>
    <n v="5900.7"/>
    <s v="Completed"/>
    <s v="Bengaluru"/>
    <s v="Grocery"/>
    <m/>
    <s v="Retail"/>
    <n v="42"/>
    <m/>
    <m/>
    <m/>
    <m/>
  </r>
  <r>
    <s v="ORD-01808"/>
    <x v="103"/>
    <s v="CUST-0142"/>
    <s v="PROD-006"/>
    <s v="R029"/>
    <n v="2"/>
    <n v="3970"/>
    <n v="24.9"/>
    <n v="5962.94"/>
    <s v="Completed"/>
    <s v="Chennai"/>
    <s v="Electronics"/>
    <m/>
    <s v="Corporate"/>
    <n v="55"/>
    <m/>
    <m/>
    <m/>
    <m/>
  </r>
  <r>
    <s v="ORD-01809"/>
    <x v="210"/>
    <s v="CUST-0264"/>
    <s v="PROD-039"/>
    <s v="R021"/>
    <n v="7"/>
    <n v="4610"/>
    <n v="6.3"/>
    <n v="30236.99"/>
    <s v="Completed"/>
    <s v="Pune"/>
    <s v="Home"/>
    <m/>
    <s v="Retail"/>
    <n v="59"/>
    <m/>
    <m/>
    <m/>
    <m/>
  </r>
  <r>
    <s v="ORD-01810"/>
    <x v="210"/>
    <s v="CUST-0121"/>
    <s v="PROD-049"/>
    <s v="R026"/>
    <n v="10"/>
    <n v="960"/>
    <n v="14.6"/>
    <n v="8198.4"/>
    <s v="Completed"/>
    <s v="Delhi"/>
    <s v="Beauty"/>
    <m/>
    <s v="SMB"/>
    <n v="55"/>
    <m/>
    <m/>
    <m/>
    <m/>
  </r>
  <r>
    <s v="ORD-01811"/>
    <x v="77"/>
    <s v="CUST-0152"/>
    <s v="PROD-045"/>
    <s v="R016"/>
    <n v="8"/>
    <n v="3020"/>
    <n v="14.5"/>
    <n v="20656.8"/>
    <s v="Completed"/>
    <s v="Bengaluru"/>
    <s v="Beauty"/>
    <m/>
    <s v="SMB"/>
    <n v="64"/>
    <m/>
    <m/>
    <m/>
    <m/>
  </r>
  <r>
    <s v="ORD-01812"/>
    <x v="98"/>
    <s v="CUST-0008"/>
    <s v="PROD-019"/>
    <s v="R026"/>
    <n v="7"/>
    <n v="2480"/>
    <n v="17.3"/>
    <n v="14356.72"/>
    <s v="Completed"/>
    <s v="Pune"/>
    <s v="Apparel"/>
    <m/>
    <s v="SMB"/>
    <n v="39"/>
    <s v="South"/>
    <s v="Nov-24"/>
    <n v="1173"/>
    <n v="0.52701612903225803"/>
  </r>
  <r>
    <s v="ORD-01813"/>
    <x v="259"/>
    <s v="CUST-0285"/>
    <s v="PROD-004"/>
    <s v="R013"/>
    <n v="10"/>
    <n v="3870"/>
    <n v="22.4"/>
    <n v="30031.200000000001"/>
    <s v="Pending"/>
    <s v="Hyderabad"/>
    <s v="Electronics"/>
    <m/>
    <s v="Retail"/>
    <n v="22"/>
    <s v="West"/>
    <s v="Dec-24"/>
    <n v="1559"/>
    <n v="0.59715762273901807"/>
  </r>
  <r>
    <s v="ORD-01814"/>
    <x v="317"/>
    <s v="CUST-0072"/>
    <s v="PROD-037"/>
    <s v="R022"/>
    <n v="6"/>
    <n v="660"/>
    <n v="27.3"/>
    <n v="2878.92"/>
    <s v="Completed"/>
    <s v="Mumbai"/>
    <s v="Home"/>
    <m/>
    <s v="Corporate"/>
    <n v="62"/>
    <m/>
    <m/>
    <m/>
    <m/>
  </r>
  <r>
    <s v="ORD-01815"/>
    <x v="188"/>
    <s v="CUST-9630"/>
    <s v="PROD-004"/>
    <s v="R026"/>
    <n v="3"/>
    <n v="3870"/>
    <n v="7.6"/>
    <n v="10727.64"/>
    <s v="Cancelled"/>
    <s v="Chennai"/>
    <s v="Electronics"/>
    <m/>
    <e v="#N/A"/>
    <e v="#N/A"/>
    <m/>
    <m/>
    <m/>
    <m/>
  </r>
  <r>
    <s v="ORD-01816"/>
    <x v="176"/>
    <s v="CUST-0243"/>
    <s v="PROD-019"/>
    <s v="R006"/>
    <n v="10"/>
    <n v="2480"/>
    <n v="21.5"/>
    <n v="19468"/>
    <s v="Pending"/>
    <s v="Pune"/>
    <s v="Apparel"/>
    <m/>
    <s v="SMB"/>
    <n v="44"/>
    <m/>
    <m/>
    <m/>
    <m/>
  </r>
  <r>
    <s v="ORD-01817"/>
    <x v="175"/>
    <s v="CUST-0231"/>
    <s v="PROD-010"/>
    <s v="R001"/>
    <n v="8"/>
    <n v="2640"/>
    <n v="22.3"/>
    <n v="16410.240000000002"/>
    <s v="Completed"/>
    <s v="Chennai"/>
    <s v="Electronics"/>
    <m/>
    <s v="Retail"/>
    <n v="61"/>
    <m/>
    <m/>
    <m/>
    <m/>
  </r>
  <r>
    <s v="ORD-01818"/>
    <x v="115"/>
    <s v="CUST-0229"/>
    <s v="PROD-030"/>
    <s v="R001"/>
    <n v="8"/>
    <n v="970"/>
    <n v="13.1"/>
    <n v="6743.44"/>
    <s v="Completed"/>
    <s v="Hyderabad"/>
    <s v="Grocery"/>
    <m/>
    <s v="SMB"/>
    <n v="25"/>
    <s v="North"/>
    <s v="Dec-24"/>
    <n v="434"/>
    <n v="0.5525773195876289"/>
  </r>
  <r>
    <s v="ORD-01819"/>
    <x v="104"/>
    <s v="CUST-0218"/>
    <s v="PROD-057"/>
    <s v="R001"/>
    <n v="6"/>
    <n v="960"/>
    <n v="3.2"/>
    <n v="5575.68"/>
    <s v="Completed"/>
    <s v="Mumbai"/>
    <s v="Sports"/>
    <m/>
    <s v="Retail"/>
    <n v="39"/>
    <s v="North"/>
    <s v="Sep-24"/>
    <n v="705"/>
    <n v="0.265625"/>
  </r>
  <r>
    <s v="ORD-01820"/>
    <x v="277"/>
    <s v="CUST-0015"/>
    <s v="PROD-033"/>
    <s v="R008"/>
    <n v="9"/>
    <n v="2030"/>
    <n v="12.6"/>
    <n v="15967.98"/>
    <s v="Cancelled"/>
    <s v="Chennai"/>
    <s v="Home"/>
    <m/>
    <s v="Retail"/>
    <n v="31"/>
    <s v="North"/>
    <s v="May-24"/>
    <n v="1143"/>
    <n v="0.43694581280788175"/>
  </r>
  <r>
    <s v="ORD-01821"/>
    <x v="244"/>
    <s v="CUST-0291"/>
    <s v="PROD-042"/>
    <s v="R024"/>
    <n v="10"/>
    <n v="2290"/>
    <n v="22.2"/>
    <n v="17816.2"/>
    <s v="Completed"/>
    <s v="Pune"/>
    <s v="Beauty"/>
    <m/>
    <s v="SMB"/>
    <n v="29"/>
    <s v="North"/>
    <s v="Jun-24"/>
    <n v="1219"/>
    <n v="0.46768558951965067"/>
  </r>
  <r>
    <s v="ORD-01822"/>
    <x v="41"/>
    <s v="CUST-0276"/>
    <s v="PROD-020"/>
    <s v="R027"/>
    <n v="7"/>
    <n v="820"/>
    <n v="6.4"/>
    <n v="5372.64"/>
    <s v="Refunded"/>
    <s v="Chennai"/>
    <s v="Apparel"/>
    <m/>
    <s v="Retail"/>
    <n v="26"/>
    <s v="West"/>
    <s v="Apr-24"/>
    <n v="391"/>
    <n v="0.52317073170731709"/>
  </r>
  <r>
    <s v="ORD-01823"/>
    <x v="105"/>
    <s v="CUST-0139"/>
    <s v="PROD-040"/>
    <s v="R030"/>
    <n v="5"/>
    <n v="1080"/>
    <n v="6"/>
    <n v="5076"/>
    <s v="Completed"/>
    <s v="Hyderabad"/>
    <s v="Home"/>
    <m/>
    <s v="SMB"/>
    <n v="65"/>
    <m/>
    <m/>
    <m/>
    <m/>
  </r>
  <r>
    <s v="ORD-01824"/>
    <x v="202"/>
    <s v="CUST-0087"/>
    <s v="PROD-060"/>
    <s v="R028"/>
    <n v="4"/>
    <n v="190"/>
    <n v="6.3"/>
    <n v="712.12"/>
    <s v="Refunded"/>
    <s v="Pune"/>
    <s v="Sports"/>
    <m/>
    <s v="SMB"/>
    <n v="49"/>
    <m/>
    <m/>
    <m/>
    <m/>
  </r>
  <r>
    <s v="ORD-01825"/>
    <x v="158"/>
    <s v="CUST-0203"/>
    <s v="PROD-017"/>
    <s v="R029"/>
    <n v="6"/>
    <n v="2510"/>
    <n v="11.5"/>
    <n v="13328.1"/>
    <s v="Completed"/>
    <s v="Chennai"/>
    <s v="Apparel"/>
    <m/>
    <s v="SMB"/>
    <n v="55"/>
    <m/>
    <m/>
    <m/>
    <m/>
  </r>
  <r>
    <s v="ORD-01826"/>
    <x v="193"/>
    <s v="CUST-0180"/>
    <s v="PROD-018"/>
    <s v="R015"/>
    <n v="2"/>
    <n v="3560"/>
    <n v="10.5"/>
    <n v="6372.4"/>
    <s v="Completed"/>
    <s v="Chennai"/>
    <s v="Apparel"/>
    <m/>
    <s v="Retail"/>
    <n v="36"/>
    <s v="West"/>
    <s v="Jan-24"/>
    <n v="2629"/>
    <n v="0.26151685393258428"/>
  </r>
  <r>
    <s v="ORD-01827"/>
    <x v="361"/>
    <s v="CUST-0130"/>
    <s v="PROD-020"/>
    <s v="R013"/>
    <n v="3"/>
    <n v="820"/>
    <n v="13"/>
    <n v="2140.1999999999998"/>
    <s v="Cancelled"/>
    <s v="Bengaluru"/>
    <s v="Apparel"/>
    <m/>
    <s v="Corporate"/>
    <n v="41"/>
    <m/>
    <m/>
    <m/>
    <m/>
  </r>
  <r>
    <s v="ORD-01828"/>
    <x v="66"/>
    <s v="CUST-0049"/>
    <s v="PROD-013"/>
    <s v="R003"/>
    <n v="6"/>
    <n v="3640"/>
    <n v="14"/>
    <n v="18782.400000000001"/>
    <s v="Completed"/>
    <s v="Mumbai"/>
    <s v="Apparel"/>
    <m/>
    <s v="Corporate"/>
    <n v="42"/>
    <m/>
    <m/>
    <m/>
    <m/>
  </r>
  <r>
    <s v="ORD-01829"/>
    <x v="43"/>
    <s v="CUST-0182"/>
    <s v="PROD-028"/>
    <s v="R019"/>
    <n v="5"/>
    <n v="3660"/>
    <n v="28.7"/>
    <n v="13047.9"/>
    <s v="Completed"/>
    <s v="Mumbai"/>
    <s v="Grocery"/>
    <m/>
    <s v="Retail"/>
    <n v="54"/>
    <m/>
    <m/>
    <m/>
    <m/>
  </r>
  <r>
    <s v="ORD-01830"/>
    <x v="126"/>
    <s v="CUST-0291"/>
    <s v="PROD-055"/>
    <s v="R030"/>
    <n v="2"/>
    <n v="2860"/>
    <n v="21.1"/>
    <n v="4513.08"/>
    <s v="Completed"/>
    <s v="Pune"/>
    <s v="Sports"/>
    <m/>
    <s v="SMB"/>
    <n v="29"/>
    <s v="East"/>
    <s v="Mar-24"/>
    <n v="2028"/>
    <n v="0.29090909090909089"/>
  </r>
  <r>
    <s v="ORD-01831"/>
    <x v="214"/>
    <s v="CUST-0167"/>
    <s v="PROD-015"/>
    <s v="R019"/>
    <n v="1"/>
    <n v="2720"/>
    <n v="22.1"/>
    <n v="2118.88"/>
    <s v="Completed"/>
    <s v="Delhi"/>
    <s v="Apparel"/>
    <m/>
    <s v="Retail"/>
    <n v="43"/>
    <m/>
    <m/>
    <m/>
    <m/>
  </r>
  <r>
    <s v="ORD-01832"/>
    <x v="142"/>
    <s v="CUST-0223"/>
    <s v="PROD-055"/>
    <s v="R004"/>
    <n v="6"/>
    <n v="2860"/>
    <n v="10.5"/>
    <n v="15358.2"/>
    <s v="Cancelled"/>
    <s v="Bengaluru"/>
    <s v="Sports"/>
    <m/>
    <s v="Retail"/>
    <n v="46"/>
    <m/>
    <m/>
    <m/>
    <m/>
  </r>
  <r>
    <s v="ORD-01833"/>
    <x v="359"/>
    <s v="CUST-0050"/>
    <s v="PROD-017"/>
    <s v="R020"/>
    <n v="1"/>
    <n v="2510"/>
    <n v="12"/>
    <n v="2208.8000000000002"/>
    <s v="Completed"/>
    <s v="Mumbai"/>
    <s v="Apparel"/>
    <m/>
    <s v="Retail"/>
    <n v="37"/>
    <s v="North"/>
    <s v="Dec-24"/>
    <n v="1075"/>
    <n v="0.57171314741035861"/>
  </r>
  <r>
    <s v="ORD-01834"/>
    <x v="106"/>
    <s v="CUST-0242"/>
    <s v="PROD-017"/>
    <s v="R020"/>
    <n v="4"/>
    <n v="2510"/>
    <n v="23.2"/>
    <n v="7710.72"/>
    <s v="Completed"/>
    <s v="Chennai"/>
    <s v="Apparel"/>
    <m/>
    <s v="SMB"/>
    <n v="59"/>
    <m/>
    <m/>
    <m/>
    <m/>
  </r>
  <r>
    <s v="ORD-01835"/>
    <x v="122"/>
    <s v="CUST-0144"/>
    <s v="PROD-049"/>
    <s v="R005"/>
    <n v="8"/>
    <n v="960"/>
    <n v="20.3"/>
    <n v="6120.96"/>
    <s v="Pending"/>
    <s v="Chennai"/>
    <s v="Beauty"/>
    <m/>
    <s v="Retail"/>
    <n v="49"/>
    <m/>
    <m/>
    <m/>
    <m/>
  </r>
  <r>
    <s v="ORD-01836"/>
    <x v="5"/>
    <s v="CUST-0140"/>
    <s v="PROD-038"/>
    <s v="R010"/>
    <n v="3"/>
    <n v="5490"/>
    <n v="25.2"/>
    <n v="12319.56"/>
    <s v="Completed"/>
    <s v="Hyderabad"/>
    <s v="Home"/>
    <m/>
    <s v="SMB"/>
    <n v="39"/>
    <s v="North"/>
    <s v="Sep-24"/>
    <n v="2549"/>
    <n v="0.53570127504553733"/>
  </r>
  <r>
    <s v="ORD-01837"/>
    <x v="262"/>
    <s v="CUST-0174"/>
    <s v="PROD-017"/>
    <s v="R006"/>
    <n v="2"/>
    <n v="2510"/>
    <n v="28.2"/>
    <n v="3604.36"/>
    <s v="Completed"/>
    <s v="Pune"/>
    <s v="Apparel"/>
    <m/>
    <s v="Retail"/>
    <n v="54"/>
    <m/>
    <m/>
    <m/>
    <m/>
  </r>
  <r>
    <s v="ORD-01838"/>
    <x v="194"/>
    <s v="CUST-0290"/>
    <s v="PROD-020"/>
    <s v="R011"/>
    <n v="1"/>
    <n v="820"/>
    <n v="4.7"/>
    <n v="781.46"/>
    <s v="Completed"/>
    <s v="Delhi"/>
    <s v="Apparel"/>
    <m/>
    <s v="Retail"/>
    <n v="63"/>
    <m/>
    <m/>
    <m/>
    <m/>
  </r>
  <r>
    <s v="ORD-01839"/>
    <x v="99"/>
    <s v="CUST-0170"/>
    <s v="PROD-005"/>
    <s v="R018"/>
    <n v="6"/>
    <n v="300"/>
    <n v="13.3"/>
    <n v="1560.6"/>
    <s v="Completed"/>
    <s v="Mumbai"/>
    <s v="Electronics"/>
    <m/>
    <s v="SMB"/>
    <n v="22"/>
    <s v="South"/>
    <s v="Apr-24"/>
    <n v="128"/>
    <n v="0.57333333333333336"/>
  </r>
  <r>
    <s v="ORD-01840"/>
    <x v="155"/>
    <s v="CUST-0180"/>
    <s v="PROD-043"/>
    <s v="R016"/>
    <n v="4"/>
    <n v="3350"/>
    <n v="5.8"/>
    <n v="12622.8"/>
    <s v="Pending"/>
    <s v="Chennai"/>
    <s v="Beauty"/>
    <m/>
    <s v="Retail"/>
    <n v="36"/>
    <s v="East"/>
    <s v="Jun-24"/>
    <n v="1728"/>
    <n v="0.48417910447761192"/>
  </r>
  <r>
    <s v="ORD-01841"/>
    <x v="150"/>
    <s v="CUST-0286"/>
    <s v="PROD-036"/>
    <s v="R025"/>
    <n v="3"/>
    <n v="3250"/>
    <n v="19.600000000000001"/>
    <n v="7839"/>
    <s v="Pending"/>
    <s v="Delhi"/>
    <s v="Home"/>
    <m/>
    <s v="Retail"/>
    <n v="62"/>
    <m/>
    <m/>
    <m/>
    <m/>
  </r>
  <r>
    <s v="ORD-01842"/>
    <x v="112"/>
    <s v="CUST-0056"/>
    <s v="PROD-044"/>
    <s v="R027"/>
    <n v="10"/>
    <n v="1650"/>
    <n v="22.5"/>
    <n v="12787.5"/>
    <s v="Cancelled"/>
    <s v="Bengaluru"/>
    <s v="Beauty"/>
    <m/>
    <s v="SMB"/>
    <n v="46"/>
    <m/>
    <m/>
    <m/>
    <m/>
  </r>
  <r>
    <s v="ORD-01843"/>
    <x v="47"/>
    <s v="CUST-0292"/>
    <s v="PROD-009"/>
    <s v="R026"/>
    <n v="2"/>
    <n v="1220"/>
    <n v="10.5"/>
    <n v="2183.8000000000002"/>
    <s v="Completed"/>
    <s v="Bengaluru"/>
    <s v="Electronics"/>
    <m/>
    <s v="Retail"/>
    <n v="32"/>
    <s v="West"/>
    <s v="Feb-24"/>
    <n v="517"/>
    <n v="0.57622950819672136"/>
  </r>
  <r>
    <s v="ORD-01844"/>
    <x v="126"/>
    <s v="CUST-0020"/>
    <s v="PROD-049"/>
    <s v="R026"/>
    <n v="7"/>
    <n v="960"/>
    <n v="5.4"/>
    <n v="6357.12"/>
    <s v="Refunded"/>
    <s v="Hyderabad"/>
    <s v="Beauty"/>
    <m/>
    <s v="Retail"/>
    <n v="46"/>
    <m/>
    <m/>
    <m/>
    <m/>
  </r>
  <r>
    <s v="ORD-01845"/>
    <x v="44"/>
    <s v="CUST-0089"/>
    <s v="PROD-046"/>
    <s v="R014"/>
    <n v="3"/>
    <n v="4880"/>
    <n v="17.100000000000001"/>
    <n v="12136.56"/>
    <s v="Completed"/>
    <s v="Mumbai"/>
    <s v="Beauty"/>
    <m/>
    <s v="SMB"/>
    <n v="43"/>
    <m/>
    <m/>
    <m/>
    <m/>
  </r>
  <r>
    <s v="ORD-01846"/>
    <x v="69"/>
    <s v="CUST-0242"/>
    <s v="PROD-024"/>
    <s v="R028"/>
    <n v="5"/>
    <n v="2270"/>
    <n v="12.4"/>
    <n v="9942.6"/>
    <s v="Completed"/>
    <s v="Chennai"/>
    <s v="Grocery"/>
    <m/>
    <s v="SMB"/>
    <n v="59"/>
    <m/>
    <m/>
    <m/>
    <m/>
  </r>
  <r>
    <s v="ORD-01847"/>
    <x v="3"/>
    <s v="CUST-0249"/>
    <s v="PROD-035"/>
    <s v="R028"/>
    <n v="1"/>
    <n v="1090"/>
    <n v="17.3"/>
    <n v="901.43"/>
    <s v="Completed"/>
    <s v="Mumbai"/>
    <s v="Home"/>
    <m/>
    <s v="Retail"/>
    <n v="44"/>
    <m/>
    <m/>
    <m/>
    <m/>
  </r>
  <r>
    <s v="ORD-01848"/>
    <x v="275"/>
    <s v="CUST-0032"/>
    <s v="PROD-034"/>
    <s v="R029"/>
    <n v="8"/>
    <n v="5080"/>
    <n v="0.9"/>
    <n v="40274.239999999998"/>
    <s v="Completed"/>
    <s v="Hyderabad"/>
    <s v="Home"/>
    <m/>
    <s v="Retail"/>
    <n v="28"/>
    <s v="West"/>
    <s v="May-24"/>
    <n v="2459"/>
    <n v="0.51594488188976373"/>
  </r>
  <r>
    <s v="ORD-01849"/>
    <x v="28"/>
    <s v="CUST-0217"/>
    <s v="PROD-039"/>
    <s v="R017"/>
    <n v="7"/>
    <n v="4610"/>
    <n v="0.9"/>
    <n v="31979.57"/>
    <s v="Completed"/>
    <s v="Pune"/>
    <s v="Home"/>
    <m/>
    <s v="SMB"/>
    <n v="59"/>
    <m/>
    <m/>
    <m/>
    <m/>
  </r>
  <r>
    <s v="ORD-01850"/>
    <x v="159"/>
    <s v="CUST-0284"/>
    <s v="PROD-045"/>
    <s v="R028"/>
    <n v="1"/>
    <n v="3020"/>
    <n v="10.3"/>
    <n v="2708.94"/>
    <s v="Completed"/>
    <s v="Hyderabad"/>
    <s v="Beauty"/>
    <m/>
    <s v="SMB"/>
    <n v="65"/>
    <m/>
    <m/>
    <m/>
    <m/>
  </r>
  <r>
    <s v="ORD-01851"/>
    <x v="99"/>
    <s v="CUST-0167"/>
    <s v="PROD-022"/>
    <s v="R028"/>
    <n v="6"/>
    <n v="2270"/>
    <n v="23.1"/>
    <n v="10473.780000000001"/>
    <s v="Completed"/>
    <s v="Delhi"/>
    <s v="Grocery"/>
    <m/>
    <s v="Retail"/>
    <n v="43"/>
    <m/>
    <m/>
    <m/>
    <m/>
  </r>
  <r>
    <s v="ORD-01852"/>
    <x v="150"/>
    <s v="CUST-0008"/>
    <s v="PROD-026"/>
    <s v="R010"/>
    <n v="6"/>
    <n v="4070"/>
    <n v="28.9"/>
    <n v="17362.62"/>
    <s v="Completed"/>
    <s v="Pune"/>
    <s v="Grocery"/>
    <m/>
    <s v="SMB"/>
    <n v="39"/>
    <s v="West"/>
    <s v="Jun-24"/>
    <n v="2027"/>
    <n v="0.50196560196560192"/>
  </r>
  <r>
    <s v="ORD-01853"/>
    <x v="181"/>
    <s v="CUST-0277"/>
    <s v="PROD-009"/>
    <s v="R017"/>
    <n v="5"/>
    <n v="1220"/>
    <n v="18.7"/>
    <n v="4959.3"/>
    <s v="Completed"/>
    <s v="Chennai"/>
    <s v="Electronics"/>
    <m/>
    <s v="Corporate"/>
    <n v="34"/>
    <s v="South"/>
    <s v="Nov-24"/>
    <n v="517"/>
    <n v="0.57622950819672136"/>
  </r>
  <r>
    <s v="ORD-01854"/>
    <x v="249"/>
    <s v="CUST-0025"/>
    <s v="PROD-019"/>
    <s v="R024"/>
    <n v="8"/>
    <n v="2480"/>
    <n v="3.2"/>
    <n v="19205.12"/>
    <s v="Cancelled"/>
    <s v="Bengaluru"/>
    <s v="Apparel"/>
    <m/>
    <s v="Retail"/>
    <n v="23"/>
    <s v="East"/>
    <s v="Dec-24"/>
    <n v="1173"/>
    <n v="0.52701612903225803"/>
  </r>
  <r>
    <s v="ORD-01855"/>
    <x v="211"/>
    <s v="CUST-0228"/>
    <s v="PROD-055"/>
    <s v="R007"/>
    <n v="7"/>
    <n v="2860"/>
    <n v="8.4"/>
    <n v="18338.32"/>
    <s v="Completed"/>
    <s v="Pune"/>
    <s v="Sports"/>
    <m/>
    <s v="Corporate"/>
    <n v="37"/>
    <s v="West"/>
    <s v="Apr-24"/>
    <n v="2028"/>
    <n v="0.29090909090909089"/>
  </r>
  <r>
    <s v="ORD-01856"/>
    <x v="13"/>
    <s v="CUST-0078"/>
    <s v="PROD-027"/>
    <s v="R024"/>
    <n v="1"/>
    <n v="3780"/>
    <n v="16.3"/>
    <n v="3163.86"/>
    <s v="Cancelled"/>
    <s v="Delhi"/>
    <s v="Grocery"/>
    <m/>
    <s v="Retail"/>
    <n v="31"/>
    <s v="North"/>
    <s v="Sep-24"/>
    <n v="2436"/>
    <n v="0.35555555555555557"/>
  </r>
  <r>
    <s v="ORD-01857"/>
    <x v="172"/>
    <s v="CUST-0205"/>
    <s v="PROD-055"/>
    <s v="R025"/>
    <n v="6"/>
    <n v="2860"/>
    <n v="10.7"/>
    <n v="15323.88"/>
    <s v="Completed"/>
    <s v="Pune"/>
    <s v="Sports"/>
    <m/>
    <s v="Corporate"/>
    <n v="29"/>
    <s v="West"/>
    <s v="Mar-24"/>
    <n v="2028"/>
    <n v="0.29090909090909089"/>
  </r>
  <r>
    <s v="ORD-01858"/>
    <x v="325"/>
    <s v="CUST-0044"/>
    <s v="PROD-058"/>
    <s v="R027"/>
    <n v="3"/>
    <n v="2400"/>
    <n v="20.7"/>
    <n v="5709.6"/>
    <s v="Completed"/>
    <s v="Hyderabad"/>
    <s v="Sports"/>
    <m/>
    <s v="SMB"/>
    <n v="29"/>
    <s v="West"/>
    <s v="Jul-24"/>
    <n v="974"/>
    <n v="0.59416666666666662"/>
  </r>
  <r>
    <s v="ORD-01859"/>
    <x v="259"/>
    <s v="CUST-0188"/>
    <s v="PROD-023"/>
    <s v="R025"/>
    <n v="8"/>
    <n v="2380"/>
    <n v="22.3"/>
    <n v="14794.08"/>
    <s v="Refunded"/>
    <s v="Bengaluru"/>
    <s v="Grocery"/>
    <m/>
    <s v="Retail"/>
    <n v="54"/>
    <m/>
    <m/>
    <m/>
    <m/>
  </r>
  <r>
    <s v="ORD-01860"/>
    <x v="80"/>
    <s v="CUST-0165"/>
    <s v="PROD-048"/>
    <s v="R006"/>
    <n v="7"/>
    <n v="5100"/>
    <n v="22.9"/>
    <n v="27524.7"/>
    <s v="Cancelled"/>
    <s v="Pune"/>
    <s v="Beauty"/>
    <m/>
    <s v="Retail"/>
    <n v="29"/>
    <s v="West"/>
    <s v="Feb-24"/>
    <n v="2237"/>
    <n v="0.56137254901960787"/>
  </r>
  <r>
    <s v="ORD-01861"/>
    <x v="113"/>
    <s v="CUST-0059"/>
    <s v="PROD-005"/>
    <s v="R015"/>
    <n v="7"/>
    <n v="300"/>
    <n v="15.3"/>
    <n v="1778.7"/>
    <s v="Completed"/>
    <s v="Pune"/>
    <s v="Electronics"/>
    <m/>
    <s v="Corporate"/>
    <n v="29"/>
    <s v="North"/>
    <s v="Aug-24"/>
    <n v="128"/>
    <n v="0.57333333333333336"/>
  </r>
  <r>
    <s v="ORD-01862"/>
    <x v="49"/>
    <s v="CUST-0280"/>
    <s v="PROD-051"/>
    <s v="R010"/>
    <n v="5"/>
    <n v="3450"/>
    <n v="16.8"/>
    <n v="14352"/>
    <s v="Completed"/>
    <s v="Delhi"/>
    <s v="Sports"/>
    <m/>
    <s v="SMB"/>
    <n v="27"/>
    <s v="South"/>
    <s v="Jun-24"/>
    <n v="2467"/>
    <n v="0.28492753623188405"/>
  </r>
  <r>
    <s v="ORD-01863"/>
    <x v="287"/>
    <s v="CUST-0153"/>
    <s v="PROD-055"/>
    <s v="R014"/>
    <n v="4"/>
    <n v="2860"/>
    <n v="14.3"/>
    <n v="9804.08"/>
    <s v="Completed"/>
    <s v="Mumbai"/>
    <s v="Sports"/>
    <m/>
    <s v="Retail"/>
    <n v="35"/>
    <s v="South"/>
    <s v="May-24"/>
    <n v="2028"/>
    <n v="0.29090909090909089"/>
  </r>
  <r>
    <s v="ORD-01864"/>
    <x v="180"/>
    <s v="CUST-0251"/>
    <s v="PROD-015"/>
    <s v="R001"/>
    <n v="6"/>
    <n v="2720"/>
    <n v="25.1"/>
    <n v="12223.68"/>
    <s v="Cancelled"/>
    <s v="Mumbai"/>
    <s v="Apparel"/>
    <m/>
    <s v="Retail"/>
    <n v="44"/>
    <m/>
    <m/>
    <m/>
    <m/>
  </r>
  <r>
    <s v="ORD-01865"/>
    <x v="335"/>
    <s v="CUST-0255"/>
    <s v="PROD-031"/>
    <s v="R028"/>
    <n v="3"/>
    <n v="3730"/>
    <n v="24.8"/>
    <n v="8414.8799999999992"/>
    <s v="Completed"/>
    <s v="Chennai"/>
    <s v="Home"/>
    <m/>
    <s v="Corporate"/>
    <n v="51"/>
    <m/>
    <m/>
    <m/>
    <m/>
  </r>
  <r>
    <s v="ORD-01866"/>
    <x v="83"/>
    <s v="CUST-0076"/>
    <s v="PROD-025"/>
    <s v="R002"/>
    <n v="2"/>
    <n v="4060"/>
    <n v="11.3"/>
    <n v="7202.44"/>
    <s v="Completed"/>
    <s v="Mumbai"/>
    <s v="Grocery"/>
    <m/>
    <s v="Retail"/>
    <n v="38"/>
    <s v="West"/>
    <s v="May-24"/>
    <n v="2911"/>
    <n v="0.28300492610837441"/>
  </r>
  <r>
    <s v="ORD-01867"/>
    <x v="146"/>
    <s v="CUST-0195"/>
    <s v="PROD-042"/>
    <s v="R018"/>
    <n v="6"/>
    <n v="2290"/>
    <n v="26.8"/>
    <n v="10057.68"/>
    <s v="Refunded"/>
    <s v="Bengaluru"/>
    <s v="Beauty"/>
    <m/>
    <s v="Retail"/>
    <n v="28"/>
    <s v="North"/>
    <s v="Dec-24"/>
    <n v="1219"/>
    <n v="0.46768558951965067"/>
  </r>
  <r>
    <s v="ORD-01868"/>
    <x v="196"/>
    <s v="CUST-0164"/>
    <s v="PROD-056"/>
    <s v="R013"/>
    <n v="1"/>
    <n v="6940"/>
    <n v="15.7"/>
    <n v="5850.42"/>
    <s v="Completed"/>
    <s v="Chennai"/>
    <s v="Sports"/>
    <m/>
    <s v="Retail"/>
    <n v="60"/>
    <m/>
    <m/>
    <m/>
    <m/>
  </r>
  <r>
    <s v="ORD-01869"/>
    <x v="235"/>
    <s v="CUST-0239"/>
    <s v="PROD-031"/>
    <s v="R009"/>
    <n v="3"/>
    <n v="3730"/>
    <n v="18.100000000000001"/>
    <n v="9164.61"/>
    <s v="Completed"/>
    <s v="Mumbai"/>
    <s v="Home"/>
    <m/>
    <s v="Retail"/>
    <n v="61"/>
    <m/>
    <m/>
    <m/>
    <m/>
  </r>
  <r>
    <s v="ORD-01870"/>
    <x v="72"/>
    <s v="CUST-0133"/>
    <s v="PROD-031"/>
    <s v="R002"/>
    <n v="8"/>
    <n v="3730"/>
    <n v="12.5"/>
    <n v="26110"/>
    <s v="Completed"/>
    <s v="Chennai"/>
    <s v="Home"/>
    <m/>
    <s v="Retail"/>
    <n v="26"/>
    <s v="South"/>
    <s v="Nov-24"/>
    <n v="2135"/>
    <n v="0.42761394101876676"/>
  </r>
  <r>
    <s v="ORD-01871"/>
    <x v="128"/>
    <s v="CUST-0286"/>
    <s v="PROD-023"/>
    <s v="R015"/>
    <n v="9"/>
    <n v="2380"/>
    <n v="8.1"/>
    <n v="19684.98"/>
    <s v="Cancelled"/>
    <s v="Delhi"/>
    <s v="Grocery"/>
    <m/>
    <s v="Retail"/>
    <n v="62"/>
    <m/>
    <m/>
    <m/>
    <m/>
  </r>
  <r>
    <s v="ORD-01872"/>
    <x v="206"/>
    <s v="CUST-0122"/>
    <s v="PROD-040"/>
    <s v="R002"/>
    <n v="6"/>
    <n v="1080"/>
    <n v="8.8000000000000007"/>
    <n v="5909.76"/>
    <s v="Completed"/>
    <s v="Mumbai"/>
    <s v="Home"/>
    <m/>
    <s v="Retail"/>
    <n v="44"/>
    <m/>
    <m/>
    <m/>
    <m/>
  </r>
  <r>
    <s v="ORD-01712"/>
    <x v="24"/>
    <s v="CUST-0285"/>
    <s v="PROD-053"/>
    <s v="R013"/>
    <n v="5"/>
    <n v="470"/>
    <n v="1.3"/>
    <n v="2319.4499999999998"/>
    <s v="Completed"/>
    <s v="Hyderabad"/>
    <s v="Sports"/>
    <m/>
    <s v="Retail"/>
    <n v="22"/>
    <s v="North"/>
    <s v="Jul-24"/>
    <n v="302"/>
    <n v="0.35744680851063831"/>
  </r>
  <r>
    <s v="ORD-01874"/>
    <x v="340"/>
    <s v="CUST-0174"/>
    <s v="PROD-032"/>
    <s v="R026"/>
    <n v="4"/>
    <n v="370"/>
    <n v="13.1"/>
    <n v="1286.1199999999999"/>
    <s v="Completed"/>
    <s v="Pune"/>
    <s v="Home"/>
    <m/>
    <s v="Retail"/>
    <n v="54"/>
    <m/>
    <m/>
    <m/>
    <m/>
  </r>
  <r>
    <s v="ORD-01875"/>
    <x v="25"/>
    <s v="CUST-0115"/>
    <s v="PROD-012"/>
    <s v="R007"/>
    <n v="7"/>
    <n v="3160"/>
    <n v="12.3"/>
    <n v="19399.240000000002"/>
    <s v="Completed"/>
    <s v="Mumbai"/>
    <s v="Apparel"/>
    <m/>
    <s v="SMB"/>
    <n v="65"/>
    <m/>
    <m/>
    <m/>
    <m/>
  </r>
  <r>
    <s v="ORD-01876"/>
    <x v="218"/>
    <s v="CUST-0028"/>
    <s v="PROD-018"/>
    <s v="R024"/>
    <n v="5"/>
    <n v="3560"/>
    <n v="24"/>
    <n v="13528"/>
    <s v="Completed"/>
    <s v="Bengaluru"/>
    <s v="Apparel"/>
    <m/>
    <s v="Retail"/>
    <n v="59"/>
    <m/>
    <m/>
    <m/>
    <m/>
  </r>
  <r>
    <s v="ORD-01877"/>
    <x v="53"/>
    <s v="CUST-0111"/>
    <s v="PROD-033"/>
    <s v="R021"/>
    <n v="6"/>
    <n v="2030"/>
    <n v="20.5"/>
    <n v="9683.1"/>
    <s v="Completed"/>
    <s v="Chennai"/>
    <s v="Home"/>
    <m/>
    <s v="SMB"/>
    <n v="64"/>
    <m/>
    <m/>
    <m/>
    <m/>
  </r>
  <r>
    <s v="ORD-01878"/>
    <x v="116"/>
    <s v="CUST-0240"/>
    <s v="PROD-010"/>
    <s v="R018"/>
    <n v="5"/>
    <n v="2640"/>
    <n v="21.3"/>
    <n v="10388.4"/>
    <s v="Pending"/>
    <s v="Chennai"/>
    <s v="Electronics"/>
    <m/>
    <s v="Corporate"/>
    <n v="35"/>
    <s v="East"/>
    <s v="May-24"/>
    <n v="1149"/>
    <n v="0.56477272727272732"/>
  </r>
  <r>
    <s v="ORD-01879"/>
    <x v="98"/>
    <s v="CUST-0222"/>
    <s v="PROD-022"/>
    <s v="R002"/>
    <n v="4"/>
    <n v="2270"/>
    <n v="15.8"/>
    <n v="7645.36"/>
    <s v="Completed"/>
    <s v="Chennai"/>
    <s v="Grocery"/>
    <m/>
    <s v="Retail"/>
    <n v="37"/>
    <s v="East"/>
    <s v="Feb-24"/>
    <n v="1412"/>
    <n v="0.37797356828193834"/>
  </r>
  <r>
    <s v="ORD-01880"/>
    <x v="276"/>
    <s v="CUST-0251"/>
    <s v="PROD-032"/>
    <s v="R002"/>
    <n v="1"/>
    <n v="370"/>
    <n v="27"/>
    <n v="270.10000000000002"/>
    <s v="Pending"/>
    <s v="Mumbai"/>
    <s v="Home"/>
    <m/>
    <s v="Retail"/>
    <n v="44"/>
    <m/>
    <m/>
    <m/>
    <m/>
  </r>
  <r>
    <s v="ORD-01881"/>
    <x v="250"/>
    <s v="CUST-0203"/>
    <s v="PROD-048"/>
    <s v="R017"/>
    <n v="9"/>
    <n v="5100"/>
    <n v="2.4"/>
    <n v="44798.400000000001"/>
    <s v="Completed"/>
    <s v="Chennai"/>
    <s v="Beauty"/>
    <m/>
    <s v="SMB"/>
    <n v="55"/>
    <m/>
    <m/>
    <m/>
    <m/>
  </r>
  <r>
    <s v="ORD-01882"/>
    <x v="94"/>
    <s v="CUST-0285"/>
    <s v="PROD-032"/>
    <s v="R023"/>
    <n v="6"/>
    <n v="370"/>
    <n v="18.7"/>
    <n v="1804.86"/>
    <s v="Cancelled"/>
    <s v="Hyderabad"/>
    <s v="Home"/>
    <m/>
    <s v="Retail"/>
    <n v="22"/>
    <s v="East"/>
    <s v="Mar-24"/>
    <n v="288"/>
    <n v="0.22162162162162163"/>
  </r>
  <r>
    <s v="ORD-01883"/>
    <x v="57"/>
    <s v="CUST-0135"/>
    <s v="PROD-030"/>
    <s v="R004"/>
    <n v="6"/>
    <n v="970"/>
    <n v="21.6"/>
    <n v="4562.88"/>
    <s v="Completed"/>
    <s v="Pune"/>
    <s v="Grocery"/>
    <m/>
    <s v="SMB"/>
    <n v="24"/>
    <s v="East"/>
    <s v="Jan-24"/>
    <n v="434"/>
    <n v="0.5525773195876289"/>
  </r>
  <r>
    <s v="ORD-01884"/>
    <x v="81"/>
    <s v="CUST-9967"/>
    <s v="PROD-029"/>
    <s v="R029"/>
    <n v="3"/>
    <n v="2210"/>
    <n v="8.5"/>
    <n v="6066.45"/>
    <s v="Completed"/>
    <s v="Delhi"/>
    <s v="Grocery"/>
    <m/>
    <e v="#N/A"/>
    <e v="#N/A"/>
    <m/>
    <m/>
    <m/>
    <m/>
  </r>
  <r>
    <s v="ORD-01885"/>
    <x v="136"/>
    <s v="CUST-0096"/>
    <s v="PROD-044"/>
    <s v="R002"/>
    <n v="1"/>
    <n v="1650"/>
    <n v="19.7"/>
    <n v="1324.95"/>
    <s v="Completed"/>
    <s v="Delhi"/>
    <s v="Beauty"/>
    <m/>
    <s v="Corporate"/>
    <n v="27"/>
    <s v="West"/>
    <s v="Nov-24"/>
    <n v="1222"/>
    <n v="0.2593939393939394"/>
  </r>
  <r>
    <s v="ORD-01886"/>
    <x v="178"/>
    <s v="CUST-0266"/>
    <s v="PROD-056"/>
    <s v="R003"/>
    <n v="5"/>
    <n v="6940"/>
    <n v="7.7"/>
    <n v="32028.1"/>
    <s v="Completed"/>
    <s v="Pune"/>
    <s v="Sports"/>
    <m/>
    <s v="Retail"/>
    <n v="65"/>
    <m/>
    <m/>
    <m/>
    <m/>
  </r>
  <r>
    <s v="ORD-01887"/>
    <x v="40"/>
    <s v="CUST-0059"/>
    <s v="PROD-029"/>
    <s v="R022"/>
    <n v="2"/>
    <n v="2210"/>
    <n v="5.6"/>
    <n v="4172.4799999999996"/>
    <s v="Cancelled"/>
    <s v="Pune"/>
    <s v="Grocery"/>
    <m/>
    <s v="Corporate"/>
    <n v="29"/>
    <s v="North"/>
    <s v="Jul-24"/>
    <n v="1010"/>
    <n v="0.54298642533936647"/>
  </r>
  <r>
    <s v="ORD-01888"/>
    <x v="82"/>
    <s v="CUST-0094"/>
    <s v="PROD-002"/>
    <s v="R014"/>
    <n v="9"/>
    <n v="2600"/>
    <n v="3.1"/>
    <n v="22674.6"/>
    <s v="Completed"/>
    <s v="Pune"/>
    <s v="Electronics"/>
    <m/>
    <s v="SMB"/>
    <n v="60"/>
    <m/>
    <m/>
    <m/>
    <m/>
  </r>
  <r>
    <s v="ORD-01889"/>
    <x v="315"/>
    <s v="CUST-0254"/>
    <s v="PROD-059"/>
    <s v="R003"/>
    <n v="7"/>
    <n v="3780"/>
    <n v="13.3"/>
    <n v="22940.82"/>
    <s v="Completed"/>
    <s v="Bengaluru"/>
    <s v="Sports"/>
    <m/>
    <s v="Retail"/>
    <n v="35"/>
    <s v="South"/>
    <s v="Mar-24"/>
    <n v="1860"/>
    <n v="0.50793650793650791"/>
  </r>
  <r>
    <s v="ORD-01890"/>
    <x v="356"/>
    <s v="CUST-0022"/>
    <s v="PROD-058"/>
    <s v="R013"/>
    <n v="4"/>
    <n v="2400"/>
    <n v="16.600000000000001"/>
    <n v="8006.4"/>
    <s v="Pending"/>
    <s v="Bengaluru"/>
    <s v="Sports"/>
    <m/>
    <s v="Corporate"/>
    <n v="55"/>
    <m/>
    <m/>
    <m/>
    <m/>
  </r>
  <r>
    <s v="ORD-01891"/>
    <x v="348"/>
    <s v="CUST-0168"/>
    <s v="PROD-005"/>
    <s v="R005"/>
    <n v="10"/>
    <n v="300"/>
    <n v="23.9"/>
    <n v="2283"/>
    <s v="Completed"/>
    <s v="Pune"/>
    <s v="Electronics"/>
    <m/>
    <s v="Retail"/>
    <n v="25"/>
    <s v="South"/>
    <s v="Nov-24"/>
    <n v="128"/>
    <n v="0.57333333333333336"/>
  </r>
  <r>
    <s v="ORD-01892"/>
    <x v="93"/>
    <s v="CUST-0175"/>
    <s v="PROD-028"/>
    <s v="R010"/>
    <n v="1"/>
    <n v="3660"/>
    <n v="1.5"/>
    <n v="3605.1"/>
    <s v="Pending"/>
    <s v="Delhi"/>
    <s v="Grocery"/>
    <m/>
    <s v="Corporate"/>
    <n v="55"/>
    <m/>
    <m/>
    <m/>
    <m/>
  </r>
  <r>
    <s v="ORD-01893"/>
    <x v="166"/>
    <s v="CUST-0193"/>
    <s v="PROD-051"/>
    <s v="R011"/>
    <n v="9"/>
    <n v="3450"/>
    <n v="21.8"/>
    <n v="24281.1"/>
    <s v="Completed"/>
    <s v="Bengaluru"/>
    <s v="Sports"/>
    <m/>
    <s v="Retail"/>
    <n v="42"/>
    <m/>
    <m/>
    <m/>
    <m/>
  </r>
  <r>
    <s v="ORD-01894"/>
    <x v="306"/>
    <s v="CUST-0284"/>
    <s v="PROD-011"/>
    <s v="R007"/>
    <n v="10"/>
    <n v="3450"/>
    <n v="15.7"/>
    <n v="29083.5"/>
    <s v="Cancelled"/>
    <s v="Hyderabad"/>
    <s v="Apparel"/>
    <m/>
    <s v="SMB"/>
    <n v="65"/>
    <m/>
    <m/>
    <m/>
    <m/>
  </r>
  <r>
    <s v="ORD-01895"/>
    <x v="249"/>
    <s v="CUST-0071"/>
    <s v="PROD-026"/>
    <s v="R008"/>
    <n v="2"/>
    <n v="4070"/>
    <n v="10.8"/>
    <n v="7260.88"/>
    <s v="Completed"/>
    <s v="Delhi"/>
    <s v="Grocery"/>
    <m/>
    <s v="Corporate"/>
    <n v="46"/>
    <m/>
    <m/>
    <m/>
    <m/>
  </r>
  <r>
    <s v="ORD-01896"/>
    <x v="332"/>
    <s v="CUST-0102"/>
    <s v="PROD-059"/>
    <s v="R023"/>
    <n v="4"/>
    <n v="3780"/>
    <n v="17.100000000000001"/>
    <n v="12534.48"/>
    <s v="Completed"/>
    <s v="Chennai"/>
    <s v="Sports"/>
    <m/>
    <s v="SMB"/>
    <n v="62"/>
    <m/>
    <m/>
    <m/>
    <m/>
  </r>
  <r>
    <s v="ORD-01897"/>
    <x v="81"/>
    <s v="CUST-0036"/>
    <s v="PROD-021"/>
    <s v="R004"/>
    <n v="1"/>
    <n v="2760"/>
    <n v="2.5"/>
    <n v="2691"/>
    <s v="Cancelled"/>
    <s v="Mumbai"/>
    <s v="Grocery"/>
    <m/>
    <s v="Retail"/>
    <n v="35"/>
    <s v="East"/>
    <s v="Mar-24"/>
    <n v="1435"/>
    <n v="0.48007246376811596"/>
  </r>
  <r>
    <s v="ORD-01898"/>
    <x v="293"/>
    <s v="CUST-0273"/>
    <s v="PROD-046"/>
    <s v="R030"/>
    <n v="2"/>
    <n v="4880"/>
    <n v="11"/>
    <n v="8686.4"/>
    <s v="Completed"/>
    <s v="Hyderabad"/>
    <s v="Beauty"/>
    <m/>
    <s v="Corporate"/>
    <n v="32"/>
    <s v="North"/>
    <s v="Nov-24"/>
    <n v="2768"/>
    <n v="0.43278688524590164"/>
  </r>
  <r>
    <s v="ORD-01899"/>
    <x v="228"/>
    <s v="CUST-0262"/>
    <s v="PROD-023"/>
    <s v="R022"/>
    <n v="10"/>
    <n v="2380"/>
    <n v="28.3"/>
    <n v="17064.599999999999"/>
    <s v="Completed"/>
    <s v="Mumbai"/>
    <s v="Grocery"/>
    <m/>
    <s v="Retail"/>
    <n v="52"/>
    <m/>
    <m/>
    <m/>
    <m/>
  </r>
  <r>
    <s v="ORD-01900"/>
    <x v="121"/>
    <s v="CUST-0083"/>
    <s v="PROD-042"/>
    <s v="R003"/>
    <n v="3"/>
    <n v="2290"/>
    <n v="11.1"/>
    <n v="6107.43"/>
    <s v="Cancelled"/>
    <s v="Bengaluru"/>
    <s v="Beauty"/>
    <m/>
    <s v="Corporate"/>
    <n v="31"/>
    <s v="East"/>
    <s v="Oct-24"/>
    <n v="1219"/>
    <n v="0.46768558951965067"/>
  </r>
  <r>
    <s v="ORD-01901"/>
    <x v="53"/>
    <s v="CUST-0273"/>
    <s v="PROD-021"/>
    <s v="R004"/>
    <n v="6"/>
    <n v="2760"/>
    <n v="16.5"/>
    <n v="13827.6"/>
    <s v="Completed"/>
    <s v="Hyderabad"/>
    <s v="Grocery"/>
    <m/>
    <s v="Corporate"/>
    <n v="32"/>
    <s v="North"/>
    <s v="Jun-24"/>
    <n v="1435"/>
    <n v="0.48007246376811596"/>
  </r>
  <r>
    <s v="ORD-01902"/>
    <x v="271"/>
    <s v="CUST-0047"/>
    <s v="PROD-025"/>
    <s v="R027"/>
    <n v="5"/>
    <n v="4060"/>
    <n v="22.5"/>
    <n v="15732.5"/>
    <s v="Completed"/>
    <s v="Pune"/>
    <s v="Grocery"/>
    <m/>
    <s v="Retail"/>
    <n v="49"/>
    <m/>
    <m/>
    <m/>
    <m/>
  </r>
  <r>
    <s v="ORD-01903"/>
    <x v="27"/>
    <s v="CUST-0084"/>
    <s v="PROD-010"/>
    <s v="R006"/>
    <n v="8"/>
    <n v="2640"/>
    <n v="11.8"/>
    <n v="18627.84"/>
    <s v="Completed"/>
    <s v="Chennai"/>
    <s v="Electronics"/>
    <m/>
    <s v="Retail"/>
    <n v="28"/>
    <s v="West"/>
    <s v="Aug-24"/>
    <n v="1149"/>
    <n v="0.56477272727272732"/>
  </r>
  <r>
    <s v="ORD-01904"/>
    <x v="119"/>
    <s v="CUST-0093"/>
    <s v="PROD-039"/>
    <s v="R005"/>
    <n v="2"/>
    <n v="4610"/>
    <n v="10.4"/>
    <n v="8261.1200000000008"/>
    <s v="Pending"/>
    <s v="Pune"/>
    <s v="Home"/>
    <m/>
    <s v="Retail"/>
    <n v="36"/>
    <s v="North"/>
    <s v="Mar-24"/>
    <n v="1850"/>
    <n v="0.59869848156182215"/>
  </r>
  <r>
    <s v="ORD-01905"/>
    <x v="266"/>
    <s v="CUST-0282"/>
    <s v="PROD-029"/>
    <s v="R028"/>
    <n v="6"/>
    <n v="2210"/>
    <n v="22.5"/>
    <n v="10276.5"/>
    <s v="Cancelled"/>
    <s v="Hyderabad"/>
    <s v="Grocery"/>
    <m/>
    <s v="Corporate"/>
    <n v="29"/>
    <s v="North"/>
    <s v="Jan-24"/>
    <n v="1010"/>
    <n v="0.54298642533936647"/>
  </r>
  <r>
    <s v="ORD-01906"/>
    <x v="103"/>
    <s v="CUST-0246"/>
    <s v="PROD-029"/>
    <s v="R011"/>
    <n v="4"/>
    <n v="2210"/>
    <n v="21.5"/>
    <n v="6939.4"/>
    <s v="Pending"/>
    <s v="Delhi"/>
    <s v="Grocery"/>
    <m/>
    <s v="SMB"/>
    <n v="29"/>
    <s v="West"/>
    <s v="Apr-24"/>
    <n v="1010"/>
    <n v="0.54298642533936647"/>
  </r>
  <r>
    <s v="ORD-01907"/>
    <x v="169"/>
    <s v="CUST-0243"/>
    <s v="PROD-035"/>
    <s v="R013"/>
    <n v="6"/>
    <n v="1090"/>
    <n v="28.3"/>
    <n v="4689.18"/>
    <s v="Completed"/>
    <s v="Pune"/>
    <s v="Home"/>
    <m/>
    <s v="SMB"/>
    <n v="44"/>
    <m/>
    <m/>
    <m/>
    <m/>
  </r>
  <r>
    <s v="ORD-01908"/>
    <x v="327"/>
    <s v="CUST-0298"/>
    <s v="PROD-032"/>
    <s v="R003"/>
    <n v="9"/>
    <n v="370"/>
    <n v="13.8"/>
    <n v="2870.46"/>
    <s v="Completed"/>
    <s v="Delhi"/>
    <s v="Home"/>
    <m/>
    <s v="Retail"/>
    <n v="44"/>
    <m/>
    <m/>
    <m/>
    <m/>
  </r>
  <r>
    <s v="ORD-01909"/>
    <x v="122"/>
    <s v="CUST-0124"/>
    <s v="PROD-003"/>
    <s v="R025"/>
    <n v="10"/>
    <n v="3570"/>
    <n v="3"/>
    <n v="34629"/>
    <s v="Cancelled"/>
    <s v="Pune"/>
    <s v="Electronics"/>
    <m/>
    <s v="Retail"/>
    <n v="57"/>
    <m/>
    <m/>
    <m/>
    <m/>
  </r>
  <r>
    <s v="ORD-01910"/>
    <x v="89"/>
    <s v="CUST-0070"/>
    <s v="PROD-036"/>
    <s v="R016"/>
    <n v="10"/>
    <n v="3250"/>
    <n v="20.3"/>
    <n v="25902.5"/>
    <s v="Completed"/>
    <s v="Mumbai"/>
    <s v="Home"/>
    <m/>
    <s v="Retail"/>
    <n v="42"/>
    <m/>
    <m/>
    <m/>
    <m/>
  </r>
  <r>
    <s v="ORD-01911"/>
    <x v="295"/>
    <s v="CUST-0054"/>
    <s v="PROD-036"/>
    <s v="R028"/>
    <n v="6"/>
    <n v="3250"/>
    <n v="25.8"/>
    <n v="14469"/>
    <s v="Pending"/>
    <s v="Mumbai"/>
    <s v="Home"/>
    <m/>
    <s v="Corporate"/>
    <n v="62"/>
    <m/>
    <m/>
    <m/>
    <m/>
  </r>
  <r>
    <s v="ORD-01912"/>
    <x v="294"/>
    <s v="CUST-0208"/>
    <s v="PROD-057"/>
    <s v="R024"/>
    <n v="9"/>
    <n v="960"/>
    <n v="29"/>
    <n v="6134.4"/>
    <s v="Completed"/>
    <s v="Mumbai"/>
    <s v="Sports"/>
    <m/>
    <s v="Retail"/>
    <n v="49"/>
    <m/>
    <m/>
    <m/>
    <m/>
  </r>
  <r>
    <s v="ORD-01913"/>
    <x v="275"/>
    <s v="CUST-0181"/>
    <s v="PROD-050"/>
    <s v="R015"/>
    <n v="9"/>
    <n v="6080"/>
    <n v="21"/>
    <n v="43228.800000000003"/>
    <s v="Completed"/>
    <s v="Delhi"/>
    <s v="Beauty"/>
    <m/>
    <s v="SMB"/>
    <n v="38"/>
    <s v="West"/>
    <s v="Nov-24"/>
    <n v="2617"/>
    <n v="0.56957236842105263"/>
  </r>
  <r>
    <s v="ORD-01914"/>
    <x v="250"/>
    <s v="CUST-0259"/>
    <s v="PROD-039"/>
    <s v="R020"/>
    <n v="6"/>
    <n v="4610"/>
    <n v="13.5"/>
    <n v="23925.9"/>
    <s v="Completed"/>
    <s v="Mumbai"/>
    <s v="Home"/>
    <m/>
    <s v="Retail"/>
    <n v="34"/>
    <s v="South"/>
    <s v="Aug-24"/>
    <n v="1850"/>
    <n v="0.59869848156182215"/>
  </r>
  <r>
    <s v="ORD-01915"/>
    <x v="225"/>
    <s v="CUST-0277"/>
    <s v="PROD-034"/>
    <s v="R021"/>
    <n v="7"/>
    <n v="5080"/>
    <n v="25.4"/>
    <n v="26527.759999999998"/>
    <s v="Completed"/>
    <s v="Chennai"/>
    <s v="Home"/>
    <m/>
    <s v="Corporate"/>
    <n v="34"/>
    <s v="East"/>
    <s v="Mar-24"/>
    <n v="2459"/>
    <n v="0.51594488188976373"/>
  </r>
  <r>
    <s v="ORD-01916"/>
    <x v="269"/>
    <s v="CUST-0173"/>
    <s v="PROD-043"/>
    <s v="R017"/>
    <n v="5"/>
    <n v="3350"/>
    <n v="2.2000000000000002"/>
    <n v="16381.5"/>
    <s v="Completed"/>
    <s v="Mumbai"/>
    <s v="Beauty"/>
    <m/>
    <s v="Retail"/>
    <n v="65"/>
    <m/>
    <m/>
    <m/>
    <m/>
  </r>
  <r>
    <s v="ORD-01917"/>
    <x v="77"/>
    <s v="CUST-0091"/>
    <s v="PROD-027"/>
    <s v="R014"/>
    <n v="1"/>
    <n v="3780"/>
    <n v="13.7"/>
    <n v="3262.14"/>
    <s v="Completed"/>
    <s v="Delhi"/>
    <s v="Grocery"/>
    <m/>
    <s v="Retail"/>
    <n v="55"/>
    <m/>
    <m/>
    <m/>
    <m/>
  </r>
  <r>
    <s v="ORD-01918"/>
    <x v="279"/>
    <s v="CUST-0142"/>
    <s v="PROD-046"/>
    <s v="R020"/>
    <n v="4"/>
    <n v="4880"/>
    <n v="11.6"/>
    <n v="17255.68"/>
    <s v="Completed"/>
    <s v="Chennai"/>
    <s v="Beauty"/>
    <m/>
    <s v="Corporate"/>
    <n v="55"/>
    <m/>
    <m/>
    <m/>
    <m/>
  </r>
  <r>
    <s v="ORD-01919"/>
    <x v="217"/>
    <s v="CUST-0011"/>
    <s v="PROD-048"/>
    <s v="R029"/>
    <n v="3"/>
    <n v="5100"/>
    <n v="24.2"/>
    <n v="11597.4"/>
    <s v="Completed"/>
    <s v=" Chennai "/>
    <s v="Beauty"/>
    <m/>
    <s v="Corporate"/>
    <n v="41"/>
    <m/>
    <m/>
    <m/>
    <m/>
  </r>
  <r>
    <s v="ORD-01920"/>
    <x v="287"/>
    <s v="CUST-0074"/>
    <s v="PROD-008"/>
    <s v="R023"/>
    <n v="5"/>
    <n v="2660"/>
    <n v="4.7"/>
    <n v="12674.9"/>
    <s v="Completed"/>
    <s v="Bengaluru"/>
    <s v="Electronics"/>
    <m/>
    <s v="Retail"/>
    <n v="27"/>
    <s v="West"/>
    <s v="Apr-24"/>
    <n v="1259"/>
    <n v="0.52669172932330832"/>
  </r>
  <r>
    <s v="ORD-01921"/>
    <x v="328"/>
    <s v="CUST-0131"/>
    <s v="PROD-023"/>
    <s v="R017"/>
    <n v="10"/>
    <n v="2380"/>
    <n v="1"/>
    <n v="23562"/>
    <s v="Completed"/>
    <s v="Delhi"/>
    <s v="Grocery"/>
    <m/>
    <s v="SMB"/>
    <n v="28"/>
    <s v="East"/>
    <s v="Dec-24"/>
    <n v="1182"/>
    <n v="0.50336134453781511"/>
  </r>
  <r>
    <s v="ORD-01922"/>
    <x v="223"/>
    <s v="CUST-0093"/>
    <s v="PROD-046"/>
    <s v="R002"/>
    <n v="9"/>
    <n v="4880"/>
    <n v="7.2"/>
    <n v="40757.760000000002"/>
    <s v="Completed"/>
    <s v="Pune"/>
    <s v="Beauty"/>
    <m/>
    <s v="Retail"/>
    <n v="36"/>
    <s v="East"/>
    <s v="Jun-24"/>
    <n v="2768"/>
    <n v="0.43278688524590164"/>
  </r>
  <r>
    <s v="ORD-01923"/>
    <x v="91"/>
    <s v="CUST-0229"/>
    <s v="PROD-031"/>
    <s v="R014"/>
    <n v="1"/>
    <n v="3730"/>
    <n v="15.3"/>
    <n v="3159.31"/>
    <s v="Completed"/>
    <s v="Hyderabad"/>
    <s v="Home"/>
    <m/>
    <s v="SMB"/>
    <n v="25"/>
    <s v="North"/>
    <s v="Sep-24"/>
    <n v="2135"/>
    <n v="0.42761394101876676"/>
  </r>
  <r>
    <s v="ORD-01924"/>
    <x v="33"/>
    <s v="CUST-0293"/>
    <s v="PROD-059"/>
    <s v="R003"/>
    <n v="10"/>
    <n v="3780"/>
    <n v="2.7"/>
    <n v="36779.4"/>
    <s v="Completed"/>
    <s v="Bengaluru"/>
    <s v="Sports"/>
    <m/>
    <s v="Retail"/>
    <n v="27"/>
    <s v="South"/>
    <s v="Apr-24"/>
    <n v="1860"/>
    <n v="0.50793650793650791"/>
  </r>
  <r>
    <s v="ORD-01925"/>
    <x v="257"/>
    <s v="CUST-0105"/>
    <s v="PROD-014"/>
    <s v="R023"/>
    <n v="2"/>
    <n v="3620"/>
    <n v="23"/>
    <n v="5574.8"/>
    <s v="Completed"/>
    <s v="Chennai"/>
    <s v="Apparel"/>
    <m/>
    <s v="SMB"/>
    <n v="51"/>
    <m/>
    <m/>
    <m/>
    <m/>
  </r>
  <r>
    <s v="ORD-01926"/>
    <x v="355"/>
    <s v="CUST-0003"/>
    <s v="PROD-034"/>
    <s v="R021"/>
    <n v="9"/>
    <n v="5080"/>
    <n v="19.899999999999999"/>
    <n v="36621.72"/>
    <s v="Completed"/>
    <s v="Mumbai"/>
    <s v="Home"/>
    <m/>
    <s v="Retail"/>
    <n v="33"/>
    <s v="East"/>
    <s v="Mar-24"/>
    <n v="2459"/>
    <n v="0.51594488188976373"/>
  </r>
  <r>
    <s v="ORD-01927"/>
    <x v="230"/>
    <s v="CUST-0092"/>
    <s v="PROD-018"/>
    <s v="R024"/>
    <n v="2"/>
    <n v="3560"/>
    <n v="5.5"/>
    <n v="6728.4"/>
    <s v="Completed"/>
    <s v="Bengaluru"/>
    <s v="Apparel"/>
    <m/>
    <s v="SMB"/>
    <n v="28"/>
    <s v="East"/>
    <s v="Sep-24"/>
    <n v="2629"/>
    <n v="0.26151685393258428"/>
  </r>
  <r>
    <s v="ORD-01928"/>
    <x v="134"/>
    <s v="CUST-0050"/>
    <s v="PROD-030"/>
    <s v="R001"/>
    <n v="6"/>
    <n v="970"/>
    <n v="22.5"/>
    <n v="4510.5"/>
    <s v="Refunded"/>
    <s v="Mumbai"/>
    <s v="Grocery"/>
    <m/>
    <s v="Retail"/>
    <n v="37"/>
    <s v="West"/>
    <s v="Sep-24"/>
    <n v="434"/>
    <n v="0.5525773195876289"/>
  </r>
  <r>
    <s v="ORD-01929"/>
    <x v="181"/>
    <s v="CUST-0237"/>
    <s v="PROD-043"/>
    <s v="R014"/>
    <n v="9"/>
    <n v="3350"/>
    <n v="5.0999999999999996"/>
    <n v="28612.35"/>
    <s v="Completed"/>
    <s v="Mumbai"/>
    <s v="Beauty"/>
    <m/>
    <s v="Retail"/>
    <n v="49"/>
    <m/>
    <m/>
    <m/>
    <m/>
  </r>
  <r>
    <s v="ORD-01930"/>
    <x v="283"/>
    <s v="CUST-9905"/>
    <s v="PROD-032"/>
    <s v="R011"/>
    <n v="6"/>
    <n v="370"/>
    <n v="17.8"/>
    <n v="1824.84"/>
    <s v="Completed"/>
    <s v="Mumbai"/>
    <s v="Home"/>
    <m/>
    <e v="#N/A"/>
    <e v="#N/A"/>
    <m/>
    <m/>
    <m/>
    <m/>
  </r>
  <r>
    <s v="ORD-01931"/>
    <x v="13"/>
    <s v="CUST-0175"/>
    <s v="PROD-024"/>
    <s v="R011"/>
    <n v="3"/>
    <n v="2270"/>
    <n v="8.4"/>
    <n v="6237.96"/>
    <s v="Pending"/>
    <s v="Delhi"/>
    <s v="Grocery"/>
    <m/>
    <s v="Corporate"/>
    <n v="55"/>
    <m/>
    <m/>
    <m/>
    <m/>
  </r>
  <r>
    <s v="ORD-01932"/>
    <x v="364"/>
    <s v="CUST-0271"/>
    <s v="PROD-051"/>
    <s v="R021"/>
    <n v="3"/>
    <n v="3450"/>
    <n v="7.2"/>
    <n v="9604.7999999999993"/>
    <s v="Completed"/>
    <s v="Bengaluru"/>
    <s v="Sports"/>
    <m/>
    <s v="Corporate"/>
    <n v="41"/>
    <m/>
    <m/>
    <m/>
    <m/>
  </r>
  <r>
    <s v="ORD-01933"/>
    <x v="142"/>
    <s v="CUST-0129"/>
    <s v="PROD-054"/>
    <s v="R008"/>
    <n v="9"/>
    <n v="1010"/>
    <n v="17.8"/>
    <n v="7471.98"/>
    <s v="Completed"/>
    <s v="Hyderabad"/>
    <s v="Sports"/>
    <m/>
    <s v="Retail"/>
    <n v="29"/>
    <s v="East"/>
    <s v="Jun-24"/>
    <n v="516"/>
    <n v="0.4891089108910891"/>
  </r>
  <r>
    <s v="ORD-01934"/>
    <x v="41"/>
    <s v="CUST-0156"/>
    <s v="PROD-039"/>
    <s v="R003"/>
    <n v="5"/>
    <n v="4610"/>
    <n v="29.8"/>
    <n v="16181.1"/>
    <s v="Cancelled"/>
    <s v="Mumbai"/>
    <s v="Home"/>
    <m/>
    <s v="Retail"/>
    <n v="33"/>
    <s v="North"/>
    <s v="Dec-24"/>
    <n v="1850"/>
    <n v="0.59869848156182215"/>
  </r>
  <r>
    <s v="ORD-01935"/>
    <x v="255"/>
    <s v="CUST-0048"/>
    <s v="PROD-032"/>
    <s v="R003"/>
    <n v="6"/>
    <n v="370"/>
    <n v="17.899999999999999"/>
    <n v="1822.62"/>
    <s v="Completed"/>
    <s v="Delhi"/>
    <s v="Home"/>
    <m/>
    <s v="Retail"/>
    <n v="59"/>
    <m/>
    <m/>
    <m/>
    <m/>
  </r>
  <r>
    <s v="ORD-01936"/>
    <x v="279"/>
    <s v="CUST-0224"/>
    <s v="PROD-023"/>
    <s v="R026"/>
    <n v="6"/>
    <n v="2380"/>
    <n v="13.6"/>
    <n v="12337.92"/>
    <s v="Cancelled"/>
    <s v="Chennai"/>
    <s v="Grocery"/>
    <m/>
    <s v="Corporate"/>
    <n v="24"/>
    <s v="North"/>
    <s v="Jul-24"/>
    <n v="1182"/>
    <n v="0.50336134453781511"/>
  </r>
  <r>
    <s v="ORD-01937"/>
    <x v="229"/>
    <s v="CUST-0101"/>
    <s v="PROD-049"/>
    <s v="R023"/>
    <n v="6"/>
    <n v="960"/>
    <n v="15"/>
    <n v="4896"/>
    <s v="Pending"/>
    <s v="Hyderabad"/>
    <s v="Beauty"/>
    <m/>
    <s v="SMB"/>
    <n v="40"/>
    <s v="West"/>
    <s v="Mar-24"/>
    <n v="675"/>
    <n v="0.296875"/>
  </r>
  <r>
    <s v="ORD-01938"/>
    <x v="124"/>
    <s v="CUST-0269"/>
    <s v="PROD-057"/>
    <s v="R002"/>
    <n v="3"/>
    <n v="960"/>
    <n v="12.3"/>
    <n v="2525.7600000000002"/>
    <s v="Completed"/>
    <s v="Pune"/>
    <s v="Sports"/>
    <m/>
    <s v="Retail"/>
    <n v="48"/>
    <m/>
    <m/>
    <m/>
    <m/>
  </r>
  <r>
    <s v="ORD-01939"/>
    <x v="3"/>
    <s v="CUST-0097"/>
    <s v="PROD-016"/>
    <s v="R029"/>
    <n v="7"/>
    <n v="620"/>
    <n v="5.8"/>
    <n v="4088.28"/>
    <s v="Completed"/>
    <s v="Mumbai"/>
    <s v="Apparel"/>
    <m/>
    <s v="Retail"/>
    <n v="65"/>
    <m/>
    <m/>
    <m/>
    <m/>
  </r>
  <r>
    <s v="ORD-01940"/>
    <x v="299"/>
    <s v="CUST-0062"/>
    <s v="PROD-057"/>
    <s v="R020"/>
    <n v="1"/>
    <n v="960"/>
    <n v="4.5999999999999996"/>
    <n v="915.84"/>
    <s v="Completed"/>
    <s v="Pune"/>
    <s v="Sports"/>
    <m/>
    <s v="Retail"/>
    <n v="54"/>
    <m/>
    <m/>
    <m/>
    <m/>
  </r>
  <r>
    <s v="ORD-01941"/>
    <x v="226"/>
    <s v="CUST-0124"/>
    <s v="PROD-047"/>
    <s v="R028"/>
    <n v="4"/>
    <n v="3450"/>
    <n v="13.3"/>
    <n v="11964.6"/>
    <s v="Completed"/>
    <s v="Pune"/>
    <s v="Beauty"/>
    <m/>
    <s v="Retail"/>
    <n v="57"/>
    <m/>
    <m/>
    <m/>
    <m/>
  </r>
  <r>
    <s v="ORD-01942"/>
    <x v="17"/>
    <s v="CUST-0185"/>
    <s v="PROD-015"/>
    <s v="R019"/>
    <n v="10"/>
    <n v="2720"/>
    <n v="3.4"/>
    <n v="26275.200000000001"/>
    <s v="Completed"/>
    <s v="Hyderabad"/>
    <s v="Apparel"/>
    <m/>
    <s v="SMB"/>
    <n v="43"/>
    <m/>
    <m/>
    <m/>
    <m/>
  </r>
  <r>
    <s v="ORD-01943"/>
    <x v="358"/>
    <s v="CUST-0115"/>
    <s v="PROD-047"/>
    <s v="R019"/>
    <n v="1"/>
    <n v="3450"/>
    <n v="29.4"/>
    <n v="2435.6999999999998"/>
    <s v="Completed"/>
    <s v="Mumbai"/>
    <s v="Beauty"/>
    <m/>
    <s v="SMB"/>
    <n v="65"/>
    <m/>
    <m/>
    <m/>
    <m/>
  </r>
  <r>
    <s v="ORD-01944"/>
    <x v="201"/>
    <s v="CUST-0097"/>
    <s v="PROD-044"/>
    <s v="R024"/>
    <n v="5"/>
    <n v="1650"/>
    <n v="29.4"/>
    <n v="5824.5"/>
    <s v="Completed"/>
    <s v="Mumbai"/>
    <s v="Beauty"/>
    <m/>
    <s v="Retail"/>
    <n v="65"/>
    <m/>
    <m/>
    <m/>
    <m/>
  </r>
  <r>
    <s v="ORD-01945"/>
    <x v="167"/>
    <s v="CUST-0221"/>
    <s v="PROD-014"/>
    <s v="R009"/>
    <n v="2"/>
    <n v="3620"/>
    <n v="15.6"/>
    <n v="6110.56"/>
    <s v="Completed"/>
    <s v="Delhi"/>
    <s v="Apparel"/>
    <m/>
    <s v="SMB"/>
    <n v="29"/>
    <s v="West"/>
    <s v="Aug-24"/>
    <n v="2509"/>
    <n v="0.3069060773480663"/>
  </r>
  <r>
    <s v="ORD-01946"/>
    <x v="95"/>
    <s v="CUST-0098"/>
    <s v="PROD-005"/>
    <s v="R012"/>
    <n v="3"/>
    <n v="300"/>
    <n v="24.8"/>
    <n v="676.8"/>
    <s v="Completed"/>
    <s v="Delhi"/>
    <s v="Electronics"/>
    <m/>
    <s v="Retail"/>
    <n v="52"/>
    <m/>
    <m/>
    <m/>
    <m/>
  </r>
  <r>
    <s v="ORD-01947"/>
    <x v="200"/>
    <s v="CUST-0203"/>
    <s v="PROD-041"/>
    <s v="R001"/>
    <n v="3"/>
    <n v="1540"/>
    <n v="29.5"/>
    <n v="3257.1"/>
    <s v="Completed"/>
    <s v="Chennai"/>
    <s v="Beauty"/>
    <m/>
    <s v="SMB"/>
    <n v="55"/>
    <m/>
    <m/>
    <m/>
    <m/>
  </r>
  <r>
    <s v="ORD-01948"/>
    <x v="317"/>
    <s v="CUST-0074"/>
    <s v="PROD-024"/>
    <s v="R019"/>
    <n v="10"/>
    <n v="2270"/>
    <n v="5.5"/>
    <n v="21451.5"/>
    <s v="Cancelled"/>
    <s v="Bengaluru"/>
    <s v="Grocery"/>
    <m/>
    <s v="Retail"/>
    <n v="27"/>
    <s v="North"/>
    <s v="Feb-24"/>
    <n v="1203"/>
    <n v="0.47004405286343615"/>
  </r>
  <r>
    <s v="ORD-01949"/>
    <x v="154"/>
    <s v="CUST-0217"/>
    <s v="PROD-010"/>
    <s v="R008"/>
    <n v="3"/>
    <n v="2640"/>
    <n v="28.2"/>
    <n v="5686.56"/>
    <s v="Refunded"/>
    <s v="Pune"/>
    <s v="Electronics"/>
    <m/>
    <s v="SMB"/>
    <n v="59"/>
    <m/>
    <m/>
    <m/>
    <m/>
  </r>
  <r>
    <s v="ORD-01950"/>
    <x v="11"/>
    <s v="CUST-0021"/>
    <s v="PROD-010"/>
    <s v="R015"/>
    <n v="10"/>
    <n v="2640"/>
    <n v="25.9"/>
    <n v="19562.400000000001"/>
    <s v="Completed"/>
    <s v="Pune"/>
    <s v="Electronics"/>
    <m/>
    <s v="Retail"/>
    <n v="44"/>
    <m/>
    <m/>
    <m/>
    <m/>
  </r>
  <r>
    <s v="ORD-01951"/>
    <x v="152"/>
    <s v="CUST-0004"/>
    <s v="PROD-007"/>
    <s v="R030"/>
    <n v="2"/>
    <n v="1430"/>
    <n v="5"/>
    <n v="2717"/>
    <s v="Cancelled"/>
    <s v="Delhi"/>
    <s v="Electronics"/>
    <m/>
    <s v="Retail"/>
    <n v="30"/>
    <s v="South"/>
    <s v="Aug-24"/>
    <n v="861"/>
    <n v="0.39790209790209791"/>
  </r>
  <r>
    <s v="ORD-01952"/>
    <x v="221"/>
    <s v="CUST-0080"/>
    <s v="PROD-003"/>
    <s v="R020"/>
    <n v="6"/>
    <n v="3570"/>
    <n v="28.5"/>
    <n v="15315.3"/>
    <s v="Cancelled"/>
    <s v="Pune"/>
    <s v="Electronics"/>
    <m/>
    <s v="SMB"/>
    <n v="30"/>
    <s v="West"/>
    <s v="Sep-24"/>
    <n v="1665"/>
    <n v="0.53361344537815125"/>
  </r>
  <r>
    <s v="ORD-01953"/>
    <x v="328"/>
    <s v="CUST-0113"/>
    <s v="PROD-003"/>
    <s v="R024"/>
    <n v="1"/>
    <n v="3570"/>
    <n v="7.7"/>
    <n v="3295.11"/>
    <s v="Completed"/>
    <s v="Delhi"/>
    <s v="Electronics"/>
    <m/>
    <s v="Retail"/>
    <n v="30"/>
    <s v="East"/>
    <s v="Nov-24"/>
    <n v="1665"/>
    <n v="0.53361344537815125"/>
  </r>
  <r>
    <s v="ORD-01954"/>
    <x v="312"/>
    <s v="CUST-0023"/>
    <s v="PROD-004"/>
    <s v="R030"/>
    <n v="9"/>
    <n v="3870"/>
    <n v="11.9"/>
    <n v="30685.23"/>
    <s v="Cancelled"/>
    <s v="Chennai"/>
    <s v="Electronics"/>
    <m/>
    <s v="SMB"/>
    <n v="43"/>
    <m/>
    <m/>
    <m/>
    <m/>
  </r>
  <r>
    <s v="ORD-01955"/>
    <x v="50"/>
    <s v="CUST-0136"/>
    <s v="PROD-056"/>
    <s v="R014"/>
    <n v="5"/>
    <n v="6940"/>
    <n v="17.399999999999999"/>
    <n v="28662.2"/>
    <s v="Completed"/>
    <s v="Chennai"/>
    <s v="Sports"/>
    <m/>
    <s v="SMB"/>
    <n v="26"/>
    <s v="West"/>
    <s v="Mar-24"/>
    <n v="2827"/>
    <n v="0.5926512968299712"/>
  </r>
  <r>
    <s v="ORD-01956"/>
    <x v="42"/>
    <s v="CUST-0031"/>
    <s v="PROD-032"/>
    <s v="R026"/>
    <n v="6"/>
    <n v="370"/>
    <n v="8.1"/>
    <n v="2040.18"/>
    <s v="Cancelled"/>
    <s v="Hyderabad"/>
    <s v="Home"/>
    <m/>
    <s v="Retail"/>
    <n v="53"/>
    <m/>
    <m/>
    <m/>
    <m/>
  </r>
  <r>
    <s v="ORD-01957"/>
    <x v="0"/>
    <s v="CUST-0175"/>
    <s v="PROD-018"/>
    <s v="R027"/>
    <n v="8"/>
    <n v="3560"/>
    <n v="23.3"/>
    <n v="21844.16"/>
    <s v="Completed"/>
    <s v="Delhi"/>
    <s v="Apparel"/>
    <m/>
    <s v="Corporate"/>
    <n v="55"/>
    <m/>
    <m/>
    <m/>
    <m/>
  </r>
  <r>
    <s v="ORD-01958"/>
    <x v="142"/>
    <s v="CUST-0249"/>
    <s v="PROD-009"/>
    <s v="R028"/>
    <n v="4"/>
    <n v="1220"/>
    <n v="2.7"/>
    <n v="4748.24"/>
    <s v="Completed"/>
    <s v="Mumbai"/>
    <s v="Electronics"/>
    <m/>
    <s v="Retail"/>
    <n v="44"/>
    <m/>
    <m/>
    <m/>
    <m/>
  </r>
  <r>
    <s v="ORD-01959"/>
    <x v="311"/>
    <s v="CUST-0138"/>
    <s v="PROD-026"/>
    <s v="R020"/>
    <n v="10"/>
    <n v="4070"/>
    <n v="11.6"/>
    <n v="35978.800000000003"/>
    <s v="Completed"/>
    <s v="Chennai"/>
    <s v="Grocery"/>
    <m/>
    <s v="Retail"/>
    <n v="24"/>
    <s v="West"/>
    <s v="Dec-24"/>
    <n v="2027"/>
    <n v="0.50196560196560192"/>
  </r>
  <r>
    <s v="ORD-01960"/>
    <x v="260"/>
    <s v="CUST-0290"/>
    <s v="PROD-028"/>
    <s v="R019"/>
    <n v="10"/>
    <n v="3660"/>
    <n v="28.8"/>
    <n v="26059.200000000001"/>
    <s v="Completed"/>
    <s v="Delhi"/>
    <s v="Grocery"/>
    <m/>
    <s v="Retail"/>
    <n v="63"/>
    <m/>
    <m/>
    <m/>
    <m/>
  </r>
  <r>
    <s v="ORD-01961"/>
    <x v="121"/>
    <s v="CUST-0151"/>
    <s v="PROD-034"/>
    <s v="R018"/>
    <n v="5"/>
    <n v="5080"/>
    <n v="12.1"/>
    <n v="22326.6"/>
    <s v="Completed"/>
    <s v="Mumbai"/>
    <s v="Home"/>
    <m/>
    <s v="Retail"/>
    <n v="53"/>
    <m/>
    <m/>
    <m/>
    <m/>
  </r>
  <r>
    <s v="ORD-01962"/>
    <x v="200"/>
    <s v="CUST-0290"/>
    <s v="PROD-039"/>
    <s v="R013"/>
    <n v="10"/>
    <n v="4610"/>
    <n v="22.5"/>
    <n v="35727.5"/>
    <s v="Completed"/>
    <s v="Delhi"/>
    <s v="Home"/>
    <m/>
    <s v="Retail"/>
    <n v="63"/>
    <m/>
    <m/>
    <m/>
    <m/>
  </r>
  <r>
    <s v="ORD-01963"/>
    <x v="58"/>
    <s v="CUST-0074"/>
    <s v="PROD-008"/>
    <s v="R007"/>
    <n v="3"/>
    <n v="2660"/>
    <n v="15"/>
    <n v="6783"/>
    <s v="Completed"/>
    <s v="Bengaluru"/>
    <s v="Electronics"/>
    <m/>
    <s v="Retail"/>
    <n v="27"/>
    <s v="South"/>
    <s v="Feb-24"/>
    <n v="1259"/>
    <n v="0.52669172932330832"/>
  </r>
  <r>
    <s v="ORD-01964"/>
    <x v="360"/>
    <s v="CUST-0295"/>
    <s v="PROD-012"/>
    <s v="R006"/>
    <n v="5"/>
    <n v="3160"/>
    <n v="1.3"/>
    <n v="15594.6"/>
    <s v="Completed"/>
    <s v="Delhi"/>
    <s v="Apparel"/>
    <m/>
    <s v="SMB"/>
    <n v="48"/>
    <m/>
    <m/>
    <m/>
    <m/>
  </r>
  <r>
    <s v="ORD-01965"/>
    <x v="354"/>
    <s v="CUST-0132"/>
    <s v="PROD-032"/>
    <s v="R004"/>
    <n v="10"/>
    <n v="370"/>
    <n v="29"/>
    <n v="2627"/>
    <s v="Completed"/>
    <s v="Delhi"/>
    <s v="Home"/>
    <m/>
    <s v="Retail"/>
    <n v="41"/>
    <m/>
    <m/>
    <m/>
    <m/>
  </r>
  <r>
    <s v="ORD-01966"/>
    <x v="243"/>
    <s v="CUST-0289"/>
    <s v="PROD-054"/>
    <s v="R008"/>
    <n v="10"/>
    <n v="1010"/>
    <n v="14.1"/>
    <n v="8675.9"/>
    <s v="Refunded"/>
    <s v="Mumbai"/>
    <s v="Sports"/>
    <m/>
    <s v="Retail"/>
    <n v="54"/>
    <m/>
    <m/>
    <m/>
    <m/>
  </r>
  <r>
    <s v="ORD-01967"/>
    <x v="261"/>
    <s v="CUST-0139"/>
    <s v="PROD-018"/>
    <s v="R030"/>
    <n v="3"/>
    <n v="3560"/>
    <n v="23.6"/>
    <n v="8159.52"/>
    <s v="Completed"/>
    <s v="Hyderabad"/>
    <s v="Apparel"/>
    <m/>
    <s v="SMB"/>
    <n v="65"/>
    <m/>
    <m/>
    <m/>
    <m/>
  </r>
  <r>
    <s v="ORD-01968"/>
    <x v="1"/>
    <s v="CUST-0032"/>
    <s v="PROD-009"/>
    <s v="R028"/>
    <n v="9"/>
    <n v="1220"/>
    <n v="16.600000000000001"/>
    <n v="9157.32"/>
    <s v="Completed"/>
    <s v="Hyderabad"/>
    <s v="Electronics"/>
    <m/>
    <s v="Retail"/>
    <n v="28"/>
    <s v="West"/>
    <s v="Oct-24"/>
    <n v="517"/>
    <n v="0.57622950819672136"/>
  </r>
  <r>
    <s v="ORD-01969"/>
    <x v="30"/>
    <s v="CUST-0109"/>
    <s v="PROD-060"/>
    <s v="R008"/>
    <n v="8"/>
    <n v="190"/>
    <n v="22.3"/>
    <n v="1181.04"/>
    <s v="Completed"/>
    <s v="Pune"/>
    <s v="Sports"/>
    <m/>
    <s v="Retail"/>
    <n v="42"/>
    <m/>
    <m/>
    <m/>
    <m/>
  </r>
  <r>
    <s v="ORD-01970"/>
    <x v="290"/>
    <s v="CUST-0224"/>
    <s v="PROD-054"/>
    <s v="R002"/>
    <n v="2"/>
    <n v="1010"/>
    <n v="3.8"/>
    <n v="1943.24"/>
    <s v="Completed"/>
    <s v="Chennai"/>
    <s v="Sports"/>
    <m/>
    <s v="Corporate"/>
    <n v="24"/>
    <s v="North"/>
    <s v="Feb-24"/>
    <n v="516"/>
    <n v="0.4891089108910891"/>
  </r>
  <r>
    <s v="ORD-01971"/>
    <x v="96"/>
    <s v="CUST-0038"/>
    <s v="PROD-002"/>
    <s v="R009"/>
    <n v="4"/>
    <n v="2600"/>
    <n v="29.1"/>
    <n v="7373.6"/>
    <s v="Completed"/>
    <s v="Mumbai"/>
    <s v="Electronics"/>
    <m/>
    <s v="Retail"/>
    <n v="57"/>
    <m/>
    <m/>
    <m/>
    <m/>
  </r>
  <r>
    <s v="ORD-01972"/>
    <x v="25"/>
    <s v="CUST-0132"/>
    <s v="PROD-011"/>
    <s v="R029"/>
    <n v="7"/>
    <n v="3450"/>
    <n v="4"/>
    <n v="23184"/>
    <s v="Completed"/>
    <s v="Delhi"/>
    <s v="Apparel"/>
    <m/>
    <s v="Retail"/>
    <n v="41"/>
    <m/>
    <m/>
    <m/>
    <m/>
  </r>
  <r>
    <s v="ORD-01973"/>
    <x v="288"/>
    <s v="CUST-0226"/>
    <s v="PROD-017"/>
    <s v="R019"/>
    <n v="6"/>
    <n v="2510"/>
    <n v="12.7"/>
    <n v="13147.38"/>
    <s v="Completed"/>
    <s v="Chennai"/>
    <s v="Apparel"/>
    <m/>
    <s v="Corporate"/>
    <n v="52"/>
    <m/>
    <m/>
    <m/>
    <m/>
  </r>
  <r>
    <s v="ORD-01974"/>
    <x v="9"/>
    <s v="CUST-0275"/>
    <s v="PROD-060"/>
    <s v="R027"/>
    <n v="6"/>
    <n v="190"/>
    <n v="20"/>
    <n v="912"/>
    <s v="Cancelled"/>
    <s v="Mumbai"/>
    <s v="Sports"/>
    <m/>
    <s v="Retail"/>
    <n v="36"/>
    <s v="East"/>
    <s v="Jan-24"/>
    <n v="147"/>
    <n v="0.22631578947368422"/>
  </r>
  <r>
    <s v="ORD-01975"/>
    <x v="201"/>
    <s v="CUST-0109"/>
    <s v="PROD-044"/>
    <s v="R029"/>
    <n v="10"/>
    <n v="1650"/>
    <n v="21.5"/>
    <n v="12952.5"/>
    <s v="Completed"/>
    <s v="Pune"/>
    <s v="Beauty"/>
    <m/>
    <s v="Retail"/>
    <n v="42"/>
    <m/>
    <m/>
    <m/>
    <m/>
  </r>
  <r>
    <s v="ORD-01976"/>
    <x v="112"/>
    <s v="CUST-0281"/>
    <s v="PROD-055"/>
    <s v="R009"/>
    <n v="4"/>
    <n v="2860"/>
    <n v="15.2"/>
    <n v="9701.1200000000008"/>
    <s v="Completed"/>
    <s v="Bengaluru"/>
    <s v="Sports"/>
    <m/>
    <s v="Corporate"/>
    <n v="57"/>
    <m/>
    <m/>
    <m/>
    <m/>
  </r>
  <r>
    <s v="ORD-01977"/>
    <x v="55"/>
    <s v="CUST-0174"/>
    <s v="PROD-053"/>
    <s v="R028"/>
    <n v="3"/>
    <n v="470"/>
    <n v="14.2"/>
    <n v="1209.78"/>
    <s v="Completed"/>
    <s v="Pune"/>
    <s v="Sports"/>
    <m/>
    <s v="Retail"/>
    <n v="54"/>
    <m/>
    <m/>
    <m/>
    <m/>
  </r>
  <r>
    <s v="ORD-01978"/>
    <x v="277"/>
    <s v="CUST-0103"/>
    <s v="PROD-055"/>
    <s v="R030"/>
    <n v="2"/>
    <n v="2860"/>
    <n v="17.899999999999999"/>
    <n v="4696.12"/>
    <s v="Completed"/>
    <s v="Hyderabad"/>
    <s v="Sports"/>
    <m/>
    <s v="Corporate"/>
    <n v="54"/>
    <m/>
    <m/>
    <m/>
    <m/>
  </r>
  <r>
    <s v="ORD-01979"/>
    <x v="192"/>
    <s v="CUST-0076"/>
    <s v="PROD-019"/>
    <s v="R018"/>
    <n v="2"/>
    <n v="2480"/>
    <n v="11.5"/>
    <n v="4389.6000000000004"/>
    <s v="Cancelled"/>
    <s v="Mumbai"/>
    <s v="Apparel"/>
    <m/>
    <s v="Retail"/>
    <n v="38"/>
    <s v="West"/>
    <s v="Jun-24"/>
    <n v="1173"/>
    <n v="0.52701612903225803"/>
  </r>
  <r>
    <s v="ORD-01980"/>
    <x v="208"/>
    <s v="CUST-0227"/>
    <s v="PROD-033"/>
    <s v="R006"/>
    <n v="10"/>
    <n v="2030"/>
    <n v="29.2"/>
    <n v="14372.4"/>
    <s v="Completed"/>
    <s v="Bengaluru"/>
    <s v="Home"/>
    <m/>
    <s v="SMB"/>
    <n v="44"/>
    <m/>
    <m/>
    <m/>
    <m/>
  </r>
  <r>
    <s v="ORD-01981"/>
    <x v="135"/>
    <s v="CUST-0006"/>
    <s v="PROD-047"/>
    <s v="R012"/>
    <n v="6"/>
    <n v="3450"/>
    <n v="3.5"/>
    <n v="19975.5"/>
    <s v="Refunded"/>
    <s v="Pune"/>
    <s v="Beauty"/>
    <m/>
    <s v="SMB"/>
    <n v="44"/>
    <m/>
    <m/>
    <m/>
    <m/>
  </r>
  <r>
    <s v="ORD-01982"/>
    <x v="320"/>
    <s v="CUST-0231"/>
    <s v="PROD-007"/>
    <s v="R011"/>
    <n v="10"/>
    <n v="1430"/>
    <n v="3.5"/>
    <n v="13799.5"/>
    <s v="Completed"/>
    <s v="Chennai"/>
    <s v="Electronics"/>
    <m/>
    <s v="Retail"/>
    <n v="61"/>
    <m/>
    <m/>
    <m/>
    <m/>
  </r>
  <r>
    <s v="ORD-01983"/>
    <x v="124"/>
    <s v="CUST-0085"/>
    <s v="PROD-020"/>
    <s v="R017"/>
    <n v="1"/>
    <n v="820"/>
    <n v="14.5"/>
    <n v="701.1"/>
    <s v="Cancelled"/>
    <s v="Chennai"/>
    <s v="Apparel"/>
    <m/>
    <s v="Retail"/>
    <n v="26"/>
    <s v="South"/>
    <s v="Mar-24"/>
    <n v="391"/>
    <n v="0.52317073170731709"/>
  </r>
  <r>
    <s v="ORD-01984"/>
    <x v="144"/>
    <s v="CUST-0022"/>
    <s v="PROD-046"/>
    <s v="R023"/>
    <n v="5"/>
    <n v="4880"/>
    <n v="1.8"/>
    <n v="23960.799999999999"/>
    <s v="Completed"/>
    <s v="Bengaluru"/>
    <s v="Beauty"/>
    <m/>
    <s v="Corporate"/>
    <n v="55"/>
    <m/>
    <m/>
    <m/>
    <m/>
  </r>
  <r>
    <s v="ORD-01985"/>
    <x v="217"/>
    <s v="CUST-0275"/>
    <s v="PROD-043"/>
    <s v="R016"/>
    <n v="8"/>
    <n v="3350"/>
    <n v="26.3"/>
    <n v="19751.599999999999"/>
    <s v="Cancelled"/>
    <s v="Mumbai"/>
    <s v="Beauty"/>
    <m/>
    <s v="Retail"/>
    <n v="36"/>
    <s v="East"/>
    <s v="Feb-24"/>
    <n v="1728"/>
    <n v="0.48417910447761192"/>
  </r>
  <r>
    <s v="ORD-01986"/>
    <x v="129"/>
    <s v="CUST-0159"/>
    <s v="PROD-019"/>
    <s v="R022"/>
    <n v="9"/>
    <n v="2480"/>
    <n v="24.3"/>
    <n v="16896.240000000002"/>
    <s v="Completed"/>
    <s v="Hyderabad"/>
    <s v="Apparel"/>
    <m/>
    <s v="Retail"/>
    <n v="32"/>
    <s v="South"/>
    <s v="Apr-24"/>
    <n v="1173"/>
    <n v="0.52701612903225803"/>
  </r>
  <r>
    <s v="ORD-01987"/>
    <x v="66"/>
    <s v="CUST-0152"/>
    <s v="PROD-039"/>
    <s v="R024"/>
    <n v="9"/>
    <n v="4610"/>
    <n v="10"/>
    <n v="37341"/>
    <s v="Completed"/>
    <s v="Bengaluru"/>
    <s v="Home"/>
    <m/>
    <s v="SMB"/>
    <n v="64"/>
    <m/>
    <m/>
    <m/>
    <m/>
  </r>
  <r>
    <s v="ORD-01988"/>
    <x v="132"/>
    <s v="CUST-0289"/>
    <s v="PROD-027"/>
    <s v="R004"/>
    <n v="1"/>
    <n v="3780"/>
    <n v="2.2000000000000002"/>
    <n v="3696.84"/>
    <s v="Completed"/>
    <s v="Mumbai"/>
    <s v="Grocery"/>
    <m/>
    <s v="Retail"/>
    <n v="54"/>
    <m/>
    <m/>
    <m/>
    <m/>
  </r>
  <r>
    <s v="ORD-01989"/>
    <x v="24"/>
    <s v="CUST-0004"/>
    <s v="PROD-045"/>
    <s v="R026"/>
    <n v="3"/>
    <n v="3020"/>
    <n v="21.4"/>
    <n v="7121.16"/>
    <s v="Cancelled"/>
    <s v="Delhi"/>
    <s v="Beauty"/>
    <m/>
    <s v="Retail"/>
    <n v="53"/>
    <m/>
    <m/>
    <m/>
    <m/>
  </r>
  <r>
    <s v="ORD-01990"/>
    <x v="218"/>
    <s v="CUST-0159"/>
    <s v="PROD-035"/>
    <s v="R006"/>
    <n v="10"/>
    <n v="1090"/>
    <n v="29.2"/>
    <n v="7717.2"/>
    <s v="Cancelled"/>
    <s v="Hyderabad"/>
    <s v="Home"/>
    <m/>
    <s v="Retail"/>
    <n v="32"/>
    <s v="West"/>
    <s v="Apr-24"/>
    <n v="464"/>
    <n v="0.57431192660550456"/>
  </r>
  <r>
    <s v="ORD-01991"/>
    <x v="48"/>
    <s v="CUST-0083"/>
    <s v="PROD-048"/>
    <s v="R013"/>
    <n v="5"/>
    <n v="5100"/>
    <n v="28.4"/>
    <n v="18258"/>
    <s v="Completed"/>
    <s v="Bengaluru"/>
    <s v="Beauty"/>
    <m/>
    <s v="Corporate"/>
    <n v="31"/>
    <s v="North"/>
    <s v="Dec-24"/>
    <n v="2237"/>
    <n v="0.56137254901960787"/>
  </r>
  <r>
    <s v="ORD-01992"/>
    <x v="279"/>
    <s v="CUST-0242"/>
    <s v="PROD-046"/>
    <s v="R008"/>
    <n v="6"/>
    <n v="4880"/>
    <n v="16.8"/>
    <n v="24360.959999999999"/>
    <s v="Completed"/>
    <s v="Chennai"/>
    <s v="Beauty"/>
    <m/>
    <s v="SMB"/>
    <n v="59"/>
    <m/>
    <m/>
    <m/>
    <m/>
  </r>
  <r>
    <s v="ORD-01993"/>
    <x v="310"/>
    <s v="CUST-0245"/>
    <s v="PROD-001"/>
    <s v="R027"/>
    <n v="1"/>
    <n v="5330"/>
    <n v="27.5"/>
    <n v="3864.25"/>
    <s v="Completed"/>
    <s v="Hyderabad"/>
    <s v="Electronics"/>
    <m/>
    <s v="Retail"/>
    <n v="65"/>
    <m/>
    <m/>
    <m/>
    <m/>
  </r>
  <r>
    <s v="ORD-01994"/>
    <x v="302"/>
    <s v="CUST-0008"/>
    <s v="PROD-033"/>
    <s v="R029"/>
    <n v="7"/>
    <n v="2030"/>
    <n v="5.3"/>
    <n v="13456.87"/>
    <s v="Cancelled"/>
    <s v="Pune"/>
    <s v="Home"/>
    <m/>
    <s v="SMB"/>
    <n v="39"/>
    <s v="West"/>
    <s v="Jun-24"/>
    <n v="1143"/>
    <n v="0.43694581280788175"/>
  </r>
  <r>
    <s v="ORD-01995"/>
    <x v="107"/>
    <s v="CUST-0260"/>
    <s v="PROD-043"/>
    <s v="R024"/>
    <n v="7"/>
    <n v="3350"/>
    <n v="0.4"/>
    <n v="23356.2"/>
    <s v="Completed"/>
    <s v="Bengaluru"/>
    <s v="Beauty"/>
    <m/>
    <s v="Retail"/>
    <n v="42"/>
    <m/>
    <m/>
    <m/>
    <m/>
  </r>
  <r>
    <s v="ORD-01996"/>
    <x v="346"/>
    <s v="CUST-0265"/>
    <s v="PROD-031"/>
    <s v="R015"/>
    <n v="6"/>
    <n v="3730"/>
    <n v="13.8"/>
    <n v="19291.560000000001"/>
    <s v="Completed"/>
    <s v="Chennai"/>
    <s v="Home"/>
    <m/>
    <s v="Retail"/>
    <n v="49"/>
    <m/>
    <m/>
    <m/>
    <m/>
  </r>
  <r>
    <s v="ORD-01997"/>
    <x v="65"/>
    <s v="CUST-0135"/>
    <s v="PROD-006"/>
    <s v="R017"/>
    <n v="6"/>
    <n v="3970"/>
    <n v="5.8"/>
    <n v="22438.44"/>
    <s v="Pending"/>
    <s v="Pune"/>
    <s v="Electronics"/>
    <m/>
    <s v="SMB"/>
    <n v="24"/>
    <s v="South"/>
    <s v="Jan-24"/>
    <n v="2865"/>
    <n v="0.278337531486146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Practice Sheet" cacheId="25" applyNumberFormats="0" applyBorderFormats="0" applyFontFormats="0" applyPatternFormats="0" applyAlignmentFormats="0" applyWidthHeightFormats="0" dataCaption="" updatedVersion="8" compact="0" compactData="0">
  <location ref="A3:B34" firstHeaderRow="1" firstDataRow="1" firstDataCol="1"/>
  <pivotFields count="11">
    <pivotField name="order_id" compact="0" outline="0" multipleItemSelectionAllowed="1" showAll="0"/>
    <pivotField name="order_date" compact="0" numFmtId="164" outline="0" multipleItemSelectionAllowed="1" showAll="0"/>
    <pivotField name="customer_id" compact="0" outline="0" multipleItemSelectionAllowed="1" showAll="0"/>
    <pivotField name="product_id" compact="0" outline="0" multipleItemSelectionAllowed="1" showAll="0"/>
    <pivotField name="sales_rep_id" axis="axisRow" compact="0" outline="0" multipleItemSelectionAllowed="1" showAll="0" sortType="de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quantity" compact="0" outline="0" multipleItemSelectionAllowed="1" showAll="0"/>
    <pivotField name="unit_price" compact="0" outline="0" multipleItemSelectionAllowed="1" showAll="0"/>
    <pivotField name="discount_pct" compact="0" outline="0" multipleItemSelectionAllowed="1" showAll="0"/>
    <pivotField name="final_amount" dataField="1" compact="0" outline="0" multipleItemSelectionAllowed="1" showAll="0"/>
    <pivotField name="payment_status" compact="0" outline="0" multipleItemSelectionAllowed="1" showAll="0"/>
    <pivotField name="ship_city" compact="0" outline="0" multipleItemSelectionAllowed="1" showAll="0"/>
  </pivotFields>
  <rowFields count="1">
    <field x="4"/>
  </rowFields>
  <rowItems count="31">
    <i>
      <x v="3"/>
    </i>
    <i>
      <x v="26"/>
    </i>
    <i>
      <x v="15"/>
    </i>
    <i>
      <x v="24"/>
    </i>
    <i>
      <x v="20"/>
    </i>
    <i>
      <x v="2"/>
    </i>
    <i>
      <x v="11"/>
    </i>
    <i>
      <x v="12"/>
    </i>
    <i>
      <x v="25"/>
    </i>
    <i>
      <x v="7"/>
    </i>
    <i>
      <x v="28"/>
    </i>
    <i>
      <x v="18"/>
    </i>
    <i>
      <x v="16"/>
    </i>
    <i>
      <x v="27"/>
    </i>
    <i>
      <x v="5"/>
    </i>
    <i>
      <x v="8"/>
    </i>
    <i>
      <x v="9"/>
    </i>
    <i>
      <x v="4"/>
    </i>
    <i>
      <x/>
    </i>
    <i>
      <x v="6"/>
    </i>
    <i>
      <x v="29"/>
    </i>
    <i>
      <x v="22"/>
    </i>
    <i>
      <x v="19"/>
    </i>
    <i>
      <x v="1"/>
    </i>
    <i>
      <x v="21"/>
    </i>
    <i>
      <x v="13"/>
    </i>
    <i>
      <x v="14"/>
    </i>
    <i>
      <x v="23"/>
    </i>
    <i>
      <x v="10"/>
    </i>
    <i>
      <x v="17"/>
    </i>
    <i t="grand">
      <x/>
    </i>
  </rowItems>
  <colItems count="1">
    <i/>
  </colItems>
  <dataFields count="1">
    <dataField name="Sum of final_amount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2000000}" name="Practice sheet 2" cacheId="21" applyNumberFormats="0" applyBorderFormats="0" applyFontFormats="0" applyPatternFormats="0" applyAlignmentFormats="0" applyWidthHeightFormats="0" dataCaption="" updatedVersion="8" compact="0" compactData="0">
  <location ref="A3:H10" firstHeaderRow="1" firstDataRow="2" firstDataCol="1"/>
  <pivotFields count="16">
    <pivotField name="order_id" compact="0" outline="0" multipleItemSelectionAllowed="1" showAll="0"/>
    <pivotField name="order_date" compact="0" numFmtId="164" outline="0" multipleItemSelectionAllowed="1" showAll="0"/>
    <pivotField name="customer_id" compact="0" outline="0" multipleItemSelectionAllowed="1" showAll="0"/>
    <pivotField name="product_id" compact="0" outline="0" multipleItemSelectionAllowed="1" showAll="0"/>
    <pivotField name="sales_rep_id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discount_pct" compact="0" outline="0" multipleItemSelectionAllowed="1" showAll="0"/>
    <pivotField name="final_amount" dataField="1" compact="0" outline="0" multipleItemSelectionAllowed="1" showAll="0"/>
    <pivotField name="payment_status" compact="0" outline="0" multipleItemSelectionAllowed="1" showAll="0"/>
    <pivotField name="ship_city" compact="0" outline="0" multipleItemSelectionAllowed="1" showAll="0"/>
    <pivotField name="category" axis="axisCol" compact="0" outline="0" multipleItemSelectionAllowed="1" showAll="0" sortType="ascending">
      <items count="7">
        <item x="0"/>
        <item x="5"/>
        <item x="4"/>
        <item x="2"/>
        <item x="3"/>
        <item x="1"/>
        <item t="default"/>
      </items>
    </pivotField>
    <pivotField name=" " compact="0" outline="0" multipleItemSelectionAllowed="1" showAll="0"/>
    <pivotField name="segment" compact="0" outline="0" multipleItemSelectionAllowed="1" showAll="0"/>
    <pivotField name="age" compact="0" outline="0" multipleItemSelectionAllowed="1" showAll="0"/>
    <pivotField name="Sales Region" axis="axisRow" compact="0" outline="0" multipleItemSelectionAllowed="1" showAll="0" sortType="ascending">
      <items count="6">
        <item x="3"/>
        <item x="1"/>
        <item x="4"/>
        <item x="2"/>
        <item x="0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amount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3000000}" name="Practice sheet 3" cacheId="16" applyNumberFormats="0" applyBorderFormats="0" applyFontFormats="0" applyPatternFormats="0" applyAlignmentFormats="0" applyWidthHeightFormats="0" dataCaption="" updatedVersion="8" compact="0" compactData="0">
  <location ref="A3:AF18" firstHeaderRow="1" firstDataRow="2" firstDataCol="1"/>
  <pivotFields count="17">
    <pivotField name="order_id" compact="0" outline="0" multipleItemSelectionAllowed="1" showAll="0"/>
    <pivotField name="order_date" compact="0" numFmtId="164" outline="0" multipleItemSelectionAllowed="1" showAll="0"/>
    <pivotField name="customer_id" compact="0" outline="0" multipleItemSelectionAllowed="1" showAll="0"/>
    <pivotField name="product_id" compact="0" outline="0" multipleItemSelectionAllowed="1" showAll="0"/>
    <pivotField name="sales_rep_id" axis="axisCol" compact="0" outline="0" multipleItemSelectionAllowed="1" showAll="0" sortType="ascending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name="quantity" compact="0" outline="0" multipleItemSelectionAllowed="1" showAll="0"/>
    <pivotField name="unit_price" compact="0" outline="0" multipleItemSelectionAllowed="1" showAll="0"/>
    <pivotField name="discount_pct" compact="0" outline="0" multipleItemSelectionAllowed="1" showAll="0"/>
    <pivotField name="final_amount" dataField="1" compact="0" outline="0" multipleItemSelectionAllowed="1" showAll="0"/>
    <pivotField name="payment_status" compact="0" outline="0" multipleItemSelectionAllowed="1" showAll="0"/>
    <pivotField name="ship_city" compact="0" outline="0" multipleItemSelectionAllowed="1" showAll="0"/>
    <pivotField name="category" compact="0" outline="0" multipleItemSelectionAllowed="1" showAll="0"/>
    <pivotField name=" " compact="0" outline="0" multipleItemSelectionAllowed="1" showAll="0"/>
    <pivotField name="segment" compact="0" outline="0" multipleItemSelectionAllowed="1" showAll="0"/>
    <pivotField name="age" compact="0" outline="0" multipleItemSelectionAllowed="1" showAll="0"/>
    <pivotField name="Sales Region" compact="0" outline="0" multipleItemSelectionAllowed="1" showAll="0"/>
    <pivotField name="Order Month" axis="axisRow" compact="0" outline="0" multipleItemSelectionAllowed="1" showAll="0" sortType="ascending">
      <items count="14">
        <item x="4"/>
        <item x="6"/>
        <item x="8"/>
        <item x="5"/>
        <item x="12"/>
        <item x="11"/>
        <item x="7"/>
        <item x="10"/>
        <item x="2"/>
        <item x="3"/>
        <item x="9"/>
        <item x="1"/>
        <item x="0"/>
        <item t="default"/>
      </items>
    </pivotField>
  </pivotFields>
  <rowFields count="1">
    <field x="1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 of final_amount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4000000}" name="Practice sheet 4" cacheId="16" applyNumberFormats="0" applyBorderFormats="0" applyFontFormats="0" applyPatternFormats="0" applyAlignmentFormats="0" applyWidthHeightFormats="0" dataCaption="" updatedVersion="8" compact="0" compactData="0">
  <location ref="A3:H10" firstHeaderRow="1" firstDataRow="2" firstDataCol="1"/>
  <pivotFields count="17">
    <pivotField name="order_id" compact="0" outline="0" multipleItemSelectionAllowed="1" showAll="0"/>
    <pivotField name="order_date" compact="0" numFmtId="164" outline="0" multipleItemSelectionAllowed="1" showAll="0"/>
    <pivotField name="customer_id" compact="0" outline="0" multipleItemSelectionAllowed="1" showAll="0"/>
    <pivotField name="product_id" compact="0" outline="0" multipleItemSelectionAllowed="1" showAll="0"/>
    <pivotField name="sales_rep_id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discount_pct" compact="0" outline="0" multipleItemSelectionAllowed="1" showAll="0"/>
    <pivotField name="final_amount" dataField="1" compact="0" outline="0" multipleItemSelectionAllowed="1" showAll="0"/>
    <pivotField name="payment_status" compact="0" outline="0" multipleItemSelectionAllowed="1" showAll="0"/>
    <pivotField name="ship_city" compact="0" outline="0" multipleItemSelectionAllowed="1" showAll="0"/>
    <pivotField name="category" axis="axisCol" compact="0" outline="0" multipleItemSelectionAllowed="1" showAll="0" sortType="ascending">
      <items count="7">
        <item x="0"/>
        <item x="5"/>
        <item x="4"/>
        <item x="2"/>
        <item x="3"/>
        <item x="1"/>
        <item t="default"/>
      </items>
    </pivotField>
    <pivotField name=" " compact="0" outline="0" multipleItemSelectionAllowed="1" showAll="0"/>
    <pivotField name="segment" compact="0" outline="0" multipleItemSelectionAllowed="1" showAll="0"/>
    <pivotField name="age" compact="0" outline="0" multipleItemSelectionAllowed="1" showAll="0"/>
    <pivotField name="Sales Region" axis="axisRow" compact="0" outline="0" multipleItemSelectionAllowed="1" showAll="0" sortType="ascending">
      <items count="6">
        <item x="3"/>
        <item x="1"/>
        <item x="4"/>
        <item x="2"/>
        <item x="0"/>
        <item t="default"/>
      </items>
    </pivotField>
    <pivotField name="Order Month" compact="0" outline="0" multipleItemSelectionAllowed="1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amount" fld="8" showDataAs="percentOfRow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5000000}" name="Pivot Table 2" cacheId="9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17">
    <pivotField name="order_id" compact="0" outline="0" multipleItemSelectionAllowed="1" showAll="0"/>
    <pivotField name="order_date" axis="axisRow" compact="0" numFmtId="164" outline="0" multipleItemSelectionAllowed="1" showAll="0" sortType="ascending">
      <items count="7">
        <item x="0"/>
        <item x="5"/>
        <item x="1"/>
        <item x="2"/>
        <item x="3"/>
        <item x="4"/>
        <item t="default"/>
      </items>
    </pivotField>
    <pivotField name="customer_id" compact="0" outline="0" multipleItemSelectionAllowed="1" showAll="0"/>
    <pivotField name="product_id" compact="0" outline="0" multipleItemSelectionAllowed="1" showAll="0"/>
    <pivotField name="sales_rep_id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discount_pct" compact="0" outline="0" multipleItemSelectionAllowed="1" showAll="0"/>
    <pivotField name="final_amount" dataField="1" compact="0" outline="0" multipleItemSelectionAllowed="1" showAll="0"/>
    <pivotField name="payment_status" compact="0" outline="0" multipleItemSelectionAllowed="1" showAll="0"/>
    <pivotField name="ship_city" compact="0" outline="0" multipleItemSelectionAllowed="1" showAll="0"/>
    <pivotField name="category" compact="0" outline="0" multipleItemSelectionAllowed="1" showAll="0"/>
    <pivotField name=" " compact="0" outline="0" multipleItemSelectionAllowed="1" showAll="0"/>
    <pivotField name="segment" compact="0" outline="0" multipleItemSelectionAllowed="1" showAll="0"/>
    <pivotField name="age" compact="0" outline="0" multipleItemSelectionAllowed="1" showAll="0"/>
    <pivotField name="Sales Region" compact="0" outline="0" multipleItemSelectionAllowed="1" showAll="0"/>
    <pivotField name="Order Month" compact="0" outline="0" multipleItemSelectionAllowed="1" showAll="0"/>
  </pivotFields>
  <rowFields count="1">
    <field x="1"/>
  </rowFields>
  <rowItems count="5"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inal_amount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B7361-6FB5-4DD2-A52E-74605BD79C10}" name="Pivot Table 3" cacheId="29" applyNumberFormats="0" applyBorderFormats="0" applyFontFormats="0" applyPatternFormats="0" applyAlignmentFormats="0" applyWidthHeightFormats="0" dataCaption="" updatedVersion="8" compact="0" compactData="0">
  <location ref="A1:C7" firstHeaderRow="1" firstDataRow="2" firstDataCol="1"/>
  <pivotFields count="19">
    <pivotField name="order_id" compact="0" outline="0" multipleItemSelectionAllowed="1" showAll="0"/>
    <pivotField name="order_date" axis="axisRow" compact="0" numFmtId="164" outline="0" multipleItemSelectionAllowed="1" showAll="0" sortType="ascending">
      <items count="7">
        <item x="0"/>
        <item x="5"/>
        <item x="1"/>
        <item x="2"/>
        <item x="3"/>
        <item x="4"/>
        <item t="default"/>
      </items>
    </pivotField>
    <pivotField name="customer_id" compact="0" outline="0" multipleItemSelectionAllowed="1" showAll="0"/>
    <pivotField name="product_id" compact="0" outline="0" multipleItemSelectionAllowed="1" showAll="0"/>
    <pivotField name="sales_rep_id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discount_pct" compact="0" outline="0" multipleItemSelectionAllowed="1" showAll="0"/>
    <pivotField name="final_amount" dataField="1" compact="0" outline="0" multipleItemSelectionAllowed="1" showAll="0"/>
    <pivotField name="payment_status" compact="0" outline="0" multipleItemSelectionAllowed="1" showAll="0"/>
    <pivotField name="ship_city" compact="0" outline="0" multipleItemSelectionAllowed="1" showAll="0"/>
    <pivotField name="category" compact="0" outline="0" multipleItemSelectionAllowed="1" showAll="0"/>
    <pivotField name=" " compact="0" outline="0" multipleItemSelectionAllowed="1" showAll="0"/>
    <pivotField name="segment" compact="0" outline="0" multipleItemSelectionAllowed="1" showAll="0"/>
    <pivotField name="age" compact="0" outline="0" multipleItemSelectionAllowed="1" showAll="0"/>
    <pivotField name="Sales Region" compact="0" outline="0" multipleItemSelectionAllowed="1" showAll="0"/>
    <pivotField name="Order Month" compact="0" outline="0" multipleItemSelectionAllowed="1" showAll="0"/>
    <pivotField compact="0" outline="0" showAll="0" includeNewItemsInFilter="1"/>
    <pivotField dataField="1" compact="0" outline="0" showAll="0" includeNewItemsInFilter="1"/>
  </pivotFields>
  <rowFields count="1">
    <field x="1"/>
  </rowFields>
  <rowItems count="5"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_amount" fld="8" baseField="0"/>
    <dataField name="Average of profit_margin" fld="18" subtotal="average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56D63-E9DF-4DB4-BFE2-994CE69FB110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21">
    <pivotField showAll="0"/>
    <pivotField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axis="axisRow"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final_amount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O53">
  <tableColumns count="15">
    <tableColumn id="1" xr3:uid="{00000000-0010-0000-0000-000001000000}" name="order_id"/>
    <tableColumn id="2" xr3:uid="{00000000-0010-0000-0000-000002000000}" name="order_date"/>
    <tableColumn id="3" xr3:uid="{00000000-0010-0000-0000-000003000000}" name="customer_id"/>
    <tableColumn id="4" xr3:uid="{00000000-0010-0000-0000-000004000000}" name="product_id"/>
    <tableColumn id="5" xr3:uid="{00000000-0010-0000-0000-000005000000}" name="sales_rep_id"/>
    <tableColumn id="6" xr3:uid="{00000000-0010-0000-0000-000006000000}" name="quantity"/>
    <tableColumn id="7" xr3:uid="{00000000-0010-0000-0000-000007000000}" name="unit_price"/>
    <tableColumn id="8" xr3:uid="{00000000-0010-0000-0000-000008000000}" name="discount_pct"/>
    <tableColumn id="9" xr3:uid="{00000000-0010-0000-0000-000009000000}" name="final_amount"/>
    <tableColumn id="10" xr3:uid="{00000000-0010-0000-0000-00000A000000}" name="payment_status"/>
    <tableColumn id="11" xr3:uid="{00000000-0010-0000-0000-00000B000000}" name="ship_city"/>
    <tableColumn id="12" xr3:uid="{00000000-0010-0000-0000-00000C000000}" name="category"/>
    <tableColumn id="13" xr3:uid="{00000000-0010-0000-0000-00000D000000}" name="segment"/>
    <tableColumn id="14" xr3:uid="{00000000-0010-0000-0000-00000E000000}" name="age"/>
    <tableColumn id="15" xr3:uid="{00000000-0010-0000-0000-00000F000000}" name="Sales Region"/>
  </tableColumns>
  <tableStyleInfo name="Detail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O53">
  <tableColumns count="15">
    <tableColumn id="1" xr3:uid="{00000000-0010-0000-0100-000001000000}" name="order_id"/>
    <tableColumn id="2" xr3:uid="{00000000-0010-0000-0100-000002000000}" name="order_date"/>
    <tableColumn id="3" xr3:uid="{00000000-0010-0000-0100-000003000000}" name="customer_id"/>
    <tableColumn id="4" xr3:uid="{00000000-0010-0000-0100-000004000000}" name="product_id"/>
    <tableColumn id="5" xr3:uid="{00000000-0010-0000-0100-000005000000}" name="sales_rep_id"/>
    <tableColumn id="6" xr3:uid="{00000000-0010-0000-0100-000006000000}" name="quantity"/>
    <tableColumn id="7" xr3:uid="{00000000-0010-0000-0100-000007000000}" name="unit_price"/>
    <tableColumn id="8" xr3:uid="{00000000-0010-0000-0100-000008000000}" name="discount_pct"/>
    <tableColumn id="9" xr3:uid="{00000000-0010-0000-0100-000009000000}" name="final_amount"/>
    <tableColumn id="10" xr3:uid="{00000000-0010-0000-0100-00000A000000}" name="payment_status"/>
    <tableColumn id="11" xr3:uid="{00000000-0010-0000-0100-00000B000000}" name="ship_city"/>
    <tableColumn id="12" xr3:uid="{00000000-0010-0000-0100-00000C000000}" name="category"/>
    <tableColumn id="13" xr3:uid="{00000000-0010-0000-0100-00000D000000}" name="segment"/>
    <tableColumn id="14" xr3:uid="{00000000-0010-0000-0100-00000E000000}" name="age"/>
    <tableColumn id="15" xr3:uid="{00000000-0010-0000-0100-00000F000000}" name="Sales Region"/>
  </tableColumns>
  <tableStyleInfo name="Detail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0"/>
  <sheetViews>
    <sheetView workbookViewId="0"/>
  </sheetViews>
  <sheetFormatPr defaultColWidth="14.44140625" defaultRowHeight="15" customHeight="1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  <col min="9" max="26" width="8.6640625" customWidth="1"/>
  </cols>
  <sheetData>
    <row r="1" spans="1:8" ht="14.25" customHeight="1" x14ac:dyDescent="0.4">
      <c r="A1" s="1" t="s">
        <v>0</v>
      </c>
    </row>
    <row r="2" spans="1:8" ht="14.25" customHeight="1" x14ac:dyDescent="0.3">
      <c r="A2" s="2" t="s">
        <v>2</v>
      </c>
    </row>
    <row r="3" spans="1:8" ht="14.25" customHeight="1" x14ac:dyDescent="0.3">
      <c r="A3" s="4" t="s">
        <v>3</v>
      </c>
    </row>
    <row r="4" spans="1:8" ht="14.25" customHeight="1" x14ac:dyDescent="0.3"/>
    <row r="5" spans="1:8" ht="14.25" customHeight="1" x14ac:dyDescent="0.3">
      <c r="A5" s="77" t="s">
        <v>5</v>
      </c>
      <c r="B5" s="76"/>
      <c r="C5" s="76"/>
      <c r="D5" s="76"/>
      <c r="E5" s="76"/>
      <c r="F5" s="76"/>
    </row>
    <row r="6" spans="1:8" ht="14.25" customHeight="1" x14ac:dyDescent="0.3">
      <c r="A6" s="75" t="s">
        <v>9</v>
      </c>
      <c r="B6" s="76"/>
      <c r="C6" s="76"/>
      <c r="D6" s="76"/>
      <c r="E6" s="76"/>
      <c r="F6" s="76"/>
      <c r="G6" s="76"/>
      <c r="H6" s="76"/>
    </row>
    <row r="7" spans="1:8" ht="14.25" customHeight="1" x14ac:dyDescent="0.3">
      <c r="A7" s="75" t="s">
        <v>13</v>
      </c>
      <c r="B7" s="76"/>
      <c r="C7" s="76"/>
      <c r="D7" s="76"/>
      <c r="E7" s="76"/>
      <c r="F7" s="76"/>
      <c r="G7" s="76"/>
      <c r="H7" s="76"/>
    </row>
    <row r="8" spans="1:8" ht="14.25" customHeight="1" x14ac:dyDescent="0.3">
      <c r="A8" s="75" t="s">
        <v>16</v>
      </c>
      <c r="B8" s="76"/>
      <c r="C8" s="76"/>
      <c r="D8" s="76"/>
      <c r="E8" s="76"/>
      <c r="F8" s="76"/>
      <c r="G8" s="76"/>
      <c r="H8" s="76"/>
    </row>
    <row r="9" spans="1:8" ht="14.25" customHeight="1" x14ac:dyDescent="0.3">
      <c r="A9" s="75"/>
      <c r="B9" s="76"/>
      <c r="C9" s="76"/>
      <c r="D9" s="76"/>
      <c r="E9" s="76"/>
      <c r="F9" s="76"/>
      <c r="G9" s="76"/>
      <c r="H9" s="76"/>
    </row>
    <row r="10" spans="1:8" ht="14.25" customHeight="1" x14ac:dyDescent="0.3">
      <c r="A10" s="75" t="s">
        <v>19</v>
      </c>
      <c r="B10" s="76"/>
      <c r="C10" s="76"/>
      <c r="D10" s="76"/>
      <c r="E10" s="76"/>
      <c r="F10" s="76"/>
      <c r="G10" s="76"/>
      <c r="H10" s="76"/>
    </row>
    <row r="11" spans="1:8" ht="14.25" customHeight="1" x14ac:dyDescent="0.3">
      <c r="A11" s="75" t="s">
        <v>20</v>
      </c>
      <c r="B11" s="76"/>
      <c r="C11" s="76"/>
      <c r="D11" s="76"/>
      <c r="E11" s="76"/>
      <c r="F11" s="76"/>
      <c r="G11" s="76"/>
      <c r="H11" s="76"/>
    </row>
    <row r="12" spans="1:8" ht="14.25" customHeight="1" x14ac:dyDescent="0.3">
      <c r="A12" s="75" t="s">
        <v>22</v>
      </c>
      <c r="B12" s="76"/>
      <c r="C12" s="76"/>
      <c r="D12" s="76"/>
      <c r="E12" s="76"/>
      <c r="F12" s="76"/>
      <c r="G12" s="76"/>
      <c r="H12" s="76"/>
    </row>
    <row r="13" spans="1:8" ht="14.25" customHeight="1" x14ac:dyDescent="0.3"/>
    <row r="14" spans="1:8" ht="14.25" customHeight="1" x14ac:dyDescent="0.3">
      <c r="A14" s="6" t="s">
        <v>25</v>
      </c>
    </row>
    <row r="15" spans="1:8" ht="14.25" customHeight="1" x14ac:dyDescent="0.3">
      <c r="A15" s="75" t="s">
        <v>27</v>
      </c>
      <c r="B15" s="76"/>
      <c r="C15" s="76"/>
      <c r="D15" s="76"/>
      <c r="E15" s="76"/>
      <c r="F15" s="76"/>
      <c r="G15" s="76"/>
      <c r="H15" s="76"/>
    </row>
    <row r="16" spans="1:8" ht="14.25" customHeight="1" x14ac:dyDescent="0.3">
      <c r="A16" s="75" t="s">
        <v>29</v>
      </c>
      <c r="B16" s="76"/>
      <c r="C16" s="76"/>
      <c r="D16" s="76"/>
      <c r="E16" s="76"/>
      <c r="F16" s="76"/>
      <c r="G16" s="76"/>
      <c r="H16" s="76"/>
    </row>
    <row r="17" spans="1:8" ht="14.25" customHeight="1" x14ac:dyDescent="0.3">
      <c r="A17" s="75" t="s">
        <v>31</v>
      </c>
      <c r="B17" s="76"/>
      <c r="C17" s="76"/>
      <c r="D17" s="76"/>
      <c r="E17" s="76"/>
      <c r="F17" s="76"/>
      <c r="G17" s="76"/>
      <c r="H17" s="76"/>
    </row>
    <row r="18" spans="1:8" ht="14.25" customHeight="1" x14ac:dyDescent="0.3">
      <c r="A18" s="75" t="s">
        <v>32</v>
      </c>
      <c r="B18" s="76"/>
      <c r="C18" s="76"/>
      <c r="D18" s="76"/>
      <c r="E18" s="76"/>
      <c r="F18" s="76"/>
      <c r="G18" s="76"/>
      <c r="H18" s="76"/>
    </row>
    <row r="19" spans="1:8" ht="14.25" customHeight="1" x14ac:dyDescent="0.3">
      <c r="A19" s="75" t="s">
        <v>33</v>
      </c>
      <c r="B19" s="76"/>
      <c r="C19" s="76"/>
      <c r="D19" s="76"/>
      <c r="E19" s="76"/>
      <c r="F19" s="76"/>
      <c r="G19" s="76"/>
      <c r="H19" s="76"/>
    </row>
    <row r="20" spans="1:8" ht="14.25" customHeight="1" x14ac:dyDescent="0.3">
      <c r="A20" s="75" t="s">
        <v>34</v>
      </c>
      <c r="B20" s="76"/>
      <c r="C20" s="76"/>
      <c r="D20" s="76"/>
      <c r="E20" s="76"/>
      <c r="F20" s="76"/>
      <c r="G20" s="76"/>
      <c r="H20" s="76"/>
    </row>
    <row r="21" spans="1:8" ht="14.25" customHeight="1" x14ac:dyDescent="0.3"/>
    <row r="22" spans="1:8" ht="14.25" customHeight="1" x14ac:dyDescent="0.3">
      <c r="A22" s="6" t="s">
        <v>36</v>
      </c>
    </row>
    <row r="23" spans="1:8" ht="14.25" customHeight="1" x14ac:dyDescent="0.3">
      <c r="A23" s="3" t="s">
        <v>39</v>
      </c>
      <c r="B23" s="11" t="s">
        <v>40</v>
      </c>
      <c r="C23" s="3" t="s">
        <v>43</v>
      </c>
      <c r="D23" s="3" t="s">
        <v>45</v>
      </c>
    </row>
    <row r="24" spans="1:8" ht="14.25" customHeight="1" x14ac:dyDescent="0.3">
      <c r="A24" s="13" t="s">
        <v>46</v>
      </c>
      <c r="B24" s="14" t="s">
        <v>47</v>
      </c>
      <c r="C24" s="13" t="s">
        <v>48</v>
      </c>
      <c r="D24" s="13" t="s">
        <v>49</v>
      </c>
    </row>
    <row r="25" spans="1:8" ht="14.25" customHeight="1" x14ac:dyDescent="0.3">
      <c r="A25" s="13" t="s">
        <v>50</v>
      </c>
      <c r="B25" s="14" t="s">
        <v>51</v>
      </c>
      <c r="C25" s="13" t="s">
        <v>52</v>
      </c>
      <c r="D25" s="13" t="s">
        <v>53</v>
      </c>
    </row>
    <row r="26" spans="1:8" ht="14.25" customHeight="1" x14ac:dyDescent="0.3">
      <c r="A26" s="13" t="s">
        <v>54</v>
      </c>
      <c r="B26" s="14" t="s">
        <v>55</v>
      </c>
      <c r="C26" s="13" t="s">
        <v>52</v>
      </c>
      <c r="D26" s="13" t="s">
        <v>49</v>
      </c>
    </row>
    <row r="27" spans="1:8" ht="14.25" customHeight="1" x14ac:dyDescent="0.3">
      <c r="A27" s="13" t="s">
        <v>56</v>
      </c>
      <c r="B27" s="14" t="s">
        <v>57</v>
      </c>
      <c r="C27" s="13" t="s">
        <v>58</v>
      </c>
      <c r="D27" s="13" t="s">
        <v>53</v>
      </c>
    </row>
    <row r="28" spans="1:8" ht="14.25" customHeight="1" x14ac:dyDescent="0.3">
      <c r="A28" s="13" t="s">
        <v>59</v>
      </c>
      <c r="B28" s="14" t="s">
        <v>60</v>
      </c>
      <c r="C28" s="13" t="s">
        <v>58</v>
      </c>
      <c r="D28" s="13" t="s">
        <v>61</v>
      </c>
    </row>
    <row r="29" spans="1:8" ht="14.25" customHeight="1" x14ac:dyDescent="0.3">
      <c r="A29" s="15"/>
      <c r="B29" s="17" t="s">
        <v>62</v>
      </c>
      <c r="C29" s="15" t="s">
        <v>63</v>
      </c>
      <c r="D29" s="15" t="s">
        <v>64</v>
      </c>
    </row>
    <row r="30" spans="1:8" ht="14.25" customHeight="1" x14ac:dyDescent="0.3"/>
    <row r="31" spans="1:8" ht="14.25" customHeight="1" x14ac:dyDescent="0.3"/>
    <row r="32" spans="1:8" ht="14.25" customHeight="1" x14ac:dyDescent="0.3">
      <c r="A32" s="6" t="s">
        <v>65</v>
      </c>
    </row>
    <row r="33" spans="1:4" ht="14.25" customHeight="1" x14ac:dyDescent="0.3">
      <c r="A33" s="3" t="s">
        <v>45</v>
      </c>
      <c r="B33" s="3" t="s">
        <v>66</v>
      </c>
      <c r="C33" s="11" t="s">
        <v>67</v>
      </c>
    </row>
    <row r="34" spans="1:4" ht="14.25" customHeight="1" x14ac:dyDescent="0.3">
      <c r="A34" s="13" t="s">
        <v>68</v>
      </c>
      <c r="B34" s="13" t="s">
        <v>69</v>
      </c>
      <c r="C34" s="14" t="s">
        <v>70</v>
      </c>
    </row>
    <row r="35" spans="1:4" ht="14.25" customHeight="1" x14ac:dyDescent="0.3">
      <c r="A35" s="13" t="s">
        <v>71</v>
      </c>
      <c r="B35" s="13" t="s">
        <v>72</v>
      </c>
      <c r="C35" s="14" t="s">
        <v>73</v>
      </c>
    </row>
    <row r="36" spans="1:4" ht="14.25" customHeight="1" x14ac:dyDescent="0.3">
      <c r="A36" s="13" t="s">
        <v>74</v>
      </c>
      <c r="B36" s="13" t="s">
        <v>75</v>
      </c>
      <c r="C36" s="14" t="s">
        <v>76</v>
      </c>
    </row>
    <row r="37" spans="1:4" ht="14.25" customHeight="1" x14ac:dyDescent="0.3">
      <c r="A37" s="13" t="s">
        <v>77</v>
      </c>
      <c r="B37" s="13" t="s">
        <v>78</v>
      </c>
      <c r="C37" s="14" t="s">
        <v>79</v>
      </c>
    </row>
    <row r="38" spans="1:4" ht="14.25" customHeight="1" x14ac:dyDescent="0.3">
      <c r="A38" s="13" t="s">
        <v>80</v>
      </c>
      <c r="B38" s="13" t="s">
        <v>81</v>
      </c>
      <c r="C38" s="14" t="s">
        <v>82</v>
      </c>
    </row>
    <row r="39" spans="1:4" ht="14.25" customHeight="1" x14ac:dyDescent="0.3"/>
    <row r="40" spans="1:4" ht="14.25" customHeight="1" x14ac:dyDescent="0.3"/>
    <row r="41" spans="1:4" ht="14.25" customHeight="1" x14ac:dyDescent="0.3">
      <c r="A41" s="6" t="s">
        <v>83</v>
      </c>
    </row>
    <row r="42" spans="1:4" ht="14.25" customHeight="1" x14ac:dyDescent="0.3">
      <c r="A42" s="19" t="s">
        <v>84</v>
      </c>
      <c r="B42" s="19" t="s">
        <v>85</v>
      </c>
      <c r="C42" s="19" t="s">
        <v>86</v>
      </c>
      <c r="D42" s="19" t="s">
        <v>87</v>
      </c>
    </row>
    <row r="43" spans="1:4" ht="14.25" customHeight="1" x14ac:dyDescent="0.3">
      <c r="A43" s="20" t="s">
        <v>88</v>
      </c>
      <c r="B43" s="20" t="s">
        <v>90</v>
      </c>
      <c r="C43" s="20" t="s">
        <v>91</v>
      </c>
      <c r="D43" s="20" t="s">
        <v>92</v>
      </c>
    </row>
    <row r="44" spans="1:4" ht="14.25" customHeight="1" x14ac:dyDescent="0.3">
      <c r="A44" s="20" t="s">
        <v>93</v>
      </c>
      <c r="B44" s="20" t="s">
        <v>99</v>
      </c>
      <c r="C44" s="20" t="s">
        <v>100</v>
      </c>
      <c r="D44" s="20" t="s">
        <v>101</v>
      </c>
    </row>
    <row r="45" spans="1:4" ht="14.25" customHeight="1" x14ac:dyDescent="0.3">
      <c r="A45" s="20" t="s">
        <v>102</v>
      </c>
      <c r="B45" s="20" t="s">
        <v>103</v>
      </c>
      <c r="C45" s="20" t="s">
        <v>104</v>
      </c>
      <c r="D45" s="20" t="s">
        <v>105</v>
      </c>
    </row>
    <row r="46" spans="1:4" ht="14.25" customHeight="1" x14ac:dyDescent="0.3">
      <c r="A46" s="20" t="s">
        <v>106</v>
      </c>
      <c r="B46" s="20" t="s">
        <v>63</v>
      </c>
      <c r="C46" s="20" t="s">
        <v>107</v>
      </c>
      <c r="D46" s="20" t="s">
        <v>108</v>
      </c>
    </row>
    <row r="47" spans="1:4" ht="14.25" customHeight="1" x14ac:dyDescent="0.3">
      <c r="A47" s="20" t="s">
        <v>109</v>
      </c>
      <c r="B47" s="20" t="s">
        <v>110</v>
      </c>
      <c r="C47" s="20" t="s">
        <v>111</v>
      </c>
      <c r="D47" s="20" t="s">
        <v>112</v>
      </c>
    </row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4">
    <mergeCell ref="A19:H19"/>
    <mergeCell ref="A20:H20"/>
    <mergeCell ref="A5:F5"/>
    <mergeCell ref="A6:H6"/>
    <mergeCell ref="A7:H7"/>
    <mergeCell ref="A8:H8"/>
    <mergeCell ref="A9:H9"/>
    <mergeCell ref="A10:H10"/>
    <mergeCell ref="A11:H11"/>
    <mergeCell ref="A12:H12"/>
    <mergeCell ref="A15:H15"/>
    <mergeCell ref="A16:H16"/>
    <mergeCell ref="A17:H17"/>
    <mergeCell ref="A18:H18"/>
  </mergeCells>
  <pageMargins left="0.5" right="0.5" top="0.5" bottom="0.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/>
  </sheetViews>
  <sheetFormatPr defaultColWidth="14.44140625" defaultRowHeight="15" customHeight="1" x14ac:dyDescent="0.3"/>
  <cols>
    <col min="1" max="1" width="10.33203125" customWidth="1"/>
    <col min="2" max="2" width="12.5546875" customWidth="1"/>
    <col min="3" max="3" width="13.6640625" customWidth="1"/>
    <col min="4" max="4" width="12.44140625" customWidth="1"/>
    <col min="5" max="5" width="13.5546875" customWidth="1"/>
    <col min="6" max="6" width="10.33203125" customWidth="1"/>
    <col min="7" max="7" width="11.6640625" customWidth="1"/>
    <col min="8" max="8" width="14.109375" customWidth="1"/>
    <col min="9" max="9" width="14.5546875" customWidth="1"/>
    <col min="10" max="10" width="16.88671875" customWidth="1"/>
    <col min="11" max="11" width="10.6640625" customWidth="1"/>
    <col min="12" max="12" width="10.5546875" customWidth="1"/>
    <col min="13" max="13" width="10.44140625" customWidth="1"/>
    <col min="14" max="14" width="9" customWidth="1"/>
    <col min="15" max="15" width="13.6640625" customWidth="1"/>
    <col min="16" max="26" width="8.6640625" customWidth="1"/>
  </cols>
  <sheetData>
    <row r="1" spans="1:15" ht="14.25" customHeight="1" x14ac:dyDescent="0.3">
      <c r="A1" s="12" t="s">
        <v>44</v>
      </c>
    </row>
    <row r="2" spans="1:15" ht="14.25" customHeight="1" x14ac:dyDescent="0.3"/>
    <row r="3" spans="1:15" ht="14.25" customHeight="1" x14ac:dyDescent="0.3">
      <c r="A3" s="16" t="s">
        <v>1</v>
      </c>
      <c r="B3" s="16" t="s">
        <v>4</v>
      </c>
      <c r="C3" s="16" t="s">
        <v>6</v>
      </c>
      <c r="D3" s="16" t="s">
        <v>7</v>
      </c>
      <c r="E3" s="16" t="s">
        <v>8</v>
      </c>
      <c r="F3" s="16" t="s">
        <v>10</v>
      </c>
      <c r="G3" s="16" t="s">
        <v>11</v>
      </c>
      <c r="H3" s="16" t="s">
        <v>12</v>
      </c>
      <c r="I3" s="16" t="s">
        <v>14</v>
      </c>
      <c r="J3" s="16" t="s">
        <v>15</v>
      </c>
      <c r="K3" s="16" t="s">
        <v>17</v>
      </c>
      <c r="L3" s="16" t="s">
        <v>18</v>
      </c>
      <c r="M3" s="16" t="s">
        <v>23</v>
      </c>
      <c r="N3" s="16" t="s">
        <v>24</v>
      </c>
      <c r="O3" s="16" t="s">
        <v>26</v>
      </c>
    </row>
    <row r="4" spans="1:15" ht="14.25" customHeight="1" x14ac:dyDescent="0.3">
      <c r="A4" s="22" t="s">
        <v>113</v>
      </c>
      <c r="B4" s="23">
        <v>45585</v>
      </c>
      <c r="C4" s="22" t="s">
        <v>118</v>
      </c>
      <c r="D4" s="22" t="s">
        <v>120</v>
      </c>
      <c r="E4" s="22" t="s">
        <v>121</v>
      </c>
      <c r="F4" s="22">
        <v>6</v>
      </c>
      <c r="G4" s="22">
        <v>3970</v>
      </c>
      <c r="H4" s="22">
        <v>5.8</v>
      </c>
      <c r="I4" s="22">
        <v>22438.44</v>
      </c>
      <c r="J4" s="22" t="s">
        <v>97</v>
      </c>
      <c r="K4" s="22" t="s">
        <v>42</v>
      </c>
      <c r="L4" s="22" t="s">
        <v>126</v>
      </c>
      <c r="M4" s="22" t="s">
        <v>127</v>
      </c>
      <c r="N4" s="22">
        <v>24</v>
      </c>
      <c r="O4" s="22" t="s">
        <v>128</v>
      </c>
    </row>
    <row r="5" spans="1:15" ht="14.25" customHeight="1" x14ac:dyDescent="0.3">
      <c r="A5" s="22" t="s">
        <v>129</v>
      </c>
      <c r="B5" s="23">
        <v>45317</v>
      </c>
      <c r="C5" s="22" t="s">
        <v>130</v>
      </c>
      <c r="D5" s="22" t="s">
        <v>131</v>
      </c>
      <c r="E5" s="22" t="s">
        <v>38</v>
      </c>
      <c r="F5" s="22">
        <v>3</v>
      </c>
      <c r="G5" s="22">
        <v>2660</v>
      </c>
      <c r="H5" s="22">
        <v>15</v>
      </c>
      <c r="I5" s="22">
        <v>6783</v>
      </c>
      <c r="J5" s="22" t="s">
        <v>41</v>
      </c>
      <c r="K5" s="22" t="s">
        <v>136</v>
      </c>
      <c r="L5" s="22" t="s">
        <v>126</v>
      </c>
      <c r="M5" s="22" t="s">
        <v>137</v>
      </c>
      <c r="N5" s="22">
        <v>27</v>
      </c>
      <c r="O5" s="22" t="s">
        <v>128</v>
      </c>
    </row>
    <row r="6" spans="1:15" ht="14.25" customHeight="1" x14ac:dyDescent="0.3">
      <c r="A6" s="22" t="s">
        <v>138</v>
      </c>
      <c r="B6" s="23">
        <v>45538</v>
      </c>
      <c r="C6" s="22" t="s">
        <v>139</v>
      </c>
      <c r="D6" s="22" t="s">
        <v>140</v>
      </c>
      <c r="E6" s="22" t="s">
        <v>143</v>
      </c>
      <c r="F6" s="22">
        <v>2</v>
      </c>
      <c r="G6" s="22">
        <v>1430</v>
      </c>
      <c r="H6" s="22">
        <v>5</v>
      </c>
      <c r="I6" s="22">
        <v>2717</v>
      </c>
      <c r="J6" s="22" t="s">
        <v>147</v>
      </c>
      <c r="K6" s="22" t="s">
        <v>119</v>
      </c>
      <c r="L6" s="22" t="s">
        <v>126</v>
      </c>
      <c r="M6" s="22" t="s">
        <v>137</v>
      </c>
      <c r="N6" s="22">
        <v>30</v>
      </c>
      <c r="O6" s="22" t="s">
        <v>128</v>
      </c>
    </row>
    <row r="7" spans="1:15" ht="14.25" customHeight="1" x14ac:dyDescent="0.3">
      <c r="A7" s="22" t="s">
        <v>148</v>
      </c>
      <c r="B7" s="23">
        <v>45603</v>
      </c>
      <c r="C7" s="22" t="s">
        <v>150</v>
      </c>
      <c r="D7" s="22" t="s">
        <v>154</v>
      </c>
      <c r="E7" s="22" t="s">
        <v>96</v>
      </c>
      <c r="F7" s="22">
        <v>10</v>
      </c>
      <c r="G7" s="22">
        <v>300</v>
      </c>
      <c r="H7" s="22">
        <v>23.9</v>
      </c>
      <c r="I7" s="22">
        <v>2283</v>
      </c>
      <c r="J7" s="22" t="s">
        <v>41</v>
      </c>
      <c r="K7" s="22" t="s">
        <v>42</v>
      </c>
      <c r="L7" s="22" t="s">
        <v>126</v>
      </c>
      <c r="M7" s="22" t="s">
        <v>137</v>
      </c>
      <c r="N7" s="22">
        <v>25</v>
      </c>
      <c r="O7" s="22" t="s">
        <v>128</v>
      </c>
    </row>
    <row r="8" spans="1:15" ht="14.25" customHeight="1" x14ac:dyDescent="0.3">
      <c r="A8" s="22" t="s">
        <v>156</v>
      </c>
      <c r="B8" s="23">
        <v>45650</v>
      </c>
      <c r="C8" s="22" t="s">
        <v>159</v>
      </c>
      <c r="D8" s="22" t="s">
        <v>160</v>
      </c>
      <c r="E8" s="22" t="s">
        <v>121</v>
      </c>
      <c r="F8" s="22">
        <v>5</v>
      </c>
      <c r="G8" s="22">
        <v>1220</v>
      </c>
      <c r="H8" s="22">
        <v>18.7</v>
      </c>
      <c r="I8" s="22">
        <v>4959.3</v>
      </c>
      <c r="J8" s="22" t="s">
        <v>41</v>
      </c>
      <c r="K8" s="22" t="s">
        <v>98</v>
      </c>
      <c r="L8" s="22" t="s">
        <v>126</v>
      </c>
      <c r="M8" s="22" t="s">
        <v>164</v>
      </c>
      <c r="N8" s="22">
        <v>34</v>
      </c>
      <c r="O8" s="22" t="s">
        <v>128</v>
      </c>
    </row>
    <row r="9" spans="1:15" ht="14.25" customHeight="1" x14ac:dyDescent="0.3">
      <c r="A9" s="22" t="s">
        <v>165</v>
      </c>
      <c r="B9" s="23">
        <v>45453</v>
      </c>
      <c r="C9" s="22" t="s">
        <v>166</v>
      </c>
      <c r="D9" s="22" t="s">
        <v>154</v>
      </c>
      <c r="E9" s="22" t="s">
        <v>167</v>
      </c>
      <c r="F9" s="22">
        <v>6</v>
      </c>
      <c r="G9" s="22">
        <v>300</v>
      </c>
      <c r="H9" s="22">
        <v>13.3</v>
      </c>
      <c r="I9" s="22">
        <v>1560.6</v>
      </c>
      <c r="J9" s="22" t="s">
        <v>41</v>
      </c>
      <c r="K9" s="22" t="s">
        <v>146</v>
      </c>
      <c r="L9" s="22" t="s">
        <v>126</v>
      </c>
      <c r="M9" s="22" t="s">
        <v>127</v>
      </c>
      <c r="N9" s="22">
        <v>22</v>
      </c>
      <c r="O9" s="22" t="s">
        <v>128</v>
      </c>
    </row>
    <row r="10" spans="1:15" ht="14.25" customHeight="1" x14ac:dyDescent="0.3">
      <c r="A10" s="22" t="s">
        <v>168</v>
      </c>
      <c r="B10" s="23">
        <v>45457</v>
      </c>
      <c r="C10" s="22" t="s">
        <v>173</v>
      </c>
      <c r="D10" s="22" t="s">
        <v>160</v>
      </c>
      <c r="E10" s="22" t="s">
        <v>158</v>
      </c>
      <c r="F10" s="22">
        <v>7</v>
      </c>
      <c r="G10" s="22">
        <v>1220</v>
      </c>
      <c r="H10" s="22">
        <v>13.1</v>
      </c>
      <c r="I10" s="22">
        <v>7421.26</v>
      </c>
      <c r="J10" s="22" t="s">
        <v>41</v>
      </c>
      <c r="K10" s="22" t="s">
        <v>178</v>
      </c>
      <c r="L10" s="22" t="s">
        <v>126</v>
      </c>
      <c r="M10" s="22" t="s">
        <v>137</v>
      </c>
      <c r="N10" s="22">
        <v>26</v>
      </c>
      <c r="O10" s="22" t="s">
        <v>128</v>
      </c>
    </row>
    <row r="11" spans="1:15" ht="14.25" customHeight="1" x14ac:dyDescent="0.3">
      <c r="A11" s="22" t="s">
        <v>179</v>
      </c>
      <c r="B11" s="23">
        <v>45376</v>
      </c>
      <c r="C11" s="22" t="s">
        <v>142</v>
      </c>
      <c r="D11" s="22" t="s">
        <v>131</v>
      </c>
      <c r="E11" s="22" t="s">
        <v>158</v>
      </c>
      <c r="F11" s="22">
        <v>10</v>
      </c>
      <c r="G11" s="22">
        <v>2660</v>
      </c>
      <c r="H11" s="22">
        <v>29.3</v>
      </c>
      <c r="I11" s="22">
        <v>18806.2</v>
      </c>
      <c r="J11" s="22" t="s">
        <v>41</v>
      </c>
      <c r="K11" s="22" t="s">
        <v>146</v>
      </c>
      <c r="L11" s="22" t="s">
        <v>126</v>
      </c>
      <c r="M11" s="22" t="s">
        <v>137</v>
      </c>
      <c r="N11" s="22">
        <v>36</v>
      </c>
      <c r="O11" s="22" t="s">
        <v>128</v>
      </c>
    </row>
    <row r="12" spans="1:15" ht="14.25" customHeight="1" x14ac:dyDescent="0.3">
      <c r="A12" s="22" t="s">
        <v>186</v>
      </c>
      <c r="B12" s="23">
        <v>45654</v>
      </c>
      <c r="C12" s="22" t="s">
        <v>187</v>
      </c>
      <c r="D12" s="22" t="s">
        <v>188</v>
      </c>
      <c r="E12" s="22" t="s">
        <v>189</v>
      </c>
      <c r="F12" s="22">
        <v>7</v>
      </c>
      <c r="G12" s="22">
        <v>3870</v>
      </c>
      <c r="H12" s="22">
        <v>5.9</v>
      </c>
      <c r="I12" s="22">
        <v>25491.69</v>
      </c>
      <c r="J12" s="22" t="s">
        <v>41</v>
      </c>
      <c r="K12" s="22" t="s">
        <v>98</v>
      </c>
      <c r="L12" s="22" t="s">
        <v>126</v>
      </c>
      <c r="M12" s="22" t="s">
        <v>164</v>
      </c>
      <c r="N12" s="22">
        <v>35</v>
      </c>
      <c r="O12" s="22" t="s">
        <v>128</v>
      </c>
    </row>
    <row r="13" spans="1:15" ht="14.25" customHeight="1" x14ac:dyDescent="0.3">
      <c r="A13" s="22" t="s">
        <v>194</v>
      </c>
      <c r="B13" s="23">
        <v>45465</v>
      </c>
      <c r="C13" s="22" t="s">
        <v>195</v>
      </c>
      <c r="D13" s="22" t="s">
        <v>181</v>
      </c>
      <c r="E13" s="22" t="s">
        <v>196</v>
      </c>
      <c r="F13" s="22">
        <v>1</v>
      </c>
      <c r="G13" s="22">
        <v>2640</v>
      </c>
      <c r="H13" s="22">
        <v>5.9</v>
      </c>
      <c r="I13" s="22">
        <v>2484.2399999999998</v>
      </c>
      <c r="J13" s="22" t="s">
        <v>41</v>
      </c>
      <c r="K13" s="22" t="s">
        <v>42</v>
      </c>
      <c r="L13" s="22" t="s">
        <v>126</v>
      </c>
      <c r="M13" s="22" t="s">
        <v>164</v>
      </c>
      <c r="N13" s="22">
        <v>40</v>
      </c>
      <c r="O13" s="22" t="s">
        <v>128</v>
      </c>
    </row>
    <row r="14" spans="1:15" ht="14.25" customHeight="1" x14ac:dyDescent="0.3">
      <c r="A14" s="22" t="s">
        <v>201</v>
      </c>
      <c r="B14" s="23">
        <v>45472</v>
      </c>
      <c r="C14" s="22" t="s">
        <v>203</v>
      </c>
      <c r="D14" s="22" t="s">
        <v>188</v>
      </c>
      <c r="E14" s="22" t="s">
        <v>145</v>
      </c>
      <c r="F14" s="22">
        <v>3</v>
      </c>
      <c r="G14" s="22">
        <v>3870</v>
      </c>
      <c r="H14" s="22">
        <v>1.9</v>
      </c>
      <c r="I14" s="22">
        <v>11389.41</v>
      </c>
      <c r="J14" s="22" t="s">
        <v>41</v>
      </c>
      <c r="K14" s="22" t="s">
        <v>119</v>
      </c>
      <c r="L14" s="22" t="s">
        <v>126</v>
      </c>
      <c r="M14" s="22" t="s">
        <v>137</v>
      </c>
      <c r="N14" s="22">
        <v>31</v>
      </c>
      <c r="O14" s="22" t="s">
        <v>128</v>
      </c>
    </row>
    <row r="15" spans="1:15" ht="14.25" customHeight="1" x14ac:dyDescent="0.3">
      <c r="A15" s="22" t="s">
        <v>209</v>
      </c>
      <c r="B15" s="23">
        <v>45483</v>
      </c>
      <c r="C15" s="22" t="s">
        <v>210</v>
      </c>
      <c r="D15" s="22" t="s">
        <v>211</v>
      </c>
      <c r="E15" s="22" t="s">
        <v>214</v>
      </c>
      <c r="F15" s="22">
        <v>9</v>
      </c>
      <c r="G15" s="22">
        <v>3570</v>
      </c>
      <c r="H15" s="22">
        <v>12</v>
      </c>
      <c r="I15" s="22">
        <v>28274.400000000001</v>
      </c>
      <c r="J15" s="22" t="s">
        <v>41</v>
      </c>
      <c r="K15" s="22" t="s">
        <v>98</v>
      </c>
      <c r="L15" s="22" t="s">
        <v>126</v>
      </c>
      <c r="M15" s="22" t="s">
        <v>137</v>
      </c>
      <c r="N15" s="22">
        <v>26</v>
      </c>
      <c r="O15" s="22" t="s">
        <v>128</v>
      </c>
    </row>
    <row r="16" spans="1:15" ht="14.25" customHeight="1" x14ac:dyDescent="0.3">
      <c r="A16" s="22" t="s">
        <v>220</v>
      </c>
      <c r="B16" s="23">
        <v>45343</v>
      </c>
      <c r="C16" s="22" t="s">
        <v>195</v>
      </c>
      <c r="D16" s="22" t="s">
        <v>188</v>
      </c>
      <c r="E16" s="22" t="s">
        <v>221</v>
      </c>
      <c r="F16" s="22">
        <v>9</v>
      </c>
      <c r="G16" s="22">
        <v>3870</v>
      </c>
      <c r="H16" s="22">
        <v>8.1999999999999993</v>
      </c>
      <c r="I16" s="22">
        <v>31973.94</v>
      </c>
      <c r="J16" s="22" t="s">
        <v>41</v>
      </c>
      <c r="K16" s="22" t="s">
        <v>42</v>
      </c>
      <c r="L16" s="22" t="s">
        <v>126</v>
      </c>
      <c r="M16" s="22" t="s">
        <v>164</v>
      </c>
      <c r="N16" s="22">
        <v>40</v>
      </c>
      <c r="O16" s="22" t="s">
        <v>128</v>
      </c>
    </row>
    <row r="17" spans="1:15" ht="14.25" customHeight="1" x14ac:dyDescent="0.3">
      <c r="A17" s="22" t="s">
        <v>228</v>
      </c>
      <c r="B17" s="23">
        <v>45343</v>
      </c>
      <c r="C17" s="22" t="s">
        <v>229</v>
      </c>
      <c r="D17" s="22" t="s">
        <v>230</v>
      </c>
      <c r="E17" s="22" t="s">
        <v>231</v>
      </c>
      <c r="F17" s="22">
        <v>3</v>
      </c>
      <c r="G17" s="22">
        <v>5330</v>
      </c>
      <c r="H17" s="22">
        <v>1</v>
      </c>
      <c r="I17" s="22">
        <v>15830.1</v>
      </c>
      <c r="J17" s="22" t="s">
        <v>97</v>
      </c>
      <c r="K17" s="22" t="s">
        <v>178</v>
      </c>
      <c r="L17" s="22" t="s">
        <v>126</v>
      </c>
      <c r="M17" s="22" t="s">
        <v>137</v>
      </c>
      <c r="N17" s="22">
        <v>31</v>
      </c>
      <c r="O17" s="22" t="s">
        <v>128</v>
      </c>
    </row>
    <row r="18" spans="1:15" ht="14.25" customHeight="1" x14ac:dyDescent="0.3">
      <c r="A18" s="22" t="s">
        <v>234</v>
      </c>
      <c r="B18" s="23">
        <v>45458</v>
      </c>
      <c r="C18" s="22" t="s">
        <v>235</v>
      </c>
      <c r="D18" s="22" t="s">
        <v>160</v>
      </c>
      <c r="E18" s="22" t="s">
        <v>236</v>
      </c>
      <c r="F18" s="22">
        <v>5</v>
      </c>
      <c r="G18" s="22">
        <v>1220</v>
      </c>
      <c r="H18" s="22">
        <v>15.6</v>
      </c>
      <c r="I18" s="22">
        <v>5148.3999999999996</v>
      </c>
      <c r="J18" s="22" t="s">
        <v>41</v>
      </c>
      <c r="K18" s="22" t="s">
        <v>178</v>
      </c>
      <c r="L18" s="22" t="s">
        <v>126</v>
      </c>
      <c r="M18" s="22" t="s">
        <v>127</v>
      </c>
      <c r="N18" s="22">
        <v>29</v>
      </c>
      <c r="O18" s="22" t="s">
        <v>128</v>
      </c>
    </row>
    <row r="19" spans="1:15" ht="14.25" customHeight="1" x14ac:dyDescent="0.3">
      <c r="A19" s="22" t="s">
        <v>243</v>
      </c>
      <c r="B19" s="23">
        <v>45523</v>
      </c>
      <c r="C19" s="22" t="s">
        <v>244</v>
      </c>
      <c r="D19" s="22" t="s">
        <v>160</v>
      </c>
      <c r="E19" s="22" t="s">
        <v>121</v>
      </c>
      <c r="F19" s="22">
        <v>10</v>
      </c>
      <c r="G19" s="22">
        <v>1220</v>
      </c>
      <c r="H19" s="22">
        <v>15.4</v>
      </c>
      <c r="I19" s="22">
        <v>10321.200000000001</v>
      </c>
      <c r="J19" s="22" t="s">
        <v>41</v>
      </c>
      <c r="K19" s="22" t="s">
        <v>119</v>
      </c>
      <c r="L19" s="22" t="s">
        <v>126</v>
      </c>
      <c r="M19" s="22" t="s">
        <v>137</v>
      </c>
      <c r="N19" s="22">
        <v>24</v>
      </c>
      <c r="O19" s="22" t="s">
        <v>128</v>
      </c>
    </row>
    <row r="20" spans="1:15" ht="14.25" customHeight="1" x14ac:dyDescent="0.3">
      <c r="A20" s="22" t="s">
        <v>252</v>
      </c>
      <c r="B20" s="23">
        <v>45564</v>
      </c>
      <c r="C20" s="22" t="s">
        <v>195</v>
      </c>
      <c r="D20" s="22" t="s">
        <v>154</v>
      </c>
      <c r="E20" s="22" t="s">
        <v>261</v>
      </c>
      <c r="F20" s="22">
        <v>8</v>
      </c>
      <c r="G20" s="22">
        <v>300</v>
      </c>
      <c r="H20" s="22">
        <v>19.8</v>
      </c>
      <c r="I20" s="22">
        <v>1924.8</v>
      </c>
      <c r="J20" s="22" t="s">
        <v>147</v>
      </c>
      <c r="K20" s="22" t="s">
        <v>42</v>
      </c>
      <c r="L20" s="22" t="s">
        <v>126</v>
      </c>
      <c r="M20" s="22" t="s">
        <v>164</v>
      </c>
      <c r="N20" s="22">
        <v>40</v>
      </c>
      <c r="O20" s="22" t="s">
        <v>128</v>
      </c>
    </row>
    <row r="21" spans="1:15" ht="14.25" customHeight="1" x14ac:dyDescent="0.3">
      <c r="A21" s="22" t="s">
        <v>281</v>
      </c>
      <c r="B21" s="23">
        <v>45330</v>
      </c>
      <c r="C21" s="22" t="s">
        <v>187</v>
      </c>
      <c r="D21" s="22" t="s">
        <v>160</v>
      </c>
      <c r="E21" s="22" t="s">
        <v>167</v>
      </c>
      <c r="F21" s="22">
        <v>7</v>
      </c>
      <c r="G21" s="22">
        <v>1220</v>
      </c>
      <c r="H21" s="22">
        <v>29.4</v>
      </c>
      <c r="I21" s="22">
        <v>6029.24</v>
      </c>
      <c r="J21" s="22" t="s">
        <v>41</v>
      </c>
      <c r="K21" s="22" t="s">
        <v>98</v>
      </c>
      <c r="L21" s="22" t="s">
        <v>126</v>
      </c>
      <c r="M21" s="22" t="s">
        <v>164</v>
      </c>
      <c r="N21" s="22">
        <v>35</v>
      </c>
      <c r="O21" s="22" t="s">
        <v>128</v>
      </c>
    </row>
    <row r="22" spans="1:15" ht="14.25" customHeight="1" x14ac:dyDescent="0.3">
      <c r="A22" s="22" t="s">
        <v>311</v>
      </c>
      <c r="B22" s="23">
        <v>45306</v>
      </c>
      <c r="C22" s="22" t="s">
        <v>257</v>
      </c>
      <c r="D22" s="22" t="s">
        <v>131</v>
      </c>
      <c r="E22" s="22" t="s">
        <v>121</v>
      </c>
      <c r="F22" s="22">
        <v>6</v>
      </c>
      <c r="G22" s="22">
        <v>2660</v>
      </c>
      <c r="H22" s="22">
        <v>6.4</v>
      </c>
      <c r="I22" s="22">
        <v>14938.56</v>
      </c>
      <c r="J22" s="22" t="s">
        <v>41</v>
      </c>
      <c r="K22" s="22" t="s">
        <v>146</v>
      </c>
      <c r="L22" s="22" t="s">
        <v>126</v>
      </c>
      <c r="M22" s="22" t="s">
        <v>137</v>
      </c>
      <c r="N22" s="22">
        <v>33</v>
      </c>
      <c r="O22" s="22" t="s">
        <v>128</v>
      </c>
    </row>
    <row r="23" spans="1:15" ht="14.25" customHeight="1" x14ac:dyDescent="0.3">
      <c r="A23" s="22" t="s">
        <v>348</v>
      </c>
      <c r="B23" s="23">
        <v>45650</v>
      </c>
      <c r="C23" s="22" t="s">
        <v>353</v>
      </c>
      <c r="D23" s="22" t="s">
        <v>230</v>
      </c>
      <c r="E23" s="22" t="s">
        <v>158</v>
      </c>
      <c r="F23" s="22">
        <v>7</v>
      </c>
      <c r="G23" s="22">
        <v>5330</v>
      </c>
      <c r="H23" s="22">
        <v>8.1999999999999993</v>
      </c>
      <c r="I23" s="22">
        <v>34250.58</v>
      </c>
      <c r="J23" s="22" t="s">
        <v>41</v>
      </c>
      <c r="K23" s="22" t="s">
        <v>136</v>
      </c>
      <c r="L23" s="22" t="s">
        <v>126</v>
      </c>
      <c r="M23" s="22" t="s">
        <v>164</v>
      </c>
      <c r="N23" s="22">
        <v>31</v>
      </c>
      <c r="O23" s="22" t="s">
        <v>128</v>
      </c>
    </row>
    <row r="24" spans="1:15" ht="14.25" customHeight="1" x14ac:dyDescent="0.3">
      <c r="A24" s="22" t="s">
        <v>381</v>
      </c>
      <c r="B24" s="23">
        <v>45316</v>
      </c>
      <c r="C24" s="22" t="s">
        <v>384</v>
      </c>
      <c r="D24" s="22" t="s">
        <v>188</v>
      </c>
      <c r="E24" s="22" t="s">
        <v>208</v>
      </c>
      <c r="F24" s="22">
        <v>1</v>
      </c>
      <c r="G24" s="22">
        <v>3870</v>
      </c>
      <c r="H24" s="22">
        <v>29.6</v>
      </c>
      <c r="I24" s="22">
        <v>2724.48</v>
      </c>
      <c r="J24" s="22" t="s">
        <v>41</v>
      </c>
      <c r="K24" s="22" t="s">
        <v>136</v>
      </c>
      <c r="L24" s="22" t="s">
        <v>126</v>
      </c>
      <c r="M24" s="22" t="s">
        <v>164</v>
      </c>
      <c r="N24" s="22">
        <v>26</v>
      </c>
      <c r="O24" s="22" t="s">
        <v>128</v>
      </c>
    </row>
    <row r="25" spans="1:15" ht="14.25" customHeight="1" x14ac:dyDescent="0.3">
      <c r="A25" s="22" t="s">
        <v>420</v>
      </c>
      <c r="B25" s="23">
        <v>45540</v>
      </c>
      <c r="C25" s="22" t="s">
        <v>424</v>
      </c>
      <c r="D25" s="22" t="s">
        <v>230</v>
      </c>
      <c r="E25" s="22" t="s">
        <v>177</v>
      </c>
      <c r="F25" s="22">
        <v>1</v>
      </c>
      <c r="G25" s="22">
        <v>5330</v>
      </c>
      <c r="H25" s="22">
        <v>26.8</v>
      </c>
      <c r="I25" s="22">
        <v>3901.56</v>
      </c>
      <c r="J25" s="22" t="s">
        <v>41</v>
      </c>
      <c r="K25" s="22" t="s">
        <v>136</v>
      </c>
      <c r="L25" s="22" t="s">
        <v>126</v>
      </c>
      <c r="M25" s="22" t="s">
        <v>137</v>
      </c>
      <c r="N25" s="22">
        <v>35</v>
      </c>
      <c r="O25" s="22" t="s">
        <v>128</v>
      </c>
    </row>
    <row r="26" spans="1:15" ht="14.25" customHeight="1" x14ac:dyDescent="0.3">
      <c r="A26" s="22" t="s">
        <v>445</v>
      </c>
      <c r="B26" s="23">
        <v>45457</v>
      </c>
      <c r="C26" s="22" t="s">
        <v>294</v>
      </c>
      <c r="D26" s="22" t="s">
        <v>140</v>
      </c>
      <c r="E26" s="22" t="s">
        <v>143</v>
      </c>
      <c r="F26" s="22">
        <v>3</v>
      </c>
      <c r="G26" s="22">
        <v>1430</v>
      </c>
      <c r="H26" s="22">
        <v>1.5</v>
      </c>
      <c r="I26" s="22">
        <v>4225.6499999999996</v>
      </c>
      <c r="J26" s="22" t="s">
        <v>41</v>
      </c>
      <c r="K26" s="22" t="s">
        <v>98</v>
      </c>
      <c r="L26" s="22" t="s">
        <v>126</v>
      </c>
      <c r="M26" s="22" t="s">
        <v>137</v>
      </c>
      <c r="N26" s="22">
        <v>22</v>
      </c>
      <c r="O26" s="22" t="s">
        <v>128</v>
      </c>
    </row>
    <row r="27" spans="1:15" ht="14.25" customHeight="1" x14ac:dyDescent="0.3">
      <c r="A27" s="22" t="s">
        <v>473</v>
      </c>
      <c r="B27" s="23">
        <v>45370</v>
      </c>
      <c r="C27" s="22" t="s">
        <v>244</v>
      </c>
      <c r="D27" s="22" t="s">
        <v>211</v>
      </c>
      <c r="E27" s="22" t="s">
        <v>96</v>
      </c>
      <c r="F27" s="22">
        <v>9</v>
      </c>
      <c r="G27" s="22">
        <v>3570</v>
      </c>
      <c r="H27" s="22">
        <v>5.6</v>
      </c>
      <c r="I27" s="22">
        <v>30330.720000000001</v>
      </c>
      <c r="J27" s="22" t="s">
        <v>41</v>
      </c>
      <c r="K27" s="22" t="s">
        <v>119</v>
      </c>
      <c r="L27" s="22" t="s">
        <v>126</v>
      </c>
      <c r="M27" s="22" t="s">
        <v>137</v>
      </c>
      <c r="N27" s="22">
        <v>24</v>
      </c>
      <c r="O27" s="22" t="s">
        <v>128</v>
      </c>
    </row>
    <row r="28" spans="1:15" ht="14.25" customHeight="1" x14ac:dyDescent="0.3">
      <c r="A28" s="22" t="s">
        <v>497</v>
      </c>
      <c r="B28" s="23">
        <v>45627</v>
      </c>
      <c r="C28" s="22" t="s">
        <v>503</v>
      </c>
      <c r="D28" s="22" t="s">
        <v>160</v>
      </c>
      <c r="E28" s="22" t="s">
        <v>143</v>
      </c>
      <c r="F28" s="22">
        <v>3</v>
      </c>
      <c r="G28" s="22">
        <v>1220</v>
      </c>
      <c r="H28" s="22">
        <v>7.7</v>
      </c>
      <c r="I28" s="22">
        <v>3378.18</v>
      </c>
      <c r="J28" s="22" t="s">
        <v>97</v>
      </c>
      <c r="K28" s="22" t="s">
        <v>136</v>
      </c>
      <c r="L28" s="22" t="s">
        <v>126</v>
      </c>
      <c r="M28" s="22" t="s">
        <v>164</v>
      </c>
      <c r="N28" s="22">
        <v>36</v>
      </c>
      <c r="O28" s="22" t="s">
        <v>128</v>
      </c>
    </row>
    <row r="29" spans="1:15" ht="14.25" customHeight="1" x14ac:dyDescent="0.3">
      <c r="A29" s="22" t="s">
        <v>527</v>
      </c>
      <c r="B29" s="23">
        <v>45516</v>
      </c>
      <c r="C29" s="22" t="s">
        <v>532</v>
      </c>
      <c r="D29" s="22" t="s">
        <v>184</v>
      </c>
      <c r="E29" s="22" t="s">
        <v>38</v>
      </c>
      <c r="F29" s="22">
        <v>5</v>
      </c>
      <c r="G29" s="22">
        <v>2600</v>
      </c>
      <c r="H29" s="22">
        <v>0.3</v>
      </c>
      <c r="I29" s="22">
        <v>12961</v>
      </c>
      <c r="J29" s="22" t="s">
        <v>41</v>
      </c>
      <c r="K29" s="22" t="s">
        <v>98</v>
      </c>
      <c r="L29" s="22" t="s">
        <v>126</v>
      </c>
      <c r="M29" s="22" t="s">
        <v>164</v>
      </c>
      <c r="N29" s="22">
        <v>30</v>
      </c>
      <c r="O29" s="22" t="s">
        <v>128</v>
      </c>
    </row>
    <row r="30" spans="1:15" ht="14.25" customHeight="1" x14ac:dyDescent="0.3">
      <c r="A30" s="22" t="s">
        <v>559</v>
      </c>
      <c r="B30" s="23">
        <v>45548</v>
      </c>
      <c r="C30" s="22" t="s">
        <v>563</v>
      </c>
      <c r="D30" s="22" t="s">
        <v>211</v>
      </c>
      <c r="E30" s="22" t="s">
        <v>196</v>
      </c>
      <c r="F30" s="22">
        <v>7</v>
      </c>
      <c r="G30" s="22">
        <v>3570</v>
      </c>
      <c r="H30" s="22">
        <v>24.3</v>
      </c>
      <c r="I30" s="22">
        <v>18917.43</v>
      </c>
      <c r="J30" s="22" t="s">
        <v>41</v>
      </c>
      <c r="K30" s="22" t="s">
        <v>98</v>
      </c>
      <c r="L30" s="22" t="s">
        <v>126</v>
      </c>
      <c r="M30" s="22" t="s">
        <v>164</v>
      </c>
      <c r="N30" s="22">
        <v>24</v>
      </c>
      <c r="O30" s="22" t="s">
        <v>128</v>
      </c>
    </row>
    <row r="31" spans="1:15" ht="14.25" customHeight="1" x14ac:dyDescent="0.3">
      <c r="A31" s="22" t="s">
        <v>586</v>
      </c>
      <c r="B31" s="23">
        <v>45360</v>
      </c>
      <c r="C31" s="22" t="s">
        <v>592</v>
      </c>
      <c r="D31" s="22" t="s">
        <v>230</v>
      </c>
      <c r="E31" s="22" t="s">
        <v>301</v>
      </c>
      <c r="F31" s="22">
        <v>10</v>
      </c>
      <c r="G31" s="22">
        <v>5330</v>
      </c>
      <c r="H31" s="22">
        <v>27.3</v>
      </c>
      <c r="I31" s="22">
        <v>38749.1</v>
      </c>
      <c r="J31" s="22" t="s">
        <v>41</v>
      </c>
      <c r="K31" s="22" t="s">
        <v>42</v>
      </c>
      <c r="L31" s="22" t="s">
        <v>126</v>
      </c>
      <c r="M31" s="22" t="s">
        <v>127</v>
      </c>
      <c r="N31" s="22">
        <v>35</v>
      </c>
      <c r="O31" s="22" t="s">
        <v>128</v>
      </c>
    </row>
    <row r="32" spans="1:15" ht="14.25" customHeight="1" x14ac:dyDescent="0.3">
      <c r="A32" s="22" t="s">
        <v>612</v>
      </c>
      <c r="B32" s="23">
        <v>45367</v>
      </c>
      <c r="C32" s="22" t="s">
        <v>173</v>
      </c>
      <c r="D32" s="22" t="s">
        <v>230</v>
      </c>
      <c r="E32" s="22" t="s">
        <v>619</v>
      </c>
      <c r="F32" s="22">
        <v>7</v>
      </c>
      <c r="G32" s="22">
        <v>5330</v>
      </c>
      <c r="H32" s="22">
        <v>16.399999999999999</v>
      </c>
      <c r="I32" s="22">
        <v>31191.16</v>
      </c>
      <c r="J32" s="22" t="s">
        <v>41</v>
      </c>
      <c r="K32" s="22" t="s">
        <v>178</v>
      </c>
      <c r="L32" s="22" t="s">
        <v>126</v>
      </c>
      <c r="M32" s="22" t="s">
        <v>137</v>
      </c>
      <c r="N32" s="22">
        <v>26</v>
      </c>
      <c r="O32" s="22" t="s">
        <v>128</v>
      </c>
    </row>
    <row r="33" spans="1:15" ht="14.25" customHeight="1" x14ac:dyDescent="0.3">
      <c r="A33" s="22" t="s">
        <v>641</v>
      </c>
      <c r="B33" s="23">
        <v>45434</v>
      </c>
      <c r="C33" s="22" t="s">
        <v>647</v>
      </c>
      <c r="D33" s="22" t="s">
        <v>230</v>
      </c>
      <c r="E33" s="22" t="s">
        <v>301</v>
      </c>
      <c r="F33" s="22">
        <v>10</v>
      </c>
      <c r="G33" s="22">
        <v>5330</v>
      </c>
      <c r="H33" s="22">
        <v>16.100000000000001</v>
      </c>
      <c r="I33" s="22">
        <v>44718.7</v>
      </c>
      <c r="J33" s="22" t="s">
        <v>41</v>
      </c>
      <c r="K33" s="22" t="s">
        <v>136</v>
      </c>
      <c r="L33" s="22" t="s">
        <v>126</v>
      </c>
      <c r="M33" s="22" t="s">
        <v>137</v>
      </c>
      <c r="N33" s="22">
        <v>34</v>
      </c>
      <c r="O33" s="22" t="s">
        <v>128</v>
      </c>
    </row>
    <row r="34" spans="1:15" ht="14.25" customHeight="1" x14ac:dyDescent="0.3">
      <c r="A34" s="22" t="s">
        <v>669</v>
      </c>
      <c r="B34" s="23">
        <v>45344</v>
      </c>
      <c r="C34" s="22" t="s">
        <v>568</v>
      </c>
      <c r="D34" s="22" t="s">
        <v>181</v>
      </c>
      <c r="E34" s="22" t="s">
        <v>96</v>
      </c>
      <c r="F34" s="22">
        <v>5</v>
      </c>
      <c r="G34" s="22">
        <v>2640</v>
      </c>
      <c r="H34" s="22">
        <v>26.8</v>
      </c>
      <c r="I34" s="22">
        <v>9662.4</v>
      </c>
      <c r="J34" s="22" t="s">
        <v>41</v>
      </c>
      <c r="K34" s="22" t="s">
        <v>98</v>
      </c>
      <c r="L34" s="22" t="s">
        <v>126</v>
      </c>
      <c r="M34" s="22" t="s">
        <v>137</v>
      </c>
      <c r="N34" s="22">
        <v>37</v>
      </c>
      <c r="O34" s="22" t="s">
        <v>128</v>
      </c>
    </row>
    <row r="35" spans="1:15" ht="14.25" customHeight="1" x14ac:dyDescent="0.3">
      <c r="A35" s="22" t="s">
        <v>693</v>
      </c>
      <c r="B35" s="23">
        <v>45562</v>
      </c>
      <c r="C35" s="22" t="s">
        <v>696</v>
      </c>
      <c r="D35" s="22" t="s">
        <v>154</v>
      </c>
      <c r="E35" s="22" t="s">
        <v>38</v>
      </c>
      <c r="F35" s="22">
        <v>5</v>
      </c>
      <c r="G35" s="22">
        <v>300</v>
      </c>
      <c r="H35" s="22">
        <v>19.399999999999999</v>
      </c>
      <c r="I35" s="22">
        <v>1209</v>
      </c>
      <c r="J35" s="22" t="s">
        <v>41</v>
      </c>
      <c r="K35" s="22" t="s">
        <v>136</v>
      </c>
      <c r="L35" s="22" t="s">
        <v>126</v>
      </c>
      <c r="M35" s="22" t="s">
        <v>137</v>
      </c>
      <c r="N35" s="22">
        <v>36</v>
      </c>
      <c r="O35" s="22" t="s">
        <v>128</v>
      </c>
    </row>
    <row r="36" spans="1:15" ht="14.25" customHeight="1" x14ac:dyDescent="0.3">
      <c r="A36" s="22" t="s">
        <v>720</v>
      </c>
      <c r="B36" s="23">
        <v>45363</v>
      </c>
      <c r="C36" s="22" t="s">
        <v>442</v>
      </c>
      <c r="D36" s="22" t="s">
        <v>160</v>
      </c>
      <c r="E36" s="22" t="s">
        <v>189</v>
      </c>
      <c r="F36" s="22">
        <v>5</v>
      </c>
      <c r="G36" s="22">
        <v>1220</v>
      </c>
      <c r="H36" s="22">
        <v>2.6</v>
      </c>
      <c r="I36" s="22">
        <v>5941.4</v>
      </c>
      <c r="J36" s="22" t="s">
        <v>41</v>
      </c>
      <c r="K36" s="22" t="s">
        <v>98</v>
      </c>
      <c r="L36" s="22" t="s">
        <v>126</v>
      </c>
      <c r="M36" s="22" t="s">
        <v>137</v>
      </c>
      <c r="N36" s="22">
        <v>26</v>
      </c>
      <c r="O36" s="22" t="s">
        <v>128</v>
      </c>
    </row>
    <row r="37" spans="1:15" ht="14.25" customHeight="1" x14ac:dyDescent="0.3">
      <c r="A37" s="22" t="s">
        <v>749</v>
      </c>
      <c r="B37" s="23">
        <v>45632</v>
      </c>
      <c r="C37" s="22" t="s">
        <v>288</v>
      </c>
      <c r="D37" s="22" t="s">
        <v>140</v>
      </c>
      <c r="E37" s="22" t="s">
        <v>38</v>
      </c>
      <c r="F37" s="22">
        <v>1</v>
      </c>
      <c r="G37" s="22">
        <v>1430</v>
      </c>
      <c r="H37" s="22">
        <v>5.9</v>
      </c>
      <c r="I37" s="22">
        <v>1345.63</v>
      </c>
      <c r="J37" s="22" t="s">
        <v>147</v>
      </c>
      <c r="K37" s="22" t="s">
        <v>119</v>
      </c>
      <c r="L37" s="22" t="s">
        <v>126</v>
      </c>
      <c r="M37" s="22" t="s">
        <v>127</v>
      </c>
      <c r="N37" s="22">
        <v>26</v>
      </c>
      <c r="O37" s="22" t="s">
        <v>128</v>
      </c>
    </row>
    <row r="38" spans="1:15" ht="14.25" customHeight="1" x14ac:dyDescent="0.3">
      <c r="A38" s="22" t="s">
        <v>775</v>
      </c>
      <c r="B38" s="23">
        <v>45345</v>
      </c>
      <c r="C38" s="22" t="s">
        <v>778</v>
      </c>
      <c r="D38" s="22" t="s">
        <v>154</v>
      </c>
      <c r="E38" s="22" t="s">
        <v>745</v>
      </c>
      <c r="F38" s="22">
        <v>1</v>
      </c>
      <c r="G38" s="22">
        <v>300</v>
      </c>
      <c r="H38" s="22">
        <v>0.7</v>
      </c>
      <c r="I38" s="22">
        <v>297.89999999999998</v>
      </c>
      <c r="J38" s="22" t="s">
        <v>41</v>
      </c>
      <c r="K38" s="22" t="s">
        <v>136</v>
      </c>
      <c r="L38" s="22" t="s">
        <v>126</v>
      </c>
      <c r="M38" s="22" t="s">
        <v>137</v>
      </c>
      <c r="N38" s="22">
        <v>27</v>
      </c>
      <c r="O38" s="22" t="s">
        <v>128</v>
      </c>
    </row>
    <row r="39" spans="1:15" ht="14.25" customHeight="1" x14ac:dyDescent="0.3">
      <c r="A39" s="22" t="s">
        <v>798</v>
      </c>
      <c r="B39" s="23">
        <v>45605</v>
      </c>
      <c r="C39" s="22" t="s">
        <v>533</v>
      </c>
      <c r="D39" s="22" t="s">
        <v>140</v>
      </c>
      <c r="E39" s="22" t="s">
        <v>135</v>
      </c>
      <c r="F39" s="22">
        <v>1</v>
      </c>
      <c r="G39" s="22">
        <v>1430</v>
      </c>
      <c r="H39" s="22">
        <v>19.600000000000001</v>
      </c>
      <c r="I39" s="22">
        <v>1149.72</v>
      </c>
      <c r="J39" s="22" t="s">
        <v>41</v>
      </c>
      <c r="K39" s="22" t="s">
        <v>136</v>
      </c>
      <c r="L39" s="22" t="s">
        <v>126</v>
      </c>
      <c r="M39" s="22" t="s">
        <v>127</v>
      </c>
      <c r="N39" s="22">
        <v>36</v>
      </c>
      <c r="O39" s="22" t="s">
        <v>128</v>
      </c>
    </row>
    <row r="40" spans="1:15" ht="14.25" customHeight="1" x14ac:dyDescent="0.3">
      <c r="A40" s="22" t="s">
        <v>828</v>
      </c>
      <c r="B40" s="23">
        <v>45315</v>
      </c>
      <c r="C40" s="22" t="s">
        <v>532</v>
      </c>
      <c r="D40" s="22" t="s">
        <v>188</v>
      </c>
      <c r="E40" s="22" t="s">
        <v>745</v>
      </c>
      <c r="F40" s="22">
        <v>3</v>
      </c>
      <c r="G40" s="22">
        <v>3870</v>
      </c>
      <c r="H40" s="22">
        <v>4.2</v>
      </c>
      <c r="I40" s="22">
        <v>11122.38</v>
      </c>
      <c r="J40" s="22" t="s">
        <v>41</v>
      </c>
      <c r="K40" s="22" t="s">
        <v>98</v>
      </c>
      <c r="L40" s="22" t="s">
        <v>126</v>
      </c>
      <c r="M40" s="22" t="s">
        <v>164</v>
      </c>
      <c r="N40" s="22">
        <v>30</v>
      </c>
      <c r="O40" s="22" t="s">
        <v>128</v>
      </c>
    </row>
    <row r="41" spans="1:15" ht="14.25" customHeight="1" x14ac:dyDescent="0.3">
      <c r="A41" s="22" t="s">
        <v>860</v>
      </c>
      <c r="B41" s="23">
        <v>45510</v>
      </c>
      <c r="C41" s="22" t="s">
        <v>494</v>
      </c>
      <c r="D41" s="22" t="s">
        <v>230</v>
      </c>
      <c r="E41" s="22" t="s">
        <v>200</v>
      </c>
      <c r="F41" s="22">
        <v>6</v>
      </c>
      <c r="G41" s="22">
        <v>5330</v>
      </c>
      <c r="H41" s="22">
        <v>8.4</v>
      </c>
      <c r="I41" s="22">
        <v>29293.68</v>
      </c>
      <c r="J41" s="22" t="s">
        <v>41</v>
      </c>
      <c r="K41" s="22" t="s">
        <v>42</v>
      </c>
      <c r="L41" s="22" t="s">
        <v>126</v>
      </c>
      <c r="M41" s="22" t="s">
        <v>164</v>
      </c>
      <c r="N41" s="22">
        <v>31</v>
      </c>
      <c r="O41" s="22" t="s">
        <v>128</v>
      </c>
    </row>
    <row r="42" spans="1:15" ht="14.25" customHeight="1" x14ac:dyDescent="0.3">
      <c r="A42" s="22" t="s">
        <v>868</v>
      </c>
      <c r="B42" s="23">
        <v>45382</v>
      </c>
      <c r="C42" s="22" t="s">
        <v>118</v>
      </c>
      <c r="D42" s="22" t="s">
        <v>184</v>
      </c>
      <c r="E42" s="22" t="s">
        <v>145</v>
      </c>
      <c r="F42" s="22">
        <v>9</v>
      </c>
      <c r="G42" s="22">
        <v>2600</v>
      </c>
      <c r="H42" s="22">
        <v>7.7</v>
      </c>
      <c r="I42" s="22">
        <v>21598.2</v>
      </c>
      <c r="J42" s="22" t="s">
        <v>41</v>
      </c>
      <c r="K42" s="22" t="s">
        <v>42</v>
      </c>
      <c r="L42" s="22" t="s">
        <v>126</v>
      </c>
      <c r="M42" s="22" t="s">
        <v>127</v>
      </c>
      <c r="N42" s="22">
        <v>24</v>
      </c>
      <c r="O42" s="22" t="s">
        <v>128</v>
      </c>
    </row>
    <row r="43" spans="1:15" ht="14.25" customHeight="1" x14ac:dyDescent="0.3">
      <c r="A43" s="22" t="s">
        <v>871</v>
      </c>
      <c r="B43" s="23">
        <v>45408</v>
      </c>
      <c r="C43" s="22" t="s">
        <v>133</v>
      </c>
      <c r="D43" s="22" t="s">
        <v>184</v>
      </c>
      <c r="E43" s="22" t="s">
        <v>745</v>
      </c>
      <c r="F43" s="22">
        <v>1</v>
      </c>
      <c r="G43" s="22">
        <v>2600</v>
      </c>
      <c r="H43" s="22">
        <v>1</v>
      </c>
      <c r="I43" s="22">
        <v>2574</v>
      </c>
      <c r="J43" s="22" t="s">
        <v>41</v>
      </c>
      <c r="K43" s="22" t="s">
        <v>98</v>
      </c>
      <c r="L43" s="22" t="s">
        <v>126</v>
      </c>
      <c r="M43" s="22" t="s">
        <v>137</v>
      </c>
      <c r="N43" s="22">
        <v>36</v>
      </c>
      <c r="O43" s="22" t="s">
        <v>128</v>
      </c>
    </row>
    <row r="44" spans="1:15" ht="14.25" customHeight="1" x14ac:dyDescent="0.3">
      <c r="A44" s="22" t="s">
        <v>880</v>
      </c>
      <c r="B44" s="23">
        <v>45584</v>
      </c>
      <c r="C44" s="22" t="s">
        <v>592</v>
      </c>
      <c r="D44" s="22" t="s">
        <v>184</v>
      </c>
      <c r="E44" s="22" t="s">
        <v>117</v>
      </c>
      <c r="F44" s="22">
        <v>8</v>
      </c>
      <c r="G44" s="22">
        <v>2600</v>
      </c>
      <c r="H44" s="22">
        <v>26.7</v>
      </c>
      <c r="I44" s="22">
        <v>15246.4</v>
      </c>
      <c r="J44" s="22" t="s">
        <v>41</v>
      </c>
      <c r="K44" s="22" t="s">
        <v>42</v>
      </c>
      <c r="L44" s="22" t="s">
        <v>126</v>
      </c>
      <c r="M44" s="22" t="s">
        <v>127</v>
      </c>
      <c r="N44" s="22">
        <v>35</v>
      </c>
      <c r="O44" s="22" t="s">
        <v>128</v>
      </c>
    </row>
    <row r="45" spans="1:15" ht="14.25" customHeight="1" x14ac:dyDescent="0.3">
      <c r="A45" s="22" t="s">
        <v>899</v>
      </c>
      <c r="B45" s="23">
        <v>45554</v>
      </c>
      <c r="C45" s="22" t="s">
        <v>765</v>
      </c>
      <c r="D45" s="22" t="s">
        <v>131</v>
      </c>
      <c r="E45" s="22" t="s">
        <v>177</v>
      </c>
      <c r="F45" s="22">
        <v>5</v>
      </c>
      <c r="G45" s="22">
        <v>2660</v>
      </c>
      <c r="H45" s="22">
        <v>8.3000000000000007</v>
      </c>
      <c r="I45" s="22">
        <v>12196.1</v>
      </c>
      <c r="J45" s="22" t="s">
        <v>41</v>
      </c>
      <c r="K45" s="22" t="s">
        <v>119</v>
      </c>
      <c r="L45" s="22" t="s">
        <v>126</v>
      </c>
      <c r="M45" s="22" t="s">
        <v>127</v>
      </c>
      <c r="N45" s="22">
        <v>29</v>
      </c>
      <c r="O45" s="22" t="s">
        <v>128</v>
      </c>
    </row>
    <row r="46" spans="1:15" ht="14.25" customHeight="1" x14ac:dyDescent="0.3">
      <c r="A46" s="22" t="s">
        <v>928</v>
      </c>
      <c r="B46" s="23">
        <v>45475</v>
      </c>
      <c r="C46" s="22" t="s">
        <v>614</v>
      </c>
      <c r="D46" s="22" t="s">
        <v>160</v>
      </c>
      <c r="E46" s="22" t="s">
        <v>214</v>
      </c>
      <c r="F46" s="22">
        <v>8</v>
      </c>
      <c r="G46" s="22">
        <v>1220</v>
      </c>
      <c r="H46" s="22">
        <v>28.2</v>
      </c>
      <c r="I46" s="22">
        <v>7007.68</v>
      </c>
      <c r="J46" s="22" t="s">
        <v>41</v>
      </c>
      <c r="K46" s="22" t="s">
        <v>178</v>
      </c>
      <c r="L46" s="22" t="s">
        <v>126</v>
      </c>
      <c r="M46" s="22" t="s">
        <v>137</v>
      </c>
      <c r="N46" s="22">
        <v>31</v>
      </c>
      <c r="O46" s="22" t="s">
        <v>128</v>
      </c>
    </row>
    <row r="47" spans="1:15" ht="14.25" customHeight="1" x14ac:dyDescent="0.3">
      <c r="A47" s="22" t="s">
        <v>947</v>
      </c>
      <c r="B47" s="23">
        <v>45513</v>
      </c>
      <c r="C47" s="22" t="s">
        <v>494</v>
      </c>
      <c r="D47" s="22" t="s">
        <v>184</v>
      </c>
      <c r="E47" s="22" t="s">
        <v>200</v>
      </c>
      <c r="F47" s="22">
        <v>10</v>
      </c>
      <c r="G47" s="22">
        <v>2600</v>
      </c>
      <c r="H47" s="22">
        <v>24.7</v>
      </c>
      <c r="I47" s="22">
        <v>19578</v>
      </c>
      <c r="J47" s="22" t="s">
        <v>41</v>
      </c>
      <c r="K47" s="22" t="s">
        <v>42</v>
      </c>
      <c r="L47" s="22" t="s">
        <v>126</v>
      </c>
      <c r="M47" s="22" t="s">
        <v>164</v>
      </c>
      <c r="N47" s="22">
        <v>31</v>
      </c>
      <c r="O47" s="22" t="s">
        <v>128</v>
      </c>
    </row>
    <row r="48" spans="1:15" ht="14.25" customHeight="1" x14ac:dyDescent="0.3">
      <c r="A48" s="22" t="s">
        <v>967</v>
      </c>
      <c r="B48" s="23">
        <v>45371</v>
      </c>
      <c r="C48" s="22" t="s">
        <v>679</v>
      </c>
      <c r="D48" s="22" t="s">
        <v>131</v>
      </c>
      <c r="E48" s="22" t="s">
        <v>208</v>
      </c>
      <c r="F48" s="22">
        <v>4</v>
      </c>
      <c r="G48" s="22">
        <v>2660</v>
      </c>
      <c r="H48" s="22">
        <v>18.8</v>
      </c>
      <c r="I48" s="22">
        <v>8639.68</v>
      </c>
      <c r="J48" s="22" t="s">
        <v>97</v>
      </c>
      <c r="K48" s="22" t="s">
        <v>98</v>
      </c>
      <c r="L48" s="22" t="s">
        <v>126</v>
      </c>
      <c r="M48" s="22" t="s">
        <v>164</v>
      </c>
      <c r="N48" s="22">
        <v>22</v>
      </c>
      <c r="O48" s="22" t="s">
        <v>128</v>
      </c>
    </row>
    <row r="49" spans="1:15" ht="14.25" customHeight="1" x14ac:dyDescent="0.3">
      <c r="A49" s="22" t="s">
        <v>970</v>
      </c>
      <c r="B49" s="23">
        <v>45545</v>
      </c>
      <c r="C49" s="22" t="s">
        <v>384</v>
      </c>
      <c r="D49" s="22" t="s">
        <v>184</v>
      </c>
      <c r="E49" s="22" t="s">
        <v>619</v>
      </c>
      <c r="F49" s="22">
        <v>7</v>
      </c>
      <c r="G49" s="22">
        <v>2600</v>
      </c>
      <c r="H49" s="22">
        <v>6.6</v>
      </c>
      <c r="I49" s="22">
        <v>16998.8</v>
      </c>
      <c r="J49" s="22" t="s">
        <v>41</v>
      </c>
      <c r="K49" s="22" t="s">
        <v>136</v>
      </c>
      <c r="L49" s="22" t="s">
        <v>126</v>
      </c>
      <c r="M49" s="22" t="s">
        <v>164</v>
      </c>
      <c r="N49" s="22">
        <v>26</v>
      </c>
      <c r="O49" s="22" t="s">
        <v>128</v>
      </c>
    </row>
    <row r="50" spans="1:15" ht="14.25" customHeight="1" x14ac:dyDescent="0.3">
      <c r="A50" s="22" t="s">
        <v>973</v>
      </c>
      <c r="B50" s="23">
        <v>45319</v>
      </c>
      <c r="C50" s="22" t="s">
        <v>433</v>
      </c>
      <c r="D50" s="22" t="s">
        <v>154</v>
      </c>
      <c r="E50" s="22" t="s">
        <v>121</v>
      </c>
      <c r="F50" s="22">
        <v>8</v>
      </c>
      <c r="G50" s="22">
        <v>300</v>
      </c>
      <c r="H50" s="22">
        <v>20.6</v>
      </c>
      <c r="I50" s="22">
        <v>1905.6</v>
      </c>
      <c r="J50" s="22" t="s">
        <v>193</v>
      </c>
      <c r="K50" s="22" t="s">
        <v>42</v>
      </c>
      <c r="L50" s="22" t="s">
        <v>126</v>
      </c>
      <c r="M50" s="22" t="s">
        <v>127</v>
      </c>
      <c r="N50" s="22">
        <v>30</v>
      </c>
      <c r="O50" s="22" t="s">
        <v>128</v>
      </c>
    </row>
    <row r="51" spans="1:15" ht="14.25" customHeight="1" x14ac:dyDescent="0.3">
      <c r="A51" s="22" t="s">
        <v>975</v>
      </c>
      <c r="B51" s="23">
        <v>45587</v>
      </c>
      <c r="C51" s="22" t="s">
        <v>309</v>
      </c>
      <c r="D51" s="22" t="s">
        <v>211</v>
      </c>
      <c r="E51" s="22" t="s">
        <v>200</v>
      </c>
      <c r="F51" s="22">
        <v>2</v>
      </c>
      <c r="G51" s="22">
        <v>3570</v>
      </c>
      <c r="H51" s="22">
        <v>11.6</v>
      </c>
      <c r="I51" s="22">
        <v>6311.76</v>
      </c>
      <c r="J51" s="22" t="s">
        <v>97</v>
      </c>
      <c r="K51" s="22" t="s">
        <v>136</v>
      </c>
      <c r="L51" s="22" t="s">
        <v>126</v>
      </c>
      <c r="M51" s="22" t="s">
        <v>137</v>
      </c>
      <c r="N51" s="22">
        <v>23</v>
      </c>
      <c r="O51" s="22" t="s">
        <v>128</v>
      </c>
    </row>
    <row r="52" spans="1:15" ht="14.25" customHeight="1" x14ac:dyDescent="0.3">
      <c r="A52" s="22" t="s">
        <v>981</v>
      </c>
      <c r="B52" s="23">
        <v>45346</v>
      </c>
      <c r="C52" s="22" t="s">
        <v>433</v>
      </c>
      <c r="D52" s="22" t="s">
        <v>154</v>
      </c>
      <c r="E52" s="22" t="s">
        <v>153</v>
      </c>
      <c r="F52" s="22">
        <v>5</v>
      </c>
      <c r="G52" s="22">
        <v>300</v>
      </c>
      <c r="H52" s="22">
        <v>25.8</v>
      </c>
      <c r="I52" s="22">
        <v>1113</v>
      </c>
      <c r="J52" s="22" t="s">
        <v>41</v>
      </c>
      <c r="K52" s="22" t="s">
        <v>42</v>
      </c>
      <c r="L52" s="22" t="s">
        <v>126</v>
      </c>
      <c r="M52" s="22" t="s">
        <v>127</v>
      </c>
      <c r="N52" s="22">
        <v>30</v>
      </c>
      <c r="O52" s="22" t="s">
        <v>128</v>
      </c>
    </row>
    <row r="53" spans="1:15" ht="14.25" customHeight="1" x14ac:dyDescent="0.3">
      <c r="A53" s="22" t="s">
        <v>1000</v>
      </c>
      <c r="B53" s="23">
        <v>45360</v>
      </c>
      <c r="C53" s="22" t="s">
        <v>623</v>
      </c>
      <c r="D53" s="22" t="s">
        <v>230</v>
      </c>
      <c r="E53" s="22" t="s">
        <v>196</v>
      </c>
      <c r="F53" s="22">
        <v>4</v>
      </c>
      <c r="G53" s="22">
        <v>5330</v>
      </c>
      <c r="H53" s="22">
        <v>22.6</v>
      </c>
      <c r="I53" s="22">
        <v>16501.68</v>
      </c>
      <c r="J53" s="22" t="s">
        <v>97</v>
      </c>
      <c r="K53" s="22" t="s">
        <v>42</v>
      </c>
      <c r="L53" s="22" t="s">
        <v>126</v>
      </c>
      <c r="M53" s="22" t="s">
        <v>127</v>
      </c>
      <c r="N53" s="22">
        <v>29</v>
      </c>
      <c r="O53" s="22" t="s">
        <v>128</v>
      </c>
    </row>
    <row r="54" spans="1:15" ht="14.25" customHeight="1" x14ac:dyDescent="0.3"/>
    <row r="55" spans="1:15" ht="14.25" customHeight="1" x14ac:dyDescent="0.3"/>
    <row r="56" spans="1:15" ht="14.25" customHeight="1" x14ac:dyDescent="0.3"/>
    <row r="57" spans="1:15" ht="14.25" customHeight="1" x14ac:dyDescent="0.3"/>
    <row r="58" spans="1:15" ht="14.25" customHeight="1" x14ac:dyDescent="0.3"/>
    <row r="59" spans="1:15" ht="14.25" customHeight="1" x14ac:dyDescent="0.3"/>
    <row r="60" spans="1:15" ht="14.25" customHeight="1" x14ac:dyDescent="0.3"/>
    <row r="61" spans="1:15" ht="14.25" customHeight="1" x14ac:dyDescent="0.3"/>
    <row r="62" spans="1:15" ht="14.25" customHeight="1" x14ac:dyDescent="0.3"/>
    <row r="63" spans="1:15" ht="14.25" customHeight="1" x14ac:dyDescent="0.3"/>
    <row r="64" spans="1:15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ustomSheetViews>
    <customSheetView guid="{8329F6DB-2BFD-465D-A195-B5275A406970}" filter="1" showAutoFilter="1">
      <pageMargins left="0.7" right="0.7" top="0.75" bottom="0.75" header="0.3" footer="0.3"/>
      <autoFilter ref="A3:O53" xr:uid="{8B5AB658-60E5-4DE8-829C-EAC51E31111E}"/>
      <extLst>
        <ext uri="GoogleSheetsCustomDataVersion1">
          <go:sheetsCustomData xmlns:go="http://customooxmlschemas.google.com/" filterViewId="1077240667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/>
  </sheetViews>
  <sheetFormatPr defaultColWidth="14.44140625" defaultRowHeight="15" customHeight="1" x14ac:dyDescent="0.3"/>
  <cols>
    <col min="1" max="1" width="10.33203125" customWidth="1"/>
    <col min="2" max="2" width="12.5546875" customWidth="1"/>
    <col min="3" max="3" width="13.6640625" customWidth="1"/>
    <col min="4" max="4" width="12.44140625" customWidth="1"/>
    <col min="5" max="5" width="13.5546875" customWidth="1"/>
    <col min="6" max="6" width="10.33203125" customWidth="1"/>
    <col min="7" max="7" width="11.6640625" customWidth="1"/>
    <col min="8" max="8" width="14.109375" customWidth="1"/>
    <col min="9" max="9" width="14.5546875" customWidth="1"/>
    <col min="10" max="10" width="16.88671875" customWidth="1"/>
    <col min="11" max="11" width="10.6640625" customWidth="1"/>
    <col min="12" max="12" width="10.5546875" customWidth="1"/>
    <col min="13" max="13" width="10.44140625" customWidth="1"/>
    <col min="14" max="14" width="9" customWidth="1"/>
    <col min="15" max="15" width="13.6640625" customWidth="1"/>
    <col min="16" max="26" width="8.6640625" customWidth="1"/>
  </cols>
  <sheetData>
    <row r="1" spans="1:15" ht="14.25" customHeight="1" x14ac:dyDescent="0.3">
      <c r="A1" s="12" t="s">
        <v>44</v>
      </c>
    </row>
    <row r="2" spans="1:15" ht="14.25" customHeight="1" x14ac:dyDescent="0.3"/>
    <row r="3" spans="1:15" ht="14.25" customHeight="1" x14ac:dyDescent="0.3">
      <c r="A3" s="16" t="s">
        <v>1</v>
      </c>
      <c r="B3" s="16" t="s">
        <v>4</v>
      </c>
      <c r="C3" s="16" t="s">
        <v>6</v>
      </c>
      <c r="D3" s="16" t="s">
        <v>7</v>
      </c>
      <c r="E3" s="16" t="s">
        <v>8</v>
      </c>
      <c r="F3" s="16" t="s">
        <v>10</v>
      </c>
      <c r="G3" s="16" t="s">
        <v>11</v>
      </c>
      <c r="H3" s="16" t="s">
        <v>12</v>
      </c>
      <c r="I3" s="16" t="s">
        <v>14</v>
      </c>
      <c r="J3" s="16" t="s">
        <v>15</v>
      </c>
      <c r="K3" s="16" t="s">
        <v>17</v>
      </c>
      <c r="L3" s="16" t="s">
        <v>18</v>
      </c>
      <c r="M3" s="16" t="s">
        <v>23</v>
      </c>
      <c r="N3" s="16" t="s">
        <v>24</v>
      </c>
      <c r="O3" s="16" t="s">
        <v>26</v>
      </c>
    </row>
    <row r="4" spans="1:15" ht="14.25" customHeight="1" x14ac:dyDescent="0.3">
      <c r="A4" s="22" t="s">
        <v>113</v>
      </c>
      <c r="B4" s="23">
        <v>45585</v>
      </c>
      <c r="C4" s="22" t="s">
        <v>118</v>
      </c>
      <c r="D4" s="22" t="s">
        <v>120</v>
      </c>
      <c r="E4" s="22" t="s">
        <v>121</v>
      </c>
      <c r="F4" s="22">
        <v>6</v>
      </c>
      <c r="G4" s="22">
        <v>3970</v>
      </c>
      <c r="H4" s="22">
        <v>5.8</v>
      </c>
      <c r="I4" s="22">
        <v>22438.44</v>
      </c>
      <c r="J4" s="22" t="s">
        <v>97</v>
      </c>
      <c r="K4" s="22" t="s">
        <v>42</v>
      </c>
      <c r="L4" s="22" t="s">
        <v>126</v>
      </c>
      <c r="M4" s="22" t="s">
        <v>127</v>
      </c>
      <c r="N4" s="22">
        <v>24</v>
      </c>
      <c r="O4" s="22" t="s">
        <v>128</v>
      </c>
    </row>
    <row r="5" spans="1:15" ht="14.25" customHeight="1" x14ac:dyDescent="0.3">
      <c r="A5" s="22" t="s">
        <v>129</v>
      </c>
      <c r="B5" s="23">
        <v>45317</v>
      </c>
      <c r="C5" s="22" t="s">
        <v>130</v>
      </c>
      <c r="D5" s="22" t="s">
        <v>131</v>
      </c>
      <c r="E5" s="22" t="s">
        <v>38</v>
      </c>
      <c r="F5" s="22">
        <v>3</v>
      </c>
      <c r="G5" s="22">
        <v>2660</v>
      </c>
      <c r="H5" s="22">
        <v>15</v>
      </c>
      <c r="I5" s="22">
        <v>6783</v>
      </c>
      <c r="J5" s="22" t="s">
        <v>41</v>
      </c>
      <c r="K5" s="22" t="s">
        <v>136</v>
      </c>
      <c r="L5" s="22" t="s">
        <v>126</v>
      </c>
      <c r="M5" s="22" t="s">
        <v>137</v>
      </c>
      <c r="N5" s="22">
        <v>27</v>
      </c>
      <c r="O5" s="22" t="s">
        <v>128</v>
      </c>
    </row>
    <row r="6" spans="1:15" ht="14.25" customHeight="1" x14ac:dyDescent="0.3">
      <c r="A6" s="22" t="s">
        <v>138</v>
      </c>
      <c r="B6" s="23">
        <v>45538</v>
      </c>
      <c r="C6" s="22" t="s">
        <v>139</v>
      </c>
      <c r="D6" s="22" t="s">
        <v>140</v>
      </c>
      <c r="E6" s="22" t="s">
        <v>143</v>
      </c>
      <c r="F6" s="22">
        <v>2</v>
      </c>
      <c r="G6" s="22">
        <v>1430</v>
      </c>
      <c r="H6" s="22">
        <v>5</v>
      </c>
      <c r="I6" s="22">
        <v>2717</v>
      </c>
      <c r="J6" s="22" t="s">
        <v>147</v>
      </c>
      <c r="K6" s="22" t="s">
        <v>119</v>
      </c>
      <c r="L6" s="22" t="s">
        <v>126</v>
      </c>
      <c r="M6" s="22" t="s">
        <v>137</v>
      </c>
      <c r="N6" s="22">
        <v>30</v>
      </c>
      <c r="O6" s="22" t="s">
        <v>128</v>
      </c>
    </row>
    <row r="7" spans="1:15" ht="14.25" customHeight="1" x14ac:dyDescent="0.3">
      <c r="A7" s="22" t="s">
        <v>148</v>
      </c>
      <c r="B7" s="23">
        <v>45603</v>
      </c>
      <c r="C7" s="22" t="s">
        <v>150</v>
      </c>
      <c r="D7" s="22" t="s">
        <v>154</v>
      </c>
      <c r="E7" s="22" t="s">
        <v>96</v>
      </c>
      <c r="F7" s="22">
        <v>10</v>
      </c>
      <c r="G7" s="22">
        <v>300</v>
      </c>
      <c r="H7" s="22">
        <v>23.9</v>
      </c>
      <c r="I7" s="22">
        <v>2283</v>
      </c>
      <c r="J7" s="22" t="s">
        <v>41</v>
      </c>
      <c r="K7" s="22" t="s">
        <v>42</v>
      </c>
      <c r="L7" s="22" t="s">
        <v>126</v>
      </c>
      <c r="M7" s="22" t="s">
        <v>137</v>
      </c>
      <c r="N7" s="22">
        <v>25</v>
      </c>
      <c r="O7" s="22" t="s">
        <v>128</v>
      </c>
    </row>
    <row r="8" spans="1:15" ht="14.25" customHeight="1" x14ac:dyDescent="0.3">
      <c r="A8" s="22" t="s">
        <v>156</v>
      </c>
      <c r="B8" s="23">
        <v>45650</v>
      </c>
      <c r="C8" s="22" t="s">
        <v>159</v>
      </c>
      <c r="D8" s="22" t="s">
        <v>160</v>
      </c>
      <c r="E8" s="22" t="s">
        <v>121</v>
      </c>
      <c r="F8" s="22">
        <v>5</v>
      </c>
      <c r="G8" s="22">
        <v>1220</v>
      </c>
      <c r="H8" s="22">
        <v>18.7</v>
      </c>
      <c r="I8" s="22">
        <v>4959.3</v>
      </c>
      <c r="J8" s="22" t="s">
        <v>41</v>
      </c>
      <c r="K8" s="22" t="s">
        <v>98</v>
      </c>
      <c r="L8" s="22" t="s">
        <v>126</v>
      </c>
      <c r="M8" s="22" t="s">
        <v>164</v>
      </c>
      <c r="N8" s="22">
        <v>34</v>
      </c>
      <c r="O8" s="22" t="s">
        <v>128</v>
      </c>
    </row>
    <row r="9" spans="1:15" ht="14.25" customHeight="1" x14ac:dyDescent="0.3">
      <c r="A9" s="22" t="s">
        <v>165</v>
      </c>
      <c r="B9" s="23">
        <v>45453</v>
      </c>
      <c r="C9" s="22" t="s">
        <v>166</v>
      </c>
      <c r="D9" s="22" t="s">
        <v>154</v>
      </c>
      <c r="E9" s="22" t="s">
        <v>167</v>
      </c>
      <c r="F9" s="22">
        <v>6</v>
      </c>
      <c r="G9" s="22">
        <v>300</v>
      </c>
      <c r="H9" s="22">
        <v>13.3</v>
      </c>
      <c r="I9" s="22">
        <v>1560.6</v>
      </c>
      <c r="J9" s="22" t="s">
        <v>41</v>
      </c>
      <c r="K9" s="22" t="s">
        <v>146</v>
      </c>
      <c r="L9" s="22" t="s">
        <v>126</v>
      </c>
      <c r="M9" s="22" t="s">
        <v>127</v>
      </c>
      <c r="N9" s="22">
        <v>22</v>
      </c>
      <c r="O9" s="22" t="s">
        <v>128</v>
      </c>
    </row>
    <row r="10" spans="1:15" ht="14.25" customHeight="1" x14ac:dyDescent="0.3">
      <c r="A10" s="22" t="s">
        <v>168</v>
      </c>
      <c r="B10" s="23">
        <v>45457</v>
      </c>
      <c r="C10" s="22" t="s">
        <v>173</v>
      </c>
      <c r="D10" s="22" t="s">
        <v>160</v>
      </c>
      <c r="E10" s="22" t="s">
        <v>158</v>
      </c>
      <c r="F10" s="22">
        <v>7</v>
      </c>
      <c r="G10" s="22">
        <v>1220</v>
      </c>
      <c r="H10" s="22">
        <v>13.1</v>
      </c>
      <c r="I10" s="22">
        <v>7421.26</v>
      </c>
      <c r="J10" s="22" t="s">
        <v>41</v>
      </c>
      <c r="K10" s="22" t="s">
        <v>178</v>
      </c>
      <c r="L10" s="22" t="s">
        <v>126</v>
      </c>
      <c r="M10" s="22" t="s">
        <v>137</v>
      </c>
      <c r="N10" s="22">
        <v>26</v>
      </c>
      <c r="O10" s="22" t="s">
        <v>128</v>
      </c>
    </row>
    <row r="11" spans="1:15" ht="14.25" customHeight="1" x14ac:dyDescent="0.3">
      <c r="A11" s="22" t="s">
        <v>179</v>
      </c>
      <c r="B11" s="23">
        <v>45376</v>
      </c>
      <c r="C11" s="22" t="s">
        <v>142</v>
      </c>
      <c r="D11" s="22" t="s">
        <v>131</v>
      </c>
      <c r="E11" s="22" t="s">
        <v>158</v>
      </c>
      <c r="F11" s="22">
        <v>10</v>
      </c>
      <c r="G11" s="22">
        <v>2660</v>
      </c>
      <c r="H11" s="22">
        <v>29.3</v>
      </c>
      <c r="I11" s="22">
        <v>18806.2</v>
      </c>
      <c r="J11" s="22" t="s">
        <v>41</v>
      </c>
      <c r="K11" s="22" t="s">
        <v>146</v>
      </c>
      <c r="L11" s="22" t="s">
        <v>126</v>
      </c>
      <c r="M11" s="22" t="s">
        <v>137</v>
      </c>
      <c r="N11" s="22">
        <v>36</v>
      </c>
      <c r="O11" s="22" t="s">
        <v>128</v>
      </c>
    </row>
    <row r="12" spans="1:15" ht="14.25" customHeight="1" x14ac:dyDescent="0.3">
      <c r="A12" s="22" t="s">
        <v>186</v>
      </c>
      <c r="B12" s="23">
        <v>45654</v>
      </c>
      <c r="C12" s="22" t="s">
        <v>187</v>
      </c>
      <c r="D12" s="22" t="s">
        <v>188</v>
      </c>
      <c r="E12" s="22" t="s">
        <v>189</v>
      </c>
      <c r="F12" s="22">
        <v>7</v>
      </c>
      <c r="G12" s="22">
        <v>3870</v>
      </c>
      <c r="H12" s="22">
        <v>5.9</v>
      </c>
      <c r="I12" s="22">
        <v>25491.69</v>
      </c>
      <c r="J12" s="22" t="s">
        <v>41</v>
      </c>
      <c r="K12" s="22" t="s">
        <v>98</v>
      </c>
      <c r="L12" s="22" t="s">
        <v>126</v>
      </c>
      <c r="M12" s="22" t="s">
        <v>164</v>
      </c>
      <c r="N12" s="22">
        <v>35</v>
      </c>
      <c r="O12" s="22" t="s">
        <v>128</v>
      </c>
    </row>
    <row r="13" spans="1:15" ht="14.25" customHeight="1" x14ac:dyDescent="0.3">
      <c r="A13" s="22" t="s">
        <v>194</v>
      </c>
      <c r="B13" s="23">
        <v>45465</v>
      </c>
      <c r="C13" s="22" t="s">
        <v>195</v>
      </c>
      <c r="D13" s="22" t="s">
        <v>181</v>
      </c>
      <c r="E13" s="22" t="s">
        <v>196</v>
      </c>
      <c r="F13" s="22">
        <v>1</v>
      </c>
      <c r="G13" s="22">
        <v>2640</v>
      </c>
      <c r="H13" s="22">
        <v>5.9</v>
      </c>
      <c r="I13" s="22">
        <v>2484.2399999999998</v>
      </c>
      <c r="J13" s="22" t="s">
        <v>41</v>
      </c>
      <c r="K13" s="22" t="s">
        <v>42</v>
      </c>
      <c r="L13" s="22" t="s">
        <v>126</v>
      </c>
      <c r="M13" s="22" t="s">
        <v>164</v>
      </c>
      <c r="N13" s="22">
        <v>40</v>
      </c>
      <c r="O13" s="22" t="s">
        <v>128</v>
      </c>
    </row>
    <row r="14" spans="1:15" ht="14.25" customHeight="1" x14ac:dyDescent="0.3">
      <c r="A14" s="22" t="s">
        <v>201</v>
      </c>
      <c r="B14" s="23">
        <v>45472</v>
      </c>
      <c r="C14" s="22" t="s">
        <v>203</v>
      </c>
      <c r="D14" s="22" t="s">
        <v>188</v>
      </c>
      <c r="E14" s="22" t="s">
        <v>145</v>
      </c>
      <c r="F14" s="22">
        <v>3</v>
      </c>
      <c r="G14" s="22">
        <v>3870</v>
      </c>
      <c r="H14" s="22">
        <v>1.9</v>
      </c>
      <c r="I14" s="22">
        <v>11389.41</v>
      </c>
      <c r="J14" s="22" t="s">
        <v>41</v>
      </c>
      <c r="K14" s="22" t="s">
        <v>119</v>
      </c>
      <c r="L14" s="22" t="s">
        <v>126</v>
      </c>
      <c r="M14" s="22" t="s">
        <v>137</v>
      </c>
      <c r="N14" s="22">
        <v>31</v>
      </c>
      <c r="O14" s="22" t="s">
        <v>128</v>
      </c>
    </row>
    <row r="15" spans="1:15" ht="14.25" customHeight="1" x14ac:dyDescent="0.3">
      <c r="A15" s="22" t="s">
        <v>209</v>
      </c>
      <c r="B15" s="23">
        <v>45483</v>
      </c>
      <c r="C15" s="22" t="s">
        <v>210</v>
      </c>
      <c r="D15" s="22" t="s">
        <v>211</v>
      </c>
      <c r="E15" s="22" t="s">
        <v>214</v>
      </c>
      <c r="F15" s="22">
        <v>9</v>
      </c>
      <c r="G15" s="22">
        <v>3570</v>
      </c>
      <c r="H15" s="22">
        <v>12</v>
      </c>
      <c r="I15" s="22">
        <v>28274.400000000001</v>
      </c>
      <c r="J15" s="22" t="s">
        <v>41</v>
      </c>
      <c r="K15" s="22" t="s">
        <v>98</v>
      </c>
      <c r="L15" s="22" t="s">
        <v>126</v>
      </c>
      <c r="M15" s="22" t="s">
        <v>137</v>
      </c>
      <c r="N15" s="22">
        <v>26</v>
      </c>
      <c r="O15" s="22" t="s">
        <v>128</v>
      </c>
    </row>
    <row r="16" spans="1:15" ht="14.25" customHeight="1" x14ac:dyDescent="0.3">
      <c r="A16" s="22" t="s">
        <v>220</v>
      </c>
      <c r="B16" s="23">
        <v>45343</v>
      </c>
      <c r="C16" s="22" t="s">
        <v>195</v>
      </c>
      <c r="D16" s="22" t="s">
        <v>188</v>
      </c>
      <c r="E16" s="22" t="s">
        <v>221</v>
      </c>
      <c r="F16" s="22">
        <v>9</v>
      </c>
      <c r="G16" s="22">
        <v>3870</v>
      </c>
      <c r="H16" s="22">
        <v>8.1999999999999993</v>
      </c>
      <c r="I16" s="22">
        <v>31973.94</v>
      </c>
      <c r="J16" s="22" t="s">
        <v>41</v>
      </c>
      <c r="K16" s="22" t="s">
        <v>42</v>
      </c>
      <c r="L16" s="22" t="s">
        <v>126</v>
      </c>
      <c r="M16" s="22" t="s">
        <v>164</v>
      </c>
      <c r="N16" s="22">
        <v>40</v>
      </c>
      <c r="O16" s="22" t="s">
        <v>128</v>
      </c>
    </row>
    <row r="17" spans="1:15" ht="14.25" customHeight="1" x14ac:dyDescent="0.3">
      <c r="A17" s="22" t="s">
        <v>228</v>
      </c>
      <c r="B17" s="23">
        <v>45343</v>
      </c>
      <c r="C17" s="22" t="s">
        <v>229</v>
      </c>
      <c r="D17" s="22" t="s">
        <v>230</v>
      </c>
      <c r="E17" s="22" t="s">
        <v>231</v>
      </c>
      <c r="F17" s="22">
        <v>3</v>
      </c>
      <c r="G17" s="22">
        <v>5330</v>
      </c>
      <c r="H17" s="22">
        <v>1</v>
      </c>
      <c r="I17" s="22">
        <v>15830.1</v>
      </c>
      <c r="J17" s="22" t="s">
        <v>97</v>
      </c>
      <c r="K17" s="22" t="s">
        <v>178</v>
      </c>
      <c r="L17" s="22" t="s">
        <v>126</v>
      </c>
      <c r="M17" s="22" t="s">
        <v>137</v>
      </c>
      <c r="N17" s="22">
        <v>31</v>
      </c>
      <c r="O17" s="22" t="s">
        <v>128</v>
      </c>
    </row>
    <row r="18" spans="1:15" ht="14.25" customHeight="1" x14ac:dyDescent="0.3">
      <c r="A18" s="22" t="s">
        <v>234</v>
      </c>
      <c r="B18" s="23">
        <v>45458</v>
      </c>
      <c r="C18" s="22" t="s">
        <v>235</v>
      </c>
      <c r="D18" s="22" t="s">
        <v>160</v>
      </c>
      <c r="E18" s="22" t="s">
        <v>236</v>
      </c>
      <c r="F18" s="22">
        <v>5</v>
      </c>
      <c r="G18" s="22">
        <v>1220</v>
      </c>
      <c r="H18" s="22">
        <v>15.6</v>
      </c>
      <c r="I18" s="22">
        <v>5148.3999999999996</v>
      </c>
      <c r="J18" s="22" t="s">
        <v>41</v>
      </c>
      <c r="K18" s="22" t="s">
        <v>178</v>
      </c>
      <c r="L18" s="22" t="s">
        <v>126</v>
      </c>
      <c r="M18" s="22" t="s">
        <v>127</v>
      </c>
      <c r="N18" s="22">
        <v>29</v>
      </c>
      <c r="O18" s="22" t="s">
        <v>128</v>
      </c>
    </row>
    <row r="19" spans="1:15" ht="14.25" customHeight="1" x14ac:dyDescent="0.3">
      <c r="A19" s="22" t="s">
        <v>243</v>
      </c>
      <c r="B19" s="23">
        <v>45523</v>
      </c>
      <c r="C19" s="22" t="s">
        <v>244</v>
      </c>
      <c r="D19" s="22" t="s">
        <v>160</v>
      </c>
      <c r="E19" s="22" t="s">
        <v>121</v>
      </c>
      <c r="F19" s="22">
        <v>10</v>
      </c>
      <c r="G19" s="22">
        <v>1220</v>
      </c>
      <c r="H19" s="22">
        <v>15.4</v>
      </c>
      <c r="I19" s="22">
        <v>10321.200000000001</v>
      </c>
      <c r="J19" s="22" t="s">
        <v>41</v>
      </c>
      <c r="K19" s="22" t="s">
        <v>119</v>
      </c>
      <c r="L19" s="22" t="s">
        <v>126</v>
      </c>
      <c r="M19" s="22" t="s">
        <v>137</v>
      </c>
      <c r="N19" s="22">
        <v>24</v>
      </c>
      <c r="O19" s="22" t="s">
        <v>128</v>
      </c>
    </row>
    <row r="20" spans="1:15" ht="14.25" customHeight="1" x14ac:dyDescent="0.3">
      <c r="A20" s="22" t="s">
        <v>252</v>
      </c>
      <c r="B20" s="23">
        <v>45564</v>
      </c>
      <c r="C20" s="22" t="s">
        <v>195</v>
      </c>
      <c r="D20" s="22" t="s">
        <v>154</v>
      </c>
      <c r="E20" s="22" t="s">
        <v>261</v>
      </c>
      <c r="F20" s="22">
        <v>8</v>
      </c>
      <c r="G20" s="22">
        <v>300</v>
      </c>
      <c r="H20" s="22">
        <v>19.8</v>
      </c>
      <c r="I20" s="22">
        <v>1924.8</v>
      </c>
      <c r="J20" s="22" t="s">
        <v>147</v>
      </c>
      <c r="K20" s="22" t="s">
        <v>42</v>
      </c>
      <c r="L20" s="22" t="s">
        <v>126</v>
      </c>
      <c r="M20" s="22" t="s">
        <v>164</v>
      </c>
      <c r="N20" s="22">
        <v>40</v>
      </c>
      <c r="O20" s="22" t="s">
        <v>128</v>
      </c>
    </row>
    <row r="21" spans="1:15" ht="14.25" customHeight="1" x14ac:dyDescent="0.3">
      <c r="A21" s="22" t="s">
        <v>281</v>
      </c>
      <c r="B21" s="23">
        <v>45330</v>
      </c>
      <c r="C21" s="22" t="s">
        <v>187</v>
      </c>
      <c r="D21" s="22" t="s">
        <v>160</v>
      </c>
      <c r="E21" s="22" t="s">
        <v>167</v>
      </c>
      <c r="F21" s="22">
        <v>7</v>
      </c>
      <c r="G21" s="22">
        <v>1220</v>
      </c>
      <c r="H21" s="22">
        <v>29.4</v>
      </c>
      <c r="I21" s="22">
        <v>6029.24</v>
      </c>
      <c r="J21" s="22" t="s">
        <v>41</v>
      </c>
      <c r="K21" s="22" t="s">
        <v>98</v>
      </c>
      <c r="L21" s="22" t="s">
        <v>126</v>
      </c>
      <c r="M21" s="22" t="s">
        <v>164</v>
      </c>
      <c r="N21" s="22">
        <v>35</v>
      </c>
      <c r="O21" s="22" t="s">
        <v>128</v>
      </c>
    </row>
    <row r="22" spans="1:15" ht="14.25" customHeight="1" x14ac:dyDescent="0.3">
      <c r="A22" s="22" t="s">
        <v>311</v>
      </c>
      <c r="B22" s="23">
        <v>45306</v>
      </c>
      <c r="C22" s="22" t="s">
        <v>257</v>
      </c>
      <c r="D22" s="22" t="s">
        <v>131</v>
      </c>
      <c r="E22" s="22" t="s">
        <v>121</v>
      </c>
      <c r="F22" s="22">
        <v>6</v>
      </c>
      <c r="G22" s="22">
        <v>2660</v>
      </c>
      <c r="H22" s="22">
        <v>6.4</v>
      </c>
      <c r="I22" s="22">
        <v>14938.56</v>
      </c>
      <c r="J22" s="22" t="s">
        <v>41</v>
      </c>
      <c r="K22" s="22" t="s">
        <v>146</v>
      </c>
      <c r="L22" s="22" t="s">
        <v>126</v>
      </c>
      <c r="M22" s="22" t="s">
        <v>137</v>
      </c>
      <c r="N22" s="22">
        <v>33</v>
      </c>
      <c r="O22" s="22" t="s">
        <v>128</v>
      </c>
    </row>
    <row r="23" spans="1:15" ht="14.25" customHeight="1" x14ac:dyDescent="0.3">
      <c r="A23" s="22" t="s">
        <v>348</v>
      </c>
      <c r="B23" s="23">
        <v>45650</v>
      </c>
      <c r="C23" s="22" t="s">
        <v>353</v>
      </c>
      <c r="D23" s="22" t="s">
        <v>230</v>
      </c>
      <c r="E23" s="22" t="s">
        <v>158</v>
      </c>
      <c r="F23" s="22">
        <v>7</v>
      </c>
      <c r="G23" s="22">
        <v>5330</v>
      </c>
      <c r="H23" s="22">
        <v>8.1999999999999993</v>
      </c>
      <c r="I23" s="22">
        <v>34250.58</v>
      </c>
      <c r="J23" s="22" t="s">
        <v>41</v>
      </c>
      <c r="K23" s="22" t="s">
        <v>136</v>
      </c>
      <c r="L23" s="22" t="s">
        <v>126</v>
      </c>
      <c r="M23" s="22" t="s">
        <v>164</v>
      </c>
      <c r="N23" s="22">
        <v>31</v>
      </c>
      <c r="O23" s="22" t="s">
        <v>128</v>
      </c>
    </row>
    <row r="24" spans="1:15" ht="14.25" customHeight="1" x14ac:dyDescent="0.3">
      <c r="A24" s="22" t="s">
        <v>381</v>
      </c>
      <c r="B24" s="23">
        <v>45316</v>
      </c>
      <c r="C24" s="22" t="s">
        <v>384</v>
      </c>
      <c r="D24" s="22" t="s">
        <v>188</v>
      </c>
      <c r="E24" s="22" t="s">
        <v>208</v>
      </c>
      <c r="F24" s="22">
        <v>1</v>
      </c>
      <c r="G24" s="22">
        <v>3870</v>
      </c>
      <c r="H24" s="22">
        <v>29.6</v>
      </c>
      <c r="I24" s="22">
        <v>2724.48</v>
      </c>
      <c r="J24" s="22" t="s">
        <v>41</v>
      </c>
      <c r="K24" s="22" t="s">
        <v>136</v>
      </c>
      <c r="L24" s="22" t="s">
        <v>126</v>
      </c>
      <c r="M24" s="22" t="s">
        <v>164</v>
      </c>
      <c r="N24" s="22">
        <v>26</v>
      </c>
      <c r="O24" s="22" t="s">
        <v>128</v>
      </c>
    </row>
    <row r="25" spans="1:15" ht="14.25" customHeight="1" x14ac:dyDescent="0.3">
      <c r="A25" s="22" t="s">
        <v>420</v>
      </c>
      <c r="B25" s="23">
        <v>45540</v>
      </c>
      <c r="C25" s="22" t="s">
        <v>424</v>
      </c>
      <c r="D25" s="22" t="s">
        <v>230</v>
      </c>
      <c r="E25" s="22" t="s">
        <v>177</v>
      </c>
      <c r="F25" s="22">
        <v>1</v>
      </c>
      <c r="G25" s="22">
        <v>5330</v>
      </c>
      <c r="H25" s="22">
        <v>26.8</v>
      </c>
      <c r="I25" s="22">
        <v>3901.56</v>
      </c>
      <c r="J25" s="22" t="s">
        <v>41</v>
      </c>
      <c r="K25" s="22" t="s">
        <v>136</v>
      </c>
      <c r="L25" s="22" t="s">
        <v>126</v>
      </c>
      <c r="M25" s="22" t="s">
        <v>137</v>
      </c>
      <c r="N25" s="22">
        <v>35</v>
      </c>
      <c r="O25" s="22" t="s">
        <v>128</v>
      </c>
    </row>
    <row r="26" spans="1:15" ht="14.25" customHeight="1" x14ac:dyDescent="0.3">
      <c r="A26" s="22" t="s">
        <v>445</v>
      </c>
      <c r="B26" s="23">
        <v>45457</v>
      </c>
      <c r="C26" s="22" t="s">
        <v>294</v>
      </c>
      <c r="D26" s="22" t="s">
        <v>140</v>
      </c>
      <c r="E26" s="22" t="s">
        <v>143</v>
      </c>
      <c r="F26" s="22">
        <v>3</v>
      </c>
      <c r="G26" s="22">
        <v>1430</v>
      </c>
      <c r="H26" s="22">
        <v>1.5</v>
      </c>
      <c r="I26" s="22">
        <v>4225.6499999999996</v>
      </c>
      <c r="J26" s="22" t="s">
        <v>41</v>
      </c>
      <c r="K26" s="22" t="s">
        <v>98</v>
      </c>
      <c r="L26" s="22" t="s">
        <v>126</v>
      </c>
      <c r="M26" s="22" t="s">
        <v>137</v>
      </c>
      <c r="N26" s="22">
        <v>22</v>
      </c>
      <c r="O26" s="22" t="s">
        <v>128</v>
      </c>
    </row>
    <row r="27" spans="1:15" ht="14.25" customHeight="1" x14ac:dyDescent="0.3">
      <c r="A27" s="22" t="s">
        <v>473</v>
      </c>
      <c r="B27" s="23">
        <v>45370</v>
      </c>
      <c r="C27" s="22" t="s">
        <v>244</v>
      </c>
      <c r="D27" s="22" t="s">
        <v>211</v>
      </c>
      <c r="E27" s="22" t="s">
        <v>96</v>
      </c>
      <c r="F27" s="22">
        <v>9</v>
      </c>
      <c r="G27" s="22">
        <v>3570</v>
      </c>
      <c r="H27" s="22">
        <v>5.6</v>
      </c>
      <c r="I27" s="22">
        <v>30330.720000000001</v>
      </c>
      <c r="J27" s="22" t="s">
        <v>41</v>
      </c>
      <c r="K27" s="22" t="s">
        <v>119</v>
      </c>
      <c r="L27" s="22" t="s">
        <v>126</v>
      </c>
      <c r="M27" s="22" t="s">
        <v>137</v>
      </c>
      <c r="N27" s="22">
        <v>24</v>
      </c>
      <c r="O27" s="22" t="s">
        <v>128</v>
      </c>
    </row>
    <row r="28" spans="1:15" ht="14.25" customHeight="1" x14ac:dyDescent="0.3">
      <c r="A28" s="22" t="s">
        <v>497</v>
      </c>
      <c r="B28" s="23">
        <v>45627</v>
      </c>
      <c r="C28" s="22" t="s">
        <v>503</v>
      </c>
      <c r="D28" s="22" t="s">
        <v>160</v>
      </c>
      <c r="E28" s="22" t="s">
        <v>143</v>
      </c>
      <c r="F28" s="22">
        <v>3</v>
      </c>
      <c r="G28" s="22">
        <v>1220</v>
      </c>
      <c r="H28" s="22">
        <v>7.7</v>
      </c>
      <c r="I28" s="22">
        <v>3378.18</v>
      </c>
      <c r="J28" s="22" t="s">
        <v>97</v>
      </c>
      <c r="K28" s="22" t="s">
        <v>136</v>
      </c>
      <c r="L28" s="22" t="s">
        <v>126</v>
      </c>
      <c r="M28" s="22" t="s">
        <v>164</v>
      </c>
      <c r="N28" s="22">
        <v>36</v>
      </c>
      <c r="O28" s="22" t="s">
        <v>128</v>
      </c>
    </row>
    <row r="29" spans="1:15" ht="14.25" customHeight="1" x14ac:dyDescent="0.3">
      <c r="A29" s="22" t="s">
        <v>527</v>
      </c>
      <c r="B29" s="23">
        <v>45516</v>
      </c>
      <c r="C29" s="22" t="s">
        <v>532</v>
      </c>
      <c r="D29" s="22" t="s">
        <v>184</v>
      </c>
      <c r="E29" s="22" t="s">
        <v>38</v>
      </c>
      <c r="F29" s="22">
        <v>5</v>
      </c>
      <c r="G29" s="22">
        <v>2600</v>
      </c>
      <c r="H29" s="22">
        <v>0.3</v>
      </c>
      <c r="I29" s="22">
        <v>12961</v>
      </c>
      <c r="J29" s="22" t="s">
        <v>41</v>
      </c>
      <c r="K29" s="22" t="s">
        <v>98</v>
      </c>
      <c r="L29" s="22" t="s">
        <v>126</v>
      </c>
      <c r="M29" s="22" t="s">
        <v>164</v>
      </c>
      <c r="N29" s="22">
        <v>30</v>
      </c>
      <c r="O29" s="22" t="s">
        <v>128</v>
      </c>
    </row>
    <row r="30" spans="1:15" ht="14.25" customHeight="1" x14ac:dyDescent="0.3">
      <c r="A30" s="22" t="s">
        <v>559</v>
      </c>
      <c r="B30" s="23">
        <v>45548</v>
      </c>
      <c r="C30" s="22" t="s">
        <v>563</v>
      </c>
      <c r="D30" s="22" t="s">
        <v>211</v>
      </c>
      <c r="E30" s="22" t="s">
        <v>196</v>
      </c>
      <c r="F30" s="22">
        <v>7</v>
      </c>
      <c r="G30" s="22">
        <v>3570</v>
      </c>
      <c r="H30" s="22">
        <v>24.3</v>
      </c>
      <c r="I30" s="22">
        <v>18917.43</v>
      </c>
      <c r="J30" s="22" t="s">
        <v>41</v>
      </c>
      <c r="K30" s="22" t="s">
        <v>98</v>
      </c>
      <c r="L30" s="22" t="s">
        <v>126</v>
      </c>
      <c r="M30" s="22" t="s">
        <v>164</v>
      </c>
      <c r="N30" s="22">
        <v>24</v>
      </c>
      <c r="O30" s="22" t="s">
        <v>128</v>
      </c>
    </row>
    <row r="31" spans="1:15" ht="14.25" customHeight="1" x14ac:dyDescent="0.3">
      <c r="A31" s="22" t="s">
        <v>586</v>
      </c>
      <c r="B31" s="23">
        <v>45360</v>
      </c>
      <c r="C31" s="22" t="s">
        <v>592</v>
      </c>
      <c r="D31" s="22" t="s">
        <v>230</v>
      </c>
      <c r="E31" s="22" t="s">
        <v>301</v>
      </c>
      <c r="F31" s="22">
        <v>10</v>
      </c>
      <c r="G31" s="22">
        <v>5330</v>
      </c>
      <c r="H31" s="22">
        <v>27.3</v>
      </c>
      <c r="I31" s="22">
        <v>38749.1</v>
      </c>
      <c r="J31" s="22" t="s">
        <v>41</v>
      </c>
      <c r="K31" s="22" t="s">
        <v>42</v>
      </c>
      <c r="L31" s="22" t="s">
        <v>126</v>
      </c>
      <c r="M31" s="22" t="s">
        <v>127</v>
      </c>
      <c r="N31" s="22">
        <v>35</v>
      </c>
      <c r="O31" s="22" t="s">
        <v>128</v>
      </c>
    </row>
    <row r="32" spans="1:15" ht="14.25" customHeight="1" x14ac:dyDescent="0.3">
      <c r="A32" s="22" t="s">
        <v>612</v>
      </c>
      <c r="B32" s="23">
        <v>45367</v>
      </c>
      <c r="C32" s="22" t="s">
        <v>173</v>
      </c>
      <c r="D32" s="22" t="s">
        <v>230</v>
      </c>
      <c r="E32" s="22" t="s">
        <v>619</v>
      </c>
      <c r="F32" s="22">
        <v>7</v>
      </c>
      <c r="G32" s="22">
        <v>5330</v>
      </c>
      <c r="H32" s="22">
        <v>16.399999999999999</v>
      </c>
      <c r="I32" s="22">
        <v>31191.16</v>
      </c>
      <c r="J32" s="22" t="s">
        <v>41</v>
      </c>
      <c r="K32" s="22" t="s">
        <v>178</v>
      </c>
      <c r="L32" s="22" t="s">
        <v>126</v>
      </c>
      <c r="M32" s="22" t="s">
        <v>137</v>
      </c>
      <c r="N32" s="22">
        <v>26</v>
      </c>
      <c r="O32" s="22" t="s">
        <v>128</v>
      </c>
    </row>
    <row r="33" spans="1:15" ht="14.25" customHeight="1" x14ac:dyDescent="0.3">
      <c r="A33" s="22" t="s">
        <v>641</v>
      </c>
      <c r="B33" s="23">
        <v>45434</v>
      </c>
      <c r="C33" s="22" t="s">
        <v>647</v>
      </c>
      <c r="D33" s="22" t="s">
        <v>230</v>
      </c>
      <c r="E33" s="22" t="s">
        <v>301</v>
      </c>
      <c r="F33" s="22">
        <v>10</v>
      </c>
      <c r="G33" s="22">
        <v>5330</v>
      </c>
      <c r="H33" s="22">
        <v>16.100000000000001</v>
      </c>
      <c r="I33" s="22">
        <v>44718.7</v>
      </c>
      <c r="J33" s="22" t="s">
        <v>41</v>
      </c>
      <c r="K33" s="22" t="s">
        <v>136</v>
      </c>
      <c r="L33" s="22" t="s">
        <v>126</v>
      </c>
      <c r="M33" s="22" t="s">
        <v>137</v>
      </c>
      <c r="N33" s="22">
        <v>34</v>
      </c>
      <c r="O33" s="22" t="s">
        <v>128</v>
      </c>
    </row>
    <row r="34" spans="1:15" ht="14.25" customHeight="1" x14ac:dyDescent="0.3">
      <c r="A34" s="22" t="s">
        <v>669</v>
      </c>
      <c r="B34" s="23">
        <v>45344</v>
      </c>
      <c r="C34" s="22" t="s">
        <v>568</v>
      </c>
      <c r="D34" s="22" t="s">
        <v>181</v>
      </c>
      <c r="E34" s="22" t="s">
        <v>96</v>
      </c>
      <c r="F34" s="22">
        <v>5</v>
      </c>
      <c r="G34" s="22">
        <v>2640</v>
      </c>
      <c r="H34" s="22">
        <v>26.8</v>
      </c>
      <c r="I34" s="22">
        <v>9662.4</v>
      </c>
      <c r="J34" s="22" t="s">
        <v>41</v>
      </c>
      <c r="K34" s="22" t="s">
        <v>98</v>
      </c>
      <c r="L34" s="22" t="s">
        <v>126</v>
      </c>
      <c r="M34" s="22" t="s">
        <v>137</v>
      </c>
      <c r="N34" s="22">
        <v>37</v>
      </c>
      <c r="O34" s="22" t="s">
        <v>128</v>
      </c>
    </row>
    <row r="35" spans="1:15" ht="14.25" customHeight="1" x14ac:dyDescent="0.3">
      <c r="A35" s="22" t="s">
        <v>693</v>
      </c>
      <c r="B35" s="23">
        <v>45562</v>
      </c>
      <c r="C35" s="22" t="s">
        <v>696</v>
      </c>
      <c r="D35" s="22" t="s">
        <v>154</v>
      </c>
      <c r="E35" s="22" t="s">
        <v>38</v>
      </c>
      <c r="F35" s="22">
        <v>5</v>
      </c>
      <c r="G35" s="22">
        <v>300</v>
      </c>
      <c r="H35" s="22">
        <v>19.399999999999999</v>
      </c>
      <c r="I35" s="22">
        <v>1209</v>
      </c>
      <c r="J35" s="22" t="s">
        <v>41</v>
      </c>
      <c r="K35" s="22" t="s">
        <v>136</v>
      </c>
      <c r="L35" s="22" t="s">
        <v>126</v>
      </c>
      <c r="M35" s="22" t="s">
        <v>137</v>
      </c>
      <c r="N35" s="22">
        <v>36</v>
      </c>
      <c r="O35" s="22" t="s">
        <v>128</v>
      </c>
    </row>
    <row r="36" spans="1:15" ht="14.25" customHeight="1" x14ac:dyDescent="0.3">
      <c r="A36" s="22" t="s">
        <v>720</v>
      </c>
      <c r="B36" s="23">
        <v>45363</v>
      </c>
      <c r="C36" s="22" t="s">
        <v>442</v>
      </c>
      <c r="D36" s="22" t="s">
        <v>160</v>
      </c>
      <c r="E36" s="22" t="s">
        <v>189</v>
      </c>
      <c r="F36" s="22">
        <v>5</v>
      </c>
      <c r="G36" s="22">
        <v>1220</v>
      </c>
      <c r="H36" s="22">
        <v>2.6</v>
      </c>
      <c r="I36" s="22">
        <v>5941.4</v>
      </c>
      <c r="J36" s="22" t="s">
        <v>41</v>
      </c>
      <c r="K36" s="22" t="s">
        <v>98</v>
      </c>
      <c r="L36" s="22" t="s">
        <v>126</v>
      </c>
      <c r="M36" s="22" t="s">
        <v>137</v>
      </c>
      <c r="N36" s="22">
        <v>26</v>
      </c>
      <c r="O36" s="22" t="s">
        <v>128</v>
      </c>
    </row>
    <row r="37" spans="1:15" ht="14.25" customHeight="1" x14ac:dyDescent="0.3">
      <c r="A37" s="22" t="s">
        <v>749</v>
      </c>
      <c r="B37" s="23">
        <v>45632</v>
      </c>
      <c r="C37" s="22" t="s">
        <v>288</v>
      </c>
      <c r="D37" s="22" t="s">
        <v>140</v>
      </c>
      <c r="E37" s="22" t="s">
        <v>38</v>
      </c>
      <c r="F37" s="22">
        <v>1</v>
      </c>
      <c r="G37" s="22">
        <v>1430</v>
      </c>
      <c r="H37" s="22">
        <v>5.9</v>
      </c>
      <c r="I37" s="22">
        <v>1345.63</v>
      </c>
      <c r="J37" s="22" t="s">
        <v>147</v>
      </c>
      <c r="K37" s="22" t="s">
        <v>119</v>
      </c>
      <c r="L37" s="22" t="s">
        <v>126</v>
      </c>
      <c r="M37" s="22" t="s">
        <v>127</v>
      </c>
      <c r="N37" s="22">
        <v>26</v>
      </c>
      <c r="O37" s="22" t="s">
        <v>128</v>
      </c>
    </row>
    <row r="38" spans="1:15" ht="14.25" customHeight="1" x14ac:dyDescent="0.3">
      <c r="A38" s="22" t="s">
        <v>775</v>
      </c>
      <c r="B38" s="23">
        <v>45345</v>
      </c>
      <c r="C38" s="22" t="s">
        <v>778</v>
      </c>
      <c r="D38" s="22" t="s">
        <v>154</v>
      </c>
      <c r="E38" s="22" t="s">
        <v>745</v>
      </c>
      <c r="F38" s="22">
        <v>1</v>
      </c>
      <c r="G38" s="22">
        <v>300</v>
      </c>
      <c r="H38" s="22">
        <v>0.7</v>
      </c>
      <c r="I38" s="22">
        <v>297.89999999999998</v>
      </c>
      <c r="J38" s="22" t="s">
        <v>41</v>
      </c>
      <c r="K38" s="22" t="s">
        <v>136</v>
      </c>
      <c r="L38" s="22" t="s">
        <v>126</v>
      </c>
      <c r="M38" s="22" t="s">
        <v>137</v>
      </c>
      <c r="N38" s="22">
        <v>27</v>
      </c>
      <c r="O38" s="22" t="s">
        <v>128</v>
      </c>
    </row>
    <row r="39" spans="1:15" ht="14.25" customHeight="1" x14ac:dyDescent="0.3">
      <c r="A39" s="22" t="s">
        <v>798</v>
      </c>
      <c r="B39" s="23">
        <v>45605</v>
      </c>
      <c r="C39" s="22" t="s">
        <v>533</v>
      </c>
      <c r="D39" s="22" t="s">
        <v>140</v>
      </c>
      <c r="E39" s="22" t="s">
        <v>135</v>
      </c>
      <c r="F39" s="22">
        <v>1</v>
      </c>
      <c r="G39" s="22">
        <v>1430</v>
      </c>
      <c r="H39" s="22">
        <v>19.600000000000001</v>
      </c>
      <c r="I39" s="22">
        <v>1149.72</v>
      </c>
      <c r="J39" s="22" t="s">
        <v>41</v>
      </c>
      <c r="K39" s="22" t="s">
        <v>136</v>
      </c>
      <c r="L39" s="22" t="s">
        <v>126</v>
      </c>
      <c r="M39" s="22" t="s">
        <v>127</v>
      </c>
      <c r="N39" s="22">
        <v>36</v>
      </c>
      <c r="O39" s="22" t="s">
        <v>128</v>
      </c>
    </row>
    <row r="40" spans="1:15" ht="14.25" customHeight="1" x14ac:dyDescent="0.3">
      <c r="A40" s="22" t="s">
        <v>828</v>
      </c>
      <c r="B40" s="23">
        <v>45315</v>
      </c>
      <c r="C40" s="22" t="s">
        <v>532</v>
      </c>
      <c r="D40" s="22" t="s">
        <v>188</v>
      </c>
      <c r="E40" s="22" t="s">
        <v>745</v>
      </c>
      <c r="F40" s="22">
        <v>3</v>
      </c>
      <c r="G40" s="22">
        <v>3870</v>
      </c>
      <c r="H40" s="22">
        <v>4.2</v>
      </c>
      <c r="I40" s="22">
        <v>11122.38</v>
      </c>
      <c r="J40" s="22" t="s">
        <v>41</v>
      </c>
      <c r="K40" s="22" t="s">
        <v>98</v>
      </c>
      <c r="L40" s="22" t="s">
        <v>126</v>
      </c>
      <c r="M40" s="22" t="s">
        <v>164</v>
      </c>
      <c r="N40" s="22">
        <v>30</v>
      </c>
      <c r="O40" s="22" t="s">
        <v>128</v>
      </c>
    </row>
    <row r="41" spans="1:15" ht="14.25" customHeight="1" x14ac:dyDescent="0.3">
      <c r="A41" s="22" t="s">
        <v>860</v>
      </c>
      <c r="B41" s="23">
        <v>45510</v>
      </c>
      <c r="C41" s="22" t="s">
        <v>494</v>
      </c>
      <c r="D41" s="22" t="s">
        <v>230</v>
      </c>
      <c r="E41" s="22" t="s">
        <v>200</v>
      </c>
      <c r="F41" s="22">
        <v>6</v>
      </c>
      <c r="G41" s="22">
        <v>5330</v>
      </c>
      <c r="H41" s="22">
        <v>8.4</v>
      </c>
      <c r="I41" s="22">
        <v>29293.68</v>
      </c>
      <c r="J41" s="22" t="s">
        <v>41</v>
      </c>
      <c r="K41" s="22" t="s">
        <v>42</v>
      </c>
      <c r="L41" s="22" t="s">
        <v>126</v>
      </c>
      <c r="M41" s="22" t="s">
        <v>164</v>
      </c>
      <c r="N41" s="22">
        <v>31</v>
      </c>
      <c r="O41" s="22" t="s">
        <v>128</v>
      </c>
    </row>
    <row r="42" spans="1:15" ht="14.25" customHeight="1" x14ac:dyDescent="0.3">
      <c r="A42" s="22" t="s">
        <v>868</v>
      </c>
      <c r="B42" s="23">
        <v>45382</v>
      </c>
      <c r="C42" s="22" t="s">
        <v>118</v>
      </c>
      <c r="D42" s="22" t="s">
        <v>184</v>
      </c>
      <c r="E42" s="22" t="s">
        <v>145</v>
      </c>
      <c r="F42" s="22">
        <v>9</v>
      </c>
      <c r="G42" s="22">
        <v>2600</v>
      </c>
      <c r="H42" s="22">
        <v>7.7</v>
      </c>
      <c r="I42" s="22">
        <v>21598.2</v>
      </c>
      <c r="J42" s="22" t="s">
        <v>41</v>
      </c>
      <c r="K42" s="22" t="s">
        <v>42</v>
      </c>
      <c r="L42" s="22" t="s">
        <v>126</v>
      </c>
      <c r="M42" s="22" t="s">
        <v>127</v>
      </c>
      <c r="N42" s="22">
        <v>24</v>
      </c>
      <c r="O42" s="22" t="s">
        <v>128</v>
      </c>
    </row>
    <row r="43" spans="1:15" ht="14.25" customHeight="1" x14ac:dyDescent="0.3">
      <c r="A43" s="22" t="s">
        <v>871</v>
      </c>
      <c r="B43" s="23">
        <v>45408</v>
      </c>
      <c r="C43" s="22" t="s">
        <v>133</v>
      </c>
      <c r="D43" s="22" t="s">
        <v>184</v>
      </c>
      <c r="E43" s="22" t="s">
        <v>745</v>
      </c>
      <c r="F43" s="22">
        <v>1</v>
      </c>
      <c r="G43" s="22">
        <v>2600</v>
      </c>
      <c r="H43" s="22">
        <v>1</v>
      </c>
      <c r="I43" s="22">
        <v>2574</v>
      </c>
      <c r="J43" s="22" t="s">
        <v>41</v>
      </c>
      <c r="K43" s="22" t="s">
        <v>98</v>
      </c>
      <c r="L43" s="22" t="s">
        <v>126</v>
      </c>
      <c r="M43" s="22" t="s">
        <v>137</v>
      </c>
      <c r="N43" s="22">
        <v>36</v>
      </c>
      <c r="O43" s="22" t="s">
        <v>128</v>
      </c>
    </row>
    <row r="44" spans="1:15" ht="14.25" customHeight="1" x14ac:dyDescent="0.3">
      <c r="A44" s="22" t="s">
        <v>880</v>
      </c>
      <c r="B44" s="23">
        <v>45584</v>
      </c>
      <c r="C44" s="22" t="s">
        <v>592</v>
      </c>
      <c r="D44" s="22" t="s">
        <v>184</v>
      </c>
      <c r="E44" s="22" t="s">
        <v>117</v>
      </c>
      <c r="F44" s="22">
        <v>8</v>
      </c>
      <c r="G44" s="22">
        <v>2600</v>
      </c>
      <c r="H44" s="22">
        <v>26.7</v>
      </c>
      <c r="I44" s="22">
        <v>15246.4</v>
      </c>
      <c r="J44" s="22" t="s">
        <v>41</v>
      </c>
      <c r="K44" s="22" t="s">
        <v>42</v>
      </c>
      <c r="L44" s="22" t="s">
        <v>126</v>
      </c>
      <c r="M44" s="22" t="s">
        <v>127</v>
      </c>
      <c r="N44" s="22">
        <v>35</v>
      </c>
      <c r="O44" s="22" t="s">
        <v>128</v>
      </c>
    </row>
    <row r="45" spans="1:15" ht="14.25" customHeight="1" x14ac:dyDescent="0.3">
      <c r="A45" s="22" t="s">
        <v>899</v>
      </c>
      <c r="B45" s="23">
        <v>45554</v>
      </c>
      <c r="C45" s="22" t="s">
        <v>765</v>
      </c>
      <c r="D45" s="22" t="s">
        <v>131</v>
      </c>
      <c r="E45" s="22" t="s">
        <v>177</v>
      </c>
      <c r="F45" s="22">
        <v>5</v>
      </c>
      <c r="G45" s="22">
        <v>2660</v>
      </c>
      <c r="H45" s="22">
        <v>8.3000000000000007</v>
      </c>
      <c r="I45" s="22">
        <v>12196.1</v>
      </c>
      <c r="J45" s="22" t="s">
        <v>41</v>
      </c>
      <c r="K45" s="22" t="s">
        <v>119</v>
      </c>
      <c r="L45" s="22" t="s">
        <v>126</v>
      </c>
      <c r="M45" s="22" t="s">
        <v>127</v>
      </c>
      <c r="N45" s="22">
        <v>29</v>
      </c>
      <c r="O45" s="22" t="s">
        <v>128</v>
      </c>
    </row>
    <row r="46" spans="1:15" ht="14.25" customHeight="1" x14ac:dyDescent="0.3">
      <c r="A46" s="22" t="s">
        <v>928</v>
      </c>
      <c r="B46" s="23">
        <v>45475</v>
      </c>
      <c r="C46" s="22" t="s">
        <v>614</v>
      </c>
      <c r="D46" s="22" t="s">
        <v>160</v>
      </c>
      <c r="E46" s="22" t="s">
        <v>214</v>
      </c>
      <c r="F46" s="22">
        <v>8</v>
      </c>
      <c r="G46" s="22">
        <v>1220</v>
      </c>
      <c r="H46" s="22">
        <v>28.2</v>
      </c>
      <c r="I46" s="22">
        <v>7007.68</v>
      </c>
      <c r="J46" s="22" t="s">
        <v>41</v>
      </c>
      <c r="K46" s="22" t="s">
        <v>178</v>
      </c>
      <c r="L46" s="22" t="s">
        <v>126</v>
      </c>
      <c r="M46" s="22" t="s">
        <v>137</v>
      </c>
      <c r="N46" s="22">
        <v>31</v>
      </c>
      <c r="O46" s="22" t="s">
        <v>128</v>
      </c>
    </row>
    <row r="47" spans="1:15" ht="14.25" customHeight="1" x14ac:dyDescent="0.3">
      <c r="A47" s="22" t="s">
        <v>947</v>
      </c>
      <c r="B47" s="23">
        <v>45513</v>
      </c>
      <c r="C47" s="22" t="s">
        <v>494</v>
      </c>
      <c r="D47" s="22" t="s">
        <v>184</v>
      </c>
      <c r="E47" s="22" t="s">
        <v>200</v>
      </c>
      <c r="F47" s="22">
        <v>10</v>
      </c>
      <c r="G47" s="22">
        <v>2600</v>
      </c>
      <c r="H47" s="22">
        <v>24.7</v>
      </c>
      <c r="I47" s="22">
        <v>19578</v>
      </c>
      <c r="J47" s="22" t="s">
        <v>41</v>
      </c>
      <c r="K47" s="22" t="s">
        <v>42</v>
      </c>
      <c r="L47" s="22" t="s">
        <v>126</v>
      </c>
      <c r="M47" s="22" t="s">
        <v>164</v>
      </c>
      <c r="N47" s="22">
        <v>31</v>
      </c>
      <c r="O47" s="22" t="s">
        <v>128</v>
      </c>
    </row>
    <row r="48" spans="1:15" ht="14.25" customHeight="1" x14ac:dyDescent="0.3">
      <c r="A48" s="22" t="s">
        <v>967</v>
      </c>
      <c r="B48" s="23">
        <v>45371</v>
      </c>
      <c r="C48" s="22" t="s">
        <v>679</v>
      </c>
      <c r="D48" s="22" t="s">
        <v>131</v>
      </c>
      <c r="E48" s="22" t="s">
        <v>208</v>
      </c>
      <c r="F48" s="22">
        <v>4</v>
      </c>
      <c r="G48" s="22">
        <v>2660</v>
      </c>
      <c r="H48" s="22">
        <v>18.8</v>
      </c>
      <c r="I48" s="22">
        <v>8639.68</v>
      </c>
      <c r="J48" s="22" t="s">
        <v>97</v>
      </c>
      <c r="K48" s="22" t="s">
        <v>98</v>
      </c>
      <c r="L48" s="22" t="s">
        <v>126</v>
      </c>
      <c r="M48" s="22" t="s">
        <v>164</v>
      </c>
      <c r="N48" s="22">
        <v>22</v>
      </c>
      <c r="O48" s="22" t="s">
        <v>128</v>
      </c>
    </row>
    <row r="49" spans="1:15" ht="14.25" customHeight="1" x14ac:dyDescent="0.3">
      <c r="A49" s="22" t="s">
        <v>970</v>
      </c>
      <c r="B49" s="23">
        <v>45545</v>
      </c>
      <c r="C49" s="22" t="s">
        <v>384</v>
      </c>
      <c r="D49" s="22" t="s">
        <v>184</v>
      </c>
      <c r="E49" s="22" t="s">
        <v>619</v>
      </c>
      <c r="F49" s="22">
        <v>7</v>
      </c>
      <c r="G49" s="22">
        <v>2600</v>
      </c>
      <c r="H49" s="22">
        <v>6.6</v>
      </c>
      <c r="I49" s="22">
        <v>16998.8</v>
      </c>
      <c r="J49" s="22" t="s">
        <v>41</v>
      </c>
      <c r="K49" s="22" t="s">
        <v>136</v>
      </c>
      <c r="L49" s="22" t="s">
        <v>126</v>
      </c>
      <c r="M49" s="22" t="s">
        <v>164</v>
      </c>
      <c r="N49" s="22">
        <v>26</v>
      </c>
      <c r="O49" s="22" t="s">
        <v>128</v>
      </c>
    </row>
    <row r="50" spans="1:15" ht="14.25" customHeight="1" x14ac:dyDescent="0.3">
      <c r="A50" s="22" t="s">
        <v>973</v>
      </c>
      <c r="B50" s="23">
        <v>45319</v>
      </c>
      <c r="C50" s="22" t="s">
        <v>433</v>
      </c>
      <c r="D50" s="22" t="s">
        <v>154</v>
      </c>
      <c r="E50" s="22" t="s">
        <v>121</v>
      </c>
      <c r="F50" s="22">
        <v>8</v>
      </c>
      <c r="G50" s="22">
        <v>300</v>
      </c>
      <c r="H50" s="22">
        <v>20.6</v>
      </c>
      <c r="I50" s="22">
        <v>1905.6</v>
      </c>
      <c r="J50" s="22" t="s">
        <v>193</v>
      </c>
      <c r="K50" s="22" t="s">
        <v>42</v>
      </c>
      <c r="L50" s="22" t="s">
        <v>126</v>
      </c>
      <c r="M50" s="22" t="s">
        <v>127</v>
      </c>
      <c r="N50" s="22">
        <v>30</v>
      </c>
      <c r="O50" s="22" t="s">
        <v>128</v>
      </c>
    </row>
    <row r="51" spans="1:15" ht="14.25" customHeight="1" x14ac:dyDescent="0.3">
      <c r="A51" s="22" t="s">
        <v>975</v>
      </c>
      <c r="B51" s="23">
        <v>45587</v>
      </c>
      <c r="C51" s="22" t="s">
        <v>309</v>
      </c>
      <c r="D51" s="22" t="s">
        <v>211</v>
      </c>
      <c r="E51" s="22" t="s">
        <v>200</v>
      </c>
      <c r="F51" s="22">
        <v>2</v>
      </c>
      <c r="G51" s="22">
        <v>3570</v>
      </c>
      <c r="H51" s="22">
        <v>11.6</v>
      </c>
      <c r="I51" s="22">
        <v>6311.76</v>
      </c>
      <c r="J51" s="22" t="s">
        <v>97</v>
      </c>
      <c r="K51" s="22" t="s">
        <v>136</v>
      </c>
      <c r="L51" s="22" t="s">
        <v>126</v>
      </c>
      <c r="M51" s="22" t="s">
        <v>137</v>
      </c>
      <c r="N51" s="22">
        <v>23</v>
      </c>
      <c r="O51" s="22" t="s">
        <v>128</v>
      </c>
    </row>
    <row r="52" spans="1:15" ht="14.25" customHeight="1" x14ac:dyDescent="0.3">
      <c r="A52" s="22" t="s">
        <v>981</v>
      </c>
      <c r="B52" s="23">
        <v>45346</v>
      </c>
      <c r="C52" s="22" t="s">
        <v>433</v>
      </c>
      <c r="D52" s="22" t="s">
        <v>154</v>
      </c>
      <c r="E52" s="22" t="s">
        <v>153</v>
      </c>
      <c r="F52" s="22">
        <v>5</v>
      </c>
      <c r="G52" s="22">
        <v>300</v>
      </c>
      <c r="H52" s="22">
        <v>25.8</v>
      </c>
      <c r="I52" s="22">
        <v>1113</v>
      </c>
      <c r="J52" s="22" t="s">
        <v>41</v>
      </c>
      <c r="K52" s="22" t="s">
        <v>42</v>
      </c>
      <c r="L52" s="22" t="s">
        <v>126</v>
      </c>
      <c r="M52" s="22" t="s">
        <v>127</v>
      </c>
      <c r="N52" s="22">
        <v>30</v>
      </c>
      <c r="O52" s="22" t="s">
        <v>128</v>
      </c>
    </row>
    <row r="53" spans="1:15" ht="14.25" customHeight="1" x14ac:dyDescent="0.3">
      <c r="A53" s="22" t="s">
        <v>1000</v>
      </c>
      <c r="B53" s="23">
        <v>45360</v>
      </c>
      <c r="C53" s="22" t="s">
        <v>623</v>
      </c>
      <c r="D53" s="22" t="s">
        <v>230</v>
      </c>
      <c r="E53" s="22" t="s">
        <v>196</v>
      </c>
      <c r="F53" s="22">
        <v>4</v>
      </c>
      <c r="G53" s="22">
        <v>5330</v>
      </c>
      <c r="H53" s="22">
        <v>22.6</v>
      </c>
      <c r="I53" s="22">
        <v>16501.68</v>
      </c>
      <c r="J53" s="22" t="s">
        <v>97</v>
      </c>
      <c r="K53" s="22" t="s">
        <v>42</v>
      </c>
      <c r="L53" s="22" t="s">
        <v>126</v>
      </c>
      <c r="M53" s="22" t="s">
        <v>127</v>
      </c>
      <c r="N53" s="22">
        <v>29</v>
      </c>
      <c r="O53" s="22" t="s">
        <v>128</v>
      </c>
    </row>
    <row r="54" spans="1:15" ht="14.25" customHeight="1" x14ac:dyDescent="0.3"/>
    <row r="55" spans="1:15" ht="14.25" customHeight="1" x14ac:dyDescent="0.3"/>
    <row r="56" spans="1:15" ht="14.25" customHeight="1" x14ac:dyDescent="0.3"/>
    <row r="57" spans="1:15" ht="14.25" customHeight="1" x14ac:dyDescent="0.3"/>
    <row r="58" spans="1:15" ht="14.25" customHeight="1" x14ac:dyDescent="0.3"/>
    <row r="59" spans="1:15" ht="14.25" customHeight="1" x14ac:dyDescent="0.3"/>
    <row r="60" spans="1:15" ht="14.25" customHeight="1" x14ac:dyDescent="0.3"/>
    <row r="61" spans="1:15" ht="14.25" customHeight="1" x14ac:dyDescent="0.3"/>
    <row r="62" spans="1:15" ht="14.25" customHeight="1" x14ac:dyDescent="0.3"/>
    <row r="63" spans="1:15" ht="14.25" customHeight="1" x14ac:dyDescent="0.3"/>
    <row r="64" spans="1:15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ustomSheetViews>
    <customSheetView guid="{9FF09F62-83F8-4A6F-98C8-39EDECEF5AD3}" filter="1" showAutoFilter="1">
      <pageMargins left="0.7" right="0.7" top="0.75" bottom="0.75" header="0.3" footer="0.3"/>
      <autoFilter ref="A3:O53" xr:uid="{FA719D40-D618-4FD6-B128-7B252A6F2349}"/>
      <extLst>
        <ext uri="GoogleSheetsCustomDataVersion1">
          <go:sheetsCustomData xmlns:go="http://customooxmlschemas.google.com/" filterViewId="24479498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79A9-C2DA-4D3F-A761-9E4BA41E52A4}">
  <dimension ref="A1"/>
  <sheetViews>
    <sheetView tabSelected="1" topLeftCell="A3" workbookViewId="0">
      <selection activeCell="V18" sqref="V18"/>
    </sheetView>
  </sheetViews>
  <sheetFormatPr defaultRowHeight="14.4" x14ac:dyDescent="0.3"/>
  <cols>
    <col min="1" max="1" width="12.44140625" bestFit="1" customWidth="1"/>
    <col min="2" max="2" width="18.4414062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4472C4"/>
    <pageSetUpPr fitToPage="1"/>
  </sheetPr>
  <dimension ref="A1:T2001"/>
  <sheetViews>
    <sheetView topLeftCell="C1" workbookViewId="0">
      <pane ySplit="1" topLeftCell="A3" activePane="bottomLeft" state="frozen"/>
      <selection pane="bottomLeft" activeCell="E68" sqref="E68"/>
    </sheetView>
  </sheetViews>
  <sheetFormatPr defaultColWidth="14.44140625" defaultRowHeight="15" customHeight="1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  <col min="12" max="17" width="8.6640625" customWidth="1"/>
  </cols>
  <sheetData>
    <row r="1" spans="1:20" ht="14.25" customHeight="1" x14ac:dyDescent="0.3">
      <c r="A1" s="3" t="s">
        <v>1</v>
      </c>
      <c r="B1" s="5" t="s">
        <v>4</v>
      </c>
      <c r="C1" s="3" t="s">
        <v>6</v>
      </c>
      <c r="D1" s="3" t="s">
        <v>7</v>
      </c>
      <c r="E1" s="3" t="s">
        <v>8</v>
      </c>
      <c r="F1" s="3" t="s">
        <v>10</v>
      </c>
      <c r="G1" s="3" t="s">
        <v>11</v>
      </c>
      <c r="H1" s="3" t="s">
        <v>12</v>
      </c>
      <c r="I1" s="3" t="s">
        <v>14</v>
      </c>
      <c r="J1" s="3" t="s">
        <v>15</v>
      </c>
      <c r="K1" s="3" t="s">
        <v>17</v>
      </c>
      <c r="L1" s="7" t="s">
        <v>18</v>
      </c>
      <c r="M1" s="7" t="s">
        <v>21</v>
      </c>
      <c r="N1" s="7" t="s">
        <v>23</v>
      </c>
      <c r="O1" s="7" t="s">
        <v>24</v>
      </c>
      <c r="P1" s="7" t="s">
        <v>26</v>
      </c>
      <c r="Q1" s="7" t="s">
        <v>28</v>
      </c>
      <c r="R1" s="7" t="s">
        <v>874</v>
      </c>
      <c r="S1" s="7" t="s">
        <v>3038</v>
      </c>
      <c r="T1" s="3"/>
    </row>
    <row r="2" spans="1:20" ht="14.25" hidden="1" customHeight="1" x14ac:dyDescent="0.3">
      <c r="A2" s="8" t="s">
        <v>30</v>
      </c>
      <c r="B2" s="9">
        <v>45549</v>
      </c>
      <c r="C2" s="8" t="s">
        <v>35</v>
      </c>
      <c r="D2" s="8" t="s">
        <v>37</v>
      </c>
      <c r="E2" s="8" t="s">
        <v>38</v>
      </c>
      <c r="F2" s="10">
        <v>8</v>
      </c>
      <c r="G2" s="10">
        <v>3620</v>
      </c>
      <c r="H2" s="10">
        <v>15.4</v>
      </c>
      <c r="I2" s="10">
        <v>24500.16</v>
      </c>
      <c r="J2" s="8" t="s">
        <v>41</v>
      </c>
      <c r="K2" s="8" t="s">
        <v>42</v>
      </c>
      <c r="L2" s="18" t="str">
        <f>VLOOKUP(D2,Products!$A:$C,3,FALSE)</f>
        <v>Apparel</v>
      </c>
      <c r="N2" s="18" t="str">
        <f>VLOOKUP(C2,Customers!$A:$E,5,FALSE)</f>
        <v>SMB</v>
      </c>
      <c r="O2" s="18">
        <f>VLOOKUP(C2,Customers!$A:$C,3,FALSE)</f>
        <v>44</v>
      </c>
      <c r="T2" s="10">
        <v>10.8</v>
      </c>
    </row>
    <row r="3" spans="1:20" ht="14.25" customHeight="1" x14ac:dyDescent="0.3">
      <c r="A3" s="8" t="s">
        <v>89</v>
      </c>
      <c r="B3" s="21">
        <v>45340</v>
      </c>
      <c r="C3" s="8" t="s">
        <v>94</v>
      </c>
      <c r="D3" s="8" t="s">
        <v>95</v>
      </c>
      <c r="E3" s="8" t="s">
        <v>96</v>
      </c>
      <c r="F3" s="10">
        <v>2</v>
      </c>
      <c r="G3" s="10">
        <v>820</v>
      </c>
      <c r="H3" s="10">
        <v>10.8</v>
      </c>
      <c r="I3" s="10">
        <v>1462.88</v>
      </c>
      <c r="J3" s="8" t="s">
        <v>97</v>
      </c>
      <c r="K3" s="8" t="s">
        <v>98</v>
      </c>
      <c r="L3" s="18" t="str">
        <f>VLOOKUP(D3,Products!$A:$C,3,FALSE)</f>
        <v>Apparel</v>
      </c>
      <c r="N3" s="18" t="str">
        <f>VLOOKUP(C3,Customers!$A:$E,5,FALSE)</f>
        <v>Retail</v>
      </c>
      <c r="O3" s="18">
        <f>VLOOKUP(C3,Customers!$A:$C,3,FALSE)</f>
        <v>39</v>
      </c>
      <c r="P3" s="18" t="str">
        <f>VLOOKUP(E2,Sales_Reps!$A:$C,3,FALSE)</f>
        <v>North</v>
      </c>
      <c r="Q3" s="18" t="str">
        <f>TEXT(B2,"MMM-YY")</f>
        <v>Sep-24</v>
      </c>
      <c r="R3">
        <f>VLOOKUP(D3, Products!A:D, 4, FALSE)</f>
        <v>391</v>
      </c>
      <c r="S3">
        <f>(G3-R3)/G3</f>
        <v>0.52317073170731709</v>
      </c>
      <c r="T3" s="10">
        <v>10.8</v>
      </c>
    </row>
    <row r="4" spans="1:20" ht="14.25" hidden="1" customHeight="1" x14ac:dyDescent="0.3">
      <c r="A4" s="8" t="s">
        <v>114</v>
      </c>
      <c r="B4" s="9">
        <v>45371</v>
      </c>
      <c r="C4" s="8" t="s">
        <v>115</v>
      </c>
      <c r="D4" s="8" t="s">
        <v>116</v>
      </c>
      <c r="E4" s="8" t="s">
        <v>117</v>
      </c>
      <c r="F4" s="10">
        <v>8</v>
      </c>
      <c r="G4" s="10">
        <v>470</v>
      </c>
      <c r="H4" s="10">
        <v>3.3</v>
      </c>
      <c r="I4" s="10">
        <v>3635.92</v>
      </c>
      <c r="J4" s="8" t="s">
        <v>97</v>
      </c>
      <c r="K4" s="8" t="s">
        <v>119</v>
      </c>
      <c r="L4" s="18" t="str">
        <f>VLOOKUP(D4,Products!$A:$C,3,FALSE)</f>
        <v>Sports</v>
      </c>
      <c r="N4" s="18" t="str">
        <f>VLOOKUP(C4,Customers!$A:$E,5,FALSE)</f>
        <v>Retail</v>
      </c>
      <c r="O4" s="18">
        <f>VLOOKUP(C4,Customers!$A:$C,3,FALSE)</f>
        <v>52</v>
      </c>
      <c r="T4" s="10">
        <v>26</v>
      </c>
    </row>
    <row r="5" spans="1:20" ht="14.25" hidden="1" customHeight="1" x14ac:dyDescent="0.3">
      <c r="A5" s="8" t="s">
        <v>122</v>
      </c>
      <c r="B5" s="9">
        <v>45413</v>
      </c>
      <c r="C5" s="8" t="s">
        <v>123</v>
      </c>
      <c r="D5" s="8" t="s">
        <v>124</v>
      </c>
      <c r="E5" s="8" t="s">
        <v>125</v>
      </c>
      <c r="F5" s="10">
        <v>1</v>
      </c>
      <c r="G5" s="10">
        <v>3660</v>
      </c>
      <c r="H5" s="10">
        <v>15.7</v>
      </c>
      <c r="I5" s="10">
        <v>3085.38</v>
      </c>
      <c r="J5" s="8" t="s">
        <v>41</v>
      </c>
      <c r="K5" s="8" t="s">
        <v>119</v>
      </c>
      <c r="L5" s="18" t="str">
        <f>VLOOKUP(D5,Products!$A:$C,3,FALSE)</f>
        <v>Grocery</v>
      </c>
      <c r="N5" s="18" t="str">
        <f>VLOOKUP(C5,Customers!$A:$E,5,FALSE)</f>
        <v>Corporate</v>
      </c>
      <c r="O5" s="18">
        <f>VLOOKUP(C5,Customers!$A:$C,3,FALSE)</f>
        <v>46</v>
      </c>
      <c r="T5" s="10">
        <v>29</v>
      </c>
    </row>
    <row r="6" spans="1:20" ht="14.25" customHeight="1" x14ac:dyDescent="0.3">
      <c r="A6" s="8" t="s">
        <v>132</v>
      </c>
      <c r="B6" s="21">
        <v>45611</v>
      </c>
      <c r="C6" s="8" t="s">
        <v>133</v>
      </c>
      <c r="D6" s="8" t="s">
        <v>134</v>
      </c>
      <c r="E6" s="8" t="s">
        <v>135</v>
      </c>
      <c r="F6" s="10">
        <v>1</v>
      </c>
      <c r="G6" s="10">
        <v>3160</v>
      </c>
      <c r="H6" s="10">
        <v>26</v>
      </c>
      <c r="I6" s="10">
        <v>2338.4</v>
      </c>
      <c r="J6" s="8" t="s">
        <v>41</v>
      </c>
      <c r="K6" s="8" t="s">
        <v>98</v>
      </c>
      <c r="L6" s="18" t="str">
        <f>VLOOKUP(D6,Products!$A:$C,3,FALSE)</f>
        <v>Apparel</v>
      </c>
      <c r="N6" s="18" t="str">
        <f>VLOOKUP(C6,Customers!$A:$E,5,FALSE)</f>
        <v>Retail</v>
      </c>
      <c r="O6" s="18">
        <f>VLOOKUP(C6,Customers!$A:$C,3,FALSE)</f>
        <v>36</v>
      </c>
      <c r="P6" s="18" t="str">
        <f>VLOOKUP(E5,Sales_Reps!$A:$C,3,FALSE)</f>
        <v>North</v>
      </c>
      <c r="Q6" s="18" t="str">
        <f t="shared" ref="Q6:Q8" si="0">TEXT(B5,"MMM-YY")</f>
        <v>May-24</v>
      </c>
      <c r="R6">
        <f>VLOOKUP(D6, Products!A:D, 4, FALSE)</f>
        <v>1886</v>
      </c>
      <c r="S6">
        <f>(G6-R6)/G6</f>
        <v>0.4031645569620253</v>
      </c>
      <c r="T6" s="10">
        <v>5.8</v>
      </c>
    </row>
    <row r="7" spans="1:20" ht="14.25" customHeight="1" x14ac:dyDescent="0.3">
      <c r="A7" s="8" t="s">
        <v>141</v>
      </c>
      <c r="B7" s="21">
        <v>45406</v>
      </c>
      <c r="C7" s="8" t="s">
        <v>142</v>
      </c>
      <c r="D7" s="8" t="s">
        <v>144</v>
      </c>
      <c r="E7" s="8" t="s">
        <v>145</v>
      </c>
      <c r="F7" s="10">
        <v>4</v>
      </c>
      <c r="G7" s="10">
        <v>370</v>
      </c>
      <c r="H7" s="10">
        <v>29</v>
      </c>
      <c r="I7" s="10">
        <v>1050.8</v>
      </c>
      <c r="J7" s="8" t="s">
        <v>41</v>
      </c>
      <c r="K7" s="8" t="s">
        <v>146</v>
      </c>
      <c r="L7" s="18" t="str">
        <f>VLOOKUP(D7,Products!$A:$C,3,FALSE)</f>
        <v>Home</v>
      </c>
      <c r="N7" s="18" t="str">
        <f>VLOOKUP(C7,Customers!$A:$E,5,FALSE)</f>
        <v>Retail</v>
      </c>
      <c r="O7" s="18">
        <f>VLOOKUP(C7,Customers!$A:$C,3,FALSE)</f>
        <v>36</v>
      </c>
      <c r="P7" s="18" t="str">
        <f>VLOOKUP(E6,Sales_Reps!$A:$C,3,FALSE)</f>
        <v>North</v>
      </c>
      <c r="Q7" s="18" t="str">
        <f t="shared" si="0"/>
        <v>Nov-24</v>
      </c>
      <c r="R7">
        <f>VLOOKUP(D7, Products!A:D, 4, FALSE)</f>
        <v>288</v>
      </c>
      <c r="S7">
        <f t="shared" ref="S7:S8" si="1">(G7-R7)/G7</f>
        <v>0.22162162162162163</v>
      </c>
      <c r="T7" s="10">
        <v>4.3</v>
      </c>
    </row>
    <row r="8" spans="1:20" ht="14.25" customHeight="1" x14ac:dyDescent="0.3">
      <c r="A8" s="8" t="s">
        <v>149</v>
      </c>
      <c r="B8" s="21">
        <v>45455</v>
      </c>
      <c r="C8" s="8" t="s">
        <v>151</v>
      </c>
      <c r="D8" s="8" t="s">
        <v>152</v>
      </c>
      <c r="E8" s="8" t="s">
        <v>153</v>
      </c>
      <c r="F8" s="10">
        <v>3</v>
      </c>
      <c r="G8" s="10">
        <v>960</v>
      </c>
      <c r="H8" s="10">
        <v>5.8</v>
      </c>
      <c r="I8" s="10">
        <v>2712.96</v>
      </c>
      <c r="J8" s="8" t="s">
        <v>41</v>
      </c>
      <c r="K8" s="8" t="s">
        <v>136</v>
      </c>
      <c r="L8" s="18" t="str">
        <f>VLOOKUP(D8,Products!$A:$C,3,FALSE)</f>
        <v>Sports</v>
      </c>
      <c r="N8" s="18" t="str">
        <f>VLOOKUP(C8,Customers!$A:$E,5,FALSE)</f>
        <v>Retail</v>
      </c>
      <c r="O8" s="18">
        <f>VLOOKUP(C8,Customers!$A:$C,3,FALSE)</f>
        <v>27</v>
      </c>
      <c r="P8" s="18" t="str">
        <f>VLOOKUP(E7,Sales_Reps!$A:$C,3,FALSE)</f>
        <v>West</v>
      </c>
      <c r="Q8" s="18" t="str">
        <f t="shared" si="0"/>
        <v>Apr-24</v>
      </c>
      <c r="R8">
        <f>VLOOKUP(D8, Products!A:D, 4, FALSE)</f>
        <v>705</v>
      </c>
      <c r="S8">
        <f t="shared" si="1"/>
        <v>0.265625</v>
      </c>
      <c r="T8" s="10">
        <v>14.1</v>
      </c>
    </row>
    <row r="9" spans="1:20" ht="14.25" hidden="1" customHeight="1" x14ac:dyDescent="0.3">
      <c r="A9" s="8" t="s">
        <v>155</v>
      </c>
      <c r="B9" s="9">
        <v>45617</v>
      </c>
      <c r="C9" s="8" t="s">
        <v>157</v>
      </c>
      <c r="D9" s="8" t="s">
        <v>140</v>
      </c>
      <c r="E9" s="8" t="s">
        <v>158</v>
      </c>
      <c r="F9" s="10">
        <v>8</v>
      </c>
      <c r="G9" s="10">
        <v>1430</v>
      </c>
      <c r="H9" s="10">
        <v>2.4</v>
      </c>
      <c r="I9" s="10">
        <v>11165.44</v>
      </c>
      <c r="J9" s="8" t="s">
        <v>41</v>
      </c>
      <c r="K9" s="8" t="s">
        <v>136</v>
      </c>
      <c r="L9" s="18" t="str">
        <f>VLOOKUP(D9,Products!$A:$C,3,FALSE)</f>
        <v>Electronics</v>
      </c>
      <c r="N9" s="18" t="str">
        <f>VLOOKUP(C9,Customers!$A:$E,5,FALSE)</f>
        <v>Corporate</v>
      </c>
      <c r="O9" s="18">
        <f>VLOOKUP(C9,Customers!$A:$C,3,FALSE)</f>
        <v>57</v>
      </c>
      <c r="T9" s="10">
        <v>20.7</v>
      </c>
    </row>
    <row r="10" spans="1:20" ht="14.25" hidden="1" customHeight="1" x14ac:dyDescent="0.3">
      <c r="A10" s="8" t="s">
        <v>161</v>
      </c>
      <c r="B10" s="9">
        <v>45549</v>
      </c>
      <c r="C10" s="8" t="s">
        <v>162</v>
      </c>
      <c r="D10" s="8" t="s">
        <v>163</v>
      </c>
      <c r="E10" s="8" t="s">
        <v>135</v>
      </c>
      <c r="F10" s="10">
        <v>3</v>
      </c>
      <c r="G10" s="10">
        <v>5490</v>
      </c>
      <c r="H10" s="10">
        <v>14.2</v>
      </c>
      <c r="I10" s="10">
        <v>14131.26</v>
      </c>
      <c r="J10" s="8" t="s">
        <v>41</v>
      </c>
      <c r="K10" s="8" t="s">
        <v>136</v>
      </c>
      <c r="L10" s="18" t="str">
        <f>VLOOKUP(D10,Products!$A:$C,3,FALSE)</f>
        <v>Home</v>
      </c>
      <c r="N10" s="18" t="str">
        <f>VLOOKUP(C10,Customers!$A:$E,5,FALSE)</f>
        <v>Retail</v>
      </c>
      <c r="O10" s="18">
        <f>VLOOKUP(C10,Customers!$A:$C,3,FALSE)</f>
        <v>42</v>
      </c>
      <c r="T10" s="10">
        <v>18.5</v>
      </c>
    </row>
    <row r="11" spans="1:20" ht="14.25" hidden="1" customHeight="1" x14ac:dyDescent="0.3">
      <c r="A11" s="8" t="s">
        <v>169</v>
      </c>
      <c r="B11" s="9">
        <v>45396</v>
      </c>
      <c r="C11" s="8" t="s">
        <v>170</v>
      </c>
      <c r="D11" s="8" t="s">
        <v>171</v>
      </c>
      <c r="E11" s="8" t="s">
        <v>172</v>
      </c>
      <c r="F11" s="10">
        <v>3</v>
      </c>
      <c r="G11" s="10">
        <v>970</v>
      </c>
      <c r="H11" s="10">
        <v>1.2</v>
      </c>
      <c r="I11" s="10">
        <v>2875.08</v>
      </c>
      <c r="J11" s="8" t="s">
        <v>41</v>
      </c>
      <c r="K11" s="8" t="s">
        <v>42</v>
      </c>
      <c r="L11" s="18" t="str">
        <f>VLOOKUP(D11,Products!$A:$C,3,FALSE)</f>
        <v>Grocery</v>
      </c>
      <c r="N11" s="18" t="str">
        <f>VLOOKUP(C11,Customers!$A:$E,5,FALSE)</f>
        <v>Retail</v>
      </c>
      <c r="O11" s="18">
        <f>VLOOKUP(C11,Customers!$A:$C,3,FALSE)</f>
        <v>56</v>
      </c>
      <c r="T11" s="10">
        <v>28.7</v>
      </c>
    </row>
    <row r="12" spans="1:20" ht="14.25" hidden="1" customHeight="1" x14ac:dyDescent="0.3">
      <c r="A12" s="8" t="s">
        <v>174</v>
      </c>
      <c r="B12" s="9">
        <v>45560</v>
      </c>
      <c r="C12" s="8" t="s">
        <v>175</v>
      </c>
      <c r="D12" s="8" t="s">
        <v>176</v>
      </c>
      <c r="E12" s="8" t="s">
        <v>177</v>
      </c>
      <c r="F12" s="10">
        <v>7</v>
      </c>
      <c r="G12" s="10">
        <v>2270</v>
      </c>
      <c r="H12" s="10">
        <v>7.1</v>
      </c>
      <c r="I12" s="10">
        <v>14761.81</v>
      </c>
      <c r="J12" s="8" t="s">
        <v>97</v>
      </c>
      <c r="K12" s="8" t="s">
        <v>178</v>
      </c>
      <c r="L12" s="18" t="str">
        <f>VLOOKUP(D12,Products!$A:$C,3,FALSE)</f>
        <v>Grocery</v>
      </c>
      <c r="N12" s="18" t="str">
        <f>VLOOKUP(C12,Customers!$A:$E,5,FALSE)</f>
        <v>Retail</v>
      </c>
      <c r="O12" s="18">
        <f>VLOOKUP(C12,Customers!$A:$C,3,FALSE)</f>
        <v>60</v>
      </c>
      <c r="T12" s="10">
        <v>24.6</v>
      </c>
    </row>
    <row r="13" spans="1:20" ht="14.25" hidden="1" customHeight="1" x14ac:dyDescent="0.3">
      <c r="A13" s="8" t="s">
        <v>180</v>
      </c>
      <c r="B13" s="9">
        <v>45332</v>
      </c>
      <c r="C13" s="8" t="s">
        <v>170</v>
      </c>
      <c r="D13" s="8" t="s">
        <v>181</v>
      </c>
      <c r="E13" s="8" t="s">
        <v>153</v>
      </c>
      <c r="F13" s="10">
        <v>9</v>
      </c>
      <c r="G13" s="10">
        <v>2640</v>
      </c>
      <c r="H13" s="10">
        <v>21.7</v>
      </c>
      <c r="I13" s="10">
        <v>18604.080000000002</v>
      </c>
      <c r="J13" s="8" t="s">
        <v>41</v>
      </c>
      <c r="K13" s="8" t="s">
        <v>42</v>
      </c>
      <c r="L13" s="18" t="str">
        <f>VLOOKUP(D13,Products!$A:$C,3,FALSE)</f>
        <v>Electronics</v>
      </c>
      <c r="N13" s="18" t="str">
        <f>VLOOKUP(C13,Customers!$A:$E,5,FALSE)</f>
        <v>Retail</v>
      </c>
      <c r="O13" s="18">
        <f>VLOOKUP(C13,Customers!$A:$C,3,FALSE)</f>
        <v>56</v>
      </c>
      <c r="T13" s="10">
        <v>9.4</v>
      </c>
    </row>
    <row r="14" spans="1:20" ht="14.25" customHeight="1" x14ac:dyDescent="0.3">
      <c r="A14" s="8" t="s">
        <v>182</v>
      </c>
      <c r="B14" s="21">
        <v>45507</v>
      </c>
      <c r="C14" s="8" t="s">
        <v>183</v>
      </c>
      <c r="D14" s="8" t="s">
        <v>184</v>
      </c>
      <c r="E14" s="8" t="s">
        <v>185</v>
      </c>
      <c r="F14" s="10">
        <v>3</v>
      </c>
      <c r="G14" s="10">
        <v>2600</v>
      </c>
      <c r="H14" s="10">
        <v>4.3</v>
      </c>
      <c r="I14" s="10">
        <v>7464.6</v>
      </c>
      <c r="J14" s="8" t="s">
        <v>147</v>
      </c>
      <c r="K14" s="8" t="s">
        <v>119</v>
      </c>
      <c r="L14" s="18" t="str">
        <f>VLOOKUP(D14,Products!$A:$C,3,FALSE)</f>
        <v>Electronics</v>
      </c>
      <c r="N14" s="18" t="str">
        <f>VLOOKUP(C14,Customers!$A:$E,5,FALSE)</f>
        <v>SMB</v>
      </c>
      <c r="O14" s="18">
        <f>VLOOKUP(C14,Customers!$A:$C,3,FALSE)</f>
        <v>27</v>
      </c>
      <c r="P14" s="18" t="str">
        <f>VLOOKUP(E13,Sales_Reps!$A:$C,3,FALSE)</f>
        <v>West</v>
      </c>
      <c r="Q14" s="18" t="str">
        <f t="shared" ref="Q14:Q16" si="2">TEXT(B13,"MMM-YY")</f>
        <v>Feb-24</v>
      </c>
      <c r="R14">
        <f>VLOOKUP(D14, Products!A:D, 4, FALSE)</f>
        <v>1052</v>
      </c>
      <c r="S14">
        <f t="shared" ref="S14:S16" si="3">(G14-R14)/G14</f>
        <v>0.5953846153846154</v>
      </c>
      <c r="T14" s="10">
        <v>16.5</v>
      </c>
    </row>
    <row r="15" spans="1:20" ht="14.25" customHeight="1" x14ac:dyDescent="0.3">
      <c r="A15" s="8" t="s">
        <v>190</v>
      </c>
      <c r="B15" s="21">
        <v>45466</v>
      </c>
      <c r="C15" s="8" t="s">
        <v>191</v>
      </c>
      <c r="D15" s="8" t="s">
        <v>192</v>
      </c>
      <c r="E15" s="8" t="s">
        <v>145</v>
      </c>
      <c r="F15" s="10">
        <v>3</v>
      </c>
      <c r="G15" s="10">
        <v>3250</v>
      </c>
      <c r="H15" s="10">
        <v>14.1</v>
      </c>
      <c r="I15" s="10">
        <v>8375.25</v>
      </c>
      <c r="J15" s="8" t="s">
        <v>193</v>
      </c>
      <c r="K15" s="8" t="s">
        <v>42</v>
      </c>
      <c r="L15" s="18" t="str">
        <f>VLOOKUP(D15,Products!$A:$C,3,FALSE)</f>
        <v>Home</v>
      </c>
      <c r="N15" s="18" t="str">
        <f>VLOOKUP(C15,Customers!$A:$E,5,FALSE)</f>
        <v>SMB</v>
      </c>
      <c r="O15" s="18">
        <f>VLOOKUP(C15,Customers!$A:$C,3,FALSE)</f>
        <v>39</v>
      </c>
      <c r="P15" s="18" t="str">
        <f>VLOOKUP(E14,Sales_Reps!$A:$C,3,FALSE)</f>
        <v>North</v>
      </c>
      <c r="Q15" s="18" t="str">
        <f t="shared" si="2"/>
        <v>Aug-24</v>
      </c>
      <c r="R15">
        <f>VLOOKUP(D15, Products!A:D, 4, FALSE)</f>
        <v>1556</v>
      </c>
      <c r="S15">
        <f t="shared" si="3"/>
        <v>0.52123076923076928</v>
      </c>
      <c r="T15" s="10">
        <v>18.3</v>
      </c>
    </row>
    <row r="16" spans="1:20" ht="14.25" customHeight="1" x14ac:dyDescent="0.3">
      <c r="A16" s="8" t="s">
        <v>197</v>
      </c>
      <c r="B16" s="21">
        <v>45365</v>
      </c>
      <c r="C16" s="8" t="s">
        <v>198</v>
      </c>
      <c r="D16" s="8" t="s">
        <v>199</v>
      </c>
      <c r="E16" s="8" t="s">
        <v>200</v>
      </c>
      <c r="F16" s="10">
        <v>1</v>
      </c>
      <c r="G16" s="10">
        <v>190</v>
      </c>
      <c r="H16" s="10">
        <v>20.7</v>
      </c>
      <c r="I16" s="10">
        <v>150.66999999999999</v>
      </c>
      <c r="J16" s="8" t="s">
        <v>41</v>
      </c>
      <c r="K16" s="8" t="s">
        <v>42</v>
      </c>
      <c r="L16" s="18" t="str">
        <f>VLOOKUP(D16,Products!$A:$C,3,FALSE)</f>
        <v>Sports</v>
      </c>
      <c r="N16" s="18" t="str">
        <f>VLOOKUP(C16,Customers!$A:$E,5,FALSE)</f>
        <v>Retail</v>
      </c>
      <c r="O16" s="18">
        <f>VLOOKUP(C16,Customers!$A:$C,3,FALSE)</f>
        <v>38</v>
      </c>
      <c r="P16" s="18" t="str">
        <f>VLOOKUP(E15,Sales_Reps!$A:$C,3,FALSE)</f>
        <v>West</v>
      </c>
      <c r="Q16" s="18" t="str">
        <f t="shared" si="2"/>
        <v>Jun-24</v>
      </c>
      <c r="R16">
        <f>VLOOKUP(D16, Products!A:D, 4, FALSE)</f>
        <v>147</v>
      </c>
      <c r="S16">
        <f t="shared" si="3"/>
        <v>0.22631578947368422</v>
      </c>
      <c r="T16" s="10">
        <v>10.7</v>
      </c>
    </row>
    <row r="17" spans="1:20" ht="14.25" hidden="1" customHeight="1" x14ac:dyDescent="0.3">
      <c r="A17" s="8" t="s">
        <v>202</v>
      </c>
      <c r="B17" s="9">
        <v>45546</v>
      </c>
      <c r="C17" s="8" t="s">
        <v>204</v>
      </c>
      <c r="D17" s="8" t="s">
        <v>205</v>
      </c>
      <c r="E17" s="8" t="s">
        <v>117</v>
      </c>
      <c r="F17" s="10">
        <v>7</v>
      </c>
      <c r="G17" s="10">
        <v>2400</v>
      </c>
      <c r="H17" s="10">
        <v>10.199999999999999</v>
      </c>
      <c r="I17" s="10">
        <v>15086.4</v>
      </c>
      <c r="J17" s="8" t="s">
        <v>97</v>
      </c>
      <c r="K17" s="8" t="s">
        <v>42</v>
      </c>
      <c r="L17" s="18" t="str">
        <f>VLOOKUP(D17,Products!$A:$C,3,FALSE)</f>
        <v>Sports</v>
      </c>
      <c r="N17" s="18" t="str">
        <f>VLOOKUP(C17,Customers!$A:$E,5,FALSE)</f>
        <v>Retail</v>
      </c>
      <c r="O17" s="18">
        <f>VLOOKUP(C17,Customers!$A:$C,3,FALSE)</f>
        <v>63</v>
      </c>
      <c r="T17" s="10">
        <v>26.4</v>
      </c>
    </row>
    <row r="18" spans="1:20" ht="14.25" hidden="1" customHeight="1" x14ac:dyDescent="0.3">
      <c r="A18" s="8" t="s">
        <v>206</v>
      </c>
      <c r="B18" s="9">
        <v>45512</v>
      </c>
      <c r="C18" s="8" t="s">
        <v>207</v>
      </c>
      <c r="D18" s="8" t="s">
        <v>124</v>
      </c>
      <c r="E18" s="8" t="s">
        <v>208</v>
      </c>
      <c r="F18" s="10">
        <v>4</v>
      </c>
      <c r="G18" s="10">
        <v>3660</v>
      </c>
      <c r="H18" s="10">
        <v>2.6</v>
      </c>
      <c r="I18" s="10">
        <v>14259.36</v>
      </c>
      <c r="J18" s="8" t="s">
        <v>41</v>
      </c>
      <c r="K18" s="8" t="s">
        <v>136</v>
      </c>
      <c r="L18" s="18" t="str">
        <f>VLOOKUP(D18,Products!$A:$C,3,FALSE)</f>
        <v>Grocery</v>
      </c>
      <c r="N18" s="18" t="str">
        <f>VLOOKUP(C18,Customers!$A:$E,5,FALSE)</f>
        <v>SMB</v>
      </c>
      <c r="O18" s="18">
        <f>VLOOKUP(C18,Customers!$A:$C,3,FALSE)</f>
        <v>46</v>
      </c>
      <c r="T18" s="10">
        <v>21.1</v>
      </c>
    </row>
    <row r="19" spans="1:20" ht="14.25" customHeight="1" x14ac:dyDescent="0.3">
      <c r="A19" s="8" t="s">
        <v>212</v>
      </c>
      <c r="B19" s="21">
        <v>45654</v>
      </c>
      <c r="C19" s="8" t="s">
        <v>213</v>
      </c>
      <c r="D19" s="8" t="s">
        <v>215</v>
      </c>
      <c r="E19" s="8" t="s">
        <v>216</v>
      </c>
      <c r="F19" s="10">
        <v>8</v>
      </c>
      <c r="G19" s="10">
        <v>3450</v>
      </c>
      <c r="H19" s="10">
        <v>18.5</v>
      </c>
      <c r="I19" s="10">
        <v>22494</v>
      </c>
      <c r="J19" s="8" t="s">
        <v>41</v>
      </c>
      <c r="K19" s="8" t="s">
        <v>178</v>
      </c>
      <c r="L19" s="18" t="str">
        <f>VLOOKUP(D19,Products!$A:$C,3,FALSE)</f>
        <v>Beauty</v>
      </c>
      <c r="N19" s="18" t="str">
        <f>VLOOKUP(C19,Customers!$A:$E,5,FALSE)</f>
        <v>Corporate</v>
      </c>
      <c r="O19" s="18">
        <f>VLOOKUP(C19,Customers!$A:$C,3,FALSE)</f>
        <v>32</v>
      </c>
      <c r="P19" s="18" t="str">
        <f>VLOOKUP(E18,Sales_Reps!$A:$C,3,FALSE)</f>
        <v>East</v>
      </c>
      <c r="Q19" s="18" t="str">
        <f>TEXT(B18,"MMM-YY")</f>
        <v>Aug-24</v>
      </c>
      <c r="R19">
        <f>VLOOKUP(D19, Products!A:D, 4, FALSE)</f>
        <v>2420</v>
      </c>
      <c r="S19">
        <f>(G19-R19)/G19</f>
        <v>0.29855072463768118</v>
      </c>
      <c r="T19" s="10">
        <v>25.8</v>
      </c>
    </row>
    <row r="20" spans="1:20" ht="14.25" hidden="1" customHeight="1" x14ac:dyDescent="0.3">
      <c r="A20" s="8" t="s">
        <v>217</v>
      </c>
      <c r="B20" s="9">
        <v>45626</v>
      </c>
      <c r="C20" s="8" t="s">
        <v>218</v>
      </c>
      <c r="D20" s="8" t="s">
        <v>219</v>
      </c>
      <c r="E20" s="8" t="s">
        <v>208</v>
      </c>
      <c r="F20" s="10">
        <v>5</v>
      </c>
      <c r="G20" s="10">
        <v>3450</v>
      </c>
      <c r="H20" s="10">
        <v>7.3</v>
      </c>
      <c r="I20" s="10">
        <v>15990.75</v>
      </c>
      <c r="J20" s="8" t="s">
        <v>41</v>
      </c>
      <c r="K20" s="8" t="s">
        <v>146</v>
      </c>
      <c r="L20" s="18" t="str">
        <f>VLOOKUP(D20,Products!$A:$C,3,FALSE)</f>
        <v>Sports</v>
      </c>
      <c r="N20" s="18" t="str">
        <f>VLOOKUP(C20,Customers!$A:$E,5,FALSE)</f>
        <v>Retail</v>
      </c>
      <c r="O20" s="18">
        <f>VLOOKUP(C20,Customers!$A:$C,3,FALSE)</f>
        <v>54</v>
      </c>
      <c r="T20" s="10">
        <v>8.6999999999999993</v>
      </c>
    </row>
    <row r="21" spans="1:20" ht="14.25" hidden="1" customHeight="1" x14ac:dyDescent="0.3">
      <c r="A21" s="8" t="s">
        <v>222</v>
      </c>
      <c r="B21" s="9">
        <v>45394</v>
      </c>
      <c r="C21" s="8" t="s">
        <v>223</v>
      </c>
      <c r="D21" s="8" t="s">
        <v>224</v>
      </c>
      <c r="E21" s="8" t="s">
        <v>208</v>
      </c>
      <c r="F21" s="10">
        <v>8</v>
      </c>
      <c r="G21" s="10">
        <v>1080</v>
      </c>
      <c r="H21" s="10">
        <v>2.2000000000000002</v>
      </c>
      <c r="I21" s="10">
        <v>8449.92</v>
      </c>
      <c r="J21" s="8" t="s">
        <v>41</v>
      </c>
      <c r="K21" s="8" t="s">
        <v>98</v>
      </c>
      <c r="L21" s="18" t="str">
        <f>VLOOKUP(D21,Products!$A:$C,3,FALSE)</f>
        <v>Home</v>
      </c>
      <c r="N21" s="18" t="str">
        <f>VLOOKUP(C21,Customers!$A:$E,5,FALSE)</f>
        <v>Retail</v>
      </c>
      <c r="O21" s="18">
        <f>VLOOKUP(C21,Customers!$A:$C,3,FALSE)</f>
        <v>49</v>
      </c>
      <c r="T21" s="10">
        <v>0.3</v>
      </c>
    </row>
    <row r="22" spans="1:20" ht="14.25" customHeight="1" x14ac:dyDescent="0.3">
      <c r="A22" s="8" t="s">
        <v>225</v>
      </c>
      <c r="B22" s="21">
        <v>45470</v>
      </c>
      <c r="C22" s="8" t="s">
        <v>226</v>
      </c>
      <c r="D22" s="8" t="s">
        <v>227</v>
      </c>
      <c r="E22" s="8" t="s">
        <v>125</v>
      </c>
      <c r="F22" s="10">
        <v>7</v>
      </c>
      <c r="G22" s="10">
        <v>2480</v>
      </c>
      <c r="H22" s="10">
        <v>28.7</v>
      </c>
      <c r="I22" s="10">
        <v>12377.68</v>
      </c>
      <c r="J22" s="8" t="s">
        <v>41</v>
      </c>
      <c r="K22" s="8" t="s">
        <v>178</v>
      </c>
      <c r="L22" s="18" t="str">
        <f>VLOOKUP(D22,Products!$A:$C,3,FALSE)</f>
        <v>Apparel</v>
      </c>
      <c r="N22" s="18" t="str">
        <f>VLOOKUP(C22,Customers!$A:$E,5,FALSE)</f>
        <v>Retail</v>
      </c>
      <c r="O22" s="18">
        <f>VLOOKUP(C22,Customers!$A:$C,3,FALSE)</f>
        <v>32</v>
      </c>
      <c r="P22" s="18" t="str">
        <f>VLOOKUP(E21,Sales_Reps!$A:$C,3,FALSE)</f>
        <v>East</v>
      </c>
      <c r="Q22" s="18" t="str">
        <f t="shared" ref="Q22:Q23" si="4">TEXT(B21,"MMM-YY")</f>
        <v>Apr-24</v>
      </c>
      <c r="R22">
        <f>VLOOKUP(D22, Products!A:D, 4, FALSE)</f>
        <v>1173</v>
      </c>
      <c r="S22">
        <f t="shared" ref="S22:S23" si="5">(G22-R22)/G22</f>
        <v>0.52701612903225803</v>
      </c>
      <c r="T22" s="10">
        <v>23.9</v>
      </c>
    </row>
    <row r="23" spans="1:20" ht="14.25" customHeight="1" x14ac:dyDescent="0.3">
      <c r="A23" s="8" t="s">
        <v>232</v>
      </c>
      <c r="B23" s="21">
        <v>45354</v>
      </c>
      <c r="C23" s="8" t="s">
        <v>233</v>
      </c>
      <c r="D23" s="8" t="s">
        <v>192</v>
      </c>
      <c r="E23" s="8" t="s">
        <v>143</v>
      </c>
      <c r="F23" s="10">
        <v>4</v>
      </c>
      <c r="G23" s="10">
        <v>3250</v>
      </c>
      <c r="H23" s="10">
        <v>24.6</v>
      </c>
      <c r="I23" s="10">
        <v>9802</v>
      </c>
      <c r="J23" s="8" t="s">
        <v>41</v>
      </c>
      <c r="K23" s="8" t="s">
        <v>146</v>
      </c>
      <c r="L23" s="18" t="str">
        <f>VLOOKUP(D23,Products!$A:$C,3,FALSE)</f>
        <v>Home</v>
      </c>
      <c r="N23" s="18" t="str">
        <f>VLOOKUP(C23,Customers!$A:$E,5,FALSE)</f>
        <v>Retail</v>
      </c>
      <c r="O23" s="18">
        <f>VLOOKUP(C23,Customers!$A:$C,3,FALSE)</f>
        <v>34</v>
      </c>
      <c r="P23" s="18" t="str">
        <f>VLOOKUP(E22,Sales_Reps!$A:$C,3,FALSE)</f>
        <v>North</v>
      </c>
      <c r="Q23" s="18" t="str">
        <f t="shared" si="4"/>
        <v>Jun-24</v>
      </c>
      <c r="R23">
        <f>VLOOKUP(D23, Products!A:D, 4, FALSE)</f>
        <v>1556</v>
      </c>
      <c r="S23">
        <f t="shared" si="5"/>
        <v>0.52123076923076928</v>
      </c>
      <c r="T23" s="10">
        <v>18.5</v>
      </c>
    </row>
    <row r="24" spans="1:20" ht="14.25" hidden="1" customHeight="1" x14ac:dyDescent="0.3">
      <c r="A24" s="8" t="s">
        <v>237</v>
      </c>
      <c r="B24" s="9">
        <v>45530</v>
      </c>
      <c r="C24" s="8" t="s">
        <v>238</v>
      </c>
      <c r="D24" s="8" t="s">
        <v>239</v>
      </c>
      <c r="E24" s="8" t="s">
        <v>143</v>
      </c>
      <c r="F24" s="10">
        <v>9</v>
      </c>
      <c r="G24" s="10">
        <v>2720</v>
      </c>
      <c r="H24" s="10">
        <v>26.2</v>
      </c>
      <c r="I24" s="10">
        <v>18066.240000000002</v>
      </c>
      <c r="J24" s="8" t="s">
        <v>41</v>
      </c>
      <c r="K24" s="8" t="s">
        <v>42</v>
      </c>
      <c r="L24" s="18" t="str">
        <f>VLOOKUP(D24,Products!$A:$C,3,FALSE)</f>
        <v>Apparel</v>
      </c>
      <c r="N24" s="18" t="str">
        <f>VLOOKUP(C24,Customers!$A:$E,5,FALSE)</f>
        <v>Retail</v>
      </c>
      <c r="O24" s="18">
        <f>VLOOKUP(C24,Customers!$A:$C,3,FALSE)</f>
        <v>50</v>
      </c>
      <c r="T24" s="10">
        <v>25.5</v>
      </c>
    </row>
    <row r="25" spans="1:20" ht="14.25" customHeight="1" x14ac:dyDescent="0.3">
      <c r="A25" s="8" t="s">
        <v>240</v>
      </c>
      <c r="B25" s="21">
        <v>45472</v>
      </c>
      <c r="C25" s="8" t="s">
        <v>241</v>
      </c>
      <c r="D25" s="8" t="s">
        <v>242</v>
      </c>
      <c r="E25" s="8" t="s">
        <v>200</v>
      </c>
      <c r="F25" s="10">
        <v>2</v>
      </c>
      <c r="G25" s="10">
        <v>1650</v>
      </c>
      <c r="H25" s="10">
        <v>9.4</v>
      </c>
      <c r="I25" s="10">
        <v>2989.8</v>
      </c>
      <c r="J25" s="8" t="s">
        <v>41</v>
      </c>
      <c r="K25" s="8" t="s">
        <v>178</v>
      </c>
      <c r="L25" s="18" t="str">
        <f>VLOOKUP(D25,Products!$A:$C,3,FALSE)</f>
        <v>Beauty</v>
      </c>
      <c r="N25" s="18" t="str">
        <f>VLOOKUP(C25,Customers!$A:$E,5,FALSE)</f>
        <v>SMB</v>
      </c>
      <c r="O25" s="18">
        <f>VLOOKUP(C25,Customers!$A:$C,3,FALSE)</f>
        <v>40</v>
      </c>
      <c r="P25" s="18" t="str">
        <f>VLOOKUP(E24,Sales_Reps!$A:$C,3,FALSE)</f>
        <v>West</v>
      </c>
      <c r="Q25" s="18" t="str">
        <f>TEXT(B24,"MMM-YY")</f>
        <v>Aug-24</v>
      </c>
      <c r="R25">
        <f>VLOOKUP(D25, Products!A:D, 4, FALSE)</f>
        <v>1222</v>
      </c>
      <c r="S25">
        <f>(G25-R25)/G25</f>
        <v>0.2593939393939394</v>
      </c>
      <c r="T25" s="10">
        <v>9.9</v>
      </c>
    </row>
    <row r="26" spans="1:20" ht="14.25" hidden="1" customHeight="1" x14ac:dyDescent="0.3">
      <c r="A26" s="8" t="s">
        <v>245</v>
      </c>
      <c r="B26" s="9">
        <v>45394</v>
      </c>
      <c r="C26" s="8" t="s">
        <v>246</v>
      </c>
      <c r="D26" s="8" t="s">
        <v>247</v>
      </c>
      <c r="E26" s="8" t="s">
        <v>208</v>
      </c>
      <c r="F26" s="10">
        <v>6</v>
      </c>
      <c r="G26" s="10">
        <v>3350</v>
      </c>
      <c r="H26" s="10">
        <v>6.1</v>
      </c>
      <c r="I26" s="10">
        <v>18873.900000000001</v>
      </c>
      <c r="J26" s="8" t="s">
        <v>97</v>
      </c>
      <c r="K26" s="8" t="s">
        <v>98</v>
      </c>
      <c r="L26" s="18" t="str">
        <f>VLOOKUP(D26,Products!$A:$C,3,FALSE)</f>
        <v>Beauty</v>
      </c>
      <c r="N26" s="18" t="str">
        <f>VLOOKUP(C26,Customers!$A:$E,5,FALSE)</f>
        <v>Corporate</v>
      </c>
      <c r="O26" s="18">
        <f>VLOOKUP(C26,Customers!$A:$C,3,FALSE)</f>
        <v>55</v>
      </c>
      <c r="T26" s="10">
        <v>26.9</v>
      </c>
    </row>
    <row r="27" spans="1:20" ht="14.25" customHeight="1" x14ac:dyDescent="0.3">
      <c r="A27" s="8" t="s">
        <v>256</v>
      </c>
      <c r="B27" s="21">
        <v>45570</v>
      </c>
      <c r="C27" s="8" t="s">
        <v>258</v>
      </c>
      <c r="D27" s="8" t="s">
        <v>260</v>
      </c>
      <c r="E27" s="8" t="s">
        <v>158</v>
      </c>
      <c r="F27" s="10">
        <v>2</v>
      </c>
      <c r="G27" s="10">
        <v>1010</v>
      </c>
      <c r="H27" s="10">
        <v>16.5</v>
      </c>
      <c r="I27" s="10">
        <v>1686.7</v>
      </c>
      <c r="J27" s="8" t="s">
        <v>147</v>
      </c>
      <c r="K27" s="8" t="s">
        <v>119</v>
      </c>
      <c r="L27" s="18" t="str">
        <f>VLOOKUP(D27,Products!$A:$C,3,FALSE)</f>
        <v>Sports</v>
      </c>
      <c r="N27" s="18" t="str">
        <f>VLOOKUP(C27,Customers!$A:$E,5,FALSE)</f>
        <v>Retail</v>
      </c>
      <c r="O27" s="18">
        <f>VLOOKUP(C27,Customers!$A:$C,3,FALSE)</f>
        <v>31</v>
      </c>
      <c r="P27" s="18" t="str">
        <f>VLOOKUP(E26,Sales_Reps!$A:$C,3,FALSE)</f>
        <v>East</v>
      </c>
      <c r="Q27" s="18" t="str">
        <f>TEXT(B26,"MMM-YY")</f>
        <v>Apr-24</v>
      </c>
      <c r="R27">
        <f>VLOOKUP(D27, Products!A:D, 4, FALSE)</f>
        <v>516</v>
      </c>
      <c r="S27">
        <f>(G27-R27)/G27</f>
        <v>0.4891089108910891</v>
      </c>
      <c r="T27" s="10">
        <v>5.3</v>
      </c>
    </row>
    <row r="28" spans="1:20" ht="14.25" hidden="1" customHeight="1" x14ac:dyDescent="0.3">
      <c r="A28" s="8" t="s">
        <v>282</v>
      </c>
      <c r="B28" s="9">
        <v>45401</v>
      </c>
      <c r="C28" s="8" t="s">
        <v>115</v>
      </c>
      <c r="D28" s="8" t="s">
        <v>283</v>
      </c>
      <c r="E28" s="8" t="s">
        <v>125</v>
      </c>
      <c r="F28" s="10">
        <v>5</v>
      </c>
      <c r="G28" s="10">
        <v>4880</v>
      </c>
      <c r="H28" s="10">
        <v>23.6</v>
      </c>
      <c r="I28" s="10">
        <v>18641.599999999999</v>
      </c>
      <c r="J28" s="8" t="s">
        <v>41</v>
      </c>
      <c r="K28" s="8" t="s">
        <v>119</v>
      </c>
      <c r="L28" s="18" t="str">
        <f>VLOOKUP(D28,Products!$A:$C,3,FALSE)</f>
        <v>Beauty</v>
      </c>
      <c r="N28" s="18" t="str">
        <f>VLOOKUP(C28,Customers!$A:$E,5,FALSE)</f>
        <v>Retail</v>
      </c>
      <c r="O28" s="18">
        <f>VLOOKUP(C28,Customers!$A:$C,3,FALSE)</f>
        <v>52</v>
      </c>
      <c r="T28" s="10">
        <v>25.3</v>
      </c>
    </row>
    <row r="29" spans="1:20" ht="14.25" hidden="1" customHeight="1" x14ac:dyDescent="0.3">
      <c r="A29" s="8" t="s">
        <v>298</v>
      </c>
      <c r="B29" s="9">
        <v>45517</v>
      </c>
      <c r="C29" s="8" t="s">
        <v>299</v>
      </c>
      <c r="D29" s="8" t="s">
        <v>211</v>
      </c>
      <c r="E29" s="8" t="s">
        <v>301</v>
      </c>
      <c r="F29" s="10">
        <v>7</v>
      </c>
      <c r="G29" s="10">
        <v>3570</v>
      </c>
      <c r="H29" s="10">
        <v>5.8</v>
      </c>
      <c r="I29" s="10">
        <v>23540.58</v>
      </c>
      <c r="J29" s="8" t="s">
        <v>147</v>
      </c>
      <c r="K29" s="8" t="s">
        <v>98</v>
      </c>
      <c r="L29" s="18" t="str">
        <f>VLOOKUP(D29,Products!$A:$C,3,FALSE)</f>
        <v>Electronics</v>
      </c>
      <c r="N29" s="18" t="str">
        <f>VLOOKUP(C29,Customers!$A:$E,5,FALSE)</f>
        <v>SMB</v>
      </c>
      <c r="O29" s="18">
        <f>VLOOKUP(C29,Customers!$A:$C,3,FALSE)</f>
        <v>52</v>
      </c>
      <c r="T29" s="10">
        <v>18.7</v>
      </c>
    </row>
    <row r="30" spans="1:20" ht="14.25" hidden="1" customHeight="1" x14ac:dyDescent="0.3">
      <c r="A30" s="8" t="s">
        <v>316</v>
      </c>
      <c r="B30" s="9">
        <v>45363</v>
      </c>
      <c r="C30" s="8" t="s">
        <v>319</v>
      </c>
      <c r="D30" s="8" t="s">
        <v>320</v>
      </c>
      <c r="E30" s="8" t="s">
        <v>321</v>
      </c>
      <c r="F30" s="10">
        <v>9</v>
      </c>
      <c r="G30" s="10">
        <v>5100</v>
      </c>
      <c r="H30" s="10">
        <v>16.7</v>
      </c>
      <c r="I30" s="10">
        <v>38234.699999999997</v>
      </c>
      <c r="J30" s="8" t="s">
        <v>41</v>
      </c>
      <c r="K30" s="8" t="s">
        <v>178</v>
      </c>
      <c r="L30" s="18" t="str">
        <f>VLOOKUP(D30,Products!$A:$C,3,FALSE)</f>
        <v>Beauty</v>
      </c>
      <c r="N30" s="18" t="str">
        <f>VLOOKUP(C30,Customers!$A:$E,5,FALSE)</f>
        <v>Corporate</v>
      </c>
      <c r="O30" s="18">
        <f>VLOOKUP(C30,Customers!$A:$C,3,FALSE)</f>
        <v>56</v>
      </c>
      <c r="T30" s="10">
        <v>4.8</v>
      </c>
    </row>
    <row r="31" spans="1:20" ht="14.25" hidden="1" customHeight="1" x14ac:dyDescent="0.3">
      <c r="A31" s="8" t="s">
        <v>336</v>
      </c>
      <c r="B31" s="9">
        <v>45367</v>
      </c>
      <c r="C31" s="8" t="s">
        <v>266</v>
      </c>
      <c r="D31" s="8" t="s">
        <v>338</v>
      </c>
      <c r="E31" s="8" t="s">
        <v>96</v>
      </c>
      <c r="F31" s="10">
        <v>3</v>
      </c>
      <c r="G31" s="10">
        <v>2860</v>
      </c>
      <c r="H31" s="10">
        <v>25.8</v>
      </c>
      <c r="I31" s="10">
        <v>6366.36</v>
      </c>
      <c r="J31" s="8" t="s">
        <v>41</v>
      </c>
      <c r="K31" s="8" t="s">
        <v>42</v>
      </c>
      <c r="L31" s="18" t="str">
        <f>VLOOKUP(D31,Products!$A:$C,3,FALSE)</f>
        <v>Sports</v>
      </c>
      <c r="N31" s="18" t="str">
        <f>VLOOKUP(C31,Customers!$A:$E,5,FALSE)</f>
        <v>SMB</v>
      </c>
      <c r="O31" s="18">
        <f>VLOOKUP(C31,Customers!$A:$C,3,FALSE)</f>
        <v>44</v>
      </c>
      <c r="T31" s="10">
        <v>19.100000000000001</v>
      </c>
    </row>
    <row r="32" spans="1:20" ht="14.25" hidden="1" customHeight="1" x14ac:dyDescent="0.3">
      <c r="A32" s="8" t="s">
        <v>355</v>
      </c>
      <c r="B32" s="9">
        <v>45569</v>
      </c>
      <c r="C32" s="8" t="s">
        <v>357</v>
      </c>
      <c r="D32" s="8" t="s">
        <v>171</v>
      </c>
      <c r="E32" s="8" t="s">
        <v>125</v>
      </c>
      <c r="F32" s="10">
        <v>7</v>
      </c>
      <c r="G32" s="10">
        <v>970</v>
      </c>
      <c r="H32" s="10">
        <v>29.8</v>
      </c>
      <c r="I32" s="10">
        <v>4766.58</v>
      </c>
      <c r="J32" s="8" t="s">
        <v>41</v>
      </c>
      <c r="K32" s="8" t="s">
        <v>42</v>
      </c>
      <c r="L32" s="18" t="str">
        <f>VLOOKUP(D32,Products!$A:$C,3,FALSE)</f>
        <v>Grocery</v>
      </c>
      <c r="N32" s="18" t="str">
        <f>VLOOKUP(C32,Customers!$A:$E,5,FALSE)</f>
        <v>Corporate</v>
      </c>
      <c r="O32" s="18">
        <f>VLOOKUP(C32,Customers!$A:$C,3,FALSE)</f>
        <v>47</v>
      </c>
      <c r="T32" s="10">
        <v>1</v>
      </c>
    </row>
    <row r="33" spans="1:20" ht="14.25" hidden="1" customHeight="1" x14ac:dyDescent="0.3">
      <c r="A33" s="8" t="s">
        <v>371</v>
      </c>
      <c r="B33" s="9">
        <v>45641</v>
      </c>
      <c r="C33" s="8" t="s">
        <v>334</v>
      </c>
      <c r="D33" s="8" t="s">
        <v>374</v>
      </c>
      <c r="E33" s="8" t="s">
        <v>376</v>
      </c>
      <c r="F33" s="10">
        <v>4</v>
      </c>
      <c r="G33" s="10">
        <v>2760</v>
      </c>
      <c r="H33" s="10">
        <v>5.9</v>
      </c>
      <c r="I33" s="10">
        <v>10388.64</v>
      </c>
      <c r="J33" s="8" t="s">
        <v>41</v>
      </c>
      <c r="K33" s="8" t="s">
        <v>178</v>
      </c>
      <c r="L33" s="18" t="str">
        <f>VLOOKUP(D33,Products!$A:$C,3,FALSE)</f>
        <v>Grocery</v>
      </c>
      <c r="N33" s="18" t="str">
        <f>VLOOKUP(C33,Customers!$A:$E,5,FALSE)</f>
        <v>Retail</v>
      </c>
      <c r="O33" s="18">
        <f>VLOOKUP(C33,Customers!$A:$C,3,FALSE)</f>
        <v>53</v>
      </c>
      <c r="T33" s="10">
        <v>15.8</v>
      </c>
    </row>
    <row r="34" spans="1:20" ht="14.25" customHeight="1" x14ac:dyDescent="0.3">
      <c r="A34" s="8" t="s">
        <v>387</v>
      </c>
      <c r="B34" s="21">
        <v>45343</v>
      </c>
      <c r="C34" s="8" t="s">
        <v>213</v>
      </c>
      <c r="D34" s="8" t="s">
        <v>389</v>
      </c>
      <c r="E34" s="8" t="s">
        <v>214</v>
      </c>
      <c r="F34" s="10">
        <v>10</v>
      </c>
      <c r="G34" s="10">
        <v>660</v>
      </c>
      <c r="H34" s="10">
        <v>18.3</v>
      </c>
      <c r="I34" s="10">
        <v>5392.2</v>
      </c>
      <c r="J34" s="8" t="s">
        <v>97</v>
      </c>
      <c r="K34" s="8" t="s">
        <v>178</v>
      </c>
      <c r="L34" s="18" t="str">
        <f>VLOOKUP(D34,Products!$A:$C,3,FALSE)</f>
        <v>Home</v>
      </c>
      <c r="N34" s="18" t="str">
        <f>VLOOKUP(C34,Customers!$A:$E,5,FALSE)</f>
        <v>Corporate</v>
      </c>
      <c r="O34" s="18">
        <f>VLOOKUP(C34,Customers!$A:$C,3,FALSE)</f>
        <v>32</v>
      </c>
      <c r="P34" s="18" t="str">
        <f>VLOOKUP(E33,Sales_Reps!$A:$C,3,FALSE)</f>
        <v>West</v>
      </c>
      <c r="Q34" s="18" t="str">
        <f t="shared" ref="Q34:Q36" si="6">TEXT(B33,"MMM-YY")</f>
        <v>Dec-24</v>
      </c>
      <c r="R34">
        <f>VLOOKUP(D34, Products!A:D, 4, FALSE)</f>
        <v>329</v>
      </c>
      <c r="S34">
        <f t="shared" ref="S34:S36" si="7">(G34-R34)/G34</f>
        <v>0.50151515151515147</v>
      </c>
      <c r="T34" s="10">
        <v>12.2</v>
      </c>
    </row>
    <row r="35" spans="1:20" ht="14.25" customHeight="1" x14ac:dyDescent="0.3">
      <c r="A35" s="8" t="s">
        <v>412</v>
      </c>
      <c r="B35" s="21">
        <v>45576</v>
      </c>
      <c r="C35" s="8" t="s">
        <v>401</v>
      </c>
      <c r="D35" s="8" t="s">
        <v>192</v>
      </c>
      <c r="E35" s="8" t="s">
        <v>158</v>
      </c>
      <c r="F35" s="10">
        <v>1</v>
      </c>
      <c r="G35" s="10">
        <v>3250</v>
      </c>
      <c r="H35" s="10">
        <v>10.7</v>
      </c>
      <c r="I35" s="10">
        <v>2902.25</v>
      </c>
      <c r="J35" s="8" t="s">
        <v>41</v>
      </c>
      <c r="K35" s="8" t="s">
        <v>178</v>
      </c>
      <c r="L35" s="18" t="str">
        <f>VLOOKUP(D35,Products!$A:$C,3,FALSE)</f>
        <v>Home</v>
      </c>
      <c r="N35" s="18" t="str">
        <f>VLOOKUP(C35,Customers!$A:$E,5,FALSE)</f>
        <v>SMB</v>
      </c>
      <c r="O35" s="18">
        <f>VLOOKUP(C35,Customers!$A:$C,3,FALSE)</f>
        <v>40</v>
      </c>
      <c r="P35" s="18" t="str">
        <f>VLOOKUP(E34,Sales_Reps!$A:$C,3,FALSE)</f>
        <v>South</v>
      </c>
      <c r="Q35" s="18" t="str">
        <f t="shared" si="6"/>
        <v>Feb-24</v>
      </c>
      <c r="R35">
        <f>VLOOKUP(D35, Products!A:D, 4, FALSE)</f>
        <v>1556</v>
      </c>
      <c r="S35">
        <f t="shared" si="7"/>
        <v>0.52123076923076928</v>
      </c>
      <c r="T35" s="10">
        <v>19.899999999999999</v>
      </c>
    </row>
    <row r="36" spans="1:20" ht="14.25" customHeight="1" x14ac:dyDescent="0.3">
      <c r="A36" s="8" t="s">
        <v>427</v>
      </c>
      <c r="B36" s="21">
        <v>45462</v>
      </c>
      <c r="C36" s="8" t="s">
        <v>173</v>
      </c>
      <c r="D36" s="8" t="s">
        <v>320</v>
      </c>
      <c r="E36" s="8" t="s">
        <v>158</v>
      </c>
      <c r="F36" s="10">
        <v>8</v>
      </c>
      <c r="G36" s="10">
        <v>5100</v>
      </c>
      <c r="H36" s="10">
        <v>26.4</v>
      </c>
      <c r="I36" s="10">
        <v>30028.799999999999</v>
      </c>
      <c r="J36" s="8" t="s">
        <v>147</v>
      </c>
      <c r="K36" s="8" t="s">
        <v>178</v>
      </c>
      <c r="L36" s="18" t="str">
        <f>VLOOKUP(D36,Products!$A:$C,3,FALSE)</f>
        <v>Beauty</v>
      </c>
      <c r="N36" s="18" t="str">
        <f>VLOOKUP(C36,Customers!$A:$E,5,FALSE)</f>
        <v>Retail</v>
      </c>
      <c r="O36" s="18">
        <f>VLOOKUP(C36,Customers!$A:$C,3,FALSE)</f>
        <v>26</v>
      </c>
      <c r="P36" s="18" t="str">
        <f>VLOOKUP(E35,Sales_Reps!$A:$C,3,FALSE)</f>
        <v>East</v>
      </c>
      <c r="Q36" s="18" t="str">
        <f t="shared" si="6"/>
        <v>Oct-24</v>
      </c>
      <c r="R36">
        <f>VLOOKUP(D36, Products!A:D, 4, FALSE)</f>
        <v>2237</v>
      </c>
      <c r="S36">
        <f t="shared" si="7"/>
        <v>0.56137254901960787</v>
      </c>
      <c r="T36" s="10">
        <v>28.8</v>
      </c>
    </row>
    <row r="37" spans="1:20" ht="14.25" hidden="1" customHeight="1" x14ac:dyDescent="0.3">
      <c r="A37" s="8" t="s">
        <v>448</v>
      </c>
      <c r="B37" s="9">
        <v>45442</v>
      </c>
      <c r="C37" s="8" t="s">
        <v>279</v>
      </c>
      <c r="D37" s="8" t="s">
        <v>224</v>
      </c>
      <c r="E37" s="8" t="s">
        <v>216</v>
      </c>
      <c r="F37" s="10">
        <v>1</v>
      </c>
      <c r="G37" s="10">
        <v>1080</v>
      </c>
      <c r="H37" s="10">
        <v>5.0999999999999996</v>
      </c>
      <c r="I37" s="10">
        <v>1024.92</v>
      </c>
      <c r="J37" s="8" t="s">
        <v>41</v>
      </c>
      <c r="K37" s="8" t="s">
        <v>119</v>
      </c>
      <c r="L37" s="18" t="str">
        <f>VLOOKUP(D37,Products!$A:$C,3,FALSE)</f>
        <v>Home</v>
      </c>
      <c r="N37" s="18" t="str">
        <f>VLOOKUP(C37,Customers!$A:$E,5,FALSE)</f>
        <v>Retail</v>
      </c>
      <c r="O37" s="18">
        <f>VLOOKUP(C37,Customers!$A:$C,3,FALSE)</f>
        <v>41</v>
      </c>
      <c r="T37" s="10">
        <v>1.1000000000000001</v>
      </c>
    </row>
    <row r="38" spans="1:20" ht="14.25" customHeight="1" x14ac:dyDescent="0.3">
      <c r="A38" s="8" t="s">
        <v>462</v>
      </c>
      <c r="B38" s="21">
        <v>45646</v>
      </c>
      <c r="C38" s="8" t="s">
        <v>464</v>
      </c>
      <c r="D38" s="8" t="s">
        <v>163</v>
      </c>
      <c r="E38" s="8" t="s">
        <v>214</v>
      </c>
      <c r="F38" s="10">
        <v>2</v>
      </c>
      <c r="G38" s="10">
        <v>5490</v>
      </c>
      <c r="H38" s="10">
        <v>21.1</v>
      </c>
      <c r="I38" s="10">
        <v>8663.2199999999993</v>
      </c>
      <c r="J38" s="8" t="s">
        <v>147</v>
      </c>
      <c r="K38" s="8" t="s">
        <v>146</v>
      </c>
      <c r="L38" s="18" t="str">
        <f>VLOOKUP(D38,Products!$A:$C,3,FALSE)</f>
        <v>Home</v>
      </c>
      <c r="N38" s="18" t="str">
        <f>VLOOKUP(C38,Customers!$A:$E,5,FALSE)</f>
        <v>SMB</v>
      </c>
      <c r="O38" s="18">
        <f>VLOOKUP(C38,Customers!$A:$C,3,FALSE)</f>
        <v>36</v>
      </c>
      <c r="P38" s="18" t="str">
        <f>VLOOKUP(E37,Sales_Reps!$A:$C,3,FALSE)</f>
        <v>East</v>
      </c>
      <c r="Q38" s="18" t="str">
        <f>TEXT(B37,"MMM-YY")</f>
        <v>May-24</v>
      </c>
      <c r="R38">
        <f>VLOOKUP(D38, Products!A:D, 4, FALSE)</f>
        <v>2549</v>
      </c>
      <c r="S38">
        <f>(G38-R38)/G38</f>
        <v>0.53570127504553733</v>
      </c>
      <c r="T38" s="10">
        <v>21</v>
      </c>
    </row>
    <row r="39" spans="1:20" ht="14.25" hidden="1" customHeight="1" x14ac:dyDescent="0.3">
      <c r="A39" s="8" t="s">
        <v>485</v>
      </c>
      <c r="B39" s="9">
        <v>45478</v>
      </c>
      <c r="C39" s="8" t="s">
        <v>486</v>
      </c>
      <c r="D39" s="8" t="s">
        <v>199</v>
      </c>
      <c r="E39" s="8" t="s">
        <v>231</v>
      </c>
      <c r="F39" s="10">
        <v>7</v>
      </c>
      <c r="G39" s="10">
        <v>190</v>
      </c>
      <c r="H39" s="10">
        <v>28.7</v>
      </c>
      <c r="I39" s="10">
        <v>948.29</v>
      </c>
      <c r="J39" s="8" t="s">
        <v>41</v>
      </c>
      <c r="K39" s="8" t="s">
        <v>136</v>
      </c>
      <c r="L39" s="18" t="str">
        <f>VLOOKUP(D39,Products!$A:$C,3,FALSE)</f>
        <v>Sports</v>
      </c>
      <c r="N39" s="18" t="str">
        <f>VLOOKUP(C39,Customers!$A:$E,5,FALSE)</f>
        <v>Retail</v>
      </c>
      <c r="O39" s="18">
        <f>VLOOKUP(C39,Customers!$A:$C,3,FALSE)</f>
        <v>42</v>
      </c>
      <c r="T39" s="10">
        <v>22.2</v>
      </c>
    </row>
    <row r="40" spans="1:20" ht="14.25" hidden="1" customHeight="1" x14ac:dyDescent="0.3">
      <c r="A40" s="8" t="s">
        <v>501</v>
      </c>
      <c r="B40" s="9">
        <v>45355</v>
      </c>
      <c r="C40" s="8" t="s">
        <v>410</v>
      </c>
      <c r="D40" s="8" t="s">
        <v>205</v>
      </c>
      <c r="E40" s="8" t="s">
        <v>301</v>
      </c>
      <c r="F40" s="10">
        <v>6</v>
      </c>
      <c r="G40" s="10">
        <v>2400</v>
      </c>
      <c r="H40" s="10">
        <v>2.7</v>
      </c>
      <c r="I40" s="10">
        <v>14011.2</v>
      </c>
      <c r="J40" s="8" t="s">
        <v>41</v>
      </c>
      <c r="K40" s="8" t="s">
        <v>98</v>
      </c>
      <c r="L40" s="18" t="str">
        <f>VLOOKUP(D40,Products!$A:$C,3,FALSE)</f>
        <v>Sports</v>
      </c>
      <c r="N40" s="18" t="str">
        <f>VLOOKUP(C40,Customers!$A:$E,5,FALSE)</f>
        <v>Retail</v>
      </c>
      <c r="O40" s="18">
        <f>VLOOKUP(C40,Customers!$A:$C,3,FALSE)</f>
        <v>51</v>
      </c>
      <c r="T40" s="10">
        <v>5.4</v>
      </c>
    </row>
    <row r="41" spans="1:20" ht="14.25" hidden="1" customHeight="1" x14ac:dyDescent="0.3">
      <c r="A41" s="8" t="s">
        <v>517</v>
      </c>
      <c r="B41" s="9">
        <v>45599</v>
      </c>
      <c r="C41" s="8" t="s">
        <v>519</v>
      </c>
      <c r="D41" s="8" t="s">
        <v>242</v>
      </c>
      <c r="E41" s="8" t="s">
        <v>208</v>
      </c>
      <c r="F41" s="10">
        <v>9</v>
      </c>
      <c r="G41" s="10">
        <v>1650</v>
      </c>
      <c r="H41" s="10">
        <v>11.6</v>
      </c>
      <c r="I41" s="10">
        <v>13127.4</v>
      </c>
      <c r="J41" s="8" t="s">
        <v>41</v>
      </c>
      <c r="K41" s="8" t="s">
        <v>119</v>
      </c>
      <c r="L41" s="18" t="str">
        <f>VLOOKUP(D41,Products!$A:$C,3,FALSE)</f>
        <v>Beauty</v>
      </c>
      <c r="N41" s="18" t="str">
        <f>VLOOKUP(C41,Customers!$A:$E,5,FALSE)</f>
        <v>SMB</v>
      </c>
      <c r="O41" s="18">
        <f>VLOOKUP(C41,Customers!$A:$C,3,FALSE)</f>
        <v>50</v>
      </c>
      <c r="T41" s="10">
        <v>12.4</v>
      </c>
    </row>
    <row r="42" spans="1:20" ht="14.25" hidden="1" customHeight="1" x14ac:dyDescent="0.3">
      <c r="A42" s="8" t="s">
        <v>534</v>
      </c>
      <c r="B42" s="9">
        <v>45606</v>
      </c>
      <c r="C42" s="8" t="s">
        <v>535</v>
      </c>
      <c r="D42" s="8" t="s">
        <v>163</v>
      </c>
      <c r="E42" s="8" t="s">
        <v>125</v>
      </c>
      <c r="F42" s="10">
        <v>4</v>
      </c>
      <c r="G42" s="10">
        <v>5490</v>
      </c>
      <c r="H42" s="10">
        <v>12.8</v>
      </c>
      <c r="I42" s="10">
        <v>19149.12</v>
      </c>
      <c r="J42" s="8" t="s">
        <v>147</v>
      </c>
      <c r="K42" s="8" t="s">
        <v>98</v>
      </c>
      <c r="L42" s="18" t="str">
        <f>VLOOKUP(D42,Products!$A:$C,3,FALSE)</f>
        <v>Home</v>
      </c>
      <c r="N42" s="18" t="e">
        <f>VLOOKUP(C42,Customers!$A:$E,5,FALSE)</f>
        <v>#N/A</v>
      </c>
      <c r="O42" s="18" t="e">
        <f>VLOOKUP(C42,Customers!$A:$C,3,FALSE)</f>
        <v>#N/A</v>
      </c>
      <c r="T42" s="10">
        <v>19.2</v>
      </c>
    </row>
    <row r="43" spans="1:20" ht="14.25" hidden="1" customHeight="1" x14ac:dyDescent="0.3">
      <c r="A43" s="8" t="s">
        <v>552</v>
      </c>
      <c r="B43" s="9">
        <v>45432</v>
      </c>
      <c r="C43" s="8" t="s">
        <v>377</v>
      </c>
      <c r="D43" s="8" t="s">
        <v>283</v>
      </c>
      <c r="E43" s="8" t="s">
        <v>117</v>
      </c>
      <c r="F43" s="10">
        <v>10</v>
      </c>
      <c r="G43" s="10">
        <v>4880</v>
      </c>
      <c r="H43" s="10">
        <v>12.7</v>
      </c>
      <c r="I43" s="10">
        <v>42602.400000000001</v>
      </c>
      <c r="J43" s="8" t="s">
        <v>41</v>
      </c>
      <c r="K43" s="8" t="s">
        <v>119</v>
      </c>
      <c r="L43" s="18" t="str">
        <f>VLOOKUP(D43,Products!$A:$C,3,FALSE)</f>
        <v>Beauty</v>
      </c>
      <c r="N43" s="18" t="str">
        <f>VLOOKUP(C43,Customers!$A:$E,5,FALSE)</f>
        <v>Retail</v>
      </c>
      <c r="O43" s="18">
        <f>VLOOKUP(C43,Customers!$A:$C,3,FALSE)</f>
        <v>53</v>
      </c>
      <c r="T43" s="10">
        <v>25.4</v>
      </c>
    </row>
    <row r="44" spans="1:20" ht="14.25" customHeight="1" x14ac:dyDescent="0.3">
      <c r="A44" s="8" t="s">
        <v>567</v>
      </c>
      <c r="B44" s="21">
        <v>45392</v>
      </c>
      <c r="C44" s="8" t="s">
        <v>568</v>
      </c>
      <c r="D44" s="8" t="s">
        <v>569</v>
      </c>
      <c r="E44" s="8" t="s">
        <v>158</v>
      </c>
      <c r="F44" s="10">
        <v>2</v>
      </c>
      <c r="G44" s="10">
        <v>3730</v>
      </c>
      <c r="H44" s="10">
        <v>25.8</v>
      </c>
      <c r="I44" s="10">
        <v>5535.32</v>
      </c>
      <c r="J44" s="8" t="s">
        <v>41</v>
      </c>
      <c r="K44" s="8" t="s">
        <v>98</v>
      </c>
      <c r="L44" s="18" t="str">
        <f>VLOOKUP(D44,Products!$A:$C,3,FALSE)</f>
        <v>Home</v>
      </c>
      <c r="N44" s="18" t="str">
        <f>VLOOKUP(C44,Customers!$A:$E,5,FALSE)</f>
        <v>Retail</v>
      </c>
      <c r="O44" s="18">
        <f>VLOOKUP(C44,Customers!$A:$C,3,FALSE)</f>
        <v>37</v>
      </c>
      <c r="P44" s="18" t="str">
        <f>VLOOKUP(E43,Sales_Reps!$A:$C,3,FALSE)</f>
        <v>South</v>
      </c>
      <c r="Q44" s="18" t="str">
        <f>TEXT(B43,"MMM-YY")</f>
        <v>May-24</v>
      </c>
      <c r="R44">
        <f>VLOOKUP(D44, Products!A:D, 4, FALSE)</f>
        <v>2135</v>
      </c>
      <c r="S44">
        <f>(G44-R44)/G44</f>
        <v>0.42761394101876676</v>
      </c>
      <c r="T44" s="10">
        <v>1.6</v>
      </c>
    </row>
    <row r="45" spans="1:20" ht="14.25" hidden="1" customHeight="1" x14ac:dyDescent="0.3">
      <c r="A45" s="8" t="s">
        <v>594</v>
      </c>
      <c r="B45" s="9">
        <v>45396</v>
      </c>
      <c r="C45" s="8" t="s">
        <v>463</v>
      </c>
      <c r="D45" s="8" t="s">
        <v>215</v>
      </c>
      <c r="E45" s="8" t="s">
        <v>236</v>
      </c>
      <c r="F45" s="10">
        <v>4</v>
      </c>
      <c r="G45" s="10">
        <v>3450</v>
      </c>
      <c r="H45" s="10">
        <v>20.7</v>
      </c>
      <c r="I45" s="10">
        <v>10943.4</v>
      </c>
      <c r="J45" s="8" t="s">
        <v>41</v>
      </c>
      <c r="K45" s="8" t="s">
        <v>146</v>
      </c>
      <c r="L45" s="18" t="str">
        <f>VLOOKUP(D45,Products!$A:$C,3,FALSE)</f>
        <v>Beauty</v>
      </c>
      <c r="N45" s="18" t="str">
        <f>VLOOKUP(C45,Customers!$A:$E,5,FALSE)</f>
        <v>SMB</v>
      </c>
      <c r="O45" s="18">
        <f>VLOOKUP(C45,Customers!$A:$C,3,FALSE)</f>
        <v>54</v>
      </c>
      <c r="T45" s="10">
        <v>13.9</v>
      </c>
    </row>
    <row r="46" spans="1:20" ht="14.25" hidden="1" customHeight="1" x14ac:dyDescent="0.3">
      <c r="A46" s="8" t="s">
        <v>607</v>
      </c>
      <c r="B46" s="9">
        <v>45373</v>
      </c>
      <c r="C46" s="8" t="s">
        <v>587</v>
      </c>
      <c r="D46" s="8" t="s">
        <v>227</v>
      </c>
      <c r="E46" s="8" t="s">
        <v>158</v>
      </c>
      <c r="F46" s="10">
        <v>2</v>
      </c>
      <c r="G46" s="10">
        <v>2480</v>
      </c>
      <c r="H46" s="10">
        <v>17.3</v>
      </c>
      <c r="I46" s="10">
        <v>4101.92</v>
      </c>
      <c r="J46" s="8" t="s">
        <v>41</v>
      </c>
      <c r="K46" s="8" t="s">
        <v>136</v>
      </c>
      <c r="L46" s="18" t="str">
        <f>VLOOKUP(D46,Products!$A:$C,3,FALSE)</f>
        <v>Apparel</v>
      </c>
      <c r="N46" s="18" t="str">
        <f>VLOOKUP(C46,Customers!$A:$E,5,FALSE)</f>
        <v>SMB</v>
      </c>
      <c r="O46" s="18">
        <f>VLOOKUP(C46,Customers!$A:$C,3,FALSE)</f>
        <v>64</v>
      </c>
      <c r="T46" s="10">
        <v>18.399999999999999</v>
      </c>
    </row>
    <row r="47" spans="1:20" ht="14.25" customHeight="1" x14ac:dyDescent="0.3">
      <c r="A47" s="8" t="s">
        <v>621</v>
      </c>
      <c r="B47" s="21">
        <v>45312</v>
      </c>
      <c r="C47" s="8" t="s">
        <v>623</v>
      </c>
      <c r="D47" s="8" t="s">
        <v>624</v>
      </c>
      <c r="E47" s="8" t="s">
        <v>301</v>
      </c>
      <c r="F47" s="10">
        <v>9</v>
      </c>
      <c r="G47" s="10">
        <v>3780</v>
      </c>
      <c r="H47" s="10">
        <v>8.6999999999999993</v>
      </c>
      <c r="I47" s="10">
        <v>31060.26</v>
      </c>
      <c r="J47" s="8" t="s">
        <v>97</v>
      </c>
      <c r="K47" s="8" t="s">
        <v>42</v>
      </c>
      <c r="L47" s="18" t="str">
        <f>VLOOKUP(D47,Products!$A:$C,3,FALSE)</f>
        <v>Grocery</v>
      </c>
      <c r="N47" s="18" t="str">
        <f>VLOOKUP(C47,Customers!$A:$E,5,FALSE)</f>
        <v>SMB</v>
      </c>
      <c r="O47" s="18">
        <f>VLOOKUP(C47,Customers!$A:$C,3,FALSE)</f>
        <v>29</v>
      </c>
      <c r="P47" s="18" t="str">
        <f>VLOOKUP(E46,Sales_Reps!$A:$C,3,FALSE)</f>
        <v>East</v>
      </c>
      <c r="Q47" s="18" t="str">
        <f>TEXT(B46,"MMM-YY")</f>
        <v>Mar-24</v>
      </c>
      <c r="R47">
        <f>VLOOKUP(D47, Products!A:D, 4, FALSE)</f>
        <v>2436</v>
      </c>
      <c r="S47">
        <f>(G47-R47)/G47</f>
        <v>0.35555555555555557</v>
      </c>
      <c r="T47" s="10">
        <v>9.8000000000000007</v>
      </c>
    </row>
    <row r="48" spans="1:20" ht="14.25" hidden="1" customHeight="1" x14ac:dyDescent="0.3">
      <c r="A48" s="8" t="s">
        <v>642</v>
      </c>
      <c r="B48" s="9">
        <v>45340</v>
      </c>
      <c r="C48" s="8" t="s">
        <v>498</v>
      </c>
      <c r="D48" s="8" t="s">
        <v>644</v>
      </c>
      <c r="E48" s="8" t="s">
        <v>121</v>
      </c>
      <c r="F48" s="10">
        <v>4</v>
      </c>
      <c r="G48" s="10">
        <v>3640</v>
      </c>
      <c r="H48" s="10">
        <v>20.7</v>
      </c>
      <c r="I48" s="10">
        <v>11546.08</v>
      </c>
      <c r="J48" s="8" t="s">
        <v>41</v>
      </c>
      <c r="K48" s="8" t="s">
        <v>178</v>
      </c>
      <c r="L48" s="18" t="str">
        <f>VLOOKUP(D48,Products!$A:$C,3,FALSE)</f>
        <v>Apparel</v>
      </c>
      <c r="N48" s="18" t="str">
        <f>VLOOKUP(C48,Customers!$A:$E,5,FALSE)</f>
        <v>Retail</v>
      </c>
      <c r="O48" s="18">
        <f>VLOOKUP(C48,Customers!$A:$C,3,FALSE)</f>
        <v>64</v>
      </c>
      <c r="T48" s="10">
        <v>21.2</v>
      </c>
    </row>
    <row r="49" spans="1:20" ht="14.25" hidden="1" customHeight="1" x14ac:dyDescent="0.3">
      <c r="A49" s="8" t="s">
        <v>660</v>
      </c>
      <c r="B49" s="9">
        <v>45370</v>
      </c>
      <c r="C49" s="8" t="s">
        <v>661</v>
      </c>
      <c r="D49" s="8" t="s">
        <v>662</v>
      </c>
      <c r="E49" s="8" t="s">
        <v>200</v>
      </c>
      <c r="F49" s="10">
        <v>8</v>
      </c>
      <c r="G49" s="10">
        <v>6080</v>
      </c>
      <c r="H49" s="10">
        <v>24.4</v>
      </c>
      <c r="I49" s="10">
        <v>36771.839999999997</v>
      </c>
      <c r="J49" s="8" t="s">
        <v>41</v>
      </c>
      <c r="K49" s="8" t="s">
        <v>42</v>
      </c>
      <c r="L49" s="18" t="str">
        <f>VLOOKUP(D49,Products!$A:$C,3,FALSE)</f>
        <v>Beauty</v>
      </c>
      <c r="N49" s="18" t="e">
        <f>VLOOKUP(C49,Customers!$A:$E,5,FALSE)</f>
        <v>#N/A</v>
      </c>
      <c r="O49" s="18" t="e">
        <f>VLOOKUP(C49,Customers!$A:$C,3,FALSE)</f>
        <v>#N/A</v>
      </c>
      <c r="T49" s="10">
        <v>26.2</v>
      </c>
    </row>
    <row r="50" spans="1:20" ht="14.25" hidden="1" customHeight="1" x14ac:dyDescent="0.3">
      <c r="A50" s="8" t="s">
        <v>676</v>
      </c>
      <c r="B50" s="9">
        <v>45389</v>
      </c>
      <c r="C50" s="8" t="s">
        <v>299</v>
      </c>
      <c r="D50" s="8" t="s">
        <v>171</v>
      </c>
      <c r="E50" s="8" t="s">
        <v>38</v>
      </c>
      <c r="F50" s="10">
        <v>10</v>
      </c>
      <c r="G50" s="10">
        <v>970</v>
      </c>
      <c r="H50" s="10">
        <v>0.6</v>
      </c>
      <c r="I50" s="10">
        <v>9641.7999999999993</v>
      </c>
      <c r="J50" s="8" t="s">
        <v>147</v>
      </c>
      <c r="K50" s="8" t="s">
        <v>98</v>
      </c>
      <c r="L50" s="18" t="str">
        <f>VLOOKUP(D50,Products!$A:$C,3,FALSE)</f>
        <v>Grocery</v>
      </c>
      <c r="N50" s="18" t="str">
        <f>VLOOKUP(C50,Customers!$A:$E,5,FALSE)</f>
        <v>SMB</v>
      </c>
      <c r="O50" s="18">
        <f>VLOOKUP(C50,Customers!$A:$C,3,FALSE)</f>
        <v>52</v>
      </c>
      <c r="T50" s="10">
        <v>26</v>
      </c>
    </row>
    <row r="51" spans="1:20" ht="14.25" hidden="1" customHeight="1" x14ac:dyDescent="0.3">
      <c r="A51" s="8" t="s">
        <v>688</v>
      </c>
      <c r="B51" s="9">
        <v>45565</v>
      </c>
      <c r="C51" s="8" t="s">
        <v>690</v>
      </c>
      <c r="D51" s="8" t="s">
        <v>691</v>
      </c>
      <c r="E51" s="8" t="s">
        <v>172</v>
      </c>
      <c r="F51" s="10">
        <v>1</v>
      </c>
      <c r="G51" s="10">
        <v>2270</v>
      </c>
      <c r="H51" s="10">
        <v>11.5</v>
      </c>
      <c r="I51" s="10">
        <v>2008.95</v>
      </c>
      <c r="J51" s="8" t="s">
        <v>97</v>
      </c>
      <c r="K51" s="8" t="s">
        <v>98</v>
      </c>
      <c r="L51" s="18" t="str">
        <f>VLOOKUP(D51,Products!$A:$C,3,FALSE)</f>
        <v>Grocery</v>
      </c>
      <c r="N51" s="18" t="str">
        <f>VLOOKUP(C51,Customers!$A:$E,5,FALSE)</f>
        <v>Corporate</v>
      </c>
      <c r="O51" s="18">
        <f>VLOOKUP(C51,Customers!$A:$C,3,FALSE)</f>
        <v>52</v>
      </c>
      <c r="T51" s="10">
        <v>18.2</v>
      </c>
    </row>
    <row r="52" spans="1:20" ht="14.25" customHeight="1" x14ac:dyDescent="0.3">
      <c r="A52" s="8" t="s">
        <v>705</v>
      </c>
      <c r="B52" s="21">
        <v>45323</v>
      </c>
      <c r="C52" s="8" t="s">
        <v>647</v>
      </c>
      <c r="D52" s="8" t="s">
        <v>188</v>
      </c>
      <c r="E52" s="8" t="s">
        <v>208</v>
      </c>
      <c r="F52" s="10">
        <v>7</v>
      </c>
      <c r="G52" s="10">
        <v>3870</v>
      </c>
      <c r="H52" s="10">
        <v>0.3</v>
      </c>
      <c r="I52" s="10">
        <v>27008.73</v>
      </c>
      <c r="J52" s="8" t="s">
        <v>147</v>
      </c>
      <c r="K52" s="8" t="s">
        <v>136</v>
      </c>
      <c r="L52" s="18" t="str">
        <f>VLOOKUP(D52,Products!$A:$C,3,FALSE)</f>
        <v>Electronics</v>
      </c>
      <c r="N52" s="18" t="str">
        <f>VLOOKUP(C52,Customers!$A:$E,5,FALSE)</f>
        <v>Retail</v>
      </c>
      <c r="O52" s="18">
        <f>VLOOKUP(C52,Customers!$A:$C,3,FALSE)</f>
        <v>34</v>
      </c>
      <c r="P52" s="18" t="str">
        <f>VLOOKUP(E51,Sales_Reps!$A:$C,3,FALSE)</f>
        <v>West</v>
      </c>
      <c r="Q52" s="18" t="str">
        <f t="shared" ref="Q52:Q56" si="8">TEXT(B51,"MMM-YY")</f>
        <v>Sep-24</v>
      </c>
      <c r="R52">
        <f>VLOOKUP(D52, Products!A:D, 4, FALSE)</f>
        <v>1559</v>
      </c>
      <c r="S52">
        <f t="shared" ref="S52:S56" si="9">(G52-R52)/G52</f>
        <v>0.59715762273901807</v>
      </c>
      <c r="T52" s="10">
        <v>20.8</v>
      </c>
    </row>
    <row r="53" spans="1:20" ht="14.25" customHeight="1" x14ac:dyDescent="0.3">
      <c r="A53" s="8" t="s">
        <v>728</v>
      </c>
      <c r="B53" s="21">
        <v>45506</v>
      </c>
      <c r="C53" s="8" t="s">
        <v>635</v>
      </c>
      <c r="D53" s="8" t="s">
        <v>283</v>
      </c>
      <c r="E53" s="8" t="s">
        <v>214</v>
      </c>
      <c r="F53" s="10">
        <v>1</v>
      </c>
      <c r="G53" s="10">
        <v>4880</v>
      </c>
      <c r="H53" s="10">
        <v>23.9</v>
      </c>
      <c r="I53" s="10">
        <v>3713.68</v>
      </c>
      <c r="J53" s="8" t="s">
        <v>97</v>
      </c>
      <c r="K53" s="8" t="s">
        <v>136</v>
      </c>
      <c r="L53" s="18" t="str">
        <f>VLOOKUP(D53,Products!$A:$C,3,FALSE)</f>
        <v>Beauty</v>
      </c>
      <c r="N53" s="18" t="str">
        <f>VLOOKUP(C53,Customers!$A:$E,5,FALSE)</f>
        <v>SMB</v>
      </c>
      <c r="O53" s="18">
        <f>VLOOKUP(C53,Customers!$A:$C,3,FALSE)</f>
        <v>34</v>
      </c>
      <c r="P53" s="18" t="str">
        <f>VLOOKUP(E52,Sales_Reps!$A:$C,3,FALSE)</f>
        <v>East</v>
      </c>
      <c r="Q53" s="18" t="str">
        <f t="shared" si="8"/>
        <v>Feb-24</v>
      </c>
      <c r="R53">
        <f>VLOOKUP(D53, Products!A:D, 4, FALSE)</f>
        <v>2768</v>
      </c>
      <c r="S53">
        <f t="shared" si="9"/>
        <v>0.43278688524590164</v>
      </c>
      <c r="T53" s="10">
        <v>2.2999999999999998</v>
      </c>
    </row>
    <row r="54" spans="1:20" ht="14.25" customHeight="1" x14ac:dyDescent="0.3">
      <c r="A54" s="8" t="s">
        <v>744</v>
      </c>
      <c r="B54" s="21">
        <v>45616</v>
      </c>
      <c r="C54" s="8" t="s">
        <v>133</v>
      </c>
      <c r="D54" s="8" t="s">
        <v>624</v>
      </c>
      <c r="E54" s="8" t="s">
        <v>745</v>
      </c>
      <c r="F54" s="10">
        <v>5</v>
      </c>
      <c r="G54" s="10">
        <v>3780</v>
      </c>
      <c r="H54" s="10">
        <v>18.5</v>
      </c>
      <c r="I54" s="10">
        <v>15403.5</v>
      </c>
      <c r="J54" s="8" t="s">
        <v>41</v>
      </c>
      <c r="K54" s="8" t="s">
        <v>98</v>
      </c>
      <c r="L54" s="18" t="str">
        <f>VLOOKUP(D54,Products!$A:$C,3,FALSE)</f>
        <v>Grocery</v>
      </c>
      <c r="N54" s="18" t="str">
        <f>VLOOKUP(C54,Customers!$A:$E,5,FALSE)</f>
        <v>Retail</v>
      </c>
      <c r="O54" s="18">
        <f>VLOOKUP(C54,Customers!$A:$C,3,FALSE)</f>
        <v>36</v>
      </c>
      <c r="P54" s="18" t="str">
        <f>VLOOKUP(E53,Sales_Reps!$A:$C,3,FALSE)</f>
        <v>South</v>
      </c>
      <c r="Q54" s="18" t="str">
        <f t="shared" si="8"/>
        <v>Aug-24</v>
      </c>
      <c r="R54">
        <f>VLOOKUP(D54, Products!A:D, 4, FALSE)</f>
        <v>2436</v>
      </c>
      <c r="S54">
        <f t="shared" si="9"/>
        <v>0.35555555555555557</v>
      </c>
      <c r="T54" s="10">
        <v>10.8</v>
      </c>
    </row>
    <row r="55" spans="1:20" ht="14.25" customHeight="1" x14ac:dyDescent="0.3">
      <c r="A55" s="8" t="s">
        <v>760</v>
      </c>
      <c r="B55" s="21">
        <v>45428</v>
      </c>
      <c r="C55" s="8" t="s">
        <v>449</v>
      </c>
      <c r="D55" s="8" t="s">
        <v>192</v>
      </c>
      <c r="E55" s="8" t="s">
        <v>321</v>
      </c>
      <c r="F55" s="10">
        <v>10</v>
      </c>
      <c r="G55" s="10">
        <v>3250</v>
      </c>
      <c r="H55" s="10">
        <v>25.5</v>
      </c>
      <c r="I55" s="10">
        <v>24212.5</v>
      </c>
      <c r="J55" s="8" t="s">
        <v>41</v>
      </c>
      <c r="K55" s="8" t="s">
        <v>98</v>
      </c>
      <c r="L55" s="18" t="str">
        <f>VLOOKUP(D55,Products!$A:$C,3,FALSE)</f>
        <v>Home</v>
      </c>
      <c r="N55" s="18" t="str">
        <f>VLOOKUP(C55,Customers!$A:$E,5,FALSE)</f>
        <v>Retail</v>
      </c>
      <c r="O55" s="18">
        <f>VLOOKUP(C55,Customers!$A:$C,3,FALSE)</f>
        <v>24</v>
      </c>
      <c r="P55" s="18" t="str">
        <f>VLOOKUP(E54,Sales_Reps!$A:$C,3,FALSE)</f>
        <v>South</v>
      </c>
      <c r="Q55" s="18" t="str">
        <f t="shared" si="8"/>
        <v>Nov-24</v>
      </c>
      <c r="R55">
        <f>VLOOKUP(D55, Products!A:D, 4, FALSE)</f>
        <v>1556</v>
      </c>
      <c r="S55">
        <f t="shared" si="9"/>
        <v>0.52123076923076928</v>
      </c>
      <c r="T55" s="10">
        <v>25.1</v>
      </c>
    </row>
    <row r="56" spans="1:20" ht="14.25" customHeight="1" x14ac:dyDescent="0.3">
      <c r="A56" s="8" t="s">
        <v>769</v>
      </c>
      <c r="B56" s="21">
        <v>45515</v>
      </c>
      <c r="C56" s="8" t="s">
        <v>771</v>
      </c>
      <c r="D56" s="8" t="s">
        <v>644</v>
      </c>
      <c r="E56" s="8" t="s">
        <v>38</v>
      </c>
      <c r="F56" s="10">
        <v>4</v>
      </c>
      <c r="G56" s="10">
        <v>3640</v>
      </c>
      <c r="H56" s="10">
        <v>9.9</v>
      </c>
      <c r="I56" s="10">
        <v>13118.56</v>
      </c>
      <c r="J56" s="8" t="s">
        <v>193</v>
      </c>
      <c r="K56" s="8" t="s">
        <v>178</v>
      </c>
      <c r="L56" s="18" t="str">
        <f>VLOOKUP(D56,Products!$A:$C,3,FALSE)</f>
        <v>Apparel</v>
      </c>
      <c r="N56" s="18" t="str">
        <f>VLOOKUP(C56,Customers!$A:$E,5,FALSE)</f>
        <v>Retail</v>
      </c>
      <c r="O56" s="18">
        <f>VLOOKUP(C56,Customers!$A:$C,3,FALSE)</f>
        <v>27</v>
      </c>
      <c r="P56" s="18" t="str">
        <f>VLOOKUP(E55,Sales_Reps!$A:$C,3,FALSE)</f>
        <v>East</v>
      </c>
      <c r="Q56" s="18" t="str">
        <f t="shared" si="8"/>
        <v>May-24</v>
      </c>
      <c r="R56">
        <f>VLOOKUP(D56, Products!A:D, 4, FALSE)</f>
        <v>2611</v>
      </c>
      <c r="S56">
        <f t="shared" si="9"/>
        <v>0.28269230769230769</v>
      </c>
      <c r="T56" s="10">
        <v>21.6</v>
      </c>
    </row>
    <row r="57" spans="1:20" ht="14.25" hidden="1" customHeight="1" x14ac:dyDescent="0.3">
      <c r="A57" s="8" t="s">
        <v>787</v>
      </c>
      <c r="B57" s="9">
        <v>45649</v>
      </c>
      <c r="C57" s="8" t="s">
        <v>672</v>
      </c>
      <c r="D57" s="8" t="s">
        <v>789</v>
      </c>
      <c r="E57" s="8" t="s">
        <v>208</v>
      </c>
      <c r="F57" s="10">
        <v>4</v>
      </c>
      <c r="G57" s="10">
        <v>1540</v>
      </c>
      <c r="H57" s="10">
        <v>28.8</v>
      </c>
      <c r="I57" s="10">
        <v>4385.92</v>
      </c>
      <c r="J57" s="8" t="s">
        <v>41</v>
      </c>
      <c r="K57" s="8" t="s">
        <v>119</v>
      </c>
      <c r="L57" s="18" t="str">
        <f>VLOOKUP(D57,Products!$A:$C,3,FALSE)</f>
        <v>Beauty</v>
      </c>
      <c r="N57" s="18" t="str">
        <f>VLOOKUP(C57,Customers!$A:$E,5,FALSE)</f>
        <v>SMB</v>
      </c>
      <c r="O57" s="18">
        <f>VLOOKUP(C57,Customers!$A:$C,3,FALSE)</f>
        <v>55</v>
      </c>
      <c r="T57" s="10">
        <v>13.2</v>
      </c>
    </row>
    <row r="58" spans="1:20" ht="14.25" hidden="1" customHeight="1" x14ac:dyDescent="0.3">
      <c r="A58" s="8" t="s">
        <v>803</v>
      </c>
      <c r="B58" s="9">
        <v>45616</v>
      </c>
      <c r="C58" s="8" t="s">
        <v>794</v>
      </c>
      <c r="D58" s="8" t="s">
        <v>224</v>
      </c>
      <c r="E58" s="8" t="s">
        <v>121</v>
      </c>
      <c r="F58" s="10">
        <v>1</v>
      </c>
      <c r="G58" s="10">
        <v>1080</v>
      </c>
      <c r="H58" s="10">
        <v>23</v>
      </c>
      <c r="I58" s="10">
        <v>831.6</v>
      </c>
      <c r="J58" s="8" t="s">
        <v>147</v>
      </c>
      <c r="K58" s="8" t="s">
        <v>119</v>
      </c>
      <c r="L58" s="18" t="str">
        <f>VLOOKUP(D58,Products!$A:$C,3,FALSE)</f>
        <v>Home</v>
      </c>
      <c r="N58" s="18" t="str">
        <f>VLOOKUP(C58,Customers!$A:$E,5,FALSE)</f>
        <v>Retail</v>
      </c>
      <c r="O58" s="18">
        <f>VLOOKUP(C58,Customers!$A:$C,3,FALSE)</f>
        <v>54</v>
      </c>
      <c r="T58" s="10">
        <v>13.4</v>
      </c>
    </row>
    <row r="59" spans="1:20" ht="14.25" hidden="1" customHeight="1" x14ac:dyDescent="0.3">
      <c r="A59" s="8" t="s">
        <v>815</v>
      </c>
      <c r="B59" s="9">
        <v>45573</v>
      </c>
      <c r="C59" s="8" t="s">
        <v>326</v>
      </c>
      <c r="D59" s="8" t="s">
        <v>818</v>
      </c>
      <c r="E59" s="8" t="s">
        <v>38</v>
      </c>
      <c r="F59" s="10">
        <v>1</v>
      </c>
      <c r="G59" s="10">
        <v>4070</v>
      </c>
      <c r="H59" s="10">
        <v>6.7</v>
      </c>
      <c r="I59" s="10">
        <v>3797.31</v>
      </c>
      <c r="J59" s="8" t="s">
        <v>41</v>
      </c>
      <c r="K59" s="8" t="s">
        <v>178</v>
      </c>
      <c r="L59" s="18" t="str">
        <f>VLOOKUP(D59,Products!$A:$C,3,FALSE)</f>
        <v>Grocery</v>
      </c>
      <c r="N59" s="18" t="str">
        <f>VLOOKUP(C59,Customers!$A:$E,5,FALSE)</f>
        <v>Retail</v>
      </c>
      <c r="O59" s="18">
        <f>VLOOKUP(C59,Customers!$A:$C,3,FALSE)</f>
        <v>53</v>
      </c>
      <c r="T59" s="10">
        <v>15.2</v>
      </c>
    </row>
    <row r="60" spans="1:20" ht="14.25" hidden="1" customHeight="1" x14ac:dyDescent="0.3">
      <c r="A60" s="8" t="s">
        <v>824</v>
      </c>
      <c r="B60" s="9">
        <v>45417</v>
      </c>
      <c r="C60" s="8" t="s">
        <v>633</v>
      </c>
      <c r="D60" s="8" t="s">
        <v>160</v>
      </c>
      <c r="E60" s="8" t="s">
        <v>143</v>
      </c>
      <c r="F60" s="10">
        <v>2</v>
      </c>
      <c r="G60" s="10">
        <v>1220</v>
      </c>
      <c r="H60" s="10">
        <v>11.7</v>
      </c>
      <c r="I60" s="10">
        <v>2154.52</v>
      </c>
      <c r="J60" s="8" t="s">
        <v>147</v>
      </c>
      <c r="K60" s="8" t="s">
        <v>119</v>
      </c>
      <c r="L60" s="18" t="str">
        <f>VLOOKUP(D60,Products!$A:$C,3,FALSE)</f>
        <v>Electronics</v>
      </c>
      <c r="N60" s="18" t="str">
        <f>VLOOKUP(C60,Customers!$A:$E,5,FALSE)</f>
        <v>Corporate</v>
      </c>
      <c r="O60" s="18">
        <f>VLOOKUP(C60,Customers!$A:$C,3,FALSE)</f>
        <v>55</v>
      </c>
      <c r="T60" s="10">
        <v>22.6</v>
      </c>
    </row>
    <row r="61" spans="1:20" ht="14.25" customHeight="1" x14ac:dyDescent="0.3">
      <c r="A61" s="8" t="s">
        <v>837</v>
      </c>
      <c r="B61" s="21">
        <v>45425</v>
      </c>
      <c r="C61" s="8" t="s">
        <v>799</v>
      </c>
      <c r="D61" s="8" t="s">
        <v>839</v>
      </c>
      <c r="E61" s="8" t="s">
        <v>236</v>
      </c>
      <c r="F61" s="10">
        <v>4</v>
      </c>
      <c r="G61" s="10">
        <v>4610</v>
      </c>
      <c r="H61" s="10">
        <v>26.9</v>
      </c>
      <c r="I61" s="10">
        <v>13479.64</v>
      </c>
      <c r="J61" s="8" t="s">
        <v>97</v>
      </c>
      <c r="K61" s="8" t="s">
        <v>146</v>
      </c>
      <c r="L61" s="18" t="str">
        <f>VLOOKUP(D61,Products!$A:$C,3,FALSE)</f>
        <v>Home</v>
      </c>
      <c r="N61" s="18" t="str">
        <f>VLOOKUP(C61,Customers!$A:$E,5,FALSE)</f>
        <v>Retail</v>
      </c>
      <c r="O61" s="18">
        <f>VLOOKUP(C61,Customers!$A:$C,3,FALSE)</f>
        <v>40</v>
      </c>
      <c r="P61" s="18" t="str">
        <f>VLOOKUP(E60,Sales_Reps!$A:$C,3,FALSE)</f>
        <v>West</v>
      </c>
      <c r="Q61" s="18" t="str">
        <f>TEXT(B60,"MMM-YY")</f>
        <v>May-24</v>
      </c>
      <c r="R61">
        <f>VLOOKUP(D61, Products!A:D, 4, FALSE)</f>
        <v>1850</v>
      </c>
      <c r="S61">
        <f>(G61-R61)/G61</f>
        <v>0.59869848156182215</v>
      </c>
      <c r="T61" s="10">
        <v>19.8</v>
      </c>
    </row>
    <row r="62" spans="1:20" ht="14.25" hidden="1" customHeight="1" x14ac:dyDescent="0.3">
      <c r="A62" s="8" t="s">
        <v>864</v>
      </c>
      <c r="B62" s="9">
        <v>45589</v>
      </c>
      <c r="C62" s="8" t="s">
        <v>686</v>
      </c>
      <c r="D62" s="8" t="s">
        <v>224</v>
      </c>
      <c r="E62" s="8" t="s">
        <v>865</v>
      </c>
      <c r="F62" s="10">
        <v>8</v>
      </c>
      <c r="G62" s="10">
        <v>1080</v>
      </c>
      <c r="H62" s="10">
        <v>28.4</v>
      </c>
      <c r="I62" s="10">
        <v>6186.24</v>
      </c>
      <c r="J62" s="8" t="s">
        <v>41</v>
      </c>
      <c r="K62" s="8" t="s">
        <v>98</v>
      </c>
      <c r="L62" s="18" t="str">
        <f>VLOOKUP(D62,Products!$A:$C,3,FALSE)</f>
        <v>Home</v>
      </c>
      <c r="N62" s="18" t="str">
        <f>VLOOKUP(C62,Customers!$A:$E,5,FALSE)</f>
        <v>SMB</v>
      </c>
      <c r="O62" s="18">
        <f>VLOOKUP(C62,Customers!$A:$C,3,FALSE)</f>
        <v>55</v>
      </c>
      <c r="T62" s="10">
        <v>12.9</v>
      </c>
    </row>
    <row r="63" spans="1:20" ht="14.25" hidden="1" customHeight="1" x14ac:dyDescent="0.3">
      <c r="A63" s="8" t="s">
        <v>866</v>
      </c>
      <c r="B63" s="9">
        <v>45488</v>
      </c>
      <c r="C63" s="8" t="s">
        <v>790</v>
      </c>
      <c r="D63" s="8" t="s">
        <v>867</v>
      </c>
      <c r="E63" s="8" t="s">
        <v>125</v>
      </c>
      <c r="F63" s="10">
        <v>10</v>
      </c>
      <c r="G63" s="10">
        <v>3020</v>
      </c>
      <c r="H63" s="10">
        <v>25.4</v>
      </c>
      <c r="I63" s="10">
        <v>22529.200000000001</v>
      </c>
      <c r="J63" s="8" t="s">
        <v>41</v>
      </c>
      <c r="K63" s="8" t="s">
        <v>42</v>
      </c>
      <c r="L63" s="18" t="str">
        <f>VLOOKUP(D63,Products!$A:$C,3,FALSE)</f>
        <v>Beauty</v>
      </c>
      <c r="N63" s="18" t="str">
        <f>VLOOKUP(C63,Customers!$A:$E,5,FALSE)</f>
        <v>Retail</v>
      </c>
      <c r="O63" s="18">
        <f>VLOOKUP(C63,Customers!$A:$C,3,FALSE)</f>
        <v>44</v>
      </c>
      <c r="T63" s="10">
        <v>6.8</v>
      </c>
    </row>
    <row r="64" spans="1:20" ht="14.25" customHeight="1" x14ac:dyDescent="0.3">
      <c r="A64" s="8" t="s">
        <v>869</v>
      </c>
      <c r="B64" s="21">
        <v>45465</v>
      </c>
      <c r="C64" s="8" t="s">
        <v>829</v>
      </c>
      <c r="D64" s="8" t="s">
        <v>131</v>
      </c>
      <c r="E64" s="8" t="s">
        <v>121</v>
      </c>
      <c r="F64" s="10">
        <v>7</v>
      </c>
      <c r="G64" s="10">
        <v>2660</v>
      </c>
      <c r="H64" s="10">
        <v>5.3</v>
      </c>
      <c r="I64" s="10">
        <v>17633.14</v>
      </c>
      <c r="J64" s="8" t="s">
        <v>41</v>
      </c>
      <c r="K64" s="8" t="s">
        <v>178</v>
      </c>
      <c r="L64" s="18" t="str">
        <f>VLOOKUP(D64,Products!$A:$C,3,FALSE)</f>
        <v>Electronics</v>
      </c>
      <c r="N64" s="18" t="str">
        <f>VLOOKUP(C64,Customers!$A:$E,5,FALSE)</f>
        <v>Corporate</v>
      </c>
      <c r="O64" s="18">
        <f>VLOOKUP(C64,Customers!$A:$C,3,FALSE)</f>
        <v>29</v>
      </c>
      <c r="P64" s="18" t="str">
        <f>VLOOKUP(E63,Sales_Reps!$A:$C,3,FALSE)</f>
        <v>North</v>
      </c>
      <c r="Q64" s="18" t="str">
        <f t="shared" ref="Q64:Q66" si="10">TEXT(B63,"MMM-YY")</f>
        <v>Jul-24</v>
      </c>
      <c r="R64">
        <f>VLOOKUP(D64, Products!A:D, 4, FALSE)</f>
        <v>1259</v>
      </c>
      <c r="S64">
        <f t="shared" ref="S64:S66" si="11">(G64-R64)/G64</f>
        <v>0.52669172932330832</v>
      </c>
      <c r="T64" s="10">
        <v>12.8</v>
      </c>
    </row>
    <row r="65" spans="1:20" ht="14.25" customHeight="1" x14ac:dyDescent="0.3">
      <c r="A65" s="8" t="s">
        <v>870</v>
      </c>
      <c r="B65" s="21">
        <v>45599</v>
      </c>
      <c r="C65" s="8" t="s">
        <v>150</v>
      </c>
      <c r="D65" s="8" t="s">
        <v>154</v>
      </c>
      <c r="E65" s="8" t="s">
        <v>200</v>
      </c>
      <c r="F65" s="10">
        <v>9</v>
      </c>
      <c r="G65" s="10">
        <v>300</v>
      </c>
      <c r="H65" s="10">
        <v>25.3</v>
      </c>
      <c r="I65" s="10">
        <v>2016.9</v>
      </c>
      <c r="J65" s="8" t="s">
        <v>41</v>
      </c>
      <c r="K65" s="8" t="s">
        <v>42</v>
      </c>
      <c r="L65" s="18" t="str">
        <f>VLOOKUP(D65,Products!$A:$C,3,FALSE)</f>
        <v>Electronics</v>
      </c>
      <c r="N65" s="18" t="str">
        <f>VLOOKUP(C65,Customers!$A:$E,5,FALSE)</f>
        <v>Retail</v>
      </c>
      <c r="O65" s="18">
        <f>VLOOKUP(C65,Customers!$A:$C,3,FALSE)</f>
        <v>25</v>
      </c>
      <c r="P65" s="18" t="str">
        <f>VLOOKUP(E64,Sales_Reps!$A:$C,3,FALSE)</f>
        <v>East</v>
      </c>
      <c r="Q65" s="18" t="str">
        <f t="shared" si="10"/>
        <v>Jun-24</v>
      </c>
      <c r="R65">
        <f>VLOOKUP(D65, Products!A:D, 4, FALSE)</f>
        <v>128</v>
      </c>
      <c r="S65">
        <f t="shared" si="11"/>
        <v>0.57333333333333336</v>
      </c>
      <c r="T65" s="10">
        <v>20.9</v>
      </c>
    </row>
    <row r="66" spans="1:20" ht="14.25" customHeight="1" x14ac:dyDescent="0.3">
      <c r="A66" s="8" t="s">
        <v>872</v>
      </c>
      <c r="B66" s="21">
        <v>45317</v>
      </c>
      <c r="C66" s="8" t="s">
        <v>346</v>
      </c>
      <c r="D66" s="8" t="s">
        <v>181</v>
      </c>
      <c r="E66" s="8" t="s">
        <v>196</v>
      </c>
      <c r="F66" s="10">
        <v>10</v>
      </c>
      <c r="G66" s="10">
        <v>2640</v>
      </c>
      <c r="H66" s="10">
        <v>18.7</v>
      </c>
      <c r="I66" s="10">
        <v>21463.200000000001</v>
      </c>
      <c r="J66" s="8" t="s">
        <v>147</v>
      </c>
      <c r="K66" s="8" t="s">
        <v>98</v>
      </c>
      <c r="L66" s="18" t="str">
        <f>VLOOKUP(D66,Products!$A:$C,3,FALSE)</f>
        <v>Electronics</v>
      </c>
      <c r="N66" s="18" t="str">
        <f>VLOOKUP(C66,Customers!$A:$E,5,FALSE)</f>
        <v>Retail</v>
      </c>
      <c r="O66" s="18">
        <f>VLOOKUP(C66,Customers!$A:$C,3,FALSE)</f>
        <v>28</v>
      </c>
      <c r="P66" s="18" t="str">
        <f>VLOOKUP(E65,Sales_Reps!$A:$C,3,FALSE)</f>
        <v>North</v>
      </c>
      <c r="Q66" s="18" t="str">
        <f t="shared" si="10"/>
        <v>Nov-24</v>
      </c>
      <c r="R66">
        <f>VLOOKUP(D66, Products!A:D, 4, FALSE)</f>
        <v>1149</v>
      </c>
      <c r="S66">
        <f t="shared" si="11"/>
        <v>0.56477272727272732</v>
      </c>
      <c r="T66" s="10">
        <v>11.5</v>
      </c>
    </row>
    <row r="67" spans="1:20" ht="14.25" hidden="1" customHeight="1" x14ac:dyDescent="0.3">
      <c r="A67" s="8" t="s">
        <v>877</v>
      </c>
      <c r="B67" s="9">
        <v>45462</v>
      </c>
      <c r="C67" s="8" t="s">
        <v>519</v>
      </c>
      <c r="D67" s="8" t="s">
        <v>95</v>
      </c>
      <c r="E67" s="8" t="s">
        <v>321</v>
      </c>
      <c r="F67" s="10">
        <v>8</v>
      </c>
      <c r="G67" s="10">
        <v>820</v>
      </c>
      <c r="H67" s="10">
        <v>24</v>
      </c>
      <c r="I67" s="10">
        <v>4985.6000000000004</v>
      </c>
      <c r="J67" s="8" t="s">
        <v>41</v>
      </c>
      <c r="K67" s="8" t="s">
        <v>119</v>
      </c>
      <c r="L67" s="18" t="str">
        <f>VLOOKUP(D67,Products!$A:$C,3,FALSE)</f>
        <v>Apparel</v>
      </c>
      <c r="N67" s="18" t="str">
        <f>VLOOKUP(C67,Customers!$A:$E,5,FALSE)</f>
        <v>SMB</v>
      </c>
      <c r="O67" s="18">
        <f>VLOOKUP(C67,Customers!$A:$C,3,FALSE)</f>
        <v>50</v>
      </c>
      <c r="T67" s="10">
        <v>25.8</v>
      </c>
    </row>
    <row r="68" spans="1:20" ht="14.25" customHeight="1" x14ac:dyDescent="0.3">
      <c r="A68" s="8" t="s">
        <v>885</v>
      </c>
      <c r="B68" s="21">
        <v>45499</v>
      </c>
      <c r="C68" s="8" t="s">
        <v>94</v>
      </c>
      <c r="D68" s="8" t="s">
        <v>374</v>
      </c>
      <c r="E68" s="8" t="s">
        <v>172</v>
      </c>
      <c r="F68" s="10">
        <v>1</v>
      </c>
      <c r="G68" s="10">
        <v>2760</v>
      </c>
      <c r="H68" s="10">
        <v>4.8</v>
      </c>
      <c r="I68" s="10">
        <v>2627.52</v>
      </c>
      <c r="J68" s="8" t="s">
        <v>41</v>
      </c>
      <c r="K68" s="8" t="s">
        <v>98</v>
      </c>
      <c r="L68" s="18" t="str">
        <f>VLOOKUP(D68,Products!$A:$C,3,FALSE)</f>
        <v>Grocery</v>
      </c>
      <c r="N68" s="18" t="str">
        <f>VLOOKUP(C68,Customers!$A:$E,5,FALSE)</f>
        <v>Retail</v>
      </c>
      <c r="O68" s="18">
        <f>VLOOKUP(C68,Customers!$A:$C,3,FALSE)</f>
        <v>39</v>
      </c>
      <c r="P68" s="18" t="str">
        <f>VLOOKUP(E67,Sales_Reps!$A:$C,3,FALSE)</f>
        <v>East</v>
      </c>
      <c r="Q68" s="18" t="str">
        <f t="shared" ref="Q68:Q70" si="12">TEXT(B67,"MMM-YY")</f>
        <v>Jun-24</v>
      </c>
      <c r="R68">
        <f>VLOOKUP(D68, Products!A:D, 4, FALSE)</f>
        <v>1435</v>
      </c>
      <c r="S68">
        <f t="shared" ref="S68:S70" si="13">(G68-R68)/G68</f>
        <v>0.48007246376811596</v>
      </c>
      <c r="T68" s="10">
        <v>5.5</v>
      </c>
    </row>
    <row r="69" spans="1:20" ht="14.25" customHeight="1" x14ac:dyDescent="0.3">
      <c r="A69" s="8" t="s">
        <v>903</v>
      </c>
      <c r="B69" s="21">
        <v>45328</v>
      </c>
      <c r="C69" s="8" t="s">
        <v>605</v>
      </c>
      <c r="D69" s="8" t="s">
        <v>37</v>
      </c>
      <c r="E69" s="8" t="s">
        <v>121</v>
      </c>
      <c r="F69" s="10">
        <v>2</v>
      </c>
      <c r="G69" s="10">
        <v>3620</v>
      </c>
      <c r="H69" s="10">
        <v>19.100000000000001</v>
      </c>
      <c r="I69" s="10">
        <v>5857.16</v>
      </c>
      <c r="J69" s="8" t="s">
        <v>41</v>
      </c>
      <c r="K69" s="8" t="s">
        <v>98</v>
      </c>
      <c r="L69" s="18" t="str">
        <f>VLOOKUP(D69,Products!$A:$C,3,FALSE)</f>
        <v>Apparel</v>
      </c>
      <c r="N69" s="18" t="str">
        <f>VLOOKUP(C69,Customers!$A:$E,5,FALSE)</f>
        <v>Retail</v>
      </c>
      <c r="O69" s="18">
        <f>VLOOKUP(C69,Customers!$A:$C,3,FALSE)</f>
        <v>38</v>
      </c>
      <c r="P69" s="18" t="str">
        <f>VLOOKUP(E68,Sales_Reps!$A:$C,3,FALSE)</f>
        <v>West</v>
      </c>
      <c r="Q69" s="18" t="str">
        <f t="shared" si="12"/>
        <v>Jul-24</v>
      </c>
      <c r="R69">
        <f>VLOOKUP(D69, Products!A:D, 4, FALSE)</f>
        <v>2509</v>
      </c>
      <c r="S69">
        <f t="shared" si="13"/>
        <v>0.3069060773480663</v>
      </c>
      <c r="T69" s="10">
        <v>1.2</v>
      </c>
    </row>
    <row r="70" spans="1:20" ht="14.25" customHeight="1" x14ac:dyDescent="0.3">
      <c r="A70" s="8" t="s">
        <v>916</v>
      </c>
      <c r="B70" s="21">
        <v>45459</v>
      </c>
      <c r="C70" s="8" t="s">
        <v>330</v>
      </c>
      <c r="D70" s="8" t="s">
        <v>896</v>
      </c>
      <c r="E70" s="8" t="s">
        <v>145</v>
      </c>
      <c r="F70" s="10">
        <v>1</v>
      </c>
      <c r="G70" s="10">
        <v>620</v>
      </c>
      <c r="H70" s="10">
        <v>1</v>
      </c>
      <c r="I70" s="10">
        <v>613.79999999999995</v>
      </c>
      <c r="J70" s="8" t="s">
        <v>41</v>
      </c>
      <c r="K70" s="8" t="s">
        <v>119</v>
      </c>
      <c r="L70" s="18" t="str">
        <f>VLOOKUP(D70,Products!$A:$C,3,FALSE)</f>
        <v>Apparel</v>
      </c>
      <c r="N70" s="18" t="str">
        <f>VLOOKUP(C70,Customers!$A:$E,5,FALSE)</f>
        <v>Retail</v>
      </c>
      <c r="O70" s="18">
        <f>VLOOKUP(C70,Customers!$A:$C,3,FALSE)</f>
        <v>35</v>
      </c>
      <c r="P70" s="18" t="str">
        <f>VLOOKUP(E69,Sales_Reps!$A:$C,3,FALSE)</f>
        <v>East</v>
      </c>
      <c r="Q70" s="18" t="str">
        <f t="shared" si="12"/>
        <v>Feb-24</v>
      </c>
      <c r="R70">
        <f>VLOOKUP(D70, Products!A:D, 4, FALSE)</f>
        <v>396</v>
      </c>
      <c r="S70">
        <f t="shared" si="13"/>
        <v>0.36129032258064514</v>
      </c>
      <c r="T70" s="10">
        <v>26.2</v>
      </c>
    </row>
    <row r="71" spans="1:20" ht="14.25" hidden="1" customHeight="1" x14ac:dyDescent="0.3">
      <c r="A71" s="8" t="s">
        <v>933</v>
      </c>
      <c r="B71" s="9">
        <v>45398</v>
      </c>
      <c r="C71" s="8" t="s">
        <v>665</v>
      </c>
      <c r="D71" s="8" t="s">
        <v>924</v>
      </c>
      <c r="E71" s="8" t="s">
        <v>143</v>
      </c>
      <c r="F71" s="10">
        <v>1</v>
      </c>
      <c r="G71" s="10">
        <v>2030</v>
      </c>
      <c r="H71" s="10">
        <v>3.3</v>
      </c>
      <c r="I71" s="10">
        <v>1963.01</v>
      </c>
      <c r="J71" s="8" t="s">
        <v>41</v>
      </c>
      <c r="K71" s="8" t="s">
        <v>178</v>
      </c>
      <c r="L71" s="18" t="str">
        <f>VLOOKUP(D71,Products!$A:$C,3,FALSE)</f>
        <v>Home</v>
      </c>
      <c r="N71" s="18" t="str">
        <f>VLOOKUP(C71,Customers!$A:$E,5,FALSE)</f>
        <v>SMB</v>
      </c>
      <c r="O71" s="18">
        <f>VLOOKUP(C71,Customers!$A:$C,3,FALSE)</f>
        <v>43</v>
      </c>
      <c r="T71" s="10">
        <v>0.9</v>
      </c>
    </row>
    <row r="72" spans="1:20" ht="14.25" customHeight="1" x14ac:dyDescent="0.3">
      <c r="A72" s="8" t="s">
        <v>943</v>
      </c>
      <c r="B72" s="21">
        <v>45470</v>
      </c>
      <c r="C72" s="8" t="s">
        <v>133</v>
      </c>
      <c r="D72" s="8" t="s">
        <v>134</v>
      </c>
      <c r="E72" s="8" t="s">
        <v>261</v>
      </c>
      <c r="F72" s="10">
        <v>10</v>
      </c>
      <c r="G72" s="10">
        <v>3160</v>
      </c>
      <c r="H72" s="10">
        <v>15.8</v>
      </c>
      <c r="I72" s="10">
        <v>26607.200000000001</v>
      </c>
      <c r="J72" s="8" t="s">
        <v>41</v>
      </c>
      <c r="K72" s="8" t="s">
        <v>98</v>
      </c>
      <c r="L72" s="18" t="str">
        <f>VLOOKUP(D72,Products!$A:$C,3,FALSE)</f>
        <v>Apparel</v>
      </c>
      <c r="N72" s="18" t="str">
        <f>VLOOKUP(C72,Customers!$A:$E,5,FALSE)</f>
        <v>Retail</v>
      </c>
      <c r="O72" s="18">
        <f>VLOOKUP(C72,Customers!$A:$C,3,FALSE)</f>
        <v>36</v>
      </c>
      <c r="P72" s="18" t="str">
        <f>VLOOKUP(E71,Sales_Reps!$A:$C,3,FALSE)</f>
        <v>West</v>
      </c>
      <c r="Q72" s="18" t="str">
        <f t="shared" ref="Q72:Q73" si="14">TEXT(B71,"MMM-YY")</f>
        <v>Apr-24</v>
      </c>
      <c r="R72">
        <f>VLOOKUP(D72, Products!A:D, 4, FALSE)</f>
        <v>1886</v>
      </c>
      <c r="S72">
        <f t="shared" ref="S72:S73" si="15">(G72-R72)/G72</f>
        <v>0.4031645569620253</v>
      </c>
      <c r="T72" s="10">
        <v>3.5</v>
      </c>
    </row>
    <row r="73" spans="1:20" ht="14.25" customHeight="1" x14ac:dyDescent="0.3">
      <c r="A73" s="8" t="s">
        <v>961</v>
      </c>
      <c r="B73" s="21">
        <v>45346</v>
      </c>
      <c r="C73" s="8" t="s">
        <v>538</v>
      </c>
      <c r="D73" s="8" t="s">
        <v>171</v>
      </c>
      <c r="E73" s="8" t="s">
        <v>231</v>
      </c>
      <c r="F73" s="10">
        <v>5</v>
      </c>
      <c r="G73" s="10">
        <v>970</v>
      </c>
      <c r="H73" s="10">
        <v>12.2</v>
      </c>
      <c r="I73" s="10">
        <v>4258.3</v>
      </c>
      <c r="J73" s="8" t="s">
        <v>41</v>
      </c>
      <c r="K73" s="8" t="s">
        <v>178</v>
      </c>
      <c r="L73" s="18" t="str">
        <f>VLOOKUP(D73,Products!$A:$C,3,FALSE)</f>
        <v>Grocery</v>
      </c>
      <c r="N73" s="18" t="str">
        <f>VLOOKUP(C73,Customers!$A:$E,5,FALSE)</f>
        <v>Retail</v>
      </c>
      <c r="O73" s="18">
        <f>VLOOKUP(C73,Customers!$A:$C,3,FALSE)</f>
        <v>29</v>
      </c>
      <c r="P73" s="18" t="str">
        <f>VLOOKUP(E72,Sales_Reps!$A:$C,3,FALSE)</f>
        <v>North</v>
      </c>
      <c r="Q73" s="18" t="str">
        <f t="shared" si="14"/>
        <v>Jun-24</v>
      </c>
      <c r="R73">
        <f>VLOOKUP(D73, Products!A:D, 4, FALSE)</f>
        <v>434</v>
      </c>
      <c r="S73">
        <f t="shared" si="15"/>
        <v>0.5525773195876289</v>
      </c>
      <c r="T73" s="10">
        <v>18.100000000000001</v>
      </c>
    </row>
    <row r="74" spans="1:20" ht="14.25" hidden="1" customHeight="1" x14ac:dyDescent="0.3">
      <c r="A74" s="8" t="s">
        <v>968</v>
      </c>
      <c r="B74" s="9">
        <v>45483</v>
      </c>
      <c r="C74" s="8" t="s">
        <v>658</v>
      </c>
      <c r="D74" s="8" t="s">
        <v>247</v>
      </c>
      <c r="E74" s="8" t="s">
        <v>200</v>
      </c>
      <c r="F74" s="10">
        <v>9</v>
      </c>
      <c r="G74" s="10">
        <v>3350</v>
      </c>
      <c r="H74" s="10">
        <v>25.8</v>
      </c>
      <c r="I74" s="10">
        <v>22371.3</v>
      </c>
      <c r="J74" s="8" t="s">
        <v>97</v>
      </c>
      <c r="K74" s="8" t="s">
        <v>98</v>
      </c>
      <c r="L74" s="18" t="str">
        <f>VLOOKUP(D74,Products!$A:$C,3,FALSE)</f>
        <v>Beauty</v>
      </c>
      <c r="N74" s="18" t="str">
        <f>VLOOKUP(C74,Customers!$A:$E,5,FALSE)</f>
        <v>Retail</v>
      </c>
      <c r="O74" s="18">
        <f>VLOOKUP(C74,Customers!$A:$C,3,FALSE)</f>
        <v>41</v>
      </c>
      <c r="T74" s="10">
        <v>23.7</v>
      </c>
    </row>
    <row r="75" spans="1:20" ht="14.25" hidden="1" customHeight="1" x14ac:dyDescent="0.3">
      <c r="A75" s="8" t="s">
        <v>969</v>
      </c>
      <c r="B75" s="9">
        <v>45585</v>
      </c>
      <c r="C75" s="8" t="s">
        <v>672</v>
      </c>
      <c r="D75" s="8" t="s">
        <v>144</v>
      </c>
      <c r="E75" s="8" t="s">
        <v>167</v>
      </c>
      <c r="F75" s="10">
        <v>1</v>
      </c>
      <c r="G75" s="10">
        <v>370</v>
      </c>
      <c r="H75" s="10">
        <v>28.9</v>
      </c>
      <c r="I75" s="10">
        <v>263.07</v>
      </c>
      <c r="J75" s="8" t="s">
        <v>41</v>
      </c>
      <c r="K75" s="8" t="s">
        <v>119</v>
      </c>
      <c r="L75" s="18" t="str">
        <f>VLOOKUP(D75,Products!$A:$C,3,FALSE)</f>
        <v>Home</v>
      </c>
      <c r="N75" s="18" t="str">
        <f>VLOOKUP(C75,Customers!$A:$E,5,FALSE)</f>
        <v>SMB</v>
      </c>
      <c r="O75" s="18">
        <f>VLOOKUP(C75,Customers!$A:$C,3,FALSE)</f>
        <v>55</v>
      </c>
      <c r="T75" s="10">
        <v>5.5</v>
      </c>
    </row>
    <row r="76" spans="1:20" ht="14.25" hidden="1" customHeight="1" x14ac:dyDescent="0.3">
      <c r="A76" s="8" t="s">
        <v>971</v>
      </c>
      <c r="B76" s="9">
        <v>45500</v>
      </c>
      <c r="C76" s="8" t="s">
        <v>683</v>
      </c>
      <c r="D76" s="8" t="s">
        <v>171</v>
      </c>
      <c r="E76" s="8" t="s">
        <v>177</v>
      </c>
      <c r="F76" s="10">
        <v>3</v>
      </c>
      <c r="G76" s="10">
        <v>970</v>
      </c>
      <c r="H76" s="10">
        <v>4.3</v>
      </c>
      <c r="I76" s="10">
        <v>2784.87</v>
      </c>
      <c r="J76" s="8" t="s">
        <v>147</v>
      </c>
      <c r="K76" s="8" t="s">
        <v>178</v>
      </c>
      <c r="L76" s="18" t="str">
        <f>VLOOKUP(D76,Products!$A:$C,3,FALSE)</f>
        <v>Grocery</v>
      </c>
      <c r="N76" s="18" t="str">
        <f>VLOOKUP(C76,Customers!$A:$E,5,FALSE)</f>
        <v>Corporate</v>
      </c>
      <c r="O76" s="18">
        <f>VLOOKUP(C76,Customers!$A:$C,3,FALSE)</f>
        <v>46</v>
      </c>
      <c r="T76" s="10">
        <v>13.7</v>
      </c>
    </row>
    <row r="77" spans="1:20" ht="14.25" customHeight="1" x14ac:dyDescent="0.3">
      <c r="A77" s="8" t="s">
        <v>972</v>
      </c>
      <c r="B77" s="21">
        <v>45375</v>
      </c>
      <c r="C77" s="8" t="s">
        <v>191</v>
      </c>
      <c r="D77" s="8" t="s">
        <v>374</v>
      </c>
      <c r="E77" s="8" t="s">
        <v>196</v>
      </c>
      <c r="F77" s="10">
        <v>6</v>
      </c>
      <c r="G77" s="10">
        <v>2760</v>
      </c>
      <c r="H77" s="10">
        <v>19.899999999999999</v>
      </c>
      <c r="I77" s="10">
        <v>13264.56</v>
      </c>
      <c r="J77" s="8" t="s">
        <v>97</v>
      </c>
      <c r="K77" s="8" t="s">
        <v>42</v>
      </c>
      <c r="L77" s="18" t="str">
        <f>VLOOKUP(D77,Products!$A:$C,3,FALSE)</f>
        <v>Grocery</v>
      </c>
      <c r="N77" s="18" t="str">
        <f>VLOOKUP(C77,Customers!$A:$E,5,FALSE)</f>
        <v>SMB</v>
      </c>
      <c r="O77" s="18">
        <f>VLOOKUP(C77,Customers!$A:$C,3,FALSE)</f>
        <v>39</v>
      </c>
      <c r="P77" s="18" t="str">
        <f>VLOOKUP(E76,Sales_Reps!$A:$C,3,FALSE)</f>
        <v>South</v>
      </c>
      <c r="Q77" s="18" t="str">
        <f>TEXT(B76,"MMM-YY")</f>
        <v>Jul-24</v>
      </c>
      <c r="R77">
        <f>VLOOKUP(D77, Products!A:D, 4, FALSE)</f>
        <v>1435</v>
      </c>
      <c r="S77">
        <f>(G77-R77)/G77</f>
        <v>0.48007246376811596</v>
      </c>
      <c r="T77" s="10">
        <v>23.6</v>
      </c>
    </row>
    <row r="78" spans="1:20" ht="14.25" hidden="1" customHeight="1" x14ac:dyDescent="0.3">
      <c r="A78" s="8" t="s">
        <v>974</v>
      </c>
      <c r="B78" s="9">
        <v>45443</v>
      </c>
      <c r="C78" s="8" t="s">
        <v>372</v>
      </c>
      <c r="D78" s="8" t="s">
        <v>374</v>
      </c>
      <c r="E78" s="8" t="s">
        <v>158</v>
      </c>
      <c r="F78" s="10">
        <v>7</v>
      </c>
      <c r="G78" s="10">
        <v>2760</v>
      </c>
      <c r="H78" s="10">
        <v>25.2</v>
      </c>
      <c r="I78" s="10">
        <v>14451.36</v>
      </c>
      <c r="J78" s="8" t="s">
        <v>41</v>
      </c>
      <c r="K78" s="8" t="s">
        <v>42</v>
      </c>
      <c r="L78" s="18" t="str">
        <f>VLOOKUP(D78,Products!$A:$C,3,FALSE)</f>
        <v>Grocery</v>
      </c>
      <c r="N78" s="18" t="str">
        <f>VLOOKUP(C78,Customers!$A:$E,5,FALSE)</f>
        <v>SMB</v>
      </c>
      <c r="O78" s="18">
        <f>VLOOKUP(C78,Customers!$A:$C,3,FALSE)</f>
        <v>54</v>
      </c>
      <c r="T78" s="10">
        <v>14.4</v>
      </c>
    </row>
    <row r="79" spans="1:20" ht="14.25" hidden="1" customHeight="1" x14ac:dyDescent="0.3">
      <c r="A79" s="8" t="s">
        <v>976</v>
      </c>
      <c r="B79" s="9">
        <v>45390</v>
      </c>
      <c r="C79" s="8" t="s">
        <v>670</v>
      </c>
      <c r="D79" s="8" t="s">
        <v>160</v>
      </c>
      <c r="E79" s="8" t="s">
        <v>196</v>
      </c>
      <c r="F79" s="10">
        <v>4</v>
      </c>
      <c r="G79" s="10">
        <v>1220</v>
      </c>
      <c r="H79" s="10">
        <v>8.4</v>
      </c>
      <c r="I79" s="10">
        <v>4470.08</v>
      </c>
      <c r="J79" s="8" t="s">
        <v>41</v>
      </c>
      <c r="K79" s="8" t="s">
        <v>136</v>
      </c>
      <c r="L79" s="18" t="str">
        <f>VLOOKUP(D79,Products!$A:$C,3,FALSE)</f>
        <v>Electronics</v>
      </c>
      <c r="N79" s="18" t="str">
        <f>VLOOKUP(C79,Customers!$A:$E,5,FALSE)</f>
        <v>Retail</v>
      </c>
      <c r="O79" s="18">
        <f>VLOOKUP(C79,Customers!$A:$C,3,FALSE)</f>
        <v>42</v>
      </c>
      <c r="T79" s="10">
        <v>20.100000000000001</v>
      </c>
    </row>
    <row r="80" spans="1:20" ht="14.25" hidden="1" customHeight="1" x14ac:dyDescent="0.3">
      <c r="A80" s="8" t="s">
        <v>977</v>
      </c>
      <c r="B80" s="9">
        <v>45615</v>
      </c>
      <c r="C80" s="8" t="s">
        <v>296</v>
      </c>
      <c r="D80" s="8" t="s">
        <v>184</v>
      </c>
      <c r="E80" s="8" t="s">
        <v>172</v>
      </c>
      <c r="F80" s="10">
        <v>2</v>
      </c>
      <c r="G80" s="10">
        <v>2600</v>
      </c>
      <c r="H80" s="10">
        <v>1.9</v>
      </c>
      <c r="I80" s="10">
        <v>5101.2</v>
      </c>
      <c r="J80" s="8" t="s">
        <v>97</v>
      </c>
      <c r="K80" s="8" t="s">
        <v>178</v>
      </c>
      <c r="L80" s="18" t="str">
        <f>VLOOKUP(D80,Products!$A:$C,3,FALSE)</f>
        <v>Electronics</v>
      </c>
      <c r="N80" s="18" t="str">
        <f>VLOOKUP(C80,Customers!$A:$E,5,FALSE)</f>
        <v>Retail</v>
      </c>
      <c r="O80" s="18">
        <f>VLOOKUP(C80,Customers!$A:$C,3,FALSE)</f>
        <v>46</v>
      </c>
      <c r="T80" s="10">
        <v>23.4</v>
      </c>
    </row>
    <row r="81" spans="1:20" ht="14.25" customHeight="1" x14ac:dyDescent="0.3">
      <c r="A81" s="8" t="s">
        <v>978</v>
      </c>
      <c r="B81" s="21">
        <v>45498</v>
      </c>
      <c r="C81" s="8" t="s">
        <v>738</v>
      </c>
      <c r="D81" s="8" t="s">
        <v>818</v>
      </c>
      <c r="E81" s="8" t="s">
        <v>143</v>
      </c>
      <c r="F81" s="10">
        <v>9</v>
      </c>
      <c r="G81" s="10">
        <v>4070</v>
      </c>
      <c r="H81" s="10">
        <v>28.8</v>
      </c>
      <c r="I81" s="10">
        <v>26080.560000000001</v>
      </c>
      <c r="J81" s="8" t="s">
        <v>41</v>
      </c>
      <c r="K81" s="8" t="s">
        <v>42</v>
      </c>
      <c r="L81" s="18" t="str">
        <f>VLOOKUP(D81,Products!$A:$C,3,FALSE)</f>
        <v>Grocery</v>
      </c>
      <c r="N81" s="18" t="str">
        <f>VLOOKUP(C81,Customers!$A:$E,5,FALSE)</f>
        <v>Corporate</v>
      </c>
      <c r="O81" s="18">
        <f>VLOOKUP(C81,Customers!$A:$C,3,FALSE)</f>
        <v>33</v>
      </c>
      <c r="P81" s="18" t="str">
        <f>VLOOKUP(E80,Sales_Reps!$A:$C,3,FALSE)</f>
        <v>West</v>
      </c>
      <c r="Q81" s="18" t="str">
        <f>TEXT(B80,"MMM-YY")</f>
        <v>Nov-24</v>
      </c>
      <c r="R81">
        <f>VLOOKUP(D81, Products!A:D, 4, FALSE)</f>
        <v>2027</v>
      </c>
      <c r="S81">
        <f>(G81-R81)/G81</f>
        <v>0.50196560196560192</v>
      </c>
      <c r="T81" s="10">
        <v>17.899999999999999</v>
      </c>
    </row>
    <row r="82" spans="1:20" ht="14.25" hidden="1" customHeight="1" x14ac:dyDescent="0.3">
      <c r="A82" s="8" t="s">
        <v>997</v>
      </c>
      <c r="B82" s="9">
        <v>45515</v>
      </c>
      <c r="C82" s="8" t="s">
        <v>460</v>
      </c>
      <c r="D82" s="8" t="s">
        <v>176</v>
      </c>
      <c r="E82" s="8" t="s">
        <v>96</v>
      </c>
      <c r="F82" s="10">
        <v>2</v>
      </c>
      <c r="G82" s="10">
        <v>2270</v>
      </c>
      <c r="H82" s="10">
        <v>18</v>
      </c>
      <c r="I82" s="10">
        <v>3722.8</v>
      </c>
      <c r="J82" s="8" t="s">
        <v>193</v>
      </c>
      <c r="K82" s="8" t="s">
        <v>42</v>
      </c>
      <c r="L82" s="18" t="str">
        <f>VLOOKUP(D82,Products!$A:$C,3,FALSE)</f>
        <v>Grocery</v>
      </c>
      <c r="N82" s="18" t="str">
        <f>VLOOKUP(C82,Customers!$A:$E,5,FALSE)</f>
        <v>SMB</v>
      </c>
      <c r="O82" s="18">
        <f>VLOOKUP(C82,Customers!$A:$C,3,FALSE)</f>
        <v>60</v>
      </c>
      <c r="T82" s="10">
        <v>7.3</v>
      </c>
    </row>
    <row r="83" spans="1:20" ht="14.25" hidden="1" customHeight="1" x14ac:dyDescent="0.3">
      <c r="A83" s="8" t="s">
        <v>1008</v>
      </c>
      <c r="B83" s="9">
        <v>45528</v>
      </c>
      <c r="C83" s="8" t="s">
        <v>768</v>
      </c>
      <c r="D83" s="8" t="s">
        <v>134</v>
      </c>
      <c r="E83" s="8" t="s">
        <v>121</v>
      </c>
      <c r="F83" s="10">
        <v>2</v>
      </c>
      <c r="G83" s="10">
        <v>3160</v>
      </c>
      <c r="H83" s="10">
        <v>18.3</v>
      </c>
      <c r="I83" s="10">
        <v>5163.4399999999996</v>
      </c>
      <c r="J83" s="8" t="s">
        <v>41</v>
      </c>
      <c r="K83" s="8" t="s">
        <v>98</v>
      </c>
      <c r="L83" s="18" t="str">
        <f>VLOOKUP(D83,Products!$A:$C,3,FALSE)</f>
        <v>Apparel</v>
      </c>
      <c r="N83" s="18" t="str">
        <f>VLOOKUP(C83,Customers!$A:$E,5,FALSE)</f>
        <v>SMB</v>
      </c>
      <c r="O83" s="18">
        <f>VLOOKUP(C83,Customers!$A:$C,3,FALSE)</f>
        <v>57</v>
      </c>
      <c r="T83" s="10">
        <v>21</v>
      </c>
    </row>
    <row r="84" spans="1:20" ht="14.25" customHeight="1" x14ac:dyDescent="0.3">
      <c r="A84" s="8" t="s">
        <v>1018</v>
      </c>
      <c r="B84" s="21">
        <v>45402</v>
      </c>
      <c r="C84" s="8" t="s">
        <v>437</v>
      </c>
      <c r="D84" s="8" t="s">
        <v>227</v>
      </c>
      <c r="E84" s="8" t="s">
        <v>38</v>
      </c>
      <c r="F84" s="10">
        <v>4</v>
      </c>
      <c r="G84" s="10">
        <v>2480</v>
      </c>
      <c r="H84" s="10">
        <v>1.1000000000000001</v>
      </c>
      <c r="I84" s="10">
        <v>9810.8799999999992</v>
      </c>
      <c r="J84" s="8" t="s">
        <v>97</v>
      </c>
      <c r="K84" s="8" t="s">
        <v>178</v>
      </c>
      <c r="L84" s="18" t="str">
        <f>VLOOKUP(D84,Products!$A:$C,3,FALSE)</f>
        <v>Apparel</v>
      </c>
      <c r="N84" s="18" t="str">
        <f>VLOOKUP(C84,Customers!$A:$E,5,FALSE)</f>
        <v>SMB</v>
      </c>
      <c r="O84" s="18">
        <f>VLOOKUP(C84,Customers!$A:$C,3,FALSE)</f>
        <v>36</v>
      </c>
      <c r="P84" s="18" t="str">
        <f>VLOOKUP(E83,Sales_Reps!$A:$C,3,FALSE)</f>
        <v>East</v>
      </c>
      <c r="Q84" s="18" t="str">
        <f t="shared" ref="Q84:Q86" si="16">TEXT(B83,"MMM-YY")</f>
        <v>Aug-24</v>
      </c>
      <c r="R84">
        <f>VLOOKUP(D84, Products!A:D, 4, FALSE)</f>
        <v>1173</v>
      </c>
      <c r="S84">
        <f t="shared" ref="S84:S86" si="17">(G84-R84)/G84</f>
        <v>0.52701612903225803</v>
      </c>
      <c r="T84" s="10">
        <v>21.5</v>
      </c>
    </row>
    <row r="85" spans="1:20" ht="14.25" customHeight="1" x14ac:dyDescent="0.3">
      <c r="A85" s="8" t="s">
        <v>1020</v>
      </c>
      <c r="B85" s="21">
        <v>45547</v>
      </c>
      <c r="C85" s="8" t="s">
        <v>203</v>
      </c>
      <c r="D85" s="8" t="s">
        <v>131</v>
      </c>
      <c r="E85" s="8" t="s">
        <v>376</v>
      </c>
      <c r="F85" s="10">
        <v>1</v>
      </c>
      <c r="G85" s="10">
        <v>2660</v>
      </c>
      <c r="H85" s="10">
        <v>21</v>
      </c>
      <c r="I85" s="10">
        <v>2101.4</v>
      </c>
      <c r="J85" s="8" t="s">
        <v>41</v>
      </c>
      <c r="K85" s="8" t="s">
        <v>119</v>
      </c>
      <c r="L85" s="18" t="str">
        <f>VLOOKUP(D85,Products!$A:$C,3,FALSE)</f>
        <v>Electronics</v>
      </c>
      <c r="N85" s="18" t="str">
        <f>VLOOKUP(C85,Customers!$A:$E,5,FALSE)</f>
        <v>Retail</v>
      </c>
      <c r="O85" s="18">
        <f>VLOOKUP(C85,Customers!$A:$C,3,FALSE)</f>
        <v>31</v>
      </c>
      <c r="P85" s="18" t="str">
        <f>VLOOKUP(E84,Sales_Reps!$A:$C,3,FALSE)</f>
        <v>North</v>
      </c>
      <c r="Q85" s="18" t="str">
        <f t="shared" si="16"/>
        <v>Apr-24</v>
      </c>
      <c r="R85">
        <f>VLOOKUP(D85, Products!A:D, 4, FALSE)</f>
        <v>1259</v>
      </c>
      <c r="S85">
        <f t="shared" si="17"/>
        <v>0.52669172932330832</v>
      </c>
      <c r="T85" s="10">
        <v>11.6</v>
      </c>
    </row>
    <row r="86" spans="1:20" ht="14.25" customHeight="1" x14ac:dyDescent="0.3">
      <c r="A86" s="8" t="s">
        <v>1021</v>
      </c>
      <c r="B86" s="21">
        <v>45424</v>
      </c>
      <c r="C86" s="8" t="s">
        <v>328</v>
      </c>
      <c r="D86" s="8" t="s">
        <v>867</v>
      </c>
      <c r="E86" s="8" t="s">
        <v>189</v>
      </c>
      <c r="F86" s="10">
        <v>5</v>
      </c>
      <c r="G86" s="10">
        <v>3020</v>
      </c>
      <c r="H86" s="10">
        <v>22.2</v>
      </c>
      <c r="I86" s="10">
        <v>11747.8</v>
      </c>
      <c r="J86" s="8" t="s">
        <v>41</v>
      </c>
      <c r="K86" s="8" t="s">
        <v>178</v>
      </c>
      <c r="L86" s="18" t="str">
        <f>VLOOKUP(D86,Products!$A:$C,3,FALSE)</f>
        <v>Beauty</v>
      </c>
      <c r="N86" s="18" t="str">
        <f>VLOOKUP(C86,Customers!$A:$E,5,FALSE)</f>
        <v>Retail</v>
      </c>
      <c r="O86" s="18">
        <f>VLOOKUP(C86,Customers!$A:$C,3,FALSE)</f>
        <v>28</v>
      </c>
      <c r="P86" s="18" t="str">
        <f>VLOOKUP(E85,Sales_Reps!$A:$C,3,FALSE)</f>
        <v>West</v>
      </c>
      <c r="Q86" s="18" t="str">
        <f t="shared" si="16"/>
        <v>Sep-24</v>
      </c>
      <c r="R86">
        <f>VLOOKUP(D86, Products!A:D, 4, FALSE)</f>
        <v>1626</v>
      </c>
      <c r="S86">
        <f t="shared" si="17"/>
        <v>0.46158940397350995</v>
      </c>
      <c r="T86" s="10">
        <v>0.9</v>
      </c>
    </row>
    <row r="87" spans="1:20" ht="14.25" hidden="1" customHeight="1" x14ac:dyDescent="0.3">
      <c r="A87" s="8" t="s">
        <v>1022</v>
      </c>
      <c r="B87" s="9">
        <v>45461</v>
      </c>
      <c r="C87" s="8" t="s">
        <v>266</v>
      </c>
      <c r="D87" s="8" t="s">
        <v>896</v>
      </c>
      <c r="E87" s="8" t="s">
        <v>143</v>
      </c>
      <c r="F87" s="10">
        <v>9</v>
      </c>
      <c r="G87" s="10">
        <v>620</v>
      </c>
      <c r="H87" s="10">
        <v>23.3</v>
      </c>
      <c r="I87" s="10">
        <v>4279.8599999999997</v>
      </c>
      <c r="J87" s="8" t="s">
        <v>41</v>
      </c>
      <c r="K87" s="8" t="s">
        <v>42</v>
      </c>
      <c r="L87" s="18" t="str">
        <f>VLOOKUP(D87,Products!$A:$C,3,FALSE)</f>
        <v>Apparel</v>
      </c>
      <c r="N87" s="18" t="str">
        <f>VLOOKUP(C87,Customers!$A:$E,5,FALSE)</f>
        <v>SMB</v>
      </c>
      <c r="O87" s="18">
        <f>VLOOKUP(C87,Customers!$A:$C,3,FALSE)</f>
        <v>44</v>
      </c>
      <c r="T87" s="10">
        <v>20.6</v>
      </c>
    </row>
    <row r="88" spans="1:20" ht="14.25" customHeight="1" x14ac:dyDescent="0.3">
      <c r="A88" s="8" t="s">
        <v>1023</v>
      </c>
      <c r="B88" s="21">
        <v>45600</v>
      </c>
      <c r="C88" s="8" t="s">
        <v>440</v>
      </c>
      <c r="D88" s="8" t="s">
        <v>116</v>
      </c>
      <c r="E88" s="8" t="s">
        <v>376</v>
      </c>
      <c r="F88" s="10">
        <v>2</v>
      </c>
      <c r="G88" s="10">
        <v>470</v>
      </c>
      <c r="H88" s="10">
        <v>5.4</v>
      </c>
      <c r="I88" s="10">
        <v>889.24</v>
      </c>
      <c r="J88" s="8" t="s">
        <v>41</v>
      </c>
      <c r="K88" s="8" t="s">
        <v>98</v>
      </c>
      <c r="L88" s="18" t="str">
        <f>VLOOKUP(D88,Products!$A:$C,3,FALSE)</f>
        <v>Sports</v>
      </c>
      <c r="N88" s="18" t="str">
        <f>VLOOKUP(C88,Customers!$A:$E,5,FALSE)</f>
        <v>Retail</v>
      </c>
      <c r="O88" s="18">
        <f>VLOOKUP(C88,Customers!$A:$C,3,FALSE)</f>
        <v>28</v>
      </c>
      <c r="P88" s="18" t="str">
        <f>VLOOKUP(E87,Sales_Reps!$A:$C,3,FALSE)</f>
        <v>West</v>
      </c>
      <c r="Q88" s="18" t="str">
        <f>TEXT(B87,"MMM-YY")</f>
        <v>Jun-24</v>
      </c>
      <c r="R88">
        <f>VLOOKUP(D88, Products!A:D, 4, FALSE)</f>
        <v>302</v>
      </c>
      <c r="S88">
        <f>(G88-R88)/G88</f>
        <v>0.35744680851063831</v>
      </c>
      <c r="T88" s="10">
        <v>0.7</v>
      </c>
    </row>
    <row r="89" spans="1:20" ht="14.25" hidden="1" customHeight="1" x14ac:dyDescent="0.3">
      <c r="A89" s="8" t="s">
        <v>1024</v>
      </c>
      <c r="B89" s="9">
        <v>45587</v>
      </c>
      <c r="C89" s="8" t="s">
        <v>238</v>
      </c>
      <c r="D89" s="8" t="s">
        <v>140</v>
      </c>
      <c r="E89" s="8" t="s">
        <v>177</v>
      </c>
      <c r="F89" s="10">
        <v>3</v>
      </c>
      <c r="G89" s="10">
        <v>1430</v>
      </c>
      <c r="H89" s="10">
        <v>6.5</v>
      </c>
      <c r="I89" s="10">
        <v>4011.15</v>
      </c>
      <c r="J89" s="8" t="s">
        <v>41</v>
      </c>
      <c r="K89" s="8" t="s">
        <v>42</v>
      </c>
      <c r="L89" s="18" t="str">
        <f>VLOOKUP(D89,Products!$A:$C,3,FALSE)</f>
        <v>Electronics</v>
      </c>
      <c r="N89" s="18" t="str">
        <f>VLOOKUP(C89,Customers!$A:$E,5,FALSE)</f>
        <v>Retail</v>
      </c>
      <c r="O89" s="18">
        <f>VLOOKUP(C89,Customers!$A:$C,3,FALSE)</f>
        <v>50</v>
      </c>
      <c r="T89" s="10">
        <v>18.2</v>
      </c>
    </row>
    <row r="90" spans="1:20" ht="14.25" hidden="1" customHeight="1" x14ac:dyDescent="0.3">
      <c r="A90" s="8" t="s">
        <v>1037</v>
      </c>
      <c r="B90" s="9">
        <v>45518</v>
      </c>
      <c r="C90" s="8" t="s">
        <v>490</v>
      </c>
      <c r="D90" s="8" t="s">
        <v>896</v>
      </c>
      <c r="E90" s="8" t="s">
        <v>185</v>
      </c>
      <c r="F90" s="10">
        <v>6</v>
      </c>
      <c r="G90" s="10">
        <v>620</v>
      </c>
      <c r="H90" s="10">
        <v>2.6</v>
      </c>
      <c r="I90" s="10">
        <v>3623.28</v>
      </c>
      <c r="J90" s="8" t="s">
        <v>41</v>
      </c>
      <c r="K90" s="8" t="s">
        <v>136</v>
      </c>
      <c r="L90" s="18" t="str">
        <f>VLOOKUP(D90,Products!$A:$C,3,FALSE)</f>
        <v>Apparel</v>
      </c>
      <c r="N90" s="18" t="str">
        <f>VLOOKUP(C90,Customers!$A:$E,5,FALSE)</f>
        <v>Corporate</v>
      </c>
      <c r="O90" s="18">
        <f>VLOOKUP(C90,Customers!$A:$C,3,FALSE)</f>
        <v>59</v>
      </c>
      <c r="T90" s="10">
        <v>11.9</v>
      </c>
    </row>
    <row r="91" spans="1:20" ht="14.25" hidden="1" customHeight="1" x14ac:dyDescent="0.3">
      <c r="A91" s="8" t="s">
        <v>1038</v>
      </c>
      <c r="B91" s="9">
        <v>45533</v>
      </c>
      <c r="C91" s="8" t="s">
        <v>558</v>
      </c>
      <c r="D91" s="8" t="s">
        <v>211</v>
      </c>
      <c r="E91" s="8" t="s">
        <v>189</v>
      </c>
      <c r="F91" s="10">
        <v>4</v>
      </c>
      <c r="G91" s="10">
        <v>3570</v>
      </c>
      <c r="H91" s="10">
        <v>4.5</v>
      </c>
      <c r="I91" s="10">
        <v>13637.4</v>
      </c>
      <c r="J91" s="8" t="s">
        <v>97</v>
      </c>
      <c r="K91" s="8" t="s">
        <v>178</v>
      </c>
      <c r="L91" s="18" t="str">
        <f>VLOOKUP(D91,Products!$A:$C,3,FALSE)</f>
        <v>Electronics</v>
      </c>
      <c r="N91" s="18" t="str">
        <f>VLOOKUP(C91,Customers!$A:$E,5,FALSE)</f>
        <v>SMB</v>
      </c>
      <c r="O91" s="18">
        <f>VLOOKUP(C91,Customers!$A:$C,3,FALSE)</f>
        <v>65</v>
      </c>
      <c r="T91" s="10">
        <v>1.1000000000000001</v>
      </c>
    </row>
    <row r="92" spans="1:20" ht="14.25" hidden="1" customHeight="1" x14ac:dyDescent="0.3">
      <c r="A92" s="8" t="s">
        <v>1039</v>
      </c>
      <c r="B92" s="9">
        <v>45622</v>
      </c>
      <c r="C92" s="8" t="s">
        <v>683</v>
      </c>
      <c r="D92" s="8" t="s">
        <v>691</v>
      </c>
      <c r="E92" s="8" t="s">
        <v>177</v>
      </c>
      <c r="F92" s="10">
        <v>6</v>
      </c>
      <c r="G92" s="10">
        <v>2270</v>
      </c>
      <c r="H92" s="10">
        <v>2</v>
      </c>
      <c r="I92" s="10">
        <v>13347.6</v>
      </c>
      <c r="J92" s="8" t="s">
        <v>41</v>
      </c>
      <c r="K92" s="8" t="s">
        <v>178</v>
      </c>
      <c r="L92" s="18" t="str">
        <f>VLOOKUP(D92,Products!$A:$C,3,FALSE)</f>
        <v>Grocery</v>
      </c>
      <c r="N92" s="18" t="str">
        <f>VLOOKUP(C92,Customers!$A:$E,5,FALSE)</f>
        <v>Corporate</v>
      </c>
      <c r="O92" s="18">
        <f>VLOOKUP(C92,Customers!$A:$C,3,FALSE)</f>
        <v>46</v>
      </c>
      <c r="T92" s="10">
        <v>18.100000000000001</v>
      </c>
    </row>
    <row r="93" spans="1:20" ht="14.25" hidden="1" customHeight="1" x14ac:dyDescent="0.3">
      <c r="A93" s="8" t="s">
        <v>1040</v>
      </c>
      <c r="B93" s="9">
        <v>45328</v>
      </c>
      <c r="C93" s="8" t="s">
        <v>698</v>
      </c>
      <c r="D93" s="8" t="s">
        <v>239</v>
      </c>
      <c r="E93" s="8" t="s">
        <v>117</v>
      </c>
      <c r="F93" s="10">
        <v>7</v>
      </c>
      <c r="G93" s="10">
        <v>2720</v>
      </c>
      <c r="H93" s="10">
        <v>15.4</v>
      </c>
      <c r="I93" s="10">
        <v>16107.84</v>
      </c>
      <c r="J93" s="8" t="s">
        <v>41</v>
      </c>
      <c r="K93" s="8" t="s">
        <v>146</v>
      </c>
      <c r="L93" s="18" t="str">
        <f>VLOOKUP(D93,Products!$A:$C,3,FALSE)</f>
        <v>Apparel</v>
      </c>
      <c r="N93" s="18" t="str">
        <f>VLOOKUP(C93,Customers!$A:$E,5,FALSE)</f>
        <v>Retail</v>
      </c>
      <c r="O93" s="18">
        <f>VLOOKUP(C93,Customers!$A:$C,3,FALSE)</f>
        <v>49</v>
      </c>
      <c r="T93" s="10">
        <v>19.600000000000001</v>
      </c>
    </row>
    <row r="94" spans="1:20" ht="14.25" customHeight="1" x14ac:dyDescent="0.3">
      <c r="A94" s="8" t="s">
        <v>1041</v>
      </c>
      <c r="B94" s="21">
        <v>45380</v>
      </c>
      <c r="C94" s="8" t="s">
        <v>605</v>
      </c>
      <c r="D94" s="8" t="s">
        <v>918</v>
      </c>
      <c r="E94" s="8" t="s">
        <v>231</v>
      </c>
      <c r="F94" s="10">
        <v>9</v>
      </c>
      <c r="G94" s="10">
        <v>2210</v>
      </c>
      <c r="H94" s="10">
        <v>12.4</v>
      </c>
      <c r="I94" s="10">
        <v>17423.64</v>
      </c>
      <c r="J94" s="8" t="s">
        <v>41</v>
      </c>
      <c r="K94" s="8" t="s">
        <v>98</v>
      </c>
      <c r="L94" s="18" t="str">
        <f>VLOOKUP(D94,Products!$A:$C,3,FALSE)</f>
        <v>Grocery</v>
      </c>
      <c r="N94" s="18" t="str">
        <f>VLOOKUP(C94,Customers!$A:$E,5,FALSE)</f>
        <v>Retail</v>
      </c>
      <c r="O94" s="18">
        <f>VLOOKUP(C94,Customers!$A:$C,3,FALSE)</f>
        <v>38</v>
      </c>
      <c r="P94" s="18" t="str">
        <f>VLOOKUP(E93,Sales_Reps!$A:$C,3,FALSE)</f>
        <v>South</v>
      </c>
      <c r="Q94" s="18" t="str">
        <f t="shared" ref="Q94:Q97" si="18">TEXT(B93,"MMM-YY")</f>
        <v>Feb-24</v>
      </c>
      <c r="R94">
        <f>VLOOKUP(D94, Products!A:D, 4, FALSE)</f>
        <v>1010</v>
      </c>
      <c r="S94">
        <f t="shared" ref="S94:S97" si="19">(G94-R94)/G94</f>
        <v>0.54298642533936647</v>
      </c>
      <c r="T94" s="10">
        <v>1.5</v>
      </c>
    </row>
    <row r="95" spans="1:20" ht="14.25" customHeight="1" x14ac:dyDescent="0.3">
      <c r="A95" s="8" t="s">
        <v>1042</v>
      </c>
      <c r="B95" s="21">
        <v>45648</v>
      </c>
      <c r="C95" s="8" t="s">
        <v>351</v>
      </c>
      <c r="D95" s="8" t="s">
        <v>199</v>
      </c>
      <c r="E95" s="8" t="s">
        <v>376</v>
      </c>
      <c r="F95" s="10">
        <v>6</v>
      </c>
      <c r="G95" s="10">
        <v>190</v>
      </c>
      <c r="H95" s="10">
        <v>19.2</v>
      </c>
      <c r="I95" s="10">
        <v>921.12</v>
      </c>
      <c r="J95" s="8" t="s">
        <v>41</v>
      </c>
      <c r="K95" s="8" t="s">
        <v>42</v>
      </c>
      <c r="L95" s="18" t="str">
        <f>VLOOKUP(D95,Products!$A:$C,3,FALSE)</f>
        <v>Sports</v>
      </c>
      <c r="N95" s="18" t="str">
        <f>VLOOKUP(C95,Customers!$A:$E,5,FALSE)</f>
        <v>Retail</v>
      </c>
      <c r="O95" s="18">
        <f>VLOOKUP(C95,Customers!$A:$C,3,FALSE)</f>
        <v>25</v>
      </c>
      <c r="P95" s="18" t="str">
        <f>VLOOKUP(E94,Sales_Reps!$A:$C,3,FALSE)</f>
        <v>North</v>
      </c>
      <c r="Q95" s="18" t="str">
        <f t="shared" si="18"/>
        <v>Mar-24</v>
      </c>
      <c r="R95">
        <f>VLOOKUP(D95, Products!A:D, 4, FALSE)</f>
        <v>147</v>
      </c>
      <c r="S95">
        <f t="shared" si="19"/>
        <v>0.22631578947368422</v>
      </c>
      <c r="T95" s="10">
        <v>25.4</v>
      </c>
    </row>
    <row r="96" spans="1:20" ht="14.25" customHeight="1" x14ac:dyDescent="0.3">
      <c r="A96" s="8" t="s">
        <v>1043</v>
      </c>
      <c r="B96" s="21">
        <v>45607</v>
      </c>
      <c r="C96" s="8" t="s">
        <v>547</v>
      </c>
      <c r="D96" s="8" t="s">
        <v>320</v>
      </c>
      <c r="E96" s="8" t="s">
        <v>619</v>
      </c>
      <c r="F96" s="10">
        <v>10</v>
      </c>
      <c r="G96" s="10">
        <v>5100</v>
      </c>
      <c r="H96" s="10">
        <v>25.4</v>
      </c>
      <c r="I96" s="10">
        <v>38046</v>
      </c>
      <c r="J96" s="8" t="s">
        <v>193</v>
      </c>
      <c r="K96" s="8" t="s">
        <v>98</v>
      </c>
      <c r="L96" s="18" t="str">
        <f>VLOOKUP(D96,Products!$A:$C,3,FALSE)</f>
        <v>Beauty</v>
      </c>
      <c r="N96" s="18" t="str">
        <f>VLOOKUP(C96,Customers!$A:$E,5,FALSE)</f>
        <v>Retail</v>
      </c>
      <c r="O96" s="18">
        <f>VLOOKUP(C96,Customers!$A:$C,3,FALSE)</f>
        <v>26</v>
      </c>
      <c r="P96" s="18" t="str">
        <f>VLOOKUP(E95,Sales_Reps!$A:$C,3,FALSE)</f>
        <v>West</v>
      </c>
      <c r="Q96" s="18" t="str">
        <f t="shared" si="18"/>
        <v>Dec-24</v>
      </c>
      <c r="R96">
        <f>VLOOKUP(D96, Products!A:D, 4, FALSE)</f>
        <v>2237</v>
      </c>
      <c r="S96">
        <f t="shared" si="19"/>
        <v>0.56137254901960787</v>
      </c>
      <c r="T96" s="10">
        <v>9.1999999999999993</v>
      </c>
    </row>
    <row r="97" spans="1:20" ht="14.25" customHeight="1" x14ac:dyDescent="0.3">
      <c r="A97" s="8" t="s">
        <v>1044</v>
      </c>
      <c r="B97" s="21">
        <v>45414</v>
      </c>
      <c r="C97" s="8" t="s">
        <v>719</v>
      </c>
      <c r="D97" s="8" t="s">
        <v>260</v>
      </c>
      <c r="E97" s="8" t="s">
        <v>221</v>
      </c>
      <c r="F97" s="10">
        <v>5</v>
      </c>
      <c r="G97" s="10">
        <v>1010</v>
      </c>
      <c r="H97" s="10">
        <v>1.6</v>
      </c>
      <c r="I97" s="10">
        <v>4969.2</v>
      </c>
      <c r="J97" s="8" t="s">
        <v>41</v>
      </c>
      <c r="K97" s="8" t="s">
        <v>98</v>
      </c>
      <c r="L97" s="18" t="str">
        <f>VLOOKUP(D97,Products!$A:$C,3,FALSE)</f>
        <v>Sports</v>
      </c>
      <c r="N97" s="18" t="str">
        <f>VLOOKUP(C97,Customers!$A:$E,5,FALSE)</f>
        <v>Corporate</v>
      </c>
      <c r="O97" s="18">
        <f>VLOOKUP(C97,Customers!$A:$C,3,FALSE)</f>
        <v>38</v>
      </c>
      <c r="P97" s="18" t="str">
        <f>VLOOKUP(E96,Sales_Reps!$A:$C,3,FALSE)</f>
        <v>West</v>
      </c>
      <c r="Q97" s="18" t="str">
        <f t="shared" si="18"/>
        <v>Nov-24</v>
      </c>
      <c r="R97">
        <f>VLOOKUP(D97, Products!A:D, 4, FALSE)</f>
        <v>516</v>
      </c>
      <c r="S97">
        <f t="shared" si="19"/>
        <v>0.4891089108910891</v>
      </c>
      <c r="T97" s="10">
        <v>0.4</v>
      </c>
    </row>
    <row r="98" spans="1:20" ht="14.25" hidden="1" customHeight="1" x14ac:dyDescent="0.3">
      <c r="A98" s="8" t="s">
        <v>1045</v>
      </c>
      <c r="B98" s="9">
        <v>45328</v>
      </c>
      <c r="C98" s="8" t="s">
        <v>326</v>
      </c>
      <c r="D98" s="8" t="s">
        <v>569</v>
      </c>
      <c r="E98" s="8" t="s">
        <v>145</v>
      </c>
      <c r="F98" s="10">
        <v>1</v>
      </c>
      <c r="G98" s="10">
        <v>3730</v>
      </c>
      <c r="H98" s="10">
        <v>22.7</v>
      </c>
      <c r="I98" s="10">
        <v>2883.29</v>
      </c>
      <c r="J98" s="8" t="s">
        <v>41</v>
      </c>
      <c r="K98" s="8" t="s">
        <v>178</v>
      </c>
      <c r="L98" s="18" t="str">
        <f>VLOOKUP(D98,Products!$A:$C,3,FALSE)</f>
        <v>Home</v>
      </c>
      <c r="N98" s="18" t="str">
        <f>VLOOKUP(C98,Customers!$A:$E,5,FALSE)</f>
        <v>Retail</v>
      </c>
      <c r="O98" s="18">
        <f>VLOOKUP(C98,Customers!$A:$C,3,FALSE)</f>
        <v>53</v>
      </c>
      <c r="T98" s="10">
        <v>29.9</v>
      </c>
    </row>
    <row r="99" spans="1:20" ht="14.25" hidden="1" customHeight="1" x14ac:dyDescent="0.3">
      <c r="A99" s="8" t="s">
        <v>1047</v>
      </c>
      <c r="B99" s="9">
        <v>45373</v>
      </c>
      <c r="C99" s="8" t="s">
        <v>658</v>
      </c>
      <c r="D99" s="8" t="s">
        <v>184</v>
      </c>
      <c r="E99" s="8" t="s">
        <v>172</v>
      </c>
      <c r="F99" s="10">
        <v>10</v>
      </c>
      <c r="G99" s="10">
        <v>2600</v>
      </c>
      <c r="H99" s="10">
        <v>20.7</v>
      </c>
      <c r="I99" s="10">
        <v>20618</v>
      </c>
      <c r="J99" s="8" t="s">
        <v>41</v>
      </c>
      <c r="K99" s="8" t="s">
        <v>98</v>
      </c>
      <c r="L99" s="18" t="str">
        <f>VLOOKUP(D99,Products!$A:$C,3,FALSE)</f>
        <v>Electronics</v>
      </c>
      <c r="N99" s="18" t="str">
        <f>VLOOKUP(C99,Customers!$A:$E,5,FALSE)</f>
        <v>Retail</v>
      </c>
      <c r="O99" s="18">
        <f>VLOOKUP(C99,Customers!$A:$C,3,FALSE)</f>
        <v>41</v>
      </c>
      <c r="T99" s="10">
        <v>3.9</v>
      </c>
    </row>
    <row r="100" spans="1:20" ht="14.25" customHeight="1" x14ac:dyDescent="0.3">
      <c r="A100" s="8" t="s">
        <v>1049</v>
      </c>
      <c r="B100" s="21">
        <v>45458</v>
      </c>
      <c r="C100" s="8" t="s">
        <v>166</v>
      </c>
      <c r="D100" s="8" t="s">
        <v>912</v>
      </c>
      <c r="E100" s="8" t="s">
        <v>125</v>
      </c>
      <c r="F100" s="10">
        <v>4</v>
      </c>
      <c r="G100" s="10">
        <v>4060</v>
      </c>
      <c r="H100" s="10">
        <v>13.9</v>
      </c>
      <c r="I100" s="10">
        <v>13982.64</v>
      </c>
      <c r="J100" s="8" t="s">
        <v>41</v>
      </c>
      <c r="K100" s="8" t="s">
        <v>146</v>
      </c>
      <c r="L100" s="18" t="str">
        <f>VLOOKUP(D100,Products!$A:$C,3,FALSE)</f>
        <v>Grocery</v>
      </c>
      <c r="N100" s="18" t="str">
        <f>VLOOKUP(C100,Customers!$A:$E,5,FALSE)</f>
        <v>SMB</v>
      </c>
      <c r="O100" s="18">
        <f>VLOOKUP(C100,Customers!$A:$C,3,FALSE)</f>
        <v>22</v>
      </c>
      <c r="P100" s="18" t="str">
        <f>VLOOKUP(E99,Sales_Reps!$A:$C,3,FALSE)</f>
        <v>West</v>
      </c>
      <c r="Q100" s="18" t="str">
        <f>TEXT(B99,"MMM-YY")</f>
        <v>Mar-24</v>
      </c>
      <c r="R100">
        <f>VLOOKUP(D100, Products!A:D, 4, FALSE)</f>
        <v>2911</v>
      </c>
      <c r="S100">
        <f>(G100-R100)/G100</f>
        <v>0.28300492610837441</v>
      </c>
      <c r="T100" s="10">
        <v>25.3</v>
      </c>
    </row>
    <row r="101" spans="1:20" ht="14.25" hidden="1" customHeight="1" x14ac:dyDescent="0.3">
      <c r="A101" s="8" t="s">
        <v>1058</v>
      </c>
      <c r="B101" s="9">
        <v>45426</v>
      </c>
      <c r="C101" s="8" t="s">
        <v>611</v>
      </c>
      <c r="D101" s="8" t="s">
        <v>662</v>
      </c>
      <c r="E101" s="8" t="s">
        <v>619</v>
      </c>
      <c r="F101" s="10">
        <v>6</v>
      </c>
      <c r="G101" s="10">
        <v>6080</v>
      </c>
      <c r="H101" s="10">
        <v>16.5</v>
      </c>
      <c r="I101" s="10">
        <v>30460.799999999999</v>
      </c>
      <c r="J101" s="8" t="s">
        <v>41</v>
      </c>
      <c r="K101" s="8" t="s">
        <v>98</v>
      </c>
      <c r="L101" s="18" t="str">
        <f>VLOOKUP(D101,Products!$A:$C,3,FALSE)</f>
        <v>Beauty</v>
      </c>
      <c r="N101" s="18" t="str">
        <f>VLOOKUP(C101,Customers!$A:$E,5,FALSE)</f>
        <v>Retail</v>
      </c>
      <c r="O101" s="18">
        <f>VLOOKUP(C101,Customers!$A:$C,3,FALSE)</f>
        <v>60</v>
      </c>
      <c r="T101" s="10">
        <v>23.8</v>
      </c>
    </row>
    <row r="102" spans="1:20" ht="14.25" hidden="1" customHeight="1" x14ac:dyDescent="0.3">
      <c r="A102" s="8" t="s">
        <v>1059</v>
      </c>
      <c r="B102" s="9">
        <v>45557</v>
      </c>
      <c r="C102" s="8" t="s">
        <v>266</v>
      </c>
      <c r="D102" s="8" t="s">
        <v>898</v>
      </c>
      <c r="E102" s="8" t="s">
        <v>172</v>
      </c>
      <c r="F102" s="10">
        <v>6</v>
      </c>
      <c r="G102" s="10">
        <v>2510</v>
      </c>
      <c r="H102" s="10">
        <v>11.7</v>
      </c>
      <c r="I102" s="10">
        <v>13297.98</v>
      </c>
      <c r="J102" s="8" t="s">
        <v>41</v>
      </c>
      <c r="K102" s="8" t="s">
        <v>42</v>
      </c>
      <c r="L102" s="18" t="str">
        <f>VLOOKUP(D102,Products!$A:$C,3,FALSE)</f>
        <v>Apparel</v>
      </c>
      <c r="N102" s="18" t="str">
        <f>VLOOKUP(C102,Customers!$A:$E,5,FALSE)</f>
        <v>SMB</v>
      </c>
      <c r="O102" s="18">
        <f>VLOOKUP(C102,Customers!$A:$C,3,FALSE)</f>
        <v>44</v>
      </c>
      <c r="T102" s="10">
        <v>4.3</v>
      </c>
    </row>
    <row r="103" spans="1:20" ht="14.25" customHeight="1" x14ac:dyDescent="0.3">
      <c r="A103" s="8" t="s">
        <v>1066</v>
      </c>
      <c r="B103" s="21">
        <v>45509</v>
      </c>
      <c r="C103" s="8" t="s">
        <v>645</v>
      </c>
      <c r="D103" s="8" t="s">
        <v>192</v>
      </c>
      <c r="E103" s="8" t="s">
        <v>376</v>
      </c>
      <c r="F103" s="10">
        <v>5</v>
      </c>
      <c r="G103" s="10">
        <v>3250</v>
      </c>
      <c r="H103" s="10">
        <v>18.399999999999999</v>
      </c>
      <c r="I103" s="10">
        <v>13260</v>
      </c>
      <c r="J103" s="8" t="s">
        <v>41</v>
      </c>
      <c r="K103" s="8" t="s">
        <v>119</v>
      </c>
      <c r="L103" s="18" t="str">
        <f>VLOOKUP(D103,Products!$A:$C,3,FALSE)</f>
        <v>Home</v>
      </c>
      <c r="N103" s="18" t="str">
        <f>VLOOKUP(C103,Customers!$A:$E,5,FALSE)</f>
        <v>SMB</v>
      </c>
      <c r="O103" s="18">
        <f>VLOOKUP(C103,Customers!$A:$C,3,FALSE)</f>
        <v>38</v>
      </c>
      <c r="P103" s="18" t="str">
        <f>VLOOKUP(E102,Sales_Reps!$A:$C,3,FALSE)</f>
        <v>West</v>
      </c>
      <c r="Q103" s="18" t="str">
        <f t="shared" ref="Q103:Q104" si="20">TEXT(B102,"MMM-YY")</f>
        <v>Sep-24</v>
      </c>
      <c r="R103">
        <f>VLOOKUP(D103, Products!A:D, 4, FALSE)</f>
        <v>1556</v>
      </c>
      <c r="S103">
        <f t="shared" ref="S103:S104" si="21">(G103-R103)/G103</f>
        <v>0.52123076923076928</v>
      </c>
      <c r="T103" s="10">
        <v>17.399999999999999</v>
      </c>
    </row>
    <row r="104" spans="1:20" ht="14.25" customHeight="1" x14ac:dyDescent="0.3">
      <c r="A104" s="8" t="s">
        <v>1074</v>
      </c>
      <c r="B104" s="21">
        <v>45329</v>
      </c>
      <c r="C104" s="8" t="s">
        <v>543</v>
      </c>
      <c r="D104" s="8" t="s">
        <v>954</v>
      </c>
      <c r="E104" s="8" t="s">
        <v>96</v>
      </c>
      <c r="F104" s="10">
        <v>4</v>
      </c>
      <c r="G104" s="10">
        <v>5410</v>
      </c>
      <c r="H104" s="10">
        <v>9.8000000000000007</v>
      </c>
      <c r="I104" s="10">
        <v>19519.28</v>
      </c>
      <c r="J104" s="8" t="s">
        <v>147</v>
      </c>
      <c r="K104" s="8" t="s">
        <v>119</v>
      </c>
      <c r="L104" s="18" t="str">
        <f>VLOOKUP(D104,Products!$A:$C,3,FALSE)</f>
        <v>Sports</v>
      </c>
      <c r="N104" s="18" t="str">
        <f>VLOOKUP(C104,Customers!$A:$E,5,FALSE)</f>
        <v>SMB</v>
      </c>
      <c r="O104" s="18">
        <f>VLOOKUP(C104,Customers!$A:$C,3,FALSE)</f>
        <v>28</v>
      </c>
      <c r="P104" s="18" t="str">
        <f>VLOOKUP(E103,Sales_Reps!$A:$C,3,FALSE)</f>
        <v>West</v>
      </c>
      <c r="Q104" s="18" t="str">
        <f t="shared" si="20"/>
        <v>Aug-24</v>
      </c>
      <c r="R104">
        <f>VLOOKUP(D104, Products!A:D, 4, FALSE)</f>
        <v>2265</v>
      </c>
      <c r="S104">
        <f t="shared" si="21"/>
        <v>0.58133086876155271</v>
      </c>
      <c r="T104" s="10">
        <v>20.100000000000001</v>
      </c>
    </row>
    <row r="105" spans="1:20" ht="14.25" hidden="1" customHeight="1" x14ac:dyDescent="0.3">
      <c r="A105" s="8" t="s">
        <v>1082</v>
      </c>
      <c r="B105" s="9">
        <v>45411</v>
      </c>
      <c r="C105" s="8" t="s">
        <v>783</v>
      </c>
      <c r="D105" s="8" t="s">
        <v>211</v>
      </c>
      <c r="E105" s="8" t="s">
        <v>167</v>
      </c>
      <c r="F105" s="10">
        <v>8</v>
      </c>
      <c r="G105" s="10">
        <v>3570</v>
      </c>
      <c r="H105" s="10">
        <v>11.1</v>
      </c>
      <c r="I105" s="10">
        <v>25389.84</v>
      </c>
      <c r="J105" s="8" t="s">
        <v>41</v>
      </c>
      <c r="K105" s="8" t="s">
        <v>98</v>
      </c>
      <c r="L105" s="18" t="str">
        <f>VLOOKUP(D105,Products!$A:$C,3,FALSE)</f>
        <v>Electronics</v>
      </c>
      <c r="N105" s="18" t="str">
        <f>VLOOKUP(C105,Customers!$A:$E,5,FALSE)</f>
        <v>Corporate</v>
      </c>
      <c r="O105" s="18">
        <f>VLOOKUP(C105,Customers!$A:$C,3,FALSE)</f>
        <v>51</v>
      </c>
      <c r="T105" s="10">
        <v>11.2</v>
      </c>
    </row>
    <row r="106" spans="1:20" ht="14.25" customHeight="1" x14ac:dyDescent="0.3">
      <c r="A106" s="8" t="s">
        <v>1086</v>
      </c>
      <c r="B106" s="21">
        <v>45297</v>
      </c>
      <c r="C106" s="8" t="s">
        <v>166</v>
      </c>
      <c r="D106" s="8" t="s">
        <v>230</v>
      </c>
      <c r="E106" s="8" t="s">
        <v>200</v>
      </c>
      <c r="F106" s="10">
        <v>10</v>
      </c>
      <c r="G106" s="10">
        <v>5330</v>
      </c>
      <c r="H106" s="10">
        <v>21.2</v>
      </c>
      <c r="I106" s="10">
        <v>42000.4</v>
      </c>
      <c r="J106" s="8" t="s">
        <v>41</v>
      </c>
      <c r="K106" s="8" t="s">
        <v>146</v>
      </c>
      <c r="L106" s="18" t="str">
        <f>VLOOKUP(D106,Products!$A:$C,3,FALSE)</f>
        <v>Electronics</v>
      </c>
      <c r="N106" s="18" t="str">
        <f>VLOOKUP(C106,Customers!$A:$E,5,FALSE)</f>
        <v>SMB</v>
      </c>
      <c r="O106" s="18">
        <f>VLOOKUP(C106,Customers!$A:$C,3,FALSE)</f>
        <v>22</v>
      </c>
      <c r="P106" s="18" t="str">
        <f>VLOOKUP(E105,Sales_Reps!$A:$C,3,FALSE)</f>
        <v>East</v>
      </c>
      <c r="Q106" s="18" t="str">
        <f t="shared" ref="Q106:Q107" si="22">TEXT(B105,"MMM-YY")</f>
        <v>Apr-24</v>
      </c>
      <c r="R106">
        <f>VLOOKUP(D106, Products!A:D, 4, FALSE)</f>
        <v>2405</v>
      </c>
      <c r="S106">
        <f t="shared" ref="S106:S107" si="23">(G106-R106)/G106</f>
        <v>0.54878048780487809</v>
      </c>
      <c r="T106" s="10">
        <v>29.5</v>
      </c>
    </row>
    <row r="107" spans="1:20" ht="14.25" customHeight="1" x14ac:dyDescent="0.3">
      <c r="A107" s="8" t="s">
        <v>1090</v>
      </c>
      <c r="B107" s="21">
        <v>45640</v>
      </c>
      <c r="C107" s="8" t="s">
        <v>435</v>
      </c>
      <c r="D107" s="8" t="s">
        <v>909</v>
      </c>
      <c r="E107" s="8" t="s">
        <v>121</v>
      </c>
      <c r="F107" s="10">
        <v>4</v>
      </c>
      <c r="G107" s="10">
        <v>2380</v>
      </c>
      <c r="H107" s="10">
        <v>26.2</v>
      </c>
      <c r="I107" s="10">
        <v>7025.76</v>
      </c>
      <c r="J107" s="8" t="s">
        <v>41</v>
      </c>
      <c r="K107" s="8" t="s">
        <v>146</v>
      </c>
      <c r="L107" s="18" t="str">
        <f>VLOOKUP(D107,Products!$A:$C,3,FALSE)</f>
        <v>Grocery</v>
      </c>
      <c r="N107" s="18" t="str">
        <f>VLOOKUP(C107,Customers!$A:$E,5,FALSE)</f>
        <v>Retail</v>
      </c>
      <c r="O107" s="18">
        <f>VLOOKUP(C107,Customers!$A:$C,3,FALSE)</f>
        <v>25</v>
      </c>
      <c r="P107" s="18" t="str">
        <f>VLOOKUP(E106,Sales_Reps!$A:$C,3,FALSE)</f>
        <v>North</v>
      </c>
      <c r="Q107" s="18" t="str">
        <f t="shared" si="22"/>
        <v>Jan-24</v>
      </c>
      <c r="R107">
        <f>VLOOKUP(D107, Products!A:D, 4, FALSE)</f>
        <v>1182</v>
      </c>
      <c r="S107">
        <f t="shared" si="23"/>
        <v>0.50336134453781511</v>
      </c>
      <c r="T107" s="10">
        <v>6.6</v>
      </c>
    </row>
    <row r="108" spans="1:20" ht="14.25" hidden="1" customHeight="1" x14ac:dyDescent="0.3">
      <c r="A108" s="8" t="s">
        <v>1097</v>
      </c>
      <c r="B108" s="9">
        <v>45322</v>
      </c>
      <c r="C108" s="8" t="s">
        <v>477</v>
      </c>
      <c r="D108" s="8" t="s">
        <v>260</v>
      </c>
      <c r="E108" s="8" t="s">
        <v>619</v>
      </c>
      <c r="F108" s="10">
        <v>1</v>
      </c>
      <c r="G108" s="10">
        <v>1010</v>
      </c>
      <c r="H108" s="10">
        <v>19.5</v>
      </c>
      <c r="I108" s="10">
        <v>813.05</v>
      </c>
      <c r="J108" s="8" t="s">
        <v>147</v>
      </c>
      <c r="K108" s="8" t="s">
        <v>98</v>
      </c>
      <c r="L108" s="18" t="str">
        <f>VLOOKUP(D108,Products!$A:$C,3,FALSE)</f>
        <v>Sports</v>
      </c>
      <c r="N108" s="18" t="str">
        <f>VLOOKUP(C108,Customers!$A:$E,5,FALSE)</f>
        <v>SMB</v>
      </c>
      <c r="O108" s="18">
        <f>VLOOKUP(C108,Customers!$A:$C,3,FALSE)</f>
        <v>62</v>
      </c>
      <c r="T108" s="10">
        <v>14</v>
      </c>
    </row>
    <row r="109" spans="1:20" ht="14.25" hidden="1" customHeight="1" x14ac:dyDescent="0.3">
      <c r="A109" s="8" t="s">
        <v>1101</v>
      </c>
      <c r="B109" s="9">
        <v>45414</v>
      </c>
      <c r="C109" s="8" t="s">
        <v>413</v>
      </c>
      <c r="D109" s="8" t="s">
        <v>124</v>
      </c>
      <c r="E109" s="8" t="s">
        <v>145</v>
      </c>
      <c r="F109" s="10">
        <v>1</v>
      </c>
      <c r="G109" s="10">
        <v>3660</v>
      </c>
      <c r="H109" s="10">
        <v>1.3</v>
      </c>
      <c r="I109" s="10">
        <v>3612.42</v>
      </c>
      <c r="J109" s="8" t="s">
        <v>41</v>
      </c>
      <c r="K109" s="8" t="s">
        <v>146</v>
      </c>
      <c r="L109" s="18" t="str">
        <f>VLOOKUP(D109,Products!$A:$C,3,FALSE)</f>
        <v>Grocery</v>
      </c>
      <c r="N109" s="18" t="str">
        <f>VLOOKUP(C109,Customers!$A:$E,5,FALSE)</f>
        <v>Retail</v>
      </c>
      <c r="O109" s="18">
        <f>VLOOKUP(C109,Customers!$A:$C,3,FALSE)</f>
        <v>42</v>
      </c>
      <c r="T109" s="10">
        <v>19</v>
      </c>
    </row>
    <row r="110" spans="1:20" ht="14.25" hidden="1" customHeight="1" x14ac:dyDescent="0.3">
      <c r="A110" s="8" t="s">
        <v>1109</v>
      </c>
      <c r="B110" s="9">
        <v>45592</v>
      </c>
      <c r="C110" s="8" t="s">
        <v>277</v>
      </c>
      <c r="D110" s="8" t="s">
        <v>818</v>
      </c>
      <c r="E110" s="8" t="s">
        <v>745</v>
      </c>
      <c r="F110" s="10">
        <v>2</v>
      </c>
      <c r="G110" s="10">
        <v>4070</v>
      </c>
      <c r="H110" s="10">
        <v>29</v>
      </c>
      <c r="I110" s="10">
        <v>5779.4</v>
      </c>
      <c r="J110" s="8" t="s">
        <v>147</v>
      </c>
      <c r="K110" s="8" t="s">
        <v>42</v>
      </c>
      <c r="L110" s="18" t="str">
        <f>VLOOKUP(D110,Products!$A:$C,3,FALSE)</f>
        <v>Grocery</v>
      </c>
      <c r="N110" s="18" t="str">
        <f>VLOOKUP(C110,Customers!$A:$E,5,FALSE)</f>
        <v>Retail</v>
      </c>
      <c r="O110" s="18">
        <f>VLOOKUP(C110,Customers!$A:$C,3,FALSE)</f>
        <v>43</v>
      </c>
      <c r="T110" s="10">
        <v>19.8</v>
      </c>
    </row>
    <row r="111" spans="1:20" ht="14.25" hidden="1" customHeight="1" x14ac:dyDescent="0.3">
      <c r="A111" s="8" t="s">
        <v>1113</v>
      </c>
      <c r="B111" s="9">
        <v>45439</v>
      </c>
      <c r="C111" s="8" t="s">
        <v>319</v>
      </c>
      <c r="D111" s="8" t="s">
        <v>389</v>
      </c>
      <c r="E111" s="8" t="s">
        <v>236</v>
      </c>
      <c r="F111" s="10">
        <v>6</v>
      </c>
      <c r="G111" s="10">
        <v>660</v>
      </c>
      <c r="H111" s="10">
        <v>20.2</v>
      </c>
      <c r="I111" s="10">
        <v>3160.08</v>
      </c>
      <c r="J111" s="8" t="s">
        <v>97</v>
      </c>
      <c r="K111" s="8" t="s">
        <v>178</v>
      </c>
      <c r="L111" s="18" t="str">
        <f>VLOOKUP(D111,Products!$A:$C,3,FALSE)</f>
        <v>Home</v>
      </c>
      <c r="N111" s="18" t="str">
        <f>VLOOKUP(C111,Customers!$A:$E,5,FALSE)</f>
        <v>Corporate</v>
      </c>
      <c r="O111" s="18">
        <f>VLOOKUP(C111,Customers!$A:$C,3,FALSE)</f>
        <v>56</v>
      </c>
      <c r="T111" s="10">
        <v>19</v>
      </c>
    </row>
    <row r="112" spans="1:20" ht="14.25" hidden="1" customHeight="1" x14ac:dyDescent="0.3">
      <c r="A112" s="8" t="s">
        <v>1114</v>
      </c>
      <c r="B112" s="9">
        <v>45486</v>
      </c>
      <c r="C112" s="8" t="s">
        <v>573</v>
      </c>
      <c r="D112" s="8" t="s">
        <v>224</v>
      </c>
      <c r="E112" s="8" t="s">
        <v>153</v>
      </c>
      <c r="F112" s="10">
        <v>3</v>
      </c>
      <c r="G112" s="10">
        <v>1080</v>
      </c>
      <c r="H112" s="10">
        <v>29.7</v>
      </c>
      <c r="I112" s="10">
        <v>2277.7199999999998</v>
      </c>
      <c r="J112" s="8" t="s">
        <v>41</v>
      </c>
      <c r="K112" s="8" t="s">
        <v>136</v>
      </c>
      <c r="L112" s="18" t="str">
        <f>VLOOKUP(D112,Products!$A:$C,3,FALSE)</f>
        <v>Home</v>
      </c>
      <c r="N112" s="18" t="str">
        <f>VLOOKUP(C112,Customers!$A:$E,5,FALSE)</f>
        <v>SMB</v>
      </c>
      <c r="O112" s="18">
        <f>VLOOKUP(C112,Customers!$A:$C,3,FALSE)</f>
        <v>44</v>
      </c>
      <c r="T112" s="10">
        <v>18.8</v>
      </c>
    </row>
    <row r="113" spans="1:20" ht="14.25" hidden="1" customHeight="1" x14ac:dyDescent="0.3">
      <c r="A113" s="8" t="s">
        <v>1119</v>
      </c>
      <c r="B113" s="9">
        <v>45629</v>
      </c>
      <c r="C113" s="8" t="s">
        <v>840</v>
      </c>
      <c r="D113" s="8" t="s">
        <v>95</v>
      </c>
      <c r="E113" s="8" t="s">
        <v>125</v>
      </c>
      <c r="F113" s="10">
        <v>7</v>
      </c>
      <c r="G113" s="10">
        <v>820</v>
      </c>
      <c r="H113" s="10">
        <v>13.5</v>
      </c>
      <c r="I113" s="10">
        <v>4965.1000000000004</v>
      </c>
      <c r="J113" s="8" t="s">
        <v>147</v>
      </c>
      <c r="K113" s="8" t="s">
        <v>98</v>
      </c>
      <c r="L113" s="18" t="str">
        <f>VLOOKUP(D113,Products!$A:$C,3,FALSE)</f>
        <v>Apparel</v>
      </c>
      <c r="N113" s="18" t="str">
        <f>VLOOKUP(C113,Customers!$A:$E,5,FALSE)</f>
        <v>SMB</v>
      </c>
      <c r="O113" s="18">
        <f>VLOOKUP(C113,Customers!$A:$C,3,FALSE)</f>
        <v>53</v>
      </c>
      <c r="T113" s="10">
        <v>24.7</v>
      </c>
    </row>
    <row r="114" spans="1:20" ht="14.25" customHeight="1" x14ac:dyDescent="0.3">
      <c r="A114" s="8" t="s">
        <v>1121</v>
      </c>
      <c r="B114" s="21">
        <v>45394</v>
      </c>
      <c r="C114" s="8" t="s">
        <v>183</v>
      </c>
      <c r="D114" s="8" t="s">
        <v>949</v>
      </c>
      <c r="E114" s="8" t="s">
        <v>619</v>
      </c>
      <c r="F114" s="10">
        <v>4</v>
      </c>
      <c r="G114" s="10">
        <v>960</v>
      </c>
      <c r="H114" s="10">
        <v>26</v>
      </c>
      <c r="I114" s="10">
        <v>2841.6</v>
      </c>
      <c r="J114" s="8" t="s">
        <v>41</v>
      </c>
      <c r="K114" s="8" t="s">
        <v>119</v>
      </c>
      <c r="L114" s="18" t="str">
        <f>VLOOKUP(D114,Products!$A:$C,3,FALSE)</f>
        <v>Beauty</v>
      </c>
      <c r="N114" s="18" t="str">
        <f>VLOOKUP(C114,Customers!$A:$E,5,FALSE)</f>
        <v>SMB</v>
      </c>
      <c r="O114" s="18">
        <f>VLOOKUP(C114,Customers!$A:$C,3,FALSE)</f>
        <v>27</v>
      </c>
      <c r="P114" s="18" t="str">
        <f>VLOOKUP(E113,Sales_Reps!$A:$C,3,FALSE)</f>
        <v>North</v>
      </c>
      <c r="Q114" s="18" t="str">
        <f t="shared" ref="Q114:Q115" si="24">TEXT(B113,"MMM-YY")</f>
        <v>Dec-24</v>
      </c>
      <c r="R114">
        <f>VLOOKUP(D114, Products!A:D, 4, FALSE)</f>
        <v>675</v>
      </c>
      <c r="S114">
        <f t="shared" ref="S114:S115" si="25">(G114-R114)/G114</f>
        <v>0.296875</v>
      </c>
      <c r="T114" s="10">
        <v>6.9</v>
      </c>
    </row>
    <row r="115" spans="1:20" ht="14.25" customHeight="1" x14ac:dyDescent="0.3">
      <c r="A115" s="8" t="s">
        <v>1128</v>
      </c>
      <c r="B115" s="21">
        <v>45453</v>
      </c>
      <c r="C115" s="8" t="s">
        <v>466</v>
      </c>
      <c r="D115" s="8" t="s">
        <v>184</v>
      </c>
      <c r="E115" s="8" t="s">
        <v>117</v>
      </c>
      <c r="F115" s="10">
        <v>3</v>
      </c>
      <c r="G115" s="10">
        <v>2600</v>
      </c>
      <c r="H115" s="10">
        <v>18.2</v>
      </c>
      <c r="I115" s="10">
        <v>6380.4</v>
      </c>
      <c r="J115" s="8" t="s">
        <v>41</v>
      </c>
      <c r="K115" s="8" t="s">
        <v>119</v>
      </c>
      <c r="L115" s="18" t="str">
        <f>VLOOKUP(D115,Products!$A:$C,3,FALSE)</f>
        <v>Electronics</v>
      </c>
      <c r="N115" s="18" t="str">
        <f>VLOOKUP(C115,Customers!$A:$E,5,FALSE)</f>
        <v>Corporate</v>
      </c>
      <c r="O115" s="18">
        <f>VLOOKUP(C115,Customers!$A:$C,3,FALSE)</f>
        <v>27</v>
      </c>
      <c r="P115" s="18" t="str">
        <f>VLOOKUP(E114,Sales_Reps!$A:$C,3,FALSE)</f>
        <v>West</v>
      </c>
      <c r="Q115" s="18" t="str">
        <f t="shared" si="24"/>
        <v>Apr-24</v>
      </c>
      <c r="R115">
        <f>VLOOKUP(D115, Products!A:D, 4, FALSE)</f>
        <v>1052</v>
      </c>
      <c r="S115">
        <f t="shared" si="25"/>
        <v>0.5953846153846154</v>
      </c>
      <c r="T115" s="10">
        <v>8.4</v>
      </c>
    </row>
    <row r="116" spans="1:20" ht="14.25" hidden="1" customHeight="1" x14ac:dyDescent="0.3">
      <c r="A116" s="8" t="s">
        <v>1134</v>
      </c>
      <c r="B116" s="9">
        <v>45370</v>
      </c>
      <c r="C116" s="8" t="s">
        <v>204</v>
      </c>
      <c r="D116" s="8" t="s">
        <v>924</v>
      </c>
      <c r="E116" s="8" t="s">
        <v>236</v>
      </c>
      <c r="F116" s="10">
        <v>9</v>
      </c>
      <c r="G116" s="10">
        <v>2030</v>
      </c>
      <c r="H116" s="10">
        <v>26.1</v>
      </c>
      <c r="I116" s="10">
        <v>13501.53</v>
      </c>
      <c r="J116" s="8" t="s">
        <v>41</v>
      </c>
      <c r="K116" s="8" t="s">
        <v>42</v>
      </c>
      <c r="L116" s="18" t="str">
        <f>VLOOKUP(D116,Products!$A:$C,3,FALSE)</f>
        <v>Home</v>
      </c>
      <c r="N116" s="18" t="str">
        <f>VLOOKUP(C116,Customers!$A:$E,5,FALSE)</f>
        <v>Retail</v>
      </c>
      <c r="O116" s="18">
        <f>VLOOKUP(C116,Customers!$A:$C,3,FALSE)</f>
        <v>63</v>
      </c>
      <c r="T116" s="10">
        <v>13.1</v>
      </c>
    </row>
    <row r="117" spans="1:20" ht="14.25" customHeight="1" x14ac:dyDescent="0.3">
      <c r="A117" s="8" t="s">
        <v>1141</v>
      </c>
      <c r="B117" s="21">
        <v>45597</v>
      </c>
      <c r="C117" s="8" t="s">
        <v>309</v>
      </c>
      <c r="D117" s="8" t="s">
        <v>939</v>
      </c>
      <c r="E117" s="8" t="s">
        <v>172</v>
      </c>
      <c r="F117" s="10">
        <v>8</v>
      </c>
      <c r="G117" s="10">
        <v>2290</v>
      </c>
      <c r="H117" s="10">
        <v>20.8</v>
      </c>
      <c r="I117" s="10">
        <v>14509.44</v>
      </c>
      <c r="J117" s="8" t="s">
        <v>41</v>
      </c>
      <c r="K117" s="8" t="s">
        <v>136</v>
      </c>
      <c r="L117" s="18" t="str">
        <f>VLOOKUP(D117,Products!$A:$C,3,FALSE)</f>
        <v>Beauty</v>
      </c>
      <c r="N117" s="18" t="str">
        <f>VLOOKUP(C117,Customers!$A:$E,5,FALSE)</f>
        <v>Retail</v>
      </c>
      <c r="O117" s="18">
        <f>VLOOKUP(C117,Customers!$A:$C,3,FALSE)</f>
        <v>23</v>
      </c>
      <c r="P117" s="18" t="str">
        <f>VLOOKUP(E116,Sales_Reps!$A:$C,3,FALSE)</f>
        <v>West</v>
      </c>
      <c r="Q117" s="18" t="str">
        <f>TEXT(B116,"MMM-YY")</f>
        <v>Mar-24</v>
      </c>
      <c r="R117">
        <f>VLOOKUP(D117, Products!A:D, 4, FALSE)</f>
        <v>1219</v>
      </c>
      <c r="S117">
        <f>(G117-R117)/G117</f>
        <v>0.46768558951965067</v>
      </c>
      <c r="T117" s="10">
        <v>16.5</v>
      </c>
    </row>
    <row r="118" spans="1:20" ht="14.25" hidden="1" customHeight="1" x14ac:dyDescent="0.3">
      <c r="A118" s="8" t="s">
        <v>1144</v>
      </c>
      <c r="B118" s="9">
        <v>45531</v>
      </c>
      <c r="C118" s="8" t="s">
        <v>580</v>
      </c>
      <c r="D118" s="8" t="s">
        <v>569</v>
      </c>
      <c r="E118" s="8" t="s">
        <v>236</v>
      </c>
      <c r="F118" s="10">
        <v>3</v>
      </c>
      <c r="G118" s="10">
        <v>3730</v>
      </c>
      <c r="H118" s="10">
        <v>7.9</v>
      </c>
      <c r="I118" s="10">
        <v>10305.99</v>
      </c>
      <c r="J118" s="8" t="s">
        <v>41</v>
      </c>
      <c r="K118" s="8" t="s">
        <v>178</v>
      </c>
      <c r="L118" s="18" t="str">
        <f>VLOOKUP(D118,Products!$A:$C,3,FALSE)</f>
        <v>Home</v>
      </c>
      <c r="N118" s="18" t="str">
        <f>VLOOKUP(C118,Customers!$A:$E,5,FALSE)</f>
        <v>Retail</v>
      </c>
      <c r="O118" s="18">
        <f>VLOOKUP(C118,Customers!$A:$C,3,FALSE)</f>
        <v>44</v>
      </c>
      <c r="T118" s="10">
        <v>13.5</v>
      </c>
    </row>
    <row r="119" spans="1:20" ht="14.25" hidden="1" customHeight="1" x14ac:dyDescent="0.3">
      <c r="A119" s="8" t="s">
        <v>1145</v>
      </c>
      <c r="B119" s="9">
        <v>45596</v>
      </c>
      <c r="C119" s="8" t="s">
        <v>292</v>
      </c>
      <c r="D119" s="8" t="s">
        <v>154</v>
      </c>
      <c r="E119" s="8" t="s">
        <v>117</v>
      </c>
      <c r="F119" s="10">
        <v>1</v>
      </c>
      <c r="G119" s="10">
        <v>300</v>
      </c>
      <c r="H119" s="10">
        <v>16.899999999999999</v>
      </c>
      <c r="I119" s="10">
        <v>249.3</v>
      </c>
      <c r="J119" s="8" t="s">
        <v>97</v>
      </c>
      <c r="K119" s="8" t="s">
        <v>42</v>
      </c>
      <c r="L119" s="18" t="str">
        <f>VLOOKUP(D119,Products!$A:$C,3,FALSE)</f>
        <v>Electronics</v>
      </c>
      <c r="N119" s="18" t="str">
        <f>VLOOKUP(C119,Customers!$A:$E,5,FALSE)</f>
        <v>SMB</v>
      </c>
      <c r="O119" s="18">
        <f>VLOOKUP(C119,Customers!$A:$C,3,FALSE)</f>
        <v>54</v>
      </c>
      <c r="T119" s="10">
        <v>28</v>
      </c>
    </row>
    <row r="120" spans="1:20" ht="14.25" hidden="1" customHeight="1" x14ac:dyDescent="0.3">
      <c r="A120" s="8" t="s">
        <v>1149</v>
      </c>
      <c r="B120" s="9">
        <v>45420</v>
      </c>
      <c r="C120" s="8" t="s">
        <v>713</v>
      </c>
      <c r="D120" s="8" t="s">
        <v>154</v>
      </c>
      <c r="E120" s="8" t="s">
        <v>189</v>
      </c>
      <c r="F120" s="10">
        <v>3</v>
      </c>
      <c r="G120" s="10">
        <v>300</v>
      </c>
      <c r="H120" s="10">
        <v>0.6</v>
      </c>
      <c r="I120" s="10">
        <v>894.6</v>
      </c>
      <c r="J120" s="8" t="s">
        <v>41</v>
      </c>
      <c r="K120" s="8" t="s">
        <v>146</v>
      </c>
      <c r="L120" s="18" t="str">
        <f>VLOOKUP(D120,Products!$A:$C,3,FALSE)</f>
        <v>Electronics</v>
      </c>
      <c r="N120" s="18" t="str">
        <f>VLOOKUP(C120,Customers!$A:$E,5,FALSE)</f>
        <v>Retail</v>
      </c>
      <c r="O120" s="18">
        <f>VLOOKUP(C120,Customers!$A:$C,3,FALSE)</f>
        <v>50</v>
      </c>
      <c r="T120" s="10">
        <v>7.7</v>
      </c>
    </row>
    <row r="121" spans="1:20" ht="14.25" customHeight="1" x14ac:dyDescent="0.3">
      <c r="A121" s="8" t="s">
        <v>1150</v>
      </c>
      <c r="B121" s="21">
        <v>45329</v>
      </c>
      <c r="C121" s="8" t="s">
        <v>456</v>
      </c>
      <c r="D121" s="8" t="s">
        <v>247</v>
      </c>
      <c r="E121" s="8" t="s">
        <v>38</v>
      </c>
      <c r="F121" s="10">
        <v>6</v>
      </c>
      <c r="G121" s="10">
        <v>3350</v>
      </c>
      <c r="H121" s="10">
        <v>2.2999999999999998</v>
      </c>
      <c r="I121" s="10">
        <v>19637.7</v>
      </c>
      <c r="J121" s="8" t="s">
        <v>147</v>
      </c>
      <c r="K121" s="8" t="s">
        <v>136</v>
      </c>
      <c r="L121" s="18" t="str">
        <f>VLOOKUP(D121,Products!$A:$C,3,FALSE)</f>
        <v>Beauty</v>
      </c>
      <c r="N121" s="18" t="str">
        <f>VLOOKUP(C121,Customers!$A:$E,5,FALSE)</f>
        <v>SMB</v>
      </c>
      <c r="O121" s="18">
        <f>VLOOKUP(C121,Customers!$A:$C,3,FALSE)</f>
        <v>28</v>
      </c>
      <c r="P121" s="18" t="str">
        <f>VLOOKUP(E120,Sales_Reps!$A:$C,3,FALSE)</f>
        <v>South</v>
      </c>
      <c r="Q121" s="18" t="str">
        <f>TEXT(B120,"MMM-YY")</f>
        <v>May-24</v>
      </c>
      <c r="R121">
        <f>VLOOKUP(D121, Products!A:D, 4, FALSE)</f>
        <v>1728</v>
      </c>
      <c r="S121">
        <f>(G121-R121)/G121</f>
        <v>0.48417910447761192</v>
      </c>
      <c r="T121" s="10">
        <v>29.5</v>
      </c>
    </row>
    <row r="122" spans="1:20" ht="14.25" hidden="1" customHeight="1" x14ac:dyDescent="0.3">
      <c r="A122" s="8" t="s">
        <v>1151</v>
      </c>
      <c r="B122" s="9">
        <v>45416</v>
      </c>
      <c r="C122" s="8" t="s">
        <v>207</v>
      </c>
      <c r="D122" s="8" t="s">
        <v>230</v>
      </c>
      <c r="E122" s="8" t="s">
        <v>200</v>
      </c>
      <c r="F122" s="10">
        <v>4</v>
      </c>
      <c r="G122" s="10">
        <v>5330</v>
      </c>
      <c r="H122" s="10">
        <v>29.3</v>
      </c>
      <c r="I122" s="10">
        <v>15073.24</v>
      </c>
      <c r="J122" s="8" t="s">
        <v>41</v>
      </c>
      <c r="K122" s="8" t="s">
        <v>136</v>
      </c>
      <c r="L122" s="18" t="str">
        <f>VLOOKUP(D122,Products!$A:$C,3,FALSE)</f>
        <v>Electronics</v>
      </c>
      <c r="N122" s="18" t="str">
        <f>VLOOKUP(C122,Customers!$A:$E,5,FALSE)</f>
        <v>SMB</v>
      </c>
      <c r="O122" s="18">
        <f>VLOOKUP(C122,Customers!$A:$C,3,FALSE)</f>
        <v>46</v>
      </c>
      <c r="T122" s="10">
        <v>4</v>
      </c>
    </row>
    <row r="123" spans="1:20" ht="14.25" customHeight="1" x14ac:dyDescent="0.3">
      <c r="A123" s="8" t="s">
        <v>1152</v>
      </c>
      <c r="B123" s="21">
        <v>45614</v>
      </c>
      <c r="C123" s="8" t="s">
        <v>500</v>
      </c>
      <c r="D123" s="8" t="s">
        <v>37</v>
      </c>
      <c r="E123" s="8" t="s">
        <v>261</v>
      </c>
      <c r="F123" s="10">
        <v>6</v>
      </c>
      <c r="G123" s="10">
        <v>3620</v>
      </c>
      <c r="H123" s="10">
        <v>10.8</v>
      </c>
      <c r="I123" s="10">
        <v>19374.240000000002</v>
      </c>
      <c r="J123" s="8" t="s">
        <v>41</v>
      </c>
      <c r="K123" s="8" t="s">
        <v>119</v>
      </c>
      <c r="L123" s="18" t="str">
        <f>VLOOKUP(D123,Products!$A:$C,3,FALSE)</f>
        <v>Apparel</v>
      </c>
      <c r="N123" s="18" t="str">
        <f>VLOOKUP(C123,Customers!$A:$E,5,FALSE)</f>
        <v>Retail</v>
      </c>
      <c r="O123" s="18">
        <f>VLOOKUP(C123,Customers!$A:$C,3,FALSE)</f>
        <v>30</v>
      </c>
      <c r="P123" s="18" t="str">
        <f>VLOOKUP(E122,Sales_Reps!$A:$C,3,FALSE)</f>
        <v>North</v>
      </c>
      <c r="Q123" s="18" t="str">
        <f>TEXT(B122,"MMM-YY")</f>
        <v>May-24</v>
      </c>
      <c r="R123">
        <f>VLOOKUP(D123, Products!A:D, 4, FALSE)</f>
        <v>2509</v>
      </c>
      <c r="S123">
        <f>(G123-R123)/G123</f>
        <v>0.3069060773480663</v>
      </c>
      <c r="T123" s="10">
        <v>19.8</v>
      </c>
    </row>
    <row r="124" spans="1:20" ht="14.25" hidden="1" customHeight="1" x14ac:dyDescent="0.3">
      <c r="A124" s="8" t="s">
        <v>1153</v>
      </c>
      <c r="B124" s="9">
        <v>45593</v>
      </c>
      <c r="C124" s="8" t="s">
        <v>780</v>
      </c>
      <c r="D124" s="8" t="s">
        <v>37</v>
      </c>
      <c r="E124" s="8" t="s">
        <v>96</v>
      </c>
      <c r="F124" s="10">
        <v>6</v>
      </c>
      <c r="G124" s="10">
        <v>3620</v>
      </c>
      <c r="H124" s="10">
        <v>21.7</v>
      </c>
      <c r="I124" s="10">
        <v>17006.759999999998</v>
      </c>
      <c r="J124" s="8" t="s">
        <v>41</v>
      </c>
      <c r="K124" s="8" t="s">
        <v>119</v>
      </c>
      <c r="L124" s="18" t="str">
        <f>VLOOKUP(D124,Products!$A:$C,3,FALSE)</f>
        <v>Apparel</v>
      </c>
      <c r="N124" s="18" t="str">
        <f>VLOOKUP(C124,Customers!$A:$E,5,FALSE)</f>
        <v>SMB</v>
      </c>
      <c r="O124" s="18">
        <f>VLOOKUP(C124,Customers!$A:$C,3,FALSE)</f>
        <v>53</v>
      </c>
      <c r="T124" s="10">
        <v>26.2</v>
      </c>
    </row>
    <row r="125" spans="1:20" ht="14.25" hidden="1" customHeight="1" x14ac:dyDescent="0.3">
      <c r="A125" s="8" t="s">
        <v>1154</v>
      </c>
      <c r="B125" s="9">
        <v>45360</v>
      </c>
      <c r="C125" s="8" t="s">
        <v>654</v>
      </c>
      <c r="D125" s="8" t="s">
        <v>152</v>
      </c>
      <c r="E125" s="8" t="s">
        <v>135</v>
      </c>
      <c r="F125" s="10">
        <v>8</v>
      </c>
      <c r="G125" s="10">
        <v>960</v>
      </c>
      <c r="H125" s="10">
        <v>27.9</v>
      </c>
      <c r="I125" s="10">
        <v>5537.28</v>
      </c>
      <c r="J125" s="8" t="s">
        <v>41</v>
      </c>
      <c r="K125" s="8" t="s">
        <v>98</v>
      </c>
      <c r="L125" s="18" t="str">
        <f>VLOOKUP(D125,Products!$A:$C,3,FALSE)</f>
        <v>Sports</v>
      </c>
      <c r="N125" s="18" t="str">
        <f>VLOOKUP(C125,Customers!$A:$E,5,FALSE)</f>
        <v>SMB</v>
      </c>
      <c r="O125" s="18">
        <f>VLOOKUP(C125,Customers!$A:$C,3,FALSE)</f>
        <v>51</v>
      </c>
      <c r="T125" s="10">
        <v>22.6</v>
      </c>
    </row>
    <row r="126" spans="1:20" ht="14.25" hidden="1" customHeight="1" x14ac:dyDescent="0.3">
      <c r="A126" s="8" t="s">
        <v>1155</v>
      </c>
      <c r="B126" s="9">
        <v>45628</v>
      </c>
      <c r="C126" s="8" t="s">
        <v>317</v>
      </c>
      <c r="D126" s="8" t="s">
        <v>242</v>
      </c>
      <c r="E126" s="8" t="s">
        <v>145</v>
      </c>
      <c r="F126" s="10">
        <v>5</v>
      </c>
      <c r="G126" s="10">
        <v>1650</v>
      </c>
      <c r="H126" s="10">
        <v>4.9000000000000004</v>
      </c>
      <c r="I126" s="10">
        <v>7845.75</v>
      </c>
      <c r="J126" s="8" t="s">
        <v>41</v>
      </c>
      <c r="K126" s="8" t="s">
        <v>136</v>
      </c>
      <c r="L126" s="18" t="str">
        <f>VLOOKUP(D126,Products!$A:$C,3,FALSE)</f>
        <v>Beauty</v>
      </c>
      <c r="N126" s="18" t="str">
        <f>VLOOKUP(C126,Customers!$A:$E,5,FALSE)</f>
        <v>Retail</v>
      </c>
      <c r="O126" s="18">
        <f>VLOOKUP(C126,Customers!$A:$C,3,FALSE)</f>
        <v>59</v>
      </c>
      <c r="T126" s="10">
        <v>12.4</v>
      </c>
    </row>
    <row r="127" spans="1:20" ht="14.25" customHeight="1" x14ac:dyDescent="0.3">
      <c r="A127" s="8" t="s">
        <v>1158</v>
      </c>
      <c r="B127" s="21">
        <v>45592</v>
      </c>
      <c r="C127" s="8" t="s">
        <v>563</v>
      </c>
      <c r="D127" s="8" t="s">
        <v>949</v>
      </c>
      <c r="E127" s="8" t="s">
        <v>177</v>
      </c>
      <c r="F127" s="10">
        <v>9</v>
      </c>
      <c r="G127" s="10">
        <v>960</v>
      </c>
      <c r="H127" s="10">
        <v>25.1</v>
      </c>
      <c r="I127" s="10">
        <v>6471.36</v>
      </c>
      <c r="J127" s="8" t="s">
        <v>193</v>
      </c>
      <c r="K127" s="8" t="s">
        <v>98</v>
      </c>
      <c r="L127" s="18" t="str">
        <f>VLOOKUP(D127,Products!$A:$C,3,FALSE)</f>
        <v>Beauty</v>
      </c>
      <c r="N127" s="18" t="str">
        <f>VLOOKUP(C127,Customers!$A:$E,5,FALSE)</f>
        <v>Corporate</v>
      </c>
      <c r="O127" s="18">
        <f>VLOOKUP(C127,Customers!$A:$C,3,FALSE)</f>
        <v>24</v>
      </c>
      <c r="P127" s="18" t="str">
        <f>VLOOKUP(E126,Sales_Reps!$A:$C,3,FALSE)</f>
        <v>West</v>
      </c>
      <c r="Q127" s="18" t="str">
        <f>TEXT(B126,"MMM-YY")</f>
        <v>Dec-24</v>
      </c>
      <c r="R127">
        <f>VLOOKUP(D127, Products!A:D, 4, FALSE)</f>
        <v>675</v>
      </c>
      <c r="S127">
        <f>(G127-R127)/G127</f>
        <v>0.296875</v>
      </c>
      <c r="T127" s="10">
        <v>10.5</v>
      </c>
    </row>
    <row r="128" spans="1:20" ht="14.25" hidden="1" customHeight="1" x14ac:dyDescent="0.3">
      <c r="A128" s="8" t="s">
        <v>1162</v>
      </c>
      <c r="B128" s="9">
        <v>45453</v>
      </c>
      <c r="C128" s="8" t="s">
        <v>583</v>
      </c>
      <c r="D128" s="8" t="s">
        <v>120</v>
      </c>
      <c r="E128" s="8" t="s">
        <v>200</v>
      </c>
      <c r="F128" s="10">
        <v>7</v>
      </c>
      <c r="G128" s="10">
        <v>3970</v>
      </c>
      <c r="H128" s="10">
        <v>13.8</v>
      </c>
      <c r="I128" s="10">
        <v>23954.98</v>
      </c>
      <c r="J128" s="8" t="s">
        <v>97</v>
      </c>
      <c r="K128" s="8" t="s">
        <v>42</v>
      </c>
      <c r="L128" s="18" t="str">
        <f>VLOOKUP(D128,Products!$A:$C,3,FALSE)</f>
        <v>Electronics</v>
      </c>
      <c r="N128" s="18" t="str">
        <f>VLOOKUP(C128,Customers!$A:$E,5,FALSE)</f>
        <v>SMB</v>
      </c>
      <c r="O128" s="18">
        <f>VLOOKUP(C128,Customers!$A:$C,3,FALSE)</f>
        <v>53</v>
      </c>
      <c r="T128" s="10">
        <v>10.8</v>
      </c>
    </row>
    <row r="129" spans="1:20" ht="14.25" customHeight="1" x14ac:dyDescent="0.3">
      <c r="A129" s="8" t="s">
        <v>1170</v>
      </c>
      <c r="B129" s="21">
        <v>45612</v>
      </c>
      <c r="C129" s="8" t="s">
        <v>538</v>
      </c>
      <c r="D129" s="8" t="s">
        <v>171</v>
      </c>
      <c r="E129" s="8" t="s">
        <v>96</v>
      </c>
      <c r="F129" s="10">
        <v>7</v>
      </c>
      <c r="G129" s="10">
        <v>970</v>
      </c>
      <c r="H129" s="10">
        <v>21.6</v>
      </c>
      <c r="I129" s="10">
        <v>5323.36</v>
      </c>
      <c r="J129" s="8" t="s">
        <v>97</v>
      </c>
      <c r="K129" s="8" t="s">
        <v>178</v>
      </c>
      <c r="L129" s="18" t="str">
        <f>VLOOKUP(D129,Products!$A:$C,3,FALSE)</f>
        <v>Grocery</v>
      </c>
      <c r="N129" s="18" t="str">
        <f>VLOOKUP(C129,Customers!$A:$E,5,FALSE)</f>
        <v>Retail</v>
      </c>
      <c r="O129" s="18">
        <f>VLOOKUP(C129,Customers!$A:$C,3,FALSE)</f>
        <v>29</v>
      </c>
      <c r="P129" s="18" t="str">
        <f>VLOOKUP(E128,Sales_Reps!$A:$C,3,FALSE)</f>
        <v>North</v>
      </c>
      <c r="Q129" s="18" t="str">
        <f>TEXT(B128,"MMM-YY")</f>
        <v>Jun-24</v>
      </c>
      <c r="R129">
        <f>VLOOKUP(D129, Products!A:D, 4, FALSE)</f>
        <v>434</v>
      </c>
      <c r="S129">
        <f>(G129-R129)/G129</f>
        <v>0.5525773195876289</v>
      </c>
      <c r="T129" s="10">
        <v>4.8</v>
      </c>
    </row>
    <row r="130" spans="1:20" ht="14.25" hidden="1" customHeight="1" x14ac:dyDescent="0.3">
      <c r="A130" s="8" t="s">
        <v>1177</v>
      </c>
      <c r="B130" s="9">
        <v>45541</v>
      </c>
      <c r="C130" s="8" t="s">
        <v>755</v>
      </c>
      <c r="D130" s="8" t="s">
        <v>924</v>
      </c>
      <c r="E130" s="8" t="s">
        <v>231</v>
      </c>
      <c r="F130" s="10">
        <v>10</v>
      </c>
      <c r="G130" s="10">
        <v>2030</v>
      </c>
      <c r="H130" s="10">
        <v>1.2</v>
      </c>
      <c r="I130" s="10">
        <v>20056.400000000001</v>
      </c>
      <c r="J130" s="8" t="s">
        <v>41</v>
      </c>
      <c r="K130" s="8" t="s">
        <v>146</v>
      </c>
      <c r="L130" s="18" t="str">
        <f>VLOOKUP(D130,Products!$A:$C,3,FALSE)</f>
        <v>Home</v>
      </c>
      <c r="N130" s="18" t="str">
        <f>VLOOKUP(C130,Customers!$A:$E,5,FALSE)</f>
        <v>Retail</v>
      </c>
      <c r="O130" s="18">
        <f>VLOOKUP(C130,Customers!$A:$C,3,FALSE)</f>
        <v>61</v>
      </c>
      <c r="T130" s="10">
        <v>28.2</v>
      </c>
    </row>
    <row r="131" spans="1:20" ht="14.25" customHeight="1" x14ac:dyDescent="0.3">
      <c r="A131" s="8" t="s">
        <v>1178</v>
      </c>
      <c r="B131" s="21">
        <v>45640</v>
      </c>
      <c r="C131" s="8" t="s">
        <v>487</v>
      </c>
      <c r="D131" s="8" t="s">
        <v>176</v>
      </c>
      <c r="E131" s="8" t="s">
        <v>216</v>
      </c>
      <c r="F131" s="10">
        <v>9</v>
      </c>
      <c r="G131" s="10">
        <v>2270</v>
      </c>
      <c r="H131" s="10">
        <v>13.2</v>
      </c>
      <c r="I131" s="10">
        <v>17733.240000000002</v>
      </c>
      <c r="J131" s="8" t="s">
        <v>97</v>
      </c>
      <c r="K131" s="8" t="s">
        <v>42</v>
      </c>
      <c r="L131" s="18" t="str">
        <f>VLOOKUP(D131,Products!$A:$C,3,FALSE)</f>
        <v>Grocery</v>
      </c>
      <c r="N131" s="18" t="str">
        <f>VLOOKUP(C131,Customers!$A:$E,5,FALSE)</f>
        <v>Retail</v>
      </c>
      <c r="O131" s="18">
        <f>VLOOKUP(C131,Customers!$A:$C,3,FALSE)</f>
        <v>22</v>
      </c>
      <c r="P131" s="18" t="str">
        <f>VLOOKUP(E130,Sales_Reps!$A:$C,3,FALSE)</f>
        <v>North</v>
      </c>
      <c r="Q131" s="18" t="str">
        <f t="shared" ref="Q131:Q132" si="26">TEXT(B130,"MMM-YY")</f>
        <v>Sep-24</v>
      </c>
      <c r="R131">
        <f>VLOOKUP(D131, Products!A:D, 4, FALSE)</f>
        <v>1203</v>
      </c>
      <c r="S131">
        <f t="shared" ref="S131:S132" si="27">(G131-R131)/G131</f>
        <v>0.47004405286343615</v>
      </c>
      <c r="T131" s="10">
        <v>17.399999999999999</v>
      </c>
    </row>
    <row r="132" spans="1:20" ht="14.25" customHeight="1" x14ac:dyDescent="0.3">
      <c r="A132" s="8" t="s">
        <v>1179</v>
      </c>
      <c r="B132" s="21">
        <v>45524</v>
      </c>
      <c r="C132" s="8" t="s">
        <v>213</v>
      </c>
      <c r="D132" s="8" t="s">
        <v>283</v>
      </c>
      <c r="E132" s="8" t="s">
        <v>200</v>
      </c>
      <c r="F132" s="10">
        <v>8</v>
      </c>
      <c r="G132" s="10">
        <v>4880</v>
      </c>
      <c r="H132" s="10">
        <v>13.4</v>
      </c>
      <c r="I132" s="10">
        <v>33808.639999999999</v>
      </c>
      <c r="J132" s="8" t="s">
        <v>41</v>
      </c>
      <c r="K132" s="8" t="s">
        <v>178</v>
      </c>
      <c r="L132" s="18" t="str">
        <f>VLOOKUP(D132,Products!$A:$C,3,FALSE)</f>
        <v>Beauty</v>
      </c>
      <c r="N132" s="18" t="str">
        <f>VLOOKUP(C132,Customers!$A:$E,5,FALSE)</f>
        <v>Corporate</v>
      </c>
      <c r="O132" s="18">
        <f>VLOOKUP(C132,Customers!$A:$C,3,FALSE)</f>
        <v>32</v>
      </c>
      <c r="P132" s="18" t="str">
        <f>VLOOKUP(E131,Sales_Reps!$A:$C,3,FALSE)</f>
        <v>East</v>
      </c>
      <c r="Q132" s="18" t="str">
        <f t="shared" si="26"/>
        <v>Dec-24</v>
      </c>
      <c r="R132">
        <f>VLOOKUP(D132, Products!A:D, 4, FALSE)</f>
        <v>2768</v>
      </c>
      <c r="S132">
        <f t="shared" si="27"/>
        <v>0.43278688524590164</v>
      </c>
      <c r="T132" s="10">
        <v>29.2</v>
      </c>
    </row>
    <row r="133" spans="1:20" ht="14.25" hidden="1" customHeight="1" x14ac:dyDescent="0.3">
      <c r="A133" s="8" t="s">
        <v>1180</v>
      </c>
      <c r="B133" s="9">
        <v>45344</v>
      </c>
      <c r="C133" s="8" t="s">
        <v>504</v>
      </c>
      <c r="D133" s="8" t="s">
        <v>188</v>
      </c>
      <c r="E133" s="8" t="s">
        <v>865</v>
      </c>
      <c r="F133" s="10">
        <v>10</v>
      </c>
      <c r="G133" s="10">
        <v>3870</v>
      </c>
      <c r="H133" s="10">
        <v>23.9</v>
      </c>
      <c r="I133" s="10">
        <v>29450.7</v>
      </c>
      <c r="J133" s="8" t="s">
        <v>41</v>
      </c>
      <c r="K133" s="8" t="s">
        <v>136</v>
      </c>
      <c r="L133" s="18" t="str">
        <f>VLOOKUP(D133,Products!$A:$C,3,FALSE)</f>
        <v>Electronics</v>
      </c>
      <c r="N133" s="18" t="str">
        <f>VLOOKUP(C133,Customers!$A:$E,5,FALSE)</f>
        <v>Corporate</v>
      </c>
      <c r="O133" s="18">
        <f>VLOOKUP(C133,Customers!$A:$C,3,FALSE)</f>
        <v>42</v>
      </c>
      <c r="T133" s="10">
        <v>20.9</v>
      </c>
    </row>
    <row r="134" spans="1:20" ht="14.25" customHeight="1" x14ac:dyDescent="0.3">
      <c r="A134" s="8" t="s">
        <v>1181</v>
      </c>
      <c r="B134" s="21">
        <v>45463</v>
      </c>
      <c r="C134" s="8" t="s">
        <v>575</v>
      </c>
      <c r="D134" s="8" t="s">
        <v>939</v>
      </c>
      <c r="E134" s="8" t="s">
        <v>261</v>
      </c>
      <c r="F134" s="10">
        <v>4</v>
      </c>
      <c r="G134" s="10">
        <v>2290</v>
      </c>
      <c r="H134" s="10">
        <v>15.2</v>
      </c>
      <c r="I134" s="10">
        <v>7767.68</v>
      </c>
      <c r="J134" s="8" t="s">
        <v>41</v>
      </c>
      <c r="K134" s="8" t="s">
        <v>178</v>
      </c>
      <c r="L134" s="18" t="str">
        <f>VLOOKUP(D134,Products!$A:$C,3,FALSE)</f>
        <v>Beauty</v>
      </c>
      <c r="N134" s="18" t="str">
        <f>VLOOKUP(C134,Customers!$A:$E,5,FALSE)</f>
        <v>Retail</v>
      </c>
      <c r="O134" s="18">
        <f>VLOOKUP(C134,Customers!$A:$C,3,FALSE)</f>
        <v>22</v>
      </c>
      <c r="P134" s="18" t="str">
        <f>VLOOKUP(E133,Sales_Reps!$A:$C,3,FALSE)</f>
        <v>South</v>
      </c>
      <c r="Q134" s="18" t="str">
        <f>TEXT(B133,"MMM-YY")</f>
        <v>Feb-24</v>
      </c>
      <c r="R134">
        <f>VLOOKUP(D134, Products!A:D, 4, FALSE)</f>
        <v>1219</v>
      </c>
      <c r="S134">
        <f>(G134-R134)/G134</f>
        <v>0.46768558951965067</v>
      </c>
      <c r="T134" s="10">
        <v>10.7</v>
      </c>
    </row>
    <row r="135" spans="1:20" ht="14.25" hidden="1" customHeight="1" x14ac:dyDescent="0.3">
      <c r="A135" s="8" t="s">
        <v>1182</v>
      </c>
      <c r="B135" s="9">
        <v>45443</v>
      </c>
      <c r="C135" s="8" t="s">
        <v>858</v>
      </c>
      <c r="D135" s="8" t="s">
        <v>909</v>
      </c>
      <c r="E135" s="8" t="s">
        <v>321</v>
      </c>
      <c r="F135" s="10">
        <v>8</v>
      </c>
      <c r="G135" s="10">
        <v>2380</v>
      </c>
      <c r="H135" s="10">
        <v>4.2</v>
      </c>
      <c r="I135" s="10">
        <v>18240.32</v>
      </c>
      <c r="J135" s="8" t="s">
        <v>41</v>
      </c>
      <c r="K135" s="8" t="s">
        <v>119</v>
      </c>
      <c r="L135" s="18" t="str">
        <f>VLOOKUP(D135,Products!$A:$C,3,FALSE)</f>
        <v>Grocery</v>
      </c>
      <c r="N135" s="18" t="str">
        <f>VLOOKUP(C135,Customers!$A:$E,5,FALSE)</f>
        <v>Retail</v>
      </c>
      <c r="O135" s="18">
        <f>VLOOKUP(C135,Customers!$A:$C,3,FALSE)</f>
        <v>44</v>
      </c>
      <c r="T135" s="10">
        <v>15.3</v>
      </c>
    </row>
    <row r="136" spans="1:20" ht="14.25" hidden="1" customHeight="1" x14ac:dyDescent="0.3">
      <c r="A136" s="8" t="s">
        <v>1183</v>
      </c>
      <c r="B136" s="9">
        <v>45301</v>
      </c>
      <c r="C136" s="8" t="s">
        <v>495</v>
      </c>
      <c r="D136" s="8" t="s">
        <v>918</v>
      </c>
      <c r="E136" s="8" t="s">
        <v>745</v>
      </c>
      <c r="F136" s="10">
        <v>8</v>
      </c>
      <c r="G136" s="10">
        <v>2210</v>
      </c>
      <c r="H136" s="10">
        <v>11.5</v>
      </c>
      <c r="I136" s="10">
        <v>15646.8</v>
      </c>
      <c r="J136" s="8" t="s">
        <v>41</v>
      </c>
      <c r="K136" s="8" t="s">
        <v>98</v>
      </c>
      <c r="L136" s="18" t="str">
        <f>VLOOKUP(D136,Products!$A:$C,3,FALSE)</f>
        <v>Grocery</v>
      </c>
      <c r="N136" s="18" t="str">
        <f>VLOOKUP(C136,Customers!$A:$E,5,FALSE)</f>
        <v>SMB</v>
      </c>
      <c r="O136" s="18">
        <f>VLOOKUP(C136,Customers!$A:$C,3,FALSE)</f>
        <v>64</v>
      </c>
      <c r="T136" s="10">
        <v>8.3000000000000007</v>
      </c>
    </row>
    <row r="137" spans="1:20" ht="14.25" customHeight="1" x14ac:dyDescent="0.3">
      <c r="A137" s="8" t="s">
        <v>1000</v>
      </c>
      <c r="B137" s="21">
        <v>45360</v>
      </c>
      <c r="C137" s="8" t="s">
        <v>623</v>
      </c>
      <c r="D137" s="8" t="s">
        <v>230</v>
      </c>
      <c r="E137" s="8" t="s">
        <v>196</v>
      </c>
      <c r="F137" s="10">
        <v>4</v>
      </c>
      <c r="G137" s="10">
        <v>5330</v>
      </c>
      <c r="H137" s="10">
        <v>22.6</v>
      </c>
      <c r="I137" s="10">
        <v>16501.68</v>
      </c>
      <c r="J137" s="8" t="s">
        <v>97</v>
      </c>
      <c r="K137" s="8" t="s">
        <v>42</v>
      </c>
      <c r="L137" s="18" t="str">
        <f>VLOOKUP(D137,Products!$A:$C,3,FALSE)</f>
        <v>Electronics</v>
      </c>
      <c r="N137" s="18" t="str">
        <f>VLOOKUP(C137,Customers!$A:$E,5,FALSE)</f>
        <v>SMB</v>
      </c>
      <c r="O137" s="18">
        <f>VLOOKUP(C137,Customers!$A:$C,3,FALSE)</f>
        <v>29</v>
      </c>
      <c r="P137" s="18" t="str">
        <f>VLOOKUP(E136,Sales_Reps!$A:$C,3,FALSE)</f>
        <v>South</v>
      </c>
      <c r="Q137" s="18" t="str">
        <f>TEXT(B136,"MMM-YY")</f>
        <v>Jan-24</v>
      </c>
      <c r="R137">
        <f>VLOOKUP(D137, Products!A:D, 4, FALSE)</f>
        <v>2405</v>
      </c>
      <c r="S137">
        <f>(G137-R137)/G137</f>
        <v>0.54878048780487809</v>
      </c>
      <c r="T137" s="10">
        <v>4.9000000000000004</v>
      </c>
    </row>
    <row r="138" spans="1:20" ht="14.25" hidden="1" customHeight="1" x14ac:dyDescent="0.3">
      <c r="A138" s="8" t="s">
        <v>1185</v>
      </c>
      <c r="B138" s="9">
        <v>45559</v>
      </c>
      <c r="C138" s="8" t="s">
        <v>306</v>
      </c>
      <c r="D138" s="8" t="s">
        <v>120</v>
      </c>
      <c r="E138" s="8" t="s">
        <v>196</v>
      </c>
      <c r="F138" s="10">
        <v>8</v>
      </c>
      <c r="G138" s="10">
        <v>3970</v>
      </c>
      <c r="H138" s="10">
        <v>21.8</v>
      </c>
      <c r="I138" s="10">
        <v>24836.32</v>
      </c>
      <c r="J138" s="8" t="s">
        <v>41</v>
      </c>
      <c r="K138" s="8" t="s">
        <v>98</v>
      </c>
      <c r="L138" s="18" t="str">
        <f>VLOOKUP(D138,Products!$A:$C,3,FALSE)</f>
        <v>Electronics</v>
      </c>
      <c r="N138" s="18" t="str">
        <f>VLOOKUP(C138,Customers!$A:$E,5,FALSE)</f>
        <v>SMB</v>
      </c>
      <c r="O138" s="18">
        <f>VLOOKUP(C138,Customers!$A:$C,3,FALSE)</f>
        <v>64</v>
      </c>
      <c r="T138" s="10">
        <v>18.100000000000001</v>
      </c>
    </row>
    <row r="139" spans="1:20" ht="14.25" hidden="1" customHeight="1" x14ac:dyDescent="0.3">
      <c r="A139" s="8" t="s">
        <v>1186</v>
      </c>
      <c r="B139" s="9">
        <v>45546</v>
      </c>
      <c r="C139" s="8" t="s">
        <v>702</v>
      </c>
      <c r="D139" s="8" t="s">
        <v>134</v>
      </c>
      <c r="E139" s="8" t="s">
        <v>321</v>
      </c>
      <c r="F139" s="10">
        <v>10</v>
      </c>
      <c r="G139" s="10">
        <v>3160</v>
      </c>
      <c r="H139" s="10">
        <v>16.100000000000001</v>
      </c>
      <c r="I139" s="10">
        <v>26512.400000000001</v>
      </c>
      <c r="J139" s="8" t="s">
        <v>147</v>
      </c>
      <c r="K139" s="8" t="s">
        <v>42</v>
      </c>
      <c r="L139" s="18" t="str">
        <f>VLOOKUP(D139,Products!$A:$C,3,FALSE)</f>
        <v>Apparel</v>
      </c>
      <c r="N139" s="18" t="str">
        <f>VLOOKUP(C139,Customers!$A:$E,5,FALSE)</f>
        <v>Corporate</v>
      </c>
      <c r="O139" s="18">
        <f>VLOOKUP(C139,Customers!$A:$C,3,FALSE)</f>
        <v>48</v>
      </c>
      <c r="T139" s="10">
        <v>0.6</v>
      </c>
    </row>
    <row r="140" spans="1:20" ht="14.25" hidden="1" customHeight="1" x14ac:dyDescent="0.3">
      <c r="A140" s="8" t="s">
        <v>1188</v>
      </c>
      <c r="B140" s="9">
        <v>45425</v>
      </c>
      <c r="C140" s="8" t="s">
        <v>667</v>
      </c>
      <c r="D140" s="8" t="s">
        <v>199</v>
      </c>
      <c r="E140" s="8" t="s">
        <v>214</v>
      </c>
      <c r="F140" s="10">
        <v>5</v>
      </c>
      <c r="G140" s="10">
        <v>190</v>
      </c>
      <c r="H140" s="10">
        <v>14.8</v>
      </c>
      <c r="I140" s="10">
        <v>809.4</v>
      </c>
      <c r="J140" s="8" t="s">
        <v>41</v>
      </c>
      <c r="K140" s="8" t="s">
        <v>136</v>
      </c>
      <c r="L140" s="18" t="str">
        <f>VLOOKUP(D140,Products!$A:$C,3,FALSE)</f>
        <v>Sports</v>
      </c>
      <c r="N140" s="18" t="str">
        <f>VLOOKUP(C140,Customers!$A:$E,5,FALSE)</f>
        <v>Retail</v>
      </c>
      <c r="O140" s="18">
        <f>VLOOKUP(C140,Customers!$A:$C,3,FALSE)</f>
        <v>55</v>
      </c>
      <c r="T140" s="10">
        <v>22.7</v>
      </c>
    </row>
    <row r="141" spans="1:20" ht="14.25" customHeight="1" x14ac:dyDescent="0.3">
      <c r="A141" s="8" t="s">
        <v>1189</v>
      </c>
      <c r="B141" s="21">
        <v>45351</v>
      </c>
      <c r="C141" s="8" t="s">
        <v>203</v>
      </c>
      <c r="D141" s="8" t="s">
        <v>374</v>
      </c>
      <c r="E141" s="8" t="s">
        <v>38</v>
      </c>
      <c r="F141" s="10">
        <v>6</v>
      </c>
      <c r="G141" s="10">
        <v>2760</v>
      </c>
      <c r="H141" s="10">
        <v>19.8</v>
      </c>
      <c r="I141" s="10">
        <v>13281.12</v>
      </c>
      <c r="J141" s="8" t="s">
        <v>41</v>
      </c>
      <c r="K141" s="8" t="s">
        <v>119</v>
      </c>
      <c r="L141" s="18" t="str">
        <f>VLOOKUP(D141,Products!$A:$C,3,FALSE)</f>
        <v>Grocery</v>
      </c>
      <c r="N141" s="18" t="str">
        <f>VLOOKUP(C141,Customers!$A:$E,5,FALSE)</f>
        <v>Retail</v>
      </c>
      <c r="O141" s="18">
        <f>VLOOKUP(C141,Customers!$A:$C,3,FALSE)</f>
        <v>31</v>
      </c>
      <c r="P141" s="18" t="str">
        <f>VLOOKUP(E140,Sales_Reps!$A:$C,3,FALSE)</f>
        <v>South</v>
      </c>
      <c r="Q141" s="18" t="str">
        <f>TEXT(B140,"MMM-YY")</f>
        <v>May-24</v>
      </c>
      <c r="R141">
        <f>VLOOKUP(D141, Products!A:D, 4, FALSE)</f>
        <v>1435</v>
      </c>
      <c r="S141">
        <f>(G141-R141)/G141</f>
        <v>0.48007246376811596</v>
      </c>
      <c r="T141" s="10">
        <v>29.1</v>
      </c>
    </row>
    <row r="142" spans="1:20" ht="14.25" hidden="1" customHeight="1" x14ac:dyDescent="0.3">
      <c r="A142" s="8" t="s">
        <v>1190</v>
      </c>
      <c r="B142" s="9">
        <v>45604</v>
      </c>
      <c r="C142" s="8" t="s">
        <v>413</v>
      </c>
      <c r="D142" s="8" t="s">
        <v>691</v>
      </c>
      <c r="E142" s="8" t="s">
        <v>158</v>
      </c>
      <c r="F142" s="10">
        <v>9</v>
      </c>
      <c r="G142" s="10">
        <v>2270</v>
      </c>
      <c r="H142" s="10">
        <v>20.8</v>
      </c>
      <c r="I142" s="10">
        <v>16180.56</v>
      </c>
      <c r="J142" s="8" t="s">
        <v>147</v>
      </c>
      <c r="K142" s="8" t="s">
        <v>146</v>
      </c>
      <c r="L142" s="18" t="str">
        <f>VLOOKUP(D142,Products!$A:$C,3,FALSE)</f>
        <v>Grocery</v>
      </c>
      <c r="N142" s="18" t="str">
        <f>VLOOKUP(C142,Customers!$A:$E,5,FALSE)</f>
        <v>Retail</v>
      </c>
      <c r="O142" s="18">
        <f>VLOOKUP(C142,Customers!$A:$C,3,FALSE)</f>
        <v>42</v>
      </c>
      <c r="T142" s="10">
        <v>11.9</v>
      </c>
    </row>
    <row r="143" spans="1:20" ht="14.25" customHeight="1" x14ac:dyDescent="0.3">
      <c r="A143" s="8" t="s">
        <v>1191</v>
      </c>
      <c r="B143" s="21">
        <v>45328</v>
      </c>
      <c r="C143" s="8" t="s">
        <v>226</v>
      </c>
      <c r="D143" s="8" t="s">
        <v>954</v>
      </c>
      <c r="E143" s="8" t="s">
        <v>231</v>
      </c>
      <c r="F143" s="10">
        <v>8</v>
      </c>
      <c r="G143" s="10">
        <v>5410</v>
      </c>
      <c r="H143" s="10">
        <v>12.9</v>
      </c>
      <c r="I143" s="10">
        <v>37696.879999999997</v>
      </c>
      <c r="J143" s="8" t="s">
        <v>41</v>
      </c>
      <c r="K143" s="8" t="s">
        <v>178</v>
      </c>
      <c r="L143" s="18" t="str">
        <f>VLOOKUP(D143,Products!$A:$C,3,FALSE)</f>
        <v>Sports</v>
      </c>
      <c r="N143" s="18" t="str">
        <f>VLOOKUP(C143,Customers!$A:$E,5,FALSE)</f>
        <v>Retail</v>
      </c>
      <c r="O143" s="18">
        <f>VLOOKUP(C143,Customers!$A:$C,3,FALSE)</f>
        <v>32</v>
      </c>
      <c r="P143" s="18" t="str">
        <f>VLOOKUP(E142,Sales_Reps!$A:$C,3,FALSE)</f>
        <v>East</v>
      </c>
      <c r="Q143" s="18" t="str">
        <f t="shared" ref="Q143:Q146" si="28">TEXT(B142,"MMM-YY")</f>
        <v>Nov-24</v>
      </c>
      <c r="R143">
        <f>VLOOKUP(D143, Products!A:D, 4, FALSE)</f>
        <v>2265</v>
      </c>
      <c r="S143">
        <f t="shared" ref="S143:S146" si="29">(G143-R143)/G143</f>
        <v>0.58133086876155271</v>
      </c>
      <c r="T143" s="10">
        <v>13.9</v>
      </c>
    </row>
    <row r="144" spans="1:20" ht="14.25" customHeight="1" x14ac:dyDescent="0.3">
      <c r="A144" s="8" t="s">
        <v>1192</v>
      </c>
      <c r="B144" s="21">
        <v>45508</v>
      </c>
      <c r="C144" s="8" t="s">
        <v>851</v>
      </c>
      <c r="D144" s="8" t="s">
        <v>176</v>
      </c>
      <c r="E144" s="8" t="s">
        <v>214</v>
      </c>
      <c r="F144" s="10">
        <v>9</v>
      </c>
      <c r="G144" s="10">
        <v>2270</v>
      </c>
      <c r="H144" s="10">
        <v>6.8</v>
      </c>
      <c r="I144" s="10">
        <v>19040.759999999998</v>
      </c>
      <c r="J144" s="8" t="s">
        <v>41</v>
      </c>
      <c r="K144" s="8" t="s">
        <v>119</v>
      </c>
      <c r="L144" s="18" t="str">
        <f>VLOOKUP(D144,Products!$A:$C,3,FALSE)</f>
        <v>Grocery</v>
      </c>
      <c r="N144" s="18" t="str">
        <f>VLOOKUP(C144,Customers!$A:$E,5,FALSE)</f>
        <v>Corporate</v>
      </c>
      <c r="O144" s="18">
        <f>VLOOKUP(C144,Customers!$A:$C,3,FALSE)</f>
        <v>31</v>
      </c>
      <c r="P144" s="18" t="str">
        <f>VLOOKUP(E143,Sales_Reps!$A:$C,3,FALSE)</f>
        <v>North</v>
      </c>
      <c r="Q144" s="18" t="str">
        <f t="shared" si="28"/>
        <v>Feb-24</v>
      </c>
      <c r="R144">
        <f>VLOOKUP(D144, Products!A:D, 4, FALSE)</f>
        <v>1203</v>
      </c>
      <c r="S144">
        <f t="shared" si="29"/>
        <v>0.47004405286343615</v>
      </c>
      <c r="T144" s="10">
        <v>2.1</v>
      </c>
    </row>
    <row r="145" spans="1:20" ht="14.25" customHeight="1" x14ac:dyDescent="0.3">
      <c r="A145" s="8" t="s">
        <v>1193</v>
      </c>
      <c r="B145" s="21">
        <v>45309</v>
      </c>
      <c r="C145" s="8" t="s">
        <v>183</v>
      </c>
      <c r="D145" s="8" t="s">
        <v>134</v>
      </c>
      <c r="E145" s="8" t="s">
        <v>231</v>
      </c>
      <c r="F145" s="10">
        <v>3</v>
      </c>
      <c r="G145" s="10">
        <v>3160</v>
      </c>
      <c r="H145" s="10">
        <v>12.8</v>
      </c>
      <c r="I145" s="10">
        <v>8266.56</v>
      </c>
      <c r="J145" s="8" t="s">
        <v>41</v>
      </c>
      <c r="K145" s="8" t="s">
        <v>119</v>
      </c>
      <c r="L145" s="18" t="str">
        <f>VLOOKUP(D145,Products!$A:$C,3,FALSE)</f>
        <v>Apparel</v>
      </c>
      <c r="N145" s="18" t="str">
        <f>VLOOKUP(C145,Customers!$A:$E,5,FALSE)</f>
        <v>SMB</v>
      </c>
      <c r="O145" s="18">
        <f>VLOOKUP(C145,Customers!$A:$C,3,FALSE)</f>
        <v>27</v>
      </c>
      <c r="P145" s="18" t="str">
        <f>VLOOKUP(E144,Sales_Reps!$A:$C,3,FALSE)</f>
        <v>South</v>
      </c>
      <c r="Q145" s="18" t="str">
        <f t="shared" si="28"/>
        <v>Aug-24</v>
      </c>
      <c r="R145">
        <f>VLOOKUP(D145, Products!A:D, 4, FALSE)</f>
        <v>1886</v>
      </c>
      <c r="S145">
        <f t="shared" si="29"/>
        <v>0.4031645569620253</v>
      </c>
      <c r="T145" s="10">
        <v>6.2</v>
      </c>
    </row>
    <row r="146" spans="1:20" ht="14.25" customHeight="1" x14ac:dyDescent="0.3">
      <c r="A146" s="8" t="s">
        <v>1194</v>
      </c>
      <c r="B146" s="21">
        <v>45448</v>
      </c>
      <c r="C146" s="8" t="s">
        <v>623</v>
      </c>
      <c r="D146" s="8" t="s">
        <v>912</v>
      </c>
      <c r="E146" s="8" t="s">
        <v>172</v>
      </c>
      <c r="F146" s="10">
        <v>8</v>
      </c>
      <c r="G146" s="10">
        <v>4060</v>
      </c>
      <c r="H146" s="10">
        <v>20.9</v>
      </c>
      <c r="I146" s="10">
        <v>25691.68</v>
      </c>
      <c r="J146" s="8" t="s">
        <v>41</v>
      </c>
      <c r="K146" s="8" t="s">
        <v>42</v>
      </c>
      <c r="L146" s="18" t="str">
        <f>VLOOKUP(D146,Products!$A:$C,3,FALSE)</f>
        <v>Grocery</v>
      </c>
      <c r="N146" s="18" t="str">
        <f>VLOOKUP(C146,Customers!$A:$E,5,FALSE)</f>
        <v>SMB</v>
      </c>
      <c r="O146" s="18">
        <f>VLOOKUP(C146,Customers!$A:$C,3,FALSE)</f>
        <v>29</v>
      </c>
      <c r="P146" s="18" t="str">
        <f>VLOOKUP(E145,Sales_Reps!$A:$C,3,FALSE)</f>
        <v>North</v>
      </c>
      <c r="Q146" s="18" t="str">
        <f t="shared" si="28"/>
        <v>Jan-24</v>
      </c>
      <c r="R146">
        <f>VLOOKUP(D146, Products!A:D, 4, FALSE)</f>
        <v>2911</v>
      </c>
      <c r="S146">
        <f t="shared" si="29"/>
        <v>0.28300492610837441</v>
      </c>
      <c r="T146" s="10">
        <v>25</v>
      </c>
    </row>
    <row r="147" spans="1:20" ht="14.25" hidden="1" customHeight="1" x14ac:dyDescent="0.3">
      <c r="A147" s="8" t="s">
        <v>1195</v>
      </c>
      <c r="B147" s="9">
        <v>45449</v>
      </c>
      <c r="C147" s="8" t="s">
        <v>1196</v>
      </c>
      <c r="D147" s="8" t="s">
        <v>95</v>
      </c>
      <c r="E147" s="8" t="s">
        <v>167</v>
      </c>
      <c r="F147" s="10">
        <v>5</v>
      </c>
      <c r="G147" s="10">
        <v>820</v>
      </c>
      <c r="H147" s="10">
        <v>9.1</v>
      </c>
      <c r="I147" s="10">
        <v>3726.9</v>
      </c>
      <c r="J147" s="8" t="s">
        <v>193</v>
      </c>
      <c r="K147" s="8" t="s">
        <v>42</v>
      </c>
      <c r="L147" s="18" t="str">
        <f>VLOOKUP(D147,Products!$A:$C,3,FALSE)</f>
        <v>Apparel</v>
      </c>
      <c r="N147" s="18" t="e">
        <f>VLOOKUP(C147,Customers!$A:$E,5,FALSE)</f>
        <v>#N/A</v>
      </c>
      <c r="O147" s="18" t="e">
        <f>VLOOKUP(C147,Customers!$A:$C,3,FALSE)</f>
        <v>#N/A</v>
      </c>
      <c r="T147" s="10">
        <v>16.8</v>
      </c>
    </row>
    <row r="148" spans="1:20" ht="14.25" customHeight="1" x14ac:dyDescent="0.3">
      <c r="A148" s="8" t="s">
        <v>1197</v>
      </c>
      <c r="B148" s="21">
        <v>45555</v>
      </c>
      <c r="C148" s="8" t="s">
        <v>433</v>
      </c>
      <c r="D148" s="8" t="s">
        <v>144</v>
      </c>
      <c r="E148" s="8" t="s">
        <v>38</v>
      </c>
      <c r="F148" s="10">
        <v>5</v>
      </c>
      <c r="G148" s="10">
        <v>370</v>
      </c>
      <c r="H148" s="10">
        <v>11.5</v>
      </c>
      <c r="I148" s="10">
        <v>1637.25</v>
      </c>
      <c r="J148" s="8" t="s">
        <v>41</v>
      </c>
      <c r="K148" s="8" t="s">
        <v>42</v>
      </c>
      <c r="L148" s="18" t="str">
        <f>VLOOKUP(D148,Products!$A:$C,3,FALSE)</f>
        <v>Home</v>
      </c>
      <c r="N148" s="18" t="str">
        <f>VLOOKUP(C148,Customers!$A:$E,5,FALSE)</f>
        <v>SMB</v>
      </c>
      <c r="O148" s="18">
        <f>VLOOKUP(C148,Customers!$A:$C,3,FALSE)</f>
        <v>30</v>
      </c>
      <c r="P148" s="18" t="str">
        <f>VLOOKUP(E147,Sales_Reps!$A:$C,3,FALSE)</f>
        <v>East</v>
      </c>
      <c r="Q148" s="18" t="str">
        <f>TEXT(B147,"MMM-YY")</f>
        <v>Jun-24</v>
      </c>
      <c r="R148">
        <f>VLOOKUP(D148, Products!A:D, 4, FALSE)</f>
        <v>288</v>
      </c>
      <c r="S148">
        <f>(G148-R148)/G148</f>
        <v>0.22162162162162163</v>
      </c>
      <c r="T148" s="10">
        <v>1.5</v>
      </c>
    </row>
    <row r="149" spans="1:20" ht="14.25" hidden="1" customHeight="1" x14ac:dyDescent="0.3">
      <c r="A149" s="8" t="s">
        <v>1198</v>
      </c>
      <c r="B149" s="9">
        <v>45341</v>
      </c>
      <c r="C149" s="8" t="s">
        <v>627</v>
      </c>
      <c r="D149" s="8" t="s">
        <v>926</v>
      </c>
      <c r="E149" s="8" t="s">
        <v>261</v>
      </c>
      <c r="F149" s="10">
        <v>9</v>
      </c>
      <c r="G149" s="10">
        <v>5080</v>
      </c>
      <c r="H149" s="10">
        <v>27.5</v>
      </c>
      <c r="I149" s="10">
        <v>33147</v>
      </c>
      <c r="J149" s="8" t="s">
        <v>41</v>
      </c>
      <c r="K149" s="8" t="s">
        <v>42</v>
      </c>
      <c r="L149" s="18" t="str">
        <f>VLOOKUP(D149,Products!$A:$C,3,FALSE)</f>
        <v>Home</v>
      </c>
      <c r="N149" s="18" t="str">
        <f>VLOOKUP(C149,Customers!$A:$E,5,FALSE)</f>
        <v>Retail</v>
      </c>
      <c r="O149" s="18">
        <f>VLOOKUP(C149,Customers!$A:$C,3,FALSE)</f>
        <v>65</v>
      </c>
      <c r="T149" s="10">
        <v>16.2</v>
      </c>
    </row>
    <row r="150" spans="1:20" ht="14.25" hidden="1" customHeight="1" x14ac:dyDescent="0.3">
      <c r="A150" s="8" t="s">
        <v>1199</v>
      </c>
      <c r="B150" s="9">
        <v>45422</v>
      </c>
      <c r="C150" s="8" t="s">
        <v>372</v>
      </c>
      <c r="D150" s="8" t="s">
        <v>818</v>
      </c>
      <c r="E150" s="8" t="s">
        <v>189</v>
      </c>
      <c r="F150" s="10">
        <v>6</v>
      </c>
      <c r="G150" s="10">
        <v>4070</v>
      </c>
      <c r="H150" s="10">
        <v>12.5</v>
      </c>
      <c r="I150" s="10">
        <v>21367.5</v>
      </c>
      <c r="J150" s="8" t="s">
        <v>41</v>
      </c>
      <c r="K150" s="8" t="s">
        <v>42</v>
      </c>
      <c r="L150" s="18" t="str">
        <f>VLOOKUP(D150,Products!$A:$C,3,FALSE)</f>
        <v>Grocery</v>
      </c>
      <c r="N150" s="18" t="str">
        <f>VLOOKUP(C150,Customers!$A:$E,5,FALSE)</f>
        <v>SMB</v>
      </c>
      <c r="O150" s="18">
        <f>VLOOKUP(C150,Customers!$A:$C,3,FALSE)</f>
        <v>54</v>
      </c>
      <c r="T150" s="10">
        <v>29.2</v>
      </c>
    </row>
    <row r="151" spans="1:20" ht="14.25" customHeight="1" x14ac:dyDescent="0.3">
      <c r="A151" s="8" t="s">
        <v>981</v>
      </c>
      <c r="B151" s="21">
        <v>45346</v>
      </c>
      <c r="C151" s="8" t="s">
        <v>433</v>
      </c>
      <c r="D151" s="8" t="s">
        <v>154</v>
      </c>
      <c r="E151" s="8" t="s">
        <v>153</v>
      </c>
      <c r="F151" s="10">
        <v>5</v>
      </c>
      <c r="G151" s="10">
        <v>300</v>
      </c>
      <c r="H151" s="10">
        <v>25.8</v>
      </c>
      <c r="I151" s="10">
        <v>1113</v>
      </c>
      <c r="J151" s="8" t="s">
        <v>41</v>
      </c>
      <c r="K151" s="8" t="s">
        <v>42</v>
      </c>
      <c r="L151" s="18" t="str">
        <f>VLOOKUP(D151,Products!$A:$C,3,FALSE)</f>
        <v>Electronics</v>
      </c>
      <c r="N151" s="18" t="str">
        <f>VLOOKUP(C151,Customers!$A:$E,5,FALSE)</f>
        <v>SMB</v>
      </c>
      <c r="O151" s="18">
        <f>VLOOKUP(C151,Customers!$A:$C,3,FALSE)</f>
        <v>30</v>
      </c>
      <c r="P151" s="18" t="str">
        <f>VLOOKUP(E150,Sales_Reps!$A:$C,3,FALSE)</f>
        <v>South</v>
      </c>
      <c r="Q151" s="18" t="str">
        <f>TEXT(B150,"MMM-YY")</f>
        <v>May-24</v>
      </c>
      <c r="R151">
        <f>VLOOKUP(D151, Products!A:D, 4, FALSE)</f>
        <v>128</v>
      </c>
      <c r="S151">
        <f>(G151-R151)/G151</f>
        <v>0.57333333333333336</v>
      </c>
      <c r="T151" s="10">
        <v>20.399999999999999</v>
      </c>
    </row>
    <row r="152" spans="1:20" ht="14.25" hidden="1" customHeight="1" x14ac:dyDescent="0.3">
      <c r="A152" s="8" t="s">
        <v>1200</v>
      </c>
      <c r="B152" s="9">
        <v>45318</v>
      </c>
      <c r="C152" s="8" t="s">
        <v>555</v>
      </c>
      <c r="D152" s="8" t="s">
        <v>320</v>
      </c>
      <c r="E152" s="8" t="s">
        <v>865</v>
      </c>
      <c r="F152" s="10">
        <v>7</v>
      </c>
      <c r="G152" s="10">
        <v>5100</v>
      </c>
      <c r="H152" s="10">
        <v>28.8</v>
      </c>
      <c r="I152" s="10">
        <v>25418.400000000001</v>
      </c>
      <c r="J152" s="8" t="s">
        <v>41</v>
      </c>
      <c r="K152" s="8" t="s">
        <v>1201</v>
      </c>
      <c r="L152" s="18" t="str">
        <f>VLOOKUP(D152,Products!$A:$C,3,FALSE)</f>
        <v>Beauty</v>
      </c>
      <c r="N152" s="18" t="str">
        <f>VLOOKUP(C152,Customers!$A:$E,5,FALSE)</f>
        <v>Retail</v>
      </c>
      <c r="O152" s="18">
        <f>VLOOKUP(C152,Customers!$A:$C,3,FALSE)</f>
        <v>41</v>
      </c>
      <c r="T152" s="10">
        <v>29.4</v>
      </c>
    </row>
    <row r="153" spans="1:20" ht="14.25" customHeight="1" x14ac:dyDescent="0.3">
      <c r="A153" s="8" t="s">
        <v>1202</v>
      </c>
      <c r="B153" s="21">
        <v>45521</v>
      </c>
      <c r="C153" s="8" t="s">
        <v>568</v>
      </c>
      <c r="D153" s="8" t="s">
        <v>163</v>
      </c>
      <c r="E153" s="8" t="s">
        <v>189</v>
      </c>
      <c r="F153" s="10">
        <v>2</v>
      </c>
      <c r="G153" s="10">
        <v>5490</v>
      </c>
      <c r="H153" s="10">
        <v>5.5</v>
      </c>
      <c r="I153" s="10">
        <v>10376.1</v>
      </c>
      <c r="J153" s="8" t="s">
        <v>41</v>
      </c>
      <c r="K153" s="8" t="s">
        <v>98</v>
      </c>
      <c r="L153" s="18" t="str">
        <f>VLOOKUP(D153,Products!$A:$C,3,FALSE)</f>
        <v>Home</v>
      </c>
      <c r="N153" s="18" t="str">
        <f>VLOOKUP(C153,Customers!$A:$E,5,FALSE)</f>
        <v>Retail</v>
      </c>
      <c r="O153" s="18">
        <f>VLOOKUP(C153,Customers!$A:$C,3,FALSE)</f>
        <v>37</v>
      </c>
      <c r="P153" s="18" t="str">
        <f>VLOOKUP(E152,Sales_Reps!$A:$C,3,FALSE)</f>
        <v>South</v>
      </c>
      <c r="Q153" s="18" t="str">
        <f t="shared" ref="Q153:Q154" si="30">TEXT(B152,"MMM-YY")</f>
        <v>Jan-24</v>
      </c>
      <c r="R153">
        <f>VLOOKUP(D153, Products!A:D, 4, FALSE)</f>
        <v>2549</v>
      </c>
      <c r="S153">
        <f t="shared" ref="S153:S154" si="31">(G153-R153)/G153</f>
        <v>0.53570127504553733</v>
      </c>
      <c r="T153" s="10">
        <v>4.3</v>
      </c>
    </row>
    <row r="154" spans="1:20" ht="14.25" customHeight="1" x14ac:dyDescent="0.3">
      <c r="A154" s="8" t="s">
        <v>1203</v>
      </c>
      <c r="B154" s="21">
        <v>45595</v>
      </c>
      <c r="C154" s="8" t="s">
        <v>510</v>
      </c>
      <c r="D154" s="8" t="s">
        <v>889</v>
      </c>
      <c r="E154" s="8" t="s">
        <v>301</v>
      </c>
      <c r="F154" s="10">
        <v>2</v>
      </c>
      <c r="G154" s="10">
        <v>3450</v>
      </c>
      <c r="H154" s="10">
        <v>1.2</v>
      </c>
      <c r="I154" s="10">
        <v>6817.2</v>
      </c>
      <c r="J154" s="8" t="s">
        <v>41</v>
      </c>
      <c r="K154" s="8" t="s">
        <v>119</v>
      </c>
      <c r="L154" s="18" t="str">
        <f>VLOOKUP(D154,Products!$A:$C,3,FALSE)</f>
        <v>Apparel</v>
      </c>
      <c r="N154" s="18" t="str">
        <f>VLOOKUP(C154,Customers!$A:$E,5,FALSE)</f>
        <v>SMB</v>
      </c>
      <c r="O154" s="18">
        <f>VLOOKUP(C154,Customers!$A:$C,3,FALSE)</f>
        <v>34</v>
      </c>
      <c r="P154" s="18" t="str">
        <f>VLOOKUP(E153,Sales_Reps!$A:$C,3,FALSE)</f>
        <v>South</v>
      </c>
      <c r="Q154" s="18" t="str">
        <f t="shared" si="30"/>
        <v>Aug-24</v>
      </c>
      <c r="R154">
        <f>VLOOKUP(D154, Products!A:D, 4, FALSE)</f>
        <v>1748</v>
      </c>
      <c r="S154">
        <f t="shared" si="31"/>
        <v>0.49333333333333335</v>
      </c>
      <c r="T154" s="10">
        <v>7.2</v>
      </c>
    </row>
    <row r="155" spans="1:20" ht="14.25" hidden="1" customHeight="1" x14ac:dyDescent="0.3">
      <c r="A155" s="8" t="s">
        <v>1204</v>
      </c>
      <c r="B155" s="9">
        <v>45530</v>
      </c>
      <c r="C155" s="8" t="s">
        <v>481</v>
      </c>
      <c r="D155" s="8" t="s">
        <v>918</v>
      </c>
      <c r="E155" s="8" t="s">
        <v>261</v>
      </c>
      <c r="F155" s="10">
        <v>10</v>
      </c>
      <c r="G155" s="10">
        <v>2210</v>
      </c>
      <c r="H155" s="10">
        <v>18.8</v>
      </c>
      <c r="I155" s="10">
        <v>17945.2</v>
      </c>
      <c r="J155" s="8" t="s">
        <v>41</v>
      </c>
      <c r="K155" s="8" t="s">
        <v>178</v>
      </c>
      <c r="L155" s="18" t="str">
        <f>VLOOKUP(D155,Products!$A:$C,3,FALSE)</f>
        <v>Grocery</v>
      </c>
      <c r="N155" s="18" t="str">
        <f>VLOOKUP(C155,Customers!$A:$E,5,FALSE)</f>
        <v>Corporate</v>
      </c>
      <c r="O155" s="18">
        <f>VLOOKUP(C155,Customers!$A:$C,3,FALSE)</f>
        <v>43</v>
      </c>
      <c r="T155" s="10">
        <v>2.4</v>
      </c>
    </row>
    <row r="156" spans="1:20" ht="14.25" customHeight="1" x14ac:dyDescent="0.3">
      <c r="A156" s="8" t="s">
        <v>1205</v>
      </c>
      <c r="B156" s="21">
        <v>45644</v>
      </c>
      <c r="C156" s="8" t="s">
        <v>437</v>
      </c>
      <c r="D156" s="8" t="s">
        <v>192</v>
      </c>
      <c r="E156" s="8" t="s">
        <v>745</v>
      </c>
      <c r="F156" s="10">
        <v>2</v>
      </c>
      <c r="G156" s="10">
        <v>3250</v>
      </c>
      <c r="H156" s="10">
        <v>26.2</v>
      </c>
      <c r="I156" s="10">
        <v>4797</v>
      </c>
      <c r="J156" s="8" t="s">
        <v>41</v>
      </c>
      <c r="K156" s="8" t="s">
        <v>178</v>
      </c>
      <c r="L156" s="18" t="str">
        <f>VLOOKUP(D156,Products!$A:$C,3,FALSE)</f>
        <v>Home</v>
      </c>
      <c r="N156" s="18" t="str">
        <f>VLOOKUP(C156,Customers!$A:$E,5,FALSE)</f>
        <v>SMB</v>
      </c>
      <c r="O156" s="18">
        <f>VLOOKUP(C156,Customers!$A:$C,3,FALSE)</f>
        <v>36</v>
      </c>
      <c r="P156" s="18" t="str">
        <f>VLOOKUP(E155,Sales_Reps!$A:$C,3,FALSE)</f>
        <v>North</v>
      </c>
      <c r="Q156" s="18" t="str">
        <f t="shared" ref="Q156:Q157" si="32">TEXT(B155,"MMM-YY")</f>
        <v>Aug-24</v>
      </c>
      <c r="R156">
        <f>VLOOKUP(D156, Products!A:D, 4, FALSE)</f>
        <v>1556</v>
      </c>
      <c r="S156">
        <f t="shared" ref="S156:S157" si="33">(G156-R156)/G156</f>
        <v>0.52123076923076928</v>
      </c>
      <c r="T156" s="10">
        <v>21.3</v>
      </c>
    </row>
    <row r="157" spans="1:20" ht="14.25" customHeight="1" x14ac:dyDescent="0.3">
      <c r="A157" s="8" t="s">
        <v>1206</v>
      </c>
      <c r="B157" s="21">
        <v>45298</v>
      </c>
      <c r="C157" s="8" t="s">
        <v>613</v>
      </c>
      <c r="D157" s="8" t="s">
        <v>134</v>
      </c>
      <c r="E157" s="8" t="s">
        <v>231</v>
      </c>
      <c r="F157" s="10">
        <v>5</v>
      </c>
      <c r="G157" s="10">
        <v>3160</v>
      </c>
      <c r="H157" s="10">
        <v>0.9</v>
      </c>
      <c r="I157" s="10">
        <v>15657.8</v>
      </c>
      <c r="J157" s="8" t="s">
        <v>41</v>
      </c>
      <c r="K157" s="8" t="s">
        <v>42</v>
      </c>
      <c r="L157" s="18" t="str">
        <f>VLOOKUP(D157,Products!$A:$C,3,FALSE)</f>
        <v>Apparel</v>
      </c>
      <c r="N157" s="18" t="str">
        <f>VLOOKUP(C157,Customers!$A:$E,5,FALSE)</f>
        <v>Retail</v>
      </c>
      <c r="O157" s="18">
        <f>VLOOKUP(C157,Customers!$A:$C,3,FALSE)</f>
        <v>29</v>
      </c>
      <c r="P157" s="18" t="str">
        <f>VLOOKUP(E156,Sales_Reps!$A:$C,3,FALSE)</f>
        <v>South</v>
      </c>
      <c r="Q157" s="18" t="str">
        <f t="shared" si="32"/>
        <v>Dec-24</v>
      </c>
      <c r="R157">
        <f>VLOOKUP(D157, Products!A:D, 4, FALSE)</f>
        <v>1886</v>
      </c>
      <c r="S157">
        <f t="shared" si="33"/>
        <v>0.4031645569620253</v>
      </c>
      <c r="T157" s="10">
        <v>10.7</v>
      </c>
    </row>
    <row r="158" spans="1:20" ht="14.25" hidden="1" customHeight="1" x14ac:dyDescent="0.3">
      <c r="A158" s="8" t="s">
        <v>1207</v>
      </c>
      <c r="B158" s="9">
        <v>45447</v>
      </c>
      <c r="C158" s="8" t="s">
        <v>583</v>
      </c>
      <c r="D158" s="8" t="s">
        <v>188</v>
      </c>
      <c r="E158" s="8" t="s">
        <v>143</v>
      </c>
      <c r="F158" s="10">
        <v>4</v>
      </c>
      <c r="G158" s="10">
        <v>3870</v>
      </c>
      <c r="H158" s="10">
        <v>29.6</v>
      </c>
      <c r="I158" s="10">
        <v>10897.92</v>
      </c>
      <c r="J158" s="8" t="s">
        <v>147</v>
      </c>
      <c r="K158" s="8" t="s">
        <v>42</v>
      </c>
      <c r="L158" s="18" t="str">
        <f>VLOOKUP(D158,Products!$A:$C,3,FALSE)</f>
        <v>Electronics</v>
      </c>
      <c r="N158" s="18" t="str">
        <f>VLOOKUP(C158,Customers!$A:$E,5,FALSE)</f>
        <v>SMB</v>
      </c>
      <c r="O158" s="18">
        <f>VLOOKUP(C158,Customers!$A:$C,3,FALSE)</f>
        <v>53</v>
      </c>
      <c r="T158" s="10">
        <v>12.9</v>
      </c>
    </row>
    <row r="159" spans="1:20" ht="14.25" customHeight="1" x14ac:dyDescent="0.3">
      <c r="A159" s="8" t="s">
        <v>1208</v>
      </c>
      <c r="B159" s="21">
        <v>45601</v>
      </c>
      <c r="C159" s="8" t="s">
        <v>734</v>
      </c>
      <c r="D159" s="8" t="s">
        <v>964</v>
      </c>
      <c r="E159" s="8" t="s">
        <v>196</v>
      </c>
      <c r="F159" s="10">
        <v>4</v>
      </c>
      <c r="G159" s="10">
        <v>3780</v>
      </c>
      <c r="H159" s="10">
        <v>3.5</v>
      </c>
      <c r="I159" s="10">
        <v>14590.8</v>
      </c>
      <c r="J159" s="8" t="s">
        <v>147</v>
      </c>
      <c r="K159" s="8" t="s">
        <v>42</v>
      </c>
      <c r="L159" s="18" t="str">
        <f>VLOOKUP(D159,Products!$A:$C,3,FALSE)</f>
        <v>Sports</v>
      </c>
      <c r="N159" s="18" t="str">
        <f>VLOOKUP(C159,Customers!$A:$E,5,FALSE)</f>
        <v>Corporate</v>
      </c>
      <c r="O159" s="18">
        <f>VLOOKUP(C159,Customers!$A:$C,3,FALSE)</f>
        <v>37</v>
      </c>
      <c r="P159" s="18" t="str">
        <f>VLOOKUP(E158,Sales_Reps!$A:$C,3,FALSE)</f>
        <v>West</v>
      </c>
      <c r="Q159" s="18" t="str">
        <f>TEXT(B158,"MMM-YY")</f>
        <v>Jun-24</v>
      </c>
      <c r="R159">
        <f>VLOOKUP(D159, Products!A:D, 4, FALSE)</f>
        <v>1860</v>
      </c>
      <c r="S159">
        <f>(G159-R159)/G159</f>
        <v>0.50793650793650791</v>
      </c>
      <c r="T159" s="10">
        <v>12.6</v>
      </c>
    </row>
    <row r="160" spans="1:20" ht="14.25" hidden="1" customHeight="1" x14ac:dyDescent="0.3">
      <c r="A160" s="8" t="s">
        <v>1209</v>
      </c>
      <c r="B160" s="9">
        <v>45428</v>
      </c>
      <c r="C160" s="8" t="s">
        <v>677</v>
      </c>
      <c r="D160" s="8" t="s">
        <v>867</v>
      </c>
      <c r="E160" s="8" t="s">
        <v>216</v>
      </c>
      <c r="F160" s="10">
        <v>4</v>
      </c>
      <c r="G160" s="10">
        <v>3020</v>
      </c>
      <c r="H160" s="10">
        <v>18.899999999999999</v>
      </c>
      <c r="I160" s="10">
        <v>9796.8799999999992</v>
      </c>
      <c r="J160" s="8" t="s">
        <v>41</v>
      </c>
      <c r="K160" s="8" t="s">
        <v>136</v>
      </c>
      <c r="L160" s="18" t="str">
        <f>VLOOKUP(D160,Products!$A:$C,3,FALSE)</f>
        <v>Beauty</v>
      </c>
      <c r="N160" s="18" t="str">
        <f>VLOOKUP(C160,Customers!$A:$E,5,FALSE)</f>
        <v>Retail</v>
      </c>
      <c r="O160" s="18">
        <f>VLOOKUP(C160,Customers!$A:$C,3,FALSE)</f>
        <v>55</v>
      </c>
      <c r="T160" s="10">
        <v>5.4</v>
      </c>
    </row>
    <row r="161" spans="1:20" ht="14.25" hidden="1" customHeight="1" x14ac:dyDescent="0.3">
      <c r="A161" s="8" t="s">
        <v>1210</v>
      </c>
      <c r="B161" s="9">
        <v>45409</v>
      </c>
      <c r="C161" s="8" t="s">
        <v>271</v>
      </c>
      <c r="D161" s="8" t="s">
        <v>569</v>
      </c>
      <c r="E161" s="8" t="s">
        <v>301</v>
      </c>
      <c r="F161" s="10">
        <v>1</v>
      </c>
      <c r="G161" s="10">
        <v>3730</v>
      </c>
      <c r="H161" s="10">
        <v>10.8</v>
      </c>
      <c r="I161" s="10">
        <v>3327.16</v>
      </c>
      <c r="J161" s="8" t="s">
        <v>193</v>
      </c>
      <c r="K161" s="8" t="s">
        <v>146</v>
      </c>
      <c r="L161" s="18" t="str">
        <f>VLOOKUP(D161,Products!$A:$C,3,FALSE)</f>
        <v>Home</v>
      </c>
      <c r="N161" s="18" t="str">
        <f>VLOOKUP(C161,Customers!$A:$E,5,FALSE)</f>
        <v>Retail</v>
      </c>
      <c r="O161" s="18">
        <f>VLOOKUP(C161,Customers!$A:$C,3,FALSE)</f>
        <v>61</v>
      </c>
      <c r="T161" s="10">
        <v>17.899999999999999</v>
      </c>
    </row>
    <row r="162" spans="1:20" ht="14.25" hidden="1" customHeight="1" x14ac:dyDescent="0.3">
      <c r="A162" s="8" t="s">
        <v>1211</v>
      </c>
      <c r="B162" s="9">
        <v>45394</v>
      </c>
      <c r="C162" s="8" t="s">
        <v>558</v>
      </c>
      <c r="D162" s="8" t="s">
        <v>283</v>
      </c>
      <c r="E162" s="8" t="s">
        <v>167</v>
      </c>
      <c r="F162" s="10">
        <v>8</v>
      </c>
      <c r="G162" s="10">
        <v>4880</v>
      </c>
      <c r="H162" s="10">
        <v>20.3</v>
      </c>
      <c r="I162" s="10">
        <v>31114.880000000001</v>
      </c>
      <c r="J162" s="8" t="s">
        <v>41</v>
      </c>
      <c r="K162" s="8" t="s">
        <v>178</v>
      </c>
      <c r="L162" s="18" t="str">
        <f>VLOOKUP(D162,Products!$A:$C,3,FALSE)</f>
        <v>Beauty</v>
      </c>
      <c r="N162" s="18" t="str">
        <f>VLOOKUP(C162,Customers!$A:$E,5,FALSE)</f>
        <v>SMB</v>
      </c>
      <c r="O162" s="18">
        <f>VLOOKUP(C162,Customers!$A:$C,3,FALSE)</f>
        <v>65</v>
      </c>
      <c r="T162" s="10">
        <v>4.8</v>
      </c>
    </row>
    <row r="163" spans="1:20" ht="14.25" hidden="1" customHeight="1" x14ac:dyDescent="0.3">
      <c r="A163" s="8" t="s">
        <v>1212</v>
      </c>
      <c r="B163" s="9">
        <v>45579</v>
      </c>
      <c r="C163" s="8" t="s">
        <v>204</v>
      </c>
      <c r="D163" s="8" t="s">
        <v>171</v>
      </c>
      <c r="E163" s="8" t="s">
        <v>376</v>
      </c>
      <c r="F163" s="10">
        <v>9</v>
      </c>
      <c r="G163" s="10">
        <v>970</v>
      </c>
      <c r="H163" s="10">
        <v>18.2</v>
      </c>
      <c r="I163" s="10">
        <v>7141.14</v>
      </c>
      <c r="J163" s="8" t="s">
        <v>41</v>
      </c>
      <c r="K163" s="8" t="s">
        <v>42</v>
      </c>
      <c r="L163" s="18" t="str">
        <f>VLOOKUP(D163,Products!$A:$C,3,FALSE)</f>
        <v>Grocery</v>
      </c>
      <c r="N163" s="18" t="str">
        <f>VLOOKUP(C163,Customers!$A:$E,5,FALSE)</f>
        <v>Retail</v>
      </c>
      <c r="O163" s="18">
        <f>VLOOKUP(C163,Customers!$A:$C,3,FALSE)</f>
        <v>63</v>
      </c>
      <c r="T163" s="10">
        <v>25</v>
      </c>
    </row>
    <row r="164" spans="1:20" ht="14.25" hidden="1" customHeight="1" x14ac:dyDescent="0.3">
      <c r="A164" s="8" t="s">
        <v>1213</v>
      </c>
      <c r="B164" s="9">
        <v>45442</v>
      </c>
      <c r="C164" s="8" t="s">
        <v>513</v>
      </c>
      <c r="D164" s="8" t="s">
        <v>131</v>
      </c>
      <c r="E164" s="8" t="s">
        <v>121</v>
      </c>
      <c r="F164" s="10">
        <v>8</v>
      </c>
      <c r="G164" s="10">
        <v>2660</v>
      </c>
      <c r="H164" s="10">
        <v>17.600000000000001</v>
      </c>
      <c r="I164" s="10">
        <v>17534.72</v>
      </c>
      <c r="J164" s="8" t="s">
        <v>41</v>
      </c>
      <c r="K164" s="8" t="s">
        <v>136</v>
      </c>
      <c r="L164" s="18" t="str">
        <f>VLOOKUP(D164,Products!$A:$C,3,FALSE)</f>
        <v>Electronics</v>
      </c>
      <c r="N164" s="18" t="str">
        <f>VLOOKUP(C164,Customers!$A:$E,5,FALSE)</f>
        <v>SMB</v>
      </c>
      <c r="O164" s="18">
        <f>VLOOKUP(C164,Customers!$A:$C,3,FALSE)</f>
        <v>43</v>
      </c>
      <c r="T164" s="10">
        <v>2.5</v>
      </c>
    </row>
    <row r="165" spans="1:20" ht="14.25" customHeight="1" x14ac:dyDescent="0.3">
      <c r="A165" s="8" t="s">
        <v>1214</v>
      </c>
      <c r="B165" s="21">
        <v>45414</v>
      </c>
      <c r="C165" s="8" t="s">
        <v>183</v>
      </c>
      <c r="D165" s="8" t="s">
        <v>95</v>
      </c>
      <c r="E165" s="8" t="s">
        <v>301</v>
      </c>
      <c r="F165" s="10">
        <v>2</v>
      </c>
      <c r="G165" s="10">
        <v>820</v>
      </c>
      <c r="H165" s="10">
        <v>18.100000000000001</v>
      </c>
      <c r="I165" s="10">
        <v>1343.16</v>
      </c>
      <c r="J165" s="8" t="s">
        <v>147</v>
      </c>
      <c r="K165" s="8" t="s">
        <v>119</v>
      </c>
      <c r="L165" s="18" t="str">
        <f>VLOOKUP(D165,Products!$A:$C,3,FALSE)</f>
        <v>Apparel</v>
      </c>
      <c r="N165" s="18" t="str">
        <f>VLOOKUP(C165,Customers!$A:$E,5,FALSE)</f>
        <v>SMB</v>
      </c>
      <c r="O165" s="18">
        <f>VLOOKUP(C165,Customers!$A:$C,3,FALSE)</f>
        <v>27</v>
      </c>
      <c r="P165" s="18" t="str">
        <f>VLOOKUP(E164,Sales_Reps!$A:$C,3,FALSE)</f>
        <v>East</v>
      </c>
      <c r="Q165" s="18" t="str">
        <f t="shared" ref="Q165:Q166" si="34">TEXT(B164,"MMM-YY")</f>
        <v>May-24</v>
      </c>
      <c r="R165">
        <f>VLOOKUP(D165, Products!A:D, 4, FALSE)</f>
        <v>391</v>
      </c>
      <c r="S165">
        <f t="shared" ref="S165:S166" si="35">(G165-R165)/G165</f>
        <v>0.52317073170731709</v>
      </c>
      <c r="T165" s="10">
        <v>17</v>
      </c>
    </row>
    <row r="166" spans="1:20" ht="14.25" customHeight="1" x14ac:dyDescent="0.3">
      <c r="A166" s="8" t="s">
        <v>1215</v>
      </c>
      <c r="B166" s="21">
        <v>45349</v>
      </c>
      <c r="C166" s="8" t="s">
        <v>187</v>
      </c>
      <c r="D166" s="8" t="s">
        <v>924</v>
      </c>
      <c r="E166" s="8" t="s">
        <v>214</v>
      </c>
      <c r="F166" s="10">
        <v>7</v>
      </c>
      <c r="G166" s="10">
        <v>2030</v>
      </c>
      <c r="H166" s="10">
        <v>23.7</v>
      </c>
      <c r="I166" s="10">
        <v>10842.23</v>
      </c>
      <c r="J166" s="8" t="s">
        <v>97</v>
      </c>
      <c r="K166" s="8" t="s">
        <v>98</v>
      </c>
      <c r="L166" s="18" t="str">
        <f>VLOOKUP(D166,Products!$A:$C,3,FALSE)</f>
        <v>Home</v>
      </c>
      <c r="N166" s="18" t="str">
        <f>VLOOKUP(C166,Customers!$A:$E,5,FALSE)</f>
        <v>Corporate</v>
      </c>
      <c r="O166" s="18">
        <f>VLOOKUP(C166,Customers!$A:$C,3,FALSE)</f>
        <v>35</v>
      </c>
      <c r="P166" s="18" t="str">
        <f>VLOOKUP(E165,Sales_Reps!$A:$C,3,FALSE)</f>
        <v>South</v>
      </c>
      <c r="Q166" s="18" t="str">
        <f t="shared" si="34"/>
        <v>May-24</v>
      </c>
      <c r="R166">
        <f>VLOOKUP(D166, Products!A:D, 4, FALSE)</f>
        <v>1143</v>
      </c>
      <c r="S166">
        <f t="shared" si="35"/>
        <v>0.43694581280788175</v>
      </c>
      <c r="T166" s="10">
        <v>9.3000000000000007</v>
      </c>
    </row>
    <row r="167" spans="1:20" ht="14.25" hidden="1" customHeight="1" x14ac:dyDescent="0.3">
      <c r="A167" s="8" t="s">
        <v>1216</v>
      </c>
      <c r="B167" s="9">
        <v>45533</v>
      </c>
      <c r="C167" s="8" t="s">
        <v>406</v>
      </c>
      <c r="D167" s="8" t="s">
        <v>896</v>
      </c>
      <c r="E167" s="8" t="s">
        <v>214</v>
      </c>
      <c r="F167" s="10">
        <v>5</v>
      </c>
      <c r="G167" s="10">
        <v>620</v>
      </c>
      <c r="H167" s="10">
        <v>13.8</v>
      </c>
      <c r="I167" s="10">
        <v>2672.2</v>
      </c>
      <c r="J167" s="8" t="s">
        <v>41</v>
      </c>
      <c r="K167" s="8" t="s">
        <v>119</v>
      </c>
      <c r="L167" s="18" t="str">
        <f>VLOOKUP(D167,Products!$A:$C,3,FALSE)</f>
        <v>Apparel</v>
      </c>
      <c r="N167" s="18" t="str">
        <f>VLOOKUP(C167,Customers!$A:$E,5,FALSE)</f>
        <v>SMB</v>
      </c>
      <c r="O167" s="18">
        <f>VLOOKUP(C167,Customers!$A:$C,3,FALSE)</f>
        <v>59</v>
      </c>
      <c r="T167" s="10">
        <v>4.5999999999999996</v>
      </c>
    </row>
    <row r="168" spans="1:20" ht="14.25" customHeight="1" x14ac:dyDescent="0.3">
      <c r="A168" s="8" t="s">
        <v>1217</v>
      </c>
      <c r="B168" s="21">
        <v>45489</v>
      </c>
      <c r="C168" s="8" t="s">
        <v>510</v>
      </c>
      <c r="D168" s="8" t="s">
        <v>691</v>
      </c>
      <c r="E168" s="8" t="s">
        <v>196</v>
      </c>
      <c r="F168" s="10">
        <v>7</v>
      </c>
      <c r="G168" s="10">
        <v>2270</v>
      </c>
      <c r="H168" s="10">
        <v>5.5</v>
      </c>
      <c r="I168" s="10">
        <v>15016.05</v>
      </c>
      <c r="J168" s="8" t="s">
        <v>41</v>
      </c>
      <c r="K168" s="8" t="s">
        <v>119</v>
      </c>
      <c r="L168" s="18" t="str">
        <f>VLOOKUP(D168,Products!$A:$C,3,FALSE)</f>
        <v>Grocery</v>
      </c>
      <c r="N168" s="18" t="str">
        <f>VLOOKUP(C168,Customers!$A:$E,5,FALSE)</f>
        <v>SMB</v>
      </c>
      <c r="O168" s="18">
        <f>VLOOKUP(C168,Customers!$A:$C,3,FALSE)</f>
        <v>34</v>
      </c>
      <c r="P168" s="18" t="str">
        <f>VLOOKUP(E167,Sales_Reps!$A:$C,3,FALSE)</f>
        <v>South</v>
      </c>
      <c r="Q168" s="18" t="str">
        <f t="shared" ref="Q168:Q169" si="36">TEXT(B167,"MMM-YY")</f>
        <v>Aug-24</v>
      </c>
      <c r="R168">
        <f>VLOOKUP(D168, Products!A:D, 4, FALSE)</f>
        <v>1412</v>
      </c>
      <c r="S168">
        <f t="shared" ref="S168:S169" si="37">(G168-R168)/G168</f>
        <v>0.37797356828193834</v>
      </c>
      <c r="T168" s="10">
        <v>8.5</v>
      </c>
    </row>
    <row r="169" spans="1:20" ht="14.25" customHeight="1" x14ac:dyDescent="0.3">
      <c r="A169" s="8" t="s">
        <v>1218</v>
      </c>
      <c r="B169" s="21">
        <v>45457</v>
      </c>
      <c r="C169" s="8" t="s">
        <v>241</v>
      </c>
      <c r="D169" s="8" t="s">
        <v>116</v>
      </c>
      <c r="E169" s="8" t="s">
        <v>221</v>
      </c>
      <c r="F169" s="10">
        <v>1</v>
      </c>
      <c r="G169" s="10">
        <v>470</v>
      </c>
      <c r="H169" s="10">
        <v>13.7</v>
      </c>
      <c r="I169" s="10">
        <v>405.61</v>
      </c>
      <c r="J169" s="8" t="s">
        <v>97</v>
      </c>
      <c r="K169" s="8" t="s">
        <v>178</v>
      </c>
      <c r="L169" s="18" t="str">
        <f>VLOOKUP(D169,Products!$A:$C,3,FALSE)</f>
        <v>Sports</v>
      </c>
      <c r="N169" s="18" t="str">
        <f>VLOOKUP(C169,Customers!$A:$E,5,FALSE)</f>
        <v>SMB</v>
      </c>
      <c r="O169" s="18">
        <f>VLOOKUP(C169,Customers!$A:$C,3,FALSE)</f>
        <v>40</v>
      </c>
      <c r="P169" s="18" t="str">
        <f>VLOOKUP(E168,Sales_Reps!$A:$C,3,FALSE)</f>
        <v>East</v>
      </c>
      <c r="Q169" s="18" t="str">
        <f t="shared" si="36"/>
        <v>Jul-24</v>
      </c>
      <c r="R169">
        <f>VLOOKUP(D169, Products!A:D, 4, FALSE)</f>
        <v>302</v>
      </c>
      <c r="S169">
        <f t="shared" si="37"/>
        <v>0.35744680851063831</v>
      </c>
      <c r="T169" s="10">
        <v>9.6</v>
      </c>
    </row>
    <row r="170" spans="1:20" ht="14.25" hidden="1" customHeight="1" x14ac:dyDescent="0.3">
      <c r="A170" s="8" t="s">
        <v>1219</v>
      </c>
      <c r="B170" s="9">
        <v>45601</v>
      </c>
      <c r="C170" s="8" t="s">
        <v>204</v>
      </c>
      <c r="D170" s="8" t="s">
        <v>230</v>
      </c>
      <c r="E170" s="8" t="s">
        <v>38</v>
      </c>
      <c r="F170" s="10">
        <v>6</v>
      </c>
      <c r="G170" s="10">
        <v>5330</v>
      </c>
      <c r="H170" s="10">
        <v>17.899999999999999</v>
      </c>
      <c r="I170" s="10">
        <v>26255.58</v>
      </c>
      <c r="J170" s="8" t="s">
        <v>41</v>
      </c>
      <c r="K170" s="8" t="s">
        <v>42</v>
      </c>
      <c r="L170" s="18" t="str">
        <f>VLOOKUP(D170,Products!$A:$C,3,FALSE)</f>
        <v>Electronics</v>
      </c>
      <c r="N170" s="18" t="str">
        <f>VLOOKUP(C170,Customers!$A:$E,5,FALSE)</f>
        <v>Retail</v>
      </c>
      <c r="O170" s="18">
        <f>VLOOKUP(C170,Customers!$A:$C,3,FALSE)</f>
        <v>63</v>
      </c>
      <c r="T170" s="10">
        <v>11.6</v>
      </c>
    </row>
    <row r="171" spans="1:20" ht="14.25" hidden="1" customHeight="1" x14ac:dyDescent="0.3">
      <c r="A171" s="8" t="s">
        <v>1220</v>
      </c>
      <c r="B171" s="9">
        <v>45294</v>
      </c>
      <c r="C171" s="8" t="s">
        <v>446</v>
      </c>
      <c r="D171" s="8" t="s">
        <v>662</v>
      </c>
      <c r="E171" s="8" t="s">
        <v>261</v>
      </c>
      <c r="F171" s="10">
        <v>1</v>
      </c>
      <c r="G171" s="10">
        <v>6080</v>
      </c>
      <c r="H171" s="10">
        <v>25.5</v>
      </c>
      <c r="I171" s="10">
        <v>4529.6000000000004</v>
      </c>
      <c r="J171" s="8" t="s">
        <v>41</v>
      </c>
      <c r="K171" s="8" t="s">
        <v>42</v>
      </c>
      <c r="L171" s="18" t="str">
        <f>VLOOKUP(D171,Products!$A:$C,3,FALSE)</f>
        <v>Beauty</v>
      </c>
      <c r="N171" s="18" t="str">
        <f>VLOOKUP(C171,Customers!$A:$E,5,FALSE)</f>
        <v>SMB</v>
      </c>
      <c r="O171" s="18">
        <f>VLOOKUP(C171,Customers!$A:$C,3,FALSE)</f>
        <v>49</v>
      </c>
      <c r="T171" s="10">
        <v>6.5</v>
      </c>
    </row>
    <row r="172" spans="1:20" ht="14.25" hidden="1" customHeight="1" x14ac:dyDescent="0.3">
      <c r="A172" s="8" t="s">
        <v>1221</v>
      </c>
      <c r="B172" s="9">
        <v>45345</v>
      </c>
      <c r="C172" s="8" t="s">
        <v>794</v>
      </c>
      <c r="D172" s="8" t="s">
        <v>624</v>
      </c>
      <c r="E172" s="8" t="s">
        <v>196</v>
      </c>
      <c r="F172" s="10">
        <v>5</v>
      </c>
      <c r="G172" s="10">
        <v>3780</v>
      </c>
      <c r="H172" s="10">
        <v>28.6</v>
      </c>
      <c r="I172" s="10">
        <v>13494.6</v>
      </c>
      <c r="J172" s="8" t="s">
        <v>41</v>
      </c>
      <c r="K172" s="8" t="s">
        <v>119</v>
      </c>
      <c r="L172" s="18" t="str">
        <f>VLOOKUP(D172,Products!$A:$C,3,FALSE)</f>
        <v>Grocery</v>
      </c>
      <c r="N172" s="18" t="str">
        <f>VLOOKUP(C172,Customers!$A:$E,5,FALSE)</f>
        <v>Retail</v>
      </c>
      <c r="O172" s="18">
        <f>VLOOKUP(C172,Customers!$A:$C,3,FALSE)</f>
        <v>54</v>
      </c>
      <c r="T172" s="10">
        <v>26.7</v>
      </c>
    </row>
    <row r="173" spans="1:20" ht="14.25" hidden="1" customHeight="1" x14ac:dyDescent="0.3">
      <c r="A173" s="8" t="s">
        <v>1222</v>
      </c>
      <c r="B173" s="9">
        <v>45391</v>
      </c>
      <c r="C173" s="8" t="s">
        <v>314</v>
      </c>
      <c r="D173" s="8" t="s">
        <v>896</v>
      </c>
      <c r="E173" s="8" t="s">
        <v>177</v>
      </c>
      <c r="F173" s="10">
        <v>5</v>
      </c>
      <c r="G173" s="10">
        <v>620</v>
      </c>
      <c r="H173" s="10">
        <v>6.9</v>
      </c>
      <c r="I173" s="10">
        <v>2886.1</v>
      </c>
      <c r="J173" s="8" t="s">
        <v>147</v>
      </c>
      <c r="K173" s="8" t="s">
        <v>178</v>
      </c>
      <c r="L173" s="18" t="str">
        <f>VLOOKUP(D173,Products!$A:$C,3,FALSE)</f>
        <v>Apparel</v>
      </c>
      <c r="N173" s="18" t="str">
        <f>VLOOKUP(C173,Customers!$A:$E,5,FALSE)</f>
        <v>Corporate</v>
      </c>
      <c r="O173" s="18">
        <f>VLOOKUP(C173,Customers!$A:$C,3,FALSE)</f>
        <v>52</v>
      </c>
      <c r="T173" s="10">
        <v>9.6999999999999993</v>
      </c>
    </row>
    <row r="174" spans="1:20" ht="14.25" hidden="1" customHeight="1" x14ac:dyDescent="0.3">
      <c r="A174" s="8" t="s">
        <v>1223</v>
      </c>
      <c r="B174" s="9">
        <v>45419</v>
      </c>
      <c r="C174" s="8" t="s">
        <v>702</v>
      </c>
      <c r="D174" s="8" t="s">
        <v>898</v>
      </c>
      <c r="E174" s="8" t="s">
        <v>619</v>
      </c>
      <c r="F174" s="10">
        <v>8</v>
      </c>
      <c r="G174" s="10">
        <v>2510</v>
      </c>
      <c r="H174" s="10">
        <v>0.7</v>
      </c>
      <c r="I174" s="10">
        <v>19939.439999999999</v>
      </c>
      <c r="J174" s="8" t="s">
        <v>41</v>
      </c>
      <c r="K174" s="8" t="s">
        <v>42</v>
      </c>
      <c r="L174" s="18" t="str">
        <f>VLOOKUP(D174,Products!$A:$C,3,FALSE)</f>
        <v>Apparel</v>
      </c>
      <c r="N174" s="18" t="str">
        <f>VLOOKUP(C174,Customers!$A:$E,5,FALSE)</f>
        <v>Corporate</v>
      </c>
      <c r="O174" s="18">
        <f>VLOOKUP(C174,Customers!$A:$C,3,FALSE)</f>
        <v>48</v>
      </c>
      <c r="T174" s="10">
        <v>3.2</v>
      </c>
    </row>
    <row r="175" spans="1:20" ht="14.25" hidden="1" customHeight="1" x14ac:dyDescent="0.3">
      <c r="A175" s="8" t="s">
        <v>1224</v>
      </c>
      <c r="B175" s="9">
        <v>45306</v>
      </c>
      <c r="C175" s="8" t="s">
        <v>610</v>
      </c>
      <c r="D175" s="8" t="s">
        <v>239</v>
      </c>
      <c r="E175" s="8" t="s">
        <v>321</v>
      </c>
      <c r="F175" s="10">
        <v>1</v>
      </c>
      <c r="G175" s="10">
        <v>2720</v>
      </c>
      <c r="H175" s="10">
        <v>13.7</v>
      </c>
      <c r="I175" s="10">
        <v>2347.36</v>
      </c>
      <c r="J175" s="8" t="s">
        <v>41</v>
      </c>
      <c r="K175" s="8" t="s">
        <v>42</v>
      </c>
      <c r="L175" s="18" t="str">
        <f>VLOOKUP(D175,Products!$A:$C,3,FALSE)</f>
        <v>Apparel</v>
      </c>
      <c r="N175" s="18" t="str">
        <f>VLOOKUP(C175,Customers!$A:$E,5,FALSE)</f>
        <v>Retail</v>
      </c>
      <c r="O175" s="18">
        <f>VLOOKUP(C175,Customers!$A:$C,3,FALSE)</f>
        <v>49</v>
      </c>
      <c r="T175" s="10">
        <v>26.5</v>
      </c>
    </row>
    <row r="176" spans="1:20" ht="14.25" customHeight="1" x14ac:dyDescent="0.3">
      <c r="A176" s="8" t="s">
        <v>1225</v>
      </c>
      <c r="B176" s="21">
        <v>45546</v>
      </c>
      <c r="C176" s="8" t="s">
        <v>391</v>
      </c>
      <c r="D176" s="8" t="s">
        <v>116</v>
      </c>
      <c r="E176" s="8" t="s">
        <v>167</v>
      </c>
      <c r="F176" s="10">
        <v>9</v>
      </c>
      <c r="G176" s="10">
        <v>470</v>
      </c>
      <c r="H176" s="10">
        <v>23.6</v>
      </c>
      <c r="I176" s="10">
        <v>3231.72</v>
      </c>
      <c r="J176" s="8" t="s">
        <v>41</v>
      </c>
      <c r="K176" s="8" t="s">
        <v>42</v>
      </c>
      <c r="L176" s="18" t="str">
        <f>VLOOKUP(D176,Products!$A:$C,3,FALSE)</f>
        <v>Sports</v>
      </c>
      <c r="N176" s="18" t="str">
        <f>VLOOKUP(C176,Customers!$A:$E,5,FALSE)</f>
        <v>Corporate</v>
      </c>
      <c r="O176" s="18">
        <f>VLOOKUP(C176,Customers!$A:$C,3,FALSE)</f>
        <v>29</v>
      </c>
      <c r="P176" s="18" t="str">
        <f>VLOOKUP(E175,Sales_Reps!$A:$C,3,FALSE)</f>
        <v>East</v>
      </c>
      <c r="Q176" s="18" t="str">
        <f>TEXT(B175,"MMM-YY")</f>
        <v>Jan-24</v>
      </c>
      <c r="R176">
        <f>VLOOKUP(D176, Products!A:D, 4, FALSE)</f>
        <v>302</v>
      </c>
      <c r="S176">
        <f>(G176-R176)/G176</f>
        <v>0.35744680851063831</v>
      </c>
      <c r="T176" s="10">
        <v>1.5</v>
      </c>
    </row>
    <row r="177" spans="1:20" ht="14.25" hidden="1" customHeight="1" x14ac:dyDescent="0.3">
      <c r="A177" s="8" t="s">
        <v>1227</v>
      </c>
      <c r="B177" s="9">
        <v>45633</v>
      </c>
      <c r="C177" s="8" t="s">
        <v>296</v>
      </c>
      <c r="D177" s="8" t="s">
        <v>192</v>
      </c>
      <c r="E177" s="8" t="s">
        <v>167</v>
      </c>
      <c r="F177" s="10">
        <v>10</v>
      </c>
      <c r="G177" s="10">
        <v>3250</v>
      </c>
      <c r="H177" s="10">
        <v>21</v>
      </c>
      <c r="I177" s="10">
        <v>25675</v>
      </c>
      <c r="J177" s="8" t="s">
        <v>147</v>
      </c>
      <c r="K177" s="8" t="s">
        <v>178</v>
      </c>
      <c r="L177" s="18" t="str">
        <f>VLOOKUP(D177,Products!$A:$C,3,FALSE)</f>
        <v>Home</v>
      </c>
      <c r="N177" s="18" t="str">
        <f>VLOOKUP(C177,Customers!$A:$E,5,FALSE)</f>
        <v>Retail</v>
      </c>
      <c r="O177" s="18">
        <f>VLOOKUP(C177,Customers!$A:$C,3,FALSE)</f>
        <v>46</v>
      </c>
      <c r="T177" s="10">
        <v>27.9</v>
      </c>
    </row>
    <row r="178" spans="1:20" ht="14.25" hidden="1" customHeight="1" x14ac:dyDescent="0.3">
      <c r="A178" s="8" t="s">
        <v>1231</v>
      </c>
      <c r="B178" s="9">
        <v>45649</v>
      </c>
      <c r="C178" s="8" t="s">
        <v>365</v>
      </c>
      <c r="D178" s="8" t="s">
        <v>926</v>
      </c>
      <c r="E178" s="8" t="s">
        <v>172</v>
      </c>
      <c r="F178" s="10">
        <v>6</v>
      </c>
      <c r="G178" s="10">
        <v>5080</v>
      </c>
      <c r="H178" s="10">
        <v>16.8</v>
      </c>
      <c r="I178" s="10">
        <v>25359.360000000001</v>
      </c>
      <c r="J178" s="8" t="s">
        <v>97</v>
      </c>
      <c r="K178" s="8" t="s">
        <v>119</v>
      </c>
      <c r="L178" s="18" t="str">
        <f>VLOOKUP(D178,Products!$A:$C,3,FALSE)</f>
        <v>Home</v>
      </c>
      <c r="N178" s="18" t="str">
        <f>VLOOKUP(C178,Customers!$A:$E,5,FALSE)</f>
        <v>Retail</v>
      </c>
      <c r="O178" s="18">
        <f>VLOOKUP(C178,Customers!$A:$C,3,FALSE)</f>
        <v>59</v>
      </c>
      <c r="T178" s="10">
        <v>25.4</v>
      </c>
    </row>
    <row r="179" spans="1:20" ht="14.25" hidden="1" customHeight="1" x14ac:dyDescent="0.3">
      <c r="A179" s="8" t="s">
        <v>1233</v>
      </c>
      <c r="B179" s="9">
        <v>45312</v>
      </c>
      <c r="C179" s="8" t="s">
        <v>627</v>
      </c>
      <c r="D179" s="8" t="s">
        <v>211</v>
      </c>
      <c r="E179" s="8" t="s">
        <v>189</v>
      </c>
      <c r="F179" s="10">
        <v>2</v>
      </c>
      <c r="G179" s="10">
        <v>3570</v>
      </c>
      <c r="H179" s="10">
        <v>6.7</v>
      </c>
      <c r="I179" s="10">
        <v>6661.62</v>
      </c>
      <c r="J179" s="8" t="s">
        <v>147</v>
      </c>
      <c r="K179" s="8" t="s">
        <v>42</v>
      </c>
      <c r="L179" s="18" t="str">
        <f>VLOOKUP(D179,Products!$A:$C,3,FALSE)</f>
        <v>Electronics</v>
      </c>
      <c r="N179" s="18" t="str">
        <f>VLOOKUP(C179,Customers!$A:$E,5,FALSE)</f>
        <v>Retail</v>
      </c>
      <c r="O179" s="18">
        <f>VLOOKUP(C179,Customers!$A:$C,3,FALSE)</f>
        <v>65</v>
      </c>
      <c r="T179" s="10">
        <v>10.1</v>
      </c>
    </row>
    <row r="180" spans="1:20" ht="14.25" hidden="1" customHeight="1" x14ac:dyDescent="0.3">
      <c r="A180" s="8" t="s">
        <v>1236</v>
      </c>
      <c r="B180" s="9">
        <v>45382</v>
      </c>
      <c r="C180" s="8" t="s">
        <v>525</v>
      </c>
      <c r="D180" s="8" t="s">
        <v>644</v>
      </c>
      <c r="E180" s="8" t="s">
        <v>189</v>
      </c>
      <c r="F180" s="10">
        <v>4</v>
      </c>
      <c r="G180" s="10">
        <v>3640</v>
      </c>
      <c r="H180" s="10">
        <v>18.399999999999999</v>
      </c>
      <c r="I180" s="10">
        <v>11880.96</v>
      </c>
      <c r="J180" s="8" t="s">
        <v>41</v>
      </c>
      <c r="K180" s="8" t="s">
        <v>42</v>
      </c>
      <c r="L180" s="18" t="str">
        <f>VLOOKUP(D180,Products!$A:$C,3,FALSE)</f>
        <v>Apparel</v>
      </c>
      <c r="N180" s="18" t="str">
        <f>VLOOKUP(C180,Customers!$A:$E,5,FALSE)</f>
        <v>Retail</v>
      </c>
      <c r="O180" s="18">
        <f>VLOOKUP(C180,Customers!$A:$C,3,FALSE)</f>
        <v>57</v>
      </c>
      <c r="T180" s="10">
        <v>23.5</v>
      </c>
    </row>
    <row r="181" spans="1:20" ht="14.25" hidden="1" customHeight="1" x14ac:dyDescent="0.3">
      <c r="A181" s="8" t="s">
        <v>1241</v>
      </c>
      <c r="B181" s="9">
        <v>45524</v>
      </c>
      <c r="C181" s="8" t="s">
        <v>204</v>
      </c>
      <c r="D181" s="8" t="s">
        <v>818</v>
      </c>
      <c r="E181" s="8" t="s">
        <v>231</v>
      </c>
      <c r="F181" s="10">
        <v>8</v>
      </c>
      <c r="G181" s="10">
        <v>4070</v>
      </c>
      <c r="H181" s="10">
        <v>6.6</v>
      </c>
      <c r="I181" s="10">
        <v>30411.040000000001</v>
      </c>
      <c r="J181" s="8" t="s">
        <v>41</v>
      </c>
      <c r="K181" s="8" t="s">
        <v>42</v>
      </c>
      <c r="L181" s="18" t="str">
        <f>VLOOKUP(D181,Products!$A:$C,3,FALSE)</f>
        <v>Grocery</v>
      </c>
      <c r="N181" s="18" t="str">
        <f>VLOOKUP(C181,Customers!$A:$E,5,FALSE)</f>
        <v>Retail</v>
      </c>
      <c r="O181" s="18">
        <f>VLOOKUP(C181,Customers!$A:$C,3,FALSE)</f>
        <v>63</v>
      </c>
      <c r="T181" s="10">
        <v>5.8</v>
      </c>
    </row>
    <row r="182" spans="1:20" ht="14.25" customHeight="1" x14ac:dyDescent="0.3">
      <c r="A182" s="8" t="s">
        <v>1242</v>
      </c>
      <c r="B182" s="21">
        <v>45392</v>
      </c>
      <c r="C182" s="8" t="s">
        <v>233</v>
      </c>
      <c r="D182" s="8" t="s">
        <v>889</v>
      </c>
      <c r="E182" s="8" t="s">
        <v>189</v>
      </c>
      <c r="F182" s="10">
        <v>6</v>
      </c>
      <c r="G182" s="10">
        <v>3450</v>
      </c>
      <c r="H182" s="10">
        <v>14.4</v>
      </c>
      <c r="I182" s="10">
        <v>17719.2</v>
      </c>
      <c r="J182" s="8" t="s">
        <v>97</v>
      </c>
      <c r="K182" s="8" t="s">
        <v>146</v>
      </c>
      <c r="L182" s="18" t="str">
        <f>VLOOKUP(D182,Products!$A:$C,3,FALSE)</f>
        <v>Apparel</v>
      </c>
      <c r="N182" s="18" t="str">
        <f>VLOOKUP(C182,Customers!$A:$E,5,FALSE)</f>
        <v>Retail</v>
      </c>
      <c r="O182" s="18">
        <f>VLOOKUP(C182,Customers!$A:$C,3,FALSE)</f>
        <v>34</v>
      </c>
      <c r="P182" s="18" t="str">
        <f>VLOOKUP(E181,Sales_Reps!$A:$C,3,FALSE)</f>
        <v>North</v>
      </c>
      <c r="Q182" s="18" t="str">
        <f>TEXT(B181,"MMM-YY")</f>
        <v>Aug-24</v>
      </c>
      <c r="R182">
        <f>VLOOKUP(D182, Products!A:D, 4, FALSE)</f>
        <v>1748</v>
      </c>
      <c r="S182">
        <f>(G182-R182)/G182</f>
        <v>0.49333333333333335</v>
      </c>
      <c r="T182" s="10">
        <v>5.6</v>
      </c>
    </row>
    <row r="183" spans="1:20" ht="14.25" hidden="1" customHeight="1" x14ac:dyDescent="0.3">
      <c r="A183" s="8" t="s">
        <v>1246</v>
      </c>
      <c r="B183" s="9">
        <v>45443</v>
      </c>
      <c r="C183" s="8" t="s">
        <v>175</v>
      </c>
      <c r="D183" s="8" t="s">
        <v>926</v>
      </c>
      <c r="E183" s="8" t="s">
        <v>236</v>
      </c>
      <c r="F183" s="10">
        <v>7</v>
      </c>
      <c r="G183" s="10">
        <v>5080</v>
      </c>
      <c r="H183" s="10">
        <v>25.4</v>
      </c>
      <c r="I183" s="10">
        <v>26527.759999999998</v>
      </c>
      <c r="J183" s="8" t="s">
        <v>97</v>
      </c>
      <c r="K183" s="8" t="s">
        <v>178</v>
      </c>
      <c r="L183" s="18" t="str">
        <f>VLOOKUP(D183,Products!$A:$C,3,FALSE)</f>
        <v>Home</v>
      </c>
      <c r="N183" s="18" t="str">
        <f>VLOOKUP(C183,Customers!$A:$E,5,FALSE)</f>
        <v>Retail</v>
      </c>
      <c r="O183" s="18">
        <f>VLOOKUP(C183,Customers!$A:$C,3,FALSE)</f>
        <v>60</v>
      </c>
      <c r="T183" s="10">
        <v>1</v>
      </c>
    </row>
    <row r="184" spans="1:20" ht="14.25" customHeight="1" x14ac:dyDescent="0.3">
      <c r="A184" s="8" t="s">
        <v>1250</v>
      </c>
      <c r="B184" s="21">
        <v>45333</v>
      </c>
      <c r="C184" s="8" t="s">
        <v>328</v>
      </c>
      <c r="D184" s="8" t="s">
        <v>374</v>
      </c>
      <c r="E184" s="8" t="s">
        <v>172</v>
      </c>
      <c r="F184" s="10">
        <v>10</v>
      </c>
      <c r="G184" s="10">
        <v>2760</v>
      </c>
      <c r="H184" s="10">
        <v>20.100000000000001</v>
      </c>
      <c r="I184" s="10">
        <v>22052.400000000001</v>
      </c>
      <c r="J184" s="8" t="s">
        <v>41</v>
      </c>
      <c r="K184" s="8" t="s">
        <v>178</v>
      </c>
      <c r="L184" s="18" t="str">
        <f>VLOOKUP(D184,Products!$A:$C,3,FALSE)</f>
        <v>Grocery</v>
      </c>
      <c r="N184" s="18" t="str">
        <f>VLOOKUP(C184,Customers!$A:$E,5,FALSE)</f>
        <v>Retail</v>
      </c>
      <c r="O184" s="18">
        <f>VLOOKUP(C184,Customers!$A:$C,3,FALSE)</f>
        <v>28</v>
      </c>
      <c r="P184" s="18" t="str">
        <f>VLOOKUP(E183,Sales_Reps!$A:$C,3,FALSE)</f>
        <v>West</v>
      </c>
      <c r="Q184" s="18" t="str">
        <f>TEXT(B183,"MMM-YY")</f>
        <v>May-24</v>
      </c>
      <c r="R184">
        <f>VLOOKUP(D184, Products!A:D, 4, FALSE)</f>
        <v>1435</v>
      </c>
      <c r="S184">
        <f>(G184-R184)/G184</f>
        <v>0.48007246376811596</v>
      </c>
      <c r="T184" s="10">
        <v>18.7</v>
      </c>
    </row>
    <row r="185" spans="1:20" ht="14.25" hidden="1" customHeight="1" x14ac:dyDescent="0.3">
      <c r="A185" s="8" t="s">
        <v>1251</v>
      </c>
      <c r="B185" s="9">
        <v>45456</v>
      </c>
      <c r="C185" s="8" t="s">
        <v>755</v>
      </c>
      <c r="D185" s="8" t="s">
        <v>242</v>
      </c>
      <c r="E185" s="8" t="s">
        <v>221</v>
      </c>
      <c r="F185" s="10">
        <v>6</v>
      </c>
      <c r="G185" s="10">
        <v>1650</v>
      </c>
      <c r="H185" s="10">
        <v>11.3</v>
      </c>
      <c r="I185" s="10">
        <v>8781.2999999999993</v>
      </c>
      <c r="J185" s="8" t="s">
        <v>97</v>
      </c>
      <c r="K185" s="8" t="s">
        <v>146</v>
      </c>
      <c r="L185" s="18" t="str">
        <f>VLOOKUP(D185,Products!$A:$C,3,FALSE)</f>
        <v>Beauty</v>
      </c>
      <c r="N185" s="18" t="str">
        <f>VLOOKUP(C185,Customers!$A:$E,5,FALSE)</f>
        <v>Retail</v>
      </c>
      <c r="O185" s="18">
        <f>VLOOKUP(C185,Customers!$A:$C,3,FALSE)</f>
        <v>61</v>
      </c>
      <c r="T185" s="10">
        <v>13</v>
      </c>
    </row>
    <row r="186" spans="1:20" ht="14.25" hidden="1" customHeight="1" x14ac:dyDescent="0.3">
      <c r="A186" s="8" t="s">
        <v>1252</v>
      </c>
      <c r="B186" s="9">
        <v>45295</v>
      </c>
      <c r="C186" s="8" t="s">
        <v>665</v>
      </c>
      <c r="D186" s="8" t="s">
        <v>188</v>
      </c>
      <c r="E186" s="8" t="s">
        <v>38</v>
      </c>
      <c r="F186" s="10">
        <v>9</v>
      </c>
      <c r="G186" s="10">
        <v>3870</v>
      </c>
      <c r="H186" s="10">
        <v>27.5</v>
      </c>
      <c r="I186" s="10">
        <v>25251.75</v>
      </c>
      <c r="J186" s="8" t="s">
        <v>41</v>
      </c>
      <c r="K186" s="8" t="s">
        <v>178</v>
      </c>
      <c r="L186" s="18" t="str">
        <f>VLOOKUP(D186,Products!$A:$C,3,FALSE)</f>
        <v>Electronics</v>
      </c>
      <c r="N186" s="18" t="str">
        <f>VLOOKUP(C186,Customers!$A:$E,5,FALSE)</f>
        <v>SMB</v>
      </c>
      <c r="O186" s="18">
        <f>VLOOKUP(C186,Customers!$A:$C,3,FALSE)</f>
        <v>43</v>
      </c>
      <c r="T186" s="10">
        <v>28.7</v>
      </c>
    </row>
    <row r="187" spans="1:20" ht="14.25" hidden="1" customHeight="1" x14ac:dyDescent="0.3">
      <c r="A187" s="8" t="s">
        <v>1253</v>
      </c>
      <c r="B187" s="9">
        <v>45532</v>
      </c>
      <c r="C187" s="8" t="s">
        <v>832</v>
      </c>
      <c r="D187" s="8" t="s">
        <v>929</v>
      </c>
      <c r="E187" s="8" t="s">
        <v>196</v>
      </c>
      <c r="F187" s="10">
        <v>2</v>
      </c>
      <c r="G187" s="10">
        <v>1090</v>
      </c>
      <c r="H187" s="10">
        <v>18.7</v>
      </c>
      <c r="I187" s="10">
        <v>1772.34</v>
      </c>
      <c r="J187" s="8" t="s">
        <v>193</v>
      </c>
      <c r="K187" s="8" t="s">
        <v>178</v>
      </c>
      <c r="L187" s="18" t="str">
        <f>VLOOKUP(D187,Products!$A:$C,3,FALSE)</f>
        <v>Home</v>
      </c>
      <c r="N187" s="18" t="str">
        <f>VLOOKUP(C187,Customers!$A:$E,5,FALSE)</f>
        <v>SMB</v>
      </c>
      <c r="O187" s="18">
        <f>VLOOKUP(C187,Customers!$A:$C,3,FALSE)</f>
        <v>65</v>
      </c>
      <c r="T187" s="10">
        <v>8.5</v>
      </c>
    </row>
    <row r="188" spans="1:20" ht="14.25" customHeight="1" x14ac:dyDescent="0.3">
      <c r="A188" s="8" t="s">
        <v>1254</v>
      </c>
      <c r="B188" s="21">
        <v>45564</v>
      </c>
      <c r="C188" s="8" t="s">
        <v>503</v>
      </c>
      <c r="D188" s="8" t="s">
        <v>949</v>
      </c>
      <c r="E188" s="8" t="s">
        <v>145</v>
      </c>
      <c r="F188" s="10">
        <v>4</v>
      </c>
      <c r="G188" s="10">
        <v>960</v>
      </c>
      <c r="H188" s="10">
        <v>23.4</v>
      </c>
      <c r="I188" s="10">
        <v>2941.44</v>
      </c>
      <c r="J188" s="8" t="s">
        <v>41</v>
      </c>
      <c r="K188" s="8" t="s">
        <v>136</v>
      </c>
      <c r="L188" s="18" t="str">
        <f>VLOOKUP(D188,Products!$A:$C,3,FALSE)</f>
        <v>Beauty</v>
      </c>
      <c r="N188" s="18" t="str">
        <f>VLOOKUP(C188,Customers!$A:$E,5,FALSE)</f>
        <v>Corporate</v>
      </c>
      <c r="O188" s="18">
        <f>VLOOKUP(C188,Customers!$A:$C,3,FALSE)</f>
        <v>36</v>
      </c>
      <c r="P188" s="18" t="str">
        <f>VLOOKUP(E187,Sales_Reps!$A:$C,3,FALSE)</f>
        <v>East</v>
      </c>
      <c r="Q188" s="18" t="str">
        <f t="shared" ref="Q188:Q189" si="38">TEXT(B187,"MMM-YY")</f>
        <v>Aug-24</v>
      </c>
      <c r="R188">
        <f>VLOOKUP(D188, Products!A:D, 4, FALSE)</f>
        <v>675</v>
      </c>
      <c r="S188">
        <f t="shared" ref="S188:S189" si="39">(G188-R188)/G188</f>
        <v>0.296875</v>
      </c>
      <c r="T188" s="10">
        <v>10.8</v>
      </c>
    </row>
    <row r="189" spans="1:20" ht="14.25" customHeight="1" x14ac:dyDescent="0.3">
      <c r="A189" s="8" t="s">
        <v>1255</v>
      </c>
      <c r="B189" s="21">
        <v>45539</v>
      </c>
      <c r="C189" s="8" t="s">
        <v>647</v>
      </c>
      <c r="D189" s="8" t="s">
        <v>247</v>
      </c>
      <c r="E189" s="8" t="s">
        <v>216</v>
      </c>
      <c r="F189" s="10">
        <v>3</v>
      </c>
      <c r="G189" s="10">
        <v>3350</v>
      </c>
      <c r="H189" s="10">
        <v>17.899999999999999</v>
      </c>
      <c r="I189" s="10">
        <v>8251.0499999999993</v>
      </c>
      <c r="J189" s="8" t="s">
        <v>41</v>
      </c>
      <c r="K189" s="8" t="s">
        <v>136</v>
      </c>
      <c r="L189" s="18" t="str">
        <f>VLOOKUP(D189,Products!$A:$C,3,FALSE)</f>
        <v>Beauty</v>
      </c>
      <c r="N189" s="18" t="str">
        <f>VLOOKUP(C189,Customers!$A:$E,5,FALSE)</f>
        <v>Retail</v>
      </c>
      <c r="O189" s="18">
        <f>VLOOKUP(C189,Customers!$A:$C,3,FALSE)</f>
        <v>34</v>
      </c>
      <c r="P189" s="18" t="str">
        <f>VLOOKUP(E188,Sales_Reps!$A:$C,3,FALSE)</f>
        <v>West</v>
      </c>
      <c r="Q189" s="18" t="str">
        <f t="shared" si="38"/>
        <v>Sep-24</v>
      </c>
      <c r="R189">
        <f>VLOOKUP(D189, Products!A:D, 4, FALSE)</f>
        <v>1728</v>
      </c>
      <c r="S189">
        <f t="shared" si="39"/>
        <v>0.48417910447761192</v>
      </c>
      <c r="T189" s="10">
        <v>10.7</v>
      </c>
    </row>
    <row r="190" spans="1:20" ht="14.25" hidden="1" customHeight="1" x14ac:dyDescent="0.3">
      <c r="A190" s="8" t="s">
        <v>1256</v>
      </c>
      <c r="B190" s="9">
        <v>45605</v>
      </c>
      <c r="C190" s="8" t="s">
        <v>801</v>
      </c>
      <c r="D190" s="8" t="s">
        <v>691</v>
      </c>
      <c r="E190" s="8" t="s">
        <v>96</v>
      </c>
      <c r="F190" s="10">
        <v>4</v>
      </c>
      <c r="G190" s="10">
        <v>2270</v>
      </c>
      <c r="H190" s="10">
        <v>29</v>
      </c>
      <c r="I190" s="10">
        <v>6446.8</v>
      </c>
      <c r="J190" s="8" t="s">
        <v>41</v>
      </c>
      <c r="K190" s="8" t="s">
        <v>42</v>
      </c>
      <c r="L190" s="18" t="str">
        <f>VLOOKUP(D190,Products!$A:$C,3,FALSE)</f>
        <v>Grocery</v>
      </c>
      <c r="N190" s="18" t="str">
        <f>VLOOKUP(C190,Customers!$A:$E,5,FALSE)</f>
        <v>Retail</v>
      </c>
      <c r="O190" s="18">
        <f>VLOOKUP(C190,Customers!$A:$C,3,FALSE)</f>
        <v>59</v>
      </c>
      <c r="T190" s="10">
        <v>23.4</v>
      </c>
    </row>
    <row r="191" spans="1:20" ht="14.25" hidden="1" customHeight="1" x14ac:dyDescent="0.3">
      <c r="A191" s="8" t="s">
        <v>1257</v>
      </c>
      <c r="B191" s="9">
        <v>45460</v>
      </c>
      <c r="C191" s="8" t="s">
        <v>667</v>
      </c>
      <c r="D191" s="8" t="s">
        <v>839</v>
      </c>
      <c r="E191" s="8" t="s">
        <v>208</v>
      </c>
      <c r="F191" s="10">
        <v>9</v>
      </c>
      <c r="G191" s="10">
        <v>4610</v>
      </c>
      <c r="H191" s="10">
        <v>28.3</v>
      </c>
      <c r="I191" s="10">
        <v>29748.33</v>
      </c>
      <c r="J191" s="8" t="s">
        <v>97</v>
      </c>
      <c r="K191" s="8" t="s">
        <v>136</v>
      </c>
      <c r="L191" s="18" t="str">
        <f>VLOOKUP(D191,Products!$A:$C,3,FALSE)</f>
        <v>Home</v>
      </c>
      <c r="N191" s="18" t="str">
        <f>VLOOKUP(C191,Customers!$A:$E,5,FALSE)</f>
        <v>Retail</v>
      </c>
      <c r="O191" s="18">
        <f>VLOOKUP(C191,Customers!$A:$C,3,FALSE)</f>
        <v>55</v>
      </c>
      <c r="T191" s="10">
        <v>1.6</v>
      </c>
    </row>
    <row r="192" spans="1:20" ht="14.25" customHeight="1" x14ac:dyDescent="0.3">
      <c r="A192" s="8" t="s">
        <v>1258</v>
      </c>
      <c r="B192" s="21">
        <v>45538</v>
      </c>
      <c r="C192" s="8" t="s">
        <v>349</v>
      </c>
      <c r="D192" s="8" t="s">
        <v>134</v>
      </c>
      <c r="E192" s="8" t="s">
        <v>214</v>
      </c>
      <c r="F192" s="10">
        <v>3</v>
      </c>
      <c r="G192" s="10">
        <v>3160</v>
      </c>
      <c r="H192" s="10">
        <v>7.3</v>
      </c>
      <c r="I192" s="10">
        <v>8787.9599999999991</v>
      </c>
      <c r="J192" s="8" t="s">
        <v>41</v>
      </c>
      <c r="K192" s="8" t="s">
        <v>136</v>
      </c>
      <c r="L192" s="18" t="str">
        <f>VLOOKUP(D192,Products!$A:$C,3,FALSE)</f>
        <v>Apparel</v>
      </c>
      <c r="N192" s="18" t="str">
        <f>VLOOKUP(C192,Customers!$A:$E,5,FALSE)</f>
        <v>SMB</v>
      </c>
      <c r="O192" s="18">
        <f>VLOOKUP(C192,Customers!$A:$C,3,FALSE)</f>
        <v>26</v>
      </c>
      <c r="P192" s="18" t="str">
        <f>VLOOKUP(E191,Sales_Reps!$A:$C,3,FALSE)</f>
        <v>East</v>
      </c>
      <c r="Q192" s="18" t="str">
        <f>TEXT(B191,"MMM-YY")</f>
        <v>Jun-24</v>
      </c>
      <c r="R192">
        <f>VLOOKUP(D192, Products!A:D, 4, FALSE)</f>
        <v>1886</v>
      </c>
      <c r="S192">
        <f>(G192-R192)/G192</f>
        <v>0.4031645569620253</v>
      </c>
      <c r="T192" s="10">
        <v>7.7</v>
      </c>
    </row>
    <row r="193" spans="1:20" ht="14.25" hidden="1" customHeight="1" x14ac:dyDescent="0.3">
      <c r="A193" s="8" t="s">
        <v>1259</v>
      </c>
      <c r="B193" s="9">
        <v>45573</v>
      </c>
      <c r="C193" s="8" t="s">
        <v>354</v>
      </c>
      <c r="D193" s="8" t="s">
        <v>691</v>
      </c>
      <c r="E193" s="8" t="s">
        <v>185</v>
      </c>
      <c r="F193" s="10">
        <v>8</v>
      </c>
      <c r="G193" s="10">
        <v>2270</v>
      </c>
      <c r="H193" s="10">
        <v>15.6</v>
      </c>
      <c r="I193" s="10">
        <v>15327.04</v>
      </c>
      <c r="J193" s="8" t="s">
        <v>41</v>
      </c>
      <c r="K193" s="8" t="s">
        <v>178</v>
      </c>
      <c r="L193" s="18" t="str">
        <f>VLOOKUP(D193,Products!$A:$C,3,FALSE)</f>
        <v>Grocery</v>
      </c>
      <c r="N193" s="18" t="str">
        <f>VLOOKUP(C193,Customers!$A:$E,5,FALSE)</f>
        <v>Retail</v>
      </c>
      <c r="O193" s="18">
        <f>VLOOKUP(C193,Customers!$A:$C,3,FALSE)</f>
        <v>61</v>
      </c>
      <c r="T193" s="10">
        <v>3.7</v>
      </c>
    </row>
    <row r="194" spans="1:20" ht="14.25" hidden="1" customHeight="1" x14ac:dyDescent="0.3">
      <c r="A194" s="8" t="s">
        <v>1260</v>
      </c>
      <c r="B194" s="9">
        <v>45483</v>
      </c>
      <c r="C194" s="8" t="s">
        <v>170</v>
      </c>
      <c r="D194" s="8" t="s">
        <v>867</v>
      </c>
      <c r="E194" s="8" t="s">
        <v>172</v>
      </c>
      <c r="F194" s="10">
        <v>8</v>
      </c>
      <c r="G194" s="10">
        <v>3020</v>
      </c>
      <c r="H194" s="10">
        <v>16.3</v>
      </c>
      <c r="I194" s="10">
        <v>20221.919999999998</v>
      </c>
      <c r="J194" s="8" t="s">
        <v>147</v>
      </c>
      <c r="K194" s="8" t="s">
        <v>42</v>
      </c>
      <c r="L194" s="18" t="str">
        <f>VLOOKUP(D194,Products!$A:$C,3,FALSE)</f>
        <v>Beauty</v>
      </c>
      <c r="N194" s="18" t="str">
        <f>VLOOKUP(C194,Customers!$A:$E,5,FALSE)</f>
        <v>Retail</v>
      </c>
      <c r="O194" s="18">
        <f>VLOOKUP(C194,Customers!$A:$C,3,FALSE)</f>
        <v>56</v>
      </c>
      <c r="T194" s="10">
        <v>8.4</v>
      </c>
    </row>
    <row r="195" spans="1:20" ht="14.25" hidden="1" customHeight="1" x14ac:dyDescent="0.3">
      <c r="A195" s="8" t="s">
        <v>1261</v>
      </c>
      <c r="B195" s="9">
        <v>45617</v>
      </c>
      <c r="C195" s="8" t="s">
        <v>207</v>
      </c>
      <c r="D195" s="8" t="s">
        <v>959</v>
      </c>
      <c r="E195" s="8" t="s">
        <v>143</v>
      </c>
      <c r="F195" s="10">
        <v>7</v>
      </c>
      <c r="G195" s="10">
        <v>6940</v>
      </c>
      <c r="H195" s="10">
        <v>8.5</v>
      </c>
      <c r="I195" s="10">
        <v>44450.7</v>
      </c>
      <c r="J195" s="8" t="s">
        <v>41</v>
      </c>
      <c r="K195" s="8" t="s">
        <v>136</v>
      </c>
      <c r="L195" s="18" t="str">
        <f>VLOOKUP(D195,Products!$A:$C,3,FALSE)</f>
        <v>Sports</v>
      </c>
      <c r="N195" s="18" t="str">
        <f>VLOOKUP(C195,Customers!$A:$E,5,FALSE)</f>
        <v>SMB</v>
      </c>
      <c r="O195" s="18">
        <f>VLOOKUP(C195,Customers!$A:$C,3,FALSE)</f>
        <v>46</v>
      </c>
      <c r="T195" s="10">
        <v>5.4</v>
      </c>
    </row>
    <row r="196" spans="1:20" ht="14.25" customHeight="1" x14ac:dyDescent="0.3">
      <c r="A196" s="8" t="s">
        <v>1262</v>
      </c>
      <c r="B196" s="21">
        <v>45546</v>
      </c>
      <c r="C196" s="8" t="s">
        <v>391</v>
      </c>
      <c r="D196" s="8" t="s">
        <v>789</v>
      </c>
      <c r="E196" s="8" t="s">
        <v>189</v>
      </c>
      <c r="F196" s="10">
        <v>8</v>
      </c>
      <c r="G196" s="10">
        <v>1540</v>
      </c>
      <c r="H196" s="10">
        <v>21</v>
      </c>
      <c r="I196" s="10">
        <v>9732.7999999999993</v>
      </c>
      <c r="J196" s="8" t="s">
        <v>41</v>
      </c>
      <c r="K196" s="8" t="s">
        <v>42</v>
      </c>
      <c r="L196" s="18" t="str">
        <f>VLOOKUP(D196,Products!$A:$C,3,FALSE)</f>
        <v>Beauty</v>
      </c>
      <c r="N196" s="18" t="str">
        <f>VLOOKUP(C196,Customers!$A:$E,5,FALSE)</f>
        <v>Corporate</v>
      </c>
      <c r="O196" s="18">
        <f>VLOOKUP(C196,Customers!$A:$C,3,FALSE)</f>
        <v>29</v>
      </c>
      <c r="P196" s="18" t="str">
        <f>VLOOKUP(E195,Sales_Reps!$A:$C,3,FALSE)</f>
        <v>West</v>
      </c>
      <c r="Q196" s="18" t="str">
        <f>TEXT(B195,"MMM-YY")</f>
        <v>Nov-24</v>
      </c>
      <c r="R196">
        <f>VLOOKUP(D196, Products!A:D, 4, FALSE)</f>
        <v>647</v>
      </c>
      <c r="S196">
        <f>(G196-R196)/G196</f>
        <v>0.57987012987012987</v>
      </c>
      <c r="T196" s="10">
        <v>20.3</v>
      </c>
    </row>
    <row r="197" spans="1:20" ht="14.25" hidden="1" customHeight="1" x14ac:dyDescent="0.3">
      <c r="A197" s="8" t="s">
        <v>1263</v>
      </c>
      <c r="B197" s="9">
        <v>45380</v>
      </c>
      <c r="C197" s="8" t="s">
        <v>363</v>
      </c>
      <c r="D197" s="8" t="s">
        <v>227</v>
      </c>
      <c r="E197" s="8" t="s">
        <v>236</v>
      </c>
      <c r="F197" s="10">
        <v>6</v>
      </c>
      <c r="G197" s="10">
        <v>2480</v>
      </c>
      <c r="H197" s="10">
        <v>27.9</v>
      </c>
      <c r="I197" s="10">
        <v>10728.48</v>
      </c>
      <c r="J197" s="8" t="s">
        <v>41</v>
      </c>
      <c r="K197" s="8" t="s">
        <v>42</v>
      </c>
      <c r="L197" s="18" t="str">
        <f>VLOOKUP(D197,Products!$A:$C,3,FALSE)</f>
        <v>Apparel</v>
      </c>
      <c r="N197" s="18" t="str">
        <f>VLOOKUP(C197,Customers!$A:$E,5,FALSE)</f>
        <v>Retail</v>
      </c>
      <c r="O197" s="18">
        <f>VLOOKUP(C197,Customers!$A:$C,3,FALSE)</f>
        <v>49</v>
      </c>
      <c r="T197" s="10">
        <v>26.1</v>
      </c>
    </row>
    <row r="198" spans="1:20" ht="14.25" customHeight="1" x14ac:dyDescent="0.3">
      <c r="A198" s="8" t="s">
        <v>1264</v>
      </c>
      <c r="B198" s="21">
        <v>45320</v>
      </c>
      <c r="C198" s="8" t="s">
        <v>608</v>
      </c>
      <c r="D198" s="8" t="s">
        <v>199</v>
      </c>
      <c r="E198" s="8" t="s">
        <v>196</v>
      </c>
      <c r="F198" s="10">
        <v>4</v>
      </c>
      <c r="G198" s="10">
        <v>190</v>
      </c>
      <c r="H198" s="10">
        <v>21.5</v>
      </c>
      <c r="I198" s="10">
        <v>596.6</v>
      </c>
      <c r="J198" s="8" t="s">
        <v>41</v>
      </c>
      <c r="K198" s="8" t="s">
        <v>146</v>
      </c>
      <c r="L198" s="18" t="str">
        <f>VLOOKUP(D198,Products!$A:$C,3,FALSE)</f>
        <v>Sports</v>
      </c>
      <c r="N198" s="18" t="str">
        <f>VLOOKUP(C198,Customers!$A:$E,5,FALSE)</f>
        <v>Corporate</v>
      </c>
      <c r="O198" s="18">
        <f>VLOOKUP(C198,Customers!$A:$C,3,FALSE)</f>
        <v>35</v>
      </c>
      <c r="P198" s="18" t="str">
        <f>VLOOKUP(E197,Sales_Reps!$A:$C,3,FALSE)</f>
        <v>West</v>
      </c>
      <c r="Q198" s="18" t="str">
        <f>TEXT(B197,"MMM-YY")</f>
        <v>Mar-24</v>
      </c>
      <c r="R198">
        <f>VLOOKUP(D198, Products!A:D, 4, FALSE)</f>
        <v>147</v>
      </c>
      <c r="S198">
        <f>(G198-R198)/G198</f>
        <v>0.22631578947368422</v>
      </c>
      <c r="T198" s="10">
        <v>24.3</v>
      </c>
    </row>
    <row r="199" spans="1:20" ht="14.25" hidden="1" customHeight="1" x14ac:dyDescent="0.3">
      <c r="A199" s="8" t="s">
        <v>1265</v>
      </c>
      <c r="B199" s="9">
        <v>45355</v>
      </c>
      <c r="C199" s="8" t="s">
        <v>518</v>
      </c>
      <c r="D199" s="8" t="s">
        <v>338</v>
      </c>
      <c r="E199" s="8" t="s">
        <v>117</v>
      </c>
      <c r="F199" s="10">
        <v>1</v>
      </c>
      <c r="G199" s="10">
        <v>2860</v>
      </c>
      <c r="H199" s="10">
        <v>15.3</v>
      </c>
      <c r="I199" s="10">
        <v>2422.42</v>
      </c>
      <c r="J199" s="8" t="s">
        <v>41</v>
      </c>
      <c r="K199" s="8" t="s">
        <v>119</v>
      </c>
      <c r="L199" s="18" t="str">
        <f>VLOOKUP(D199,Products!$A:$C,3,FALSE)</f>
        <v>Sports</v>
      </c>
      <c r="N199" s="18" t="str">
        <f>VLOOKUP(C199,Customers!$A:$E,5,FALSE)</f>
        <v>SMB</v>
      </c>
      <c r="O199" s="18">
        <f>VLOOKUP(C199,Customers!$A:$C,3,FALSE)</f>
        <v>55</v>
      </c>
      <c r="T199" s="10">
        <v>21.4</v>
      </c>
    </row>
    <row r="200" spans="1:20" ht="14.25" hidden="1" customHeight="1" x14ac:dyDescent="0.3">
      <c r="A200" s="8" t="s">
        <v>1266</v>
      </c>
      <c r="B200" s="9">
        <v>45350</v>
      </c>
      <c r="C200" s="8" t="s">
        <v>422</v>
      </c>
      <c r="D200" s="8" t="s">
        <v>898</v>
      </c>
      <c r="E200" s="8" t="s">
        <v>301</v>
      </c>
      <c r="F200" s="10">
        <v>4</v>
      </c>
      <c r="G200" s="10">
        <v>2510</v>
      </c>
      <c r="H200" s="10">
        <v>10.1</v>
      </c>
      <c r="I200" s="10">
        <v>9025.9599999999991</v>
      </c>
      <c r="J200" s="8" t="s">
        <v>193</v>
      </c>
      <c r="K200" s="8" t="s">
        <v>146</v>
      </c>
      <c r="L200" s="18" t="str">
        <f>VLOOKUP(D200,Products!$A:$C,3,FALSE)</f>
        <v>Apparel</v>
      </c>
      <c r="N200" s="18" t="str">
        <f>VLOOKUP(C200,Customers!$A:$E,5,FALSE)</f>
        <v>Corporate</v>
      </c>
      <c r="O200" s="18">
        <f>VLOOKUP(C200,Customers!$A:$C,3,FALSE)</f>
        <v>55</v>
      </c>
      <c r="T200" s="10">
        <v>29.8</v>
      </c>
    </row>
    <row r="201" spans="1:20" ht="14.25" customHeight="1" x14ac:dyDescent="0.3">
      <c r="A201" s="8" t="s">
        <v>975</v>
      </c>
      <c r="B201" s="21">
        <v>45587</v>
      </c>
      <c r="C201" s="8" t="s">
        <v>309</v>
      </c>
      <c r="D201" s="8" t="s">
        <v>211</v>
      </c>
      <c r="E201" s="8" t="s">
        <v>200</v>
      </c>
      <c r="F201" s="10">
        <v>2</v>
      </c>
      <c r="G201" s="10">
        <v>3570</v>
      </c>
      <c r="H201" s="10">
        <v>11.6</v>
      </c>
      <c r="I201" s="10">
        <v>6311.76</v>
      </c>
      <c r="J201" s="8" t="s">
        <v>97</v>
      </c>
      <c r="K201" s="8" t="s">
        <v>136</v>
      </c>
      <c r="L201" s="18" t="str">
        <f>VLOOKUP(D201,Products!$A:$C,3,FALSE)</f>
        <v>Electronics</v>
      </c>
      <c r="N201" s="18" t="str">
        <f>VLOOKUP(C201,Customers!$A:$E,5,FALSE)</f>
        <v>Retail</v>
      </c>
      <c r="O201" s="18">
        <f>VLOOKUP(C201,Customers!$A:$C,3,FALSE)</f>
        <v>23</v>
      </c>
      <c r="P201" s="18" t="str">
        <f>VLOOKUP(E200,Sales_Reps!$A:$C,3,FALSE)</f>
        <v>South</v>
      </c>
      <c r="Q201" s="18" t="str">
        <f>TEXT(B200,"MMM-YY")</f>
        <v>Feb-24</v>
      </c>
      <c r="R201">
        <f>VLOOKUP(D201, Products!A:D, 4, FALSE)</f>
        <v>1665</v>
      </c>
      <c r="S201">
        <f>(G201-R201)/G201</f>
        <v>0.53361344537815125</v>
      </c>
      <c r="T201" s="10">
        <v>19.899999999999999</v>
      </c>
    </row>
    <row r="202" spans="1:20" ht="14.25" hidden="1" customHeight="1" x14ac:dyDescent="0.3">
      <c r="A202" s="8" t="s">
        <v>1267</v>
      </c>
      <c r="B202" s="9">
        <v>45344</v>
      </c>
      <c r="C202" s="8" t="s">
        <v>365</v>
      </c>
      <c r="D202" s="8" t="s">
        <v>569</v>
      </c>
      <c r="E202" s="8" t="s">
        <v>221</v>
      </c>
      <c r="F202" s="10">
        <v>7</v>
      </c>
      <c r="G202" s="10">
        <v>3730</v>
      </c>
      <c r="H202" s="10">
        <v>2.5</v>
      </c>
      <c r="I202" s="10">
        <v>25457.25</v>
      </c>
      <c r="J202" s="8" t="s">
        <v>147</v>
      </c>
      <c r="K202" s="8" t="s">
        <v>119</v>
      </c>
      <c r="L202" s="18" t="str">
        <f>VLOOKUP(D202,Products!$A:$C,3,FALSE)</f>
        <v>Home</v>
      </c>
      <c r="N202" s="18" t="str">
        <f>VLOOKUP(C202,Customers!$A:$E,5,FALSE)</f>
        <v>Retail</v>
      </c>
      <c r="O202" s="18">
        <f>VLOOKUP(C202,Customers!$A:$C,3,FALSE)</f>
        <v>59</v>
      </c>
      <c r="T202" s="10">
        <v>13.2</v>
      </c>
    </row>
    <row r="203" spans="1:20" ht="14.25" hidden="1" customHeight="1" x14ac:dyDescent="0.3">
      <c r="A203" s="8" t="s">
        <v>1268</v>
      </c>
      <c r="B203" s="9">
        <v>45492</v>
      </c>
      <c r="C203" s="8" t="s">
        <v>776</v>
      </c>
      <c r="D203" s="8" t="s">
        <v>144</v>
      </c>
      <c r="E203" s="8" t="s">
        <v>143</v>
      </c>
      <c r="F203" s="10">
        <v>6</v>
      </c>
      <c r="G203" s="10">
        <v>370</v>
      </c>
      <c r="H203" s="10">
        <v>9.9</v>
      </c>
      <c r="I203" s="10">
        <v>2000.22</v>
      </c>
      <c r="J203" s="8" t="s">
        <v>41</v>
      </c>
      <c r="K203" s="8" t="s">
        <v>146</v>
      </c>
      <c r="L203" s="18" t="str">
        <f>VLOOKUP(D203,Products!$A:$C,3,FALSE)</f>
        <v>Home</v>
      </c>
      <c r="N203" s="18" t="str">
        <f>VLOOKUP(C203,Customers!$A:$E,5,FALSE)</f>
        <v>Retail</v>
      </c>
      <c r="O203" s="18">
        <f>VLOOKUP(C203,Customers!$A:$C,3,FALSE)</f>
        <v>44</v>
      </c>
      <c r="T203" s="10">
        <v>14.2</v>
      </c>
    </row>
    <row r="204" spans="1:20" ht="14.25" hidden="1" customHeight="1" x14ac:dyDescent="0.3">
      <c r="A204" s="8" t="s">
        <v>1269</v>
      </c>
      <c r="B204" s="9">
        <v>45490</v>
      </c>
      <c r="C204" s="8" t="s">
        <v>528</v>
      </c>
      <c r="D204" s="8" t="s">
        <v>131</v>
      </c>
      <c r="E204" s="8" t="s">
        <v>117</v>
      </c>
      <c r="F204" s="10">
        <v>4</v>
      </c>
      <c r="G204" s="10">
        <v>2660</v>
      </c>
      <c r="H204" s="10">
        <v>29.7</v>
      </c>
      <c r="I204" s="10">
        <v>7479.92</v>
      </c>
      <c r="J204" s="8" t="s">
        <v>41</v>
      </c>
      <c r="K204" s="8" t="s">
        <v>119</v>
      </c>
      <c r="L204" s="18" t="str">
        <f>VLOOKUP(D204,Products!$A:$C,3,FALSE)</f>
        <v>Electronics</v>
      </c>
      <c r="N204" s="18" t="str">
        <f>VLOOKUP(C204,Customers!$A:$E,5,FALSE)</f>
        <v>Retail</v>
      </c>
      <c r="O204" s="18">
        <f>VLOOKUP(C204,Customers!$A:$C,3,FALSE)</f>
        <v>45</v>
      </c>
      <c r="T204" s="10">
        <v>14.6</v>
      </c>
    </row>
    <row r="205" spans="1:20" ht="14.25" customHeight="1" x14ac:dyDescent="0.3">
      <c r="A205" s="8" t="s">
        <v>1270</v>
      </c>
      <c r="B205" s="21">
        <v>45538</v>
      </c>
      <c r="C205" s="8" t="s">
        <v>309</v>
      </c>
      <c r="D205" s="8" t="s">
        <v>374</v>
      </c>
      <c r="E205" s="8" t="s">
        <v>301</v>
      </c>
      <c r="F205" s="10">
        <v>6</v>
      </c>
      <c r="G205" s="10">
        <v>2760</v>
      </c>
      <c r="H205" s="10">
        <v>0.9</v>
      </c>
      <c r="I205" s="10">
        <v>16410.96</v>
      </c>
      <c r="J205" s="8" t="s">
        <v>41</v>
      </c>
      <c r="K205" s="8" t="s">
        <v>136</v>
      </c>
      <c r="L205" s="18" t="str">
        <f>VLOOKUP(D205,Products!$A:$C,3,FALSE)</f>
        <v>Grocery</v>
      </c>
      <c r="N205" s="18" t="str">
        <f>VLOOKUP(C205,Customers!$A:$E,5,FALSE)</f>
        <v>Retail</v>
      </c>
      <c r="O205" s="18">
        <f>VLOOKUP(C205,Customers!$A:$C,3,FALSE)</f>
        <v>23</v>
      </c>
      <c r="P205" s="18" t="str">
        <f>VLOOKUP(E204,Sales_Reps!$A:$C,3,FALSE)</f>
        <v>South</v>
      </c>
      <c r="Q205" s="18" t="str">
        <f>TEXT(B204,"MMM-YY")</f>
        <v>Jul-24</v>
      </c>
      <c r="R205">
        <f>VLOOKUP(D205, Products!A:D, 4, FALSE)</f>
        <v>1435</v>
      </c>
      <c r="S205">
        <f>(G205-R205)/G205</f>
        <v>0.48007246376811596</v>
      </c>
      <c r="T205" s="10">
        <v>27.4</v>
      </c>
    </row>
    <row r="206" spans="1:20" ht="14.25" hidden="1" customHeight="1" x14ac:dyDescent="0.3">
      <c r="A206" s="8" t="s">
        <v>1271</v>
      </c>
      <c r="B206" s="9">
        <v>45591</v>
      </c>
      <c r="C206" s="8" t="s">
        <v>408</v>
      </c>
      <c r="D206" s="8" t="s">
        <v>247</v>
      </c>
      <c r="E206" s="8" t="s">
        <v>214</v>
      </c>
      <c r="F206" s="10">
        <v>6</v>
      </c>
      <c r="G206" s="10">
        <v>3350</v>
      </c>
      <c r="H206" s="10">
        <v>17.899999999999999</v>
      </c>
      <c r="I206" s="10">
        <v>16502.099999999999</v>
      </c>
      <c r="J206" s="8" t="s">
        <v>41</v>
      </c>
      <c r="K206" s="8" t="s">
        <v>119</v>
      </c>
      <c r="L206" s="18" t="str">
        <f>VLOOKUP(D206,Products!$A:$C,3,FALSE)</f>
        <v>Beauty</v>
      </c>
      <c r="N206" s="18" t="str">
        <f>VLOOKUP(C206,Customers!$A:$E,5,FALSE)</f>
        <v>SMB</v>
      </c>
      <c r="O206" s="18">
        <f>VLOOKUP(C206,Customers!$A:$C,3,FALSE)</f>
        <v>48</v>
      </c>
      <c r="T206" s="10">
        <v>4.2</v>
      </c>
    </row>
    <row r="207" spans="1:20" ht="14.25" customHeight="1" x14ac:dyDescent="0.3">
      <c r="A207" s="8" t="s">
        <v>973</v>
      </c>
      <c r="B207" s="21">
        <v>45319</v>
      </c>
      <c r="C207" s="8" t="s">
        <v>433</v>
      </c>
      <c r="D207" s="8" t="s">
        <v>154</v>
      </c>
      <c r="E207" s="8" t="s">
        <v>121</v>
      </c>
      <c r="F207" s="10">
        <v>8</v>
      </c>
      <c r="G207" s="10">
        <v>300</v>
      </c>
      <c r="H207" s="10">
        <v>20.6</v>
      </c>
      <c r="I207" s="10">
        <v>1905.6</v>
      </c>
      <c r="J207" s="8" t="s">
        <v>193</v>
      </c>
      <c r="K207" s="8" t="s">
        <v>42</v>
      </c>
      <c r="L207" s="18" t="str">
        <f>VLOOKUP(D207,Products!$A:$C,3,FALSE)</f>
        <v>Electronics</v>
      </c>
      <c r="N207" s="18" t="str">
        <f>VLOOKUP(C207,Customers!$A:$E,5,FALSE)</f>
        <v>SMB</v>
      </c>
      <c r="O207" s="18">
        <f>VLOOKUP(C207,Customers!$A:$C,3,FALSE)</f>
        <v>30</v>
      </c>
      <c r="P207" s="18" t="str">
        <f>VLOOKUP(E206,Sales_Reps!$A:$C,3,FALSE)</f>
        <v>South</v>
      </c>
      <c r="Q207" s="18" t="str">
        <f>TEXT(B206,"MMM-YY")</f>
        <v>Oct-24</v>
      </c>
      <c r="R207">
        <f>VLOOKUP(D207, Products!A:D, 4, FALSE)</f>
        <v>128</v>
      </c>
      <c r="S207">
        <f>(G207-R207)/G207</f>
        <v>0.57333333333333336</v>
      </c>
      <c r="T207" s="10">
        <v>23.7</v>
      </c>
    </row>
    <row r="208" spans="1:20" ht="14.25" hidden="1" customHeight="1" x14ac:dyDescent="0.3">
      <c r="A208" s="8" t="s">
        <v>1272</v>
      </c>
      <c r="B208" s="9">
        <v>45527</v>
      </c>
      <c r="C208" s="8" t="s">
        <v>776</v>
      </c>
      <c r="D208" s="8" t="s">
        <v>239</v>
      </c>
      <c r="E208" s="8" t="s">
        <v>261</v>
      </c>
      <c r="F208" s="10">
        <v>5</v>
      </c>
      <c r="G208" s="10">
        <v>2720</v>
      </c>
      <c r="H208" s="10">
        <v>17.100000000000001</v>
      </c>
      <c r="I208" s="10">
        <v>11274.4</v>
      </c>
      <c r="J208" s="8" t="s">
        <v>97</v>
      </c>
      <c r="K208" s="8" t="s">
        <v>146</v>
      </c>
      <c r="L208" s="18" t="str">
        <f>VLOOKUP(D208,Products!$A:$C,3,FALSE)</f>
        <v>Apparel</v>
      </c>
      <c r="N208" s="18" t="str">
        <f>VLOOKUP(C208,Customers!$A:$E,5,FALSE)</f>
        <v>Retail</v>
      </c>
      <c r="O208" s="18">
        <f>VLOOKUP(C208,Customers!$A:$C,3,FALSE)</f>
        <v>44</v>
      </c>
      <c r="T208" s="10">
        <v>28.8</v>
      </c>
    </row>
    <row r="209" spans="1:20" ht="14.25" hidden="1" customHeight="1" x14ac:dyDescent="0.3">
      <c r="A209" s="8" t="s">
        <v>1273</v>
      </c>
      <c r="B209" s="9">
        <v>45572</v>
      </c>
      <c r="C209" s="8" t="s">
        <v>428</v>
      </c>
      <c r="D209" s="8" t="s">
        <v>188</v>
      </c>
      <c r="E209" s="8" t="s">
        <v>301</v>
      </c>
      <c r="F209" s="10">
        <v>1</v>
      </c>
      <c r="G209" s="10">
        <v>3870</v>
      </c>
      <c r="H209" s="10">
        <v>23.5</v>
      </c>
      <c r="I209" s="10">
        <v>2960.55</v>
      </c>
      <c r="J209" s="8" t="s">
        <v>97</v>
      </c>
      <c r="K209" s="8" t="s">
        <v>178</v>
      </c>
      <c r="L209" s="18" t="str">
        <f>VLOOKUP(D209,Products!$A:$C,3,FALSE)</f>
        <v>Electronics</v>
      </c>
      <c r="N209" s="18" t="str">
        <f>VLOOKUP(C209,Customers!$A:$E,5,FALSE)</f>
        <v>SMB</v>
      </c>
      <c r="O209" s="18">
        <f>VLOOKUP(C209,Customers!$A:$C,3,FALSE)</f>
        <v>48</v>
      </c>
      <c r="T209" s="10">
        <v>24.7</v>
      </c>
    </row>
    <row r="210" spans="1:20" ht="14.25" customHeight="1" x14ac:dyDescent="0.3">
      <c r="A210" s="8" t="s">
        <v>1274</v>
      </c>
      <c r="B210" s="21">
        <v>45637</v>
      </c>
      <c r="C210" s="8" t="s">
        <v>742</v>
      </c>
      <c r="D210" s="8" t="s">
        <v>569</v>
      </c>
      <c r="E210" s="8" t="s">
        <v>189</v>
      </c>
      <c r="F210" s="10">
        <v>3</v>
      </c>
      <c r="G210" s="10">
        <v>3730</v>
      </c>
      <c r="H210" s="10">
        <v>0.7</v>
      </c>
      <c r="I210" s="10">
        <v>11111.67</v>
      </c>
      <c r="J210" s="8" t="s">
        <v>97</v>
      </c>
      <c r="K210" s="8" t="s">
        <v>178</v>
      </c>
      <c r="L210" s="18" t="str">
        <f>VLOOKUP(D210,Products!$A:$C,3,FALSE)</f>
        <v>Home</v>
      </c>
      <c r="N210" s="18" t="str">
        <f>VLOOKUP(C210,Customers!$A:$E,5,FALSE)</f>
        <v>Retail</v>
      </c>
      <c r="O210" s="18">
        <f>VLOOKUP(C210,Customers!$A:$C,3,FALSE)</f>
        <v>38</v>
      </c>
      <c r="P210" s="18" t="str">
        <f>VLOOKUP(E209,Sales_Reps!$A:$C,3,FALSE)</f>
        <v>South</v>
      </c>
      <c r="Q210" s="18" t="str">
        <f t="shared" ref="Q210:Q211" si="40">TEXT(B209,"MMM-YY")</f>
        <v>Oct-24</v>
      </c>
      <c r="R210">
        <f>VLOOKUP(D210, Products!A:D, 4, FALSE)</f>
        <v>2135</v>
      </c>
      <c r="S210">
        <f t="shared" ref="S210:S211" si="41">(G210-R210)/G210</f>
        <v>0.42761394101876676</v>
      </c>
      <c r="T210" s="10">
        <v>8.5</v>
      </c>
    </row>
    <row r="211" spans="1:20" ht="14.25" customHeight="1" x14ac:dyDescent="0.3">
      <c r="A211" s="8" t="s">
        <v>1275</v>
      </c>
      <c r="B211" s="21">
        <v>45315</v>
      </c>
      <c r="C211" s="8" t="s">
        <v>159</v>
      </c>
      <c r="D211" s="8" t="s">
        <v>227</v>
      </c>
      <c r="E211" s="8" t="s">
        <v>189</v>
      </c>
      <c r="F211" s="10">
        <v>8</v>
      </c>
      <c r="G211" s="10">
        <v>2480</v>
      </c>
      <c r="H211" s="10">
        <v>18.2</v>
      </c>
      <c r="I211" s="10">
        <v>16229.12</v>
      </c>
      <c r="J211" s="8" t="s">
        <v>147</v>
      </c>
      <c r="K211" s="8" t="s">
        <v>98</v>
      </c>
      <c r="L211" s="18" t="str">
        <f>VLOOKUP(D211,Products!$A:$C,3,FALSE)</f>
        <v>Apparel</v>
      </c>
      <c r="N211" s="18" t="str">
        <f>VLOOKUP(C211,Customers!$A:$E,5,FALSE)</f>
        <v>Corporate</v>
      </c>
      <c r="O211" s="18">
        <f>VLOOKUP(C211,Customers!$A:$C,3,FALSE)</f>
        <v>34</v>
      </c>
      <c r="P211" s="18" t="str">
        <f>VLOOKUP(E210,Sales_Reps!$A:$C,3,FALSE)</f>
        <v>South</v>
      </c>
      <c r="Q211" s="18" t="str">
        <f t="shared" si="40"/>
        <v>Dec-24</v>
      </c>
      <c r="R211">
        <f>VLOOKUP(D211, Products!A:D, 4, FALSE)</f>
        <v>1173</v>
      </c>
      <c r="S211">
        <f t="shared" si="41"/>
        <v>0.52701612903225803</v>
      </c>
      <c r="T211" s="10">
        <v>12</v>
      </c>
    </row>
    <row r="212" spans="1:20" ht="14.25" hidden="1" customHeight="1" x14ac:dyDescent="0.3">
      <c r="A212" s="8" t="s">
        <v>1276</v>
      </c>
      <c r="B212" s="9">
        <v>45374</v>
      </c>
      <c r="C212" s="8" t="s">
        <v>580</v>
      </c>
      <c r="D212" s="8" t="s">
        <v>152</v>
      </c>
      <c r="E212" s="8" t="s">
        <v>158</v>
      </c>
      <c r="F212" s="10">
        <v>2</v>
      </c>
      <c r="G212" s="10">
        <v>960</v>
      </c>
      <c r="H212" s="10">
        <v>2.2000000000000002</v>
      </c>
      <c r="I212" s="10">
        <v>1877.76</v>
      </c>
      <c r="J212" s="8" t="s">
        <v>41</v>
      </c>
      <c r="K212" s="8" t="s">
        <v>178</v>
      </c>
      <c r="L212" s="18" t="str">
        <f>VLOOKUP(D212,Products!$A:$C,3,FALSE)</f>
        <v>Sports</v>
      </c>
      <c r="N212" s="18" t="str">
        <f>VLOOKUP(C212,Customers!$A:$E,5,FALSE)</f>
        <v>Retail</v>
      </c>
      <c r="O212" s="18">
        <f>VLOOKUP(C212,Customers!$A:$C,3,FALSE)</f>
        <v>44</v>
      </c>
      <c r="T212" s="10">
        <v>18.399999999999999</v>
      </c>
    </row>
    <row r="213" spans="1:20" ht="14.25" customHeight="1" x14ac:dyDescent="0.3">
      <c r="A213" s="8" t="s">
        <v>1277</v>
      </c>
      <c r="B213" s="21">
        <v>45335</v>
      </c>
      <c r="C213" s="8" t="s">
        <v>637</v>
      </c>
      <c r="D213" s="8" t="s">
        <v>283</v>
      </c>
      <c r="E213" s="8" t="s">
        <v>167</v>
      </c>
      <c r="F213" s="10">
        <v>8</v>
      </c>
      <c r="G213" s="10">
        <v>4880</v>
      </c>
      <c r="H213" s="10">
        <v>11.9</v>
      </c>
      <c r="I213" s="10">
        <v>34394.239999999998</v>
      </c>
      <c r="J213" s="8" t="s">
        <v>41</v>
      </c>
      <c r="K213" s="8" t="s">
        <v>178</v>
      </c>
      <c r="L213" s="18" t="str">
        <f>VLOOKUP(D213,Products!$A:$C,3,FALSE)</f>
        <v>Beauty</v>
      </c>
      <c r="N213" s="18" t="str">
        <f>VLOOKUP(C213,Customers!$A:$E,5,FALSE)</f>
        <v>Retail</v>
      </c>
      <c r="O213" s="18">
        <f>VLOOKUP(C213,Customers!$A:$C,3,FALSE)</f>
        <v>25</v>
      </c>
      <c r="P213" s="18" t="str">
        <f>VLOOKUP(E212,Sales_Reps!$A:$C,3,FALSE)</f>
        <v>East</v>
      </c>
      <c r="Q213" s="18" t="str">
        <f t="shared" ref="Q213:Q216" si="42">TEXT(B212,"MMM-YY")</f>
        <v>Mar-24</v>
      </c>
      <c r="R213">
        <f>VLOOKUP(D213, Products!A:D, 4, FALSE)</f>
        <v>2768</v>
      </c>
      <c r="S213">
        <f t="shared" ref="S213:S216" si="43">(G213-R213)/G213</f>
        <v>0.43278688524590164</v>
      </c>
      <c r="T213" s="10">
        <v>15.9</v>
      </c>
    </row>
    <row r="214" spans="1:20" ht="14.25" customHeight="1" x14ac:dyDescent="0.3">
      <c r="A214" s="8" t="s">
        <v>1278</v>
      </c>
      <c r="B214" s="21">
        <v>45656</v>
      </c>
      <c r="C214" s="8" t="s">
        <v>765</v>
      </c>
      <c r="D214" s="8" t="s">
        <v>37</v>
      </c>
      <c r="E214" s="8" t="s">
        <v>143</v>
      </c>
      <c r="F214" s="10">
        <v>2</v>
      </c>
      <c r="G214" s="10">
        <v>3620</v>
      </c>
      <c r="H214" s="10">
        <v>1.1000000000000001</v>
      </c>
      <c r="I214" s="10">
        <v>7160.36</v>
      </c>
      <c r="J214" s="8" t="s">
        <v>97</v>
      </c>
      <c r="K214" s="8" t="s">
        <v>119</v>
      </c>
      <c r="L214" s="18" t="str">
        <f>VLOOKUP(D214,Products!$A:$C,3,FALSE)</f>
        <v>Apparel</v>
      </c>
      <c r="N214" s="18" t="str">
        <f>VLOOKUP(C214,Customers!$A:$E,5,FALSE)</f>
        <v>SMB</v>
      </c>
      <c r="O214" s="18">
        <f>VLOOKUP(C214,Customers!$A:$C,3,FALSE)</f>
        <v>29</v>
      </c>
      <c r="P214" s="18" t="str">
        <f>VLOOKUP(E213,Sales_Reps!$A:$C,3,FALSE)</f>
        <v>East</v>
      </c>
      <c r="Q214" s="18" t="str">
        <f t="shared" si="42"/>
        <v>Feb-24</v>
      </c>
      <c r="R214">
        <f>VLOOKUP(D214, Products!A:D, 4, FALSE)</f>
        <v>2509</v>
      </c>
      <c r="S214">
        <f t="shared" si="43"/>
        <v>0.3069060773480663</v>
      </c>
      <c r="T214" s="10">
        <v>24.9</v>
      </c>
    </row>
    <row r="215" spans="1:20" ht="14.25" customHeight="1" x14ac:dyDescent="0.3">
      <c r="A215" s="8" t="s">
        <v>1279</v>
      </c>
      <c r="B215" s="21">
        <v>45573</v>
      </c>
      <c r="C215" s="8" t="s">
        <v>330</v>
      </c>
      <c r="D215" s="8" t="s">
        <v>120</v>
      </c>
      <c r="E215" s="8" t="s">
        <v>135</v>
      </c>
      <c r="F215" s="10">
        <v>8</v>
      </c>
      <c r="G215" s="10">
        <v>3970</v>
      </c>
      <c r="H215" s="10">
        <v>18.100000000000001</v>
      </c>
      <c r="I215" s="10">
        <v>26011.439999999999</v>
      </c>
      <c r="J215" s="8" t="s">
        <v>41</v>
      </c>
      <c r="K215" s="8" t="s">
        <v>119</v>
      </c>
      <c r="L215" s="18" t="str">
        <f>VLOOKUP(D215,Products!$A:$C,3,FALSE)</f>
        <v>Electronics</v>
      </c>
      <c r="N215" s="18" t="str">
        <f>VLOOKUP(C215,Customers!$A:$E,5,FALSE)</f>
        <v>Retail</v>
      </c>
      <c r="O215" s="18">
        <f>VLOOKUP(C215,Customers!$A:$C,3,FALSE)</f>
        <v>35</v>
      </c>
      <c r="P215" s="18" t="str">
        <f>VLOOKUP(E214,Sales_Reps!$A:$C,3,FALSE)</f>
        <v>West</v>
      </c>
      <c r="Q215" s="18" t="str">
        <f t="shared" si="42"/>
        <v>Dec-24</v>
      </c>
      <c r="R215">
        <f>VLOOKUP(D215, Products!A:D, 4, FALSE)</f>
        <v>2865</v>
      </c>
      <c r="S215">
        <f t="shared" si="43"/>
        <v>0.27833753148614609</v>
      </c>
      <c r="T215" s="10">
        <v>29.9</v>
      </c>
    </row>
    <row r="216" spans="1:20" ht="14.25" customHeight="1" x14ac:dyDescent="0.3">
      <c r="A216" s="8" t="s">
        <v>1280</v>
      </c>
      <c r="B216" s="21">
        <v>45534</v>
      </c>
      <c r="C216" s="8" t="s">
        <v>226</v>
      </c>
      <c r="D216" s="8" t="s">
        <v>691</v>
      </c>
      <c r="E216" s="8" t="s">
        <v>376</v>
      </c>
      <c r="F216" s="10">
        <v>8</v>
      </c>
      <c r="G216" s="10">
        <v>2270</v>
      </c>
      <c r="H216" s="10">
        <v>19.600000000000001</v>
      </c>
      <c r="I216" s="10">
        <v>14600.64</v>
      </c>
      <c r="J216" s="8" t="s">
        <v>41</v>
      </c>
      <c r="K216" s="8" t="s">
        <v>178</v>
      </c>
      <c r="L216" s="18" t="str">
        <f>VLOOKUP(D216,Products!$A:$C,3,FALSE)</f>
        <v>Grocery</v>
      </c>
      <c r="N216" s="18" t="str">
        <f>VLOOKUP(C216,Customers!$A:$E,5,FALSE)</f>
        <v>Retail</v>
      </c>
      <c r="O216" s="18">
        <f>VLOOKUP(C216,Customers!$A:$C,3,FALSE)</f>
        <v>32</v>
      </c>
      <c r="P216" s="18" t="str">
        <f>VLOOKUP(E215,Sales_Reps!$A:$C,3,FALSE)</f>
        <v>North</v>
      </c>
      <c r="Q216" s="18" t="str">
        <f t="shared" si="42"/>
        <v>Oct-24</v>
      </c>
      <c r="R216">
        <f>VLOOKUP(D216, Products!A:D, 4, FALSE)</f>
        <v>1412</v>
      </c>
      <c r="S216">
        <f t="shared" si="43"/>
        <v>0.37797356828193834</v>
      </c>
      <c r="T216" s="10">
        <v>23.7</v>
      </c>
    </row>
    <row r="217" spans="1:20" ht="14.25" hidden="1" customHeight="1" x14ac:dyDescent="0.3">
      <c r="A217" s="8" t="s">
        <v>1281</v>
      </c>
      <c r="B217" s="9">
        <v>45639</v>
      </c>
      <c r="C217" s="8" t="s">
        <v>633</v>
      </c>
      <c r="D217" s="8" t="s">
        <v>624</v>
      </c>
      <c r="E217" s="8" t="s">
        <v>745</v>
      </c>
      <c r="F217" s="10">
        <v>1</v>
      </c>
      <c r="G217" s="10">
        <v>3780</v>
      </c>
      <c r="H217" s="10">
        <v>22.6</v>
      </c>
      <c r="I217" s="10">
        <v>2925.72</v>
      </c>
      <c r="J217" s="8" t="s">
        <v>41</v>
      </c>
      <c r="K217" s="8" t="s">
        <v>119</v>
      </c>
      <c r="L217" s="18" t="str">
        <f>VLOOKUP(D217,Products!$A:$C,3,FALSE)</f>
        <v>Grocery</v>
      </c>
      <c r="N217" s="18" t="str">
        <f>VLOOKUP(C217,Customers!$A:$E,5,FALSE)</f>
        <v>Corporate</v>
      </c>
      <c r="O217" s="18">
        <f>VLOOKUP(C217,Customers!$A:$C,3,FALSE)</f>
        <v>55</v>
      </c>
      <c r="T217" s="10">
        <v>7.4</v>
      </c>
    </row>
    <row r="218" spans="1:20" ht="14.25" hidden="1" customHeight="1" x14ac:dyDescent="0.3">
      <c r="A218" s="8" t="s">
        <v>1282</v>
      </c>
      <c r="B218" s="9">
        <v>45653</v>
      </c>
      <c r="C218" s="8" t="s">
        <v>431</v>
      </c>
      <c r="D218" s="8" t="s">
        <v>818</v>
      </c>
      <c r="E218" s="8" t="s">
        <v>196</v>
      </c>
      <c r="F218" s="10">
        <v>9</v>
      </c>
      <c r="G218" s="10">
        <v>4070</v>
      </c>
      <c r="H218" s="10">
        <v>28.2</v>
      </c>
      <c r="I218" s="10">
        <v>26300.34</v>
      </c>
      <c r="J218" s="8" t="s">
        <v>41</v>
      </c>
      <c r="K218" s="8" t="s">
        <v>146</v>
      </c>
      <c r="L218" s="18" t="str">
        <f>VLOOKUP(D218,Products!$A:$C,3,FALSE)</f>
        <v>Grocery</v>
      </c>
      <c r="N218" s="18" t="str">
        <f>VLOOKUP(C218,Customers!$A:$E,5,FALSE)</f>
        <v>Corporate</v>
      </c>
      <c r="O218" s="18">
        <f>VLOOKUP(C218,Customers!$A:$C,3,FALSE)</f>
        <v>60</v>
      </c>
      <c r="T218" s="10">
        <v>15.2</v>
      </c>
    </row>
    <row r="219" spans="1:20" ht="14.25" hidden="1" customHeight="1" x14ac:dyDescent="0.3">
      <c r="A219" s="8" t="s">
        <v>1283</v>
      </c>
      <c r="B219" s="9">
        <v>45424</v>
      </c>
      <c r="C219" s="8" t="s">
        <v>629</v>
      </c>
      <c r="D219" s="8" t="s">
        <v>131</v>
      </c>
      <c r="E219" s="8" t="s">
        <v>125</v>
      </c>
      <c r="F219" s="10">
        <v>9</v>
      </c>
      <c r="G219" s="10">
        <v>2660</v>
      </c>
      <c r="H219" s="10">
        <v>13.1</v>
      </c>
      <c r="I219" s="10">
        <v>20803.86</v>
      </c>
      <c r="J219" s="8" t="s">
        <v>97</v>
      </c>
      <c r="K219" s="8" t="s">
        <v>146</v>
      </c>
      <c r="L219" s="18" t="str">
        <f>VLOOKUP(D219,Products!$A:$C,3,FALSE)</f>
        <v>Electronics</v>
      </c>
      <c r="N219" s="18" t="str">
        <f>VLOOKUP(C219,Customers!$A:$E,5,FALSE)</f>
        <v>Retail</v>
      </c>
      <c r="O219" s="18">
        <f>VLOOKUP(C219,Customers!$A:$C,3,FALSE)</f>
        <v>65</v>
      </c>
      <c r="T219" s="10">
        <v>18.899999999999999</v>
      </c>
    </row>
    <row r="220" spans="1:20" ht="14.25" customHeight="1" x14ac:dyDescent="0.3">
      <c r="A220" s="8" t="s">
        <v>1284</v>
      </c>
      <c r="B220" s="21">
        <v>45400</v>
      </c>
      <c r="C220" s="8" t="s">
        <v>369</v>
      </c>
      <c r="D220" s="8" t="s">
        <v>211</v>
      </c>
      <c r="E220" s="8" t="s">
        <v>185</v>
      </c>
      <c r="F220" s="10">
        <v>4</v>
      </c>
      <c r="G220" s="10">
        <v>3570</v>
      </c>
      <c r="H220" s="10">
        <v>1.5</v>
      </c>
      <c r="I220" s="10">
        <v>14065.8</v>
      </c>
      <c r="J220" s="8" t="s">
        <v>147</v>
      </c>
      <c r="K220" s="8" t="s">
        <v>146</v>
      </c>
      <c r="L220" s="18" t="str">
        <f>VLOOKUP(D220,Products!$A:$C,3,FALSE)</f>
        <v>Electronics</v>
      </c>
      <c r="N220" s="18" t="str">
        <f>VLOOKUP(C220,Customers!$A:$E,5,FALSE)</f>
        <v>Retail</v>
      </c>
      <c r="O220" s="18">
        <f>VLOOKUP(C220,Customers!$A:$C,3,FALSE)</f>
        <v>37</v>
      </c>
      <c r="P220" s="18" t="str">
        <f>VLOOKUP(E219,Sales_Reps!$A:$C,3,FALSE)</f>
        <v>North</v>
      </c>
      <c r="Q220" s="18" t="str">
        <f>TEXT(B219,"MMM-YY")</f>
        <v>May-24</v>
      </c>
      <c r="R220">
        <f>VLOOKUP(D220, Products!A:D, 4, FALSE)</f>
        <v>1665</v>
      </c>
      <c r="S220">
        <f>(G220-R220)/G220</f>
        <v>0.53361344537815125</v>
      </c>
      <c r="T220" s="10">
        <v>10.1</v>
      </c>
    </row>
    <row r="221" spans="1:20" ht="14.25" hidden="1" customHeight="1" x14ac:dyDescent="0.3">
      <c r="A221" s="8" t="s">
        <v>1285</v>
      </c>
      <c r="B221" s="9">
        <v>45531</v>
      </c>
      <c r="C221" s="8" t="s">
        <v>468</v>
      </c>
      <c r="D221" s="8" t="s">
        <v>949</v>
      </c>
      <c r="E221" s="8" t="s">
        <v>231</v>
      </c>
      <c r="F221" s="10">
        <v>2</v>
      </c>
      <c r="G221" s="10">
        <v>960</v>
      </c>
      <c r="H221" s="10">
        <v>18.600000000000001</v>
      </c>
      <c r="I221" s="10">
        <v>1562.88</v>
      </c>
      <c r="J221" s="8" t="s">
        <v>41</v>
      </c>
      <c r="K221" s="8" t="s">
        <v>146</v>
      </c>
      <c r="L221" s="18" t="str">
        <f>VLOOKUP(D221,Products!$A:$C,3,FALSE)</f>
        <v>Beauty</v>
      </c>
      <c r="N221" s="18" t="str">
        <f>VLOOKUP(C221,Customers!$A:$E,5,FALSE)</f>
        <v>Retail</v>
      </c>
      <c r="O221" s="18">
        <f>VLOOKUP(C221,Customers!$A:$C,3,FALSE)</f>
        <v>65</v>
      </c>
      <c r="T221" s="10">
        <v>21.9</v>
      </c>
    </row>
    <row r="222" spans="1:20" ht="14.25" hidden="1" customHeight="1" x14ac:dyDescent="0.3">
      <c r="A222" s="8" t="s">
        <v>1286</v>
      </c>
      <c r="B222" s="9">
        <v>45546</v>
      </c>
      <c r="C222" s="8" t="s">
        <v>312</v>
      </c>
      <c r="D222" s="8" t="s">
        <v>215</v>
      </c>
      <c r="E222" s="8" t="s">
        <v>167</v>
      </c>
      <c r="F222" s="10">
        <v>2</v>
      </c>
      <c r="G222" s="10">
        <v>3450</v>
      </c>
      <c r="H222" s="10">
        <v>3.7</v>
      </c>
      <c r="I222" s="10">
        <v>6644.7</v>
      </c>
      <c r="J222" s="8" t="s">
        <v>41</v>
      </c>
      <c r="K222" s="8" t="s">
        <v>42</v>
      </c>
      <c r="L222" s="18" t="str">
        <f>VLOOKUP(D222,Products!$A:$C,3,FALSE)</f>
        <v>Beauty</v>
      </c>
      <c r="N222" s="18" t="str">
        <f>VLOOKUP(C222,Customers!$A:$E,5,FALSE)</f>
        <v>Retail</v>
      </c>
      <c r="O222" s="18">
        <f>VLOOKUP(C222,Customers!$A:$C,3,FALSE)</f>
        <v>62</v>
      </c>
      <c r="T222" s="10">
        <v>6.8</v>
      </c>
    </row>
    <row r="223" spans="1:20" ht="14.25" hidden="1" customHeight="1" x14ac:dyDescent="0.3">
      <c r="A223" s="8" t="s">
        <v>1287</v>
      </c>
      <c r="B223" s="9">
        <v>45608</v>
      </c>
      <c r="C223" s="8" t="s">
        <v>652</v>
      </c>
      <c r="D223" s="8" t="s">
        <v>320</v>
      </c>
      <c r="E223" s="8" t="s">
        <v>38</v>
      </c>
      <c r="F223" s="10">
        <v>6</v>
      </c>
      <c r="G223" s="10">
        <v>5100</v>
      </c>
      <c r="H223" s="10">
        <v>1.2</v>
      </c>
      <c r="I223" s="10">
        <v>30232.799999999999</v>
      </c>
      <c r="J223" s="8" t="s">
        <v>41</v>
      </c>
      <c r="K223" s="8" t="s">
        <v>178</v>
      </c>
      <c r="L223" s="18" t="str">
        <f>VLOOKUP(D223,Products!$A:$C,3,FALSE)</f>
        <v>Beauty</v>
      </c>
      <c r="N223" s="18" t="str">
        <f>VLOOKUP(C223,Customers!$A:$E,5,FALSE)</f>
        <v>SMB</v>
      </c>
      <c r="O223" s="18">
        <f>VLOOKUP(C223,Customers!$A:$C,3,FALSE)</f>
        <v>43</v>
      </c>
      <c r="T223" s="10">
        <v>15</v>
      </c>
    </row>
    <row r="224" spans="1:20" ht="14.25" customHeight="1" x14ac:dyDescent="0.3">
      <c r="A224" s="8" t="s">
        <v>1288</v>
      </c>
      <c r="B224" s="21">
        <v>45614</v>
      </c>
      <c r="C224" s="8" t="s">
        <v>118</v>
      </c>
      <c r="D224" s="8" t="s">
        <v>154</v>
      </c>
      <c r="E224" s="8" t="s">
        <v>96</v>
      </c>
      <c r="F224" s="10">
        <v>9</v>
      </c>
      <c r="G224" s="10">
        <v>300</v>
      </c>
      <c r="H224" s="10">
        <v>25.4</v>
      </c>
      <c r="I224" s="10">
        <v>2014.2</v>
      </c>
      <c r="J224" s="8" t="s">
        <v>147</v>
      </c>
      <c r="K224" s="8" t="s">
        <v>42</v>
      </c>
      <c r="L224" s="18" t="str">
        <f>VLOOKUP(D224,Products!$A:$C,3,FALSE)</f>
        <v>Electronics</v>
      </c>
      <c r="N224" s="18" t="str">
        <f>VLOOKUP(C224,Customers!$A:$E,5,FALSE)</f>
        <v>SMB</v>
      </c>
      <c r="O224" s="18">
        <f>VLOOKUP(C224,Customers!$A:$C,3,FALSE)</f>
        <v>24</v>
      </c>
      <c r="P224" s="18" t="str">
        <f>VLOOKUP(E223,Sales_Reps!$A:$C,3,FALSE)</f>
        <v>North</v>
      </c>
      <c r="Q224" s="18" t="str">
        <f>TEXT(B223,"MMM-YY")</f>
        <v>Nov-24</v>
      </c>
      <c r="R224">
        <f>VLOOKUP(D224, Products!A:D, 4, FALSE)</f>
        <v>128</v>
      </c>
      <c r="S224">
        <f>(G224-R224)/G224</f>
        <v>0.57333333333333336</v>
      </c>
      <c r="T224" s="10">
        <v>19.100000000000001</v>
      </c>
    </row>
    <row r="225" spans="1:20" ht="14.25" hidden="1" customHeight="1" x14ac:dyDescent="0.3">
      <c r="A225" s="8" t="s">
        <v>1289</v>
      </c>
      <c r="B225" s="9">
        <v>45405</v>
      </c>
      <c r="C225" s="8" t="s">
        <v>273</v>
      </c>
      <c r="D225" s="8" t="s">
        <v>283</v>
      </c>
      <c r="E225" s="8" t="s">
        <v>321</v>
      </c>
      <c r="F225" s="10">
        <v>7</v>
      </c>
      <c r="G225" s="10">
        <v>4880</v>
      </c>
      <c r="H225" s="10">
        <v>16.899999999999999</v>
      </c>
      <c r="I225" s="10">
        <v>28386.959999999999</v>
      </c>
      <c r="J225" s="8" t="s">
        <v>97</v>
      </c>
      <c r="K225" s="8" t="s">
        <v>146</v>
      </c>
      <c r="L225" s="18" t="str">
        <f>VLOOKUP(D225,Products!$A:$C,3,FALSE)</f>
        <v>Beauty</v>
      </c>
      <c r="N225" s="18" t="str">
        <f>VLOOKUP(C225,Customers!$A:$E,5,FALSE)</f>
        <v>SMB</v>
      </c>
      <c r="O225" s="18">
        <f>VLOOKUP(C225,Customers!$A:$C,3,FALSE)</f>
        <v>61</v>
      </c>
      <c r="T225" s="10">
        <v>16.7</v>
      </c>
    </row>
    <row r="226" spans="1:20" ht="14.25" hidden="1" customHeight="1" x14ac:dyDescent="0.3">
      <c r="A226" s="8" t="s">
        <v>1290</v>
      </c>
      <c r="B226" s="9">
        <v>45504</v>
      </c>
      <c r="C226" s="8" t="s">
        <v>814</v>
      </c>
      <c r="D226" s="8" t="s">
        <v>192</v>
      </c>
      <c r="E226" s="8" t="s">
        <v>208</v>
      </c>
      <c r="F226" s="10">
        <v>9</v>
      </c>
      <c r="G226" s="10">
        <v>3250</v>
      </c>
      <c r="H226" s="10">
        <v>10.8</v>
      </c>
      <c r="I226" s="10">
        <v>26091</v>
      </c>
      <c r="J226" s="8" t="s">
        <v>147</v>
      </c>
      <c r="K226" s="8" t="s">
        <v>136</v>
      </c>
      <c r="L226" s="18" t="str">
        <f>VLOOKUP(D226,Products!$A:$C,3,FALSE)</f>
        <v>Home</v>
      </c>
      <c r="N226" s="18" t="str">
        <f>VLOOKUP(C226,Customers!$A:$E,5,FALSE)</f>
        <v>Corporate</v>
      </c>
      <c r="O226" s="18">
        <f>VLOOKUP(C226,Customers!$A:$C,3,FALSE)</f>
        <v>41</v>
      </c>
      <c r="T226" s="10">
        <v>3.3</v>
      </c>
    </row>
    <row r="227" spans="1:20" ht="14.25" hidden="1" customHeight="1" x14ac:dyDescent="0.3">
      <c r="A227" s="8" t="s">
        <v>1291</v>
      </c>
      <c r="B227" s="9">
        <v>45298</v>
      </c>
      <c r="C227" s="8" t="s">
        <v>627</v>
      </c>
      <c r="D227" s="8" t="s">
        <v>215</v>
      </c>
      <c r="E227" s="8" t="s">
        <v>125</v>
      </c>
      <c r="F227" s="10">
        <v>3</v>
      </c>
      <c r="G227" s="10">
        <v>3450</v>
      </c>
      <c r="H227" s="10">
        <v>5.4</v>
      </c>
      <c r="I227" s="10">
        <v>9791.1</v>
      </c>
      <c r="J227" s="8" t="s">
        <v>97</v>
      </c>
      <c r="K227" s="8" t="s">
        <v>42</v>
      </c>
      <c r="L227" s="18" t="str">
        <f>VLOOKUP(D227,Products!$A:$C,3,FALSE)</f>
        <v>Beauty</v>
      </c>
      <c r="N227" s="18" t="str">
        <f>VLOOKUP(C227,Customers!$A:$E,5,FALSE)</f>
        <v>Retail</v>
      </c>
      <c r="O227" s="18">
        <f>VLOOKUP(C227,Customers!$A:$C,3,FALSE)</f>
        <v>65</v>
      </c>
      <c r="T227" s="10">
        <v>22.9</v>
      </c>
    </row>
    <row r="228" spans="1:20" ht="14.25" hidden="1" customHeight="1" x14ac:dyDescent="0.3">
      <c r="A228" s="8" t="s">
        <v>1292</v>
      </c>
      <c r="B228" s="9">
        <v>45346</v>
      </c>
      <c r="C228" s="8" t="s">
        <v>854</v>
      </c>
      <c r="D228" s="8" t="s">
        <v>662</v>
      </c>
      <c r="E228" s="8" t="s">
        <v>216</v>
      </c>
      <c r="F228" s="10">
        <v>5</v>
      </c>
      <c r="G228" s="10">
        <v>6080</v>
      </c>
      <c r="H228" s="10">
        <v>18</v>
      </c>
      <c r="I228" s="10">
        <v>24928</v>
      </c>
      <c r="J228" s="8" t="s">
        <v>41</v>
      </c>
      <c r="K228" s="8" t="s">
        <v>119</v>
      </c>
      <c r="L228" s="18" t="str">
        <f>VLOOKUP(D228,Products!$A:$C,3,FALSE)</f>
        <v>Beauty</v>
      </c>
      <c r="N228" s="18" t="str">
        <f>VLOOKUP(C228,Customers!$A:$E,5,FALSE)</f>
        <v>Corporate</v>
      </c>
      <c r="O228" s="18">
        <f>VLOOKUP(C228,Customers!$A:$C,3,FALSE)</f>
        <v>47</v>
      </c>
      <c r="T228" s="10">
        <v>10.3</v>
      </c>
    </row>
    <row r="229" spans="1:20" ht="14.25" customHeight="1" x14ac:dyDescent="0.3">
      <c r="A229" s="8" t="s">
        <v>1293</v>
      </c>
      <c r="B229" s="21">
        <v>45487</v>
      </c>
      <c r="C229" s="8" t="s">
        <v>433</v>
      </c>
      <c r="D229" s="8" t="s">
        <v>662</v>
      </c>
      <c r="E229" s="8" t="s">
        <v>196</v>
      </c>
      <c r="F229" s="10">
        <v>7</v>
      </c>
      <c r="G229" s="10">
        <v>6080</v>
      </c>
      <c r="H229" s="10">
        <v>9.1999999999999993</v>
      </c>
      <c r="I229" s="10">
        <v>38644.480000000003</v>
      </c>
      <c r="J229" s="8" t="s">
        <v>41</v>
      </c>
      <c r="K229" s="8" t="s">
        <v>42</v>
      </c>
      <c r="L229" s="18" t="str">
        <f>VLOOKUP(D229,Products!$A:$C,3,FALSE)</f>
        <v>Beauty</v>
      </c>
      <c r="N229" s="18" t="str">
        <f>VLOOKUP(C229,Customers!$A:$E,5,FALSE)</f>
        <v>SMB</v>
      </c>
      <c r="O229" s="18">
        <f>VLOOKUP(C229,Customers!$A:$C,3,FALSE)</f>
        <v>30</v>
      </c>
      <c r="P229" s="18" t="str">
        <f>VLOOKUP(E228,Sales_Reps!$A:$C,3,FALSE)</f>
        <v>East</v>
      </c>
      <c r="Q229" s="18" t="str">
        <f t="shared" ref="Q229:Q230" si="44">TEXT(B228,"MMM-YY")</f>
        <v>Feb-24</v>
      </c>
      <c r="R229">
        <f>VLOOKUP(D229, Products!A:D, 4, FALSE)</f>
        <v>2617</v>
      </c>
      <c r="S229">
        <f t="shared" ref="S229:S230" si="45">(G229-R229)/G229</f>
        <v>0.56957236842105263</v>
      </c>
      <c r="T229" s="10">
        <v>18.2</v>
      </c>
    </row>
    <row r="230" spans="1:20" ht="14.25" customHeight="1" x14ac:dyDescent="0.3">
      <c r="A230" s="8" t="s">
        <v>1294</v>
      </c>
      <c r="B230" s="21">
        <v>45585</v>
      </c>
      <c r="C230" s="8" t="s">
        <v>742</v>
      </c>
      <c r="D230" s="8" t="s">
        <v>176</v>
      </c>
      <c r="E230" s="8" t="s">
        <v>117</v>
      </c>
      <c r="F230" s="10">
        <v>5</v>
      </c>
      <c r="G230" s="10">
        <v>2270</v>
      </c>
      <c r="H230" s="10">
        <v>0.4</v>
      </c>
      <c r="I230" s="10">
        <v>11304.6</v>
      </c>
      <c r="J230" s="8" t="s">
        <v>147</v>
      </c>
      <c r="K230" s="8" t="s">
        <v>178</v>
      </c>
      <c r="L230" s="18" t="str">
        <f>VLOOKUP(D230,Products!$A:$C,3,FALSE)</f>
        <v>Grocery</v>
      </c>
      <c r="N230" s="18" t="str">
        <f>VLOOKUP(C230,Customers!$A:$E,5,FALSE)</f>
        <v>Retail</v>
      </c>
      <c r="O230" s="18">
        <f>VLOOKUP(C230,Customers!$A:$C,3,FALSE)</f>
        <v>38</v>
      </c>
      <c r="P230" s="18" t="str">
        <f>VLOOKUP(E229,Sales_Reps!$A:$C,3,FALSE)</f>
        <v>East</v>
      </c>
      <c r="Q230" s="18" t="str">
        <f t="shared" si="44"/>
        <v>Jul-24</v>
      </c>
      <c r="R230">
        <f>VLOOKUP(D230, Products!A:D, 4, FALSE)</f>
        <v>1203</v>
      </c>
      <c r="S230">
        <f t="shared" si="45"/>
        <v>0.47004405286343615</v>
      </c>
      <c r="T230" s="10">
        <v>18</v>
      </c>
    </row>
    <row r="231" spans="1:20" ht="14.25" hidden="1" customHeight="1" x14ac:dyDescent="0.3">
      <c r="A231" s="8" t="s">
        <v>1295</v>
      </c>
      <c r="B231" s="9">
        <v>45373</v>
      </c>
      <c r="C231" s="8" t="s">
        <v>413</v>
      </c>
      <c r="D231" s="8" t="s">
        <v>283</v>
      </c>
      <c r="E231" s="8" t="s">
        <v>221</v>
      </c>
      <c r="F231" s="10">
        <v>10</v>
      </c>
      <c r="G231" s="10">
        <v>4880</v>
      </c>
      <c r="H231" s="10">
        <v>24.5</v>
      </c>
      <c r="I231" s="10">
        <v>36844</v>
      </c>
      <c r="J231" s="8" t="s">
        <v>193</v>
      </c>
      <c r="K231" s="8" t="s">
        <v>146</v>
      </c>
      <c r="L231" s="18" t="str">
        <f>VLOOKUP(D231,Products!$A:$C,3,FALSE)</f>
        <v>Beauty</v>
      </c>
      <c r="N231" s="18" t="str">
        <f>VLOOKUP(C231,Customers!$A:$E,5,FALSE)</f>
        <v>Retail</v>
      </c>
      <c r="O231" s="18">
        <f>VLOOKUP(C231,Customers!$A:$C,3,FALSE)</f>
        <v>42</v>
      </c>
      <c r="T231" s="10">
        <v>28.6</v>
      </c>
    </row>
    <row r="232" spans="1:20" ht="14.25" hidden="1" customHeight="1" x14ac:dyDescent="0.3">
      <c r="A232" s="8" t="s">
        <v>1296</v>
      </c>
      <c r="B232" s="9">
        <v>45293</v>
      </c>
      <c r="C232" s="8" t="s">
        <v>246</v>
      </c>
      <c r="D232" s="8" t="s">
        <v>909</v>
      </c>
      <c r="E232" s="8" t="s">
        <v>261</v>
      </c>
      <c r="F232" s="10">
        <v>2</v>
      </c>
      <c r="G232" s="10">
        <v>2380</v>
      </c>
      <c r="H232" s="10">
        <v>2.2999999999999998</v>
      </c>
      <c r="I232" s="10">
        <v>4650.5200000000004</v>
      </c>
      <c r="J232" s="8" t="s">
        <v>41</v>
      </c>
      <c r="K232" s="8" t="s">
        <v>98</v>
      </c>
      <c r="L232" s="18" t="str">
        <f>VLOOKUP(D232,Products!$A:$C,3,FALSE)</f>
        <v>Grocery</v>
      </c>
      <c r="N232" s="18" t="str">
        <f>VLOOKUP(C232,Customers!$A:$E,5,FALSE)</f>
        <v>Corporate</v>
      </c>
      <c r="O232" s="18">
        <f>VLOOKUP(C232,Customers!$A:$C,3,FALSE)</f>
        <v>55</v>
      </c>
      <c r="T232" s="10">
        <v>3.6</v>
      </c>
    </row>
    <row r="233" spans="1:20" ht="14.25" customHeight="1" x14ac:dyDescent="0.3">
      <c r="A233" s="8" t="s">
        <v>1297</v>
      </c>
      <c r="B233" s="21">
        <v>45498</v>
      </c>
      <c r="C233" s="8" t="s">
        <v>605</v>
      </c>
      <c r="D233" s="8" t="s">
        <v>260</v>
      </c>
      <c r="E233" s="8" t="s">
        <v>145</v>
      </c>
      <c r="F233" s="10">
        <v>1</v>
      </c>
      <c r="G233" s="10">
        <v>1010</v>
      </c>
      <c r="H233" s="10">
        <v>29.9</v>
      </c>
      <c r="I233" s="10">
        <v>708.01</v>
      </c>
      <c r="J233" s="8" t="s">
        <v>41</v>
      </c>
      <c r="K233" s="8" t="s">
        <v>98</v>
      </c>
      <c r="L233" s="18" t="str">
        <f>VLOOKUP(D233,Products!$A:$C,3,FALSE)</f>
        <v>Sports</v>
      </c>
      <c r="N233" s="18" t="str">
        <f>VLOOKUP(C233,Customers!$A:$E,5,FALSE)</f>
        <v>Retail</v>
      </c>
      <c r="O233" s="18">
        <f>VLOOKUP(C233,Customers!$A:$C,3,FALSE)</f>
        <v>38</v>
      </c>
      <c r="P233" s="18" t="str">
        <f>VLOOKUP(E232,Sales_Reps!$A:$C,3,FALSE)</f>
        <v>North</v>
      </c>
      <c r="Q233" s="18" t="str">
        <f>TEXT(B232,"MMM-YY")</f>
        <v>Jan-24</v>
      </c>
      <c r="R233">
        <f>VLOOKUP(D233, Products!A:D, 4, FALSE)</f>
        <v>516</v>
      </c>
      <c r="S233">
        <f>(G233-R233)/G233</f>
        <v>0.4891089108910891</v>
      </c>
      <c r="T233" s="10">
        <v>11.3</v>
      </c>
    </row>
    <row r="234" spans="1:20" ht="14.25" hidden="1" customHeight="1" x14ac:dyDescent="0.3">
      <c r="A234" s="8" t="s">
        <v>1298</v>
      </c>
      <c r="B234" s="9">
        <v>45643</v>
      </c>
      <c r="C234" s="8" t="s">
        <v>296</v>
      </c>
      <c r="D234" s="8" t="s">
        <v>959</v>
      </c>
      <c r="E234" s="8" t="s">
        <v>236</v>
      </c>
      <c r="F234" s="10">
        <v>7</v>
      </c>
      <c r="G234" s="10">
        <v>6940</v>
      </c>
      <c r="H234" s="10">
        <v>25.8</v>
      </c>
      <c r="I234" s="10">
        <v>36046.36</v>
      </c>
      <c r="J234" s="8" t="s">
        <v>41</v>
      </c>
      <c r="K234" s="8" t="s">
        <v>178</v>
      </c>
      <c r="L234" s="18" t="str">
        <f>VLOOKUP(D234,Products!$A:$C,3,FALSE)</f>
        <v>Sports</v>
      </c>
      <c r="N234" s="18" t="str">
        <f>VLOOKUP(C234,Customers!$A:$E,5,FALSE)</f>
        <v>Retail</v>
      </c>
      <c r="O234" s="18">
        <f>VLOOKUP(C234,Customers!$A:$C,3,FALSE)</f>
        <v>46</v>
      </c>
      <c r="T234" s="10">
        <v>2.5</v>
      </c>
    </row>
    <row r="235" spans="1:20" ht="14.25" hidden="1" customHeight="1" x14ac:dyDescent="0.3">
      <c r="A235" s="8" t="s">
        <v>1299</v>
      </c>
      <c r="B235" s="9">
        <v>45542</v>
      </c>
      <c r="C235" s="8" t="s">
        <v>629</v>
      </c>
      <c r="D235" s="8" t="s">
        <v>939</v>
      </c>
      <c r="E235" s="8" t="s">
        <v>153</v>
      </c>
      <c r="F235" s="10">
        <v>6</v>
      </c>
      <c r="G235" s="10">
        <v>2290</v>
      </c>
      <c r="H235" s="10">
        <v>25.9</v>
      </c>
      <c r="I235" s="10">
        <v>10181.34</v>
      </c>
      <c r="J235" s="8" t="s">
        <v>97</v>
      </c>
      <c r="K235" s="8" t="s">
        <v>146</v>
      </c>
      <c r="L235" s="18" t="str">
        <f>VLOOKUP(D235,Products!$A:$C,3,FALSE)</f>
        <v>Beauty</v>
      </c>
      <c r="N235" s="18" t="str">
        <f>VLOOKUP(C235,Customers!$A:$E,5,FALSE)</f>
        <v>Retail</v>
      </c>
      <c r="O235" s="18">
        <f>VLOOKUP(C235,Customers!$A:$C,3,FALSE)</f>
        <v>65</v>
      </c>
      <c r="T235" s="10">
        <v>8.6</v>
      </c>
    </row>
    <row r="236" spans="1:20" ht="14.25" customHeight="1" x14ac:dyDescent="0.3">
      <c r="A236" s="8" t="s">
        <v>1300</v>
      </c>
      <c r="B236" s="21">
        <v>45508</v>
      </c>
      <c r="C236" s="8" t="s">
        <v>183</v>
      </c>
      <c r="D236" s="8" t="s">
        <v>144</v>
      </c>
      <c r="E236" s="8" t="s">
        <v>117</v>
      </c>
      <c r="F236" s="10">
        <v>2</v>
      </c>
      <c r="G236" s="10">
        <v>370</v>
      </c>
      <c r="H236" s="10">
        <v>3.9</v>
      </c>
      <c r="I236" s="10">
        <v>711.14</v>
      </c>
      <c r="J236" s="8" t="s">
        <v>41</v>
      </c>
      <c r="K236" s="8" t="s">
        <v>119</v>
      </c>
      <c r="L236" s="18" t="str">
        <f>VLOOKUP(D236,Products!$A:$C,3,FALSE)</f>
        <v>Home</v>
      </c>
      <c r="N236" s="18" t="str">
        <f>VLOOKUP(C236,Customers!$A:$E,5,FALSE)</f>
        <v>SMB</v>
      </c>
      <c r="O236" s="18">
        <f>VLOOKUP(C236,Customers!$A:$C,3,FALSE)</f>
        <v>27</v>
      </c>
      <c r="P236" s="18" t="str">
        <f>VLOOKUP(E235,Sales_Reps!$A:$C,3,FALSE)</f>
        <v>West</v>
      </c>
      <c r="Q236" s="18" t="str">
        <f t="shared" ref="Q236:Q237" si="46">TEXT(B235,"MMM-YY")</f>
        <v>Sep-24</v>
      </c>
      <c r="R236">
        <f>VLOOKUP(D236, Products!A:D, 4, FALSE)</f>
        <v>288</v>
      </c>
      <c r="S236">
        <f t="shared" ref="S236:S237" si="47">(G236-R236)/G236</f>
        <v>0.22162162162162163</v>
      </c>
      <c r="T236" s="10">
        <v>10.6</v>
      </c>
    </row>
    <row r="237" spans="1:20" ht="14.25" customHeight="1" x14ac:dyDescent="0.3">
      <c r="A237" s="8" t="s">
        <v>1301</v>
      </c>
      <c r="B237" s="21">
        <v>45353</v>
      </c>
      <c r="C237" s="8" t="s">
        <v>418</v>
      </c>
      <c r="D237" s="8" t="s">
        <v>691</v>
      </c>
      <c r="E237" s="8" t="s">
        <v>321</v>
      </c>
      <c r="F237" s="10">
        <v>1</v>
      </c>
      <c r="G237" s="10">
        <v>2270</v>
      </c>
      <c r="H237" s="10">
        <v>25.3</v>
      </c>
      <c r="I237" s="10">
        <v>1695.69</v>
      </c>
      <c r="J237" s="8" t="s">
        <v>41</v>
      </c>
      <c r="K237" s="8" t="s">
        <v>42</v>
      </c>
      <c r="L237" s="18" t="str">
        <f>VLOOKUP(D237,Products!$A:$C,3,FALSE)</f>
        <v>Grocery</v>
      </c>
      <c r="N237" s="18" t="str">
        <f>VLOOKUP(C237,Customers!$A:$E,5,FALSE)</f>
        <v>Corporate</v>
      </c>
      <c r="O237" s="18">
        <f>VLOOKUP(C237,Customers!$A:$C,3,FALSE)</f>
        <v>40</v>
      </c>
      <c r="P237" s="18" t="str">
        <f>VLOOKUP(E236,Sales_Reps!$A:$C,3,FALSE)</f>
        <v>South</v>
      </c>
      <c r="Q237" s="18" t="str">
        <f t="shared" si="46"/>
        <v>Aug-24</v>
      </c>
      <c r="R237">
        <f>VLOOKUP(D237, Products!A:D, 4, FALSE)</f>
        <v>1412</v>
      </c>
      <c r="S237">
        <f t="shared" si="47"/>
        <v>0.37797356828193834</v>
      </c>
      <c r="T237" s="10">
        <v>29</v>
      </c>
    </row>
    <row r="238" spans="1:20" ht="14.25" hidden="1" customHeight="1" x14ac:dyDescent="0.3">
      <c r="A238" s="8" t="s">
        <v>1302</v>
      </c>
      <c r="B238" s="9">
        <v>45344</v>
      </c>
      <c r="C238" s="8" t="s">
        <v>759</v>
      </c>
      <c r="D238" s="8" t="s">
        <v>662</v>
      </c>
      <c r="E238" s="8" t="s">
        <v>261</v>
      </c>
      <c r="F238" s="10">
        <v>4</v>
      </c>
      <c r="G238" s="10">
        <v>6080</v>
      </c>
      <c r="H238" s="10">
        <v>28.8</v>
      </c>
      <c r="I238" s="10">
        <v>17315.84</v>
      </c>
      <c r="J238" s="8" t="s">
        <v>97</v>
      </c>
      <c r="K238" s="8" t="s">
        <v>98</v>
      </c>
      <c r="L238" s="18" t="str">
        <f>VLOOKUP(D238,Products!$A:$C,3,FALSE)</f>
        <v>Beauty</v>
      </c>
      <c r="N238" s="18" t="str">
        <f>VLOOKUP(C238,Customers!$A:$E,5,FALSE)</f>
        <v>SMB</v>
      </c>
      <c r="O238" s="18">
        <f>VLOOKUP(C238,Customers!$A:$C,3,FALSE)</f>
        <v>59</v>
      </c>
      <c r="T238" s="10">
        <v>25.6</v>
      </c>
    </row>
    <row r="239" spans="1:20" ht="14.25" customHeight="1" x14ac:dyDescent="0.3">
      <c r="A239" s="8" t="s">
        <v>1303</v>
      </c>
      <c r="B239" s="21">
        <v>45389</v>
      </c>
      <c r="C239" s="8" t="s">
        <v>647</v>
      </c>
      <c r="D239" s="8" t="s">
        <v>230</v>
      </c>
      <c r="E239" s="8" t="s">
        <v>167</v>
      </c>
      <c r="F239" s="10">
        <v>2</v>
      </c>
      <c r="G239" s="10">
        <v>5330</v>
      </c>
      <c r="H239" s="10">
        <v>23.8</v>
      </c>
      <c r="I239" s="10">
        <v>8122.92</v>
      </c>
      <c r="J239" s="8" t="s">
        <v>97</v>
      </c>
      <c r="K239" s="8" t="s">
        <v>136</v>
      </c>
      <c r="L239" s="18" t="str">
        <f>VLOOKUP(D239,Products!$A:$C,3,FALSE)</f>
        <v>Electronics</v>
      </c>
      <c r="N239" s="18" t="str">
        <f>VLOOKUP(C239,Customers!$A:$E,5,FALSE)</f>
        <v>Retail</v>
      </c>
      <c r="O239" s="18">
        <f>VLOOKUP(C239,Customers!$A:$C,3,FALSE)</f>
        <v>34</v>
      </c>
      <c r="P239" s="18" t="str">
        <f>VLOOKUP(E238,Sales_Reps!$A:$C,3,FALSE)</f>
        <v>North</v>
      </c>
      <c r="Q239" s="18" t="str">
        <f t="shared" ref="Q239:Q241" si="48">TEXT(B238,"MMM-YY")</f>
        <v>Feb-24</v>
      </c>
      <c r="R239">
        <f>VLOOKUP(D239, Products!A:D, 4, FALSE)</f>
        <v>2405</v>
      </c>
      <c r="S239">
        <f t="shared" ref="S239:S241" si="49">(G239-R239)/G239</f>
        <v>0.54878048780487809</v>
      </c>
      <c r="T239" s="10">
        <v>9.6999999999999993</v>
      </c>
    </row>
    <row r="240" spans="1:20" ht="14.25" customHeight="1" x14ac:dyDescent="0.3">
      <c r="A240" s="8" t="s">
        <v>1304</v>
      </c>
      <c r="B240" s="21">
        <v>45344</v>
      </c>
      <c r="C240" s="8" t="s">
        <v>442</v>
      </c>
      <c r="D240" s="8" t="s">
        <v>818</v>
      </c>
      <c r="E240" s="8" t="s">
        <v>153</v>
      </c>
      <c r="F240" s="10">
        <v>2</v>
      </c>
      <c r="G240" s="10">
        <v>4070</v>
      </c>
      <c r="H240" s="10">
        <v>4.3</v>
      </c>
      <c r="I240" s="10">
        <v>7789.98</v>
      </c>
      <c r="J240" s="8" t="s">
        <v>41</v>
      </c>
      <c r="K240" s="8" t="s">
        <v>98</v>
      </c>
      <c r="L240" s="18" t="str">
        <f>VLOOKUP(D240,Products!$A:$C,3,FALSE)</f>
        <v>Grocery</v>
      </c>
      <c r="N240" s="18" t="str">
        <f>VLOOKUP(C240,Customers!$A:$E,5,FALSE)</f>
        <v>Retail</v>
      </c>
      <c r="O240" s="18">
        <f>VLOOKUP(C240,Customers!$A:$C,3,FALSE)</f>
        <v>26</v>
      </c>
      <c r="P240" s="18" t="str">
        <f>VLOOKUP(E239,Sales_Reps!$A:$C,3,FALSE)</f>
        <v>East</v>
      </c>
      <c r="Q240" s="18" t="str">
        <f t="shared" si="48"/>
        <v>Apr-24</v>
      </c>
      <c r="R240">
        <f>VLOOKUP(D240, Products!A:D, 4, FALSE)</f>
        <v>2027</v>
      </c>
      <c r="S240">
        <f t="shared" si="49"/>
        <v>0.50196560196560192</v>
      </c>
      <c r="T240" s="10">
        <v>2.7</v>
      </c>
    </row>
    <row r="241" spans="1:20" ht="14.25" customHeight="1" x14ac:dyDescent="0.3">
      <c r="A241" s="8" t="s">
        <v>1305</v>
      </c>
      <c r="B241" s="21">
        <v>45480</v>
      </c>
      <c r="C241" s="8" t="s">
        <v>734</v>
      </c>
      <c r="D241" s="8" t="s">
        <v>154</v>
      </c>
      <c r="E241" s="8" t="s">
        <v>185</v>
      </c>
      <c r="F241" s="10">
        <v>6</v>
      </c>
      <c r="G241" s="10">
        <v>300</v>
      </c>
      <c r="H241" s="10">
        <v>17.399999999999999</v>
      </c>
      <c r="I241" s="10">
        <v>1486.8</v>
      </c>
      <c r="J241" s="8" t="s">
        <v>147</v>
      </c>
      <c r="K241" s="8" t="s">
        <v>42</v>
      </c>
      <c r="L241" s="18" t="str">
        <f>VLOOKUP(D241,Products!$A:$C,3,FALSE)</f>
        <v>Electronics</v>
      </c>
      <c r="N241" s="18" t="str">
        <f>VLOOKUP(C241,Customers!$A:$E,5,FALSE)</f>
        <v>Corporate</v>
      </c>
      <c r="O241" s="18">
        <f>VLOOKUP(C241,Customers!$A:$C,3,FALSE)</f>
        <v>37</v>
      </c>
      <c r="P241" s="18" t="str">
        <f>VLOOKUP(E240,Sales_Reps!$A:$C,3,FALSE)</f>
        <v>West</v>
      </c>
      <c r="Q241" s="18" t="str">
        <f t="shared" si="48"/>
        <v>Feb-24</v>
      </c>
      <c r="R241">
        <f>VLOOKUP(D241, Products!A:D, 4, FALSE)</f>
        <v>128</v>
      </c>
      <c r="S241">
        <f t="shared" si="49"/>
        <v>0.57333333333333336</v>
      </c>
      <c r="T241" s="10">
        <v>19.600000000000001</v>
      </c>
    </row>
    <row r="242" spans="1:20" ht="14.25" hidden="1" customHeight="1" x14ac:dyDescent="0.3">
      <c r="A242" s="8" t="s">
        <v>1306</v>
      </c>
      <c r="B242" s="9">
        <v>45488</v>
      </c>
      <c r="C242" s="8" t="s">
        <v>170</v>
      </c>
      <c r="D242" s="8" t="s">
        <v>283</v>
      </c>
      <c r="E242" s="8" t="s">
        <v>117</v>
      </c>
      <c r="F242" s="10">
        <v>1</v>
      </c>
      <c r="G242" s="10">
        <v>4880</v>
      </c>
      <c r="H242" s="10">
        <v>17.5</v>
      </c>
      <c r="I242" s="10">
        <v>4026</v>
      </c>
      <c r="J242" s="8" t="s">
        <v>41</v>
      </c>
      <c r="K242" s="8" t="s">
        <v>42</v>
      </c>
      <c r="L242" s="18" t="str">
        <f>VLOOKUP(D242,Products!$A:$C,3,FALSE)</f>
        <v>Beauty</v>
      </c>
      <c r="N242" s="18" t="str">
        <f>VLOOKUP(C242,Customers!$A:$E,5,FALSE)</f>
        <v>Retail</v>
      </c>
      <c r="O242" s="18">
        <f>VLOOKUP(C242,Customers!$A:$C,3,FALSE)</f>
        <v>56</v>
      </c>
      <c r="T242" s="10">
        <v>24.6</v>
      </c>
    </row>
    <row r="243" spans="1:20" ht="14.25" customHeight="1" x14ac:dyDescent="0.3">
      <c r="A243" s="8" t="s">
        <v>1307</v>
      </c>
      <c r="B243" s="21">
        <v>45326</v>
      </c>
      <c r="C243" s="8" t="s">
        <v>532</v>
      </c>
      <c r="D243" s="8" t="s">
        <v>338</v>
      </c>
      <c r="E243" s="8" t="s">
        <v>619</v>
      </c>
      <c r="F243" s="10">
        <v>3</v>
      </c>
      <c r="G243" s="10">
        <v>2860</v>
      </c>
      <c r="H243" s="10">
        <v>20.100000000000001</v>
      </c>
      <c r="I243" s="10">
        <v>6855.42</v>
      </c>
      <c r="J243" s="8" t="s">
        <v>41</v>
      </c>
      <c r="K243" s="8" t="s">
        <v>98</v>
      </c>
      <c r="L243" s="18" t="str">
        <f>VLOOKUP(D243,Products!$A:$C,3,FALSE)</f>
        <v>Sports</v>
      </c>
      <c r="N243" s="18" t="str">
        <f>VLOOKUP(C243,Customers!$A:$E,5,FALSE)</f>
        <v>Corporate</v>
      </c>
      <c r="O243" s="18">
        <f>VLOOKUP(C243,Customers!$A:$C,3,FALSE)</f>
        <v>30</v>
      </c>
      <c r="P243" s="18" t="str">
        <f>VLOOKUP(E242,Sales_Reps!$A:$C,3,FALSE)</f>
        <v>South</v>
      </c>
      <c r="Q243" s="18" t="str">
        <f>TEXT(B242,"MMM-YY")</f>
        <v>Jul-24</v>
      </c>
      <c r="R243">
        <f>VLOOKUP(D243, Products!A:D, 4, FALSE)</f>
        <v>2028</v>
      </c>
      <c r="S243">
        <f>(G243-R243)/G243</f>
        <v>0.29090909090909089</v>
      </c>
      <c r="T243" s="10">
        <v>0.7</v>
      </c>
    </row>
    <row r="244" spans="1:20" ht="14.25" hidden="1" customHeight="1" x14ac:dyDescent="0.3">
      <c r="A244" s="8" t="s">
        <v>1308</v>
      </c>
      <c r="B244" s="9">
        <v>45627</v>
      </c>
      <c r="C244" s="8" t="s">
        <v>372</v>
      </c>
      <c r="D244" s="8" t="s">
        <v>789</v>
      </c>
      <c r="E244" s="8" t="s">
        <v>261</v>
      </c>
      <c r="F244" s="10">
        <v>3</v>
      </c>
      <c r="G244" s="10">
        <v>1540</v>
      </c>
      <c r="H244" s="10">
        <v>20.9</v>
      </c>
      <c r="I244" s="10">
        <v>3654.42</v>
      </c>
      <c r="J244" s="8" t="s">
        <v>41</v>
      </c>
      <c r="K244" s="8" t="s">
        <v>42</v>
      </c>
      <c r="L244" s="18" t="str">
        <f>VLOOKUP(D244,Products!$A:$C,3,FALSE)</f>
        <v>Beauty</v>
      </c>
      <c r="N244" s="18" t="str">
        <f>VLOOKUP(C244,Customers!$A:$E,5,FALSE)</f>
        <v>SMB</v>
      </c>
      <c r="O244" s="18">
        <f>VLOOKUP(C244,Customers!$A:$C,3,FALSE)</f>
        <v>54</v>
      </c>
      <c r="T244" s="10">
        <v>10.7</v>
      </c>
    </row>
    <row r="245" spans="1:20" ht="14.25" customHeight="1" x14ac:dyDescent="0.3">
      <c r="A245" s="8" t="s">
        <v>1309</v>
      </c>
      <c r="B245" s="21">
        <v>45576</v>
      </c>
      <c r="C245" s="8" t="s">
        <v>834</v>
      </c>
      <c r="D245" s="8" t="s">
        <v>181</v>
      </c>
      <c r="E245" s="8" t="s">
        <v>177</v>
      </c>
      <c r="F245" s="10">
        <v>10</v>
      </c>
      <c r="G245" s="10">
        <v>2640</v>
      </c>
      <c r="H245" s="10">
        <v>11.2</v>
      </c>
      <c r="I245" s="10">
        <v>23443.200000000001</v>
      </c>
      <c r="J245" s="8" t="s">
        <v>97</v>
      </c>
      <c r="K245" s="8" t="s">
        <v>178</v>
      </c>
      <c r="L245" s="18" t="str">
        <f>VLOOKUP(D245,Products!$A:$C,3,FALSE)</f>
        <v>Electronics</v>
      </c>
      <c r="N245" s="18" t="str">
        <f>VLOOKUP(C245,Customers!$A:$E,5,FALSE)</f>
        <v>Retail</v>
      </c>
      <c r="O245" s="18">
        <f>VLOOKUP(C245,Customers!$A:$C,3,FALSE)</f>
        <v>22</v>
      </c>
      <c r="P245" s="18" t="str">
        <f>VLOOKUP(E244,Sales_Reps!$A:$C,3,FALSE)</f>
        <v>North</v>
      </c>
      <c r="Q245" s="18" t="str">
        <f>TEXT(B244,"MMM-YY")</f>
        <v>Dec-24</v>
      </c>
      <c r="R245">
        <f>VLOOKUP(D245, Products!A:D, 4, FALSE)</f>
        <v>1149</v>
      </c>
      <c r="S245">
        <f>(G245-R245)/G245</f>
        <v>0.56477272727272732</v>
      </c>
      <c r="T245" s="10">
        <v>29.4</v>
      </c>
    </row>
    <row r="246" spans="1:20" ht="14.25" hidden="1" customHeight="1" x14ac:dyDescent="0.3">
      <c r="A246" s="8" t="s">
        <v>1310</v>
      </c>
      <c r="B246" s="9">
        <v>45317</v>
      </c>
      <c r="C246" s="8" t="s">
        <v>504</v>
      </c>
      <c r="D246" s="8" t="s">
        <v>134</v>
      </c>
      <c r="E246" s="8" t="s">
        <v>745</v>
      </c>
      <c r="F246" s="10">
        <v>1</v>
      </c>
      <c r="G246" s="10">
        <v>3160</v>
      </c>
      <c r="H246" s="10">
        <v>11.5</v>
      </c>
      <c r="I246" s="10">
        <v>2796.6</v>
      </c>
      <c r="J246" s="8" t="s">
        <v>41</v>
      </c>
      <c r="K246" s="8" t="s">
        <v>136</v>
      </c>
      <c r="L246" s="18" t="str">
        <f>VLOOKUP(D246,Products!$A:$C,3,FALSE)</f>
        <v>Apparel</v>
      </c>
      <c r="N246" s="18" t="str">
        <f>VLOOKUP(C246,Customers!$A:$E,5,FALSE)</f>
        <v>Corporate</v>
      </c>
      <c r="O246" s="18">
        <f>VLOOKUP(C246,Customers!$A:$C,3,FALSE)</f>
        <v>42</v>
      </c>
      <c r="T246" s="10">
        <v>6.5</v>
      </c>
    </row>
    <row r="247" spans="1:20" ht="14.25" hidden="1" customHeight="1" x14ac:dyDescent="0.3">
      <c r="A247" s="8" t="s">
        <v>1311</v>
      </c>
      <c r="B247" s="9">
        <v>45650</v>
      </c>
      <c r="C247" s="8" t="s">
        <v>852</v>
      </c>
      <c r="D247" s="8" t="s">
        <v>224</v>
      </c>
      <c r="E247" s="8" t="s">
        <v>38</v>
      </c>
      <c r="F247" s="10">
        <v>4</v>
      </c>
      <c r="G247" s="10">
        <v>1080</v>
      </c>
      <c r="H247" s="10">
        <v>20.7</v>
      </c>
      <c r="I247" s="10">
        <v>3425.76</v>
      </c>
      <c r="J247" s="8" t="s">
        <v>97</v>
      </c>
      <c r="K247" s="8" t="s">
        <v>119</v>
      </c>
      <c r="L247" s="18" t="str">
        <f>VLOOKUP(D247,Products!$A:$C,3,FALSE)</f>
        <v>Home</v>
      </c>
      <c r="N247" s="18" t="str">
        <f>VLOOKUP(C247,Customers!$A:$E,5,FALSE)</f>
        <v>SMB</v>
      </c>
      <c r="O247" s="18">
        <f>VLOOKUP(C247,Customers!$A:$C,3,FALSE)</f>
        <v>48</v>
      </c>
      <c r="T247" s="10">
        <v>19.8</v>
      </c>
    </row>
    <row r="248" spans="1:20" ht="14.25" customHeight="1" x14ac:dyDescent="0.3">
      <c r="A248" s="8" t="s">
        <v>1312</v>
      </c>
      <c r="B248" s="21">
        <v>45585</v>
      </c>
      <c r="C248" s="8" t="s">
        <v>717</v>
      </c>
      <c r="D248" s="8" t="s">
        <v>260</v>
      </c>
      <c r="E248" s="8" t="s">
        <v>745</v>
      </c>
      <c r="F248" s="10">
        <v>4</v>
      </c>
      <c r="G248" s="10">
        <v>1010</v>
      </c>
      <c r="H248" s="10">
        <v>29.5</v>
      </c>
      <c r="I248" s="10">
        <v>2848.2</v>
      </c>
      <c r="J248" s="8" t="s">
        <v>97</v>
      </c>
      <c r="K248" s="8" t="s">
        <v>146</v>
      </c>
      <c r="L248" s="18" t="str">
        <f>VLOOKUP(D248,Products!$A:$C,3,FALSE)</f>
        <v>Sports</v>
      </c>
      <c r="N248" s="18" t="str">
        <f>VLOOKUP(C248,Customers!$A:$E,5,FALSE)</f>
        <v>Retail</v>
      </c>
      <c r="O248" s="18">
        <f>VLOOKUP(C248,Customers!$A:$C,3,FALSE)</f>
        <v>39</v>
      </c>
      <c r="P248" s="18" t="str">
        <f>VLOOKUP(E247,Sales_Reps!$A:$C,3,FALSE)</f>
        <v>North</v>
      </c>
      <c r="Q248" s="18" t="str">
        <f t="shared" ref="Q248:Q249" si="50">TEXT(B247,"MMM-YY")</f>
        <v>Dec-24</v>
      </c>
      <c r="R248">
        <f>VLOOKUP(D248, Products!A:D, 4, FALSE)</f>
        <v>516</v>
      </c>
      <c r="S248">
        <f t="shared" ref="S248:S249" si="51">(G248-R248)/G248</f>
        <v>0.4891089108910891</v>
      </c>
      <c r="T248" s="10">
        <v>29.5</v>
      </c>
    </row>
    <row r="249" spans="1:20" ht="14.25" customHeight="1" x14ac:dyDescent="0.3">
      <c r="A249" s="8" t="s">
        <v>970</v>
      </c>
      <c r="B249" s="21">
        <v>45545</v>
      </c>
      <c r="C249" s="8" t="s">
        <v>384</v>
      </c>
      <c r="D249" s="8" t="s">
        <v>184</v>
      </c>
      <c r="E249" s="8" t="s">
        <v>619</v>
      </c>
      <c r="F249" s="10">
        <v>7</v>
      </c>
      <c r="G249" s="10">
        <v>2600</v>
      </c>
      <c r="H249" s="10">
        <v>6.6</v>
      </c>
      <c r="I249" s="10">
        <v>16998.8</v>
      </c>
      <c r="J249" s="8" t="s">
        <v>41</v>
      </c>
      <c r="K249" s="8" t="s">
        <v>136</v>
      </c>
      <c r="L249" s="18" t="str">
        <f>VLOOKUP(D249,Products!$A:$C,3,FALSE)</f>
        <v>Electronics</v>
      </c>
      <c r="N249" s="18" t="str">
        <f>VLOOKUP(C249,Customers!$A:$E,5,FALSE)</f>
        <v>Corporate</v>
      </c>
      <c r="O249" s="18">
        <f>VLOOKUP(C249,Customers!$A:$C,3,FALSE)</f>
        <v>26</v>
      </c>
      <c r="P249" s="18" t="str">
        <f>VLOOKUP(E248,Sales_Reps!$A:$C,3,FALSE)</f>
        <v>South</v>
      </c>
      <c r="Q249" s="18" t="str">
        <f t="shared" si="50"/>
        <v>Oct-24</v>
      </c>
      <c r="R249">
        <f>VLOOKUP(D249, Products!A:D, 4, FALSE)</f>
        <v>1052</v>
      </c>
      <c r="S249">
        <f t="shared" si="51"/>
        <v>0.5953846153846154</v>
      </c>
      <c r="T249" s="10">
        <v>11.6</v>
      </c>
    </row>
    <row r="250" spans="1:20" ht="14.25" hidden="1" customHeight="1" x14ac:dyDescent="0.3">
      <c r="A250" s="8" t="s">
        <v>1313</v>
      </c>
      <c r="B250" s="9">
        <v>45395</v>
      </c>
      <c r="C250" s="8" t="s">
        <v>672</v>
      </c>
      <c r="D250" s="8" t="s">
        <v>898</v>
      </c>
      <c r="E250" s="8" t="s">
        <v>214</v>
      </c>
      <c r="F250" s="10">
        <v>4</v>
      </c>
      <c r="G250" s="10">
        <v>2510</v>
      </c>
      <c r="H250" s="10">
        <v>1</v>
      </c>
      <c r="I250" s="10">
        <v>9939.6</v>
      </c>
      <c r="J250" s="8" t="s">
        <v>41</v>
      </c>
      <c r="K250" s="8" t="s">
        <v>119</v>
      </c>
      <c r="L250" s="18" t="str">
        <f>VLOOKUP(D250,Products!$A:$C,3,FALSE)</f>
        <v>Apparel</v>
      </c>
      <c r="N250" s="18" t="str">
        <f>VLOOKUP(C250,Customers!$A:$E,5,FALSE)</f>
        <v>SMB</v>
      </c>
      <c r="O250" s="18">
        <f>VLOOKUP(C250,Customers!$A:$C,3,FALSE)</f>
        <v>55</v>
      </c>
      <c r="T250" s="10">
        <v>11.6</v>
      </c>
    </row>
    <row r="251" spans="1:20" ht="14.25" hidden="1" customHeight="1" x14ac:dyDescent="0.3">
      <c r="A251" s="8" t="s">
        <v>1314</v>
      </c>
      <c r="B251" s="9">
        <v>45636</v>
      </c>
      <c r="C251" s="8" t="s">
        <v>740</v>
      </c>
      <c r="D251" s="8" t="s">
        <v>818</v>
      </c>
      <c r="E251" s="8" t="s">
        <v>196</v>
      </c>
      <c r="F251" s="10">
        <v>9</v>
      </c>
      <c r="G251" s="10">
        <v>4070</v>
      </c>
      <c r="H251" s="10">
        <v>6.7</v>
      </c>
      <c r="I251" s="10">
        <v>34175.79</v>
      </c>
      <c r="J251" s="8" t="s">
        <v>147</v>
      </c>
      <c r="K251" s="8" t="s">
        <v>98</v>
      </c>
      <c r="L251" s="18" t="str">
        <f>VLOOKUP(D251,Products!$A:$C,3,FALSE)</f>
        <v>Grocery</v>
      </c>
      <c r="N251" s="18" t="str">
        <f>VLOOKUP(C251,Customers!$A:$E,5,FALSE)</f>
        <v>Retail</v>
      </c>
      <c r="O251" s="18">
        <f>VLOOKUP(C251,Customers!$A:$C,3,FALSE)</f>
        <v>61</v>
      </c>
      <c r="T251" s="10">
        <v>15.3</v>
      </c>
    </row>
    <row r="252" spans="1:20" ht="14.25" customHeight="1" x14ac:dyDescent="0.3">
      <c r="A252" s="8" t="s">
        <v>1315</v>
      </c>
      <c r="B252" s="21">
        <v>45612</v>
      </c>
      <c r="C252" s="8" t="s">
        <v>382</v>
      </c>
      <c r="D252" s="8" t="s">
        <v>95</v>
      </c>
      <c r="E252" s="8" t="s">
        <v>177</v>
      </c>
      <c r="F252" s="10">
        <v>6</v>
      </c>
      <c r="G252" s="10">
        <v>820</v>
      </c>
      <c r="H252" s="10">
        <v>14</v>
      </c>
      <c r="I252" s="10">
        <v>4231.2</v>
      </c>
      <c r="J252" s="8" t="s">
        <v>41</v>
      </c>
      <c r="K252" s="8" t="s">
        <v>136</v>
      </c>
      <c r="L252" s="18" t="str">
        <f>VLOOKUP(D252,Products!$A:$C,3,FALSE)</f>
        <v>Apparel</v>
      </c>
      <c r="N252" s="18" t="str">
        <f>VLOOKUP(C252,Customers!$A:$E,5,FALSE)</f>
        <v>Retail</v>
      </c>
      <c r="O252" s="18">
        <f>VLOOKUP(C252,Customers!$A:$C,3,FALSE)</f>
        <v>34</v>
      </c>
      <c r="P252" s="18" t="str">
        <f>VLOOKUP(E251,Sales_Reps!$A:$C,3,FALSE)</f>
        <v>East</v>
      </c>
      <c r="Q252" s="18" t="str">
        <f>TEXT(B251,"MMM-YY")</f>
        <v>Dec-24</v>
      </c>
      <c r="R252">
        <f>VLOOKUP(D252, Products!A:D, 4, FALSE)</f>
        <v>391</v>
      </c>
      <c r="S252">
        <f>(G252-R252)/G252</f>
        <v>0.52317073170731709</v>
      </c>
      <c r="T252" s="10">
        <v>2.1</v>
      </c>
    </row>
    <row r="253" spans="1:20" ht="14.25" hidden="1" customHeight="1" x14ac:dyDescent="0.3">
      <c r="A253" s="8" t="s">
        <v>1316</v>
      </c>
      <c r="B253" s="9">
        <v>45495</v>
      </c>
      <c r="C253" s="8" t="s">
        <v>796</v>
      </c>
      <c r="D253" s="8" t="s">
        <v>171</v>
      </c>
      <c r="E253" s="8" t="s">
        <v>96</v>
      </c>
      <c r="F253" s="10">
        <v>2</v>
      </c>
      <c r="G253" s="10">
        <v>970</v>
      </c>
      <c r="H253" s="10">
        <v>23.8</v>
      </c>
      <c r="I253" s="10">
        <v>1478.28</v>
      </c>
      <c r="J253" s="8" t="s">
        <v>41</v>
      </c>
      <c r="K253" s="8" t="s">
        <v>146</v>
      </c>
      <c r="L253" s="18" t="str">
        <f>VLOOKUP(D253,Products!$A:$C,3,FALSE)</f>
        <v>Grocery</v>
      </c>
      <c r="N253" s="18" t="str">
        <f>VLOOKUP(C253,Customers!$A:$E,5,FALSE)</f>
        <v>Retail</v>
      </c>
      <c r="O253" s="18">
        <f>VLOOKUP(C253,Customers!$A:$C,3,FALSE)</f>
        <v>52</v>
      </c>
      <c r="T253" s="10">
        <v>9.6999999999999993</v>
      </c>
    </row>
    <row r="254" spans="1:20" ht="14.25" customHeight="1" x14ac:dyDescent="0.3">
      <c r="A254" s="8" t="s">
        <v>1317</v>
      </c>
      <c r="B254" s="21">
        <v>45337</v>
      </c>
      <c r="C254" s="8" t="s">
        <v>195</v>
      </c>
      <c r="D254" s="8" t="s">
        <v>818</v>
      </c>
      <c r="E254" s="8" t="s">
        <v>189</v>
      </c>
      <c r="F254" s="10">
        <v>4</v>
      </c>
      <c r="G254" s="10">
        <v>4070</v>
      </c>
      <c r="H254" s="10">
        <v>19</v>
      </c>
      <c r="I254" s="10">
        <v>13186.8</v>
      </c>
      <c r="J254" s="8" t="s">
        <v>97</v>
      </c>
      <c r="K254" s="8" t="s">
        <v>42</v>
      </c>
      <c r="L254" s="18" t="str">
        <f>VLOOKUP(D254,Products!$A:$C,3,FALSE)</f>
        <v>Grocery</v>
      </c>
      <c r="N254" s="18" t="str">
        <f>VLOOKUP(C254,Customers!$A:$E,5,FALSE)</f>
        <v>Corporate</v>
      </c>
      <c r="O254" s="18">
        <f>VLOOKUP(C254,Customers!$A:$C,3,FALSE)</f>
        <v>40</v>
      </c>
      <c r="P254" s="18" t="str">
        <f>VLOOKUP(E253,Sales_Reps!$A:$C,3,FALSE)</f>
        <v>North</v>
      </c>
      <c r="Q254" s="18" t="str">
        <f>TEXT(B253,"MMM-YY")</f>
        <v>Jul-24</v>
      </c>
      <c r="R254">
        <f>VLOOKUP(D254, Products!A:D, 4, FALSE)</f>
        <v>2027</v>
      </c>
      <c r="S254">
        <f>(G254-R254)/G254</f>
        <v>0.50196560196560192</v>
      </c>
      <c r="T254" s="10">
        <v>17.7</v>
      </c>
    </row>
    <row r="255" spans="1:20" ht="14.25" hidden="1" customHeight="1" x14ac:dyDescent="0.3">
      <c r="A255" s="8" t="s">
        <v>1318</v>
      </c>
      <c r="B255" s="9">
        <v>45333</v>
      </c>
      <c r="C255" s="8" t="s">
        <v>620</v>
      </c>
      <c r="D255" s="8" t="s">
        <v>215</v>
      </c>
      <c r="E255" s="8" t="s">
        <v>121</v>
      </c>
      <c r="F255" s="10">
        <v>3</v>
      </c>
      <c r="G255" s="10">
        <v>3450</v>
      </c>
      <c r="H255" s="10">
        <v>4.4000000000000004</v>
      </c>
      <c r="I255" s="10">
        <v>9894.6</v>
      </c>
      <c r="J255" s="8" t="s">
        <v>147</v>
      </c>
      <c r="K255" s="8" t="s">
        <v>136</v>
      </c>
      <c r="L255" s="18" t="str">
        <f>VLOOKUP(D255,Products!$A:$C,3,FALSE)</f>
        <v>Beauty</v>
      </c>
      <c r="N255" s="18" t="str">
        <f>VLOOKUP(C255,Customers!$A:$E,5,FALSE)</f>
        <v>SMB</v>
      </c>
      <c r="O255" s="18">
        <f>VLOOKUP(C255,Customers!$A:$C,3,FALSE)</f>
        <v>42</v>
      </c>
      <c r="T255" s="10">
        <v>2.1</v>
      </c>
    </row>
    <row r="256" spans="1:20" ht="14.25" hidden="1" customHeight="1" x14ac:dyDescent="0.3">
      <c r="A256" s="8" t="s">
        <v>1319</v>
      </c>
      <c r="B256" s="9">
        <v>45511</v>
      </c>
      <c r="C256" s="8" t="s">
        <v>698</v>
      </c>
      <c r="D256" s="8" t="s">
        <v>624</v>
      </c>
      <c r="E256" s="8" t="s">
        <v>177</v>
      </c>
      <c r="F256" s="10">
        <v>5</v>
      </c>
      <c r="G256" s="10">
        <v>3780</v>
      </c>
      <c r="H256" s="10">
        <v>13.5</v>
      </c>
      <c r="I256" s="10">
        <v>16348.5</v>
      </c>
      <c r="J256" s="8" t="s">
        <v>41</v>
      </c>
      <c r="K256" s="8" t="s">
        <v>146</v>
      </c>
      <c r="L256" s="18" t="str">
        <f>VLOOKUP(D256,Products!$A:$C,3,FALSE)</f>
        <v>Grocery</v>
      </c>
      <c r="N256" s="18" t="str">
        <f>VLOOKUP(C256,Customers!$A:$E,5,FALSE)</f>
        <v>Retail</v>
      </c>
      <c r="O256" s="18">
        <f>VLOOKUP(C256,Customers!$A:$C,3,FALSE)</f>
        <v>49</v>
      </c>
      <c r="T256" s="10">
        <v>27.5</v>
      </c>
    </row>
    <row r="257" spans="1:20" ht="14.25" hidden="1" customHeight="1" x14ac:dyDescent="0.3">
      <c r="A257" s="8" t="s">
        <v>1320</v>
      </c>
      <c r="B257" s="9">
        <v>45595</v>
      </c>
      <c r="C257" s="8" t="s">
        <v>772</v>
      </c>
      <c r="D257" s="8" t="s">
        <v>152</v>
      </c>
      <c r="E257" s="8" t="s">
        <v>185</v>
      </c>
      <c r="F257" s="10">
        <v>1</v>
      </c>
      <c r="G257" s="10">
        <v>960</v>
      </c>
      <c r="H257" s="10">
        <v>29.2</v>
      </c>
      <c r="I257" s="10">
        <v>679.68</v>
      </c>
      <c r="J257" s="8" t="s">
        <v>41</v>
      </c>
      <c r="K257" s="8" t="s">
        <v>146</v>
      </c>
      <c r="L257" s="18" t="str">
        <f>VLOOKUP(D257,Products!$A:$C,3,FALSE)</f>
        <v>Sports</v>
      </c>
      <c r="N257" s="18" t="str">
        <f>VLOOKUP(C257,Customers!$A:$E,5,FALSE)</f>
        <v>Retail</v>
      </c>
      <c r="O257" s="18">
        <f>VLOOKUP(C257,Customers!$A:$C,3,FALSE)</f>
        <v>44</v>
      </c>
      <c r="T257" s="10">
        <v>6.7</v>
      </c>
    </row>
    <row r="258" spans="1:20" ht="14.25" hidden="1" customHeight="1" x14ac:dyDescent="0.3">
      <c r="A258" s="8" t="s">
        <v>1321</v>
      </c>
      <c r="B258" s="9">
        <v>45321</v>
      </c>
      <c r="C258" s="8" t="s">
        <v>584</v>
      </c>
      <c r="D258" s="8" t="s">
        <v>211</v>
      </c>
      <c r="E258" s="8" t="s">
        <v>196</v>
      </c>
      <c r="F258" s="10">
        <v>10</v>
      </c>
      <c r="G258" s="10">
        <v>3570</v>
      </c>
      <c r="H258" s="10">
        <v>10.7</v>
      </c>
      <c r="I258" s="10">
        <v>31880.1</v>
      </c>
      <c r="J258" s="8" t="s">
        <v>41</v>
      </c>
      <c r="K258" s="8" t="s">
        <v>146</v>
      </c>
      <c r="L258" s="18" t="str">
        <f>VLOOKUP(D258,Products!$A:$C,3,FALSE)</f>
        <v>Electronics</v>
      </c>
      <c r="N258" s="18" t="str">
        <f>VLOOKUP(C258,Customers!$A:$E,5,FALSE)</f>
        <v>Retail</v>
      </c>
      <c r="O258" s="18">
        <f>VLOOKUP(C258,Customers!$A:$C,3,FALSE)</f>
        <v>53</v>
      </c>
      <c r="T258" s="10">
        <v>23.3</v>
      </c>
    </row>
    <row r="259" spans="1:20" ht="14.25" hidden="1" customHeight="1" x14ac:dyDescent="0.3">
      <c r="A259" s="8" t="s">
        <v>1322</v>
      </c>
      <c r="B259" s="9">
        <v>45511</v>
      </c>
      <c r="C259" s="8" t="s">
        <v>506</v>
      </c>
      <c r="D259" s="8" t="s">
        <v>211</v>
      </c>
      <c r="E259" s="8" t="s">
        <v>153</v>
      </c>
      <c r="F259" s="10">
        <v>7</v>
      </c>
      <c r="G259" s="10">
        <v>3570</v>
      </c>
      <c r="H259" s="10">
        <v>12.2</v>
      </c>
      <c r="I259" s="10">
        <v>21941.22</v>
      </c>
      <c r="J259" s="8" t="s">
        <v>41</v>
      </c>
      <c r="K259" s="8" t="s">
        <v>146</v>
      </c>
      <c r="L259" s="18" t="str">
        <f>VLOOKUP(D259,Products!$A:$C,3,FALSE)</f>
        <v>Electronics</v>
      </c>
      <c r="N259" s="18" t="str">
        <f>VLOOKUP(C259,Customers!$A:$E,5,FALSE)</f>
        <v>SMB</v>
      </c>
      <c r="O259" s="18">
        <f>VLOOKUP(C259,Customers!$A:$C,3,FALSE)</f>
        <v>65</v>
      </c>
      <c r="T259" s="10">
        <v>17.100000000000001</v>
      </c>
    </row>
    <row r="260" spans="1:20" ht="14.25" customHeight="1" x14ac:dyDescent="0.3">
      <c r="A260" s="8" t="s">
        <v>1323</v>
      </c>
      <c r="B260" s="21">
        <v>45575</v>
      </c>
      <c r="C260" s="8" t="s">
        <v>349</v>
      </c>
      <c r="D260" s="8" t="s">
        <v>224</v>
      </c>
      <c r="E260" s="8" t="s">
        <v>117</v>
      </c>
      <c r="F260" s="10">
        <v>6</v>
      </c>
      <c r="G260" s="10">
        <v>1080</v>
      </c>
      <c r="H260" s="10">
        <v>19.8</v>
      </c>
      <c r="I260" s="10">
        <v>5196.96</v>
      </c>
      <c r="J260" s="8" t="s">
        <v>41</v>
      </c>
      <c r="K260" s="8" t="s">
        <v>136</v>
      </c>
      <c r="L260" s="18" t="str">
        <f>VLOOKUP(D260,Products!$A:$C,3,FALSE)</f>
        <v>Home</v>
      </c>
      <c r="N260" s="18" t="str">
        <f>VLOOKUP(C260,Customers!$A:$E,5,FALSE)</f>
        <v>SMB</v>
      </c>
      <c r="O260" s="18">
        <f>VLOOKUP(C260,Customers!$A:$C,3,FALSE)</f>
        <v>26</v>
      </c>
      <c r="P260" s="18" t="str">
        <f>VLOOKUP(E259,Sales_Reps!$A:$C,3,FALSE)</f>
        <v>West</v>
      </c>
      <c r="Q260" s="18" t="str">
        <f t="shared" ref="Q260:Q262" si="52">TEXT(B259,"MMM-YY")</f>
        <v>Aug-24</v>
      </c>
      <c r="R260">
        <f>VLOOKUP(D260, Products!A:D, 4, FALSE)</f>
        <v>519</v>
      </c>
      <c r="S260">
        <f t="shared" ref="S260:S262" si="53">(G260-R260)/G260</f>
        <v>0.51944444444444449</v>
      </c>
      <c r="T260" s="10">
        <v>26.9</v>
      </c>
    </row>
    <row r="261" spans="1:20" ht="14.25" customHeight="1" x14ac:dyDescent="0.3">
      <c r="A261" s="8" t="s">
        <v>1324</v>
      </c>
      <c r="B261" s="21">
        <v>45649</v>
      </c>
      <c r="C261" s="8" t="s">
        <v>241</v>
      </c>
      <c r="D261" s="8" t="s">
        <v>889</v>
      </c>
      <c r="E261" s="8" t="s">
        <v>177</v>
      </c>
      <c r="F261" s="10">
        <v>8</v>
      </c>
      <c r="G261" s="10">
        <v>3450</v>
      </c>
      <c r="H261" s="10">
        <v>19</v>
      </c>
      <c r="I261" s="10">
        <v>22356</v>
      </c>
      <c r="J261" s="8" t="s">
        <v>41</v>
      </c>
      <c r="K261" s="8" t="s">
        <v>178</v>
      </c>
      <c r="L261" s="18" t="str">
        <f>VLOOKUP(D261,Products!$A:$C,3,FALSE)</f>
        <v>Apparel</v>
      </c>
      <c r="N261" s="18" t="str">
        <f>VLOOKUP(C261,Customers!$A:$E,5,FALSE)</f>
        <v>SMB</v>
      </c>
      <c r="O261" s="18">
        <f>VLOOKUP(C261,Customers!$A:$C,3,FALSE)</f>
        <v>40</v>
      </c>
      <c r="P261" s="18" t="str">
        <f>VLOOKUP(E260,Sales_Reps!$A:$C,3,FALSE)</f>
        <v>South</v>
      </c>
      <c r="Q261" s="18" t="str">
        <f t="shared" si="52"/>
        <v>Oct-24</v>
      </c>
      <c r="R261">
        <f>VLOOKUP(D261, Products!A:D, 4, FALSE)</f>
        <v>1748</v>
      </c>
      <c r="S261">
        <f t="shared" si="53"/>
        <v>0.49333333333333335</v>
      </c>
      <c r="T261" s="10">
        <v>21.9</v>
      </c>
    </row>
    <row r="262" spans="1:20" ht="14.25" customHeight="1" x14ac:dyDescent="0.3">
      <c r="A262" s="8" t="s">
        <v>967</v>
      </c>
      <c r="B262" s="21">
        <v>45371</v>
      </c>
      <c r="C262" s="8" t="s">
        <v>679</v>
      </c>
      <c r="D262" s="8" t="s">
        <v>131</v>
      </c>
      <c r="E262" s="8" t="s">
        <v>208</v>
      </c>
      <c r="F262" s="10">
        <v>4</v>
      </c>
      <c r="G262" s="10">
        <v>2660</v>
      </c>
      <c r="H262" s="10">
        <v>18.8</v>
      </c>
      <c r="I262" s="10">
        <v>8639.68</v>
      </c>
      <c r="J262" s="8" t="s">
        <v>97</v>
      </c>
      <c r="K262" s="8" t="s">
        <v>98</v>
      </c>
      <c r="L262" s="18" t="str">
        <f>VLOOKUP(D262,Products!$A:$C,3,FALSE)</f>
        <v>Electronics</v>
      </c>
      <c r="N262" s="18" t="str">
        <f>VLOOKUP(C262,Customers!$A:$E,5,FALSE)</f>
        <v>Corporate</v>
      </c>
      <c r="O262" s="18">
        <f>VLOOKUP(C262,Customers!$A:$C,3,FALSE)</f>
        <v>22</v>
      </c>
      <c r="P262" s="18" t="str">
        <f>VLOOKUP(E261,Sales_Reps!$A:$C,3,FALSE)</f>
        <v>South</v>
      </c>
      <c r="Q262" s="18" t="str">
        <f t="shared" si="52"/>
        <v>Dec-24</v>
      </c>
      <c r="R262">
        <f>VLOOKUP(D262, Products!A:D, 4, FALSE)</f>
        <v>1259</v>
      </c>
      <c r="S262">
        <f t="shared" si="53"/>
        <v>0.52669172932330832</v>
      </c>
      <c r="T262" s="10">
        <v>23.8</v>
      </c>
    </row>
    <row r="263" spans="1:20" ht="14.25" hidden="1" customHeight="1" x14ac:dyDescent="0.3">
      <c r="A263" s="8" t="s">
        <v>1325</v>
      </c>
      <c r="B263" s="9">
        <v>45522</v>
      </c>
      <c r="C263" s="8" t="s">
        <v>683</v>
      </c>
      <c r="D263" s="8" t="s">
        <v>205</v>
      </c>
      <c r="E263" s="8" t="s">
        <v>214</v>
      </c>
      <c r="F263" s="10">
        <v>4</v>
      </c>
      <c r="G263" s="10">
        <v>2400</v>
      </c>
      <c r="H263" s="10">
        <v>5.6</v>
      </c>
      <c r="I263" s="10">
        <v>9062.4</v>
      </c>
      <c r="J263" s="8" t="s">
        <v>41</v>
      </c>
      <c r="K263" s="8" t="s">
        <v>178</v>
      </c>
      <c r="L263" s="18" t="str">
        <f>VLOOKUP(D263,Products!$A:$C,3,FALSE)</f>
        <v>Sports</v>
      </c>
      <c r="N263" s="18" t="str">
        <f>VLOOKUP(C263,Customers!$A:$E,5,FALSE)</f>
        <v>Corporate</v>
      </c>
      <c r="O263" s="18">
        <f>VLOOKUP(C263,Customers!$A:$C,3,FALSE)</f>
        <v>46</v>
      </c>
      <c r="T263" s="10">
        <v>0.4</v>
      </c>
    </row>
    <row r="264" spans="1:20" ht="14.25" customHeight="1" x14ac:dyDescent="0.3">
      <c r="A264" s="8" t="s">
        <v>947</v>
      </c>
      <c r="B264" s="21">
        <v>45513</v>
      </c>
      <c r="C264" s="8" t="s">
        <v>494</v>
      </c>
      <c r="D264" s="8" t="s">
        <v>184</v>
      </c>
      <c r="E264" s="8" t="s">
        <v>200</v>
      </c>
      <c r="F264" s="10">
        <v>10</v>
      </c>
      <c r="G264" s="10">
        <v>2600</v>
      </c>
      <c r="H264" s="10">
        <v>24.7</v>
      </c>
      <c r="I264" s="10">
        <v>19578</v>
      </c>
      <c r="J264" s="8" t="s">
        <v>41</v>
      </c>
      <c r="K264" s="8" t="s">
        <v>42</v>
      </c>
      <c r="L264" s="18" t="str">
        <f>VLOOKUP(D264,Products!$A:$C,3,FALSE)</f>
        <v>Electronics</v>
      </c>
      <c r="N264" s="18" t="str">
        <f>VLOOKUP(C264,Customers!$A:$E,5,FALSE)</f>
        <v>Corporate</v>
      </c>
      <c r="O264" s="18">
        <f>VLOOKUP(C264,Customers!$A:$C,3,FALSE)</f>
        <v>31</v>
      </c>
      <c r="P264" s="18" t="str">
        <f>VLOOKUP(E263,Sales_Reps!$A:$C,3,FALSE)</f>
        <v>South</v>
      </c>
      <c r="Q264" s="18" t="str">
        <f t="shared" ref="Q264:Q266" si="54">TEXT(B263,"MMM-YY")</f>
        <v>Aug-24</v>
      </c>
      <c r="R264">
        <f>VLOOKUP(D264, Products!A:D, 4, FALSE)</f>
        <v>1052</v>
      </c>
      <c r="S264">
        <f t="shared" ref="S264:S266" si="55">(G264-R264)/G264</f>
        <v>0.5953846153846154</v>
      </c>
      <c r="T264" s="10">
        <v>19.100000000000001</v>
      </c>
    </row>
    <row r="265" spans="1:20" ht="14.25" customHeight="1" x14ac:dyDescent="0.3">
      <c r="A265" s="8" t="s">
        <v>1326</v>
      </c>
      <c r="B265" s="21">
        <v>45513</v>
      </c>
      <c r="C265" s="8" t="s">
        <v>549</v>
      </c>
      <c r="D265" s="8" t="s">
        <v>912</v>
      </c>
      <c r="E265" s="8" t="s">
        <v>185</v>
      </c>
      <c r="F265" s="10">
        <v>3</v>
      </c>
      <c r="G265" s="10">
        <v>4060</v>
      </c>
      <c r="H265" s="10">
        <v>6.9</v>
      </c>
      <c r="I265" s="10">
        <v>11339.58</v>
      </c>
      <c r="J265" s="8" t="s">
        <v>41</v>
      </c>
      <c r="K265" s="8" t="s">
        <v>119</v>
      </c>
      <c r="L265" s="18" t="str">
        <f>VLOOKUP(D265,Products!$A:$C,3,FALSE)</f>
        <v>Grocery</v>
      </c>
      <c r="N265" s="18" t="str">
        <f>VLOOKUP(C265,Customers!$A:$E,5,FALSE)</f>
        <v>Retail</v>
      </c>
      <c r="O265" s="18">
        <f>VLOOKUP(C265,Customers!$A:$C,3,FALSE)</f>
        <v>40</v>
      </c>
      <c r="P265" s="18" t="str">
        <f>VLOOKUP(E264,Sales_Reps!$A:$C,3,FALSE)</f>
        <v>North</v>
      </c>
      <c r="Q265" s="18" t="str">
        <f t="shared" si="54"/>
        <v>Aug-24</v>
      </c>
      <c r="R265">
        <f>VLOOKUP(D265, Products!A:D, 4, FALSE)</f>
        <v>2911</v>
      </c>
      <c r="S265">
        <f t="shared" si="55"/>
        <v>0.28300492610837441</v>
      </c>
      <c r="T265" s="10">
        <v>16.899999999999999</v>
      </c>
    </row>
    <row r="266" spans="1:20" ht="14.25" customHeight="1" x14ac:dyDescent="0.3">
      <c r="A266" s="8" t="s">
        <v>1327</v>
      </c>
      <c r="B266" s="21">
        <v>45465</v>
      </c>
      <c r="C266" s="8" t="s">
        <v>564</v>
      </c>
      <c r="D266" s="8" t="s">
        <v>163</v>
      </c>
      <c r="E266" s="8" t="s">
        <v>208</v>
      </c>
      <c r="F266" s="10">
        <v>6</v>
      </c>
      <c r="G266" s="10">
        <v>5490</v>
      </c>
      <c r="H266" s="10">
        <v>8.4</v>
      </c>
      <c r="I266" s="10">
        <v>30173.040000000001</v>
      </c>
      <c r="J266" s="8" t="s">
        <v>41</v>
      </c>
      <c r="K266" s="8" t="s">
        <v>178</v>
      </c>
      <c r="L266" s="18" t="str">
        <f>VLOOKUP(D266,Products!$A:$C,3,FALSE)</f>
        <v>Home</v>
      </c>
      <c r="N266" s="18" t="str">
        <f>VLOOKUP(C266,Customers!$A:$E,5,FALSE)</f>
        <v>Corporate</v>
      </c>
      <c r="O266" s="18">
        <f>VLOOKUP(C266,Customers!$A:$C,3,FALSE)</f>
        <v>22</v>
      </c>
      <c r="P266" s="18" t="str">
        <f>VLOOKUP(E265,Sales_Reps!$A:$C,3,FALSE)</f>
        <v>North</v>
      </c>
      <c r="Q266" s="18" t="str">
        <f t="shared" si="54"/>
        <v>Aug-24</v>
      </c>
      <c r="R266">
        <f>VLOOKUP(D266, Products!A:D, 4, FALSE)</f>
        <v>2549</v>
      </c>
      <c r="S266">
        <f t="shared" si="55"/>
        <v>0.53570127504553733</v>
      </c>
      <c r="T266" s="10">
        <v>13.2</v>
      </c>
    </row>
    <row r="267" spans="1:20" ht="14.25" hidden="1" customHeight="1" x14ac:dyDescent="0.3">
      <c r="A267" s="8" t="s">
        <v>1328</v>
      </c>
      <c r="B267" s="9">
        <v>45407</v>
      </c>
      <c r="C267" s="8" t="s">
        <v>610</v>
      </c>
      <c r="D267" s="8" t="s">
        <v>144</v>
      </c>
      <c r="E267" s="8" t="s">
        <v>167</v>
      </c>
      <c r="F267" s="10">
        <v>6</v>
      </c>
      <c r="G267" s="10">
        <v>370</v>
      </c>
      <c r="H267" s="10">
        <v>15.1</v>
      </c>
      <c r="I267" s="10">
        <v>1884.78</v>
      </c>
      <c r="J267" s="8" t="s">
        <v>41</v>
      </c>
      <c r="K267" s="8" t="s">
        <v>42</v>
      </c>
      <c r="L267" s="18" t="str">
        <f>VLOOKUP(D267,Products!$A:$C,3,FALSE)</f>
        <v>Home</v>
      </c>
      <c r="N267" s="18" t="str">
        <f>VLOOKUP(C267,Customers!$A:$E,5,FALSE)</f>
        <v>Retail</v>
      </c>
      <c r="O267" s="18">
        <f>VLOOKUP(C267,Customers!$A:$C,3,FALSE)</f>
        <v>49</v>
      </c>
      <c r="T267" s="10">
        <v>19.7</v>
      </c>
    </row>
    <row r="268" spans="1:20" ht="14.25" customHeight="1" x14ac:dyDescent="0.3">
      <c r="A268" s="8" t="s">
        <v>1329</v>
      </c>
      <c r="B268" s="21">
        <v>45405</v>
      </c>
      <c r="C268" s="8" t="s">
        <v>645</v>
      </c>
      <c r="D268" s="8" t="s">
        <v>896</v>
      </c>
      <c r="E268" s="8" t="s">
        <v>208</v>
      </c>
      <c r="F268" s="10">
        <v>5</v>
      </c>
      <c r="G268" s="10">
        <v>620</v>
      </c>
      <c r="H268" s="10">
        <v>13.1</v>
      </c>
      <c r="I268" s="10">
        <v>2693.9</v>
      </c>
      <c r="J268" s="8" t="s">
        <v>147</v>
      </c>
      <c r="K268" s="8" t="s">
        <v>119</v>
      </c>
      <c r="L268" s="18" t="str">
        <f>VLOOKUP(D268,Products!$A:$C,3,FALSE)</f>
        <v>Apparel</v>
      </c>
      <c r="N268" s="18" t="str">
        <f>VLOOKUP(C268,Customers!$A:$E,5,FALSE)</f>
        <v>SMB</v>
      </c>
      <c r="O268" s="18">
        <f>VLOOKUP(C268,Customers!$A:$C,3,FALSE)</f>
        <v>38</v>
      </c>
      <c r="P268" s="18" t="str">
        <f>VLOOKUP(E267,Sales_Reps!$A:$C,3,FALSE)</f>
        <v>East</v>
      </c>
      <c r="Q268" s="18" t="str">
        <f t="shared" ref="Q268:Q269" si="56">TEXT(B267,"MMM-YY")</f>
        <v>Apr-24</v>
      </c>
      <c r="R268">
        <f>VLOOKUP(D268, Products!A:D, 4, FALSE)</f>
        <v>396</v>
      </c>
      <c r="S268">
        <f t="shared" ref="S268:S269" si="57">(G268-R268)/G268</f>
        <v>0.36129032258064514</v>
      </c>
      <c r="T268" s="10">
        <v>10.199999999999999</v>
      </c>
    </row>
    <row r="269" spans="1:20" ht="14.25" customHeight="1" x14ac:dyDescent="0.3">
      <c r="A269" s="8" t="s">
        <v>1330</v>
      </c>
      <c r="B269" s="21">
        <v>45332</v>
      </c>
      <c r="C269" s="8" t="s">
        <v>547</v>
      </c>
      <c r="D269" s="8" t="s">
        <v>192</v>
      </c>
      <c r="E269" s="8" t="s">
        <v>236</v>
      </c>
      <c r="F269" s="10">
        <v>9</v>
      </c>
      <c r="G269" s="10">
        <v>3250</v>
      </c>
      <c r="H269" s="10">
        <v>16.5</v>
      </c>
      <c r="I269" s="10">
        <v>24423.75</v>
      </c>
      <c r="J269" s="8" t="s">
        <v>41</v>
      </c>
      <c r="K269" s="8" t="s">
        <v>98</v>
      </c>
      <c r="L269" s="18" t="str">
        <f>VLOOKUP(D269,Products!$A:$C,3,FALSE)</f>
        <v>Home</v>
      </c>
      <c r="N269" s="18" t="str">
        <f>VLOOKUP(C269,Customers!$A:$E,5,FALSE)</f>
        <v>Retail</v>
      </c>
      <c r="O269" s="18">
        <f>VLOOKUP(C269,Customers!$A:$C,3,FALSE)</f>
        <v>26</v>
      </c>
      <c r="P269" s="18" t="str">
        <f>VLOOKUP(E268,Sales_Reps!$A:$C,3,FALSE)</f>
        <v>East</v>
      </c>
      <c r="Q269" s="18" t="str">
        <f t="shared" si="56"/>
        <v>Apr-24</v>
      </c>
      <c r="R269">
        <f>VLOOKUP(D269, Products!A:D, 4, FALSE)</f>
        <v>1556</v>
      </c>
      <c r="S269">
        <f t="shared" si="57"/>
        <v>0.52123076923076928</v>
      </c>
      <c r="T269" s="10">
        <v>20.8</v>
      </c>
    </row>
    <row r="270" spans="1:20" ht="14.25" hidden="1" customHeight="1" x14ac:dyDescent="0.3">
      <c r="A270" s="8" t="s">
        <v>1331</v>
      </c>
      <c r="B270" s="9">
        <v>45299</v>
      </c>
      <c r="C270" s="8" t="s">
        <v>463</v>
      </c>
      <c r="D270" s="8" t="s">
        <v>662</v>
      </c>
      <c r="E270" s="8" t="s">
        <v>865</v>
      </c>
      <c r="F270" s="10">
        <v>1</v>
      </c>
      <c r="G270" s="10">
        <v>6080</v>
      </c>
      <c r="H270" s="10">
        <v>0.1</v>
      </c>
      <c r="I270" s="10">
        <v>6073.92</v>
      </c>
      <c r="J270" s="8" t="s">
        <v>41</v>
      </c>
      <c r="K270" s="8" t="s">
        <v>146</v>
      </c>
      <c r="L270" s="18" t="str">
        <f>VLOOKUP(D270,Products!$A:$C,3,FALSE)</f>
        <v>Beauty</v>
      </c>
      <c r="N270" s="18" t="str">
        <f>VLOOKUP(C270,Customers!$A:$E,5,FALSE)</f>
        <v>SMB</v>
      </c>
      <c r="O270" s="18">
        <f>VLOOKUP(C270,Customers!$A:$C,3,FALSE)</f>
        <v>54</v>
      </c>
      <c r="T270" s="10">
        <v>23.4</v>
      </c>
    </row>
    <row r="271" spans="1:20" ht="14.25" customHeight="1" x14ac:dyDescent="0.3">
      <c r="A271" s="8" t="s">
        <v>1332</v>
      </c>
      <c r="B271" s="21">
        <v>45386</v>
      </c>
      <c r="C271" s="8" t="s">
        <v>532</v>
      </c>
      <c r="D271" s="8" t="s">
        <v>644</v>
      </c>
      <c r="E271" s="8" t="s">
        <v>117</v>
      </c>
      <c r="F271" s="10">
        <v>8</v>
      </c>
      <c r="G271" s="10">
        <v>3640</v>
      </c>
      <c r="H271" s="10">
        <v>13.5</v>
      </c>
      <c r="I271" s="10">
        <v>25188.799999999999</v>
      </c>
      <c r="J271" s="8" t="s">
        <v>41</v>
      </c>
      <c r="K271" s="8" t="s">
        <v>98</v>
      </c>
      <c r="L271" s="18" t="str">
        <f>VLOOKUP(D271,Products!$A:$C,3,FALSE)</f>
        <v>Apparel</v>
      </c>
      <c r="N271" s="18" t="str">
        <f>VLOOKUP(C271,Customers!$A:$E,5,FALSE)</f>
        <v>Corporate</v>
      </c>
      <c r="O271" s="18">
        <f>VLOOKUP(C271,Customers!$A:$C,3,FALSE)</f>
        <v>30</v>
      </c>
      <c r="P271" s="18" t="str">
        <f>VLOOKUP(E270,Sales_Reps!$A:$C,3,FALSE)</f>
        <v>South</v>
      </c>
      <c r="Q271" s="18" t="str">
        <f>TEXT(B270,"MMM-YY")</f>
        <v>Jan-24</v>
      </c>
      <c r="R271">
        <f>VLOOKUP(D271, Products!A:D, 4, FALSE)</f>
        <v>2611</v>
      </c>
      <c r="S271">
        <f>(G271-R271)/G271</f>
        <v>0.28269230769230769</v>
      </c>
      <c r="T271" s="10">
        <v>16.100000000000001</v>
      </c>
    </row>
    <row r="272" spans="1:20" ht="14.25" hidden="1" customHeight="1" x14ac:dyDescent="0.3">
      <c r="A272" s="8" t="s">
        <v>1333</v>
      </c>
      <c r="B272" s="9">
        <v>45472</v>
      </c>
      <c r="C272" s="8" t="s">
        <v>754</v>
      </c>
      <c r="D272" s="8" t="s">
        <v>134</v>
      </c>
      <c r="E272" s="8" t="s">
        <v>96</v>
      </c>
      <c r="F272" s="10">
        <v>9</v>
      </c>
      <c r="G272" s="10">
        <v>3160</v>
      </c>
      <c r="H272" s="10">
        <v>29.7</v>
      </c>
      <c r="I272" s="10">
        <v>19993.32</v>
      </c>
      <c r="J272" s="8" t="s">
        <v>41</v>
      </c>
      <c r="K272" s="8" t="s">
        <v>119</v>
      </c>
      <c r="L272" s="18" t="str">
        <f>VLOOKUP(D272,Products!$A:$C,3,FALSE)</f>
        <v>Apparel</v>
      </c>
      <c r="N272" s="18" t="str">
        <f>VLOOKUP(C272,Customers!$A:$E,5,FALSE)</f>
        <v>Retail</v>
      </c>
      <c r="O272" s="18">
        <f>VLOOKUP(C272,Customers!$A:$C,3,FALSE)</f>
        <v>49</v>
      </c>
      <c r="T272" s="10">
        <v>1.7</v>
      </c>
    </row>
    <row r="273" spans="1:20" ht="14.25" hidden="1" customHeight="1" x14ac:dyDescent="0.3">
      <c r="A273" s="8" t="s">
        <v>1334</v>
      </c>
      <c r="B273" s="9">
        <v>45428</v>
      </c>
      <c r="C273" s="8" t="s">
        <v>652</v>
      </c>
      <c r="D273" s="8" t="s">
        <v>188</v>
      </c>
      <c r="E273" s="8" t="s">
        <v>38</v>
      </c>
      <c r="F273" s="10">
        <v>2</v>
      </c>
      <c r="G273" s="10">
        <v>3870</v>
      </c>
      <c r="H273" s="10">
        <v>18.100000000000001</v>
      </c>
      <c r="I273" s="10">
        <v>6339.06</v>
      </c>
      <c r="J273" s="8" t="s">
        <v>147</v>
      </c>
      <c r="K273" s="8" t="s">
        <v>178</v>
      </c>
      <c r="L273" s="18" t="str">
        <f>VLOOKUP(D273,Products!$A:$C,3,FALSE)</f>
        <v>Electronics</v>
      </c>
      <c r="N273" s="18" t="str">
        <f>VLOOKUP(C273,Customers!$A:$E,5,FALSE)</f>
        <v>SMB</v>
      </c>
      <c r="O273" s="18">
        <f>VLOOKUP(C273,Customers!$A:$C,3,FALSE)</f>
        <v>43</v>
      </c>
      <c r="T273" s="10">
        <v>12.2</v>
      </c>
    </row>
    <row r="274" spans="1:20" ht="14.25" hidden="1" customHeight="1" x14ac:dyDescent="0.3">
      <c r="A274" s="8" t="s">
        <v>1335</v>
      </c>
      <c r="B274" s="9">
        <v>45430</v>
      </c>
      <c r="C274" s="8" t="s">
        <v>616</v>
      </c>
      <c r="D274" s="8" t="s">
        <v>389</v>
      </c>
      <c r="E274" s="8" t="s">
        <v>143</v>
      </c>
      <c r="F274" s="10">
        <v>3</v>
      </c>
      <c r="G274" s="10">
        <v>660</v>
      </c>
      <c r="H274" s="10">
        <v>9.1999999999999993</v>
      </c>
      <c r="I274" s="10">
        <v>1797.84</v>
      </c>
      <c r="J274" s="8" t="s">
        <v>41</v>
      </c>
      <c r="K274" s="8" t="s">
        <v>119</v>
      </c>
      <c r="L274" s="18" t="str">
        <f>VLOOKUP(D274,Products!$A:$C,3,FALSE)</f>
        <v>Home</v>
      </c>
      <c r="N274" s="18" t="str">
        <f>VLOOKUP(C274,Customers!$A:$E,5,FALSE)</f>
        <v>Retail</v>
      </c>
      <c r="O274" s="18">
        <f>VLOOKUP(C274,Customers!$A:$C,3,FALSE)</f>
        <v>43</v>
      </c>
      <c r="T274" s="10">
        <v>15.8</v>
      </c>
    </row>
    <row r="275" spans="1:20" ht="14.25" customHeight="1" x14ac:dyDescent="0.3">
      <c r="A275" s="8" t="s">
        <v>1336</v>
      </c>
      <c r="B275" s="21">
        <v>45418</v>
      </c>
      <c r="C275" s="8" t="s">
        <v>563</v>
      </c>
      <c r="D275" s="8" t="s">
        <v>912</v>
      </c>
      <c r="E275" s="8" t="s">
        <v>745</v>
      </c>
      <c r="F275" s="10">
        <v>4</v>
      </c>
      <c r="G275" s="10">
        <v>4060</v>
      </c>
      <c r="H275" s="10">
        <v>28</v>
      </c>
      <c r="I275" s="10">
        <v>11692.8</v>
      </c>
      <c r="J275" s="8" t="s">
        <v>41</v>
      </c>
      <c r="K275" s="8" t="s">
        <v>98</v>
      </c>
      <c r="L275" s="18" t="str">
        <f>VLOOKUP(D275,Products!$A:$C,3,FALSE)</f>
        <v>Grocery</v>
      </c>
      <c r="N275" s="18" t="str">
        <f>VLOOKUP(C275,Customers!$A:$E,5,FALSE)</f>
        <v>Corporate</v>
      </c>
      <c r="O275" s="18">
        <f>VLOOKUP(C275,Customers!$A:$C,3,FALSE)</f>
        <v>24</v>
      </c>
      <c r="P275" s="18" t="str">
        <f>VLOOKUP(E274,Sales_Reps!$A:$C,3,FALSE)</f>
        <v>West</v>
      </c>
      <c r="Q275" s="18" t="str">
        <f t="shared" ref="Q275:Q276" si="58">TEXT(B274,"MMM-YY")</f>
        <v>May-24</v>
      </c>
      <c r="R275">
        <f>VLOOKUP(D275, Products!A:D, 4, FALSE)</f>
        <v>2911</v>
      </c>
      <c r="S275">
        <f t="shared" ref="S275:S276" si="59">(G275-R275)/G275</f>
        <v>0.28300492610837441</v>
      </c>
      <c r="T275" s="10">
        <v>9.6999999999999993</v>
      </c>
    </row>
    <row r="276" spans="1:20" ht="14.25" customHeight="1" x14ac:dyDescent="0.3">
      <c r="A276" s="8" t="s">
        <v>1337</v>
      </c>
      <c r="B276" s="21">
        <v>45360</v>
      </c>
      <c r="C276" s="8" t="s">
        <v>645</v>
      </c>
      <c r="D276" s="8" t="s">
        <v>926</v>
      </c>
      <c r="E276" s="8" t="s">
        <v>221</v>
      </c>
      <c r="F276" s="10">
        <v>2</v>
      </c>
      <c r="G276" s="10">
        <v>5080</v>
      </c>
      <c r="H276" s="10">
        <v>7.7</v>
      </c>
      <c r="I276" s="10">
        <v>9377.68</v>
      </c>
      <c r="J276" s="8" t="s">
        <v>193</v>
      </c>
      <c r="K276" s="8" t="s">
        <v>119</v>
      </c>
      <c r="L276" s="18" t="str">
        <f>VLOOKUP(D276,Products!$A:$C,3,FALSE)</f>
        <v>Home</v>
      </c>
      <c r="N276" s="18" t="str">
        <f>VLOOKUP(C276,Customers!$A:$E,5,FALSE)</f>
        <v>SMB</v>
      </c>
      <c r="O276" s="18">
        <f>VLOOKUP(C276,Customers!$A:$C,3,FALSE)</f>
        <v>38</v>
      </c>
      <c r="P276" s="18" t="str">
        <f>VLOOKUP(E275,Sales_Reps!$A:$C,3,FALSE)</f>
        <v>South</v>
      </c>
      <c r="Q276" s="18" t="str">
        <f t="shared" si="58"/>
        <v>May-24</v>
      </c>
      <c r="R276">
        <f>VLOOKUP(D276, Products!A:D, 4, FALSE)</f>
        <v>2459</v>
      </c>
      <c r="S276">
        <f t="shared" si="59"/>
        <v>0.51594488188976373</v>
      </c>
      <c r="T276" s="10">
        <v>2.5</v>
      </c>
    </row>
    <row r="277" spans="1:20" ht="14.25" hidden="1" customHeight="1" x14ac:dyDescent="0.3">
      <c r="A277" s="8" t="s">
        <v>1338</v>
      </c>
      <c r="B277" s="9">
        <v>45296</v>
      </c>
      <c r="C277" s="8" t="s">
        <v>296</v>
      </c>
      <c r="D277" s="8" t="s">
        <v>211</v>
      </c>
      <c r="E277" s="8" t="s">
        <v>96</v>
      </c>
      <c r="F277" s="10">
        <v>3</v>
      </c>
      <c r="G277" s="10">
        <v>3570</v>
      </c>
      <c r="H277" s="10">
        <v>9.5</v>
      </c>
      <c r="I277" s="10">
        <v>9692.5499999999993</v>
      </c>
      <c r="J277" s="8" t="s">
        <v>41</v>
      </c>
      <c r="K277" s="8" t="s">
        <v>178</v>
      </c>
      <c r="L277" s="18" t="str">
        <f>VLOOKUP(D277,Products!$A:$C,3,FALSE)</f>
        <v>Electronics</v>
      </c>
      <c r="N277" s="18" t="str">
        <f>VLOOKUP(C277,Customers!$A:$E,5,FALSE)</f>
        <v>Retail</v>
      </c>
      <c r="O277" s="18">
        <f>VLOOKUP(C277,Customers!$A:$C,3,FALSE)</f>
        <v>46</v>
      </c>
      <c r="T277" s="10">
        <v>20.3</v>
      </c>
    </row>
    <row r="278" spans="1:20" ht="14.25" customHeight="1" x14ac:dyDescent="0.3">
      <c r="A278" s="8" t="s">
        <v>1339</v>
      </c>
      <c r="B278" s="21">
        <v>45460</v>
      </c>
      <c r="C278" s="8" t="s">
        <v>649</v>
      </c>
      <c r="D278" s="8" t="s">
        <v>896</v>
      </c>
      <c r="E278" s="8" t="s">
        <v>321</v>
      </c>
      <c r="F278" s="10">
        <v>2</v>
      </c>
      <c r="G278" s="10">
        <v>620</v>
      </c>
      <c r="H278" s="10">
        <v>29.5</v>
      </c>
      <c r="I278" s="10">
        <v>874.2</v>
      </c>
      <c r="J278" s="8" t="s">
        <v>41</v>
      </c>
      <c r="K278" s="8" t="s">
        <v>146</v>
      </c>
      <c r="L278" s="18" t="str">
        <f>VLOOKUP(D278,Products!$A:$C,3,FALSE)</f>
        <v>Apparel</v>
      </c>
      <c r="N278" s="18" t="str">
        <f>VLOOKUP(C278,Customers!$A:$E,5,FALSE)</f>
        <v>SMB</v>
      </c>
      <c r="O278" s="18">
        <f>VLOOKUP(C278,Customers!$A:$C,3,FALSE)</f>
        <v>27</v>
      </c>
      <c r="P278" s="18" t="str">
        <f>VLOOKUP(E277,Sales_Reps!$A:$C,3,FALSE)</f>
        <v>North</v>
      </c>
      <c r="Q278" s="18" t="str">
        <f>TEXT(B277,"MMM-YY")</f>
        <v>Jan-24</v>
      </c>
      <c r="R278">
        <f>VLOOKUP(D278, Products!A:D, 4, FALSE)</f>
        <v>396</v>
      </c>
      <c r="S278">
        <f>(G278-R278)/G278</f>
        <v>0.36129032258064514</v>
      </c>
      <c r="T278" s="10">
        <v>1.3</v>
      </c>
    </row>
    <row r="279" spans="1:20" ht="14.25" hidden="1" customHeight="1" x14ac:dyDescent="0.3">
      <c r="A279" s="8" t="s">
        <v>1340</v>
      </c>
      <c r="B279" s="9">
        <v>45638</v>
      </c>
      <c r="C279" s="8" t="s">
        <v>317</v>
      </c>
      <c r="D279" s="8" t="s">
        <v>889</v>
      </c>
      <c r="E279" s="8" t="s">
        <v>745</v>
      </c>
      <c r="F279" s="10">
        <v>3</v>
      </c>
      <c r="G279" s="10">
        <v>3450</v>
      </c>
      <c r="H279" s="10">
        <v>3</v>
      </c>
      <c r="I279" s="10">
        <v>10039.5</v>
      </c>
      <c r="J279" s="8" t="s">
        <v>41</v>
      </c>
      <c r="K279" s="8" t="s">
        <v>136</v>
      </c>
      <c r="L279" s="18" t="str">
        <f>VLOOKUP(D279,Products!$A:$C,3,FALSE)</f>
        <v>Apparel</v>
      </c>
      <c r="N279" s="18" t="str">
        <f>VLOOKUP(C279,Customers!$A:$E,5,FALSE)</f>
        <v>Retail</v>
      </c>
      <c r="O279" s="18">
        <f>VLOOKUP(C279,Customers!$A:$C,3,FALSE)</f>
        <v>59</v>
      </c>
      <c r="T279" s="10">
        <v>1.4</v>
      </c>
    </row>
    <row r="280" spans="1:20" ht="14.25" hidden="1" customHeight="1" x14ac:dyDescent="0.3">
      <c r="A280" s="8" t="s">
        <v>1341</v>
      </c>
      <c r="B280" s="9">
        <v>45408</v>
      </c>
      <c r="C280" s="8" t="s">
        <v>518</v>
      </c>
      <c r="D280" s="8" t="s">
        <v>320</v>
      </c>
      <c r="E280" s="8" t="s">
        <v>125</v>
      </c>
      <c r="F280" s="10">
        <v>7</v>
      </c>
      <c r="G280" s="10">
        <v>5100</v>
      </c>
      <c r="H280" s="10">
        <v>4.3</v>
      </c>
      <c r="I280" s="10">
        <v>34164.9</v>
      </c>
      <c r="J280" s="8" t="s">
        <v>41</v>
      </c>
      <c r="K280" s="8" t="s">
        <v>119</v>
      </c>
      <c r="L280" s="18" t="str">
        <f>VLOOKUP(D280,Products!$A:$C,3,FALSE)</f>
        <v>Beauty</v>
      </c>
      <c r="N280" s="18" t="str">
        <f>VLOOKUP(C280,Customers!$A:$E,5,FALSE)</f>
        <v>SMB</v>
      </c>
      <c r="O280" s="18">
        <f>VLOOKUP(C280,Customers!$A:$C,3,FALSE)</f>
        <v>55</v>
      </c>
      <c r="T280" s="10">
        <v>2.5</v>
      </c>
    </row>
    <row r="281" spans="1:20" ht="14.25" hidden="1" customHeight="1" x14ac:dyDescent="0.3">
      <c r="A281" s="8" t="s">
        <v>1342</v>
      </c>
      <c r="B281" s="9">
        <v>45541</v>
      </c>
      <c r="C281" s="8" t="s">
        <v>667</v>
      </c>
      <c r="D281" s="8" t="s">
        <v>188</v>
      </c>
      <c r="E281" s="8" t="s">
        <v>200</v>
      </c>
      <c r="F281" s="10">
        <v>9</v>
      </c>
      <c r="G281" s="10">
        <v>3870</v>
      </c>
      <c r="H281" s="10">
        <v>4.8</v>
      </c>
      <c r="I281" s="10">
        <v>33158.160000000003</v>
      </c>
      <c r="J281" s="8" t="s">
        <v>41</v>
      </c>
      <c r="K281" s="8" t="s">
        <v>136</v>
      </c>
      <c r="L281" s="18" t="str">
        <f>VLOOKUP(D281,Products!$A:$C,3,FALSE)</f>
        <v>Electronics</v>
      </c>
      <c r="N281" s="18" t="str">
        <f>VLOOKUP(C281,Customers!$A:$E,5,FALSE)</f>
        <v>Retail</v>
      </c>
      <c r="O281" s="18">
        <f>VLOOKUP(C281,Customers!$A:$C,3,FALSE)</f>
        <v>55</v>
      </c>
      <c r="T281" s="10">
        <v>21.5</v>
      </c>
    </row>
    <row r="282" spans="1:20" ht="14.25" customHeight="1" x14ac:dyDescent="0.3">
      <c r="A282" s="8" t="s">
        <v>1343</v>
      </c>
      <c r="B282" s="21">
        <v>45633</v>
      </c>
      <c r="C282" s="8" t="s">
        <v>195</v>
      </c>
      <c r="D282" s="8" t="s">
        <v>160</v>
      </c>
      <c r="E282" s="8" t="s">
        <v>236</v>
      </c>
      <c r="F282" s="10">
        <v>5</v>
      </c>
      <c r="G282" s="10">
        <v>1220</v>
      </c>
      <c r="H282" s="10">
        <v>4</v>
      </c>
      <c r="I282" s="10">
        <v>5856</v>
      </c>
      <c r="J282" s="8" t="s">
        <v>147</v>
      </c>
      <c r="K282" s="8" t="s">
        <v>42</v>
      </c>
      <c r="L282" s="18" t="str">
        <f>VLOOKUP(D282,Products!$A:$C,3,FALSE)</f>
        <v>Electronics</v>
      </c>
      <c r="N282" s="18" t="str">
        <f>VLOOKUP(C282,Customers!$A:$E,5,FALSE)</f>
        <v>Corporate</v>
      </c>
      <c r="O282" s="18">
        <f>VLOOKUP(C282,Customers!$A:$C,3,FALSE)</f>
        <v>40</v>
      </c>
      <c r="P282" s="18" t="str">
        <f>VLOOKUP(E281,Sales_Reps!$A:$C,3,FALSE)</f>
        <v>North</v>
      </c>
      <c r="Q282" s="18" t="str">
        <f t="shared" ref="Q282:Q284" si="60">TEXT(B281,"MMM-YY")</f>
        <v>Sep-24</v>
      </c>
      <c r="R282">
        <f>VLOOKUP(D282, Products!A:D, 4, FALSE)</f>
        <v>517</v>
      </c>
      <c r="S282">
        <f t="shared" ref="S282:S284" si="61">(G282-R282)/G282</f>
        <v>0.57622950819672136</v>
      </c>
      <c r="T282" s="10">
        <v>15.1</v>
      </c>
    </row>
    <row r="283" spans="1:20" ht="14.25" customHeight="1" x14ac:dyDescent="0.3">
      <c r="A283" s="8" t="s">
        <v>1344</v>
      </c>
      <c r="B283" s="21">
        <v>45338</v>
      </c>
      <c r="C283" s="8" t="s">
        <v>226</v>
      </c>
      <c r="D283" s="8" t="s">
        <v>163</v>
      </c>
      <c r="E283" s="8" t="s">
        <v>208</v>
      </c>
      <c r="F283" s="10">
        <v>5</v>
      </c>
      <c r="G283" s="10">
        <v>5490</v>
      </c>
      <c r="H283" s="10">
        <v>19.8</v>
      </c>
      <c r="I283" s="10">
        <v>22014.9</v>
      </c>
      <c r="J283" s="8" t="s">
        <v>41</v>
      </c>
      <c r="K283" s="8" t="s">
        <v>178</v>
      </c>
      <c r="L283" s="18" t="str">
        <f>VLOOKUP(D283,Products!$A:$C,3,FALSE)</f>
        <v>Home</v>
      </c>
      <c r="N283" s="18" t="str">
        <f>VLOOKUP(C283,Customers!$A:$E,5,FALSE)</f>
        <v>Retail</v>
      </c>
      <c r="O283" s="18">
        <f>VLOOKUP(C283,Customers!$A:$C,3,FALSE)</f>
        <v>32</v>
      </c>
      <c r="P283" s="18" t="str">
        <f>VLOOKUP(E282,Sales_Reps!$A:$C,3,FALSE)</f>
        <v>West</v>
      </c>
      <c r="Q283" s="18" t="str">
        <f t="shared" si="60"/>
        <v>Dec-24</v>
      </c>
      <c r="R283">
        <f>VLOOKUP(D283, Products!A:D, 4, FALSE)</f>
        <v>2549</v>
      </c>
      <c r="S283">
        <f t="shared" si="61"/>
        <v>0.53570127504553733</v>
      </c>
      <c r="T283" s="10">
        <v>20.100000000000001</v>
      </c>
    </row>
    <row r="284" spans="1:20" ht="14.25" customHeight="1" x14ac:dyDescent="0.3">
      <c r="A284" s="8" t="s">
        <v>1345</v>
      </c>
      <c r="B284" s="21">
        <v>45529</v>
      </c>
      <c r="C284" s="8" t="s">
        <v>309</v>
      </c>
      <c r="D284" s="8" t="s">
        <v>242</v>
      </c>
      <c r="E284" s="8" t="s">
        <v>231</v>
      </c>
      <c r="F284" s="10">
        <v>1</v>
      </c>
      <c r="G284" s="10">
        <v>1650</v>
      </c>
      <c r="H284" s="10">
        <v>26.2</v>
      </c>
      <c r="I284" s="10">
        <v>1217.7</v>
      </c>
      <c r="J284" s="8" t="s">
        <v>41</v>
      </c>
      <c r="K284" s="8" t="s">
        <v>136</v>
      </c>
      <c r="L284" s="18" t="str">
        <f>VLOOKUP(D284,Products!$A:$C,3,FALSE)</f>
        <v>Beauty</v>
      </c>
      <c r="N284" s="18" t="str">
        <f>VLOOKUP(C284,Customers!$A:$E,5,FALSE)</f>
        <v>Retail</v>
      </c>
      <c r="O284" s="18">
        <f>VLOOKUP(C284,Customers!$A:$C,3,FALSE)</f>
        <v>23</v>
      </c>
      <c r="P284" s="18" t="str">
        <f>VLOOKUP(E283,Sales_Reps!$A:$C,3,FALSE)</f>
        <v>East</v>
      </c>
      <c r="Q284" s="18" t="str">
        <f t="shared" si="60"/>
        <v>Feb-24</v>
      </c>
      <c r="R284">
        <f>VLOOKUP(D284, Products!A:D, 4, FALSE)</f>
        <v>1222</v>
      </c>
      <c r="S284">
        <f t="shared" si="61"/>
        <v>0.2593939393939394</v>
      </c>
      <c r="T284" s="10">
        <v>17.7</v>
      </c>
    </row>
    <row r="285" spans="1:20" ht="14.25" hidden="1" customHeight="1" x14ac:dyDescent="0.3">
      <c r="A285" s="8" t="s">
        <v>1346</v>
      </c>
      <c r="B285" s="9">
        <v>45460</v>
      </c>
      <c r="C285" s="8" t="s">
        <v>856</v>
      </c>
      <c r="D285" s="8" t="s">
        <v>131</v>
      </c>
      <c r="E285" s="8" t="s">
        <v>200</v>
      </c>
      <c r="F285" s="10">
        <v>1</v>
      </c>
      <c r="G285" s="10">
        <v>2660</v>
      </c>
      <c r="H285" s="10">
        <v>21</v>
      </c>
      <c r="I285" s="10">
        <v>2101.4</v>
      </c>
      <c r="J285" s="8" t="s">
        <v>41</v>
      </c>
      <c r="K285" s="8" t="s">
        <v>178</v>
      </c>
      <c r="L285" s="18" t="str">
        <f>VLOOKUP(D285,Products!$A:$C,3,FALSE)</f>
        <v>Electronics</v>
      </c>
      <c r="N285" s="18" t="str">
        <f>VLOOKUP(C285,Customers!$A:$E,5,FALSE)</f>
        <v>Retail</v>
      </c>
      <c r="O285" s="18">
        <f>VLOOKUP(C285,Customers!$A:$C,3,FALSE)</f>
        <v>50</v>
      </c>
      <c r="T285" s="10">
        <v>28.4</v>
      </c>
    </row>
    <row r="286" spans="1:20" ht="14.25" hidden="1" customHeight="1" x14ac:dyDescent="0.3">
      <c r="A286" s="8" t="s">
        <v>1347</v>
      </c>
      <c r="B286" s="9">
        <v>45375</v>
      </c>
      <c r="C286" s="8" t="s">
        <v>490</v>
      </c>
      <c r="D286" s="8" t="s">
        <v>918</v>
      </c>
      <c r="E286" s="8" t="s">
        <v>200</v>
      </c>
      <c r="F286" s="10">
        <v>6</v>
      </c>
      <c r="G286" s="10">
        <v>2210</v>
      </c>
      <c r="H286" s="10">
        <v>9.8000000000000007</v>
      </c>
      <c r="I286" s="10">
        <v>11960.52</v>
      </c>
      <c r="J286" s="8" t="s">
        <v>97</v>
      </c>
      <c r="K286" s="8" t="s">
        <v>136</v>
      </c>
      <c r="L286" s="18" t="str">
        <f>VLOOKUP(D286,Products!$A:$C,3,FALSE)</f>
        <v>Grocery</v>
      </c>
      <c r="N286" s="18" t="str">
        <f>VLOOKUP(C286,Customers!$A:$E,5,FALSE)</f>
        <v>Corporate</v>
      </c>
      <c r="O286" s="18">
        <f>VLOOKUP(C286,Customers!$A:$C,3,FALSE)</f>
        <v>59</v>
      </c>
      <c r="T286" s="10">
        <v>16.600000000000001</v>
      </c>
    </row>
    <row r="287" spans="1:20" ht="14.25" hidden="1" customHeight="1" x14ac:dyDescent="0.3">
      <c r="A287" s="8" t="s">
        <v>1348</v>
      </c>
      <c r="B287" s="9">
        <v>45310</v>
      </c>
      <c r="C287" s="8" t="s">
        <v>518</v>
      </c>
      <c r="D287" s="8" t="s">
        <v>184</v>
      </c>
      <c r="E287" s="8" t="s">
        <v>231</v>
      </c>
      <c r="F287" s="10">
        <v>9</v>
      </c>
      <c r="G287" s="10">
        <v>2600</v>
      </c>
      <c r="H287" s="10">
        <v>15.7</v>
      </c>
      <c r="I287" s="10">
        <v>19726.2</v>
      </c>
      <c r="J287" s="8" t="s">
        <v>41</v>
      </c>
      <c r="K287" s="8" t="s">
        <v>119</v>
      </c>
      <c r="L287" s="18" t="str">
        <f>VLOOKUP(D287,Products!$A:$C,3,FALSE)</f>
        <v>Electronics</v>
      </c>
      <c r="N287" s="18" t="str">
        <f>VLOOKUP(C287,Customers!$A:$E,5,FALSE)</f>
        <v>SMB</v>
      </c>
      <c r="O287" s="18">
        <f>VLOOKUP(C287,Customers!$A:$C,3,FALSE)</f>
        <v>55</v>
      </c>
      <c r="T287" s="10">
        <v>21</v>
      </c>
    </row>
    <row r="288" spans="1:20" ht="14.25" customHeight="1" x14ac:dyDescent="0.3">
      <c r="A288" s="8" t="s">
        <v>1349</v>
      </c>
      <c r="B288" s="21">
        <v>45314</v>
      </c>
      <c r="C288" s="8" t="s">
        <v>603</v>
      </c>
      <c r="D288" s="8" t="s">
        <v>867</v>
      </c>
      <c r="E288" s="8" t="s">
        <v>145</v>
      </c>
      <c r="F288" s="10">
        <v>3</v>
      </c>
      <c r="G288" s="10">
        <v>3020</v>
      </c>
      <c r="H288" s="10">
        <v>22.6</v>
      </c>
      <c r="I288" s="10">
        <v>7012.44</v>
      </c>
      <c r="J288" s="8" t="s">
        <v>41</v>
      </c>
      <c r="K288" s="8" t="s">
        <v>178</v>
      </c>
      <c r="L288" s="18" t="str">
        <f>VLOOKUP(D288,Products!$A:$C,3,FALSE)</f>
        <v>Beauty</v>
      </c>
      <c r="N288" s="18" t="str">
        <f>VLOOKUP(C288,Customers!$A:$E,5,FALSE)</f>
        <v>Retail</v>
      </c>
      <c r="O288" s="18">
        <f>VLOOKUP(C288,Customers!$A:$C,3,FALSE)</f>
        <v>27</v>
      </c>
      <c r="P288" s="18" t="str">
        <f>VLOOKUP(E287,Sales_Reps!$A:$C,3,FALSE)</f>
        <v>North</v>
      </c>
      <c r="Q288" s="18" t="str">
        <f t="shared" ref="Q288:Q289" si="62">TEXT(B287,"MMM-YY")</f>
        <v>Jan-24</v>
      </c>
      <c r="R288">
        <f>VLOOKUP(D288, Products!A:D, 4, FALSE)</f>
        <v>1626</v>
      </c>
      <c r="S288">
        <f t="shared" ref="S288:S289" si="63">(G288-R288)/G288</f>
        <v>0.46158940397350995</v>
      </c>
      <c r="T288" s="10">
        <v>6.7</v>
      </c>
    </row>
    <row r="289" spans="1:20" ht="14.25" customHeight="1" x14ac:dyDescent="0.3">
      <c r="A289" s="8" t="s">
        <v>1350</v>
      </c>
      <c r="B289" s="21">
        <v>45459</v>
      </c>
      <c r="C289" s="8" t="s">
        <v>738</v>
      </c>
      <c r="D289" s="8" t="s">
        <v>144</v>
      </c>
      <c r="E289" s="8" t="s">
        <v>96</v>
      </c>
      <c r="F289" s="10">
        <v>6</v>
      </c>
      <c r="G289" s="10">
        <v>370</v>
      </c>
      <c r="H289" s="10">
        <v>12.4</v>
      </c>
      <c r="I289" s="10">
        <v>1944.72</v>
      </c>
      <c r="J289" s="8" t="s">
        <v>41</v>
      </c>
      <c r="K289" s="8" t="s">
        <v>42</v>
      </c>
      <c r="L289" s="18" t="str">
        <f>VLOOKUP(D289,Products!$A:$C,3,FALSE)</f>
        <v>Home</v>
      </c>
      <c r="N289" s="18" t="str">
        <f>VLOOKUP(C289,Customers!$A:$E,5,FALSE)</f>
        <v>Corporate</v>
      </c>
      <c r="O289" s="18">
        <f>VLOOKUP(C289,Customers!$A:$C,3,FALSE)</f>
        <v>33</v>
      </c>
      <c r="P289" s="18" t="str">
        <f>VLOOKUP(E288,Sales_Reps!$A:$C,3,FALSE)</f>
        <v>West</v>
      </c>
      <c r="Q289" s="18" t="str">
        <f t="shared" si="62"/>
        <v>Jan-24</v>
      </c>
      <c r="R289">
        <f>VLOOKUP(D289, Products!A:D, 4, FALSE)</f>
        <v>288</v>
      </c>
      <c r="S289">
        <f t="shared" si="63"/>
        <v>0.22162162162162163</v>
      </c>
      <c r="T289" s="10">
        <v>1.2</v>
      </c>
    </row>
    <row r="290" spans="1:20" ht="14.25" hidden="1" customHeight="1" x14ac:dyDescent="0.3">
      <c r="A290" s="8" t="s">
        <v>1351</v>
      </c>
      <c r="B290" s="9">
        <v>45312</v>
      </c>
      <c r="C290" s="8" t="s">
        <v>584</v>
      </c>
      <c r="D290" s="8" t="s">
        <v>230</v>
      </c>
      <c r="E290" s="8" t="s">
        <v>125</v>
      </c>
      <c r="F290" s="10">
        <v>8</v>
      </c>
      <c r="G290" s="10">
        <v>5330</v>
      </c>
      <c r="H290" s="10">
        <v>16.2</v>
      </c>
      <c r="I290" s="10">
        <v>35732.32</v>
      </c>
      <c r="J290" s="8" t="s">
        <v>41</v>
      </c>
      <c r="K290" s="8" t="s">
        <v>146</v>
      </c>
      <c r="L290" s="18" t="str">
        <f>VLOOKUP(D290,Products!$A:$C,3,FALSE)</f>
        <v>Electronics</v>
      </c>
      <c r="N290" s="18" t="str">
        <f>VLOOKUP(C290,Customers!$A:$E,5,FALSE)</f>
        <v>Retail</v>
      </c>
      <c r="O290" s="18">
        <f>VLOOKUP(C290,Customers!$A:$C,3,FALSE)</f>
        <v>53</v>
      </c>
      <c r="T290" s="10">
        <v>24.6</v>
      </c>
    </row>
    <row r="291" spans="1:20" ht="14.25" customHeight="1" x14ac:dyDescent="0.3">
      <c r="A291" s="8" t="s">
        <v>1352</v>
      </c>
      <c r="B291" s="21">
        <v>45500</v>
      </c>
      <c r="C291" s="8" t="s">
        <v>568</v>
      </c>
      <c r="D291" s="8" t="s">
        <v>901</v>
      </c>
      <c r="E291" s="8" t="s">
        <v>143</v>
      </c>
      <c r="F291" s="10">
        <v>4</v>
      </c>
      <c r="G291" s="10">
        <v>3560</v>
      </c>
      <c r="H291" s="10">
        <v>10.5</v>
      </c>
      <c r="I291" s="10">
        <v>12744.8</v>
      </c>
      <c r="J291" s="8" t="s">
        <v>41</v>
      </c>
      <c r="K291" s="8" t="s">
        <v>98</v>
      </c>
      <c r="L291" s="18" t="str">
        <f>VLOOKUP(D291,Products!$A:$C,3,FALSE)</f>
        <v>Apparel</v>
      </c>
      <c r="N291" s="18" t="str">
        <f>VLOOKUP(C291,Customers!$A:$E,5,FALSE)</f>
        <v>Retail</v>
      </c>
      <c r="O291" s="18">
        <f>VLOOKUP(C291,Customers!$A:$C,3,FALSE)</f>
        <v>37</v>
      </c>
      <c r="P291" s="18" t="str">
        <f>VLOOKUP(E290,Sales_Reps!$A:$C,3,FALSE)</f>
        <v>North</v>
      </c>
      <c r="Q291" s="18" t="str">
        <f t="shared" ref="Q291:Q292" si="64">TEXT(B290,"MMM-YY")</f>
        <v>Jan-24</v>
      </c>
      <c r="R291">
        <f>VLOOKUP(D291, Products!A:D, 4, FALSE)</f>
        <v>2629</v>
      </c>
      <c r="S291">
        <f t="shared" ref="S291:S292" si="65">(G291-R291)/G291</f>
        <v>0.26151685393258428</v>
      </c>
      <c r="T291" s="10">
        <v>19.399999999999999</v>
      </c>
    </row>
    <row r="292" spans="1:20" ht="14.25" customHeight="1" x14ac:dyDescent="0.3">
      <c r="A292" s="8" t="s">
        <v>1353</v>
      </c>
      <c r="B292" s="21">
        <v>45389</v>
      </c>
      <c r="C292" s="8" t="s">
        <v>382</v>
      </c>
      <c r="D292" s="8" t="s">
        <v>260</v>
      </c>
      <c r="E292" s="8" t="s">
        <v>143</v>
      </c>
      <c r="F292" s="10">
        <v>10</v>
      </c>
      <c r="G292" s="10">
        <v>1010</v>
      </c>
      <c r="H292" s="10">
        <v>10.8</v>
      </c>
      <c r="I292" s="10">
        <v>9009.2000000000007</v>
      </c>
      <c r="J292" s="8" t="s">
        <v>41</v>
      </c>
      <c r="K292" s="8" t="s">
        <v>136</v>
      </c>
      <c r="L292" s="18" t="str">
        <f>VLOOKUP(D292,Products!$A:$C,3,FALSE)</f>
        <v>Sports</v>
      </c>
      <c r="N292" s="18" t="str">
        <f>VLOOKUP(C292,Customers!$A:$E,5,FALSE)</f>
        <v>Retail</v>
      </c>
      <c r="O292" s="18">
        <f>VLOOKUP(C292,Customers!$A:$C,3,FALSE)</f>
        <v>34</v>
      </c>
      <c r="P292" s="18" t="str">
        <f>VLOOKUP(E291,Sales_Reps!$A:$C,3,FALSE)</f>
        <v>West</v>
      </c>
      <c r="Q292" s="18" t="str">
        <f t="shared" si="64"/>
        <v>Jul-24</v>
      </c>
      <c r="R292">
        <f>VLOOKUP(D292, Products!A:D, 4, FALSE)</f>
        <v>516</v>
      </c>
      <c r="S292">
        <f t="shared" si="65"/>
        <v>0.4891089108910891</v>
      </c>
      <c r="T292" s="10">
        <v>9.9</v>
      </c>
    </row>
    <row r="293" spans="1:20" ht="14.25" hidden="1" customHeight="1" x14ac:dyDescent="0.3">
      <c r="A293" s="8" t="s">
        <v>1354</v>
      </c>
      <c r="B293" s="9">
        <v>45619</v>
      </c>
      <c r="C293" s="8" t="s">
        <v>275</v>
      </c>
      <c r="D293" s="8" t="s">
        <v>959</v>
      </c>
      <c r="E293" s="8" t="s">
        <v>125</v>
      </c>
      <c r="F293" s="10">
        <v>8</v>
      </c>
      <c r="G293" s="10">
        <v>6940</v>
      </c>
      <c r="H293" s="10">
        <v>3.2</v>
      </c>
      <c r="I293" s="10">
        <v>53743.360000000001</v>
      </c>
      <c r="J293" s="8" t="s">
        <v>147</v>
      </c>
      <c r="K293" s="8" t="s">
        <v>98</v>
      </c>
      <c r="L293" s="18" t="str">
        <f>VLOOKUP(D293,Products!$A:$C,3,FALSE)</f>
        <v>Sports</v>
      </c>
      <c r="N293" s="18" t="str">
        <f>VLOOKUP(C293,Customers!$A:$E,5,FALSE)</f>
        <v>Corporate</v>
      </c>
      <c r="O293" s="18">
        <f>VLOOKUP(C293,Customers!$A:$C,3,FALSE)</f>
        <v>41</v>
      </c>
      <c r="T293" s="10">
        <v>18.3</v>
      </c>
    </row>
    <row r="294" spans="1:20" ht="14.25" hidden="1" customHeight="1" x14ac:dyDescent="0.3">
      <c r="A294" s="8" t="s">
        <v>1355</v>
      </c>
      <c r="B294" s="9">
        <v>45617</v>
      </c>
      <c r="C294" s="8" t="s">
        <v>296</v>
      </c>
      <c r="D294" s="8" t="s">
        <v>134</v>
      </c>
      <c r="E294" s="8" t="s">
        <v>301</v>
      </c>
      <c r="F294" s="10">
        <v>7</v>
      </c>
      <c r="G294" s="10">
        <v>3160</v>
      </c>
      <c r="H294" s="10">
        <v>3.6</v>
      </c>
      <c r="I294" s="10">
        <v>21323.68</v>
      </c>
      <c r="J294" s="8" t="s">
        <v>41</v>
      </c>
      <c r="K294" s="8" t="s">
        <v>178</v>
      </c>
      <c r="L294" s="18" t="str">
        <f>VLOOKUP(D294,Products!$A:$C,3,FALSE)</f>
        <v>Apparel</v>
      </c>
      <c r="N294" s="18" t="str">
        <f>VLOOKUP(C294,Customers!$A:$E,5,FALSE)</f>
        <v>Retail</v>
      </c>
      <c r="O294" s="18">
        <f>VLOOKUP(C294,Customers!$A:$C,3,FALSE)</f>
        <v>46</v>
      </c>
      <c r="T294" s="10">
        <v>5.9</v>
      </c>
    </row>
    <row r="295" spans="1:20" ht="14.25" hidden="1" customHeight="1" x14ac:dyDescent="0.3">
      <c r="A295" s="8" t="s">
        <v>1356</v>
      </c>
      <c r="B295" s="9">
        <v>45640</v>
      </c>
      <c r="C295" s="8" t="s">
        <v>610</v>
      </c>
      <c r="D295" s="8" t="s">
        <v>124</v>
      </c>
      <c r="E295" s="8" t="s">
        <v>135</v>
      </c>
      <c r="F295" s="10">
        <v>2</v>
      </c>
      <c r="G295" s="10">
        <v>3660</v>
      </c>
      <c r="H295" s="10">
        <v>30</v>
      </c>
      <c r="I295" s="10">
        <v>5124</v>
      </c>
      <c r="J295" s="8" t="s">
        <v>97</v>
      </c>
      <c r="K295" s="8" t="s">
        <v>42</v>
      </c>
      <c r="L295" s="18" t="str">
        <f>VLOOKUP(D295,Products!$A:$C,3,FALSE)</f>
        <v>Grocery</v>
      </c>
      <c r="N295" s="18" t="str">
        <f>VLOOKUP(C295,Customers!$A:$E,5,FALSE)</f>
        <v>Retail</v>
      </c>
      <c r="O295" s="18">
        <f>VLOOKUP(C295,Customers!$A:$C,3,FALSE)</f>
        <v>49</v>
      </c>
      <c r="T295" s="10">
        <v>29.1</v>
      </c>
    </row>
    <row r="296" spans="1:20" ht="14.25" customHeight="1" x14ac:dyDescent="0.3">
      <c r="A296" s="8" t="s">
        <v>1357</v>
      </c>
      <c r="B296" s="21">
        <v>45401</v>
      </c>
      <c r="C296" s="8" t="s">
        <v>435</v>
      </c>
      <c r="D296" s="8" t="s">
        <v>176</v>
      </c>
      <c r="E296" s="8" t="s">
        <v>96</v>
      </c>
      <c r="F296" s="10">
        <v>1</v>
      </c>
      <c r="G296" s="10">
        <v>2270</v>
      </c>
      <c r="H296" s="10">
        <v>4.8</v>
      </c>
      <c r="I296" s="10">
        <v>2161.04</v>
      </c>
      <c r="J296" s="8" t="s">
        <v>147</v>
      </c>
      <c r="K296" s="8" t="s">
        <v>146</v>
      </c>
      <c r="L296" s="18" t="str">
        <f>VLOOKUP(D296,Products!$A:$C,3,FALSE)</f>
        <v>Grocery</v>
      </c>
      <c r="N296" s="18" t="str">
        <f>VLOOKUP(C296,Customers!$A:$E,5,FALSE)</f>
        <v>Retail</v>
      </c>
      <c r="O296" s="18">
        <f>VLOOKUP(C296,Customers!$A:$C,3,FALSE)</f>
        <v>25</v>
      </c>
      <c r="P296" s="18" t="str">
        <f>VLOOKUP(E295,Sales_Reps!$A:$C,3,FALSE)</f>
        <v>North</v>
      </c>
      <c r="Q296" s="18" t="str">
        <f>TEXT(B295,"MMM-YY")</f>
        <v>Dec-24</v>
      </c>
      <c r="R296">
        <f>VLOOKUP(D296, Products!A:D, 4, FALSE)</f>
        <v>1203</v>
      </c>
      <c r="S296">
        <f>(G296-R296)/G296</f>
        <v>0.47004405286343615</v>
      </c>
      <c r="T296" s="10">
        <v>25.7</v>
      </c>
    </row>
    <row r="297" spans="1:20" ht="14.25" hidden="1" customHeight="1" x14ac:dyDescent="0.3">
      <c r="A297" s="8" t="s">
        <v>1358</v>
      </c>
      <c r="B297" s="9">
        <v>45405</v>
      </c>
      <c r="C297" s="8" t="s">
        <v>377</v>
      </c>
      <c r="D297" s="8" t="s">
        <v>964</v>
      </c>
      <c r="E297" s="8" t="s">
        <v>145</v>
      </c>
      <c r="F297" s="10">
        <v>8</v>
      </c>
      <c r="G297" s="10">
        <v>3780</v>
      </c>
      <c r="H297" s="10">
        <v>13</v>
      </c>
      <c r="I297" s="10">
        <v>26308.799999999999</v>
      </c>
      <c r="J297" s="8" t="s">
        <v>41</v>
      </c>
      <c r="K297" s="8" t="s">
        <v>119</v>
      </c>
      <c r="L297" s="18" t="str">
        <f>VLOOKUP(D297,Products!$A:$C,3,FALSE)</f>
        <v>Sports</v>
      </c>
      <c r="N297" s="18" t="str">
        <f>VLOOKUP(C297,Customers!$A:$E,5,FALSE)</f>
        <v>Retail</v>
      </c>
      <c r="O297" s="18">
        <f>VLOOKUP(C297,Customers!$A:$C,3,FALSE)</f>
        <v>53</v>
      </c>
      <c r="T297" s="10">
        <v>9.3000000000000007</v>
      </c>
    </row>
    <row r="298" spans="1:20" ht="14.25" hidden="1" customHeight="1" x14ac:dyDescent="0.3">
      <c r="A298" s="8" t="s">
        <v>1359</v>
      </c>
      <c r="B298" s="9">
        <v>45537</v>
      </c>
      <c r="C298" s="8" t="s">
        <v>506</v>
      </c>
      <c r="D298" s="8" t="s">
        <v>644</v>
      </c>
      <c r="E298" s="8" t="s">
        <v>189</v>
      </c>
      <c r="F298" s="10">
        <v>1</v>
      </c>
      <c r="G298" s="10">
        <v>3640</v>
      </c>
      <c r="H298" s="10">
        <v>15.3</v>
      </c>
      <c r="I298" s="10">
        <v>3083.08</v>
      </c>
      <c r="J298" s="8" t="s">
        <v>97</v>
      </c>
      <c r="K298" s="8" t="s">
        <v>146</v>
      </c>
      <c r="L298" s="18" t="str">
        <f>VLOOKUP(D298,Products!$A:$C,3,FALSE)</f>
        <v>Apparel</v>
      </c>
      <c r="N298" s="18" t="str">
        <f>VLOOKUP(C298,Customers!$A:$E,5,FALSE)</f>
        <v>SMB</v>
      </c>
      <c r="O298" s="18">
        <f>VLOOKUP(C298,Customers!$A:$C,3,FALSE)</f>
        <v>65</v>
      </c>
      <c r="T298" s="10">
        <v>24.4</v>
      </c>
    </row>
    <row r="299" spans="1:20" ht="14.25" customHeight="1" x14ac:dyDescent="0.3">
      <c r="A299" s="8" t="s">
        <v>928</v>
      </c>
      <c r="B299" s="21">
        <v>45475</v>
      </c>
      <c r="C299" s="8" t="s">
        <v>614</v>
      </c>
      <c r="D299" s="8" t="s">
        <v>160</v>
      </c>
      <c r="E299" s="8" t="s">
        <v>214</v>
      </c>
      <c r="F299" s="10">
        <v>8</v>
      </c>
      <c r="G299" s="10">
        <v>1220</v>
      </c>
      <c r="H299" s="10">
        <v>28.2</v>
      </c>
      <c r="I299" s="10">
        <v>7007.68</v>
      </c>
      <c r="J299" s="8" t="s">
        <v>41</v>
      </c>
      <c r="K299" s="8" t="s">
        <v>178</v>
      </c>
      <c r="L299" s="18" t="str">
        <f>VLOOKUP(D299,Products!$A:$C,3,FALSE)</f>
        <v>Electronics</v>
      </c>
      <c r="N299" s="18" t="str">
        <f>VLOOKUP(C299,Customers!$A:$E,5,FALSE)</f>
        <v>Retail</v>
      </c>
      <c r="O299" s="18">
        <f>VLOOKUP(C299,Customers!$A:$C,3,FALSE)</f>
        <v>31</v>
      </c>
      <c r="P299" s="18" t="str">
        <f>VLOOKUP(E298,Sales_Reps!$A:$C,3,FALSE)</f>
        <v>South</v>
      </c>
      <c r="Q299" s="18" t="str">
        <f t="shared" ref="Q299:Q300" si="66">TEXT(B298,"MMM-YY")</f>
        <v>Sep-24</v>
      </c>
      <c r="R299">
        <f>VLOOKUP(D299, Products!A:D, 4, FALSE)</f>
        <v>517</v>
      </c>
      <c r="S299">
        <f t="shared" ref="S299:S300" si="67">(G299-R299)/G299</f>
        <v>0.57622950819672136</v>
      </c>
      <c r="T299" s="10">
        <v>13.6</v>
      </c>
    </row>
    <row r="300" spans="1:20" ht="14.25" customHeight="1" x14ac:dyDescent="0.3">
      <c r="A300" s="8" t="s">
        <v>1360</v>
      </c>
      <c r="B300" s="21">
        <v>45624</v>
      </c>
      <c r="C300" s="8" t="s">
        <v>799</v>
      </c>
      <c r="D300" s="8" t="s">
        <v>898</v>
      </c>
      <c r="E300" s="8" t="s">
        <v>143</v>
      </c>
      <c r="F300" s="10">
        <v>3</v>
      </c>
      <c r="G300" s="10">
        <v>2510</v>
      </c>
      <c r="H300" s="10">
        <v>17.399999999999999</v>
      </c>
      <c r="I300" s="10">
        <v>6219.78</v>
      </c>
      <c r="J300" s="8" t="s">
        <v>41</v>
      </c>
      <c r="K300" s="8" t="s">
        <v>146</v>
      </c>
      <c r="L300" s="18" t="str">
        <f>VLOOKUP(D300,Products!$A:$C,3,FALSE)</f>
        <v>Apparel</v>
      </c>
      <c r="N300" s="18" t="str">
        <f>VLOOKUP(C300,Customers!$A:$E,5,FALSE)</f>
        <v>Retail</v>
      </c>
      <c r="O300" s="18">
        <f>VLOOKUP(C300,Customers!$A:$C,3,FALSE)</f>
        <v>40</v>
      </c>
      <c r="P300" s="18" t="str">
        <f>VLOOKUP(E299,Sales_Reps!$A:$C,3,FALSE)</f>
        <v>South</v>
      </c>
      <c r="Q300" s="18" t="str">
        <f t="shared" si="66"/>
        <v>Jul-24</v>
      </c>
      <c r="R300">
        <f>VLOOKUP(D300, Products!A:D, 4, FALSE)</f>
        <v>1075</v>
      </c>
      <c r="S300">
        <f t="shared" si="67"/>
        <v>0.57171314741035861</v>
      </c>
      <c r="T300" s="10">
        <v>28.2</v>
      </c>
    </row>
    <row r="301" spans="1:20" ht="14.25" hidden="1" customHeight="1" x14ac:dyDescent="0.3">
      <c r="A301" s="8" t="s">
        <v>1361</v>
      </c>
      <c r="B301" s="9">
        <v>45635</v>
      </c>
      <c r="C301" s="8" t="s">
        <v>273</v>
      </c>
      <c r="D301" s="8" t="s">
        <v>224</v>
      </c>
      <c r="E301" s="8" t="s">
        <v>185</v>
      </c>
      <c r="F301" s="10">
        <v>1</v>
      </c>
      <c r="G301" s="10">
        <v>1080</v>
      </c>
      <c r="H301" s="10">
        <v>13.9</v>
      </c>
      <c r="I301" s="10">
        <v>929.88</v>
      </c>
      <c r="J301" s="8" t="s">
        <v>41</v>
      </c>
      <c r="K301" s="8" t="s">
        <v>146</v>
      </c>
      <c r="L301" s="18" t="str">
        <f>VLOOKUP(D301,Products!$A:$C,3,FALSE)</f>
        <v>Home</v>
      </c>
      <c r="N301" s="18" t="str">
        <f>VLOOKUP(C301,Customers!$A:$E,5,FALSE)</f>
        <v>SMB</v>
      </c>
      <c r="O301" s="18">
        <f>VLOOKUP(C301,Customers!$A:$C,3,FALSE)</f>
        <v>61</v>
      </c>
      <c r="T301" s="10">
        <v>18.100000000000001</v>
      </c>
    </row>
    <row r="302" spans="1:20" ht="14.25" customHeight="1" x14ac:dyDescent="0.3">
      <c r="A302" s="8" t="s">
        <v>1362</v>
      </c>
      <c r="B302" s="21">
        <v>45395</v>
      </c>
      <c r="C302" s="8" t="s">
        <v>337</v>
      </c>
      <c r="D302" s="8" t="s">
        <v>924</v>
      </c>
      <c r="E302" s="8" t="s">
        <v>221</v>
      </c>
      <c r="F302" s="10">
        <v>7</v>
      </c>
      <c r="G302" s="10">
        <v>2030</v>
      </c>
      <c r="H302" s="10">
        <v>29.2</v>
      </c>
      <c r="I302" s="10">
        <v>10060.68</v>
      </c>
      <c r="J302" s="8" t="s">
        <v>41</v>
      </c>
      <c r="K302" s="8" t="s">
        <v>146</v>
      </c>
      <c r="L302" s="18" t="str">
        <f>VLOOKUP(D302,Products!$A:$C,3,FALSE)</f>
        <v>Home</v>
      </c>
      <c r="N302" s="18" t="str">
        <f>VLOOKUP(C302,Customers!$A:$E,5,FALSE)</f>
        <v>Retail</v>
      </c>
      <c r="O302" s="18">
        <f>VLOOKUP(C302,Customers!$A:$C,3,FALSE)</f>
        <v>35</v>
      </c>
      <c r="P302" s="18" t="str">
        <f>VLOOKUP(E301,Sales_Reps!$A:$C,3,FALSE)</f>
        <v>North</v>
      </c>
      <c r="Q302" s="18" t="str">
        <f t="shared" ref="Q302:Q304" si="68">TEXT(B301,"MMM-YY")</f>
        <v>Dec-24</v>
      </c>
      <c r="R302">
        <f>VLOOKUP(D302, Products!A:D, 4, FALSE)</f>
        <v>1143</v>
      </c>
      <c r="S302">
        <f t="shared" ref="S302:S304" si="69">(G302-R302)/G302</f>
        <v>0.43694581280788175</v>
      </c>
      <c r="T302" s="10">
        <v>17.5</v>
      </c>
    </row>
    <row r="303" spans="1:20" ht="14.25" customHeight="1" x14ac:dyDescent="0.3">
      <c r="A303" s="8" t="s">
        <v>1363</v>
      </c>
      <c r="B303" s="21">
        <v>45415</v>
      </c>
      <c r="C303" s="8" t="s">
        <v>233</v>
      </c>
      <c r="D303" s="8" t="s">
        <v>964</v>
      </c>
      <c r="E303" s="8" t="s">
        <v>321</v>
      </c>
      <c r="F303" s="10">
        <v>6</v>
      </c>
      <c r="G303" s="10">
        <v>3780</v>
      </c>
      <c r="H303" s="10">
        <v>20.9</v>
      </c>
      <c r="I303" s="10">
        <v>17939.88</v>
      </c>
      <c r="J303" s="8" t="s">
        <v>193</v>
      </c>
      <c r="K303" s="8" t="s">
        <v>146</v>
      </c>
      <c r="L303" s="18" t="str">
        <f>VLOOKUP(D303,Products!$A:$C,3,FALSE)</f>
        <v>Sports</v>
      </c>
      <c r="N303" s="18" t="str">
        <f>VLOOKUP(C303,Customers!$A:$E,5,FALSE)</f>
        <v>Retail</v>
      </c>
      <c r="O303" s="18">
        <f>VLOOKUP(C303,Customers!$A:$C,3,FALSE)</f>
        <v>34</v>
      </c>
      <c r="P303" s="18" t="str">
        <f>VLOOKUP(E302,Sales_Reps!$A:$C,3,FALSE)</f>
        <v>South</v>
      </c>
      <c r="Q303" s="18" t="str">
        <f t="shared" si="68"/>
        <v>Apr-24</v>
      </c>
      <c r="R303">
        <f>VLOOKUP(D303, Products!A:D, 4, FALSE)</f>
        <v>1860</v>
      </c>
      <c r="S303">
        <f t="shared" si="69"/>
        <v>0.50793650793650791</v>
      </c>
      <c r="T303" s="10">
        <v>17.100000000000001</v>
      </c>
    </row>
    <row r="304" spans="1:20" ht="14.25" customHeight="1" x14ac:dyDescent="0.3">
      <c r="A304" s="8" t="s">
        <v>1364</v>
      </c>
      <c r="B304" s="21">
        <v>45653</v>
      </c>
      <c r="C304" s="8" t="s">
        <v>592</v>
      </c>
      <c r="D304" s="8" t="s">
        <v>134</v>
      </c>
      <c r="E304" s="8" t="s">
        <v>221</v>
      </c>
      <c r="F304" s="10">
        <v>1</v>
      </c>
      <c r="G304" s="10">
        <v>3160</v>
      </c>
      <c r="H304" s="10">
        <v>10.7</v>
      </c>
      <c r="I304" s="10">
        <v>2821.88</v>
      </c>
      <c r="J304" s="8" t="s">
        <v>41</v>
      </c>
      <c r="K304" s="8" t="s">
        <v>42</v>
      </c>
      <c r="L304" s="18" t="str">
        <f>VLOOKUP(D304,Products!$A:$C,3,FALSE)</f>
        <v>Apparel</v>
      </c>
      <c r="N304" s="18" t="str">
        <f>VLOOKUP(C304,Customers!$A:$E,5,FALSE)</f>
        <v>SMB</v>
      </c>
      <c r="O304" s="18">
        <f>VLOOKUP(C304,Customers!$A:$C,3,FALSE)</f>
        <v>35</v>
      </c>
      <c r="P304" s="18" t="str">
        <f>VLOOKUP(E303,Sales_Reps!$A:$C,3,FALSE)</f>
        <v>East</v>
      </c>
      <c r="Q304" s="18" t="str">
        <f t="shared" si="68"/>
        <v>May-24</v>
      </c>
      <c r="R304">
        <f>VLOOKUP(D304, Products!A:D, 4, FALSE)</f>
        <v>1886</v>
      </c>
      <c r="S304">
        <f t="shared" si="69"/>
        <v>0.4031645569620253</v>
      </c>
      <c r="T304" s="10">
        <v>7.2</v>
      </c>
    </row>
    <row r="305" spans="1:20" ht="14.25" hidden="1" customHeight="1" x14ac:dyDescent="0.3">
      <c r="A305" s="8" t="s">
        <v>1365</v>
      </c>
      <c r="B305" s="9">
        <v>45564</v>
      </c>
      <c r="C305" s="8" t="s">
        <v>665</v>
      </c>
      <c r="D305" s="8" t="s">
        <v>283</v>
      </c>
      <c r="E305" s="8" t="s">
        <v>177</v>
      </c>
      <c r="F305" s="10">
        <v>5</v>
      </c>
      <c r="G305" s="10">
        <v>4880</v>
      </c>
      <c r="H305" s="10">
        <v>11.4</v>
      </c>
      <c r="I305" s="10">
        <v>21618.400000000001</v>
      </c>
      <c r="J305" s="8" t="s">
        <v>41</v>
      </c>
      <c r="K305" s="8" t="s">
        <v>178</v>
      </c>
      <c r="L305" s="18" t="str">
        <f>VLOOKUP(D305,Products!$A:$C,3,FALSE)</f>
        <v>Beauty</v>
      </c>
      <c r="N305" s="18" t="str">
        <f>VLOOKUP(C305,Customers!$A:$E,5,FALSE)</f>
        <v>SMB</v>
      </c>
      <c r="O305" s="18">
        <f>VLOOKUP(C305,Customers!$A:$C,3,FALSE)</f>
        <v>43</v>
      </c>
      <c r="T305" s="10">
        <v>24.3</v>
      </c>
    </row>
    <row r="306" spans="1:20" ht="14.25" hidden="1" customHeight="1" x14ac:dyDescent="0.3">
      <c r="A306" s="8" t="s">
        <v>1366</v>
      </c>
      <c r="B306" s="9">
        <v>45633</v>
      </c>
      <c r="C306" s="8" t="s">
        <v>616</v>
      </c>
      <c r="D306" s="8" t="s">
        <v>569</v>
      </c>
      <c r="E306" s="8" t="s">
        <v>214</v>
      </c>
      <c r="F306" s="10">
        <v>9</v>
      </c>
      <c r="G306" s="10">
        <v>3730</v>
      </c>
      <c r="H306" s="10">
        <v>10</v>
      </c>
      <c r="I306" s="10">
        <v>30213</v>
      </c>
      <c r="J306" s="8" t="s">
        <v>41</v>
      </c>
      <c r="K306" s="8" t="s">
        <v>119</v>
      </c>
      <c r="L306" s="18" t="str">
        <f>VLOOKUP(D306,Products!$A:$C,3,FALSE)</f>
        <v>Home</v>
      </c>
      <c r="N306" s="18" t="str">
        <f>VLOOKUP(C306,Customers!$A:$E,5,FALSE)</f>
        <v>Retail</v>
      </c>
      <c r="O306" s="18">
        <f>VLOOKUP(C306,Customers!$A:$C,3,FALSE)</f>
        <v>43</v>
      </c>
      <c r="T306" s="10">
        <v>0.9</v>
      </c>
    </row>
    <row r="307" spans="1:20" ht="14.25" customHeight="1" x14ac:dyDescent="0.3">
      <c r="A307" s="8" t="s">
        <v>1367</v>
      </c>
      <c r="B307" s="21">
        <v>45309</v>
      </c>
      <c r="C307" s="8" t="s">
        <v>210</v>
      </c>
      <c r="D307" s="8" t="s">
        <v>926</v>
      </c>
      <c r="E307" s="8" t="s">
        <v>185</v>
      </c>
      <c r="F307" s="10">
        <v>5</v>
      </c>
      <c r="G307" s="10">
        <v>5080</v>
      </c>
      <c r="H307" s="10">
        <v>15.3</v>
      </c>
      <c r="I307" s="10">
        <v>21513.8</v>
      </c>
      <c r="J307" s="8" t="s">
        <v>41</v>
      </c>
      <c r="K307" s="8" t="s">
        <v>98</v>
      </c>
      <c r="L307" s="18" t="str">
        <f>VLOOKUP(D307,Products!$A:$C,3,FALSE)</f>
        <v>Home</v>
      </c>
      <c r="N307" s="18" t="str">
        <f>VLOOKUP(C307,Customers!$A:$E,5,FALSE)</f>
        <v>Retail</v>
      </c>
      <c r="O307" s="18">
        <f>VLOOKUP(C307,Customers!$A:$C,3,FALSE)</f>
        <v>26</v>
      </c>
      <c r="P307" s="18" t="str">
        <f>VLOOKUP(E306,Sales_Reps!$A:$C,3,FALSE)</f>
        <v>South</v>
      </c>
      <c r="Q307" s="18" t="str">
        <f>TEXT(B306,"MMM-YY")</f>
        <v>Dec-24</v>
      </c>
      <c r="R307">
        <f>VLOOKUP(D307, Products!A:D, 4, FALSE)</f>
        <v>2459</v>
      </c>
      <c r="S307">
        <f>(G307-R307)/G307</f>
        <v>0.51594488188976373</v>
      </c>
      <c r="T307" s="10">
        <v>25.2</v>
      </c>
    </row>
    <row r="308" spans="1:20" ht="14.25" hidden="1" customHeight="1" x14ac:dyDescent="0.3">
      <c r="A308" s="8" t="s">
        <v>1368</v>
      </c>
      <c r="B308" s="9">
        <v>45403</v>
      </c>
      <c r="C308" s="8" t="s">
        <v>218</v>
      </c>
      <c r="D308" s="8" t="s">
        <v>939</v>
      </c>
      <c r="E308" s="8" t="s">
        <v>745</v>
      </c>
      <c r="F308" s="10">
        <v>9</v>
      </c>
      <c r="G308" s="10">
        <v>2290</v>
      </c>
      <c r="H308" s="10">
        <v>3.3</v>
      </c>
      <c r="I308" s="10">
        <v>19929.87</v>
      </c>
      <c r="J308" s="8" t="s">
        <v>97</v>
      </c>
      <c r="K308" s="8" t="s">
        <v>146</v>
      </c>
      <c r="L308" s="18" t="str">
        <f>VLOOKUP(D308,Products!$A:$C,3,FALSE)</f>
        <v>Beauty</v>
      </c>
      <c r="N308" s="18" t="str">
        <f>VLOOKUP(C308,Customers!$A:$E,5,FALSE)</f>
        <v>Retail</v>
      </c>
      <c r="O308" s="18">
        <f>VLOOKUP(C308,Customers!$A:$C,3,FALSE)</f>
        <v>54</v>
      </c>
      <c r="T308" s="10">
        <v>2.6</v>
      </c>
    </row>
    <row r="309" spans="1:20" ht="14.25" customHeight="1" x14ac:dyDescent="0.3">
      <c r="A309" s="8" t="s">
        <v>899</v>
      </c>
      <c r="B309" s="21">
        <v>45554</v>
      </c>
      <c r="C309" s="8" t="s">
        <v>765</v>
      </c>
      <c r="D309" s="8" t="s">
        <v>131</v>
      </c>
      <c r="E309" s="8" t="s">
        <v>177</v>
      </c>
      <c r="F309" s="10">
        <v>5</v>
      </c>
      <c r="G309" s="10">
        <v>2660</v>
      </c>
      <c r="H309" s="10">
        <v>8.3000000000000007</v>
      </c>
      <c r="I309" s="10">
        <v>12196.1</v>
      </c>
      <c r="J309" s="8" t="s">
        <v>41</v>
      </c>
      <c r="K309" s="8" t="s">
        <v>119</v>
      </c>
      <c r="L309" s="18" t="str">
        <f>VLOOKUP(D309,Products!$A:$C,3,FALSE)</f>
        <v>Electronics</v>
      </c>
      <c r="N309" s="18" t="str">
        <f>VLOOKUP(C309,Customers!$A:$E,5,FALSE)</f>
        <v>SMB</v>
      </c>
      <c r="O309" s="18">
        <f>VLOOKUP(C309,Customers!$A:$C,3,FALSE)</f>
        <v>29</v>
      </c>
      <c r="P309" s="18" t="str">
        <f>VLOOKUP(E308,Sales_Reps!$A:$C,3,FALSE)</f>
        <v>South</v>
      </c>
      <c r="Q309" s="18" t="str">
        <f>TEXT(B308,"MMM-YY")</f>
        <v>Apr-24</v>
      </c>
      <c r="R309">
        <f>VLOOKUP(D309, Products!A:D, 4, FALSE)</f>
        <v>1259</v>
      </c>
      <c r="S309">
        <f>(G309-R309)/G309</f>
        <v>0.52669172932330832</v>
      </c>
      <c r="T309" s="10">
        <v>0.3</v>
      </c>
    </row>
    <row r="310" spans="1:20" ht="14.25" hidden="1" customHeight="1" x14ac:dyDescent="0.3">
      <c r="A310" s="8" t="s">
        <v>1369</v>
      </c>
      <c r="B310" s="9">
        <v>45529</v>
      </c>
      <c r="C310" s="8" t="s">
        <v>545</v>
      </c>
      <c r="D310" s="8" t="s">
        <v>624</v>
      </c>
      <c r="E310" s="8" t="s">
        <v>145</v>
      </c>
      <c r="F310" s="10">
        <v>6</v>
      </c>
      <c r="G310" s="10">
        <v>3780</v>
      </c>
      <c r="H310" s="10">
        <v>28.3</v>
      </c>
      <c r="I310" s="10">
        <v>16261.56</v>
      </c>
      <c r="J310" s="8" t="s">
        <v>41</v>
      </c>
      <c r="K310" s="8" t="s">
        <v>119</v>
      </c>
      <c r="L310" s="18" t="str">
        <f>VLOOKUP(D310,Products!$A:$C,3,FALSE)</f>
        <v>Grocery</v>
      </c>
      <c r="N310" s="18" t="str">
        <f>VLOOKUP(C310,Customers!$A:$E,5,FALSE)</f>
        <v>Retail</v>
      </c>
      <c r="O310" s="18">
        <f>VLOOKUP(C310,Customers!$A:$C,3,FALSE)</f>
        <v>41</v>
      </c>
      <c r="T310" s="10">
        <v>22.9</v>
      </c>
    </row>
    <row r="311" spans="1:20" ht="14.25" customHeight="1" x14ac:dyDescent="0.3">
      <c r="A311" s="8" t="s">
        <v>1370</v>
      </c>
      <c r="B311" s="21">
        <v>45300</v>
      </c>
      <c r="C311" s="8" t="s">
        <v>589</v>
      </c>
      <c r="D311" s="8" t="s">
        <v>374</v>
      </c>
      <c r="E311" s="8" t="s">
        <v>172</v>
      </c>
      <c r="F311" s="10">
        <v>5</v>
      </c>
      <c r="G311" s="10">
        <v>2760</v>
      </c>
      <c r="H311" s="10">
        <v>4.9000000000000004</v>
      </c>
      <c r="I311" s="10">
        <v>13123.8</v>
      </c>
      <c r="J311" s="8" t="s">
        <v>41</v>
      </c>
      <c r="K311" s="8" t="s">
        <v>146</v>
      </c>
      <c r="L311" s="18" t="str">
        <f>VLOOKUP(D311,Products!$A:$C,3,FALSE)</f>
        <v>Grocery</v>
      </c>
      <c r="N311" s="18" t="str">
        <f>VLOOKUP(C311,Customers!$A:$E,5,FALSE)</f>
        <v>Retail</v>
      </c>
      <c r="O311" s="18">
        <f>VLOOKUP(C311,Customers!$A:$C,3,FALSE)</f>
        <v>35</v>
      </c>
      <c r="P311" s="18" t="str">
        <f>VLOOKUP(E310,Sales_Reps!$A:$C,3,FALSE)</f>
        <v>West</v>
      </c>
      <c r="Q311" s="18" t="str">
        <f>TEXT(B310,"MMM-YY")</f>
        <v>Aug-24</v>
      </c>
      <c r="R311">
        <f>VLOOKUP(D311, Products!A:D, 4, FALSE)</f>
        <v>1435</v>
      </c>
      <c r="S311">
        <f>(G311-R311)/G311</f>
        <v>0.48007246376811596</v>
      </c>
      <c r="T311" s="10">
        <v>28.8</v>
      </c>
    </row>
    <row r="312" spans="1:20" ht="14.25" hidden="1" customHeight="1" x14ac:dyDescent="0.3">
      <c r="A312" s="8" t="s">
        <v>1371</v>
      </c>
      <c r="B312" s="9">
        <v>45368</v>
      </c>
      <c r="C312" s="8" t="s">
        <v>558</v>
      </c>
      <c r="D312" s="8" t="s">
        <v>789</v>
      </c>
      <c r="E312" s="8" t="s">
        <v>125</v>
      </c>
      <c r="F312" s="10">
        <v>8</v>
      </c>
      <c r="G312" s="10">
        <v>1540</v>
      </c>
      <c r="H312" s="10">
        <v>29.4</v>
      </c>
      <c r="I312" s="10">
        <v>8697.92</v>
      </c>
      <c r="J312" s="8" t="s">
        <v>147</v>
      </c>
      <c r="K312" s="8" t="s">
        <v>178</v>
      </c>
      <c r="L312" s="18" t="str">
        <f>VLOOKUP(D312,Products!$A:$C,3,FALSE)</f>
        <v>Beauty</v>
      </c>
      <c r="N312" s="18" t="str">
        <f>VLOOKUP(C312,Customers!$A:$E,5,FALSE)</f>
        <v>SMB</v>
      </c>
      <c r="O312" s="18">
        <f>VLOOKUP(C312,Customers!$A:$C,3,FALSE)</f>
        <v>65</v>
      </c>
      <c r="T312" s="10">
        <v>19.399999999999999</v>
      </c>
    </row>
    <row r="313" spans="1:20" ht="14.25" customHeight="1" x14ac:dyDescent="0.3">
      <c r="A313" s="8" t="s">
        <v>1372</v>
      </c>
      <c r="B313" s="21">
        <v>45374</v>
      </c>
      <c r="C313" s="8" t="s">
        <v>784</v>
      </c>
      <c r="D313" s="8" t="s">
        <v>283</v>
      </c>
      <c r="E313" s="8" t="s">
        <v>196</v>
      </c>
      <c r="F313" s="10">
        <v>1</v>
      </c>
      <c r="G313" s="10">
        <v>4880</v>
      </c>
      <c r="H313" s="10">
        <v>18.100000000000001</v>
      </c>
      <c r="I313" s="10">
        <v>3996.72</v>
      </c>
      <c r="J313" s="8" t="s">
        <v>41</v>
      </c>
      <c r="K313" s="8" t="s">
        <v>178</v>
      </c>
      <c r="L313" s="18" t="str">
        <f>VLOOKUP(D313,Products!$A:$C,3,FALSE)</f>
        <v>Beauty</v>
      </c>
      <c r="N313" s="18" t="str">
        <f>VLOOKUP(C313,Customers!$A:$E,5,FALSE)</f>
        <v>Retail</v>
      </c>
      <c r="O313" s="18">
        <f>VLOOKUP(C313,Customers!$A:$C,3,FALSE)</f>
        <v>28</v>
      </c>
      <c r="P313" s="18" t="str">
        <f>VLOOKUP(E312,Sales_Reps!$A:$C,3,FALSE)</f>
        <v>North</v>
      </c>
      <c r="Q313" s="18" t="str">
        <f>TEXT(B312,"MMM-YY")</f>
        <v>Mar-24</v>
      </c>
      <c r="R313">
        <f>VLOOKUP(D313, Products!A:D, 4, FALSE)</f>
        <v>2768</v>
      </c>
      <c r="S313">
        <f>(G313-R313)/G313</f>
        <v>0.43278688524590164</v>
      </c>
      <c r="T313" s="10">
        <v>28.5</v>
      </c>
    </row>
    <row r="314" spans="1:20" ht="14.25" hidden="1" customHeight="1" x14ac:dyDescent="0.3">
      <c r="A314" s="8" t="s">
        <v>1373</v>
      </c>
      <c r="B314" s="9">
        <v>45592</v>
      </c>
      <c r="C314" s="8" t="s">
        <v>314</v>
      </c>
      <c r="D314" s="8" t="s">
        <v>176</v>
      </c>
      <c r="E314" s="8" t="s">
        <v>301</v>
      </c>
      <c r="F314" s="10">
        <v>8</v>
      </c>
      <c r="G314" s="10">
        <v>2270</v>
      </c>
      <c r="H314" s="10">
        <v>19.8</v>
      </c>
      <c r="I314" s="10">
        <v>14564.32</v>
      </c>
      <c r="J314" s="8" t="s">
        <v>97</v>
      </c>
      <c r="K314" s="8" t="s">
        <v>178</v>
      </c>
      <c r="L314" s="18" t="str">
        <f>VLOOKUP(D314,Products!$A:$C,3,FALSE)</f>
        <v>Grocery</v>
      </c>
      <c r="N314" s="18" t="str">
        <f>VLOOKUP(C314,Customers!$A:$E,5,FALSE)</f>
        <v>Corporate</v>
      </c>
      <c r="O314" s="18">
        <f>VLOOKUP(C314,Customers!$A:$C,3,FALSE)</f>
        <v>52</v>
      </c>
      <c r="T314" s="10">
        <v>12.1</v>
      </c>
    </row>
    <row r="315" spans="1:20" ht="14.25" hidden="1" customHeight="1" x14ac:dyDescent="0.3">
      <c r="A315" s="8" t="s">
        <v>1374</v>
      </c>
      <c r="B315" s="9">
        <v>45508</v>
      </c>
      <c r="C315" s="8" t="s">
        <v>584</v>
      </c>
      <c r="D315" s="8" t="s">
        <v>227</v>
      </c>
      <c r="E315" s="8" t="s">
        <v>177</v>
      </c>
      <c r="F315" s="10">
        <v>10</v>
      </c>
      <c r="G315" s="10">
        <v>2480</v>
      </c>
      <c r="H315" s="10">
        <v>24.4</v>
      </c>
      <c r="I315" s="10">
        <v>18748.8</v>
      </c>
      <c r="J315" s="8" t="s">
        <v>97</v>
      </c>
      <c r="K315" s="8" t="s">
        <v>146</v>
      </c>
      <c r="L315" s="18" t="str">
        <f>VLOOKUP(D315,Products!$A:$C,3,FALSE)</f>
        <v>Apparel</v>
      </c>
      <c r="N315" s="18" t="str">
        <f>VLOOKUP(C315,Customers!$A:$E,5,FALSE)</f>
        <v>Retail</v>
      </c>
      <c r="O315" s="18">
        <f>VLOOKUP(C315,Customers!$A:$C,3,FALSE)</f>
        <v>53</v>
      </c>
      <c r="T315" s="10">
        <v>26.8</v>
      </c>
    </row>
    <row r="316" spans="1:20" ht="14.25" hidden="1" customHeight="1" x14ac:dyDescent="0.3">
      <c r="A316" s="8" t="s">
        <v>1375</v>
      </c>
      <c r="B316" s="9">
        <v>45481</v>
      </c>
      <c r="C316" s="8" t="s">
        <v>175</v>
      </c>
      <c r="D316" s="8" t="s">
        <v>867</v>
      </c>
      <c r="E316" s="8" t="s">
        <v>117</v>
      </c>
      <c r="F316" s="10">
        <v>8</v>
      </c>
      <c r="G316" s="10">
        <v>3020</v>
      </c>
      <c r="H316" s="10">
        <v>15.2</v>
      </c>
      <c r="I316" s="10">
        <v>20487.68</v>
      </c>
      <c r="J316" s="8" t="s">
        <v>97</v>
      </c>
      <c r="K316" s="8" t="s">
        <v>178</v>
      </c>
      <c r="L316" s="18" t="str">
        <f>VLOOKUP(D316,Products!$A:$C,3,FALSE)</f>
        <v>Beauty</v>
      </c>
      <c r="N316" s="18" t="str">
        <f>VLOOKUP(C316,Customers!$A:$E,5,FALSE)</f>
        <v>Retail</v>
      </c>
      <c r="O316" s="18">
        <f>VLOOKUP(C316,Customers!$A:$C,3,FALSE)</f>
        <v>60</v>
      </c>
      <c r="T316" s="10">
        <v>22.9</v>
      </c>
    </row>
    <row r="317" spans="1:20" ht="14.25" customHeight="1" x14ac:dyDescent="0.3">
      <c r="A317" s="8" t="s">
        <v>1376</v>
      </c>
      <c r="B317" s="21">
        <v>45517</v>
      </c>
      <c r="C317" s="8" t="s">
        <v>440</v>
      </c>
      <c r="D317" s="8" t="s">
        <v>789</v>
      </c>
      <c r="E317" s="8" t="s">
        <v>158</v>
      </c>
      <c r="F317" s="10">
        <v>10</v>
      </c>
      <c r="G317" s="10">
        <v>1540</v>
      </c>
      <c r="H317" s="10">
        <v>0.6</v>
      </c>
      <c r="I317" s="10">
        <v>15307.6</v>
      </c>
      <c r="J317" s="8" t="s">
        <v>41</v>
      </c>
      <c r="K317" s="8" t="s">
        <v>98</v>
      </c>
      <c r="L317" s="18" t="str">
        <f>VLOOKUP(D317,Products!$A:$C,3,FALSE)</f>
        <v>Beauty</v>
      </c>
      <c r="N317" s="18" t="str">
        <f>VLOOKUP(C317,Customers!$A:$E,5,FALSE)</f>
        <v>Retail</v>
      </c>
      <c r="O317" s="18">
        <f>VLOOKUP(C317,Customers!$A:$C,3,FALSE)</f>
        <v>28</v>
      </c>
      <c r="P317" s="18" t="str">
        <f>VLOOKUP(E316,Sales_Reps!$A:$C,3,FALSE)</f>
        <v>South</v>
      </c>
      <c r="Q317" s="18" t="str">
        <f>TEXT(B316,"MMM-YY")</f>
        <v>Jul-24</v>
      </c>
      <c r="R317">
        <f>VLOOKUP(D317, Products!A:D, 4, FALSE)</f>
        <v>647</v>
      </c>
      <c r="S317">
        <f>(G317-R317)/G317</f>
        <v>0.57987012987012987</v>
      </c>
      <c r="T317" s="10">
        <v>6.1</v>
      </c>
    </row>
    <row r="318" spans="1:20" ht="14.25" hidden="1" customHeight="1" x14ac:dyDescent="0.3">
      <c r="A318" s="8" t="s">
        <v>1377</v>
      </c>
      <c r="B318" s="9">
        <v>45632</v>
      </c>
      <c r="C318" s="8" t="s">
        <v>365</v>
      </c>
      <c r="D318" s="8" t="s">
        <v>134</v>
      </c>
      <c r="E318" s="8" t="s">
        <v>231</v>
      </c>
      <c r="F318" s="10">
        <v>7</v>
      </c>
      <c r="G318" s="10">
        <v>3160</v>
      </c>
      <c r="H318" s="10">
        <v>8.9</v>
      </c>
      <c r="I318" s="10">
        <v>20151.32</v>
      </c>
      <c r="J318" s="8" t="s">
        <v>41</v>
      </c>
      <c r="K318" s="8" t="s">
        <v>119</v>
      </c>
      <c r="L318" s="18" t="str">
        <f>VLOOKUP(D318,Products!$A:$C,3,FALSE)</f>
        <v>Apparel</v>
      </c>
      <c r="N318" s="18" t="str">
        <f>VLOOKUP(C318,Customers!$A:$E,5,FALSE)</f>
        <v>Retail</v>
      </c>
      <c r="O318" s="18">
        <f>VLOOKUP(C318,Customers!$A:$C,3,FALSE)</f>
        <v>59</v>
      </c>
      <c r="T318" s="10">
        <v>19.5</v>
      </c>
    </row>
    <row r="319" spans="1:20" ht="14.25" hidden="1" customHeight="1" x14ac:dyDescent="0.3">
      <c r="A319" s="8" t="s">
        <v>1378</v>
      </c>
      <c r="B319" s="9">
        <v>45592</v>
      </c>
      <c r="C319" s="8" t="s">
        <v>279</v>
      </c>
      <c r="D319" s="8" t="s">
        <v>260</v>
      </c>
      <c r="E319" s="8" t="s">
        <v>745</v>
      </c>
      <c r="F319" s="10">
        <v>6</v>
      </c>
      <c r="G319" s="10">
        <v>1010</v>
      </c>
      <c r="H319" s="10">
        <v>12.9</v>
      </c>
      <c r="I319" s="10">
        <v>5278.26</v>
      </c>
      <c r="J319" s="8" t="s">
        <v>41</v>
      </c>
      <c r="K319" s="8" t="s">
        <v>119</v>
      </c>
      <c r="L319" s="18" t="str">
        <f>VLOOKUP(D319,Products!$A:$C,3,FALSE)</f>
        <v>Sports</v>
      </c>
      <c r="N319" s="18" t="str">
        <f>VLOOKUP(C319,Customers!$A:$E,5,FALSE)</f>
        <v>Retail</v>
      </c>
      <c r="O319" s="18">
        <f>VLOOKUP(C319,Customers!$A:$C,3,FALSE)</f>
        <v>41</v>
      </c>
      <c r="T319" s="10">
        <v>23.2</v>
      </c>
    </row>
    <row r="320" spans="1:20" ht="14.25" hidden="1" customHeight="1" x14ac:dyDescent="0.3">
      <c r="A320" s="8" t="s">
        <v>1379</v>
      </c>
      <c r="B320" s="9">
        <v>45450</v>
      </c>
      <c r="C320" s="8" t="s">
        <v>763</v>
      </c>
      <c r="D320" s="8" t="s">
        <v>839</v>
      </c>
      <c r="E320" s="8" t="s">
        <v>321</v>
      </c>
      <c r="F320" s="10">
        <v>4</v>
      </c>
      <c r="G320" s="10">
        <v>4610</v>
      </c>
      <c r="H320" s="10">
        <v>18.2</v>
      </c>
      <c r="I320" s="10">
        <v>15083.92</v>
      </c>
      <c r="J320" s="8" t="s">
        <v>41</v>
      </c>
      <c r="K320" s="8" t="s">
        <v>178</v>
      </c>
      <c r="L320" s="18" t="str">
        <f>VLOOKUP(D320,Products!$A:$C,3,FALSE)</f>
        <v>Home</v>
      </c>
      <c r="N320" s="18" t="str">
        <f>VLOOKUP(C320,Customers!$A:$E,5,FALSE)</f>
        <v>Retail</v>
      </c>
      <c r="O320" s="18">
        <f>VLOOKUP(C320,Customers!$A:$C,3,FALSE)</f>
        <v>65</v>
      </c>
      <c r="T320" s="10">
        <v>10.6</v>
      </c>
    </row>
    <row r="321" spans="1:20" ht="14.25" hidden="1" customHeight="1" x14ac:dyDescent="0.3">
      <c r="A321" s="8" t="s">
        <v>1380</v>
      </c>
      <c r="B321" s="9">
        <v>45343</v>
      </c>
      <c r="C321" s="8" t="s">
        <v>326</v>
      </c>
      <c r="D321" s="8" t="s">
        <v>912</v>
      </c>
      <c r="E321" s="8" t="s">
        <v>236</v>
      </c>
      <c r="F321" s="10">
        <v>6</v>
      </c>
      <c r="G321" s="10">
        <v>4060</v>
      </c>
      <c r="H321" s="10">
        <v>24.3</v>
      </c>
      <c r="I321" s="10">
        <v>18440.52</v>
      </c>
      <c r="J321" s="8" t="s">
        <v>41</v>
      </c>
      <c r="K321" s="8" t="s">
        <v>178</v>
      </c>
      <c r="L321" s="18" t="str">
        <f>VLOOKUP(D321,Products!$A:$C,3,FALSE)</f>
        <v>Grocery</v>
      </c>
      <c r="N321" s="18" t="str">
        <f>VLOOKUP(C321,Customers!$A:$E,5,FALSE)</f>
        <v>Retail</v>
      </c>
      <c r="O321" s="18">
        <f>VLOOKUP(C321,Customers!$A:$C,3,FALSE)</f>
        <v>53</v>
      </c>
      <c r="T321" s="10">
        <v>12.1</v>
      </c>
    </row>
    <row r="322" spans="1:20" ht="14.25" hidden="1" customHeight="1" x14ac:dyDescent="0.3">
      <c r="A322" s="8" t="s">
        <v>1381</v>
      </c>
      <c r="B322" s="9">
        <v>45509</v>
      </c>
      <c r="C322" s="8" t="s">
        <v>706</v>
      </c>
      <c r="D322" s="8" t="s">
        <v>896</v>
      </c>
      <c r="E322" s="8" t="s">
        <v>231</v>
      </c>
      <c r="F322" s="10">
        <v>5</v>
      </c>
      <c r="G322" s="10">
        <v>620</v>
      </c>
      <c r="H322" s="10">
        <v>10.7</v>
      </c>
      <c r="I322" s="10">
        <v>2768.3</v>
      </c>
      <c r="J322" s="8" t="s">
        <v>193</v>
      </c>
      <c r="K322" s="8" t="s">
        <v>98</v>
      </c>
      <c r="L322" s="18" t="str">
        <f>VLOOKUP(D322,Products!$A:$C,3,FALSE)</f>
        <v>Apparel</v>
      </c>
      <c r="N322" s="18" t="str">
        <f>VLOOKUP(C322,Customers!$A:$E,5,FALSE)</f>
        <v>SMB</v>
      </c>
      <c r="O322" s="18">
        <f>VLOOKUP(C322,Customers!$A:$C,3,FALSE)</f>
        <v>46</v>
      </c>
      <c r="T322" s="10">
        <v>19.100000000000001</v>
      </c>
    </row>
    <row r="323" spans="1:20" ht="14.25" hidden="1" customHeight="1" x14ac:dyDescent="0.3">
      <c r="A323" s="8" t="s">
        <v>1382</v>
      </c>
      <c r="B323" s="9">
        <v>45513</v>
      </c>
      <c r="C323" s="8" t="s">
        <v>481</v>
      </c>
      <c r="D323" s="8" t="s">
        <v>901</v>
      </c>
      <c r="E323" s="8" t="s">
        <v>200</v>
      </c>
      <c r="F323" s="10">
        <v>3</v>
      </c>
      <c r="G323" s="10">
        <v>3560</v>
      </c>
      <c r="H323" s="10">
        <v>4.0999999999999996</v>
      </c>
      <c r="I323" s="10">
        <v>10242.120000000001</v>
      </c>
      <c r="J323" s="8" t="s">
        <v>41</v>
      </c>
      <c r="K323" s="8" t="s">
        <v>178</v>
      </c>
      <c r="L323" s="18" t="str">
        <f>VLOOKUP(D323,Products!$A:$C,3,FALSE)</f>
        <v>Apparel</v>
      </c>
      <c r="N323" s="18" t="str">
        <f>VLOOKUP(C323,Customers!$A:$E,5,FALSE)</f>
        <v>Corporate</v>
      </c>
      <c r="O323" s="18">
        <f>VLOOKUP(C323,Customers!$A:$C,3,FALSE)</f>
        <v>43</v>
      </c>
      <c r="T323" s="10">
        <v>2.8</v>
      </c>
    </row>
    <row r="324" spans="1:20" ht="14.25" hidden="1" customHeight="1" x14ac:dyDescent="0.3">
      <c r="A324" s="8" t="s">
        <v>1383</v>
      </c>
      <c r="B324" s="9">
        <v>45500</v>
      </c>
      <c r="C324" s="8" t="s">
        <v>598</v>
      </c>
      <c r="D324" s="8" t="s">
        <v>205</v>
      </c>
      <c r="E324" s="8" t="s">
        <v>189</v>
      </c>
      <c r="F324" s="10">
        <v>2</v>
      </c>
      <c r="G324" s="10">
        <v>2400</v>
      </c>
      <c r="H324" s="10">
        <v>13</v>
      </c>
      <c r="I324" s="10">
        <v>4176</v>
      </c>
      <c r="J324" s="8" t="s">
        <v>41</v>
      </c>
      <c r="K324" s="8" t="s">
        <v>42</v>
      </c>
      <c r="L324" s="18" t="str">
        <f>VLOOKUP(D324,Products!$A:$C,3,FALSE)</f>
        <v>Sports</v>
      </c>
      <c r="N324" s="18" t="str">
        <f>VLOOKUP(C324,Customers!$A:$E,5,FALSE)</f>
        <v>Corporate</v>
      </c>
      <c r="O324" s="18">
        <f>VLOOKUP(C324,Customers!$A:$C,3,FALSE)</f>
        <v>52</v>
      </c>
      <c r="T324" s="10">
        <v>24.4</v>
      </c>
    </row>
    <row r="325" spans="1:20" ht="14.25" hidden="1" customHeight="1" x14ac:dyDescent="0.3">
      <c r="A325" s="8" t="s">
        <v>1384</v>
      </c>
      <c r="B325" s="9">
        <v>45407</v>
      </c>
      <c r="C325" s="8" t="s">
        <v>139</v>
      </c>
      <c r="D325" s="8" t="s">
        <v>959</v>
      </c>
      <c r="E325" s="8" t="s">
        <v>125</v>
      </c>
      <c r="F325" s="10">
        <v>9</v>
      </c>
      <c r="G325" s="10">
        <v>6940</v>
      </c>
      <c r="H325" s="10">
        <v>26.2</v>
      </c>
      <c r="I325" s="10">
        <v>46095.48</v>
      </c>
      <c r="J325" s="8" t="s">
        <v>41</v>
      </c>
      <c r="K325" s="8" t="s">
        <v>119</v>
      </c>
      <c r="L325" s="18" t="str">
        <f>VLOOKUP(D325,Products!$A:$C,3,FALSE)</f>
        <v>Sports</v>
      </c>
      <c r="N325" s="18" t="str">
        <f>VLOOKUP(C325,Customers!$A:$E,5,FALSE)</f>
        <v>Retail</v>
      </c>
      <c r="O325" s="18">
        <f>VLOOKUP(C325,Customers!$A:$C,3,FALSE)</f>
        <v>53</v>
      </c>
      <c r="T325" s="10">
        <v>29.1</v>
      </c>
    </row>
    <row r="326" spans="1:20" ht="14.25" customHeight="1" x14ac:dyDescent="0.3">
      <c r="A326" s="8" t="s">
        <v>1385</v>
      </c>
      <c r="B326" s="21">
        <v>45385</v>
      </c>
      <c r="C326" s="8" t="s">
        <v>257</v>
      </c>
      <c r="D326" s="8" t="s">
        <v>909</v>
      </c>
      <c r="E326" s="8" t="s">
        <v>145</v>
      </c>
      <c r="F326" s="10">
        <v>9</v>
      </c>
      <c r="G326" s="10">
        <v>2380</v>
      </c>
      <c r="H326" s="10">
        <v>22.7</v>
      </c>
      <c r="I326" s="10">
        <v>16557.66</v>
      </c>
      <c r="J326" s="8" t="s">
        <v>41</v>
      </c>
      <c r="K326" s="8" t="s">
        <v>146</v>
      </c>
      <c r="L326" s="18" t="str">
        <f>VLOOKUP(D326,Products!$A:$C,3,FALSE)</f>
        <v>Grocery</v>
      </c>
      <c r="N326" s="18" t="str">
        <f>VLOOKUP(C326,Customers!$A:$E,5,FALSE)</f>
        <v>Retail</v>
      </c>
      <c r="O326" s="18">
        <f>VLOOKUP(C326,Customers!$A:$C,3,FALSE)</f>
        <v>33</v>
      </c>
      <c r="P326" s="18" t="str">
        <f>VLOOKUP(E325,Sales_Reps!$A:$C,3,FALSE)</f>
        <v>North</v>
      </c>
      <c r="Q326" s="18" t="str">
        <f>TEXT(B325,"MMM-YY")</f>
        <v>Apr-24</v>
      </c>
      <c r="R326">
        <f>VLOOKUP(D326, Products!A:D, 4, FALSE)</f>
        <v>1182</v>
      </c>
      <c r="S326">
        <f>(G326-R326)/G326</f>
        <v>0.50336134453781511</v>
      </c>
      <c r="T326" s="10">
        <v>21.1</v>
      </c>
    </row>
    <row r="327" spans="1:20" ht="14.25" hidden="1" customHeight="1" x14ac:dyDescent="0.3">
      <c r="A327" s="8" t="s">
        <v>1386</v>
      </c>
      <c r="B327" s="9">
        <v>45542</v>
      </c>
      <c r="C327" s="8" t="s">
        <v>633</v>
      </c>
      <c r="D327" s="8" t="s">
        <v>37</v>
      </c>
      <c r="E327" s="8" t="s">
        <v>172</v>
      </c>
      <c r="F327" s="10">
        <v>6</v>
      </c>
      <c r="G327" s="10">
        <v>3620</v>
      </c>
      <c r="H327" s="10">
        <v>9.1999999999999993</v>
      </c>
      <c r="I327" s="10">
        <v>19721.759999999998</v>
      </c>
      <c r="J327" s="8" t="s">
        <v>41</v>
      </c>
      <c r="K327" s="8" t="s">
        <v>119</v>
      </c>
      <c r="L327" s="18" t="str">
        <f>VLOOKUP(D327,Products!$A:$C,3,FALSE)</f>
        <v>Apparel</v>
      </c>
      <c r="N327" s="18" t="str">
        <f>VLOOKUP(C327,Customers!$A:$E,5,FALSE)</f>
        <v>Corporate</v>
      </c>
      <c r="O327" s="18">
        <f>VLOOKUP(C327,Customers!$A:$C,3,FALSE)</f>
        <v>55</v>
      </c>
      <c r="T327" s="10">
        <v>7.7</v>
      </c>
    </row>
    <row r="328" spans="1:20" ht="14.25" hidden="1" customHeight="1" x14ac:dyDescent="0.3">
      <c r="A328" s="8" t="s">
        <v>1387</v>
      </c>
      <c r="B328" s="9">
        <v>45422</v>
      </c>
      <c r="C328" s="8" t="s">
        <v>481</v>
      </c>
      <c r="D328" s="8" t="s">
        <v>662</v>
      </c>
      <c r="E328" s="8" t="s">
        <v>185</v>
      </c>
      <c r="F328" s="10">
        <v>1</v>
      </c>
      <c r="G328" s="10">
        <v>6080</v>
      </c>
      <c r="H328" s="10">
        <v>29.4</v>
      </c>
      <c r="I328" s="10">
        <v>4292.4799999999996</v>
      </c>
      <c r="J328" s="8" t="s">
        <v>147</v>
      </c>
      <c r="K328" s="8" t="s">
        <v>178</v>
      </c>
      <c r="L328" s="18" t="str">
        <f>VLOOKUP(D328,Products!$A:$C,3,FALSE)</f>
        <v>Beauty</v>
      </c>
      <c r="N328" s="18" t="str">
        <f>VLOOKUP(C328,Customers!$A:$E,5,FALSE)</f>
        <v>Corporate</v>
      </c>
      <c r="O328" s="18">
        <f>VLOOKUP(C328,Customers!$A:$C,3,FALSE)</f>
        <v>43</v>
      </c>
      <c r="T328" s="10">
        <v>3.5</v>
      </c>
    </row>
    <row r="329" spans="1:20" ht="14.25" customHeight="1" x14ac:dyDescent="0.3">
      <c r="A329" s="8" t="s">
        <v>1388</v>
      </c>
      <c r="B329" s="21">
        <v>45343</v>
      </c>
      <c r="C329" s="8" t="s">
        <v>210</v>
      </c>
      <c r="D329" s="8" t="s">
        <v>95</v>
      </c>
      <c r="E329" s="8" t="s">
        <v>167</v>
      </c>
      <c r="F329" s="10">
        <v>6</v>
      </c>
      <c r="G329" s="10">
        <v>820</v>
      </c>
      <c r="H329" s="10">
        <v>29.1</v>
      </c>
      <c r="I329" s="10">
        <v>3488.28</v>
      </c>
      <c r="J329" s="8" t="s">
        <v>41</v>
      </c>
      <c r="K329" s="8" t="s">
        <v>98</v>
      </c>
      <c r="L329" s="18" t="str">
        <f>VLOOKUP(D329,Products!$A:$C,3,FALSE)</f>
        <v>Apparel</v>
      </c>
      <c r="N329" s="18" t="str">
        <f>VLOOKUP(C329,Customers!$A:$E,5,FALSE)</f>
        <v>Retail</v>
      </c>
      <c r="O329" s="18">
        <f>VLOOKUP(C329,Customers!$A:$C,3,FALSE)</f>
        <v>26</v>
      </c>
      <c r="P329" s="18" t="str">
        <f>VLOOKUP(E328,Sales_Reps!$A:$C,3,FALSE)</f>
        <v>North</v>
      </c>
      <c r="Q329" s="18" t="str">
        <f>TEXT(B328,"MMM-YY")</f>
        <v>May-24</v>
      </c>
      <c r="R329">
        <f>VLOOKUP(D329, Products!A:D, 4, FALSE)</f>
        <v>391</v>
      </c>
      <c r="S329">
        <f>(G329-R329)/G329</f>
        <v>0.52317073170731709</v>
      </c>
      <c r="T329" s="10">
        <v>19.600000000000001</v>
      </c>
    </row>
    <row r="330" spans="1:20" ht="14.25" hidden="1" customHeight="1" x14ac:dyDescent="0.3">
      <c r="A330" s="8" t="s">
        <v>1389</v>
      </c>
      <c r="B330" s="9">
        <v>45646</v>
      </c>
      <c r="C330" s="8" t="s">
        <v>861</v>
      </c>
      <c r="D330" s="8" t="s">
        <v>867</v>
      </c>
      <c r="E330" s="8" t="s">
        <v>153</v>
      </c>
      <c r="F330" s="10">
        <v>9</v>
      </c>
      <c r="G330" s="10">
        <v>3020</v>
      </c>
      <c r="H330" s="10">
        <v>7.9</v>
      </c>
      <c r="I330" s="10">
        <v>25032.78</v>
      </c>
      <c r="J330" s="8" t="s">
        <v>41</v>
      </c>
      <c r="K330" s="8" t="s">
        <v>146</v>
      </c>
      <c r="L330" s="18" t="str">
        <f>VLOOKUP(D330,Products!$A:$C,3,FALSE)</f>
        <v>Beauty</v>
      </c>
      <c r="N330" s="18" t="str">
        <f>VLOOKUP(C330,Customers!$A:$E,5,FALSE)</f>
        <v>Corporate</v>
      </c>
      <c r="O330" s="18">
        <f>VLOOKUP(C330,Customers!$A:$C,3,FALSE)</f>
        <v>51</v>
      </c>
      <c r="T330" s="10">
        <v>5</v>
      </c>
    </row>
    <row r="331" spans="1:20" ht="14.25" customHeight="1" x14ac:dyDescent="0.3">
      <c r="A331" s="8" t="s">
        <v>1390</v>
      </c>
      <c r="B331" s="21">
        <v>45645</v>
      </c>
      <c r="C331" s="8" t="s">
        <v>244</v>
      </c>
      <c r="D331" s="8" t="s">
        <v>188</v>
      </c>
      <c r="E331" s="8" t="s">
        <v>236</v>
      </c>
      <c r="F331" s="10">
        <v>8</v>
      </c>
      <c r="G331" s="10">
        <v>3870</v>
      </c>
      <c r="H331" s="10">
        <v>11.9</v>
      </c>
      <c r="I331" s="10">
        <v>27275.759999999998</v>
      </c>
      <c r="J331" s="8" t="s">
        <v>41</v>
      </c>
      <c r="K331" s="8" t="s">
        <v>119</v>
      </c>
      <c r="L331" s="18" t="str">
        <f>VLOOKUP(D331,Products!$A:$C,3,FALSE)</f>
        <v>Electronics</v>
      </c>
      <c r="N331" s="18" t="str">
        <f>VLOOKUP(C331,Customers!$A:$E,5,FALSE)</f>
        <v>Retail</v>
      </c>
      <c r="O331" s="18">
        <f>VLOOKUP(C331,Customers!$A:$C,3,FALSE)</f>
        <v>24</v>
      </c>
      <c r="P331" s="18" t="str">
        <f>VLOOKUP(E330,Sales_Reps!$A:$C,3,FALSE)</f>
        <v>West</v>
      </c>
      <c r="Q331" s="18" t="str">
        <f t="shared" ref="Q331:Q333" si="70">TEXT(B330,"MMM-YY")</f>
        <v>Dec-24</v>
      </c>
      <c r="R331">
        <f>VLOOKUP(D331, Products!A:D, 4, FALSE)</f>
        <v>1559</v>
      </c>
      <c r="S331">
        <f t="shared" ref="S331:S333" si="71">(G331-R331)/G331</f>
        <v>0.59715762273901807</v>
      </c>
      <c r="T331" s="10">
        <v>23.7</v>
      </c>
    </row>
    <row r="332" spans="1:20" ht="14.25" customHeight="1" x14ac:dyDescent="0.3">
      <c r="A332" s="8" t="s">
        <v>1391</v>
      </c>
      <c r="B332" s="21">
        <v>45528</v>
      </c>
      <c r="C332" s="8" t="s">
        <v>433</v>
      </c>
      <c r="D332" s="8" t="s">
        <v>215</v>
      </c>
      <c r="E332" s="8" t="s">
        <v>143</v>
      </c>
      <c r="F332" s="10">
        <v>6</v>
      </c>
      <c r="G332" s="10">
        <v>3450</v>
      </c>
      <c r="H332" s="10">
        <v>13.9</v>
      </c>
      <c r="I332" s="10">
        <v>17822.7</v>
      </c>
      <c r="J332" s="8" t="s">
        <v>41</v>
      </c>
      <c r="K332" s="8" t="s">
        <v>42</v>
      </c>
      <c r="L332" s="18" t="str">
        <f>VLOOKUP(D332,Products!$A:$C,3,FALSE)</f>
        <v>Beauty</v>
      </c>
      <c r="N332" s="18" t="str">
        <f>VLOOKUP(C332,Customers!$A:$E,5,FALSE)</f>
        <v>SMB</v>
      </c>
      <c r="O332" s="18">
        <f>VLOOKUP(C332,Customers!$A:$C,3,FALSE)</f>
        <v>30</v>
      </c>
      <c r="P332" s="18" t="str">
        <f>VLOOKUP(E331,Sales_Reps!$A:$C,3,FALSE)</f>
        <v>West</v>
      </c>
      <c r="Q332" s="18" t="str">
        <f t="shared" si="70"/>
        <v>Dec-24</v>
      </c>
      <c r="R332">
        <f>VLOOKUP(D332, Products!A:D, 4, FALSE)</f>
        <v>2420</v>
      </c>
      <c r="S332">
        <f t="shared" si="71"/>
        <v>0.29855072463768118</v>
      </c>
      <c r="T332" s="10">
        <v>9.3000000000000007</v>
      </c>
    </row>
    <row r="333" spans="1:20" ht="14.25" customHeight="1" x14ac:dyDescent="0.3">
      <c r="A333" s="8" t="s">
        <v>1392</v>
      </c>
      <c r="B333" s="21">
        <v>45655</v>
      </c>
      <c r="C333" s="8" t="s">
        <v>556</v>
      </c>
      <c r="D333" s="8" t="s">
        <v>320</v>
      </c>
      <c r="E333" s="8" t="s">
        <v>135</v>
      </c>
      <c r="F333" s="10">
        <v>9</v>
      </c>
      <c r="G333" s="10">
        <v>5100</v>
      </c>
      <c r="H333" s="10">
        <v>2.1</v>
      </c>
      <c r="I333" s="10">
        <v>44936.1</v>
      </c>
      <c r="J333" s="8" t="s">
        <v>41</v>
      </c>
      <c r="K333" s="8" t="s">
        <v>98</v>
      </c>
      <c r="L333" s="18" t="str">
        <f>VLOOKUP(D333,Products!$A:$C,3,FALSE)</f>
        <v>Beauty</v>
      </c>
      <c r="N333" s="18" t="str">
        <f>VLOOKUP(C333,Customers!$A:$E,5,FALSE)</f>
        <v>Retail</v>
      </c>
      <c r="O333" s="18">
        <f>VLOOKUP(C333,Customers!$A:$C,3,FALSE)</f>
        <v>24</v>
      </c>
      <c r="P333" s="18" t="str">
        <f>VLOOKUP(E332,Sales_Reps!$A:$C,3,FALSE)</f>
        <v>West</v>
      </c>
      <c r="Q333" s="18" t="str">
        <f t="shared" si="70"/>
        <v>Aug-24</v>
      </c>
      <c r="R333">
        <f>VLOOKUP(D333, Products!A:D, 4, FALSE)</f>
        <v>2237</v>
      </c>
      <c r="S333">
        <f t="shared" si="71"/>
        <v>0.56137254901960787</v>
      </c>
      <c r="T333" s="10">
        <v>7.5</v>
      </c>
    </row>
    <row r="334" spans="1:20" ht="14.25" hidden="1" customHeight="1" x14ac:dyDescent="0.3">
      <c r="A334" s="8" t="s">
        <v>1393</v>
      </c>
      <c r="B334" s="9">
        <v>45518</v>
      </c>
      <c r="C334" s="8" t="s">
        <v>780</v>
      </c>
      <c r="D334" s="8" t="s">
        <v>818</v>
      </c>
      <c r="E334" s="8" t="s">
        <v>135</v>
      </c>
      <c r="F334" s="10">
        <v>2</v>
      </c>
      <c r="G334" s="10">
        <v>4070</v>
      </c>
      <c r="H334" s="10">
        <v>28.6</v>
      </c>
      <c r="I334" s="10">
        <v>5811.96</v>
      </c>
      <c r="J334" s="8" t="s">
        <v>41</v>
      </c>
      <c r="K334" s="8" t="s">
        <v>119</v>
      </c>
      <c r="L334" s="18" t="str">
        <f>VLOOKUP(D334,Products!$A:$C,3,FALSE)</f>
        <v>Grocery</v>
      </c>
      <c r="N334" s="18" t="str">
        <f>VLOOKUP(C334,Customers!$A:$E,5,FALSE)</f>
        <v>SMB</v>
      </c>
      <c r="O334" s="18">
        <f>VLOOKUP(C334,Customers!$A:$C,3,FALSE)</f>
        <v>53</v>
      </c>
      <c r="T334" s="10">
        <v>8.3000000000000007</v>
      </c>
    </row>
    <row r="335" spans="1:20" ht="14.25" customHeight="1" x14ac:dyDescent="0.3">
      <c r="A335" s="8" t="s">
        <v>1394</v>
      </c>
      <c r="B335" s="21">
        <v>45339</v>
      </c>
      <c r="C335" s="8" t="s">
        <v>592</v>
      </c>
      <c r="D335" s="8" t="s">
        <v>230</v>
      </c>
      <c r="E335" s="8" t="s">
        <v>38</v>
      </c>
      <c r="F335" s="10">
        <v>9</v>
      </c>
      <c r="G335" s="10">
        <v>5330</v>
      </c>
      <c r="H335" s="10">
        <v>6.2</v>
      </c>
      <c r="I335" s="10">
        <v>44995.86</v>
      </c>
      <c r="J335" s="8" t="s">
        <v>41</v>
      </c>
      <c r="K335" s="8" t="s">
        <v>42</v>
      </c>
      <c r="L335" s="18" t="str">
        <f>VLOOKUP(D335,Products!$A:$C,3,FALSE)</f>
        <v>Electronics</v>
      </c>
      <c r="N335" s="18" t="str">
        <f>VLOOKUP(C335,Customers!$A:$E,5,FALSE)</f>
        <v>SMB</v>
      </c>
      <c r="O335" s="18">
        <f>VLOOKUP(C335,Customers!$A:$C,3,FALSE)</f>
        <v>35</v>
      </c>
      <c r="P335" s="18" t="str">
        <f>VLOOKUP(E334,Sales_Reps!$A:$C,3,FALSE)</f>
        <v>North</v>
      </c>
      <c r="Q335" s="18" t="str">
        <f>TEXT(B334,"MMM-YY")</f>
        <v>Aug-24</v>
      </c>
      <c r="R335">
        <f>VLOOKUP(D335, Products!A:D, 4, FALSE)</f>
        <v>2405</v>
      </c>
      <c r="S335">
        <f>(G335-R335)/G335</f>
        <v>0.54878048780487809</v>
      </c>
      <c r="T335" s="10">
        <v>8.5</v>
      </c>
    </row>
    <row r="336" spans="1:20" ht="14.25" hidden="1" customHeight="1" x14ac:dyDescent="0.3">
      <c r="A336" s="8" t="s">
        <v>1355</v>
      </c>
      <c r="B336" s="9">
        <v>45319</v>
      </c>
      <c r="C336" s="8" t="s">
        <v>810</v>
      </c>
      <c r="D336" s="8" t="s">
        <v>176</v>
      </c>
      <c r="E336" s="8" t="s">
        <v>321</v>
      </c>
      <c r="F336" s="10">
        <v>6</v>
      </c>
      <c r="G336" s="10">
        <v>2270</v>
      </c>
      <c r="H336" s="10">
        <v>23.7</v>
      </c>
      <c r="I336" s="10">
        <v>10392.06</v>
      </c>
      <c r="J336" s="8" t="s">
        <v>41</v>
      </c>
      <c r="K336" s="8" t="s">
        <v>1395</v>
      </c>
      <c r="L336" s="18" t="str">
        <f>VLOOKUP(D336,Products!$A:$C,3,FALSE)</f>
        <v>Grocery</v>
      </c>
      <c r="N336" s="18" t="str">
        <f>VLOOKUP(C336,Customers!$A:$E,5,FALSE)</f>
        <v>Retail</v>
      </c>
      <c r="O336" s="18">
        <f>VLOOKUP(C336,Customers!$A:$C,3,FALSE)</f>
        <v>48</v>
      </c>
      <c r="T336" s="10">
        <v>10.199999999999999</v>
      </c>
    </row>
    <row r="337" spans="1:20" ht="14.25" customHeight="1" x14ac:dyDescent="0.3">
      <c r="A337" s="8" t="s">
        <v>1396</v>
      </c>
      <c r="B337" s="21">
        <v>45618</v>
      </c>
      <c r="C337" s="8" t="s">
        <v>191</v>
      </c>
      <c r="D337" s="8" t="s">
        <v>898</v>
      </c>
      <c r="E337" s="8" t="s">
        <v>153</v>
      </c>
      <c r="F337" s="10">
        <v>5</v>
      </c>
      <c r="G337" s="10">
        <v>2510</v>
      </c>
      <c r="H337" s="10">
        <v>25</v>
      </c>
      <c r="I337" s="10">
        <v>9412.5</v>
      </c>
      <c r="J337" s="8" t="s">
        <v>41</v>
      </c>
      <c r="K337" s="8" t="s">
        <v>42</v>
      </c>
      <c r="L337" s="18" t="str">
        <f>VLOOKUP(D337,Products!$A:$C,3,FALSE)</f>
        <v>Apparel</v>
      </c>
      <c r="N337" s="18" t="str">
        <f>VLOOKUP(C337,Customers!$A:$E,5,FALSE)</f>
        <v>SMB</v>
      </c>
      <c r="O337" s="18">
        <f>VLOOKUP(C337,Customers!$A:$C,3,FALSE)</f>
        <v>39</v>
      </c>
      <c r="P337" s="18" t="str">
        <f>VLOOKUP(E336,Sales_Reps!$A:$C,3,FALSE)</f>
        <v>East</v>
      </c>
      <c r="Q337" s="18" t="str">
        <f t="shared" ref="Q337:Q339" si="72">TEXT(B336,"MMM-YY")</f>
        <v>Jan-24</v>
      </c>
      <c r="R337">
        <f>VLOOKUP(D337, Products!A:D, 4, FALSE)</f>
        <v>1075</v>
      </c>
      <c r="S337">
        <f t="shared" ref="S337:S339" si="73">(G337-R337)/G337</f>
        <v>0.57171314741035861</v>
      </c>
      <c r="T337" s="10">
        <v>15.3</v>
      </c>
    </row>
    <row r="338" spans="1:20" ht="14.25" customHeight="1" x14ac:dyDescent="0.3">
      <c r="A338" s="8" t="s">
        <v>1397</v>
      </c>
      <c r="B338" s="21">
        <v>45335</v>
      </c>
      <c r="C338" s="8" t="s">
        <v>549</v>
      </c>
      <c r="D338" s="8" t="s">
        <v>909</v>
      </c>
      <c r="E338" s="8" t="s">
        <v>158</v>
      </c>
      <c r="F338" s="10">
        <v>9</v>
      </c>
      <c r="G338" s="10">
        <v>2380</v>
      </c>
      <c r="H338" s="10">
        <v>16.8</v>
      </c>
      <c r="I338" s="10">
        <v>17821.439999999999</v>
      </c>
      <c r="J338" s="8" t="s">
        <v>41</v>
      </c>
      <c r="K338" s="8" t="s">
        <v>119</v>
      </c>
      <c r="L338" s="18" t="str">
        <f>VLOOKUP(D338,Products!$A:$C,3,FALSE)</f>
        <v>Grocery</v>
      </c>
      <c r="N338" s="18" t="str">
        <f>VLOOKUP(C338,Customers!$A:$E,5,FALSE)</f>
        <v>Retail</v>
      </c>
      <c r="O338" s="18">
        <f>VLOOKUP(C338,Customers!$A:$C,3,FALSE)</f>
        <v>40</v>
      </c>
      <c r="P338" s="18" t="str">
        <f>VLOOKUP(E337,Sales_Reps!$A:$C,3,FALSE)</f>
        <v>West</v>
      </c>
      <c r="Q338" s="18" t="str">
        <f t="shared" si="72"/>
        <v>Nov-24</v>
      </c>
      <c r="R338">
        <f>VLOOKUP(D338, Products!A:D, 4, FALSE)</f>
        <v>1182</v>
      </c>
      <c r="S338">
        <f t="shared" si="73"/>
        <v>0.50336134453781511</v>
      </c>
      <c r="T338" s="10">
        <v>22.4</v>
      </c>
    </row>
    <row r="339" spans="1:20" ht="14.25" customHeight="1" x14ac:dyDescent="0.3">
      <c r="A339" s="8" t="s">
        <v>1398</v>
      </c>
      <c r="B339" s="21">
        <v>45420</v>
      </c>
      <c r="C339" s="8" t="s">
        <v>288</v>
      </c>
      <c r="D339" s="8" t="s">
        <v>889</v>
      </c>
      <c r="E339" s="8" t="s">
        <v>135</v>
      </c>
      <c r="F339" s="10">
        <v>1</v>
      </c>
      <c r="G339" s="10">
        <v>3450</v>
      </c>
      <c r="H339" s="10">
        <v>1.5</v>
      </c>
      <c r="I339" s="10">
        <v>3398.25</v>
      </c>
      <c r="J339" s="8" t="s">
        <v>193</v>
      </c>
      <c r="K339" s="8" t="s">
        <v>119</v>
      </c>
      <c r="L339" s="18" t="str">
        <f>VLOOKUP(D339,Products!$A:$C,3,FALSE)</f>
        <v>Apparel</v>
      </c>
      <c r="N339" s="18" t="str">
        <f>VLOOKUP(C339,Customers!$A:$E,5,FALSE)</f>
        <v>SMB</v>
      </c>
      <c r="O339" s="18">
        <f>VLOOKUP(C339,Customers!$A:$C,3,FALSE)</f>
        <v>26</v>
      </c>
      <c r="P339" s="18" t="str">
        <f>VLOOKUP(E338,Sales_Reps!$A:$C,3,FALSE)</f>
        <v>East</v>
      </c>
      <c r="Q339" s="18" t="str">
        <f t="shared" si="72"/>
        <v>Feb-24</v>
      </c>
      <c r="R339">
        <f>VLOOKUP(D339, Products!A:D, 4, FALSE)</f>
        <v>1748</v>
      </c>
      <c r="S339">
        <f t="shared" si="73"/>
        <v>0.49333333333333335</v>
      </c>
      <c r="T339" s="10">
        <v>1.7</v>
      </c>
    </row>
    <row r="340" spans="1:20" ht="14.25" hidden="1" customHeight="1" x14ac:dyDescent="0.3">
      <c r="A340" s="8" t="s">
        <v>1399</v>
      </c>
      <c r="B340" s="9">
        <v>45295</v>
      </c>
      <c r="C340" s="8" t="s">
        <v>157</v>
      </c>
      <c r="D340" s="8" t="s">
        <v>211</v>
      </c>
      <c r="E340" s="8" t="s">
        <v>261</v>
      </c>
      <c r="F340" s="10">
        <v>5</v>
      </c>
      <c r="G340" s="10">
        <v>3570</v>
      </c>
      <c r="H340" s="10">
        <v>12.8</v>
      </c>
      <c r="I340" s="10">
        <v>15565.2</v>
      </c>
      <c r="J340" s="8" t="s">
        <v>41</v>
      </c>
      <c r="K340" s="8" t="s">
        <v>136</v>
      </c>
      <c r="L340" s="18" t="str">
        <f>VLOOKUP(D340,Products!$A:$C,3,FALSE)</f>
        <v>Electronics</v>
      </c>
      <c r="N340" s="18" t="str">
        <f>VLOOKUP(C340,Customers!$A:$E,5,FALSE)</f>
        <v>Corporate</v>
      </c>
      <c r="O340" s="18">
        <f>VLOOKUP(C340,Customers!$A:$C,3,FALSE)</f>
        <v>57</v>
      </c>
      <c r="T340" s="10">
        <v>17.600000000000001</v>
      </c>
    </row>
    <row r="341" spans="1:20" ht="14.25" customHeight="1" x14ac:dyDescent="0.3">
      <c r="A341" s="8" t="s">
        <v>1400</v>
      </c>
      <c r="B341" s="21">
        <v>45590</v>
      </c>
      <c r="C341" s="8" t="s">
        <v>771</v>
      </c>
      <c r="D341" s="8" t="s">
        <v>230</v>
      </c>
      <c r="E341" s="8" t="s">
        <v>236</v>
      </c>
      <c r="F341" s="10">
        <v>3</v>
      </c>
      <c r="G341" s="10">
        <v>5330</v>
      </c>
      <c r="H341" s="10">
        <v>16.2</v>
      </c>
      <c r="I341" s="10">
        <v>13399.62</v>
      </c>
      <c r="J341" s="8" t="s">
        <v>41</v>
      </c>
      <c r="K341" s="8" t="s">
        <v>178</v>
      </c>
      <c r="L341" s="18" t="str">
        <f>VLOOKUP(D341,Products!$A:$C,3,FALSE)</f>
        <v>Electronics</v>
      </c>
      <c r="N341" s="18" t="str">
        <f>VLOOKUP(C341,Customers!$A:$E,5,FALSE)</f>
        <v>Retail</v>
      </c>
      <c r="O341" s="18">
        <f>VLOOKUP(C341,Customers!$A:$C,3,FALSE)</f>
        <v>27</v>
      </c>
      <c r="P341" s="18" t="str">
        <f>VLOOKUP(E340,Sales_Reps!$A:$C,3,FALSE)</f>
        <v>North</v>
      </c>
      <c r="Q341" s="18" t="str">
        <f>TEXT(B340,"MMM-YY")</f>
        <v>Jan-24</v>
      </c>
      <c r="R341">
        <f>VLOOKUP(D341, Products!A:D, 4, FALSE)</f>
        <v>2405</v>
      </c>
      <c r="S341">
        <f>(G341-R341)/G341</f>
        <v>0.54878048780487809</v>
      </c>
      <c r="T341" s="10">
        <v>17.399999999999999</v>
      </c>
    </row>
    <row r="342" spans="1:20" ht="14.25" hidden="1" customHeight="1" x14ac:dyDescent="0.3">
      <c r="A342" s="8" t="s">
        <v>1401</v>
      </c>
      <c r="B342" s="9">
        <v>45341</v>
      </c>
      <c r="C342" s="8" t="s">
        <v>826</v>
      </c>
      <c r="D342" s="8" t="s">
        <v>124</v>
      </c>
      <c r="E342" s="8" t="s">
        <v>619</v>
      </c>
      <c r="F342" s="10">
        <v>3</v>
      </c>
      <c r="G342" s="10">
        <v>3660</v>
      </c>
      <c r="H342" s="10">
        <v>25.3</v>
      </c>
      <c r="I342" s="10">
        <v>8202.06</v>
      </c>
      <c r="J342" s="8" t="s">
        <v>41</v>
      </c>
      <c r="K342" s="8" t="s">
        <v>146</v>
      </c>
      <c r="L342" s="18" t="str">
        <f>VLOOKUP(D342,Products!$A:$C,3,FALSE)</f>
        <v>Grocery</v>
      </c>
      <c r="N342" s="18" t="str">
        <f>VLOOKUP(C342,Customers!$A:$E,5,FALSE)</f>
        <v>Retail</v>
      </c>
      <c r="O342" s="18">
        <f>VLOOKUP(C342,Customers!$A:$C,3,FALSE)</f>
        <v>56</v>
      </c>
      <c r="T342" s="10">
        <v>24.7</v>
      </c>
    </row>
    <row r="343" spans="1:20" ht="14.25" customHeight="1" x14ac:dyDescent="0.3">
      <c r="A343" s="8" t="s">
        <v>1402</v>
      </c>
      <c r="B343" s="21">
        <v>45600</v>
      </c>
      <c r="C343" s="8" t="s">
        <v>337</v>
      </c>
      <c r="D343" s="8" t="s">
        <v>260</v>
      </c>
      <c r="E343" s="8" t="s">
        <v>301</v>
      </c>
      <c r="F343" s="10">
        <v>2</v>
      </c>
      <c r="G343" s="10">
        <v>1010</v>
      </c>
      <c r="H343" s="10">
        <v>29.2</v>
      </c>
      <c r="I343" s="10">
        <v>1430.16</v>
      </c>
      <c r="J343" s="8" t="s">
        <v>41</v>
      </c>
      <c r="K343" s="8" t="s">
        <v>146</v>
      </c>
      <c r="L343" s="18" t="str">
        <f>VLOOKUP(D343,Products!$A:$C,3,FALSE)</f>
        <v>Sports</v>
      </c>
      <c r="N343" s="18" t="str">
        <f>VLOOKUP(C343,Customers!$A:$E,5,FALSE)</f>
        <v>Retail</v>
      </c>
      <c r="O343" s="18">
        <f>VLOOKUP(C343,Customers!$A:$C,3,FALSE)</f>
        <v>35</v>
      </c>
      <c r="P343" s="18" t="str">
        <f>VLOOKUP(E342,Sales_Reps!$A:$C,3,FALSE)</f>
        <v>West</v>
      </c>
      <c r="Q343" s="18" t="str">
        <f>TEXT(B342,"MMM-YY")</f>
        <v>Feb-24</v>
      </c>
      <c r="R343">
        <f>VLOOKUP(D343, Products!A:D, 4, FALSE)</f>
        <v>516</v>
      </c>
      <c r="S343">
        <f>(G343-R343)/G343</f>
        <v>0.4891089108910891</v>
      </c>
      <c r="T343" s="10">
        <v>5.8</v>
      </c>
    </row>
    <row r="344" spans="1:20" ht="14.25" hidden="1" customHeight="1" x14ac:dyDescent="0.3">
      <c r="A344" s="8" t="s">
        <v>1403</v>
      </c>
      <c r="B344" s="9">
        <v>45506</v>
      </c>
      <c r="C344" s="8" t="s">
        <v>852</v>
      </c>
      <c r="D344" s="8" t="s">
        <v>224</v>
      </c>
      <c r="E344" s="8" t="s">
        <v>301</v>
      </c>
      <c r="F344" s="10">
        <v>1</v>
      </c>
      <c r="G344" s="10">
        <v>1080</v>
      </c>
      <c r="H344" s="10">
        <v>1.8</v>
      </c>
      <c r="I344" s="10">
        <v>1060.56</v>
      </c>
      <c r="J344" s="8" t="s">
        <v>41</v>
      </c>
      <c r="K344" s="8" t="s">
        <v>119</v>
      </c>
      <c r="L344" s="18" t="str">
        <f>VLOOKUP(D344,Products!$A:$C,3,FALSE)</f>
        <v>Home</v>
      </c>
      <c r="N344" s="18" t="str">
        <f>VLOOKUP(C344,Customers!$A:$E,5,FALSE)</f>
        <v>SMB</v>
      </c>
      <c r="O344" s="18">
        <f>VLOOKUP(C344,Customers!$A:$C,3,FALSE)</f>
        <v>48</v>
      </c>
      <c r="T344" s="10">
        <v>2</v>
      </c>
    </row>
    <row r="345" spans="1:20" ht="14.25" customHeight="1" x14ac:dyDescent="0.3">
      <c r="A345" s="8" t="s">
        <v>1404</v>
      </c>
      <c r="B345" s="21">
        <v>45414</v>
      </c>
      <c r="C345" s="8" t="s">
        <v>487</v>
      </c>
      <c r="D345" s="8" t="s">
        <v>219</v>
      </c>
      <c r="E345" s="8" t="s">
        <v>177</v>
      </c>
      <c r="F345" s="10">
        <v>8</v>
      </c>
      <c r="G345" s="10">
        <v>3450</v>
      </c>
      <c r="H345" s="10">
        <v>20.399999999999999</v>
      </c>
      <c r="I345" s="10">
        <v>21969.599999999999</v>
      </c>
      <c r="J345" s="8" t="s">
        <v>41</v>
      </c>
      <c r="K345" s="8" t="s">
        <v>42</v>
      </c>
      <c r="L345" s="18" t="str">
        <f>VLOOKUP(D345,Products!$A:$C,3,FALSE)</f>
        <v>Sports</v>
      </c>
      <c r="N345" s="18" t="str">
        <f>VLOOKUP(C345,Customers!$A:$E,5,FALSE)</f>
        <v>Retail</v>
      </c>
      <c r="O345" s="18">
        <f>VLOOKUP(C345,Customers!$A:$C,3,FALSE)</f>
        <v>22</v>
      </c>
      <c r="P345" s="18" t="str">
        <f>VLOOKUP(E344,Sales_Reps!$A:$C,3,FALSE)</f>
        <v>South</v>
      </c>
      <c r="Q345" s="18" t="str">
        <f>TEXT(B344,"MMM-YY")</f>
        <v>Aug-24</v>
      </c>
      <c r="R345">
        <f>VLOOKUP(D345, Products!A:D, 4, FALSE)</f>
        <v>2467</v>
      </c>
      <c r="S345">
        <f>(G345-R345)/G345</f>
        <v>0.28492753623188405</v>
      </c>
      <c r="T345" s="10">
        <v>7.9</v>
      </c>
    </row>
    <row r="346" spans="1:20" ht="14.25" hidden="1" customHeight="1" x14ac:dyDescent="0.3">
      <c r="A346" s="8" t="s">
        <v>1405</v>
      </c>
      <c r="B346" s="9">
        <v>45553</v>
      </c>
      <c r="C346" s="8" t="s">
        <v>413</v>
      </c>
      <c r="D346" s="8" t="s">
        <v>959</v>
      </c>
      <c r="E346" s="8" t="s">
        <v>301</v>
      </c>
      <c r="F346" s="10">
        <v>8</v>
      </c>
      <c r="G346" s="10">
        <v>6940</v>
      </c>
      <c r="H346" s="10">
        <v>19.399999999999999</v>
      </c>
      <c r="I346" s="10">
        <v>44749.120000000003</v>
      </c>
      <c r="J346" s="8" t="s">
        <v>41</v>
      </c>
      <c r="K346" s="8" t="s">
        <v>146</v>
      </c>
      <c r="L346" s="18" t="str">
        <f>VLOOKUP(D346,Products!$A:$C,3,FALSE)</f>
        <v>Sports</v>
      </c>
      <c r="N346" s="18" t="str">
        <f>VLOOKUP(C346,Customers!$A:$E,5,FALSE)</f>
        <v>Retail</v>
      </c>
      <c r="O346" s="18">
        <f>VLOOKUP(C346,Customers!$A:$C,3,FALSE)</f>
        <v>42</v>
      </c>
      <c r="T346" s="10">
        <v>13.4</v>
      </c>
    </row>
    <row r="347" spans="1:20" ht="14.25" hidden="1" customHeight="1" x14ac:dyDescent="0.3">
      <c r="A347" s="8" t="s">
        <v>1406</v>
      </c>
      <c r="B347" s="9">
        <v>45434</v>
      </c>
      <c r="C347" s="8" t="s">
        <v>397</v>
      </c>
      <c r="D347" s="8" t="s">
        <v>789</v>
      </c>
      <c r="E347" s="8" t="s">
        <v>200</v>
      </c>
      <c r="F347" s="10">
        <v>2</v>
      </c>
      <c r="G347" s="10">
        <v>1540</v>
      </c>
      <c r="H347" s="10">
        <v>9.3000000000000007</v>
      </c>
      <c r="I347" s="10">
        <v>2793.56</v>
      </c>
      <c r="J347" s="8" t="s">
        <v>41</v>
      </c>
      <c r="K347" s="8" t="s">
        <v>42</v>
      </c>
      <c r="L347" s="18" t="str">
        <f>VLOOKUP(D347,Products!$A:$C,3,FALSE)</f>
        <v>Beauty</v>
      </c>
      <c r="N347" s="18" t="str">
        <f>VLOOKUP(C347,Customers!$A:$E,5,FALSE)</f>
        <v>Retail</v>
      </c>
      <c r="O347" s="18">
        <f>VLOOKUP(C347,Customers!$A:$C,3,FALSE)</f>
        <v>54</v>
      </c>
      <c r="T347" s="10">
        <v>8.1999999999999993</v>
      </c>
    </row>
    <row r="348" spans="1:20" ht="14.25" hidden="1" customHeight="1" x14ac:dyDescent="0.3">
      <c r="A348" s="8" t="s">
        <v>1407</v>
      </c>
      <c r="B348" s="9">
        <v>45446</v>
      </c>
      <c r="C348" s="8" t="s">
        <v>357</v>
      </c>
      <c r="D348" s="8" t="s">
        <v>181</v>
      </c>
      <c r="E348" s="8" t="s">
        <v>301</v>
      </c>
      <c r="F348" s="10">
        <v>4</v>
      </c>
      <c r="G348" s="10">
        <v>2640</v>
      </c>
      <c r="H348" s="10">
        <v>23.2</v>
      </c>
      <c r="I348" s="10">
        <v>8110.08</v>
      </c>
      <c r="J348" s="8" t="s">
        <v>193</v>
      </c>
      <c r="K348" s="8" t="s">
        <v>42</v>
      </c>
      <c r="L348" s="18" t="str">
        <f>VLOOKUP(D348,Products!$A:$C,3,FALSE)</f>
        <v>Electronics</v>
      </c>
      <c r="N348" s="18" t="str">
        <f>VLOOKUP(C348,Customers!$A:$E,5,FALSE)</f>
        <v>Corporate</v>
      </c>
      <c r="O348" s="18">
        <f>VLOOKUP(C348,Customers!$A:$C,3,FALSE)</f>
        <v>47</v>
      </c>
      <c r="T348" s="10">
        <v>19.8</v>
      </c>
    </row>
    <row r="349" spans="1:20" ht="14.25" customHeight="1" x14ac:dyDescent="0.3">
      <c r="A349" s="8" t="s">
        <v>1408</v>
      </c>
      <c r="B349" s="21">
        <v>45626</v>
      </c>
      <c r="C349" s="8" t="s">
        <v>251</v>
      </c>
      <c r="D349" s="8" t="s">
        <v>954</v>
      </c>
      <c r="E349" s="8" t="s">
        <v>153</v>
      </c>
      <c r="F349" s="10">
        <v>6</v>
      </c>
      <c r="G349" s="10">
        <v>5410</v>
      </c>
      <c r="H349" s="10">
        <v>29.4</v>
      </c>
      <c r="I349" s="10">
        <v>22916.76</v>
      </c>
      <c r="J349" s="8" t="s">
        <v>41</v>
      </c>
      <c r="K349" s="8" t="s">
        <v>42</v>
      </c>
      <c r="L349" s="18" t="str">
        <f>VLOOKUP(D349,Products!$A:$C,3,FALSE)</f>
        <v>Sports</v>
      </c>
      <c r="N349" s="18" t="str">
        <f>VLOOKUP(C349,Customers!$A:$E,5,FALSE)</f>
        <v>Retail</v>
      </c>
      <c r="O349" s="18">
        <f>VLOOKUP(C349,Customers!$A:$C,3,FALSE)</f>
        <v>36</v>
      </c>
      <c r="P349" s="18" t="str">
        <f>VLOOKUP(E348,Sales_Reps!$A:$C,3,FALSE)</f>
        <v>South</v>
      </c>
      <c r="Q349" s="18" t="str">
        <f t="shared" ref="Q349:Q352" si="74">TEXT(B348,"MMM-YY")</f>
        <v>Jun-24</v>
      </c>
      <c r="R349">
        <f>VLOOKUP(D349, Products!A:D, 4, FALSE)</f>
        <v>2265</v>
      </c>
      <c r="S349">
        <f t="shared" ref="S349:S352" si="75">(G349-R349)/G349</f>
        <v>0.58133086876155271</v>
      </c>
      <c r="T349" s="10">
        <v>16.2</v>
      </c>
    </row>
    <row r="350" spans="1:20" ht="14.25" customHeight="1" x14ac:dyDescent="0.3">
      <c r="A350" s="8" t="s">
        <v>1409</v>
      </c>
      <c r="B350" s="21">
        <v>45459</v>
      </c>
      <c r="C350" s="8" t="s">
        <v>645</v>
      </c>
      <c r="D350" s="8" t="s">
        <v>211</v>
      </c>
      <c r="E350" s="8" t="s">
        <v>619</v>
      </c>
      <c r="F350" s="10">
        <v>1</v>
      </c>
      <c r="G350" s="10">
        <v>3570</v>
      </c>
      <c r="H350" s="10">
        <v>4.3</v>
      </c>
      <c r="I350" s="10">
        <v>3416.49</v>
      </c>
      <c r="J350" s="8" t="s">
        <v>41</v>
      </c>
      <c r="K350" s="8" t="s">
        <v>119</v>
      </c>
      <c r="L350" s="18" t="str">
        <f>VLOOKUP(D350,Products!$A:$C,3,FALSE)</f>
        <v>Electronics</v>
      </c>
      <c r="N350" s="18" t="str">
        <f>VLOOKUP(C350,Customers!$A:$E,5,FALSE)</f>
        <v>SMB</v>
      </c>
      <c r="O350" s="18">
        <f>VLOOKUP(C350,Customers!$A:$C,3,FALSE)</f>
        <v>38</v>
      </c>
      <c r="P350" s="18" t="str">
        <f>VLOOKUP(E349,Sales_Reps!$A:$C,3,FALSE)</f>
        <v>West</v>
      </c>
      <c r="Q350" s="18" t="str">
        <f t="shared" si="74"/>
        <v>Nov-24</v>
      </c>
      <c r="R350">
        <f>VLOOKUP(D350, Products!A:D, 4, FALSE)</f>
        <v>1665</v>
      </c>
      <c r="S350">
        <f t="shared" si="75"/>
        <v>0.53361344537815125</v>
      </c>
      <c r="T350" s="10">
        <v>10.5</v>
      </c>
    </row>
    <row r="351" spans="1:20" ht="14.25" customHeight="1" x14ac:dyDescent="0.3">
      <c r="A351" s="8" t="s">
        <v>1410</v>
      </c>
      <c r="B351" s="21">
        <v>45520</v>
      </c>
      <c r="C351" s="8" t="s">
        <v>235</v>
      </c>
      <c r="D351" s="8" t="s">
        <v>144</v>
      </c>
      <c r="E351" s="8" t="s">
        <v>172</v>
      </c>
      <c r="F351" s="10">
        <v>2</v>
      </c>
      <c r="G351" s="10">
        <v>370</v>
      </c>
      <c r="H351" s="10">
        <v>7.2</v>
      </c>
      <c r="I351" s="10">
        <v>686.72</v>
      </c>
      <c r="J351" s="8" t="s">
        <v>41</v>
      </c>
      <c r="K351" s="8" t="s">
        <v>178</v>
      </c>
      <c r="L351" s="18" t="str">
        <f>VLOOKUP(D351,Products!$A:$C,3,FALSE)</f>
        <v>Home</v>
      </c>
      <c r="N351" s="18" t="str">
        <f>VLOOKUP(C351,Customers!$A:$E,5,FALSE)</f>
        <v>SMB</v>
      </c>
      <c r="O351" s="18">
        <f>VLOOKUP(C351,Customers!$A:$C,3,FALSE)</f>
        <v>29</v>
      </c>
      <c r="P351" s="18" t="str">
        <f>VLOOKUP(E350,Sales_Reps!$A:$C,3,FALSE)</f>
        <v>West</v>
      </c>
      <c r="Q351" s="18" t="str">
        <f t="shared" si="74"/>
        <v>Jun-24</v>
      </c>
      <c r="R351">
        <f>VLOOKUP(D351, Products!A:D, 4, FALSE)</f>
        <v>288</v>
      </c>
      <c r="S351">
        <f t="shared" si="75"/>
        <v>0.22162162162162163</v>
      </c>
      <c r="T351" s="10">
        <v>27.2</v>
      </c>
    </row>
    <row r="352" spans="1:20" ht="14.25" customHeight="1" x14ac:dyDescent="0.3">
      <c r="A352" s="8" t="s">
        <v>1411</v>
      </c>
      <c r="B352" s="21">
        <v>45314</v>
      </c>
      <c r="C352" s="8" t="s">
        <v>717</v>
      </c>
      <c r="D352" s="8" t="s">
        <v>898</v>
      </c>
      <c r="E352" s="8" t="s">
        <v>121</v>
      </c>
      <c r="F352" s="10">
        <v>1</v>
      </c>
      <c r="G352" s="10">
        <v>2510</v>
      </c>
      <c r="H352" s="10">
        <v>2.4</v>
      </c>
      <c r="I352" s="10">
        <v>2449.7600000000002</v>
      </c>
      <c r="J352" s="8" t="s">
        <v>41</v>
      </c>
      <c r="K352" s="8" t="s">
        <v>146</v>
      </c>
      <c r="L352" s="18" t="str">
        <f>VLOOKUP(D352,Products!$A:$C,3,FALSE)</f>
        <v>Apparel</v>
      </c>
      <c r="N352" s="18" t="str">
        <f>VLOOKUP(C352,Customers!$A:$E,5,FALSE)</f>
        <v>Retail</v>
      </c>
      <c r="O352" s="18">
        <f>VLOOKUP(C352,Customers!$A:$C,3,FALSE)</f>
        <v>39</v>
      </c>
      <c r="P352" s="18" t="str">
        <f>VLOOKUP(E351,Sales_Reps!$A:$C,3,FALSE)</f>
        <v>West</v>
      </c>
      <c r="Q352" s="18" t="str">
        <f t="shared" si="74"/>
        <v>Aug-24</v>
      </c>
      <c r="R352">
        <f>VLOOKUP(D352, Products!A:D, 4, FALSE)</f>
        <v>1075</v>
      </c>
      <c r="S352">
        <f t="shared" si="75"/>
        <v>0.57171314741035861</v>
      </c>
      <c r="T352" s="10">
        <v>3.3</v>
      </c>
    </row>
    <row r="353" spans="1:20" ht="14.25" hidden="1" customHeight="1" x14ac:dyDescent="0.3">
      <c r="A353" s="8" t="s">
        <v>1412</v>
      </c>
      <c r="B353" s="9">
        <v>45480</v>
      </c>
      <c r="C353" s="8" t="s">
        <v>395</v>
      </c>
      <c r="D353" s="8" t="s">
        <v>644</v>
      </c>
      <c r="E353" s="8" t="s">
        <v>196</v>
      </c>
      <c r="F353" s="10">
        <v>8</v>
      </c>
      <c r="G353" s="10">
        <v>3640</v>
      </c>
      <c r="H353" s="10">
        <v>28.7</v>
      </c>
      <c r="I353" s="10">
        <v>20762.560000000001</v>
      </c>
      <c r="J353" s="8" t="s">
        <v>97</v>
      </c>
      <c r="K353" s="8" t="s">
        <v>178</v>
      </c>
      <c r="L353" s="18" t="str">
        <f>VLOOKUP(D353,Products!$A:$C,3,FALSE)</f>
        <v>Apparel</v>
      </c>
      <c r="N353" s="18" t="str">
        <f>VLOOKUP(C353,Customers!$A:$E,5,FALSE)</f>
        <v>Retail</v>
      </c>
      <c r="O353" s="18">
        <f>VLOOKUP(C353,Customers!$A:$C,3,FALSE)</f>
        <v>64</v>
      </c>
      <c r="T353" s="10">
        <v>4.2</v>
      </c>
    </row>
    <row r="354" spans="1:20" ht="14.25" hidden="1" customHeight="1" x14ac:dyDescent="0.3">
      <c r="A354" s="8" t="s">
        <v>1413</v>
      </c>
      <c r="B354" s="9">
        <v>45520</v>
      </c>
      <c r="C354" s="8" t="s">
        <v>299</v>
      </c>
      <c r="D354" s="8" t="s">
        <v>242</v>
      </c>
      <c r="E354" s="8" t="s">
        <v>236</v>
      </c>
      <c r="F354" s="10">
        <v>5</v>
      </c>
      <c r="G354" s="10">
        <v>1650</v>
      </c>
      <c r="H354" s="10">
        <v>13.4</v>
      </c>
      <c r="I354" s="10">
        <v>7144.5</v>
      </c>
      <c r="J354" s="8" t="s">
        <v>97</v>
      </c>
      <c r="K354" s="8" t="s">
        <v>98</v>
      </c>
      <c r="L354" s="18" t="str">
        <f>VLOOKUP(D354,Products!$A:$C,3,FALSE)</f>
        <v>Beauty</v>
      </c>
      <c r="N354" s="18" t="str">
        <f>VLOOKUP(C354,Customers!$A:$E,5,FALSE)</f>
        <v>SMB</v>
      </c>
      <c r="O354" s="18">
        <f>VLOOKUP(C354,Customers!$A:$C,3,FALSE)</f>
        <v>52</v>
      </c>
      <c r="T354" s="10">
        <v>13.3</v>
      </c>
    </row>
    <row r="355" spans="1:20" ht="14.25" hidden="1" customHeight="1" x14ac:dyDescent="0.3">
      <c r="A355" s="8" t="s">
        <v>1414</v>
      </c>
      <c r="B355" s="9">
        <v>45360</v>
      </c>
      <c r="C355" s="8" t="s">
        <v>611</v>
      </c>
      <c r="D355" s="8" t="s">
        <v>949</v>
      </c>
      <c r="E355" s="8" t="s">
        <v>153</v>
      </c>
      <c r="F355" s="10">
        <v>9</v>
      </c>
      <c r="G355" s="10">
        <v>960</v>
      </c>
      <c r="H355" s="10">
        <v>28.6</v>
      </c>
      <c r="I355" s="10">
        <v>6168.96</v>
      </c>
      <c r="J355" s="8" t="s">
        <v>97</v>
      </c>
      <c r="K355" s="8" t="s">
        <v>98</v>
      </c>
      <c r="L355" s="18" t="str">
        <f>VLOOKUP(D355,Products!$A:$C,3,FALSE)</f>
        <v>Beauty</v>
      </c>
      <c r="N355" s="18" t="str">
        <f>VLOOKUP(C355,Customers!$A:$E,5,FALSE)</f>
        <v>Retail</v>
      </c>
      <c r="O355" s="18">
        <f>VLOOKUP(C355,Customers!$A:$C,3,FALSE)</f>
        <v>60</v>
      </c>
      <c r="T355" s="10">
        <v>17.5</v>
      </c>
    </row>
    <row r="356" spans="1:20" ht="14.25" hidden="1" customHeight="1" x14ac:dyDescent="0.3">
      <c r="A356" s="8" t="s">
        <v>1415</v>
      </c>
      <c r="B356" s="9">
        <v>45486</v>
      </c>
      <c r="C356" s="8" t="s">
        <v>587</v>
      </c>
      <c r="D356" s="8" t="s">
        <v>624</v>
      </c>
      <c r="E356" s="8" t="s">
        <v>216</v>
      </c>
      <c r="F356" s="10">
        <v>4</v>
      </c>
      <c r="G356" s="10">
        <v>3780</v>
      </c>
      <c r="H356" s="10">
        <v>25.3</v>
      </c>
      <c r="I356" s="10">
        <v>11294.64</v>
      </c>
      <c r="J356" s="8" t="s">
        <v>41</v>
      </c>
      <c r="K356" s="8" t="s">
        <v>136</v>
      </c>
      <c r="L356" s="18" t="str">
        <f>VLOOKUP(D356,Products!$A:$C,3,FALSE)</f>
        <v>Grocery</v>
      </c>
      <c r="N356" s="18" t="str">
        <f>VLOOKUP(C356,Customers!$A:$E,5,FALSE)</f>
        <v>SMB</v>
      </c>
      <c r="O356" s="18">
        <f>VLOOKUP(C356,Customers!$A:$C,3,FALSE)</f>
        <v>64</v>
      </c>
      <c r="T356" s="10">
        <v>12.2</v>
      </c>
    </row>
    <row r="357" spans="1:20" ht="14.25" hidden="1" customHeight="1" x14ac:dyDescent="0.3">
      <c r="A357" s="8" t="s">
        <v>1416</v>
      </c>
      <c r="B357" s="9">
        <v>45544</v>
      </c>
      <c r="C357" s="8" t="s">
        <v>299</v>
      </c>
      <c r="D357" s="8" t="s">
        <v>242</v>
      </c>
      <c r="E357" s="8" t="s">
        <v>117</v>
      </c>
      <c r="F357" s="10">
        <v>4</v>
      </c>
      <c r="G357" s="10">
        <v>1650</v>
      </c>
      <c r="H357" s="10">
        <v>13.7</v>
      </c>
      <c r="I357" s="10">
        <v>5695.8</v>
      </c>
      <c r="J357" s="8" t="s">
        <v>147</v>
      </c>
      <c r="K357" s="8" t="s">
        <v>98</v>
      </c>
      <c r="L357" s="18" t="str">
        <f>VLOOKUP(D357,Products!$A:$C,3,FALSE)</f>
        <v>Beauty</v>
      </c>
      <c r="N357" s="18" t="str">
        <f>VLOOKUP(C357,Customers!$A:$E,5,FALSE)</f>
        <v>SMB</v>
      </c>
      <c r="O357" s="18">
        <f>VLOOKUP(C357,Customers!$A:$C,3,FALSE)</f>
        <v>52</v>
      </c>
      <c r="T357" s="10">
        <v>15</v>
      </c>
    </row>
    <row r="358" spans="1:20" ht="14.25" customHeight="1" x14ac:dyDescent="0.3">
      <c r="A358" s="8" t="s">
        <v>1417</v>
      </c>
      <c r="B358" s="21">
        <v>45580</v>
      </c>
      <c r="C358" s="8" t="s">
        <v>742</v>
      </c>
      <c r="D358" s="8" t="s">
        <v>37</v>
      </c>
      <c r="E358" s="8" t="s">
        <v>189</v>
      </c>
      <c r="F358" s="10">
        <v>6</v>
      </c>
      <c r="G358" s="10">
        <v>3620</v>
      </c>
      <c r="H358" s="10">
        <v>21.3</v>
      </c>
      <c r="I358" s="10">
        <v>17093.64</v>
      </c>
      <c r="J358" s="8" t="s">
        <v>97</v>
      </c>
      <c r="K358" s="8" t="s">
        <v>178</v>
      </c>
      <c r="L358" s="18" t="str">
        <f>VLOOKUP(D358,Products!$A:$C,3,FALSE)</f>
        <v>Apparel</v>
      </c>
      <c r="N358" s="18" t="str">
        <f>VLOOKUP(C358,Customers!$A:$E,5,FALSE)</f>
        <v>Retail</v>
      </c>
      <c r="O358" s="18">
        <f>VLOOKUP(C358,Customers!$A:$C,3,FALSE)</f>
        <v>38</v>
      </c>
      <c r="P358" s="18" t="str">
        <f>VLOOKUP(E357,Sales_Reps!$A:$C,3,FALSE)</f>
        <v>South</v>
      </c>
      <c r="Q358" s="18" t="str">
        <f>TEXT(B357,"MMM-YY")</f>
        <v>Sep-24</v>
      </c>
      <c r="R358">
        <f>VLOOKUP(D358, Products!A:D, 4, FALSE)</f>
        <v>2509</v>
      </c>
      <c r="S358">
        <f>(G358-R358)/G358</f>
        <v>0.3069060773480663</v>
      </c>
      <c r="T358" s="10">
        <v>1.8</v>
      </c>
    </row>
    <row r="359" spans="1:20" ht="14.25" hidden="1" customHeight="1" x14ac:dyDescent="0.3">
      <c r="A359" s="8" t="s">
        <v>1418</v>
      </c>
      <c r="B359" s="9">
        <v>45312</v>
      </c>
      <c r="C359" s="8" t="s">
        <v>406</v>
      </c>
      <c r="D359" s="8" t="s">
        <v>691</v>
      </c>
      <c r="E359" s="8" t="s">
        <v>143</v>
      </c>
      <c r="F359" s="10">
        <v>10</v>
      </c>
      <c r="G359" s="10">
        <v>2270</v>
      </c>
      <c r="H359" s="10">
        <v>17.7</v>
      </c>
      <c r="I359" s="10">
        <v>18682.099999999999</v>
      </c>
      <c r="J359" s="8" t="s">
        <v>41</v>
      </c>
      <c r="K359" s="8" t="s">
        <v>119</v>
      </c>
      <c r="L359" s="18" t="str">
        <f>VLOOKUP(D359,Products!$A:$C,3,FALSE)</f>
        <v>Grocery</v>
      </c>
      <c r="N359" s="18" t="str">
        <f>VLOOKUP(C359,Customers!$A:$E,5,FALSE)</f>
        <v>SMB</v>
      </c>
      <c r="O359" s="18">
        <f>VLOOKUP(C359,Customers!$A:$C,3,FALSE)</f>
        <v>59</v>
      </c>
      <c r="T359" s="10">
        <v>4.7</v>
      </c>
    </row>
    <row r="360" spans="1:20" ht="14.25" customHeight="1" x14ac:dyDescent="0.3">
      <c r="A360" s="8" t="s">
        <v>1419</v>
      </c>
      <c r="B360" s="21">
        <v>45447</v>
      </c>
      <c r="C360" s="8" t="s">
        <v>849</v>
      </c>
      <c r="D360" s="8" t="s">
        <v>789</v>
      </c>
      <c r="E360" s="8" t="s">
        <v>745</v>
      </c>
      <c r="F360" s="10">
        <v>9</v>
      </c>
      <c r="G360" s="10">
        <v>1540</v>
      </c>
      <c r="H360" s="10">
        <v>10.7</v>
      </c>
      <c r="I360" s="10">
        <v>12376.98</v>
      </c>
      <c r="J360" s="8" t="s">
        <v>41</v>
      </c>
      <c r="K360" s="8" t="s">
        <v>136</v>
      </c>
      <c r="L360" s="18" t="str">
        <f>VLOOKUP(D360,Products!$A:$C,3,FALSE)</f>
        <v>Beauty</v>
      </c>
      <c r="N360" s="18" t="str">
        <f>VLOOKUP(C360,Customers!$A:$E,5,FALSE)</f>
        <v>Retail</v>
      </c>
      <c r="O360" s="18">
        <f>VLOOKUP(C360,Customers!$A:$C,3,FALSE)</f>
        <v>32</v>
      </c>
      <c r="P360" s="18" t="str">
        <f>VLOOKUP(E359,Sales_Reps!$A:$C,3,FALSE)</f>
        <v>West</v>
      </c>
      <c r="Q360" s="18" t="str">
        <f t="shared" ref="Q360:Q361" si="76">TEXT(B359,"MMM-YY")</f>
        <v>Jan-24</v>
      </c>
      <c r="R360">
        <f>VLOOKUP(D360, Products!A:D, 4, FALSE)</f>
        <v>647</v>
      </c>
      <c r="S360">
        <f t="shared" ref="S360:S361" si="77">(G360-R360)/G360</f>
        <v>0.57987012987012987</v>
      </c>
      <c r="T360" s="10">
        <v>8.6999999999999993</v>
      </c>
    </row>
    <row r="361" spans="1:20" ht="14.25" customHeight="1" x14ac:dyDescent="0.3">
      <c r="A361" s="8" t="s">
        <v>1420</v>
      </c>
      <c r="B361" s="21">
        <v>45607</v>
      </c>
      <c r="C361" s="8" t="s">
        <v>173</v>
      </c>
      <c r="D361" s="8" t="s">
        <v>338</v>
      </c>
      <c r="E361" s="8" t="s">
        <v>216</v>
      </c>
      <c r="F361" s="10">
        <v>9</v>
      </c>
      <c r="G361" s="10">
        <v>2860</v>
      </c>
      <c r="H361" s="10">
        <v>12.9</v>
      </c>
      <c r="I361" s="10">
        <v>22419.54</v>
      </c>
      <c r="J361" s="8" t="s">
        <v>41</v>
      </c>
      <c r="K361" s="8" t="s">
        <v>178</v>
      </c>
      <c r="L361" s="18" t="str">
        <f>VLOOKUP(D361,Products!$A:$C,3,FALSE)</f>
        <v>Sports</v>
      </c>
      <c r="N361" s="18" t="str">
        <f>VLOOKUP(C361,Customers!$A:$E,5,FALSE)</f>
        <v>Retail</v>
      </c>
      <c r="O361" s="18">
        <f>VLOOKUP(C361,Customers!$A:$C,3,FALSE)</f>
        <v>26</v>
      </c>
      <c r="P361" s="18" t="str">
        <f>VLOOKUP(E360,Sales_Reps!$A:$C,3,FALSE)</f>
        <v>South</v>
      </c>
      <c r="Q361" s="18" t="str">
        <f t="shared" si="76"/>
        <v>Jun-24</v>
      </c>
      <c r="R361">
        <f>VLOOKUP(D361, Products!A:D, 4, FALSE)</f>
        <v>2028</v>
      </c>
      <c r="S361">
        <f t="shared" si="77"/>
        <v>0.29090909090909089</v>
      </c>
      <c r="T361" s="10">
        <v>11.2</v>
      </c>
    </row>
    <row r="362" spans="1:20" ht="14.25" hidden="1" customHeight="1" x14ac:dyDescent="0.3">
      <c r="A362" s="8" t="s">
        <v>1421</v>
      </c>
      <c r="B362" s="9">
        <v>45379</v>
      </c>
      <c r="C362" s="8" t="s">
        <v>706</v>
      </c>
      <c r="D362" s="8" t="s">
        <v>918</v>
      </c>
      <c r="E362" s="8" t="s">
        <v>221</v>
      </c>
      <c r="F362" s="10">
        <v>5</v>
      </c>
      <c r="G362" s="10">
        <v>2210</v>
      </c>
      <c r="H362" s="10">
        <v>5.0999999999999996</v>
      </c>
      <c r="I362" s="10">
        <v>10486.45</v>
      </c>
      <c r="J362" s="8" t="s">
        <v>41</v>
      </c>
      <c r="K362" s="8" t="s">
        <v>98</v>
      </c>
      <c r="L362" s="18" t="str">
        <f>VLOOKUP(D362,Products!$A:$C,3,FALSE)</f>
        <v>Grocery</v>
      </c>
      <c r="N362" s="18" t="str">
        <f>VLOOKUP(C362,Customers!$A:$E,5,FALSE)</f>
        <v>SMB</v>
      </c>
      <c r="O362" s="18">
        <f>VLOOKUP(C362,Customers!$A:$C,3,FALSE)</f>
        <v>46</v>
      </c>
      <c r="T362" s="10">
        <v>19.100000000000001</v>
      </c>
    </row>
    <row r="363" spans="1:20" ht="14.25" hidden="1" customHeight="1" x14ac:dyDescent="0.3">
      <c r="A363" s="8" t="s">
        <v>1422</v>
      </c>
      <c r="B363" s="9">
        <v>45591</v>
      </c>
      <c r="C363" s="8" t="s">
        <v>840</v>
      </c>
      <c r="D363" s="8" t="s">
        <v>160</v>
      </c>
      <c r="E363" s="8" t="s">
        <v>236</v>
      </c>
      <c r="F363" s="10">
        <v>1</v>
      </c>
      <c r="G363" s="10">
        <v>1220</v>
      </c>
      <c r="H363" s="10">
        <v>16.100000000000001</v>
      </c>
      <c r="I363" s="10">
        <v>1023.58</v>
      </c>
      <c r="J363" s="8" t="s">
        <v>41</v>
      </c>
      <c r="K363" s="8" t="s">
        <v>98</v>
      </c>
      <c r="L363" s="18" t="str">
        <f>VLOOKUP(D363,Products!$A:$C,3,FALSE)</f>
        <v>Electronics</v>
      </c>
      <c r="N363" s="18" t="str">
        <f>VLOOKUP(C363,Customers!$A:$E,5,FALSE)</f>
        <v>SMB</v>
      </c>
      <c r="O363" s="18">
        <f>VLOOKUP(C363,Customers!$A:$C,3,FALSE)</f>
        <v>53</v>
      </c>
      <c r="T363" s="10">
        <v>4.0999999999999996</v>
      </c>
    </row>
    <row r="364" spans="1:20" ht="14.25" hidden="1" customHeight="1" x14ac:dyDescent="0.3">
      <c r="A364" s="8" t="s">
        <v>1423</v>
      </c>
      <c r="B364" s="9">
        <v>45561</v>
      </c>
      <c r="C364" s="8" t="s">
        <v>324</v>
      </c>
      <c r="D364" s="8" t="s">
        <v>211</v>
      </c>
      <c r="E364" s="8" t="s">
        <v>125</v>
      </c>
      <c r="F364" s="10">
        <v>2</v>
      </c>
      <c r="G364" s="10">
        <v>3570</v>
      </c>
      <c r="H364" s="10">
        <v>1.1000000000000001</v>
      </c>
      <c r="I364" s="10">
        <v>7061.46</v>
      </c>
      <c r="J364" s="8" t="s">
        <v>41</v>
      </c>
      <c r="K364" s="8" t="s">
        <v>136</v>
      </c>
      <c r="L364" s="18" t="str">
        <f>VLOOKUP(D364,Products!$A:$C,3,FALSE)</f>
        <v>Electronics</v>
      </c>
      <c r="N364" s="18" t="str">
        <f>VLOOKUP(C364,Customers!$A:$E,5,FALSE)</f>
        <v>Corporate</v>
      </c>
      <c r="O364" s="18">
        <f>VLOOKUP(C364,Customers!$A:$C,3,FALSE)</f>
        <v>43</v>
      </c>
      <c r="T364" s="10">
        <v>4.2</v>
      </c>
    </row>
    <row r="365" spans="1:20" ht="14.25" customHeight="1" x14ac:dyDescent="0.3">
      <c r="A365" s="8" t="s">
        <v>1424</v>
      </c>
      <c r="B365" s="21">
        <v>45308</v>
      </c>
      <c r="C365" s="8" t="s">
        <v>812</v>
      </c>
      <c r="D365" s="8" t="s">
        <v>889</v>
      </c>
      <c r="E365" s="8" t="s">
        <v>221</v>
      </c>
      <c r="F365" s="10">
        <v>10</v>
      </c>
      <c r="G365" s="10">
        <v>3450</v>
      </c>
      <c r="H365" s="10">
        <v>12.6</v>
      </c>
      <c r="I365" s="10">
        <v>30153</v>
      </c>
      <c r="J365" s="8" t="s">
        <v>41</v>
      </c>
      <c r="K365" s="8" t="s">
        <v>136</v>
      </c>
      <c r="L365" s="18" t="str">
        <f>VLOOKUP(D365,Products!$A:$C,3,FALSE)</f>
        <v>Apparel</v>
      </c>
      <c r="N365" s="18" t="str">
        <f>VLOOKUP(C365,Customers!$A:$E,5,FALSE)</f>
        <v>Retail</v>
      </c>
      <c r="O365" s="18">
        <f>VLOOKUP(C365,Customers!$A:$C,3,FALSE)</f>
        <v>29</v>
      </c>
      <c r="P365" s="18" t="str">
        <f>VLOOKUP(E364,Sales_Reps!$A:$C,3,FALSE)</f>
        <v>North</v>
      </c>
      <c r="Q365" s="18" t="str">
        <f t="shared" ref="Q365:Q366" si="78">TEXT(B364,"MMM-YY")</f>
        <v>Sep-24</v>
      </c>
      <c r="R365">
        <f>VLOOKUP(D365, Products!A:D, 4, FALSE)</f>
        <v>1748</v>
      </c>
      <c r="S365">
        <f t="shared" ref="S365:S366" si="79">(G365-R365)/G365</f>
        <v>0.49333333333333335</v>
      </c>
      <c r="T365" s="10">
        <v>15.1</v>
      </c>
    </row>
    <row r="366" spans="1:20" ht="14.25" customHeight="1" x14ac:dyDescent="0.3">
      <c r="A366" s="8" t="s">
        <v>1425</v>
      </c>
      <c r="B366" s="21">
        <v>45563</v>
      </c>
      <c r="C366" s="8" t="s">
        <v>251</v>
      </c>
      <c r="D366" s="8" t="s">
        <v>918</v>
      </c>
      <c r="E366" s="8" t="s">
        <v>216</v>
      </c>
      <c r="F366" s="10">
        <v>4</v>
      </c>
      <c r="G366" s="10">
        <v>2210</v>
      </c>
      <c r="H366" s="10">
        <v>5.4</v>
      </c>
      <c r="I366" s="10">
        <v>8362.64</v>
      </c>
      <c r="J366" s="8" t="s">
        <v>41</v>
      </c>
      <c r="K366" s="8" t="s">
        <v>42</v>
      </c>
      <c r="L366" s="18" t="str">
        <f>VLOOKUP(D366,Products!$A:$C,3,FALSE)</f>
        <v>Grocery</v>
      </c>
      <c r="N366" s="18" t="str">
        <f>VLOOKUP(C366,Customers!$A:$E,5,FALSE)</f>
        <v>Retail</v>
      </c>
      <c r="O366" s="18">
        <f>VLOOKUP(C366,Customers!$A:$C,3,FALSE)</f>
        <v>36</v>
      </c>
      <c r="P366" s="18" t="str">
        <f>VLOOKUP(E365,Sales_Reps!$A:$C,3,FALSE)</f>
        <v>South</v>
      </c>
      <c r="Q366" s="18" t="str">
        <f t="shared" si="78"/>
        <v>Jan-24</v>
      </c>
      <c r="R366">
        <f>VLOOKUP(D366, Products!A:D, 4, FALSE)</f>
        <v>1010</v>
      </c>
      <c r="S366">
        <f t="shared" si="79"/>
        <v>0.54298642533936647</v>
      </c>
      <c r="T366" s="10">
        <v>27.2</v>
      </c>
    </row>
    <row r="367" spans="1:20" ht="14.25" hidden="1" customHeight="1" x14ac:dyDescent="0.3">
      <c r="A367" s="8" t="s">
        <v>1426</v>
      </c>
      <c r="B367" s="9">
        <v>45476</v>
      </c>
      <c r="C367" s="8" t="s">
        <v>711</v>
      </c>
      <c r="D367" s="8" t="s">
        <v>929</v>
      </c>
      <c r="E367" s="8" t="s">
        <v>117</v>
      </c>
      <c r="F367" s="10">
        <v>6</v>
      </c>
      <c r="G367" s="10">
        <v>1090</v>
      </c>
      <c r="H367" s="10">
        <v>2.9</v>
      </c>
      <c r="I367" s="10">
        <v>6350.34</v>
      </c>
      <c r="J367" s="8" t="s">
        <v>147</v>
      </c>
      <c r="K367" s="8" t="s">
        <v>178</v>
      </c>
      <c r="L367" s="18" t="str">
        <f>VLOOKUP(D367,Products!$A:$C,3,FALSE)</f>
        <v>Home</v>
      </c>
      <c r="N367" s="18" t="str">
        <f>VLOOKUP(C367,Customers!$A:$E,5,FALSE)</f>
        <v>Retail</v>
      </c>
      <c r="O367" s="18">
        <f>VLOOKUP(C367,Customers!$A:$C,3,FALSE)</f>
        <v>52</v>
      </c>
      <c r="T367" s="10">
        <v>16.100000000000001</v>
      </c>
    </row>
    <row r="368" spans="1:20" ht="14.25" customHeight="1" x14ac:dyDescent="0.3">
      <c r="A368" s="8" t="s">
        <v>1427</v>
      </c>
      <c r="B368" s="21">
        <v>45364</v>
      </c>
      <c r="C368" s="8" t="s">
        <v>731</v>
      </c>
      <c r="D368" s="8" t="s">
        <v>789</v>
      </c>
      <c r="E368" s="8" t="s">
        <v>121</v>
      </c>
      <c r="F368" s="10">
        <v>8</v>
      </c>
      <c r="G368" s="10">
        <v>1540</v>
      </c>
      <c r="H368" s="10">
        <v>17.899999999999999</v>
      </c>
      <c r="I368" s="10">
        <v>10114.719999999999</v>
      </c>
      <c r="J368" s="8" t="s">
        <v>97</v>
      </c>
      <c r="K368" s="8" t="s">
        <v>98</v>
      </c>
      <c r="L368" s="18" t="str">
        <f>VLOOKUP(D368,Products!$A:$C,3,FALSE)</f>
        <v>Beauty</v>
      </c>
      <c r="N368" s="18" t="str">
        <f>VLOOKUP(C368,Customers!$A:$E,5,FALSE)</f>
        <v>SMB</v>
      </c>
      <c r="O368" s="18">
        <f>VLOOKUP(C368,Customers!$A:$C,3,FALSE)</f>
        <v>26</v>
      </c>
      <c r="P368" s="18" t="str">
        <f>VLOOKUP(E367,Sales_Reps!$A:$C,3,FALSE)</f>
        <v>South</v>
      </c>
      <c r="Q368" s="18" t="str">
        <f>TEXT(B367,"MMM-YY")</f>
        <v>Jul-24</v>
      </c>
      <c r="R368">
        <f>VLOOKUP(D368, Products!A:D, 4, FALSE)</f>
        <v>647</v>
      </c>
      <c r="S368">
        <f>(G368-R368)/G368</f>
        <v>0.57987012987012987</v>
      </c>
      <c r="T368" s="10">
        <v>29</v>
      </c>
    </row>
    <row r="369" spans="1:20" ht="14.25" hidden="1" customHeight="1" x14ac:dyDescent="0.3">
      <c r="A369" s="8" t="s">
        <v>1428</v>
      </c>
      <c r="B369" s="9">
        <v>45371</v>
      </c>
      <c r="C369" s="8" t="s">
        <v>610</v>
      </c>
      <c r="D369" s="8" t="s">
        <v>184</v>
      </c>
      <c r="E369" s="8" t="s">
        <v>172</v>
      </c>
      <c r="F369" s="10">
        <v>9</v>
      </c>
      <c r="G369" s="10">
        <v>2600</v>
      </c>
      <c r="H369" s="10">
        <v>4.0999999999999996</v>
      </c>
      <c r="I369" s="10">
        <v>22440.6</v>
      </c>
      <c r="J369" s="8" t="s">
        <v>41</v>
      </c>
      <c r="K369" s="8" t="s">
        <v>42</v>
      </c>
      <c r="L369" s="18" t="str">
        <f>VLOOKUP(D369,Products!$A:$C,3,FALSE)</f>
        <v>Electronics</v>
      </c>
      <c r="N369" s="18" t="str">
        <f>VLOOKUP(C369,Customers!$A:$E,5,FALSE)</f>
        <v>Retail</v>
      </c>
      <c r="O369" s="18">
        <f>VLOOKUP(C369,Customers!$A:$C,3,FALSE)</f>
        <v>49</v>
      </c>
      <c r="T369" s="10">
        <v>20</v>
      </c>
    </row>
    <row r="370" spans="1:20" ht="14.25" customHeight="1" x14ac:dyDescent="0.3">
      <c r="A370" s="8" t="s">
        <v>1429</v>
      </c>
      <c r="B370" s="21">
        <v>45623</v>
      </c>
      <c r="C370" s="8" t="s">
        <v>210</v>
      </c>
      <c r="D370" s="8" t="s">
        <v>199</v>
      </c>
      <c r="E370" s="8" t="s">
        <v>38</v>
      </c>
      <c r="F370" s="10">
        <v>2</v>
      </c>
      <c r="G370" s="10">
        <v>190</v>
      </c>
      <c r="H370" s="10">
        <v>4.8</v>
      </c>
      <c r="I370" s="10">
        <v>361.76</v>
      </c>
      <c r="J370" s="8" t="s">
        <v>41</v>
      </c>
      <c r="K370" s="8" t="s">
        <v>98</v>
      </c>
      <c r="L370" s="18" t="str">
        <f>VLOOKUP(D370,Products!$A:$C,3,FALSE)</f>
        <v>Sports</v>
      </c>
      <c r="N370" s="18" t="str">
        <f>VLOOKUP(C370,Customers!$A:$E,5,FALSE)</f>
        <v>Retail</v>
      </c>
      <c r="O370" s="18">
        <f>VLOOKUP(C370,Customers!$A:$C,3,FALSE)</f>
        <v>26</v>
      </c>
      <c r="P370" s="18" t="str">
        <f>VLOOKUP(E369,Sales_Reps!$A:$C,3,FALSE)</f>
        <v>West</v>
      </c>
      <c r="Q370" s="18" t="str">
        <f>TEXT(B369,"MMM-YY")</f>
        <v>Mar-24</v>
      </c>
      <c r="R370">
        <f>VLOOKUP(D370, Products!A:D, 4, FALSE)</f>
        <v>147</v>
      </c>
      <c r="S370">
        <f>(G370-R370)/G370</f>
        <v>0.22631578947368422</v>
      </c>
      <c r="T370" s="10">
        <v>3.9</v>
      </c>
    </row>
    <row r="371" spans="1:20" ht="14.25" hidden="1" customHeight="1" x14ac:dyDescent="0.3">
      <c r="A371" s="8" t="s">
        <v>1430</v>
      </c>
      <c r="B371" s="9">
        <v>45441</v>
      </c>
      <c r="C371" s="8" t="s">
        <v>254</v>
      </c>
      <c r="D371" s="8" t="s">
        <v>227</v>
      </c>
      <c r="E371" s="8" t="s">
        <v>117</v>
      </c>
      <c r="F371" s="10">
        <v>9</v>
      </c>
      <c r="G371" s="10">
        <v>2480</v>
      </c>
      <c r="H371" s="10">
        <v>28.3</v>
      </c>
      <c r="I371" s="10">
        <v>16003.44</v>
      </c>
      <c r="J371" s="8" t="s">
        <v>41</v>
      </c>
      <c r="K371" s="8" t="s">
        <v>42</v>
      </c>
      <c r="L371" s="18" t="str">
        <f>VLOOKUP(D371,Products!$A:$C,3,FALSE)</f>
        <v>Apparel</v>
      </c>
      <c r="N371" s="18" t="str">
        <f>VLOOKUP(C371,Customers!$A:$E,5,FALSE)</f>
        <v>Corporate</v>
      </c>
      <c r="O371" s="18">
        <f>VLOOKUP(C371,Customers!$A:$C,3,FALSE)</f>
        <v>42</v>
      </c>
      <c r="T371" s="10">
        <v>17.8</v>
      </c>
    </row>
    <row r="372" spans="1:20" ht="14.25" customHeight="1" x14ac:dyDescent="0.3">
      <c r="A372" s="8" t="s">
        <v>1431</v>
      </c>
      <c r="B372" s="21">
        <v>45442</v>
      </c>
      <c r="C372" s="8" t="s">
        <v>385</v>
      </c>
      <c r="D372" s="8" t="s">
        <v>939</v>
      </c>
      <c r="E372" s="8" t="s">
        <v>125</v>
      </c>
      <c r="F372" s="10">
        <v>7</v>
      </c>
      <c r="G372" s="10">
        <v>2290</v>
      </c>
      <c r="H372" s="10">
        <v>25</v>
      </c>
      <c r="I372" s="10">
        <v>12022.5</v>
      </c>
      <c r="J372" s="8" t="s">
        <v>147</v>
      </c>
      <c r="K372" s="8" t="s">
        <v>42</v>
      </c>
      <c r="L372" s="18" t="str">
        <f>VLOOKUP(D372,Products!$A:$C,3,FALSE)</f>
        <v>Beauty</v>
      </c>
      <c r="N372" s="18" t="str">
        <f>VLOOKUP(C372,Customers!$A:$E,5,FALSE)</f>
        <v>Retail</v>
      </c>
      <c r="O372" s="18">
        <f>VLOOKUP(C372,Customers!$A:$C,3,FALSE)</f>
        <v>35</v>
      </c>
      <c r="P372" s="18" t="str">
        <f>VLOOKUP(E371,Sales_Reps!$A:$C,3,FALSE)</f>
        <v>South</v>
      </c>
      <c r="Q372" s="18" t="str">
        <f>TEXT(B371,"MMM-YY")</f>
        <v>May-24</v>
      </c>
      <c r="R372">
        <f>VLOOKUP(D372, Products!A:D, 4, FALSE)</f>
        <v>1219</v>
      </c>
      <c r="S372">
        <f>(G372-R372)/G372</f>
        <v>0.46768558951965067</v>
      </c>
      <c r="T372" s="10">
        <v>15.7</v>
      </c>
    </row>
    <row r="373" spans="1:20" ht="14.25" hidden="1" customHeight="1" x14ac:dyDescent="0.3">
      <c r="A373" s="8" t="s">
        <v>1432</v>
      </c>
      <c r="B373" s="9">
        <v>45567</v>
      </c>
      <c r="C373" s="8" t="s">
        <v>498</v>
      </c>
      <c r="D373" s="8" t="s">
        <v>789</v>
      </c>
      <c r="E373" s="8" t="s">
        <v>301</v>
      </c>
      <c r="F373" s="10">
        <v>9</v>
      </c>
      <c r="G373" s="10">
        <v>1540</v>
      </c>
      <c r="H373" s="10">
        <v>23.3</v>
      </c>
      <c r="I373" s="10">
        <v>10630.62</v>
      </c>
      <c r="J373" s="8" t="s">
        <v>41</v>
      </c>
      <c r="K373" s="8" t="s">
        <v>178</v>
      </c>
      <c r="L373" s="18" t="str">
        <f>VLOOKUP(D373,Products!$A:$C,3,FALSE)</f>
        <v>Beauty</v>
      </c>
      <c r="N373" s="18" t="str">
        <f>VLOOKUP(C373,Customers!$A:$E,5,FALSE)</f>
        <v>Retail</v>
      </c>
      <c r="O373" s="18">
        <f>VLOOKUP(C373,Customers!$A:$C,3,FALSE)</f>
        <v>64</v>
      </c>
      <c r="T373" s="10">
        <v>14.7</v>
      </c>
    </row>
    <row r="374" spans="1:20" ht="14.25" customHeight="1" x14ac:dyDescent="0.3">
      <c r="A374" s="8" t="s">
        <v>1433</v>
      </c>
      <c r="B374" s="21">
        <v>45653</v>
      </c>
      <c r="C374" s="8" t="s">
        <v>543</v>
      </c>
      <c r="D374" s="8" t="s">
        <v>926</v>
      </c>
      <c r="E374" s="8" t="s">
        <v>145</v>
      </c>
      <c r="F374" s="10">
        <v>2</v>
      </c>
      <c r="G374" s="10">
        <v>5080</v>
      </c>
      <c r="H374" s="10">
        <v>2.5</v>
      </c>
      <c r="I374" s="10">
        <v>9906</v>
      </c>
      <c r="J374" s="8" t="s">
        <v>147</v>
      </c>
      <c r="K374" s="8" t="s">
        <v>119</v>
      </c>
      <c r="L374" s="18" t="str">
        <f>VLOOKUP(D374,Products!$A:$C,3,FALSE)</f>
        <v>Home</v>
      </c>
      <c r="N374" s="18" t="str">
        <f>VLOOKUP(C374,Customers!$A:$E,5,FALSE)</f>
        <v>SMB</v>
      </c>
      <c r="O374" s="18">
        <f>VLOOKUP(C374,Customers!$A:$C,3,FALSE)</f>
        <v>28</v>
      </c>
      <c r="P374" s="18" t="str">
        <f>VLOOKUP(E373,Sales_Reps!$A:$C,3,FALSE)</f>
        <v>South</v>
      </c>
      <c r="Q374" s="18" t="str">
        <f>TEXT(B373,"MMM-YY")</f>
        <v>Oct-24</v>
      </c>
      <c r="R374">
        <f>VLOOKUP(D374, Products!A:D, 4, FALSE)</f>
        <v>2459</v>
      </c>
      <c r="S374">
        <f>(G374-R374)/G374</f>
        <v>0.51594488188976373</v>
      </c>
      <c r="T374" s="10">
        <v>2.4</v>
      </c>
    </row>
    <row r="375" spans="1:20" ht="14.25" hidden="1" customHeight="1" x14ac:dyDescent="0.3">
      <c r="A375" s="8" t="s">
        <v>1434</v>
      </c>
      <c r="B375" s="9">
        <v>45331</v>
      </c>
      <c r="C375" s="8" t="s">
        <v>525</v>
      </c>
      <c r="D375" s="8" t="s">
        <v>898</v>
      </c>
      <c r="E375" s="8" t="s">
        <v>221</v>
      </c>
      <c r="F375" s="10">
        <v>4</v>
      </c>
      <c r="G375" s="10">
        <v>2510</v>
      </c>
      <c r="H375" s="10">
        <v>23.6</v>
      </c>
      <c r="I375" s="10">
        <v>7670.56</v>
      </c>
      <c r="J375" s="8" t="s">
        <v>41</v>
      </c>
      <c r="K375" s="8" t="s">
        <v>42</v>
      </c>
      <c r="L375" s="18" t="str">
        <f>VLOOKUP(D375,Products!$A:$C,3,FALSE)</f>
        <v>Apparel</v>
      </c>
      <c r="N375" s="18" t="str">
        <f>VLOOKUP(C375,Customers!$A:$E,5,FALSE)</f>
        <v>Retail</v>
      </c>
      <c r="O375" s="18">
        <f>VLOOKUP(C375,Customers!$A:$C,3,FALSE)</f>
        <v>57</v>
      </c>
      <c r="T375" s="10">
        <v>19.2</v>
      </c>
    </row>
    <row r="376" spans="1:20" ht="14.25" customHeight="1" x14ac:dyDescent="0.3">
      <c r="A376" s="8" t="s">
        <v>1435</v>
      </c>
      <c r="B376" s="21">
        <v>45332</v>
      </c>
      <c r="C376" s="8" t="s">
        <v>543</v>
      </c>
      <c r="D376" s="8" t="s">
        <v>939</v>
      </c>
      <c r="E376" s="8" t="s">
        <v>865</v>
      </c>
      <c r="F376" s="10">
        <v>5</v>
      </c>
      <c r="G376" s="10">
        <v>2290</v>
      </c>
      <c r="H376" s="10">
        <v>17</v>
      </c>
      <c r="I376" s="10">
        <v>9503.5</v>
      </c>
      <c r="J376" s="8" t="s">
        <v>41</v>
      </c>
      <c r="K376" s="8" t="s">
        <v>119</v>
      </c>
      <c r="L376" s="18" t="str">
        <f>VLOOKUP(D376,Products!$A:$C,3,FALSE)</f>
        <v>Beauty</v>
      </c>
      <c r="N376" s="18" t="str">
        <f>VLOOKUP(C376,Customers!$A:$E,5,FALSE)</f>
        <v>SMB</v>
      </c>
      <c r="O376" s="18">
        <f>VLOOKUP(C376,Customers!$A:$C,3,FALSE)</f>
        <v>28</v>
      </c>
      <c r="P376" s="18" t="str">
        <f>VLOOKUP(E375,Sales_Reps!$A:$C,3,FALSE)</f>
        <v>South</v>
      </c>
      <c r="Q376" s="18" t="str">
        <f t="shared" ref="Q376:Q378" si="80">TEXT(B375,"MMM-YY")</f>
        <v>Feb-24</v>
      </c>
      <c r="R376">
        <f>VLOOKUP(D376, Products!A:D, 4, FALSE)</f>
        <v>1219</v>
      </c>
      <c r="S376">
        <f t="shared" ref="S376:S378" si="81">(G376-R376)/G376</f>
        <v>0.46768558951965067</v>
      </c>
      <c r="T376" s="10">
        <v>20.5</v>
      </c>
    </row>
    <row r="377" spans="1:20" ht="14.25" customHeight="1" x14ac:dyDescent="0.3">
      <c r="A377" s="8" t="s">
        <v>1436</v>
      </c>
      <c r="B377" s="21">
        <v>45340</v>
      </c>
      <c r="C377" s="8" t="s">
        <v>440</v>
      </c>
      <c r="D377" s="8" t="s">
        <v>116</v>
      </c>
      <c r="E377" s="8" t="s">
        <v>125</v>
      </c>
      <c r="F377" s="10">
        <v>8</v>
      </c>
      <c r="G377" s="10">
        <v>470</v>
      </c>
      <c r="H377" s="10">
        <v>9.3000000000000007</v>
      </c>
      <c r="I377" s="10">
        <v>3410.32</v>
      </c>
      <c r="J377" s="8" t="s">
        <v>41</v>
      </c>
      <c r="K377" s="8" t="s">
        <v>98</v>
      </c>
      <c r="L377" s="18" t="str">
        <f>VLOOKUP(D377,Products!$A:$C,3,FALSE)</f>
        <v>Sports</v>
      </c>
      <c r="N377" s="18" t="str">
        <f>VLOOKUP(C377,Customers!$A:$E,5,FALSE)</f>
        <v>Retail</v>
      </c>
      <c r="O377" s="18">
        <f>VLOOKUP(C377,Customers!$A:$C,3,FALSE)</f>
        <v>28</v>
      </c>
      <c r="P377" s="18" t="str">
        <f>VLOOKUP(E376,Sales_Reps!$A:$C,3,FALSE)</f>
        <v>South</v>
      </c>
      <c r="Q377" s="18" t="str">
        <f t="shared" si="80"/>
        <v>Feb-24</v>
      </c>
      <c r="R377">
        <f>VLOOKUP(D377, Products!A:D, 4, FALSE)</f>
        <v>302</v>
      </c>
      <c r="S377">
        <f t="shared" si="81"/>
        <v>0.35744680851063831</v>
      </c>
      <c r="T377" s="10">
        <v>2.2999999999999998</v>
      </c>
    </row>
    <row r="378" spans="1:20" ht="14.25" customHeight="1" x14ac:dyDescent="0.3">
      <c r="A378" s="8" t="s">
        <v>1437</v>
      </c>
      <c r="B378" s="21">
        <v>45564</v>
      </c>
      <c r="C378" s="8" t="s">
        <v>437</v>
      </c>
      <c r="D378" s="8" t="s">
        <v>320</v>
      </c>
      <c r="E378" s="8" t="s">
        <v>214</v>
      </c>
      <c r="F378" s="10">
        <v>8</v>
      </c>
      <c r="G378" s="10">
        <v>5100</v>
      </c>
      <c r="H378" s="10">
        <v>4.5999999999999996</v>
      </c>
      <c r="I378" s="10">
        <v>38923.199999999997</v>
      </c>
      <c r="J378" s="8" t="s">
        <v>41</v>
      </c>
      <c r="K378" s="8" t="s">
        <v>178</v>
      </c>
      <c r="L378" s="18" t="str">
        <f>VLOOKUP(D378,Products!$A:$C,3,FALSE)</f>
        <v>Beauty</v>
      </c>
      <c r="N378" s="18" t="str">
        <f>VLOOKUP(C378,Customers!$A:$E,5,FALSE)</f>
        <v>SMB</v>
      </c>
      <c r="O378" s="18">
        <f>VLOOKUP(C378,Customers!$A:$C,3,FALSE)</f>
        <v>36</v>
      </c>
      <c r="P378" s="18" t="str">
        <f>VLOOKUP(E377,Sales_Reps!$A:$C,3,FALSE)</f>
        <v>North</v>
      </c>
      <c r="Q378" s="18" t="str">
        <f t="shared" si="80"/>
        <v>Feb-24</v>
      </c>
      <c r="R378">
        <f>VLOOKUP(D378, Products!A:D, 4, FALSE)</f>
        <v>2237</v>
      </c>
      <c r="S378">
        <f t="shared" si="81"/>
        <v>0.56137254901960787</v>
      </c>
      <c r="T378" s="10">
        <v>11.5</v>
      </c>
    </row>
    <row r="379" spans="1:20" ht="14.25" hidden="1" customHeight="1" x14ac:dyDescent="0.3">
      <c r="A379" s="8" t="s">
        <v>1438</v>
      </c>
      <c r="B379" s="9">
        <v>45296</v>
      </c>
      <c r="C379" s="8" t="s">
        <v>759</v>
      </c>
      <c r="D379" s="8" t="s">
        <v>230</v>
      </c>
      <c r="E379" s="8" t="s">
        <v>177</v>
      </c>
      <c r="F379" s="10">
        <v>7</v>
      </c>
      <c r="G379" s="10">
        <v>5330</v>
      </c>
      <c r="H379" s="10">
        <v>2.5</v>
      </c>
      <c r="I379" s="10">
        <v>36377.25</v>
      </c>
      <c r="J379" s="8" t="s">
        <v>41</v>
      </c>
      <c r="K379" s="8" t="s">
        <v>98</v>
      </c>
      <c r="L379" s="18" t="str">
        <f>VLOOKUP(D379,Products!$A:$C,3,FALSE)</f>
        <v>Electronics</v>
      </c>
      <c r="N379" s="18" t="str">
        <f>VLOOKUP(C379,Customers!$A:$E,5,FALSE)</f>
        <v>SMB</v>
      </c>
      <c r="O379" s="18">
        <f>VLOOKUP(C379,Customers!$A:$C,3,FALSE)</f>
        <v>59</v>
      </c>
      <c r="T379" s="10">
        <v>21.4</v>
      </c>
    </row>
    <row r="380" spans="1:20" ht="14.25" customHeight="1" x14ac:dyDescent="0.3">
      <c r="A380" s="8" t="s">
        <v>1439</v>
      </c>
      <c r="B380" s="21">
        <v>45364</v>
      </c>
      <c r="C380" s="8" t="s">
        <v>130</v>
      </c>
      <c r="D380" s="8" t="s">
        <v>924</v>
      </c>
      <c r="E380" s="8" t="s">
        <v>172</v>
      </c>
      <c r="F380" s="10">
        <v>10</v>
      </c>
      <c r="G380" s="10">
        <v>2030</v>
      </c>
      <c r="H380" s="10">
        <v>8.5</v>
      </c>
      <c r="I380" s="10">
        <v>18574.5</v>
      </c>
      <c r="J380" s="8" t="s">
        <v>41</v>
      </c>
      <c r="K380" s="8" t="s">
        <v>136</v>
      </c>
      <c r="L380" s="18" t="str">
        <f>VLOOKUP(D380,Products!$A:$C,3,FALSE)</f>
        <v>Home</v>
      </c>
      <c r="N380" s="18" t="str">
        <f>VLOOKUP(C380,Customers!$A:$E,5,FALSE)</f>
        <v>Retail</v>
      </c>
      <c r="O380" s="18">
        <f>VLOOKUP(C380,Customers!$A:$C,3,FALSE)</f>
        <v>27</v>
      </c>
      <c r="P380" s="18" t="str">
        <f>VLOOKUP(E379,Sales_Reps!$A:$C,3,FALSE)</f>
        <v>South</v>
      </c>
      <c r="Q380" s="18" t="str">
        <f t="shared" ref="Q380:Q382" si="82">TEXT(B379,"MMM-YY")</f>
        <v>Jan-24</v>
      </c>
      <c r="R380">
        <f>VLOOKUP(D380, Products!A:D, 4, FALSE)</f>
        <v>1143</v>
      </c>
      <c r="S380">
        <f t="shared" ref="S380:S382" si="83">(G380-R380)/G380</f>
        <v>0.43694581280788175</v>
      </c>
      <c r="T380" s="10">
        <v>27.8</v>
      </c>
    </row>
    <row r="381" spans="1:20" ht="14.25" customHeight="1" x14ac:dyDescent="0.3">
      <c r="A381" s="8" t="s">
        <v>1440</v>
      </c>
      <c r="B381" s="21">
        <v>45560</v>
      </c>
      <c r="C381" s="8" t="s">
        <v>724</v>
      </c>
      <c r="D381" s="8" t="s">
        <v>926</v>
      </c>
      <c r="E381" s="8" t="s">
        <v>200</v>
      </c>
      <c r="F381" s="10">
        <v>8</v>
      </c>
      <c r="G381" s="10">
        <v>5080</v>
      </c>
      <c r="H381" s="10">
        <v>9.6</v>
      </c>
      <c r="I381" s="10">
        <v>36738.559999999998</v>
      </c>
      <c r="J381" s="8" t="s">
        <v>147</v>
      </c>
      <c r="K381" s="8" t="s">
        <v>119</v>
      </c>
      <c r="L381" s="18" t="str">
        <f>VLOOKUP(D381,Products!$A:$C,3,FALSE)</f>
        <v>Home</v>
      </c>
      <c r="N381" s="18" t="str">
        <f>VLOOKUP(C381,Customers!$A:$E,5,FALSE)</f>
        <v>SMB</v>
      </c>
      <c r="O381" s="18">
        <f>VLOOKUP(C381,Customers!$A:$C,3,FALSE)</f>
        <v>29</v>
      </c>
      <c r="P381" s="18" t="str">
        <f>VLOOKUP(E380,Sales_Reps!$A:$C,3,FALSE)</f>
        <v>West</v>
      </c>
      <c r="Q381" s="18" t="str">
        <f t="shared" si="82"/>
        <v>Mar-24</v>
      </c>
      <c r="R381">
        <f>VLOOKUP(D381, Products!A:D, 4, FALSE)</f>
        <v>2459</v>
      </c>
      <c r="S381">
        <f t="shared" si="83"/>
        <v>0.51594488188976373</v>
      </c>
      <c r="T381" s="10">
        <v>10.199999999999999</v>
      </c>
    </row>
    <row r="382" spans="1:20" ht="14.25" customHeight="1" x14ac:dyDescent="0.3">
      <c r="A382" s="8" t="s">
        <v>1441</v>
      </c>
      <c r="B382" s="21">
        <v>45378</v>
      </c>
      <c r="C382" s="8" t="s">
        <v>241</v>
      </c>
      <c r="D382" s="8" t="s">
        <v>909</v>
      </c>
      <c r="E382" s="8" t="s">
        <v>117</v>
      </c>
      <c r="F382" s="10">
        <v>1</v>
      </c>
      <c r="G382" s="10">
        <v>2380</v>
      </c>
      <c r="H382" s="10">
        <v>11.6</v>
      </c>
      <c r="I382" s="10">
        <v>2103.92</v>
      </c>
      <c r="J382" s="8" t="s">
        <v>97</v>
      </c>
      <c r="K382" s="8" t="s">
        <v>178</v>
      </c>
      <c r="L382" s="18" t="str">
        <f>VLOOKUP(D382,Products!$A:$C,3,FALSE)</f>
        <v>Grocery</v>
      </c>
      <c r="N382" s="18" t="str">
        <f>VLOOKUP(C382,Customers!$A:$E,5,FALSE)</f>
        <v>SMB</v>
      </c>
      <c r="O382" s="18">
        <f>VLOOKUP(C382,Customers!$A:$C,3,FALSE)</f>
        <v>40</v>
      </c>
      <c r="P382" s="18" t="str">
        <f>VLOOKUP(E381,Sales_Reps!$A:$C,3,FALSE)</f>
        <v>North</v>
      </c>
      <c r="Q382" s="18" t="str">
        <f t="shared" si="82"/>
        <v>Sep-24</v>
      </c>
      <c r="R382">
        <f>VLOOKUP(D382, Products!A:D, 4, FALSE)</f>
        <v>1182</v>
      </c>
      <c r="S382">
        <f t="shared" si="83"/>
        <v>0.50336134453781511</v>
      </c>
      <c r="T382" s="10">
        <v>1.9</v>
      </c>
    </row>
    <row r="383" spans="1:20" ht="14.25" hidden="1" customHeight="1" x14ac:dyDescent="0.3">
      <c r="A383" s="8" t="s">
        <v>1442</v>
      </c>
      <c r="B383" s="9">
        <v>45590</v>
      </c>
      <c r="C383" s="8" t="s">
        <v>686</v>
      </c>
      <c r="D383" s="8" t="s">
        <v>789</v>
      </c>
      <c r="E383" s="8" t="s">
        <v>619</v>
      </c>
      <c r="F383" s="10">
        <v>8</v>
      </c>
      <c r="G383" s="10">
        <v>1540</v>
      </c>
      <c r="H383" s="10">
        <v>27.8</v>
      </c>
      <c r="I383" s="10">
        <v>8895.0400000000009</v>
      </c>
      <c r="J383" s="8" t="s">
        <v>41</v>
      </c>
      <c r="K383" s="8" t="s">
        <v>98</v>
      </c>
      <c r="L383" s="18" t="str">
        <f>VLOOKUP(D383,Products!$A:$C,3,FALSE)</f>
        <v>Beauty</v>
      </c>
      <c r="N383" s="18" t="str">
        <f>VLOOKUP(C383,Customers!$A:$E,5,FALSE)</f>
        <v>SMB</v>
      </c>
      <c r="O383" s="18">
        <f>VLOOKUP(C383,Customers!$A:$C,3,FALSE)</f>
        <v>55</v>
      </c>
      <c r="T383" s="10">
        <v>21.4</v>
      </c>
    </row>
    <row r="384" spans="1:20" ht="14.25" customHeight="1" x14ac:dyDescent="0.3">
      <c r="A384" s="8" t="s">
        <v>1443</v>
      </c>
      <c r="B384" s="21">
        <v>45591</v>
      </c>
      <c r="C384" s="8" t="s">
        <v>700</v>
      </c>
      <c r="D384" s="8" t="s">
        <v>176</v>
      </c>
      <c r="E384" s="8" t="s">
        <v>153</v>
      </c>
      <c r="F384" s="10">
        <v>1</v>
      </c>
      <c r="G384" s="10">
        <v>2270</v>
      </c>
      <c r="H384" s="10">
        <v>6.5</v>
      </c>
      <c r="I384" s="10">
        <v>2122.4499999999998</v>
      </c>
      <c r="J384" s="8" t="s">
        <v>97</v>
      </c>
      <c r="K384" s="8" t="s">
        <v>1444</v>
      </c>
      <c r="L384" s="18" t="str">
        <f>VLOOKUP(D384,Products!$A:$C,3,FALSE)</f>
        <v>Grocery</v>
      </c>
      <c r="N384" s="18" t="str">
        <f>VLOOKUP(C384,Customers!$A:$E,5,FALSE)</f>
        <v>Retail</v>
      </c>
      <c r="O384" s="18">
        <f>VLOOKUP(C384,Customers!$A:$C,3,FALSE)</f>
        <v>31</v>
      </c>
      <c r="P384" s="18" t="str">
        <f>VLOOKUP(E383,Sales_Reps!$A:$C,3,FALSE)</f>
        <v>West</v>
      </c>
      <c r="Q384" s="18" t="str">
        <f>TEXT(B383,"MMM-YY")</f>
        <v>Oct-24</v>
      </c>
      <c r="R384">
        <f>VLOOKUP(D384, Products!A:D, 4, FALSE)</f>
        <v>1203</v>
      </c>
      <c r="S384">
        <f>(G384-R384)/G384</f>
        <v>0.47004405286343615</v>
      </c>
      <c r="T384" s="10">
        <v>21.6</v>
      </c>
    </row>
    <row r="385" spans="1:20" ht="14.25" hidden="1" customHeight="1" x14ac:dyDescent="0.3">
      <c r="A385" s="8" t="s">
        <v>1445</v>
      </c>
      <c r="B385" s="9">
        <v>45503</v>
      </c>
      <c r="C385" s="8" t="s">
        <v>460</v>
      </c>
      <c r="D385" s="8" t="s">
        <v>227</v>
      </c>
      <c r="E385" s="8" t="s">
        <v>172</v>
      </c>
      <c r="F385" s="10">
        <v>6</v>
      </c>
      <c r="G385" s="10">
        <v>2480</v>
      </c>
      <c r="H385" s="10">
        <v>25.9</v>
      </c>
      <c r="I385" s="10">
        <v>11026.08</v>
      </c>
      <c r="J385" s="8" t="s">
        <v>41</v>
      </c>
      <c r="K385" s="8" t="s">
        <v>42</v>
      </c>
      <c r="L385" s="18" t="str">
        <f>VLOOKUP(D385,Products!$A:$C,3,FALSE)</f>
        <v>Apparel</v>
      </c>
      <c r="N385" s="18" t="str">
        <f>VLOOKUP(C385,Customers!$A:$E,5,FALSE)</f>
        <v>SMB</v>
      </c>
      <c r="O385" s="18">
        <f>VLOOKUP(C385,Customers!$A:$C,3,FALSE)</f>
        <v>60</v>
      </c>
      <c r="T385" s="10">
        <v>20.7</v>
      </c>
    </row>
    <row r="386" spans="1:20" ht="14.25" hidden="1" customHeight="1" x14ac:dyDescent="0.3">
      <c r="A386" s="8" t="s">
        <v>1446</v>
      </c>
      <c r="B386" s="9">
        <v>45608</v>
      </c>
      <c r="C386" s="8" t="s">
        <v>768</v>
      </c>
      <c r="D386" s="8" t="s">
        <v>901</v>
      </c>
      <c r="E386" s="8" t="s">
        <v>158</v>
      </c>
      <c r="F386" s="10">
        <v>3</v>
      </c>
      <c r="G386" s="10">
        <v>3560</v>
      </c>
      <c r="H386" s="10">
        <v>0.4</v>
      </c>
      <c r="I386" s="10">
        <v>10637.28</v>
      </c>
      <c r="J386" s="8" t="s">
        <v>193</v>
      </c>
      <c r="K386" s="8" t="s">
        <v>98</v>
      </c>
      <c r="L386" s="18" t="str">
        <f>VLOOKUP(D386,Products!$A:$C,3,FALSE)</f>
        <v>Apparel</v>
      </c>
      <c r="N386" s="18" t="str">
        <f>VLOOKUP(C386,Customers!$A:$E,5,FALSE)</f>
        <v>SMB</v>
      </c>
      <c r="O386" s="18">
        <f>VLOOKUP(C386,Customers!$A:$C,3,FALSE)</f>
        <v>57</v>
      </c>
      <c r="T386" s="10">
        <v>17.5</v>
      </c>
    </row>
    <row r="387" spans="1:20" ht="14.25" hidden="1" customHeight="1" x14ac:dyDescent="0.3">
      <c r="A387" s="8" t="s">
        <v>1447</v>
      </c>
      <c r="B387" s="9">
        <v>45422</v>
      </c>
      <c r="C387" s="8" t="s">
        <v>856</v>
      </c>
      <c r="D387" s="8" t="s">
        <v>131</v>
      </c>
      <c r="E387" s="8" t="s">
        <v>125</v>
      </c>
      <c r="F387" s="10">
        <v>4</v>
      </c>
      <c r="G387" s="10">
        <v>2660</v>
      </c>
      <c r="H387" s="10">
        <v>19.7</v>
      </c>
      <c r="I387" s="10">
        <v>8543.92</v>
      </c>
      <c r="J387" s="8" t="s">
        <v>147</v>
      </c>
      <c r="K387" s="8" t="s">
        <v>178</v>
      </c>
      <c r="L387" s="18" t="str">
        <f>VLOOKUP(D387,Products!$A:$C,3,FALSE)</f>
        <v>Electronics</v>
      </c>
      <c r="N387" s="18" t="str">
        <f>VLOOKUP(C387,Customers!$A:$E,5,FALSE)</f>
        <v>Retail</v>
      </c>
      <c r="O387" s="18">
        <f>VLOOKUP(C387,Customers!$A:$C,3,FALSE)</f>
        <v>50</v>
      </c>
      <c r="T387" s="10">
        <v>0.6</v>
      </c>
    </row>
    <row r="388" spans="1:20" ht="14.25" hidden="1" customHeight="1" x14ac:dyDescent="0.3">
      <c r="A388" s="8" t="s">
        <v>1448</v>
      </c>
      <c r="B388" s="9">
        <v>45386</v>
      </c>
      <c r="C388" s="8" t="s">
        <v>238</v>
      </c>
      <c r="D388" s="8" t="s">
        <v>160</v>
      </c>
      <c r="E388" s="8" t="s">
        <v>745</v>
      </c>
      <c r="F388" s="10">
        <v>10</v>
      </c>
      <c r="G388" s="10">
        <v>1220</v>
      </c>
      <c r="H388" s="10">
        <v>10.1</v>
      </c>
      <c r="I388" s="10">
        <v>10967.8</v>
      </c>
      <c r="J388" s="8" t="s">
        <v>147</v>
      </c>
      <c r="K388" s="8" t="s">
        <v>42</v>
      </c>
      <c r="L388" s="18" t="str">
        <f>VLOOKUP(D388,Products!$A:$C,3,FALSE)</f>
        <v>Electronics</v>
      </c>
      <c r="N388" s="18" t="str">
        <f>VLOOKUP(C388,Customers!$A:$E,5,FALSE)</f>
        <v>Retail</v>
      </c>
      <c r="O388" s="18">
        <f>VLOOKUP(C388,Customers!$A:$C,3,FALSE)</f>
        <v>50</v>
      </c>
      <c r="T388" s="10">
        <v>1.9</v>
      </c>
    </row>
    <row r="389" spans="1:20" ht="14.25" customHeight="1" x14ac:dyDescent="0.3">
      <c r="A389" s="8" t="s">
        <v>880</v>
      </c>
      <c r="B389" s="21">
        <v>45584</v>
      </c>
      <c r="C389" s="8" t="s">
        <v>592</v>
      </c>
      <c r="D389" s="8" t="s">
        <v>184</v>
      </c>
      <c r="E389" s="8" t="s">
        <v>117</v>
      </c>
      <c r="F389" s="10">
        <v>8</v>
      </c>
      <c r="G389" s="10">
        <v>2600</v>
      </c>
      <c r="H389" s="10">
        <v>26.7</v>
      </c>
      <c r="I389" s="10">
        <v>15246.4</v>
      </c>
      <c r="J389" s="8" t="s">
        <v>41</v>
      </c>
      <c r="K389" s="8" t="s">
        <v>42</v>
      </c>
      <c r="L389" s="18" t="str">
        <f>VLOOKUP(D389,Products!$A:$C,3,FALSE)</f>
        <v>Electronics</v>
      </c>
      <c r="N389" s="18" t="str">
        <f>VLOOKUP(C389,Customers!$A:$E,5,FALSE)</f>
        <v>SMB</v>
      </c>
      <c r="O389" s="18">
        <f>VLOOKUP(C389,Customers!$A:$C,3,FALSE)</f>
        <v>35</v>
      </c>
      <c r="P389" s="18" t="str">
        <f>VLOOKUP(E388,Sales_Reps!$A:$C,3,FALSE)</f>
        <v>South</v>
      </c>
      <c r="Q389" s="18" t="str">
        <f>TEXT(B388,"MMM-YY")</f>
        <v>Apr-24</v>
      </c>
      <c r="R389">
        <f>VLOOKUP(D389, Products!A:D, 4, FALSE)</f>
        <v>1052</v>
      </c>
      <c r="S389">
        <f>(G389-R389)/G389</f>
        <v>0.5953846153846154</v>
      </c>
      <c r="T389" s="10">
        <v>26.8</v>
      </c>
    </row>
    <row r="390" spans="1:20" ht="14.25" hidden="1" customHeight="1" x14ac:dyDescent="0.3">
      <c r="A390" s="8" t="s">
        <v>1449</v>
      </c>
      <c r="B390" s="9">
        <v>45440</v>
      </c>
      <c r="C390" s="8" t="s">
        <v>363</v>
      </c>
      <c r="D390" s="8" t="s">
        <v>889</v>
      </c>
      <c r="E390" s="8" t="s">
        <v>321</v>
      </c>
      <c r="F390" s="10">
        <v>10</v>
      </c>
      <c r="G390" s="10">
        <v>3450</v>
      </c>
      <c r="H390" s="10">
        <v>20.399999999999999</v>
      </c>
      <c r="I390" s="10">
        <v>27462</v>
      </c>
      <c r="J390" s="8" t="s">
        <v>41</v>
      </c>
      <c r="K390" s="8" t="s">
        <v>42</v>
      </c>
      <c r="L390" s="18" t="str">
        <f>VLOOKUP(D390,Products!$A:$C,3,FALSE)</f>
        <v>Apparel</v>
      </c>
      <c r="N390" s="18" t="str">
        <f>VLOOKUP(C390,Customers!$A:$E,5,FALSE)</f>
        <v>Retail</v>
      </c>
      <c r="O390" s="18">
        <f>VLOOKUP(C390,Customers!$A:$C,3,FALSE)</f>
        <v>49</v>
      </c>
      <c r="T390" s="10">
        <v>11.7</v>
      </c>
    </row>
    <row r="391" spans="1:20" ht="14.25" customHeight="1" x14ac:dyDescent="0.3">
      <c r="A391" s="8" t="s">
        <v>1450</v>
      </c>
      <c r="B391" s="21">
        <v>45440</v>
      </c>
      <c r="C391" s="8" t="s">
        <v>173</v>
      </c>
      <c r="D391" s="8" t="s">
        <v>959</v>
      </c>
      <c r="E391" s="8" t="s">
        <v>158</v>
      </c>
      <c r="F391" s="10">
        <v>1</v>
      </c>
      <c r="G391" s="10">
        <v>6940</v>
      </c>
      <c r="H391" s="10">
        <v>9.6999999999999993</v>
      </c>
      <c r="I391" s="10">
        <v>6266.82</v>
      </c>
      <c r="J391" s="8" t="s">
        <v>41</v>
      </c>
      <c r="K391" s="8" t="s">
        <v>178</v>
      </c>
      <c r="L391" s="18" t="str">
        <f>VLOOKUP(D391,Products!$A:$C,3,FALSE)</f>
        <v>Sports</v>
      </c>
      <c r="N391" s="18" t="str">
        <f>VLOOKUP(C391,Customers!$A:$E,5,FALSE)</f>
        <v>Retail</v>
      </c>
      <c r="O391" s="18">
        <f>VLOOKUP(C391,Customers!$A:$C,3,FALSE)</f>
        <v>26</v>
      </c>
      <c r="P391" s="18" t="str">
        <f>VLOOKUP(E390,Sales_Reps!$A:$C,3,FALSE)</f>
        <v>East</v>
      </c>
      <c r="Q391" s="18" t="str">
        <f t="shared" ref="Q391:Q392" si="84">TEXT(B390,"MMM-YY")</f>
        <v>May-24</v>
      </c>
      <c r="R391">
        <f>VLOOKUP(D391, Products!A:D, 4, FALSE)</f>
        <v>2827</v>
      </c>
      <c r="S391">
        <f t="shared" ref="S391:S392" si="85">(G391-R391)/G391</f>
        <v>0.5926512968299712</v>
      </c>
      <c r="T391" s="10">
        <v>1.4</v>
      </c>
    </row>
    <row r="392" spans="1:20" ht="14.25" customHeight="1" x14ac:dyDescent="0.3">
      <c r="A392" s="8" t="s">
        <v>1451</v>
      </c>
      <c r="B392" s="21">
        <v>45358</v>
      </c>
      <c r="C392" s="8" t="s">
        <v>294</v>
      </c>
      <c r="D392" s="8" t="s">
        <v>247</v>
      </c>
      <c r="E392" s="8" t="s">
        <v>125</v>
      </c>
      <c r="F392" s="10">
        <v>10</v>
      </c>
      <c r="G392" s="10">
        <v>3350</v>
      </c>
      <c r="H392" s="10">
        <v>3.2</v>
      </c>
      <c r="I392" s="10">
        <v>32428</v>
      </c>
      <c r="J392" s="8" t="s">
        <v>41</v>
      </c>
      <c r="K392" s="8" t="s">
        <v>98</v>
      </c>
      <c r="L392" s="18" t="str">
        <f>VLOOKUP(D392,Products!$A:$C,3,FALSE)</f>
        <v>Beauty</v>
      </c>
      <c r="N392" s="18" t="str">
        <f>VLOOKUP(C392,Customers!$A:$E,5,FALSE)</f>
        <v>Retail</v>
      </c>
      <c r="O392" s="18">
        <f>VLOOKUP(C392,Customers!$A:$C,3,FALSE)</f>
        <v>22</v>
      </c>
      <c r="P392" s="18" t="str">
        <f>VLOOKUP(E391,Sales_Reps!$A:$C,3,FALSE)</f>
        <v>East</v>
      </c>
      <c r="Q392" s="18" t="str">
        <f t="shared" si="84"/>
        <v>May-24</v>
      </c>
      <c r="R392">
        <f>VLOOKUP(D392, Products!A:D, 4, FALSE)</f>
        <v>1728</v>
      </c>
      <c r="S392">
        <f t="shared" si="85"/>
        <v>0.48417910447761192</v>
      </c>
      <c r="T392" s="10">
        <v>5.8</v>
      </c>
    </row>
    <row r="393" spans="1:20" ht="14.25" hidden="1" customHeight="1" x14ac:dyDescent="0.3">
      <c r="A393" s="8" t="s">
        <v>1452</v>
      </c>
      <c r="B393" s="9">
        <v>45387</v>
      </c>
      <c r="C393" s="8" t="s">
        <v>846</v>
      </c>
      <c r="D393" s="8" t="s">
        <v>789</v>
      </c>
      <c r="E393" s="8" t="s">
        <v>376</v>
      </c>
      <c r="F393" s="10">
        <v>7</v>
      </c>
      <c r="G393" s="10">
        <v>1540</v>
      </c>
      <c r="H393" s="10">
        <v>0.5</v>
      </c>
      <c r="I393" s="10">
        <v>10726.1</v>
      </c>
      <c r="J393" s="8" t="s">
        <v>41</v>
      </c>
      <c r="K393" s="8" t="s">
        <v>119</v>
      </c>
      <c r="L393" s="18" t="str">
        <f>VLOOKUP(D393,Products!$A:$C,3,FALSE)</f>
        <v>Beauty</v>
      </c>
      <c r="N393" s="18" t="str">
        <f>VLOOKUP(C393,Customers!$A:$E,5,FALSE)</f>
        <v>Retail</v>
      </c>
      <c r="O393" s="18">
        <f>VLOOKUP(C393,Customers!$A:$C,3,FALSE)</f>
        <v>63</v>
      </c>
      <c r="T393" s="10">
        <v>8.6</v>
      </c>
    </row>
    <row r="394" spans="1:20" ht="14.25" hidden="1" customHeight="1" x14ac:dyDescent="0.3">
      <c r="A394" s="8" t="s">
        <v>1453</v>
      </c>
      <c r="B394" s="9">
        <v>45655</v>
      </c>
      <c r="C394" s="8" t="s">
        <v>1454</v>
      </c>
      <c r="D394" s="8" t="s">
        <v>37</v>
      </c>
      <c r="E394" s="8" t="s">
        <v>376</v>
      </c>
      <c r="F394" s="10">
        <v>10</v>
      </c>
      <c r="G394" s="10">
        <v>3620</v>
      </c>
      <c r="H394" s="10">
        <v>22</v>
      </c>
      <c r="I394" s="10">
        <v>28236</v>
      </c>
      <c r="J394" s="8" t="s">
        <v>41</v>
      </c>
      <c r="K394" s="8" t="s">
        <v>42</v>
      </c>
      <c r="L394" s="18" t="str">
        <f>VLOOKUP(D394,Products!$A:$C,3,FALSE)</f>
        <v>Apparel</v>
      </c>
      <c r="N394" s="18" t="e">
        <f>VLOOKUP(C394,Customers!$A:$E,5,FALSE)</f>
        <v>#N/A</v>
      </c>
      <c r="O394" s="18" t="e">
        <f>VLOOKUP(C394,Customers!$A:$C,3,FALSE)</f>
        <v>#N/A</v>
      </c>
      <c r="T394" s="10">
        <v>5.9</v>
      </c>
    </row>
    <row r="395" spans="1:20" ht="14.25" customHeight="1" x14ac:dyDescent="0.3">
      <c r="A395" s="8" t="s">
        <v>1455</v>
      </c>
      <c r="B395" s="21">
        <v>45629</v>
      </c>
      <c r="C395" s="8" t="s">
        <v>623</v>
      </c>
      <c r="D395" s="8" t="s">
        <v>116</v>
      </c>
      <c r="E395" s="8" t="s">
        <v>376</v>
      </c>
      <c r="F395" s="10">
        <v>2</v>
      </c>
      <c r="G395" s="10">
        <v>470</v>
      </c>
      <c r="H395" s="10">
        <v>26.5</v>
      </c>
      <c r="I395" s="10">
        <v>690.9</v>
      </c>
      <c r="J395" s="8" t="s">
        <v>97</v>
      </c>
      <c r="K395" s="8" t="s">
        <v>42</v>
      </c>
      <c r="L395" s="18" t="str">
        <f>VLOOKUP(D395,Products!$A:$C,3,FALSE)</f>
        <v>Sports</v>
      </c>
      <c r="N395" s="18" t="str">
        <f>VLOOKUP(C395,Customers!$A:$E,5,FALSE)</f>
        <v>SMB</v>
      </c>
      <c r="O395" s="18">
        <f>VLOOKUP(C395,Customers!$A:$C,3,FALSE)</f>
        <v>29</v>
      </c>
      <c r="P395" s="18" t="str">
        <f>VLOOKUP(E394,Sales_Reps!$A:$C,3,FALSE)</f>
        <v>West</v>
      </c>
      <c r="Q395" s="18" t="str">
        <f t="shared" ref="Q395:Q396" si="86">TEXT(B394,"MMM-YY")</f>
        <v>Dec-24</v>
      </c>
      <c r="R395">
        <f>VLOOKUP(D395, Products!A:D, 4, FALSE)</f>
        <v>302</v>
      </c>
      <c r="S395">
        <f t="shared" ref="S395:S396" si="87">(G395-R395)/G395</f>
        <v>0.35744680851063831</v>
      </c>
      <c r="T395" s="10">
        <v>3.9</v>
      </c>
    </row>
    <row r="396" spans="1:20" ht="14.25" customHeight="1" x14ac:dyDescent="0.3">
      <c r="A396" s="8" t="s">
        <v>1456</v>
      </c>
      <c r="B396" s="21">
        <v>45323</v>
      </c>
      <c r="C396" s="8" t="s">
        <v>359</v>
      </c>
      <c r="D396" s="8" t="s">
        <v>124</v>
      </c>
      <c r="E396" s="8" t="s">
        <v>177</v>
      </c>
      <c r="F396" s="10">
        <v>6</v>
      </c>
      <c r="G396" s="10">
        <v>3660</v>
      </c>
      <c r="H396" s="10">
        <v>1.5</v>
      </c>
      <c r="I396" s="10">
        <v>21630.6</v>
      </c>
      <c r="J396" s="8" t="s">
        <v>41</v>
      </c>
      <c r="K396" s="8" t="s">
        <v>98</v>
      </c>
      <c r="L396" s="18" t="str">
        <f>VLOOKUP(D396,Products!$A:$C,3,FALSE)</f>
        <v>Grocery</v>
      </c>
      <c r="N396" s="18" t="str">
        <f>VLOOKUP(C396,Customers!$A:$E,5,FALSE)</f>
        <v>SMB</v>
      </c>
      <c r="O396" s="18">
        <f>VLOOKUP(C396,Customers!$A:$C,3,FALSE)</f>
        <v>39</v>
      </c>
      <c r="P396" s="18" t="str">
        <f>VLOOKUP(E395,Sales_Reps!$A:$C,3,FALSE)</f>
        <v>West</v>
      </c>
      <c r="Q396" s="18" t="str">
        <f t="shared" si="86"/>
        <v>Dec-24</v>
      </c>
      <c r="R396">
        <f>VLOOKUP(D396, Products!A:D, 4, FALSE)</f>
        <v>2214</v>
      </c>
      <c r="S396">
        <f t="shared" si="87"/>
        <v>0.39508196721311473</v>
      </c>
      <c r="T396" s="10">
        <v>8.5</v>
      </c>
    </row>
    <row r="397" spans="1:20" ht="14.25" hidden="1" customHeight="1" x14ac:dyDescent="0.3">
      <c r="A397" s="8" t="s">
        <v>1457</v>
      </c>
      <c r="B397" s="9">
        <v>45432</v>
      </c>
      <c r="C397" s="8" t="s">
        <v>157</v>
      </c>
      <c r="D397" s="8" t="s">
        <v>959</v>
      </c>
      <c r="E397" s="8" t="s">
        <v>121</v>
      </c>
      <c r="F397" s="10">
        <v>10</v>
      </c>
      <c r="G397" s="10">
        <v>6940</v>
      </c>
      <c r="H397" s="10">
        <v>1.9</v>
      </c>
      <c r="I397" s="10">
        <v>68081.399999999994</v>
      </c>
      <c r="J397" s="8" t="s">
        <v>41</v>
      </c>
      <c r="K397" s="8" t="s">
        <v>136</v>
      </c>
      <c r="L397" s="18" t="str">
        <f>VLOOKUP(D397,Products!$A:$C,3,FALSE)</f>
        <v>Sports</v>
      </c>
      <c r="N397" s="18" t="str">
        <f>VLOOKUP(C397,Customers!$A:$E,5,FALSE)</f>
        <v>Corporate</v>
      </c>
      <c r="O397" s="18">
        <f>VLOOKUP(C397,Customers!$A:$C,3,FALSE)</f>
        <v>57</v>
      </c>
      <c r="T397" s="10">
        <v>6.3</v>
      </c>
    </row>
    <row r="398" spans="1:20" ht="14.25" customHeight="1" x14ac:dyDescent="0.3">
      <c r="A398" s="8" t="s">
        <v>1458</v>
      </c>
      <c r="B398" s="21">
        <v>45397</v>
      </c>
      <c r="C398" s="8" t="s">
        <v>418</v>
      </c>
      <c r="D398" s="8" t="s">
        <v>939</v>
      </c>
      <c r="E398" s="8" t="s">
        <v>96</v>
      </c>
      <c r="F398" s="10">
        <v>8</v>
      </c>
      <c r="G398" s="10">
        <v>2290</v>
      </c>
      <c r="H398" s="10">
        <v>27.9</v>
      </c>
      <c r="I398" s="10">
        <v>13208.72</v>
      </c>
      <c r="J398" s="8" t="s">
        <v>41</v>
      </c>
      <c r="K398" s="8" t="s">
        <v>42</v>
      </c>
      <c r="L398" s="18" t="str">
        <f>VLOOKUP(D398,Products!$A:$C,3,FALSE)</f>
        <v>Beauty</v>
      </c>
      <c r="N398" s="18" t="str">
        <f>VLOOKUP(C398,Customers!$A:$E,5,FALSE)</f>
        <v>Corporate</v>
      </c>
      <c r="O398" s="18">
        <f>VLOOKUP(C398,Customers!$A:$C,3,FALSE)</f>
        <v>40</v>
      </c>
      <c r="P398" s="18" t="str">
        <f>VLOOKUP(E397,Sales_Reps!$A:$C,3,FALSE)</f>
        <v>East</v>
      </c>
      <c r="Q398" s="18" t="str">
        <f>TEXT(B397,"MMM-YY")</f>
        <v>May-24</v>
      </c>
      <c r="R398">
        <f>VLOOKUP(D398, Products!A:D, 4, FALSE)</f>
        <v>1219</v>
      </c>
      <c r="S398">
        <f>(G398-R398)/G398</f>
        <v>0.46768558951965067</v>
      </c>
      <c r="T398" s="10">
        <v>10.5</v>
      </c>
    </row>
    <row r="399" spans="1:20" ht="14.25" hidden="1" customHeight="1" x14ac:dyDescent="0.3">
      <c r="A399" s="8" t="s">
        <v>1459</v>
      </c>
      <c r="B399" s="9">
        <v>45573</v>
      </c>
      <c r="C399" s="8" t="s">
        <v>354</v>
      </c>
      <c r="D399" s="8" t="s">
        <v>134</v>
      </c>
      <c r="E399" s="8" t="s">
        <v>153</v>
      </c>
      <c r="F399" s="10">
        <v>9</v>
      </c>
      <c r="G399" s="10">
        <v>3160</v>
      </c>
      <c r="H399" s="10">
        <v>10.199999999999999</v>
      </c>
      <c r="I399" s="10">
        <v>25539.119999999999</v>
      </c>
      <c r="J399" s="8" t="s">
        <v>41</v>
      </c>
      <c r="K399" s="8" t="s">
        <v>178</v>
      </c>
      <c r="L399" s="18" t="str">
        <f>VLOOKUP(D399,Products!$A:$C,3,FALSE)</f>
        <v>Apparel</v>
      </c>
      <c r="N399" s="18" t="str">
        <f>VLOOKUP(C399,Customers!$A:$E,5,FALSE)</f>
        <v>Retail</v>
      </c>
      <c r="O399" s="18">
        <f>VLOOKUP(C399,Customers!$A:$C,3,FALSE)</f>
        <v>61</v>
      </c>
      <c r="T399" s="10">
        <v>17.7</v>
      </c>
    </row>
    <row r="400" spans="1:20" ht="14.25" customHeight="1" x14ac:dyDescent="0.3">
      <c r="A400" s="8" t="s">
        <v>1460</v>
      </c>
      <c r="B400" s="21">
        <v>45307</v>
      </c>
      <c r="C400" s="8" t="s">
        <v>591</v>
      </c>
      <c r="D400" s="8" t="s">
        <v>926</v>
      </c>
      <c r="E400" s="8" t="s">
        <v>172</v>
      </c>
      <c r="F400" s="10">
        <v>6</v>
      </c>
      <c r="G400" s="10">
        <v>5080</v>
      </c>
      <c r="H400" s="10">
        <v>25.4</v>
      </c>
      <c r="I400" s="10">
        <v>22738.080000000002</v>
      </c>
      <c r="J400" s="8" t="s">
        <v>41</v>
      </c>
      <c r="K400" s="8" t="s">
        <v>42</v>
      </c>
      <c r="L400" s="18" t="str">
        <f>VLOOKUP(D400,Products!$A:$C,3,FALSE)</f>
        <v>Home</v>
      </c>
      <c r="N400" s="18" t="str">
        <f>VLOOKUP(C400,Customers!$A:$E,5,FALSE)</f>
        <v>Retail</v>
      </c>
      <c r="O400" s="18">
        <f>VLOOKUP(C400,Customers!$A:$C,3,FALSE)</f>
        <v>36</v>
      </c>
      <c r="P400" s="18" t="str">
        <f>VLOOKUP(E399,Sales_Reps!$A:$C,3,FALSE)</f>
        <v>West</v>
      </c>
      <c r="Q400" s="18" t="str">
        <f>TEXT(B399,"MMM-YY")</f>
        <v>Oct-24</v>
      </c>
      <c r="R400">
        <f>VLOOKUP(D400, Products!A:D, 4, FALSE)</f>
        <v>2459</v>
      </c>
      <c r="S400">
        <f>(G400-R400)/G400</f>
        <v>0.51594488188976373</v>
      </c>
      <c r="T400" s="10">
        <v>12.2</v>
      </c>
    </row>
    <row r="401" spans="1:20" ht="14.25" hidden="1" customHeight="1" x14ac:dyDescent="0.3">
      <c r="A401" s="8" t="s">
        <v>1461</v>
      </c>
      <c r="B401" s="9">
        <v>45620</v>
      </c>
      <c r="C401" s="8" t="s">
        <v>395</v>
      </c>
      <c r="D401" s="8" t="s">
        <v>374</v>
      </c>
      <c r="E401" s="8" t="s">
        <v>189</v>
      </c>
      <c r="F401" s="10">
        <v>6</v>
      </c>
      <c r="G401" s="10">
        <v>2760</v>
      </c>
      <c r="H401" s="10">
        <v>21.3</v>
      </c>
      <c r="I401" s="10">
        <v>13032.72</v>
      </c>
      <c r="J401" s="8" t="s">
        <v>41</v>
      </c>
      <c r="K401" s="8" t="s">
        <v>178</v>
      </c>
      <c r="L401" s="18" t="str">
        <f>VLOOKUP(D401,Products!$A:$C,3,FALSE)</f>
        <v>Grocery</v>
      </c>
      <c r="N401" s="18" t="str">
        <f>VLOOKUP(C401,Customers!$A:$E,5,FALSE)</f>
        <v>Retail</v>
      </c>
      <c r="O401" s="18">
        <f>VLOOKUP(C401,Customers!$A:$C,3,FALSE)</f>
        <v>64</v>
      </c>
      <c r="T401" s="10">
        <v>1.8</v>
      </c>
    </row>
    <row r="402" spans="1:20" ht="14.25" hidden="1" customHeight="1" x14ac:dyDescent="0.3">
      <c r="A402" s="8" t="s">
        <v>1462</v>
      </c>
      <c r="B402" s="9">
        <v>45462</v>
      </c>
      <c r="C402" s="8" t="s">
        <v>1463</v>
      </c>
      <c r="D402" s="8" t="s">
        <v>160</v>
      </c>
      <c r="E402" s="8" t="s">
        <v>189</v>
      </c>
      <c r="F402" s="10">
        <v>5</v>
      </c>
      <c r="G402" s="10">
        <v>1220</v>
      </c>
      <c r="H402" s="10">
        <v>7.6</v>
      </c>
      <c r="I402" s="10">
        <v>5636.4</v>
      </c>
      <c r="J402" s="8" t="s">
        <v>41</v>
      </c>
      <c r="K402" s="8" t="s">
        <v>146</v>
      </c>
      <c r="L402" s="18" t="str">
        <f>VLOOKUP(D402,Products!$A:$C,3,FALSE)</f>
        <v>Electronics</v>
      </c>
      <c r="N402" s="18" t="e">
        <f>VLOOKUP(C402,Customers!$A:$E,5,FALSE)</f>
        <v>#N/A</v>
      </c>
      <c r="O402" s="18" t="e">
        <f>VLOOKUP(C402,Customers!$A:$C,3,FALSE)</f>
        <v>#N/A</v>
      </c>
      <c r="T402" s="10">
        <v>4.7</v>
      </c>
    </row>
    <row r="403" spans="1:20" ht="14.25" hidden="1" customHeight="1" x14ac:dyDescent="0.3">
      <c r="A403" s="8" t="s">
        <v>1464</v>
      </c>
      <c r="B403" s="9">
        <v>45622</v>
      </c>
      <c r="C403" s="8" t="s">
        <v>658</v>
      </c>
      <c r="D403" s="8" t="s">
        <v>283</v>
      </c>
      <c r="E403" s="8" t="s">
        <v>172</v>
      </c>
      <c r="F403" s="10">
        <v>5</v>
      </c>
      <c r="G403" s="10">
        <v>4880</v>
      </c>
      <c r="H403" s="10">
        <v>8.5</v>
      </c>
      <c r="I403" s="10">
        <v>22326</v>
      </c>
      <c r="J403" s="8" t="s">
        <v>41</v>
      </c>
      <c r="K403" s="8" t="s">
        <v>98</v>
      </c>
      <c r="L403" s="18" t="str">
        <f>VLOOKUP(D403,Products!$A:$C,3,FALSE)</f>
        <v>Beauty</v>
      </c>
      <c r="N403" s="18" t="str">
        <f>VLOOKUP(C403,Customers!$A:$E,5,FALSE)</f>
        <v>Retail</v>
      </c>
      <c r="O403" s="18">
        <f>VLOOKUP(C403,Customers!$A:$C,3,FALSE)</f>
        <v>41</v>
      </c>
      <c r="T403" s="10">
        <v>16.399999999999999</v>
      </c>
    </row>
    <row r="404" spans="1:20" ht="14.25" hidden="1" customHeight="1" x14ac:dyDescent="0.3">
      <c r="A404" s="8" t="s">
        <v>1465</v>
      </c>
      <c r="B404" s="9">
        <v>45596</v>
      </c>
      <c r="C404" s="8" t="s">
        <v>587</v>
      </c>
      <c r="D404" s="8" t="s">
        <v>818</v>
      </c>
      <c r="E404" s="8" t="s">
        <v>196</v>
      </c>
      <c r="F404" s="10">
        <v>7</v>
      </c>
      <c r="G404" s="10">
        <v>4070</v>
      </c>
      <c r="H404" s="10">
        <v>28</v>
      </c>
      <c r="I404" s="10">
        <v>20512.8</v>
      </c>
      <c r="J404" s="8" t="s">
        <v>41</v>
      </c>
      <c r="K404" s="8" t="s">
        <v>136</v>
      </c>
      <c r="L404" s="18" t="str">
        <f>VLOOKUP(D404,Products!$A:$C,3,FALSE)</f>
        <v>Grocery</v>
      </c>
      <c r="N404" s="18" t="str">
        <f>VLOOKUP(C404,Customers!$A:$E,5,FALSE)</f>
        <v>SMB</v>
      </c>
      <c r="O404" s="18">
        <f>VLOOKUP(C404,Customers!$A:$C,3,FALSE)</f>
        <v>64</v>
      </c>
      <c r="T404" s="10">
        <v>8.5</v>
      </c>
    </row>
    <row r="405" spans="1:20" ht="14.25" hidden="1" customHeight="1" x14ac:dyDescent="0.3">
      <c r="A405" s="8" t="s">
        <v>1466</v>
      </c>
      <c r="B405" s="9">
        <v>45506</v>
      </c>
      <c r="C405" s="8" t="s">
        <v>832</v>
      </c>
      <c r="D405" s="8" t="s">
        <v>120</v>
      </c>
      <c r="E405" s="8" t="s">
        <v>172</v>
      </c>
      <c r="F405" s="10">
        <v>2</v>
      </c>
      <c r="G405" s="10">
        <v>3970</v>
      </c>
      <c r="H405" s="10">
        <v>14</v>
      </c>
      <c r="I405" s="10">
        <v>6828.4</v>
      </c>
      <c r="J405" s="8" t="s">
        <v>41</v>
      </c>
      <c r="K405" s="8" t="s">
        <v>178</v>
      </c>
      <c r="L405" s="18" t="str">
        <f>VLOOKUP(D405,Products!$A:$C,3,FALSE)</f>
        <v>Electronics</v>
      </c>
      <c r="N405" s="18" t="str">
        <f>VLOOKUP(C405,Customers!$A:$E,5,FALSE)</f>
        <v>SMB</v>
      </c>
      <c r="O405" s="18">
        <f>VLOOKUP(C405,Customers!$A:$C,3,FALSE)</f>
        <v>65</v>
      </c>
      <c r="T405" s="10">
        <v>2.1</v>
      </c>
    </row>
    <row r="406" spans="1:20" ht="14.25" hidden="1" customHeight="1" x14ac:dyDescent="0.3">
      <c r="A406" s="8" t="s">
        <v>1467</v>
      </c>
      <c r="B406" s="9">
        <v>45349</v>
      </c>
      <c r="C406" s="8" t="s">
        <v>633</v>
      </c>
      <c r="D406" s="8" t="s">
        <v>131</v>
      </c>
      <c r="E406" s="8" t="s">
        <v>167</v>
      </c>
      <c r="F406" s="10">
        <v>9</v>
      </c>
      <c r="G406" s="10">
        <v>2660</v>
      </c>
      <c r="H406" s="10">
        <v>10.1</v>
      </c>
      <c r="I406" s="10">
        <v>21522.06</v>
      </c>
      <c r="J406" s="8" t="s">
        <v>41</v>
      </c>
      <c r="K406" s="8" t="s">
        <v>119</v>
      </c>
      <c r="L406" s="18" t="str">
        <f>VLOOKUP(D406,Products!$A:$C,3,FALSE)</f>
        <v>Electronics</v>
      </c>
      <c r="N406" s="18" t="str">
        <f>VLOOKUP(C406,Customers!$A:$E,5,FALSE)</f>
        <v>Corporate</v>
      </c>
      <c r="O406" s="18">
        <f>VLOOKUP(C406,Customers!$A:$C,3,FALSE)</f>
        <v>55</v>
      </c>
      <c r="T406" s="10">
        <v>17.3</v>
      </c>
    </row>
    <row r="407" spans="1:20" ht="14.25" customHeight="1" x14ac:dyDescent="0.3">
      <c r="A407" s="8" t="s">
        <v>1468</v>
      </c>
      <c r="B407" s="21">
        <v>45407</v>
      </c>
      <c r="C407" s="8" t="s">
        <v>458</v>
      </c>
      <c r="D407" s="8" t="s">
        <v>338</v>
      </c>
      <c r="E407" s="8" t="s">
        <v>196</v>
      </c>
      <c r="F407" s="10">
        <v>9</v>
      </c>
      <c r="G407" s="10">
        <v>2860</v>
      </c>
      <c r="H407" s="10">
        <v>10.1</v>
      </c>
      <c r="I407" s="10">
        <v>23140.26</v>
      </c>
      <c r="J407" s="8" t="s">
        <v>193</v>
      </c>
      <c r="K407" s="8" t="s">
        <v>42</v>
      </c>
      <c r="L407" s="18" t="str">
        <f>VLOOKUP(D407,Products!$A:$C,3,FALSE)</f>
        <v>Sports</v>
      </c>
      <c r="N407" s="18" t="str">
        <f>VLOOKUP(C407,Customers!$A:$E,5,FALSE)</f>
        <v>Retail</v>
      </c>
      <c r="O407" s="18">
        <f>VLOOKUP(C407,Customers!$A:$C,3,FALSE)</f>
        <v>36</v>
      </c>
      <c r="P407" s="18" t="str">
        <f>VLOOKUP(E406,Sales_Reps!$A:$C,3,FALSE)</f>
        <v>East</v>
      </c>
      <c r="Q407" s="18" t="str">
        <f t="shared" ref="Q407:Q409" si="88">TEXT(B406,"MMM-YY")</f>
        <v>Feb-24</v>
      </c>
      <c r="R407">
        <f>VLOOKUP(D407, Products!A:D, 4, FALSE)</f>
        <v>2028</v>
      </c>
      <c r="S407">
        <f t="shared" ref="S407:S409" si="89">(G407-R407)/G407</f>
        <v>0.29090909090909089</v>
      </c>
      <c r="T407" s="10">
        <v>1.3</v>
      </c>
    </row>
    <row r="408" spans="1:20" ht="14.25" customHeight="1" x14ac:dyDescent="0.3">
      <c r="A408" s="8" t="s">
        <v>1469</v>
      </c>
      <c r="B408" s="21">
        <v>45591</v>
      </c>
      <c r="C408" s="8" t="s">
        <v>330</v>
      </c>
      <c r="D408" s="8" t="s">
        <v>160</v>
      </c>
      <c r="E408" s="8" t="s">
        <v>38</v>
      </c>
      <c r="F408" s="10">
        <v>7</v>
      </c>
      <c r="G408" s="10">
        <v>1220</v>
      </c>
      <c r="H408" s="10">
        <v>23.5</v>
      </c>
      <c r="I408" s="10">
        <v>6533.1</v>
      </c>
      <c r="J408" s="8" t="s">
        <v>193</v>
      </c>
      <c r="K408" s="8" t="s">
        <v>119</v>
      </c>
      <c r="L408" s="18" t="str">
        <f>VLOOKUP(D408,Products!$A:$C,3,FALSE)</f>
        <v>Electronics</v>
      </c>
      <c r="N408" s="18" t="str">
        <f>VLOOKUP(C408,Customers!$A:$E,5,FALSE)</f>
        <v>Retail</v>
      </c>
      <c r="O408" s="18">
        <f>VLOOKUP(C408,Customers!$A:$C,3,FALSE)</f>
        <v>35</v>
      </c>
      <c r="P408" s="18" t="str">
        <f>VLOOKUP(E407,Sales_Reps!$A:$C,3,FALSE)</f>
        <v>East</v>
      </c>
      <c r="Q408" s="18" t="str">
        <f t="shared" si="88"/>
        <v>Apr-24</v>
      </c>
      <c r="R408">
        <f>VLOOKUP(D408, Products!A:D, 4, FALSE)</f>
        <v>517</v>
      </c>
      <c r="S408">
        <f t="shared" si="89"/>
        <v>0.57622950819672136</v>
      </c>
      <c r="T408" s="10">
        <v>6.5</v>
      </c>
    </row>
    <row r="409" spans="1:20" ht="14.25" customHeight="1" x14ac:dyDescent="0.3">
      <c r="A409" s="8" t="s">
        <v>1470</v>
      </c>
      <c r="B409" s="21">
        <v>45584</v>
      </c>
      <c r="C409" s="8" t="s">
        <v>851</v>
      </c>
      <c r="D409" s="8" t="s">
        <v>691</v>
      </c>
      <c r="E409" s="8" t="s">
        <v>376</v>
      </c>
      <c r="F409" s="10">
        <v>1</v>
      </c>
      <c r="G409" s="10">
        <v>2270</v>
      </c>
      <c r="H409" s="10">
        <v>5.8</v>
      </c>
      <c r="I409" s="10">
        <v>2138.34</v>
      </c>
      <c r="J409" s="8" t="s">
        <v>147</v>
      </c>
      <c r="K409" s="8" t="s">
        <v>119</v>
      </c>
      <c r="L409" s="18" t="str">
        <f>VLOOKUP(D409,Products!$A:$C,3,FALSE)</f>
        <v>Grocery</v>
      </c>
      <c r="N409" s="18" t="str">
        <f>VLOOKUP(C409,Customers!$A:$E,5,FALSE)</f>
        <v>Corporate</v>
      </c>
      <c r="O409" s="18">
        <f>VLOOKUP(C409,Customers!$A:$C,3,FALSE)</f>
        <v>31</v>
      </c>
      <c r="P409" s="18" t="str">
        <f>VLOOKUP(E408,Sales_Reps!$A:$C,3,FALSE)</f>
        <v>North</v>
      </c>
      <c r="Q409" s="18" t="str">
        <f t="shared" si="88"/>
        <v>Oct-24</v>
      </c>
      <c r="R409">
        <f>VLOOKUP(D409, Products!A:D, 4, FALSE)</f>
        <v>1412</v>
      </c>
      <c r="S409">
        <f t="shared" si="89"/>
        <v>0.37797356828193834</v>
      </c>
      <c r="T409" s="10">
        <v>19.8</v>
      </c>
    </row>
    <row r="410" spans="1:20" ht="14.25" hidden="1" customHeight="1" x14ac:dyDescent="0.3">
      <c r="A410" s="8" t="s">
        <v>1471</v>
      </c>
      <c r="B410" s="9">
        <v>45581</v>
      </c>
      <c r="C410" s="8" t="s">
        <v>506</v>
      </c>
      <c r="D410" s="8" t="s">
        <v>389</v>
      </c>
      <c r="E410" s="8" t="s">
        <v>261</v>
      </c>
      <c r="F410" s="10">
        <v>2</v>
      </c>
      <c r="G410" s="10">
        <v>660</v>
      </c>
      <c r="H410" s="10">
        <v>2.2999999999999998</v>
      </c>
      <c r="I410" s="10">
        <v>1289.6400000000001</v>
      </c>
      <c r="J410" s="8" t="s">
        <v>41</v>
      </c>
      <c r="K410" s="8" t="s">
        <v>146</v>
      </c>
      <c r="L410" s="18" t="str">
        <f>VLOOKUP(D410,Products!$A:$C,3,FALSE)</f>
        <v>Home</v>
      </c>
      <c r="N410" s="18" t="str">
        <f>VLOOKUP(C410,Customers!$A:$E,5,FALSE)</f>
        <v>SMB</v>
      </c>
      <c r="O410" s="18">
        <f>VLOOKUP(C410,Customers!$A:$C,3,FALSE)</f>
        <v>65</v>
      </c>
      <c r="T410" s="10">
        <v>17.3</v>
      </c>
    </row>
    <row r="411" spans="1:20" ht="14.25" customHeight="1" x14ac:dyDescent="0.3">
      <c r="A411" s="8" t="s">
        <v>1472</v>
      </c>
      <c r="B411" s="21">
        <v>45441</v>
      </c>
      <c r="C411" s="8" t="s">
        <v>719</v>
      </c>
      <c r="D411" s="8" t="s">
        <v>134</v>
      </c>
      <c r="E411" s="8" t="s">
        <v>117</v>
      </c>
      <c r="F411" s="10">
        <v>1</v>
      </c>
      <c r="G411" s="10">
        <v>3160</v>
      </c>
      <c r="H411" s="10">
        <v>5.6</v>
      </c>
      <c r="I411" s="10">
        <v>2983.04</v>
      </c>
      <c r="J411" s="8" t="s">
        <v>41</v>
      </c>
      <c r="K411" s="8" t="s">
        <v>98</v>
      </c>
      <c r="L411" s="18" t="str">
        <f>VLOOKUP(D411,Products!$A:$C,3,FALSE)</f>
        <v>Apparel</v>
      </c>
      <c r="N411" s="18" t="str">
        <f>VLOOKUP(C411,Customers!$A:$E,5,FALSE)</f>
        <v>Corporate</v>
      </c>
      <c r="O411" s="18">
        <f>VLOOKUP(C411,Customers!$A:$C,3,FALSE)</f>
        <v>38</v>
      </c>
      <c r="P411" s="18" t="str">
        <f>VLOOKUP(E410,Sales_Reps!$A:$C,3,FALSE)</f>
        <v>North</v>
      </c>
      <c r="Q411" s="18" t="str">
        <f t="shared" ref="Q411:Q413" si="90">TEXT(B410,"MMM-YY")</f>
        <v>Oct-24</v>
      </c>
      <c r="R411">
        <f>VLOOKUP(D411, Products!A:D, 4, FALSE)</f>
        <v>1886</v>
      </c>
      <c r="S411">
        <f t="shared" ref="S411:S413" si="91">(G411-R411)/G411</f>
        <v>0.4031645569620253</v>
      </c>
      <c r="T411" s="10">
        <v>17.5</v>
      </c>
    </row>
    <row r="412" spans="1:20" ht="14.25" customHeight="1" x14ac:dyDescent="0.3">
      <c r="A412" s="8" t="s">
        <v>871</v>
      </c>
      <c r="B412" s="21">
        <v>45408</v>
      </c>
      <c r="C412" s="8" t="s">
        <v>133</v>
      </c>
      <c r="D412" s="8" t="s">
        <v>184</v>
      </c>
      <c r="E412" s="8" t="s">
        <v>745</v>
      </c>
      <c r="F412" s="10">
        <v>1</v>
      </c>
      <c r="G412" s="10">
        <v>2600</v>
      </c>
      <c r="H412" s="10">
        <v>1</v>
      </c>
      <c r="I412" s="10">
        <v>2574</v>
      </c>
      <c r="J412" s="8" t="s">
        <v>41</v>
      </c>
      <c r="K412" s="8" t="s">
        <v>98</v>
      </c>
      <c r="L412" s="18" t="str">
        <f>VLOOKUP(D412,Products!$A:$C,3,FALSE)</f>
        <v>Electronics</v>
      </c>
      <c r="N412" s="18" t="str">
        <f>VLOOKUP(C412,Customers!$A:$E,5,FALSE)</f>
        <v>Retail</v>
      </c>
      <c r="O412" s="18">
        <f>VLOOKUP(C412,Customers!$A:$C,3,FALSE)</f>
        <v>36</v>
      </c>
      <c r="P412" s="18" t="str">
        <f>VLOOKUP(E411,Sales_Reps!$A:$C,3,FALSE)</f>
        <v>South</v>
      </c>
      <c r="Q412" s="18" t="str">
        <f t="shared" si="90"/>
        <v>May-24</v>
      </c>
      <c r="R412">
        <f>VLOOKUP(D412, Products!A:D, 4, FALSE)</f>
        <v>1052</v>
      </c>
      <c r="S412">
        <f t="shared" si="91"/>
        <v>0.5953846153846154</v>
      </c>
      <c r="T412" s="10">
        <v>3.7</v>
      </c>
    </row>
    <row r="413" spans="1:20" ht="14.25" customHeight="1" x14ac:dyDescent="0.3">
      <c r="A413" s="8" t="s">
        <v>1473</v>
      </c>
      <c r="B413" s="21">
        <v>45515</v>
      </c>
      <c r="C413" s="8" t="s">
        <v>578</v>
      </c>
      <c r="D413" s="8" t="s">
        <v>839</v>
      </c>
      <c r="E413" s="8" t="s">
        <v>117</v>
      </c>
      <c r="F413" s="10">
        <v>4</v>
      </c>
      <c r="G413" s="10">
        <v>4610</v>
      </c>
      <c r="H413" s="10">
        <v>18.7</v>
      </c>
      <c r="I413" s="10">
        <v>14991.72</v>
      </c>
      <c r="J413" s="8" t="s">
        <v>41</v>
      </c>
      <c r="K413" s="8" t="s">
        <v>98</v>
      </c>
      <c r="L413" s="18" t="str">
        <f>VLOOKUP(D413,Products!$A:$C,3,FALSE)</f>
        <v>Home</v>
      </c>
      <c r="N413" s="18" t="str">
        <f>VLOOKUP(C413,Customers!$A:$E,5,FALSE)</f>
        <v>Retail</v>
      </c>
      <c r="O413" s="18">
        <f>VLOOKUP(C413,Customers!$A:$C,3,FALSE)</f>
        <v>32</v>
      </c>
      <c r="P413" s="18" t="str">
        <f>VLOOKUP(E412,Sales_Reps!$A:$C,3,FALSE)</f>
        <v>South</v>
      </c>
      <c r="Q413" s="18" t="str">
        <f t="shared" si="90"/>
        <v>Apr-24</v>
      </c>
      <c r="R413">
        <f>VLOOKUP(D413, Products!A:D, 4, FALSE)</f>
        <v>1850</v>
      </c>
      <c r="S413">
        <f t="shared" si="91"/>
        <v>0.59869848156182215</v>
      </c>
      <c r="T413" s="10">
        <v>28.2</v>
      </c>
    </row>
    <row r="414" spans="1:20" ht="14.25" hidden="1" customHeight="1" x14ac:dyDescent="0.3">
      <c r="A414" s="8" t="s">
        <v>1474</v>
      </c>
      <c r="B414" s="9">
        <v>45412</v>
      </c>
      <c r="C414" s="8" t="s">
        <v>312</v>
      </c>
      <c r="D414" s="8" t="s">
        <v>644</v>
      </c>
      <c r="E414" s="8" t="s">
        <v>167</v>
      </c>
      <c r="F414" s="10">
        <v>3</v>
      </c>
      <c r="G414" s="10">
        <v>3640</v>
      </c>
      <c r="H414" s="10">
        <v>9.6999999999999993</v>
      </c>
      <c r="I414" s="10">
        <v>9860.76</v>
      </c>
      <c r="J414" s="8" t="s">
        <v>147</v>
      </c>
      <c r="K414" s="8" t="s">
        <v>42</v>
      </c>
      <c r="L414" s="18" t="str">
        <f>VLOOKUP(D414,Products!$A:$C,3,FALSE)</f>
        <v>Apparel</v>
      </c>
      <c r="N414" s="18" t="str">
        <f>VLOOKUP(C414,Customers!$A:$E,5,FALSE)</f>
        <v>Retail</v>
      </c>
      <c r="O414" s="18">
        <f>VLOOKUP(C414,Customers!$A:$C,3,FALSE)</f>
        <v>62</v>
      </c>
      <c r="T414" s="10">
        <v>13.9</v>
      </c>
    </row>
    <row r="415" spans="1:20" ht="14.25" customHeight="1" x14ac:dyDescent="0.3">
      <c r="A415" s="8" t="s">
        <v>1475</v>
      </c>
      <c r="B415" s="21">
        <v>45448</v>
      </c>
      <c r="C415" s="8" t="s">
        <v>765</v>
      </c>
      <c r="D415" s="8" t="s">
        <v>239</v>
      </c>
      <c r="E415" s="8" t="s">
        <v>185</v>
      </c>
      <c r="F415" s="10">
        <v>6</v>
      </c>
      <c r="G415" s="10">
        <v>2720</v>
      </c>
      <c r="H415" s="10">
        <v>13</v>
      </c>
      <c r="I415" s="10">
        <v>14198.4</v>
      </c>
      <c r="J415" s="8" t="s">
        <v>97</v>
      </c>
      <c r="K415" s="8" t="s">
        <v>119</v>
      </c>
      <c r="L415" s="18" t="str">
        <f>VLOOKUP(D415,Products!$A:$C,3,FALSE)</f>
        <v>Apparel</v>
      </c>
      <c r="N415" s="18" t="str">
        <f>VLOOKUP(C415,Customers!$A:$E,5,FALSE)</f>
        <v>SMB</v>
      </c>
      <c r="O415" s="18">
        <f>VLOOKUP(C415,Customers!$A:$C,3,FALSE)</f>
        <v>29</v>
      </c>
      <c r="P415" s="18" t="str">
        <f>VLOOKUP(E414,Sales_Reps!$A:$C,3,FALSE)</f>
        <v>East</v>
      </c>
      <c r="Q415" s="18" t="str">
        <f>TEXT(B414,"MMM-YY")</f>
        <v>Apr-24</v>
      </c>
      <c r="R415">
        <f>VLOOKUP(D415, Products!A:D, 4, FALSE)</f>
        <v>1962</v>
      </c>
      <c r="S415">
        <f>(G415-R415)/G415</f>
        <v>0.2786764705882353</v>
      </c>
      <c r="T415" s="10">
        <v>15.7</v>
      </c>
    </row>
    <row r="416" spans="1:20" ht="14.25" hidden="1" customHeight="1" x14ac:dyDescent="0.3">
      <c r="A416" s="8" t="s">
        <v>1476</v>
      </c>
      <c r="B416" s="9">
        <v>45644</v>
      </c>
      <c r="C416" s="8" t="s">
        <v>528</v>
      </c>
      <c r="D416" s="8" t="s">
        <v>964</v>
      </c>
      <c r="E416" s="8" t="s">
        <v>135</v>
      </c>
      <c r="F416" s="10">
        <v>5</v>
      </c>
      <c r="G416" s="10">
        <v>3780</v>
      </c>
      <c r="H416" s="10">
        <v>15.2</v>
      </c>
      <c r="I416" s="10">
        <v>16027.2</v>
      </c>
      <c r="J416" s="8" t="s">
        <v>41</v>
      </c>
      <c r="K416" s="8" t="s">
        <v>119</v>
      </c>
      <c r="L416" s="18" t="str">
        <f>VLOOKUP(D416,Products!$A:$C,3,FALSE)</f>
        <v>Sports</v>
      </c>
      <c r="N416" s="18" t="str">
        <f>VLOOKUP(C416,Customers!$A:$E,5,FALSE)</f>
        <v>Retail</v>
      </c>
      <c r="O416" s="18">
        <f>VLOOKUP(C416,Customers!$A:$C,3,FALSE)</f>
        <v>45</v>
      </c>
      <c r="T416" s="10">
        <v>2.2000000000000002</v>
      </c>
    </row>
    <row r="417" spans="1:20" ht="14.25" hidden="1" customHeight="1" x14ac:dyDescent="0.3">
      <c r="A417" s="8" t="s">
        <v>1477</v>
      </c>
      <c r="B417" s="9">
        <v>45407</v>
      </c>
      <c r="C417" s="8" t="s">
        <v>663</v>
      </c>
      <c r="D417" s="8" t="s">
        <v>929</v>
      </c>
      <c r="E417" s="8" t="s">
        <v>143</v>
      </c>
      <c r="F417" s="10">
        <v>9</v>
      </c>
      <c r="G417" s="10">
        <v>1090</v>
      </c>
      <c r="H417" s="10">
        <v>28.5</v>
      </c>
      <c r="I417" s="10">
        <v>7014.15</v>
      </c>
      <c r="J417" s="8" t="s">
        <v>41</v>
      </c>
      <c r="K417" s="8" t="s">
        <v>178</v>
      </c>
      <c r="L417" s="18" t="str">
        <f>VLOOKUP(D417,Products!$A:$C,3,FALSE)</f>
        <v>Home</v>
      </c>
      <c r="N417" s="18" t="str">
        <f>VLOOKUP(C417,Customers!$A:$E,5,FALSE)</f>
        <v>Retail</v>
      </c>
      <c r="O417" s="18">
        <f>VLOOKUP(C417,Customers!$A:$C,3,FALSE)</f>
        <v>52</v>
      </c>
      <c r="T417" s="10">
        <v>16.899999999999999</v>
      </c>
    </row>
    <row r="418" spans="1:20" ht="14.25" customHeight="1" x14ac:dyDescent="0.3">
      <c r="A418" s="8" t="s">
        <v>1478</v>
      </c>
      <c r="B418" s="21">
        <v>45581</v>
      </c>
      <c r="C418" s="8" t="s">
        <v>442</v>
      </c>
      <c r="D418" s="8" t="s">
        <v>929</v>
      </c>
      <c r="E418" s="8" t="s">
        <v>172</v>
      </c>
      <c r="F418" s="10">
        <v>6</v>
      </c>
      <c r="G418" s="10">
        <v>1090</v>
      </c>
      <c r="H418" s="10">
        <v>28.7</v>
      </c>
      <c r="I418" s="10">
        <v>4663.0200000000004</v>
      </c>
      <c r="J418" s="8" t="s">
        <v>41</v>
      </c>
      <c r="K418" s="8" t="s">
        <v>98</v>
      </c>
      <c r="L418" s="18" t="str">
        <f>VLOOKUP(D418,Products!$A:$C,3,FALSE)</f>
        <v>Home</v>
      </c>
      <c r="N418" s="18" t="str">
        <f>VLOOKUP(C418,Customers!$A:$E,5,FALSE)</f>
        <v>Retail</v>
      </c>
      <c r="O418" s="18">
        <f>VLOOKUP(C418,Customers!$A:$C,3,FALSE)</f>
        <v>26</v>
      </c>
      <c r="P418" s="18" t="str">
        <f>VLOOKUP(E417,Sales_Reps!$A:$C,3,FALSE)</f>
        <v>West</v>
      </c>
      <c r="Q418" s="18" t="str">
        <f>TEXT(B417,"MMM-YY")</f>
        <v>Apr-24</v>
      </c>
      <c r="R418">
        <f>VLOOKUP(D418, Products!A:D, 4, FALSE)</f>
        <v>464</v>
      </c>
      <c r="S418">
        <f>(G418-R418)/G418</f>
        <v>0.57431192660550456</v>
      </c>
      <c r="T418" s="10">
        <v>26.7</v>
      </c>
    </row>
    <row r="419" spans="1:20" ht="14.25" hidden="1" customHeight="1" x14ac:dyDescent="0.3">
      <c r="A419" s="8" t="s">
        <v>1479</v>
      </c>
      <c r="B419" s="9">
        <v>45366</v>
      </c>
      <c r="C419" s="8" t="s">
        <v>772</v>
      </c>
      <c r="D419" s="8" t="s">
        <v>898</v>
      </c>
      <c r="E419" s="8" t="s">
        <v>143</v>
      </c>
      <c r="F419" s="10">
        <v>5</v>
      </c>
      <c r="G419" s="10">
        <v>2510</v>
      </c>
      <c r="H419" s="10">
        <v>25</v>
      </c>
      <c r="I419" s="10">
        <v>9412.5</v>
      </c>
      <c r="J419" s="8" t="s">
        <v>41</v>
      </c>
      <c r="K419" s="8" t="s">
        <v>146</v>
      </c>
      <c r="L419" s="18" t="str">
        <f>VLOOKUP(D419,Products!$A:$C,3,FALSE)</f>
        <v>Apparel</v>
      </c>
      <c r="N419" s="18" t="str">
        <f>VLOOKUP(C419,Customers!$A:$E,5,FALSE)</f>
        <v>Retail</v>
      </c>
      <c r="O419" s="18">
        <f>VLOOKUP(C419,Customers!$A:$C,3,FALSE)</f>
        <v>44</v>
      </c>
      <c r="T419" s="10">
        <v>13.5</v>
      </c>
    </row>
    <row r="420" spans="1:20" ht="14.25" hidden="1" customHeight="1" x14ac:dyDescent="0.3">
      <c r="A420" s="8" t="s">
        <v>1480</v>
      </c>
      <c r="B420" s="9">
        <v>45577</v>
      </c>
      <c r="C420" s="8" t="s">
        <v>277</v>
      </c>
      <c r="D420" s="8" t="s">
        <v>120</v>
      </c>
      <c r="E420" s="8" t="s">
        <v>177</v>
      </c>
      <c r="F420" s="10">
        <v>5</v>
      </c>
      <c r="G420" s="10">
        <v>3970</v>
      </c>
      <c r="H420" s="10">
        <v>26</v>
      </c>
      <c r="I420" s="10">
        <v>14689</v>
      </c>
      <c r="J420" s="8" t="s">
        <v>41</v>
      </c>
      <c r="K420" s="8" t="s">
        <v>42</v>
      </c>
      <c r="L420" s="18" t="str">
        <f>VLOOKUP(D420,Products!$A:$C,3,FALSE)</f>
        <v>Electronics</v>
      </c>
      <c r="N420" s="18" t="str">
        <f>VLOOKUP(C420,Customers!$A:$E,5,FALSE)</f>
        <v>Retail</v>
      </c>
      <c r="O420" s="18">
        <f>VLOOKUP(C420,Customers!$A:$C,3,FALSE)</f>
        <v>43</v>
      </c>
      <c r="T420" s="10">
        <v>18.5</v>
      </c>
    </row>
    <row r="421" spans="1:20" ht="14.25" hidden="1" customHeight="1" x14ac:dyDescent="0.3">
      <c r="A421" s="8" t="s">
        <v>1481</v>
      </c>
      <c r="B421" s="9">
        <v>45333</v>
      </c>
      <c r="C421" s="8" t="s">
        <v>776</v>
      </c>
      <c r="D421" s="8" t="s">
        <v>818</v>
      </c>
      <c r="E421" s="8" t="s">
        <v>231</v>
      </c>
      <c r="F421" s="10">
        <v>9</v>
      </c>
      <c r="G421" s="10">
        <v>4070</v>
      </c>
      <c r="H421" s="10">
        <v>15.7</v>
      </c>
      <c r="I421" s="10">
        <v>30879.09</v>
      </c>
      <c r="J421" s="8" t="s">
        <v>41</v>
      </c>
      <c r="K421" s="8" t="s">
        <v>146</v>
      </c>
      <c r="L421" s="18" t="str">
        <f>VLOOKUP(D421,Products!$A:$C,3,FALSE)</f>
        <v>Grocery</v>
      </c>
      <c r="N421" s="18" t="str">
        <f>VLOOKUP(C421,Customers!$A:$E,5,FALSE)</f>
        <v>Retail</v>
      </c>
      <c r="O421" s="18">
        <f>VLOOKUP(C421,Customers!$A:$C,3,FALSE)</f>
        <v>44</v>
      </c>
      <c r="T421" s="10">
        <v>26.3</v>
      </c>
    </row>
    <row r="422" spans="1:20" ht="14.25" customHeight="1" x14ac:dyDescent="0.3">
      <c r="A422" s="8" t="s">
        <v>1482</v>
      </c>
      <c r="B422" s="21">
        <v>45418</v>
      </c>
      <c r="C422" s="8" t="s">
        <v>449</v>
      </c>
      <c r="D422" s="8" t="s">
        <v>163</v>
      </c>
      <c r="E422" s="8" t="s">
        <v>185</v>
      </c>
      <c r="F422" s="10">
        <v>6</v>
      </c>
      <c r="G422" s="10">
        <v>5490</v>
      </c>
      <c r="H422" s="10">
        <v>8.5</v>
      </c>
      <c r="I422" s="10">
        <v>30140.1</v>
      </c>
      <c r="J422" s="8" t="s">
        <v>193</v>
      </c>
      <c r="K422" s="8" t="s">
        <v>98</v>
      </c>
      <c r="L422" s="18" t="str">
        <f>VLOOKUP(D422,Products!$A:$C,3,FALSE)</f>
        <v>Home</v>
      </c>
      <c r="N422" s="18" t="str">
        <f>VLOOKUP(C422,Customers!$A:$E,5,FALSE)</f>
        <v>Retail</v>
      </c>
      <c r="O422" s="18">
        <f>VLOOKUP(C422,Customers!$A:$C,3,FALSE)</f>
        <v>24</v>
      </c>
      <c r="P422" s="18" t="str">
        <f>VLOOKUP(E421,Sales_Reps!$A:$C,3,FALSE)</f>
        <v>North</v>
      </c>
      <c r="Q422" s="18" t="str">
        <f>TEXT(B421,"MMM-YY")</f>
        <v>Feb-24</v>
      </c>
      <c r="R422">
        <f>VLOOKUP(D422, Products!A:D, 4, FALSE)</f>
        <v>2549</v>
      </c>
      <c r="S422">
        <f>(G422-R422)/G422</f>
        <v>0.53570127504553733</v>
      </c>
      <c r="T422" s="10">
        <v>11.9</v>
      </c>
    </row>
    <row r="423" spans="1:20" ht="14.25" hidden="1" customHeight="1" x14ac:dyDescent="0.3">
      <c r="A423" s="8" t="s">
        <v>1483</v>
      </c>
      <c r="B423" s="9">
        <v>45615</v>
      </c>
      <c r="C423" s="8" t="s">
        <v>340</v>
      </c>
      <c r="D423" s="8" t="s">
        <v>260</v>
      </c>
      <c r="E423" s="8" t="s">
        <v>196</v>
      </c>
      <c r="F423" s="10">
        <v>9</v>
      </c>
      <c r="G423" s="10">
        <v>1010</v>
      </c>
      <c r="H423" s="10">
        <v>3.6</v>
      </c>
      <c r="I423" s="10">
        <v>8762.76</v>
      </c>
      <c r="J423" s="8" t="s">
        <v>41</v>
      </c>
      <c r="K423" s="8" t="s">
        <v>136</v>
      </c>
      <c r="L423" s="18" t="str">
        <f>VLOOKUP(D423,Products!$A:$C,3,FALSE)</f>
        <v>Sports</v>
      </c>
      <c r="N423" s="18" t="str">
        <f>VLOOKUP(C423,Customers!$A:$E,5,FALSE)</f>
        <v>Retail</v>
      </c>
      <c r="O423" s="18">
        <f>VLOOKUP(C423,Customers!$A:$C,3,FALSE)</f>
        <v>52</v>
      </c>
      <c r="T423" s="10">
        <v>26</v>
      </c>
    </row>
    <row r="424" spans="1:20" ht="14.25" customHeight="1" x14ac:dyDescent="0.3">
      <c r="A424" s="8" t="s">
        <v>1484</v>
      </c>
      <c r="B424" s="21">
        <v>45631</v>
      </c>
      <c r="C424" s="8" t="s">
        <v>344</v>
      </c>
      <c r="D424" s="8" t="s">
        <v>124</v>
      </c>
      <c r="E424" s="8" t="s">
        <v>135</v>
      </c>
      <c r="F424" s="10">
        <v>6</v>
      </c>
      <c r="G424" s="10">
        <v>3660</v>
      </c>
      <c r="H424" s="10">
        <v>10.8</v>
      </c>
      <c r="I424" s="10">
        <v>19588.32</v>
      </c>
      <c r="J424" s="8" t="s">
        <v>41</v>
      </c>
      <c r="K424" s="8" t="s">
        <v>136</v>
      </c>
      <c r="L424" s="18" t="str">
        <f>VLOOKUP(D424,Products!$A:$C,3,FALSE)</f>
        <v>Grocery</v>
      </c>
      <c r="N424" s="18" t="str">
        <f>VLOOKUP(C424,Customers!$A:$E,5,FALSE)</f>
        <v>Retail</v>
      </c>
      <c r="O424" s="18">
        <f>VLOOKUP(C424,Customers!$A:$C,3,FALSE)</f>
        <v>37</v>
      </c>
      <c r="P424" s="18" t="str">
        <f>VLOOKUP(E423,Sales_Reps!$A:$C,3,FALSE)</f>
        <v>East</v>
      </c>
      <c r="Q424" s="18" t="str">
        <f t="shared" ref="Q424:Q426" si="92">TEXT(B423,"MMM-YY")</f>
        <v>Nov-24</v>
      </c>
      <c r="R424">
        <f>VLOOKUP(D424, Products!A:D, 4, FALSE)</f>
        <v>2214</v>
      </c>
      <c r="S424">
        <f t="shared" ref="S424:S426" si="93">(G424-R424)/G424</f>
        <v>0.39508196721311473</v>
      </c>
      <c r="T424" s="10">
        <v>18.2</v>
      </c>
    </row>
    <row r="425" spans="1:20" ht="14.25" customHeight="1" x14ac:dyDescent="0.3">
      <c r="A425" s="8" t="s">
        <v>1485</v>
      </c>
      <c r="B425" s="21">
        <v>45524</v>
      </c>
      <c r="C425" s="8" t="s">
        <v>487</v>
      </c>
      <c r="D425" s="8" t="s">
        <v>215</v>
      </c>
      <c r="E425" s="8" t="s">
        <v>221</v>
      </c>
      <c r="F425" s="10">
        <v>6</v>
      </c>
      <c r="G425" s="10">
        <v>3450</v>
      </c>
      <c r="H425" s="10">
        <v>10.7</v>
      </c>
      <c r="I425" s="10">
        <v>18485.099999999999</v>
      </c>
      <c r="J425" s="8" t="s">
        <v>41</v>
      </c>
      <c r="K425" s="8" t="s">
        <v>42</v>
      </c>
      <c r="L425" s="18" t="str">
        <f>VLOOKUP(D425,Products!$A:$C,3,FALSE)</f>
        <v>Beauty</v>
      </c>
      <c r="N425" s="18" t="str">
        <f>VLOOKUP(C425,Customers!$A:$E,5,FALSE)</f>
        <v>Retail</v>
      </c>
      <c r="O425" s="18">
        <f>VLOOKUP(C425,Customers!$A:$C,3,FALSE)</f>
        <v>22</v>
      </c>
      <c r="P425" s="18" t="str">
        <f>VLOOKUP(E424,Sales_Reps!$A:$C,3,FALSE)</f>
        <v>North</v>
      </c>
      <c r="Q425" s="18" t="str">
        <f t="shared" si="92"/>
        <v>Dec-24</v>
      </c>
      <c r="R425">
        <f>VLOOKUP(D425, Products!A:D, 4, FALSE)</f>
        <v>2420</v>
      </c>
      <c r="S425">
        <f t="shared" si="93"/>
        <v>0.29855072463768118</v>
      </c>
      <c r="T425" s="10">
        <v>3.6</v>
      </c>
    </row>
    <row r="426" spans="1:20" ht="14.25" customHeight="1" x14ac:dyDescent="0.3">
      <c r="A426" s="8" t="s">
        <v>1486</v>
      </c>
      <c r="B426" s="21">
        <v>45379</v>
      </c>
      <c r="C426" s="8" t="s">
        <v>568</v>
      </c>
      <c r="D426" s="8" t="s">
        <v>818</v>
      </c>
      <c r="E426" s="8" t="s">
        <v>865</v>
      </c>
      <c r="F426" s="10">
        <v>10</v>
      </c>
      <c r="G426" s="10">
        <v>4070</v>
      </c>
      <c r="H426" s="10">
        <v>23.4</v>
      </c>
      <c r="I426" s="10">
        <v>31176.2</v>
      </c>
      <c r="J426" s="8" t="s">
        <v>193</v>
      </c>
      <c r="K426" s="8" t="s">
        <v>98</v>
      </c>
      <c r="L426" s="18" t="str">
        <f>VLOOKUP(D426,Products!$A:$C,3,FALSE)</f>
        <v>Grocery</v>
      </c>
      <c r="N426" s="18" t="str">
        <f>VLOOKUP(C426,Customers!$A:$E,5,FALSE)</f>
        <v>Retail</v>
      </c>
      <c r="O426" s="18">
        <f>VLOOKUP(C426,Customers!$A:$C,3,FALSE)</f>
        <v>37</v>
      </c>
      <c r="P426" s="18" t="str">
        <f>VLOOKUP(E425,Sales_Reps!$A:$C,3,FALSE)</f>
        <v>South</v>
      </c>
      <c r="Q426" s="18" t="str">
        <f t="shared" si="92"/>
        <v>Aug-24</v>
      </c>
      <c r="R426">
        <f>VLOOKUP(D426, Products!A:D, 4, FALSE)</f>
        <v>2027</v>
      </c>
      <c r="S426">
        <f t="shared" si="93"/>
        <v>0.50196560196560192</v>
      </c>
      <c r="T426" s="10">
        <v>13.9</v>
      </c>
    </row>
    <row r="427" spans="1:20" ht="14.25" hidden="1" customHeight="1" x14ac:dyDescent="0.3">
      <c r="A427" s="8" t="s">
        <v>1487</v>
      </c>
      <c r="B427" s="9">
        <v>45454</v>
      </c>
      <c r="C427" s="8" t="s">
        <v>541</v>
      </c>
      <c r="D427" s="8" t="s">
        <v>211</v>
      </c>
      <c r="E427" s="8" t="s">
        <v>145</v>
      </c>
      <c r="F427" s="10">
        <v>9</v>
      </c>
      <c r="G427" s="10">
        <v>3570</v>
      </c>
      <c r="H427" s="10">
        <v>15.2</v>
      </c>
      <c r="I427" s="10">
        <v>27246.240000000002</v>
      </c>
      <c r="J427" s="8" t="s">
        <v>41</v>
      </c>
      <c r="K427" s="8" t="s">
        <v>136</v>
      </c>
      <c r="L427" s="18" t="str">
        <f>VLOOKUP(D427,Products!$A:$C,3,FALSE)</f>
        <v>Electronics</v>
      </c>
      <c r="N427" s="18" t="str">
        <f>VLOOKUP(C427,Customers!$A:$E,5,FALSE)</f>
        <v>Corporate</v>
      </c>
      <c r="O427" s="18">
        <f>VLOOKUP(C427,Customers!$A:$C,3,FALSE)</f>
        <v>41</v>
      </c>
      <c r="T427" s="10">
        <v>17.3</v>
      </c>
    </row>
    <row r="428" spans="1:20" ht="14.25" hidden="1" customHeight="1" x14ac:dyDescent="0.3">
      <c r="A428" s="8" t="s">
        <v>1488</v>
      </c>
      <c r="B428" s="9">
        <v>45562</v>
      </c>
      <c r="C428" s="8" t="s">
        <v>157</v>
      </c>
      <c r="D428" s="8" t="s">
        <v>959</v>
      </c>
      <c r="E428" s="8" t="s">
        <v>96</v>
      </c>
      <c r="F428" s="10">
        <v>10</v>
      </c>
      <c r="G428" s="10">
        <v>6940</v>
      </c>
      <c r="H428" s="10">
        <v>21.8</v>
      </c>
      <c r="I428" s="10">
        <v>54270.8</v>
      </c>
      <c r="J428" s="8" t="s">
        <v>97</v>
      </c>
      <c r="K428" s="8" t="s">
        <v>136</v>
      </c>
      <c r="L428" s="18" t="str">
        <f>VLOOKUP(D428,Products!$A:$C,3,FALSE)</f>
        <v>Sports</v>
      </c>
      <c r="N428" s="18" t="str">
        <f>VLOOKUP(C428,Customers!$A:$E,5,FALSE)</f>
        <v>Corporate</v>
      </c>
      <c r="O428" s="18">
        <f>VLOOKUP(C428,Customers!$A:$C,3,FALSE)</f>
        <v>57</v>
      </c>
      <c r="T428" s="10">
        <v>25.5</v>
      </c>
    </row>
    <row r="429" spans="1:20" ht="14.25" hidden="1" customHeight="1" x14ac:dyDescent="0.3">
      <c r="A429" s="8" t="s">
        <v>1489</v>
      </c>
      <c r="B429" s="9">
        <v>45489</v>
      </c>
      <c r="C429" s="8" t="s">
        <v>460</v>
      </c>
      <c r="D429" s="8" t="s">
        <v>242</v>
      </c>
      <c r="E429" s="8" t="s">
        <v>117</v>
      </c>
      <c r="F429" s="10">
        <v>9</v>
      </c>
      <c r="G429" s="10">
        <v>1650</v>
      </c>
      <c r="H429" s="10">
        <v>24.3</v>
      </c>
      <c r="I429" s="10">
        <v>11241.45</v>
      </c>
      <c r="J429" s="8" t="s">
        <v>41</v>
      </c>
      <c r="K429" s="8" t="s">
        <v>42</v>
      </c>
      <c r="L429" s="18" t="str">
        <f>VLOOKUP(D429,Products!$A:$C,3,FALSE)</f>
        <v>Beauty</v>
      </c>
      <c r="N429" s="18" t="str">
        <f>VLOOKUP(C429,Customers!$A:$E,5,FALSE)</f>
        <v>SMB</v>
      </c>
      <c r="O429" s="18">
        <f>VLOOKUP(C429,Customers!$A:$C,3,FALSE)</f>
        <v>60</v>
      </c>
      <c r="T429" s="10">
        <v>9.9</v>
      </c>
    </row>
    <row r="430" spans="1:20" ht="14.25" hidden="1" customHeight="1" x14ac:dyDescent="0.3">
      <c r="A430" s="8" t="s">
        <v>1490</v>
      </c>
      <c r="B430" s="9">
        <v>45624</v>
      </c>
      <c r="C430" s="8" t="s">
        <v>814</v>
      </c>
      <c r="D430" s="8" t="s">
        <v>140</v>
      </c>
      <c r="E430" s="8" t="s">
        <v>117</v>
      </c>
      <c r="F430" s="10">
        <v>10</v>
      </c>
      <c r="G430" s="10">
        <v>1430</v>
      </c>
      <c r="H430" s="10">
        <v>25.2</v>
      </c>
      <c r="I430" s="10">
        <v>10696.4</v>
      </c>
      <c r="J430" s="8" t="s">
        <v>41</v>
      </c>
      <c r="K430" s="8" t="s">
        <v>136</v>
      </c>
      <c r="L430" s="18" t="str">
        <f>VLOOKUP(D430,Products!$A:$C,3,FALSE)</f>
        <v>Electronics</v>
      </c>
      <c r="N430" s="18" t="str">
        <f>VLOOKUP(C430,Customers!$A:$E,5,FALSE)</f>
        <v>Corporate</v>
      </c>
      <c r="O430" s="18">
        <f>VLOOKUP(C430,Customers!$A:$C,3,FALSE)</f>
        <v>41</v>
      </c>
      <c r="T430" s="10">
        <v>19.600000000000001</v>
      </c>
    </row>
    <row r="431" spans="1:20" ht="14.25" customHeight="1" x14ac:dyDescent="0.3">
      <c r="A431" s="8" t="s">
        <v>1491</v>
      </c>
      <c r="B431" s="21">
        <v>45480</v>
      </c>
      <c r="C431" s="8" t="s">
        <v>494</v>
      </c>
      <c r="D431" s="8" t="s">
        <v>912</v>
      </c>
      <c r="E431" s="8" t="s">
        <v>177</v>
      </c>
      <c r="F431" s="10">
        <v>4</v>
      </c>
      <c r="G431" s="10">
        <v>4060</v>
      </c>
      <c r="H431" s="10">
        <v>1.6</v>
      </c>
      <c r="I431" s="10">
        <v>15980.16</v>
      </c>
      <c r="J431" s="8" t="s">
        <v>41</v>
      </c>
      <c r="K431" s="8" t="s">
        <v>42</v>
      </c>
      <c r="L431" s="18" t="str">
        <f>VLOOKUP(D431,Products!$A:$C,3,FALSE)</f>
        <v>Grocery</v>
      </c>
      <c r="N431" s="18" t="str">
        <f>VLOOKUP(C431,Customers!$A:$E,5,FALSE)</f>
        <v>Corporate</v>
      </c>
      <c r="O431" s="18">
        <f>VLOOKUP(C431,Customers!$A:$C,3,FALSE)</f>
        <v>31</v>
      </c>
      <c r="P431" s="18" t="str">
        <f>VLOOKUP(E430,Sales_Reps!$A:$C,3,FALSE)</f>
        <v>South</v>
      </c>
      <c r="Q431" s="18" t="str">
        <f>TEXT(B430,"MMM-YY")</f>
        <v>Nov-24</v>
      </c>
      <c r="R431">
        <f>VLOOKUP(D431, Products!A:D, 4, FALSE)</f>
        <v>2911</v>
      </c>
      <c r="S431">
        <f>(G431-R431)/G431</f>
        <v>0.28300492610837441</v>
      </c>
      <c r="T431" s="10">
        <v>1.4</v>
      </c>
    </row>
    <row r="432" spans="1:20" ht="14.25" hidden="1" customHeight="1" x14ac:dyDescent="0.3">
      <c r="A432" s="8" t="s">
        <v>1492</v>
      </c>
      <c r="B432" s="9">
        <v>45420</v>
      </c>
      <c r="C432" s="8" t="s">
        <v>796</v>
      </c>
      <c r="D432" s="8" t="s">
        <v>144</v>
      </c>
      <c r="E432" s="8" t="s">
        <v>96</v>
      </c>
      <c r="F432" s="10">
        <v>9</v>
      </c>
      <c r="G432" s="10">
        <v>370</v>
      </c>
      <c r="H432" s="10">
        <v>17</v>
      </c>
      <c r="I432" s="10">
        <v>2763.9</v>
      </c>
      <c r="J432" s="8" t="s">
        <v>41</v>
      </c>
      <c r="K432" s="8" t="s">
        <v>146</v>
      </c>
      <c r="L432" s="18" t="str">
        <f>VLOOKUP(D432,Products!$A:$C,3,FALSE)</f>
        <v>Home</v>
      </c>
      <c r="N432" s="18" t="str">
        <f>VLOOKUP(C432,Customers!$A:$E,5,FALSE)</f>
        <v>Retail</v>
      </c>
      <c r="O432" s="18">
        <f>VLOOKUP(C432,Customers!$A:$C,3,FALSE)</f>
        <v>52</v>
      </c>
      <c r="T432" s="10">
        <v>19.3</v>
      </c>
    </row>
    <row r="433" spans="1:20" ht="14.25" hidden="1" customHeight="1" x14ac:dyDescent="0.3">
      <c r="A433" s="8" t="s">
        <v>1493</v>
      </c>
      <c r="B433" s="9">
        <v>45322</v>
      </c>
      <c r="C433" s="8" t="s">
        <v>598</v>
      </c>
      <c r="D433" s="8" t="s">
        <v>789</v>
      </c>
      <c r="E433" s="8" t="s">
        <v>177</v>
      </c>
      <c r="F433" s="10">
        <v>1</v>
      </c>
      <c r="G433" s="10">
        <v>1540</v>
      </c>
      <c r="H433" s="10">
        <v>24</v>
      </c>
      <c r="I433" s="10">
        <v>1170.4000000000001</v>
      </c>
      <c r="J433" s="8" t="s">
        <v>147</v>
      </c>
      <c r="K433" s="8" t="s">
        <v>42</v>
      </c>
      <c r="L433" s="18" t="str">
        <f>VLOOKUP(D433,Products!$A:$C,3,FALSE)</f>
        <v>Beauty</v>
      </c>
      <c r="N433" s="18" t="str">
        <f>VLOOKUP(C433,Customers!$A:$E,5,FALSE)</f>
        <v>Corporate</v>
      </c>
      <c r="O433" s="18">
        <f>VLOOKUP(C433,Customers!$A:$C,3,FALSE)</f>
        <v>52</v>
      </c>
      <c r="T433" s="10">
        <v>10.1</v>
      </c>
    </row>
    <row r="434" spans="1:20" ht="14.25" customHeight="1" x14ac:dyDescent="0.3">
      <c r="A434" s="8" t="s">
        <v>868</v>
      </c>
      <c r="B434" s="21">
        <v>45382</v>
      </c>
      <c r="C434" s="8" t="s">
        <v>118</v>
      </c>
      <c r="D434" s="8" t="s">
        <v>184</v>
      </c>
      <c r="E434" s="8" t="s">
        <v>145</v>
      </c>
      <c r="F434" s="10">
        <v>9</v>
      </c>
      <c r="G434" s="10">
        <v>2600</v>
      </c>
      <c r="H434" s="10">
        <v>7.7</v>
      </c>
      <c r="I434" s="10">
        <v>21598.2</v>
      </c>
      <c r="J434" s="8" t="s">
        <v>41</v>
      </c>
      <c r="K434" s="8" t="s">
        <v>42</v>
      </c>
      <c r="L434" s="18" t="str">
        <f>VLOOKUP(D434,Products!$A:$C,3,FALSE)</f>
        <v>Electronics</v>
      </c>
      <c r="N434" s="18" t="str">
        <f>VLOOKUP(C434,Customers!$A:$E,5,FALSE)</f>
        <v>SMB</v>
      </c>
      <c r="O434" s="18">
        <f>VLOOKUP(C434,Customers!$A:$C,3,FALSE)</f>
        <v>24</v>
      </c>
      <c r="P434" s="18" t="str">
        <f>VLOOKUP(E433,Sales_Reps!$A:$C,3,FALSE)</f>
        <v>South</v>
      </c>
      <c r="Q434" s="18" t="str">
        <f t="shared" ref="Q434:Q436" si="94">TEXT(B433,"MMM-YY")</f>
        <v>Jan-24</v>
      </c>
      <c r="R434">
        <f>VLOOKUP(D434, Products!A:D, 4, FALSE)</f>
        <v>1052</v>
      </c>
      <c r="S434">
        <f t="shared" ref="S434:S436" si="95">(G434-R434)/G434</f>
        <v>0.5953846153846154</v>
      </c>
      <c r="T434" s="10">
        <v>7.9</v>
      </c>
    </row>
    <row r="435" spans="1:20" ht="14.25" customHeight="1" x14ac:dyDescent="0.3">
      <c r="A435" s="8" t="s">
        <v>1494</v>
      </c>
      <c r="B435" s="21">
        <v>45497</v>
      </c>
      <c r="C435" s="8" t="s">
        <v>553</v>
      </c>
      <c r="D435" s="8" t="s">
        <v>898</v>
      </c>
      <c r="E435" s="8" t="s">
        <v>301</v>
      </c>
      <c r="F435" s="10">
        <v>8</v>
      </c>
      <c r="G435" s="10">
        <v>2510</v>
      </c>
      <c r="H435" s="10">
        <v>3.7</v>
      </c>
      <c r="I435" s="10">
        <v>19337.04</v>
      </c>
      <c r="J435" s="8" t="s">
        <v>41</v>
      </c>
      <c r="K435" s="8" t="s">
        <v>98</v>
      </c>
      <c r="L435" s="18" t="str">
        <f>VLOOKUP(D435,Products!$A:$C,3,FALSE)</f>
        <v>Apparel</v>
      </c>
      <c r="N435" s="18" t="str">
        <f>VLOOKUP(C435,Customers!$A:$E,5,FALSE)</f>
        <v>SMB</v>
      </c>
      <c r="O435" s="18">
        <f>VLOOKUP(C435,Customers!$A:$C,3,FALSE)</f>
        <v>26</v>
      </c>
      <c r="P435" s="18" t="str">
        <f>VLOOKUP(E434,Sales_Reps!$A:$C,3,FALSE)</f>
        <v>West</v>
      </c>
      <c r="Q435" s="18" t="str">
        <f t="shared" si="94"/>
        <v>Mar-24</v>
      </c>
      <c r="R435">
        <f>VLOOKUP(D435, Products!A:D, 4, FALSE)</f>
        <v>1075</v>
      </c>
      <c r="S435">
        <f t="shared" si="95"/>
        <v>0.57171314741035861</v>
      </c>
      <c r="T435" s="10">
        <v>20.100000000000001</v>
      </c>
    </row>
    <row r="436" spans="1:20" ht="14.25" customHeight="1" x14ac:dyDescent="0.3">
      <c r="A436" s="8" t="s">
        <v>860</v>
      </c>
      <c r="B436" s="21">
        <v>45510</v>
      </c>
      <c r="C436" s="8" t="s">
        <v>494</v>
      </c>
      <c r="D436" s="8" t="s">
        <v>230</v>
      </c>
      <c r="E436" s="8" t="s">
        <v>200</v>
      </c>
      <c r="F436" s="10">
        <v>6</v>
      </c>
      <c r="G436" s="10">
        <v>5330</v>
      </c>
      <c r="H436" s="10">
        <v>8.4</v>
      </c>
      <c r="I436" s="10">
        <v>29293.68</v>
      </c>
      <c r="J436" s="8" t="s">
        <v>41</v>
      </c>
      <c r="K436" s="8" t="s">
        <v>42</v>
      </c>
      <c r="L436" s="18" t="str">
        <f>VLOOKUP(D436,Products!$A:$C,3,FALSE)</f>
        <v>Electronics</v>
      </c>
      <c r="N436" s="18" t="str">
        <f>VLOOKUP(C436,Customers!$A:$E,5,FALSE)</f>
        <v>Corporate</v>
      </c>
      <c r="O436" s="18">
        <f>VLOOKUP(C436,Customers!$A:$C,3,FALSE)</f>
        <v>31</v>
      </c>
      <c r="P436" s="18" t="str">
        <f>VLOOKUP(E435,Sales_Reps!$A:$C,3,FALSE)</f>
        <v>South</v>
      </c>
      <c r="Q436" s="18" t="str">
        <f t="shared" si="94"/>
        <v>Jul-24</v>
      </c>
      <c r="R436">
        <f>VLOOKUP(D436, Products!A:D, 4, FALSE)</f>
        <v>2405</v>
      </c>
      <c r="S436">
        <f t="shared" si="95"/>
        <v>0.54878048780487809</v>
      </c>
      <c r="T436" s="10">
        <v>9.4</v>
      </c>
    </row>
    <row r="437" spans="1:20" ht="14.25" hidden="1" customHeight="1" x14ac:dyDescent="0.3">
      <c r="A437" s="8" t="s">
        <v>1495</v>
      </c>
      <c r="B437" s="9">
        <v>45522</v>
      </c>
      <c r="C437" s="8" t="s">
        <v>667</v>
      </c>
      <c r="D437" s="8" t="s">
        <v>926</v>
      </c>
      <c r="E437" s="8" t="s">
        <v>117</v>
      </c>
      <c r="F437" s="10">
        <v>5</v>
      </c>
      <c r="G437" s="10">
        <v>5080</v>
      </c>
      <c r="H437" s="10">
        <v>10.3</v>
      </c>
      <c r="I437" s="10">
        <v>22783.8</v>
      </c>
      <c r="J437" s="8" t="s">
        <v>41</v>
      </c>
      <c r="K437" s="8" t="s">
        <v>136</v>
      </c>
      <c r="L437" s="18" t="str">
        <f>VLOOKUP(D437,Products!$A:$C,3,FALSE)</f>
        <v>Home</v>
      </c>
      <c r="N437" s="18" t="str">
        <f>VLOOKUP(C437,Customers!$A:$E,5,FALSE)</f>
        <v>Retail</v>
      </c>
      <c r="O437" s="18">
        <f>VLOOKUP(C437,Customers!$A:$C,3,FALSE)</f>
        <v>55</v>
      </c>
      <c r="T437" s="10">
        <v>29</v>
      </c>
    </row>
    <row r="438" spans="1:20" ht="14.25" hidden="1" customHeight="1" x14ac:dyDescent="0.3">
      <c r="A438" s="8" t="s">
        <v>1496</v>
      </c>
      <c r="B438" s="9">
        <v>45381</v>
      </c>
      <c r="C438" s="8" t="s">
        <v>620</v>
      </c>
      <c r="D438" s="8" t="s">
        <v>818</v>
      </c>
      <c r="E438" s="8" t="s">
        <v>145</v>
      </c>
      <c r="F438" s="10">
        <v>3</v>
      </c>
      <c r="G438" s="10">
        <v>4070</v>
      </c>
      <c r="H438" s="10">
        <v>23.7</v>
      </c>
      <c r="I438" s="10">
        <v>9316.23</v>
      </c>
      <c r="J438" s="8" t="s">
        <v>41</v>
      </c>
      <c r="K438" s="8" t="s">
        <v>136</v>
      </c>
      <c r="L438" s="18" t="str">
        <f>VLOOKUP(D438,Products!$A:$C,3,FALSE)</f>
        <v>Grocery</v>
      </c>
      <c r="N438" s="18" t="str">
        <f>VLOOKUP(C438,Customers!$A:$E,5,FALSE)</f>
        <v>SMB</v>
      </c>
      <c r="O438" s="18">
        <f>VLOOKUP(C438,Customers!$A:$C,3,FALSE)</f>
        <v>42</v>
      </c>
      <c r="T438" s="10">
        <v>23.8</v>
      </c>
    </row>
    <row r="439" spans="1:20" ht="14.25" hidden="1" customHeight="1" x14ac:dyDescent="0.3">
      <c r="A439" s="8" t="s">
        <v>1497</v>
      </c>
      <c r="B439" s="9">
        <v>45511</v>
      </c>
      <c r="C439" s="8" t="s">
        <v>319</v>
      </c>
      <c r="D439" s="8" t="s">
        <v>896</v>
      </c>
      <c r="E439" s="8" t="s">
        <v>745</v>
      </c>
      <c r="F439" s="10">
        <v>4</v>
      </c>
      <c r="G439" s="10">
        <v>620</v>
      </c>
      <c r="H439" s="10">
        <v>18.8</v>
      </c>
      <c r="I439" s="10">
        <v>2013.76</v>
      </c>
      <c r="J439" s="8" t="s">
        <v>41</v>
      </c>
      <c r="K439" s="8" t="s">
        <v>178</v>
      </c>
      <c r="L439" s="18" t="str">
        <f>VLOOKUP(D439,Products!$A:$C,3,FALSE)</f>
        <v>Apparel</v>
      </c>
      <c r="N439" s="18" t="str">
        <f>VLOOKUP(C439,Customers!$A:$E,5,FALSE)</f>
        <v>Corporate</v>
      </c>
      <c r="O439" s="18">
        <f>VLOOKUP(C439,Customers!$A:$C,3,FALSE)</f>
        <v>56</v>
      </c>
      <c r="T439" s="10">
        <v>29.7</v>
      </c>
    </row>
    <row r="440" spans="1:20" ht="14.25" hidden="1" customHeight="1" x14ac:dyDescent="0.3">
      <c r="A440" s="8" t="s">
        <v>1498</v>
      </c>
      <c r="B440" s="9">
        <v>45628</v>
      </c>
      <c r="C440" s="8" t="s">
        <v>715</v>
      </c>
      <c r="D440" s="8" t="s">
        <v>181</v>
      </c>
      <c r="E440" s="8" t="s">
        <v>121</v>
      </c>
      <c r="F440" s="10">
        <v>10</v>
      </c>
      <c r="G440" s="10">
        <v>2640</v>
      </c>
      <c r="H440" s="10">
        <v>12.7</v>
      </c>
      <c r="I440" s="10">
        <v>23047.200000000001</v>
      </c>
      <c r="J440" s="8" t="s">
        <v>41</v>
      </c>
      <c r="K440" s="8" t="s">
        <v>42</v>
      </c>
      <c r="L440" s="18" t="str">
        <f>VLOOKUP(D440,Products!$A:$C,3,FALSE)</f>
        <v>Electronics</v>
      </c>
      <c r="N440" s="18" t="str">
        <f>VLOOKUP(C440,Customers!$A:$E,5,FALSE)</f>
        <v>SMB</v>
      </c>
      <c r="O440" s="18">
        <f>VLOOKUP(C440,Customers!$A:$C,3,FALSE)</f>
        <v>59</v>
      </c>
      <c r="T440" s="10">
        <v>5.4</v>
      </c>
    </row>
    <row r="441" spans="1:20" ht="14.25" hidden="1" customHeight="1" x14ac:dyDescent="0.3">
      <c r="A441" s="8" t="s">
        <v>1499</v>
      </c>
      <c r="B441" s="9">
        <v>45326</v>
      </c>
      <c r="C441" s="8" t="s">
        <v>513</v>
      </c>
      <c r="D441" s="8" t="s">
        <v>818</v>
      </c>
      <c r="E441" s="8" t="s">
        <v>143</v>
      </c>
      <c r="F441" s="10">
        <v>2</v>
      </c>
      <c r="G441" s="10">
        <v>4070</v>
      </c>
      <c r="H441" s="10">
        <v>29</v>
      </c>
      <c r="I441" s="10">
        <v>5779.4</v>
      </c>
      <c r="J441" s="8" t="s">
        <v>41</v>
      </c>
      <c r="K441" s="8" t="s">
        <v>136</v>
      </c>
      <c r="L441" s="18" t="str">
        <f>VLOOKUP(D441,Products!$A:$C,3,FALSE)</f>
        <v>Grocery</v>
      </c>
      <c r="N441" s="18" t="str">
        <f>VLOOKUP(C441,Customers!$A:$E,5,FALSE)</f>
        <v>SMB</v>
      </c>
      <c r="O441" s="18">
        <f>VLOOKUP(C441,Customers!$A:$C,3,FALSE)</f>
        <v>43</v>
      </c>
      <c r="T441" s="10">
        <v>6.2</v>
      </c>
    </row>
    <row r="442" spans="1:20" ht="14.25" hidden="1" customHeight="1" x14ac:dyDescent="0.3">
      <c r="A442" s="8" t="s">
        <v>1500</v>
      </c>
      <c r="B442" s="9">
        <v>45561</v>
      </c>
      <c r="C442" s="8" t="s">
        <v>275</v>
      </c>
      <c r="D442" s="8" t="s">
        <v>260</v>
      </c>
      <c r="E442" s="8" t="s">
        <v>38</v>
      </c>
      <c r="F442" s="10">
        <v>8</v>
      </c>
      <c r="G442" s="10">
        <v>1010</v>
      </c>
      <c r="H442" s="10">
        <v>25.4</v>
      </c>
      <c r="I442" s="10">
        <v>6027.68</v>
      </c>
      <c r="J442" s="8" t="s">
        <v>41</v>
      </c>
      <c r="K442" s="8" t="s">
        <v>98</v>
      </c>
      <c r="L442" s="18" t="str">
        <f>VLOOKUP(D442,Products!$A:$C,3,FALSE)</f>
        <v>Sports</v>
      </c>
      <c r="N442" s="18" t="str">
        <f>VLOOKUP(C442,Customers!$A:$E,5,FALSE)</f>
        <v>Corporate</v>
      </c>
      <c r="O442" s="18">
        <f>VLOOKUP(C442,Customers!$A:$C,3,FALSE)</f>
        <v>41</v>
      </c>
      <c r="T442" s="10">
        <v>5.2</v>
      </c>
    </row>
    <row r="443" spans="1:20" ht="14.25" customHeight="1" x14ac:dyDescent="0.3">
      <c r="A443" s="8" t="s">
        <v>1501</v>
      </c>
      <c r="B443" s="21">
        <v>45629</v>
      </c>
      <c r="C443" s="8" t="s">
        <v>391</v>
      </c>
      <c r="D443" s="8" t="s">
        <v>192</v>
      </c>
      <c r="E443" s="8" t="s">
        <v>96</v>
      </c>
      <c r="F443" s="10">
        <v>8</v>
      </c>
      <c r="G443" s="10">
        <v>3250</v>
      </c>
      <c r="H443" s="10">
        <v>5.4</v>
      </c>
      <c r="I443" s="10">
        <v>24596</v>
      </c>
      <c r="J443" s="8" t="s">
        <v>41</v>
      </c>
      <c r="K443" s="8" t="s">
        <v>42</v>
      </c>
      <c r="L443" s="18" t="str">
        <f>VLOOKUP(D443,Products!$A:$C,3,FALSE)</f>
        <v>Home</v>
      </c>
      <c r="N443" s="18" t="str">
        <f>VLOOKUP(C443,Customers!$A:$E,5,FALSE)</f>
        <v>Corporate</v>
      </c>
      <c r="O443" s="18">
        <f>VLOOKUP(C443,Customers!$A:$C,3,FALSE)</f>
        <v>29</v>
      </c>
      <c r="P443" s="18" t="str">
        <f>VLOOKUP(E442,Sales_Reps!$A:$C,3,FALSE)</f>
        <v>North</v>
      </c>
      <c r="Q443" s="18" t="str">
        <f>TEXT(B442,"MMM-YY")</f>
        <v>Sep-24</v>
      </c>
      <c r="R443">
        <f>VLOOKUP(D443, Products!A:D, 4, FALSE)</f>
        <v>1556</v>
      </c>
      <c r="S443">
        <f>(G443-R443)/G443</f>
        <v>0.52123076923076928</v>
      </c>
      <c r="T443" s="10">
        <v>7.3</v>
      </c>
    </row>
    <row r="444" spans="1:20" ht="14.25" hidden="1" customHeight="1" x14ac:dyDescent="0.3">
      <c r="A444" s="8" t="s">
        <v>1502</v>
      </c>
      <c r="B444" s="9">
        <v>45460</v>
      </c>
      <c r="C444" s="8" t="s">
        <v>702</v>
      </c>
      <c r="D444" s="8" t="s">
        <v>140</v>
      </c>
      <c r="E444" s="8" t="s">
        <v>214</v>
      </c>
      <c r="F444" s="10">
        <v>7</v>
      </c>
      <c r="G444" s="10">
        <v>1430</v>
      </c>
      <c r="H444" s="10">
        <v>19.3</v>
      </c>
      <c r="I444" s="10">
        <v>8078.07</v>
      </c>
      <c r="J444" s="8" t="s">
        <v>41</v>
      </c>
      <c r="K444" s="8" t="s">
        <v>42</v>
      </c>
      <c r="L444" s="18" t="str">
        <f>VLOOKUP(D444,Products!$A:$C,3,FALSE)</f>
        <v>Electronics</v>
      </c>
      <c r="N444" s="18" t="str">
        <f>VLOOKUP(C444,Customers!$A:$E,5,FALSE)</f>
        <v>Corporate</v>
      </c>
      <c r="O444" s="18">
        <f>VLOOKUP(C444,Customers!$A:$C,3,FALSE)</f>
        <v>48</v>
      </c>
      <c r="T444" s="10">
        <v>10.6</v>
      </c>
    </row>
    <row r="445" spans="1:20" ht="14.25" hidden="1" customHeight="1" x14ac:dyDescent="0.3">
      <c r="A445" s="8" t="s">
        <v>1503</v>
      </c>
      <c r="B445" s="9">
        <v>45597</v>
      </c>
      <c r="C445" s="8" t="s">
        <v>573</v>
      </c>
      <c r="D445" s="8" t="s">
        <v>867</v>
      </c>
      <c r="E445" s="8" t="s">
        <v>167</v>
      </c>
      <c r="F445" s="10">
        <v>9</v>
      </c>
      <c r="G445" s="10">
        <v>3020</v>
      </c>
      <c r="H445" s="10">
        <v>15</v>
      </c>
      <c r="I445" s="10">
        <v>23103</v>
      </c>
      <c r="J445" s="8" t="s">
        <v>41</v>
      </c>
      <c r="K445" s="8" t="s">
        <v>136</v>
      </c>
      <c r="L445" s="18" t="str">
        <f>VLOOKUP(D445,Products!$A:$C,3,FALSE)</f>
        <v>Beauty</v>
      </c>
      <c r="N445" s="18" t="str">
        <f>VLOOKUP(C445,Customers!$A:$E,5,FALSE)</f>
        <v>SMB</v>
      </c>
      <c r="O445" s="18">
        <f>VLOOKUP(C445,Customers!$A:$C,3,FALSE)</f>
        <v>44</v>
      </c>
      <c r="T445" s="10">
        <v>21.3</v>
      </c>
    </row>
    <row r="446" spans="1:20" ht="14.25" hidden="1" customHeight="1" x14ac:dyDescent="0.3">
      <c r="A446" s="8" t="s">
        <v>1504</v>
      </c>
      <c r="B446" s="9">
        <v>45324</v>
      </c>
      <c r="C446" s="8" t="s">
        <v>1505</v>
      </c>
      <c r="D446" s="8" t="s">
        <v>131</v>
      </c>
      <c r="E446" s="8" t="s">
        <v>261</v>
      </c>
      <c r="F446" s="10">
        <v>2</v>
      </c>
      <c r="G446" s="10">
        <v>2660</v>
      </c>
      <c r="H446" s="10">
        <v>21.4</v>
      </c>
      <c r="I446" s="10">
        <v>4181.5200000000004</v>
      </c>
      <c r="J446" s="8" t="s">
        <v>41</v>
      </c>
      <c r="K446" s="8" t="s">
        <v>98</v>
      </c>
      <c r="L446" s="18" t="str">
        <f>VLOOKUP(D446,Products!$A:$C,3,FALSE)</f>
        <v>Electronics</v>
      </c>
      <c r="N446" s="18" t="e">
        <f>VLOOKUP(C446,Customers!$A:$E,5,FALSE)</f>
        <v>#N/A</v>
      </c>
      <c r="O446" s="18" t="e">
        <f>VLOOKUP(C446,Customers!$A:$C,3,FALSE)</f>
        <v>#N/A</v>
      </c>
      <c r="T446" s="10">
        <v>25.8</v>
      </c>
    </row>
    <row r="447" spans="1:20" ht="14.25" customHeight="1" x14ac:dyDescent="0.3">
      <c r="A447" s="8" t="s">
        <v>1506</v>
      </c>
      <c r="B447" s="21">
        <v>45490</v>
      </c>
      <c r="C447" s="8" t="s">
        <v>258</v>
      </c>
      <c r="D447" s="8" t="s">
        <v>211</v>
      </c>
      <c r="E447" s="8" t="s">
        <v>158</v>
      </c>
      <c r="F447" s="10">
        <v>10</v>
      </c>
      <c r="G447" s="10">
        <v>3570</v>
      </c>
      <c r="H447" s="10">
        <v>20.3</v>
      </c>
      <c r="I447" s="10">
        <v>28452.9</v>
      </c>
      <c r="J447" s="8" t="s">
        <v>41</v>
      </c>
      <c r="K447" s="8" t="s">
        <v>119</v>
      </c>
      <c r="L447" s="18" t="str">
        <f>VLOOKUP(D447,Products!$A:$C,3,FALSE)</f>
        <v>Electronics</v>
      </c>
      <c r="N447" s="18" t="str">
        <f>VLOOKUP(C447,Customers!$A:$E,5,FALSE)</f>
        <v>Retail</v>
      </c>
      <c r="O447" s="18">
        <f>VLOOKUP(C447,Customers!$A:$C,3,FALSE)</f>
        <v>31</v>
      </c>
      <c r="P447" s="18" t="str">
        <f>VLOOKUP(E446,Sales_Reps!$A:$C,3,FALSE)</f>
        <v>North</v>
      </c>
      <c r="Q447" s="18" t="str">
        <f>TEXT(B446,"MMM-YY")</f>
        <v>Feb-24</v>
      </c>
      <c r="R447">
        <f>VLOOKUP(D447, Products!A:D, 4, FALSE)</f>
        <v>1665</v>
      </c>
      <c r="S447">
        <f>(G447-R447)/G447</f>
        <v>0.53361344537815125</v>
      </c>
      <c r="T447" s="10">
        <v>24.6</v>
      </c>
    </row>
    <row r="448" spans="1:20" ht="14.25" hidden="1" customHeight="1" x14ac:dyDescent="0.3">
      <c r="A448" s="8" t="s">
        <v>1507</v>
      </c>
      <c r="B448" s="9">
        <v>45330</v>
      </c>
      <c r="C448" s="8" t="s">
        <v>357</v>
      </c>
      <c r="D448" s="8" t="s">
        <v>247</v>
      </c>
      <c r="E448" s="8" t="s">
        <v>177</v>
      </c>
      <c r="F448" s="10">
        <v>4</v>
      </c>
      <c r="G448" s="10">
        <v>3350</v>
      </c>
      <c r="H448" s="10">
        <v>28.1</v>
      </c>
      <c r="I448" s="10">
        <v>9634.6</v>
      </c>
      <c r="J448" s="8" t="s">
        <v>41</v>
      </c>
      <c r="K448" s="8" t="s">
        <v>42</v>
      </c>
      <c r="L448" s="18" t="str">
        <f>VLOOKUP(D448,Products!$A:$C,3,FALSE)</f>
        <v>Beauty</v>
      </c>
      <c r="N448" s="18" t="str">
        <f>VLOOKUP(C448,Customers!$A:$E,5,FALSE)</f>
        <v>Corporate</v>
      </c>
      <c r="O448" s="18">
        <f>VLOOKUP(C448,Customers!$A:$C,3,FALSE)</f>
        <v>47</v>
      </c>
      <c r="T448" s="10">
        <v>2.9</v>
      </c>
    </row>
    <row r="449" spans="1:20" ht="14.25" hidden="1" customHeight="1" x14ac:dyDescent="0.3">
      <c r="A449" s="8" t="s">
        <v>1508</v>
      </c>
      <c r="B449" s="9">
        <v>45336</v>
      </c>
      <c r="C449" s="8" t="s">
        <v>123</v>
      </c>
      <c r="D449" s="8" t="s">
        <v>227</v>
      </c>
      <c r="E449" s="8" t="s">
        <v>216</v>
      </c>
      <c r="F449" s="10">
        <v>1</v>
      </c>
      <c r="G449" s="10">
        <v>2480</v>
      </c>
      <c r="H449" s="10">
        <v>13.5</v>
      </c>
      <c r="I449" s="10">
        <v>2145.1999999999998</v>
      </c>
      <c r="J449" s="8" t="s">
        <v>41</v>
      </c>
      <c r="K449" s="8" t="s">
        <v>119</v>
      </c>
      <c r="L449" s="18" t="str">
        <f>VLOOKUP(D449,Products!$A:$C,3,FALSE)</f>
        <v>Apparel</v>
      </c>
      <c r="N449" s="18" t="str">
        <f>VLOOKUP(C449,Customers!$A:$E,5,FALSE)</f>
        <v>Corporate</v>
      </c>
      <c r="O449" s="18">
        <f>VLOOKUP(C449,Customers!$A:$C,3,FALSE)</f>
        <v>46</v>
      </c>
      <c r="T449" s="10">
        <v>4.7</v>
      </c>
    </row>
    <row r="450" spans="1:20" ht="14.25" customHeight="1" x14ac:dyDescent="0.3">
      <c r="A450" s="8" t="s">
        <v>1509</v>
      </c>
      <c r="B450" s="21">
        <v>45649</v>
      </c>
      <c r="C450" s="8" t="s">
        <v>290</v>
      </c>
      <c r="D450" s="8" t="s">
        <v>954</v>
      </c>
      <c r="E450" s="8" t="s">
        <v>301</v>
      </c>
      <c r="F450" s="10">
        <v>10</v>
      </c>
      <c r="G450" s="10">
        <v>5410</v>
      </c>
      <c r="H450" s="10">
        <v>26.1</v>
      </c>
      <c r="I450" s="10">
        <v>39979.9</v>
      </c>
      <c r="J450" s="8" t="s">
        <v>41</v>
      </c>
      <c r="K450" s="8" t="s">
        <v>119</v>
      </c>
      <c r="L450" s="18" t="str">
        <f>VLOOKUP(D450,Products!$A:$C,3,FALSE)</f>
        <v>Sports</v>
      </c>
      <c r="N450" s="18" t="str">
        <f>VLOOKUP(C450,Customers!$A:$E,5,FALSE)</f>
        <v>SMB</v>
      </c>
      <c r="O450" s="18">
        <f>VLOOKUP(C450,Customers!$A:$C,3,FALSE)</f>
        <v>38</v>
      </c>
      <c r="P450" s="18" t="str">
        <f>VLOOKUP(E449,Sales_Reps!$A:$C,3,FALSE)</f>
        <v>East</v>
      </c>
      <c r="Q450" s="18" t="str">
        <f>TEXT(B449,"MMM-YY")</f>
        <v>Feb-24</v>
      </c>
      <c r="R450">
        <f>VLOOKUP(D450, Products!A:D, 4, FALSE)</f>
        <v>2265</v>
      </c>
      <c r="S450">
        <f>(G450-R450)/G450</f>
        <v>0.58133086876155271</v>
      </c>
      <c r="T450" s="10">
        <v>10.7</v>
      </c>
    </row>
    <row r="451" spans="1:20" ht="14.25" hidden="1" customHeight="1" x14ac:dyDescent="0.3">
      <c r="A451" s="8" t="s">
        <v>1510</v>
      </c>
      <c r="B451" s="9">
        <v>45586</v>
      </c>
      <c r="C451" s="8" t="s">
        <v>268</v>
      </c>
      <c r="D451" s="8" t="s">
        <v>389</v>
      </c>
      <c r="E451" s="8" t="s">
        <v>208</v>
      </c>
      <c r="F451" s="10">
        <v>2</v>
      </c>
      <c r="G451" s="10">
        <v>660</v>
      </c>
      <c r="H451" s="10">
        <v>5</v>
      </c>
      <c r="I451" s="10">
        <v>1254</v>
      </c>
      <c r="J451" s="8" t="s">
        <v>41</v>
      </c>
      <c r="K451" s="8" t="s">
        <v>136</v>
      </c>
      <c r="L451" s="18" t="str">
        <f>VLOOKUP(D451,Products!$A:$C,3,FALSE)</f>
        <v>Home</v>
      </c>
      <c r="N451" s="18" t="str">
        <f>VLOOKUP(C451,Customers!$A:$E,5,FALSE)</f>
        <v>Retail</v>
      </c>
      <c r="O451" s="18">
        <f>VLOOKUP(C451,Customers!$A:$C,3,FALSE)</f>
        <v>47</v>
      </c>
      <c r="T451" s="10">
        <v>27.8</v>
      </c>
    </row>
    <row r="452" spans="1:20" ht="14.25" hidden="1" customHeight="1" x14ac:dyDescent="0.3">
      <c r="A452" s="8" t="s">
        <v>1511</v>
      </c>
      <c r="B452" s="9">
        <v>45647</v>
      </c>
      <c r="C452" s="8" t="s">
        <v>379</v>
      </c>
      <c r="D452" s="8" t="s">
        <v>260</v>
      </c>
      <c r="E452" s="8" t="s">
        <v>38</v>
      </c>
      <c r="F452" s="10">
        <v>10</v>
      </c>
      <c r="G452" s="10">
        <v>1010</v>
      </c>
      <c r="H452" s="10">
        <v>10</v>
      </c>
      <c r="I452" s="10">
        <v>9090</v>
      </c>
      <c r="J452" s="8" t="s">
        <v>41</v>
      </c>
      <c r="K452" s="8" t="s">
        <v>146</v>
      </c>
      <c r="L452" s="18" t="str">
        <f>VLOOKUP(D452,Products!$A:$C,3,FALSE)</f>
        <v>Sports</v>
      </c>
      <c r="N452" s="18" t="str">
        <f>VLOOKUP(C452,Customers!$A:$E,5,FALSE)</f>
        <v>Corporate</v>
      </c>
      <c r="O452" s="18">
        <f>VLOOKUP(C452,Customers!$A:$C,3,FALSE)</f>
        <v>62</v>
      </c>
      <c r="T452" s="10">
        <v>12</v>
      </c>
    </row>
    <row r="453" spans="1:20" ht="14.25" hidden="1" customHeight="1" x14ac:dyDescent="0.3">
      <c r="A453" s="8" t="s">
        <v>1512</v>
      </c>
      <c r="B453" s="9">
        <v>45496</v>
      </c>
      <c r="C453" s="8" t="s">
        <v>342</v>
      </c>
      <c r="D453" s="8" t="s">
        <v>939</v>
      </c>
      <c r="E453" s="8" t="s">
        <v>231</v>
      </c>
      <c r="F453" s="10">
        <v>3</v>
      </c>
      <c r="G453" s="10">
        <v>2290</v>
      </c>
      <c r="H453" s="10">
        <v>8.9</v>
      </c>
      <c r="I453" s="10">
        <v>6258.57</v>
      </c>
      <c r="J453" s="8" t="s">
        <v>41</v>
      </c>
      <c r="K453" s="8" t="s">
        <v>146</v>
      </c>
      <c r="L453" s="18" t="str">
        <f>VLOOKUP(D453,Products!$A:$C,3,FALSE)</f>
        <v>Beauty</v>
      </c>
      <c r="N453" s="18" t="str">
        <f>VLOOKUP(C453,Customers!$A:$E,5,FALSE)</f>
        <v>Retail</v>
      </c>
      <c r="O453" s="18">
        <f>VLOOKUP(C453,Customers!$A:$C,3,FALSE)</f>
        <v>57</v>
      </c>
      <c r="T453" s="10">
        <v>4.5999999999999996</v>
      </c>
    </row>
    <row r="454" spans="1:20" ht="14.25" customHeight="1" x14ac:dyDescent="0.3">
      <c r="A454" s="8" t="s">
        <v>1513</v>
      </c>
      <c r="B454" s="21">
        <v>45369</v>
      </c>
      <c r="C454" s="8" t="s">
        <v>244</v>
      </c>
      <c r="D454" s="8" t="s">
        <v>215</v>
      </c>
      <c r="E454" s="8" t="s">
        <v>231</v>
      </c>
      <c r="F454" s="10">
        <v>9</v>
      </c>
      <c r="G454" s="10">
        <v>3450</v>
      </c>
      <c r="H454" s="10">
        <v>24.3</v>
      </c>
      <c r="I454" s="10">
        <v>23504.85</v>
      </c>
      <c r="J454" s="8" t="s">
        <v>41</v>
      </c>
      <c r="K454" s="8" t="s">
        <v>119</v>
      </c>
      <c r="L454" s="18" t="str">
        <f>VLOOKUP(D454,Products!$A:$C,3,FALSE)</f>
        <v>Beauty</v>
      </c>
      <c r="N454" s="18" t="str">
        <f>VLOOKUP(C454,Customers!$A:$E,5,FALSE)</f>
        <v>Retail</v>
      </c>
      <c r="O454" s="18">
        <f>VLOOKUP(C454,Customers!$A:$C,3,FALSE)</f>
        <v>24</v>
      </c>
      <c r="P454" s="18" t="str">
        <f>VLOOKUP(E453,Sales_Reps!$A:$C,3,FALSE)</f>
        <v>North</v>
      </c>
      <c r="Q454" s="18" t="str">
        <f t="shared" ref="Q454:Q455" si="96">TEXT(B453,"MMM-YY")</f>
        <v>Jul-24</v>
      </c>
      <c r="R454">
        <f>VLOOKUP(D454, Products!A:D, 4, FALSE)</f>
        <v>2420</v>
      </c>
      <c r="S454">
        <f t="shared" ref="S454:S455" si="97">(G454-R454)/G454</f>
        <v>0.29855072463768118</v>
      </c>
      <c r="T454" s="10">
        <v>29.3</v>
      </c>
    </row>
    <row r="455" spans="1:20" ht="14.25" customHeight="1" x14ac:dyDescent="0.3">
      <c r="A455" s="8" t="s">
        <v>1514</v>
      </c>
      <c r="B455" s="21">
        <v>45389</v>
      </c>
      <c r="C455" s="8" t="s">
        <v>605</v>
      </c>
      <c r="D455" s="8" t="s">
        <v>644</v>
      </c>
      <c r="E455" s="8" t="s">
        <v>200</v>
      </c>
      <c r="F455" s="10">
        <v>10</v>
      </c>
      <c r="G455" s="10">
        <v>3640</v>
      </c>
      <c r="H455" s="10">
        <v>21.4</v>
      </c>
      <c r="I455" s="10">
        <v>28610.400000000001</v>
      </c>
      <c r="J455" s="8" t="s">
        <v>147</v>
      </c>
      <c r="K455" s="8" t="s">
        <v>98</v>
      </c>
      <c r="L455" s="18" t="str">
        <f>VLOOKUP(D455,Products!$A:$C,3,FALSE)</f>
        <v>Apparel</v>
      </c>
      <c r="N455" s="18" t="str">
        <f>VLOOKUP(C455,Customers!$A:$E,5,FALSE)</f>
        <v>Retail</v>
      </c>
      <c r="O455" s="18">
        <f>VLOOKUP(C455,Customers!$A:$C,3,FALSE)</f>
        <v>38</v>
      </c>
      <c r="P455" s="18" t="str">
        <f>VLOOKUP(E454,Sales_Reps!$A:$C,3,FALSE)</f>
        <v>North</v>
      </c>
      <c r="Q455" s="18" t="str">
        <f t="shared" si="96"/>
        <v>Mar-24</v>
      </c>
      <c r="R455">
        <f>VLOOKUP(D455, Products!A:D, 4, FALSE)</f>
        <v>2611</v>
      </c>
      <c r="S455">
        <f t="shared" si="97"/>
        <v>0.28269230769230769</v>
      </c>
      <c r="T455" s="10">
        <v>19.2</v>
      </c>
    </row>
    <row r="456" spans="1:20" ht="14.25" hidden="1" customHeight="1" x14ac:dyDescent="0.3">
      <c r="A456" s="8" t="s">
        <v>1515</v>
      </c>
      <c r="B456" s="9">
        <v>45336</v>
      </c>
      <c r="C456" s="8" t="s">
        <v>416</v>
      </c>
      <c r="D456" s="8" t="s">
        <v>909</v>
      </c>
      <c r="E456" s="8" t="s">
        <v>301</v>
      </c>
      <c r="F456" s="10">
        <v>5</v>
      </c>
      <c r="G456" s="10">
        <v>2380</v>
      </c>
      <c r="H456" s="10">
        <v>12.2</v>
      </c>
      <c r="I456" s="10">
        <v>10448.200000000001</v>
      </c>
      <c r="J456" s="8" t="s">
        <v>41</v>
      </c>
      <c r="K456" s="8" t="s">
        <v>146</v>
      </c>
      <c r="L456" s="18" t="str">
        <f>VLOOKUP(D456,Products!$A:$C,3,FALSE)</f>
        <v>Grocery</v>
      </c>
      <c r="N456" s="18" t="str">
        <f>VLOOKUP(C456,Customers!$A:$E,5,FALSE)</f>
        <v>Corporate</v>
      </c>
      <c r="O456" s="18">
        <f>VLOOKUP(C456,Customers!$A:$C,3,FALSE)</f>
        <v>62</v>
      </c>
      <c r="T456" s="10">
        <v>5.4</v>
      </c>
    </row>
    <row r="457" spans="1:20" ht="14.25" customHeight="1" x14ac:dyDescent="0.3">
      <c r="A457" s="8" t="s">
        <v>1516</v>
      </c>
      <c r="B457" s="21">
        <v>45505</v>
      </c>
      <c r="C457" s="8" t="s">
        <v>742</v>
      </c>
      <c r="D457" s="8" t="s">
        <v>954</v>
      </c>
      <c r="E457" s="8" t="s">
        <v>121</v>
      </c>
      <c r="F457" s="10">
        <v>10</v>
      </c>
      <c r="G457" s="10">
        <v>5410</v>
      </c>
      <c r="H457" s="10">
        <v>29.8</v>
      </c>
      <c r="I457" s="10">
        <v>37978.199999999997</v>
      </c>
      <c r="J457" s="8" t="s">
        <v>41</v>
      </c>
      <c r="K457" s="8" t="s">
        <v>178</v>
      </c>
      <c r="L457" s="18" t="str">
        <f>VLOOKUP(D457,Products!$A:$C,3,FALSE)</f>
        <v>Sports</v>
      </c>
      <c r="N457" s="18" t="str">
        <f>VLOOKUP(C457,Customers!$A:$E,5,FALSE)</f>
        <v>Retail</v>
      </c>
      <c r="O457" s="18">
        <f>VLOOKUP(C457,Customers!$A:$C,3,FALSE)</f>
        <v>38</v>
      </c>
      <c r="P457" s="18" t="str">
        <f>VLOOKUP(E456,Sales_Reps!$A:$C,3,FALSE)</f>
        <v>South</v>
      </c>
      <c r="Q457" s="18" t="str">
        <f>TEXT(B456,"MMM-YY")</f>
        <v>Feb-24</v>
      </c>
      <c r="R457">
        <f>VLOOKUP(D457, Products!A:D, 4, FALSE)</f>
        <v>2265</v>
      </c>
      <c r="S457">
        <f>(G457-R457)/G457</f>
        <v>0.58133086876155271</v>
      </c>
      <c r="T457" s="10">
        <v>5.8</v>
      </c>
    </row>
    <row r="458" spans="1:20" ht="14.25" hidden="1" customHeight="1" x14ac:dyDescent="0.3">
      <c r="A458" s="8" t="s">
        <v>1517</v>
      </c>
      <c r="B458" s="9">
        <v>45375</v>
      </c>
      <c r="C458" s="8" t="s">
        <v>379</v>
      </c>
      <c r="D458" s="8" t="s">
        <v>242</v>
      </c>
      <c r="E458" s="8" t="s">
        <v>216</v>
      </c>
      <c r="F458" s="10">
        <v>3</v>
      </c>
      <c r="G458" s="10">
        <v>1650</v>
      </c>
      <c r="H458" s="10">
        <v>9.4</v>
      </c>
      <c r="I458" s="10">
        <v>4484.7</v>
      </c>
      <c r="J458" s="8" t="s">
        <v>147</v>
      </c>
      <c r="K458" s="8" t="s">
        <v>146</v>
      </c>
      <c r="L458" s="18" t="str">
        <f>VLOOKUP(D458,Products!$A:$C,3,FALSE)</f>
        <v>Beauty</v>
      </c>
      <c r="N458" s="18" t="str">
        <f>VLOOKUP(C458,Customers!$A:$E,5,FALSE)</f>
        <v>Corporate</v>
      </c>
      <c r="O458" s="18">
        <f>VLOOKUP(C458,Customers!$A:$C,3,FALSE)</f>
        <v>62</v>
      </c>
      <c r="T458" s="10">
        <v>15.5</v>
      </c>
    </row>
    <row r="459" spans="1:20" ht="14.25" customHeight="1" x14ac:dyDescent="0.3">
      <c r="A459" s="8" t="s">
        <v>1518</v>
      </c>
      <c r="B459" s="21">
        <v>45383</v>
      </c>
      <c r="C459" s="8" t="s">
        <v>709</v>
      </c>
      <c r="D459" s="8" t="s">
        <v>184</v>
      </c>
      <c r="E459" s="8" t="s">
        <v>196</v>
      </c>
      <c r="F459" s="10">
        <v>7</v>
      </c>
      <c r="G459" s="10">
        <v>2600</v>
      </c>
      <c r="H459" s="10">
        <v>19.899999999999999</v>
      </c>
      <c r="I459" s="10">
        <v>14578.2</v>
      </c>
      <c r="J459" s="8" t="s">
        <v>97</v>
      </c>
      <c r="K459" s="8" t="s">
        <v>146</v>
      </c>
      <c r="L459" s="18" t="str">
        <f>VLOOKUP(D459,Products!$A:$C,3,FALSE)</f>
        <v>Electronics</v>
      </c>
      <c r="N459" s="18" t="str">
        <f>VLOOKUP(C459,Customers!$A:$E,5,FALSE)</f>
        <v>Retail</v>
      </c>
      <c r="O459" s="18">
        <f>VLOOKUP(C459,Customers!$A:$C,3,FALSE)</f>
        <v>22</v>
      </c>
      <c r="P459" s="18" t="str">
        <f>VLOOKUP(E458,Sales_Reps!$A:$C,3,FALSE)</f>
        <v>East</v>
      </c>
      <c r="Q459" s="18" t="str">
        <f t="shared" ref="Q459:Q460" si="98">TEXT(B458,"MMM-YY")</f>
        <v>Mar-24</v>
      </c>
      <c r="R459">
        <f>VLOOKUP(D459, Products!A:D, 4, FALSE)</f>
        <v>1052</v>
      </c>
      <c r="S459">
        <f t="shared" ref="S459:S460" si="99">(G459-R459)/G459</f>
        <v>0.5953846153846154</v>
      </c>
      <c r="T459" s="10">
        <v>17.399999999999999</v>
      </c>
    </row>
    <row r="460" spans="1:20" ht="14.25" customHeight="1" x14ac:dyDescent="0.3">
      <c r="A460" s="8" t="s">
        <v>1183</v>
      </c>
      <c r="B460" s="21">
        <v>45474</v>
      </c>
      <c r="C460" s="8" t="s">
        <v>750</v>
      </c>
      <c r="D460" s="8" t="s">
        <v>839</v>
      </c>
      <c r="E460" s="8" t="s">
        <v>261</v>
      </c>
      <c r="F460" s="10">
        <v>4</v>
      </c>
      <c r="G460" s="10">
        <v>4610</v>
      </c>
      <c r="H460" s="10">
        <v>13.2</v>
      </c>
      <c r="I460" s="10">
        <v>16005.92</v>
      </c>
      <c r="J460" s="8" t="s">
        <v>41</v>
      </c>
      <c r="K460" s="8" t="s">
        <v>178</v>
      </c>
      <c r="L460" s="18" t="str">
        <f>VLOOKUP(D460,Products!$A:$C,3,FALSE)</f>
        <v>Home</v>
      </c>
      <c r="N460" s="18" t="str">
        <f>VLOOKUP(C460,Customers!$A:$E,5,FALSE)</f>
        <v>SMB</v>
      </c>
      <c r="O460" s="18">
        <f>VLOOKUP(C460,Customers!$A:$C,3,FALSE)</f>
        <v>28</v>
      </c>
      <c r="P460" s="18" t="str">
        <f>VLOOKUP(E459,Sales_Reps!$A:$C,3,FALSE)</f>
        <v>East</v>
      </c>
      <c r="Q460" s="18" t="str">
        <f t="shared" si="98"/>
        <v>Apr-24</v>
      </c>
      <c r="R460">
        <f>VLOOKUP(D460, Products!A:D, 4, FALSE)</f>
        <v>1850</v>
      </c>
      <c r="S460">
        <f t="shared" si="99"/>
        <v>0.59869848156182215</v>
      </c>
      <c r="T460" s="10">
        <v>21.9</v>
      </c>
    </row>
    <row r="461" spans="1:20" ht="14.25" hidden="1" customHeight="1" x14ac:dyDescent="0.3">
      <c r="A461" s="8" t="s">
        <v>1519</v>
      </c>
      <c r="B461" s="9">
        <v>45361</v>
      </c>
      <c r="C461" s="8" t="s">
        <v>326</v>
      </c>
      <c r="D461" s="8" t="s">
        <v>839</v>
      </c>
      <c r="E461" s="8" t="s">
        <v>216</v>
      </c>
      <c r="F461" s="10">
        <v>9</v>
      </c>
      <c r="G461" s="10">
        <v>4610</v>
      </c>
      <c r="H461" s="10">
        <v>25.8</v>
      </c>
      <c r="I461" s="10">
        <v>30785.58</v>
      </c>
      <c r="J461" s="8" t="s">
        <v>41</v>
      </c>
      <c r="K461" s="8" t="s">
        <v>178</v>
      </c>
      <c r="L461" s="18" t="str">
        <f>VLOOKUP(D461,Products!$A:$C,3,FALSE)</f>
        <v>Home</v>
      </c>
      <c r="N461" s="18" t="str">
        <f>VLOOKUP(C461,Customers!$A:$E,5,FALSE)</f>
        <v>Retail</v>
      </c>
      <c r="O461" s="18">
        <f>VLOOKUP(C461,Customers!$A:$C,3,FALSE)</f>
        <v>53</v>
      </c>
      <c r="T461" s="10">
        <v>23.4</v>
      </c>
    </row>
    <row r="462" spans="1:20" ht="14.25" hidden="1" customHeight="1" x14ac:dyDescent="0.3">
      <c r="A462" s="8" t="s">
        <v>1520</v>
      </c>
      <c r="B462" s="9">
        <v>45550</v>
      </c>
      <c r="C462" s="8" t="s">
        <v>523</v>
      </c>
      <c r="D462" s="8" t="s">
        <v>154</v>
      </c>
      <c r="E462" s="8" t="s">
        <v>117</v>
      </c>
      <c r="F462" s="10">
        <v>5</v>
      </c>
      <c r="G462" s="10">
        <v>300</v>
      </c>
      <c r="H462" s="10">
        <v>11.8</v>
      </c>
      <c r="I462" s="10">
        <v>1323</v>
      </c>
      <c r="J462" s="8" t="s">
        <v>41</v>
      </c>
      <c r="K462" s="8" t="s">
        <v>98</v>
      </c>
      <c r="L462" s="18" t="str">
        <f>VLOOKUP(D462,Products!$A:$C,3,FALSE)</f>
        <v>Electronics</v>
      </c>
      <c r="N462" s="18" t="str">
        <f>VLOOKUP(C462,Customers!$A:$E,5,FALSE)</f>
        <v>Corporate</v>
      </c>
      <c r="O462" s="18">
        <f>VLOOKUP(C462,Customers!$A:$C,3,FALSE)</f>
        <v>44</v>
      </c>
      <c r="T462" s="10">
        <v>27.3</v>
      </c>
    </row>
    <row r="463" spans="1:20" ht="14.25" customHeight="1" x14ac:dyDescent="0.3">
      <c r="A463" s="8" t="s">
        <v>1521</v>
      </c>
      <c r="B463" s="21">
        <v>45485</v>
      </c>
      <c r="C463" s="8" t="s">
        <v>294</v>
      </c>
      <c r="D463" s="8" t="s">
        <v>889</v>
      </c>
      <c r="E463" s="8" t="s">
        <v>321</v>
      </c>
      <c r="F463" s="10">
        <v>3</v>
      </c>
      <c r="G463" s="10">
        <v>3450</v>
      </c>
      <c r="H463" s="10">
        <v>14.2</v>
      </c>
      <c r="I463" s="10">
        <v>8880.2999999999993</v>
      </c>
      <c r="J463" s="8" t="s">
        <v>41</v>
      </c>
      <c r="K463" s="8" t="s">
        <v>98</v>
      </c>
      <c r="L463" s="18" t="str">
        <f>VLOOKUP(D463,Products!$A:$C,3,FALSE)</f>
        <v>Apparel</v>
      </c>
      <c r="N463" s="18" t="str">
        <f>VLOOKUP(C463,Customers!$A:$E,5,FALSE)</f>
        <v>Retail</v>
      </c>
      <c r="O463" s="18">
        <f>VLOOKUP(C463,Customers!$A:$C,3,FALSE)</f>
        <v>22</v>
      </c>
      <c r="P463" s="18" t="str">
        <f>VLOOKUP(E462,Sales_Reps!$A:$C,3,FALSE)</f>
        <v>South</v>
      </c>
      <c r="Q463" s="18" t="str">
        <f t="shared" ref="Q463:Q465" si="100">TEXT(B462,"MMM-YY")</f>
        <v>Sep-24</v>
      </c>
      <c r="R463">
        <f>VLOOKUP(D463, Products!A:D, 4, FALSE)</f>
        <v>1748</v>
      </c>
      <c r="S463">
        <f t="shared" ref="S463:S465" si="101">(G463-R463)/G463</f>
        <v>0.49333333333333335</v>
      </c>
      <c r="T463" s="10">
        <v>24.3</v>
      </c>
    </row>
    <row r="464" spans="1:20" ht="14.25" customHeight="1" x14ac:dyDescent="0.3">
      <c r="A464" s="8" t="s">
        <v>1522</v>
      </c>
      <c r="B464" s="21">
        <v>45523</v>
      </c>
      <c r="C464" s="8" t="s">
        <v>532</v>
      </c>
      <c r="D464" s="8" t="s">
        <v>239</v>
      </c>
      <c r="E464" s="8" t="s">
        <v>172</v>
      </c>
      <c r="F464" s="10">
        <v>2</v>
      </c>
      <c r="G464" s="10">
        <v>2720</v>
      </c>
      <c r="H464" s="10">
        <v>14.6</v>
      </c>
      <c r="I464" s="10">
        <v>4645.76</v>
      </c>
      <c r="J464" s="8" t="s">
        <v>147</v>
      </c>
      <c r="K464" s="8" t="s">
        <v>98</v>
      </c>
      <c r="L464" s="18" t="str">
        <f>VLOOKUP(D464,Products!$A:$C,3,FALSE)</f>
        <v>Apparel</v>
      </c>
      <c r="N464" s="18" t="str">
        <f>VLOOKUP(C464,Customers!$A:$E,5,FALSE)</f>
        <v>Corporate</v>
      </c>
      <c r="O464" s="18">
        <f>VLOOKUP(C464,Customers!$A:$C,3,FALSE)</f>
        <v>30</v>
      </c>
      <c r="P464" s="18" t="str">
        <f>VLOOKUP(E463,Sales_Reps!$A:$C,3,FALSE)</f>
        <v>East</v>
      </c>
      <c r="Q464" s="18" t="str">
        <f t="shared" si="100"/>
        <v>Jul-24</v>
      </c>
      <c r="R464">
        <f>VLOOKUP(D464, Products!A:D, 4, FALSE)</f>
        <v>1962</v>
      </c>
      <c r="S464">
        <f t="shared" si="101"/>
        <v>0.2786764705882353</v>
      </c>
      <c r="T464" s="10">
        <v>24.9</v>
      </c>
    </row>
    <row r="465" spans="1:20" ht="14.25" customHeight="1" x14ac:dyDescent="0.3">
      <c r="A465" s="8" t="s">
        <v>1523</v>
      </c>
      <c r="B465" s="21">
        <v>45626</v>
      </c>
      <c r="C465" s="8" t="s">
        <v>614</v>
      </c>
      <c r="D465" s="8" t="s">
        <v>131</v>
      </c>
      <c r="E465" s="8" t="s">
        <v>121</v>
      </c>
      <c r="F465" s="10">
        <v>7</v>
      </c>
      <c r="G465" s="10">
        <v>2660</v>
      </c>
      <c r="H465" s="10">
        <v>27.4</v>
      </c>
      <c r="I465" s="10">
        <v>13518.12</v>
      </c>
      <c r="J465" s="8" t="s">
        <v>147</v>
      </c>
      <c r="K465" s="8" t="s">
        <v>178</v>
      </c>
      <c r="L465" s="18" t="str">
        <f>VLOOKUP(D465,Products!$A:$C,3,FALSE)</f>
        <v>Electronics</v>
      </c>
      <c r="N465" s="18" t="str">
        <f>VLOOKUP(C465,Customers!$A:$E,5,FALSE)</f>
        <v>Retail</v>
      </c>
      <c r="O465" s="18">
        <f>VLOOKUP(C465,Customers!$A:$C,3,FALSE)</f>
        <v>31</v>
      </c>
      <c r="P465" s="18" t="str">
        <f>VLOOKUP(E464,Sales_Reps!$A:$C,3,FALSE)</f>
        <v>West</v>
      </c>
      <c r="Q465" s="18" t="str">
        <f t="shared" si="100"/>
        <v>Aug-24</v>
      </c>
      <c r="R465">
        <f>VLOOKUP(D465, Products!A:D, 4, FALSE)</f>
        <v>1259</v>
      </c>
      <c r="S465">
        <f t="shared" si="101"/>
        <v>0.52669172932330832</v>
      </c>
      <c r="T465" s="10">
        <v>3.8</v>
      </c>
    </row>
    <row r="466" spans="1:20" ht="14.25" hidden="1" customHeight="1" x14ac:dyDescent="0.3">
      <c r="A466" s="8" t="s">
        <v>1524</v>
      </c>
      <c r="B466" s="9">
        <v>45302</v>
      </c>
      <c r="C466" s="8" t="s">
        <v>584</v>
      </c>
      <c r="D466" s="8" t="s">
        <v>219</v>
      </c>
      <c r="E466" s="8" t="s">
        <v>96</v>
      </c>
      <c r="F466" s="10">
        <v>8</v>
      </c>
      <c r="G466" s="10">
        <v>3450</v>
      </c>
      <c r="H466" s="10">
        <v>20.399999999999999</v>
      </c>
      <c r="I466" s="10">
        <v>21969.599999999999</v>
      </c>
      <c r="J466" s="8" t="s">
        <v>41</v>
      </c>
      <c r="K466" s="8" t="s">
        <v>146</v>
      </c>
      <c r="L466" s="18" t="str">
        <f>VLOOKUP(D466,Products!$A:$C,3,FALSE)</f>
        <v>Sports</v>
      </c>
      <c r="N466" s="18" t="str">
        <f>VLOOKUP(C466,Customers!$A:$E,5,FALSE)</f>
        <v>Retail</v>
      </c>
      <c r="O466" s="18">
        <f>VLOOKUP(C466,Customers!$A:$C,3,FALSE)</f>
        <v>53</v>
      </c>
      <c r="T466" s="10">
        <v>5.4</v>
      </c>
    </row>
    <row r="467" spans="1:20" ht="14.25" hidden="1" customHeight="1" x14ac:dyDescent="0.3">
      <c r="A467" s="8" t="s">
        <v>1525</v>
      </c>
      <c r="B467" s="9">
        <v>45427</v>
      </c>
      <c r="C467" s="8" t="s">
        <v>314</v>
      </c>
      <c r="D467" s="8" t="s">
        <v>954</v>
      </c>
      <c r="E467" s="8" t="s">
        <v>221</v>
      </c>
      <c r="F467" s="10">
        <v>2</v>
      </c>
      <c r="G467" s="10">
        <v>5410</v>
      </c>
      <c r="H467" s="10">
        <v>7.2</v>
      </c>
      <c r="I467" s="10">
        <v>10040.959999999999</v>
      </c>
      <c r="J467" s="8" t="s">
        <v>41</v>
      </c>
      <c r="K467" s="8" t="s">
        <v>178</v>
      </c>
      <c r="L467" s="18" t="str">
        <f>VLOOKUP(D467,Products!$A:$C,3,FALSE)</f>
        <v>Sports</v>
      </c>
      <c r="N467" s="18" t="str">
        <f>VLOOKUP(C467,Customers!$A:$E,5,FALSE)</f>
        <v>Corporate</v>
      </c>
      <c r="O467" s="18">
        <f>VLOOKUP(C467,Customers!$A:$C,3,FALSE)</f>
        <v>52</v>
      </c>
      <c r="T467" s="10">
        <v>29.4</v>
      </c>
    </row>
    <row r="468" spans="1:20" ht="14.25" customHeight="1" x14ac:dyDescent="0.3">
      <c r="A468" s="8" t="s">
        <v>828</v>
      </c>
      <c r="B468" s="21">
        <v>45315</v>
      </c>
      <c r="C468" s="8" t="s">
        <v>532</v>
      </c>
      <c r="D468" s="8" t="s">
        <v>188</v>
      </c>
      <c r="E468" s="8" t="s">
        <v>745</v>
      </c>
      <c r="F468" s="10">
        <v>3</v>
      </c>
      <c r="G468" s="10">
        <v>3870</v>
      </c>
      <c r="H468" s="10">
        <v>4.2</v>
      </c>
      <c r="I468" s="10">
        <v>11122.38</v>
      </c>
      <c r="J468" s="8" t="s">
        <v>41</v>
      </c>
      <c r="K468" s="8" t="s">
        <v>98</v>
      </c>
      <c r="L468" s="18" t="str">
        <f>VLOOKUP(D468,Products!$A:$C,3,FALSE)</f>
        <v>Electronics</v>
      </c>
      <c r="N468" s="18" t="str">
        <f>VLOOKUP(C468,Customers!$A:$E,5,FALSE)</f>
        <v>Corporate</v>
      </c>
      <c r="O468" s="18">
        <f>VLOOKUP(C468,Customers!$A:$C,3,FALSE)</f>
        <v>30</v>
      </c>
      <c r="P468" s="18" t="str">
        <f>VLOOKUP(E467,Sales_Reps!$A:$C,3,FALSE)</f>
        <v>South</v>
      </c>
      <c r="Q468" s="18" t="str">
        <f>TEXT(B467,"MMM-YY")</f>
        <v>May-24</v>
      </c>
      <c r="R468">
        <f>VLOOKUP(D468, Products!A:D, 4, FALSE)</f>
        <v>1559</v>
      </c>
      <c r="S468">
        <f>(G468-R468)/G468</f>
        <v>0.59715762273901807</v>
      </c>
      <c r="T468" s="10">
        <v>24.1</v>
      </c>
    </row>
    <row r="469" spans="1:20" ht="14.25" hidden="1" customHeight="1" x14ac:dyDescent="0.3">
      <c r="A469" s="8" t="s">
        <v>1526</v>
      </c>
      <c r="B469" s="9">
        <v>45328</v>
      </c>
      <c r="C469" s="8" t="s">
        <v>460</v>
      </c>
      <c r="D469" s="8" t="s">
        <v>176</v>
      </c>
      <c r="E469" s="8" t="s">
        <v>96</v>
      </c>
      <c r="F469" s="10">
        <v>10</v>
      </c>
      <c r="G469" s="10">
        <v>2270</v>
      </c>
      <c r="H469" s="10">
        <v>17.3</v>
      </c>
      <c r="I469" s="10">
        <v>18772.900000000001</v>
      </c>
      <c r="J469" s="8" t="s">
        <v>41</v>
      </c>
      <c r="K469" s="8" t="s">
        <v>42</v>
      </c>
      <c r="L469" s="18" t="str">
        <f>VLOOKUP(D469,Products!$A:$C,3,FALSE)</f>
        <v>Grocery</v>
      </c>
      <c r="N469" s="18" t="str">
        <f>VLOOKUP(C469,Customers!$A:$E,5,FALSE)</f>
        <v>SMB</v>
      </c>
      <c r="O469" s="18">
        <f>VLOOKUP(C469,Customers!$A:$C,3,FALSE)</f>
        <v>60</v>
      </c>
      <c r="T469" s="10">
        <v>27</v>
      </c>
    </row>
    <row r="470" spans="1:20" ht="14.25" hidden="1" customHeight="1" x14ac:dyDescent="0.3">
      <c r="A470" s="8" t="s">
        <v>1527</v>
      </c>
      <c r="B470" s="9">
        <v>45394</v>
      </c>
      <c r="C470" s="8" t="s">
        <v>727</v>
      </c>
      <c r="D470" s="8" t="s">
        <v>230</v>
      </c>
      <c r="E470" s="8" t="s">
        <v>145</v>
      </c>
      <c r="F470" s="10">
        <v>1</v>
      </c>
      <c r="G470" s="10">
        <v>5330</v>
      </c>
      <c r="H470" s="10">
        <v>24.2</v>
      </c>
      <c r="I470" s="10">
        <v>4040.14</v>
      </c>
      <c r="J470" s="8" t="s">
        <v>41</v>
      </c>
      <c r="K470" s="8" t="s">
        <v>136</v>
      </c>
      <c r="L470" s="18" t="str">
        <f>VLOOKUP(D470,Products!$A:$C,3,FALSE)</f>
        <v>Electronics</v>
      </c>
      <c r="N470" s="18" t="str">
        <f>VLOOKUP(C470,Customers!$A:$E,5,FALSE)</f>
        <v>Retail</v>
      </c>
      <c r="O470" s="18">
        <f>VLOOKUP(C470,Customers!$A:$C,3,FALSE)</f>
        <v>46</v>
      </c>
      <c r="T470" s="10">
        <v>6.6</v>
      </c>
    </row>
    <row r="471" spans="1:20" ht="14.25" hidden="1" customHeight="1" x14ac:dyDescent="0.3">
      <c r="A471" s="8" t="s">
        <v>1528</v>
      </c>
      <c r="B471" s="9">
        <v>45414</v>
      </c>
      <c r="C471" s="8" t="s">
        <v>157</v>
      </c>
      <c r="D471" s="8" t="s">
        <v>247</v>
      </c>
      <c r="E471" s="8" t="s">
        <v>301</v>
      </c>
      <c r="F471" s="10">
        <v>2</v>
      </c>
      <c r="G471" s="10">
        <v>3350</v>
      </c>
      <c r="H471" s="10">
        <v>23.4</v>
      </c>
      <c r="I471" s="10">
        <v>5132.2</v>
      </c>
      <c r="J471" s="8" t="s">
        <v>41</v>
      </c>
      <c r="K471" s="8" t="s">
        <v>136</v>
      </c>
      <c r="L471" s="18" t="str">
        <f>VLOOKUP(D471,Products!$A:$C,3,FALSE)</f>
        <v>Beauty</v>
      </c>
      <c r="N471" s="18" t="str">
        <f>VLOOKUP(C471,Customers!$A:$E,5,FALSE)</f>
        <v>Corporate</v>
      </c>
      <c r="O471" s="18">
        <f>VLOOKUP(C471,Customers!$A:$C,3,FALSE)</f>
        <v>57</v>
      </c>
      <c r="T471" s="10">
        <v>28.6</v>
      </c>
    </row>
    <row r="472" spans="1:20" ht="14.25" customHeight="1" x14ac:dyDescent="0.3">
      <c r="A472" s="8" t="s">
        <v>1529</v>
      </c>
      <c r="B472" s="21">
        <v>45393</v>
      </c>
      <c r="C472" s="8" t="s">
        <v>578</v>
      </c>
      <c r="D472" s="8" t="s">
        <v>867</v>
      </c>
      <c r="E472" s="8" t="s">
        <v>125</v>
      </c>
      <c r="F472" s="10">
        <v>7</v>
      </c>
      <c r="G472" s="10">
        <v>3020</v>
      </c>
      <c r="H472" s="10">
        <v>23.7</v>
      </c>
      <c r="I472" s="10">
        <v>16129.82</v>
      </c>
      <c r="J472" s="8" t="s">
        <v>41</v>
      </c>
      <c r="K472" s="8" t="s">
        <v>98</v>
      </c>
      <c r="L472" s="18" t="str">
        <f>VLOOKUP(D472,Products!$A:$C,3,FALSE)</f>
        <v>Beauty</v>
      </c>
      <c r="N472" s="18" t="str">
        <f>VLOOKUP(C472,Customers!$A:$E,5,FALSE)</f>
        <v>Retail</v>
      </c>
      <c r="O472" s="18">
        <f>VLOOKUP(C472,Customers!$A:$C,3,FALSE)</f>
        <v>32</v>
      </c>
      <c r="P472" s="18" t="str">
        <f>VLOOKUP(E471,Sales_Reps!$A:$C,3,FALSE)</f>
        <v>South</v>
      </c>
      <c r="Q472" s="18" t="str">
        <f>TEXT(B471,"MMM-YY")</f>
        <v>May-24</v>
      </c>
      <c r="R472">
        <f>VLOOKUP(D472, Products!A:D, 4, FALSE)</f>
        <v>1626</v>
      </c>
      <c r="S472">
        <f>(G472-R472)/G472</f>
        <v>0.46158940397350995</v>
      </c>
      <c r="T472" s="10">
        <v>28.4</v>
      </c>
    </row>
    <row r="473" spans="1:20" ht="14.25" hidden="1" customHeight="1" x14ac:dyDescent="0.3">
      <c r="A473" s="8" t="s">
        <v>1530</v>
      </c>
      <c r="B473" s="9">
        <v>45535</v>
      </c>
      <c r="C473" s="8" t="s">
        <v>273</v>
      </c>
      <c r="D473" s="8" t="s">
        <v>134</v>
      </c>
      <c r="E473" s="8" t="s">
        <v>321</v>
      </c>
      <c r="F473" s="10">
        <v>7</v>
      </c>
      <c r="G473" s="10">
        <v>3160</v>
      </c>
      <c r="H473" s="10">
        <v>22.8</v>
      </c>
      <c r="I473" s="10">
        <v>17076.64</v>
      </c>
      <c r="J473" s="8" t="s">
        <v>41</v>
      </c>
      <c r="K473" s="8" t="s">
        <v>146</v>
      </c>
      <c r="L473" s="18" t="str">
        <f>VLOOKUP(D473,Products!$A:$C,3,FALSE)</f>
        <v>Apparel</v>
      </c>
      <c r="N473" s="18" t="str">
        <f>VLOOKUP(C473,Customers!$A:$E,5,FALSE)</f>
        <v>SMB</v>
      </c>
      <c r="O473" s="18">
        <f>VLOOKUP(C473,Customers!$A:$C,3,FALSE)</f>
        <v>61</v>
      </c>
      <c r="T473" s="10">
        <v>24.8</v>
      </c>
    </row>
    <row r="474" spans="1:20" ht="14.25" customHeight="1" x14ac:dyDescent="0.3">
      <c r="A474" s="8" t="s">
        <v>1531</v>
      </c>
      <c r="B474" s="21">
        <v>45541</v>
      </c>
      <c r="C474" s="8" t="s">
        <v>424</v>
      </c>
      <c r="D474" s="8" t="s">
        <v>116</v>
      </c>
      <c r="E474" s="8" t="s">
        <v>321</v>
      </c>
      <c r="F474" s="10">
        <v>2</v>
      </c>
      <c r="G474" s="10">
        <v>470</v>
      </c>
      <c r="H474" s="10">
        <v>28.8</v>
      </c>
      <c r="I474" s="10">
        <v>669.28</v>
      </c>
      <c r="J474" s="8" t="s">
        <v>147</v>
      </c>
      <c r="K474" s="8" t="s">
        <v>136</v>
      </c>
      <c r="L474" s="18" t="str">
        <f>VLOOKUP(D474,Products!$A:$C,3,FALSE)</f>
        <v>Sports</v>
      </c>
      <c r="N474" s="18" t="str">
        <f>VLOOKUP(C474,Customers!$A:$E,5,FALSE)</f>
        <v>Retail</v>
      </c>
      <c r="O474" s="18">
        <f>VLOOKUP(C474,Customers!$A:$C,3,FALSE)</f>
        <v>35</v>
      </c>
      <c r="P474" s="18" t="str">
        <f>VLOOKUP(E473,Sales_Reps!$A:$C,3,FALSE)</f>
        <v>East</v>
      </c>
      <c r="Q474" s="18" t="str">
        <f t="shared" ref="Q474:Q475" si="102">TEXT(B473,"MMM-YY")</f>
        <v>Aug-24</v>
      </c>
      <c r="R474">
        <f>VLOOKUP(D474, Products!A:D, 4, FALSE)</f>
        <v>302</v>
      </c>
      <c r="S474">
        <f t="shared" ref="S474:S475" si="103">(G474-R474)/G474</f>
        <v>0.35744680851063831</v>
      </c>
      <c r="T474" s="10">
        <v>23.2</v>
      </c>
    </row>
    <row r="475" spans="1:20" ht="14.25" customHeight="1" x14ac:dyDescent="0.3">
      <c r="A475" s="8" t="s">
        <v>1532</v>
      </c>
      <c r="B475" s="21">
        <v>45454</v>
      </c>
      <c r="C475" s="8" t="s">
        <v>530</v>
      </c>
      <c r="D475" s="8" t="s">
        <v>192</v>
      </c>
      <c r="E475" s="8" t="s">
        <v>216</v>
      </c>
      <c r="F475" s="10">
        <v>2</v>
      </c>
      <c r="G475" s="10">
        <v>3250</v>
      </c>
      <c r="H475" s="10">
        <v>24.7</v>
      </c>
      <c r="I475" s="10">
        <v>4894.5</v>
      </c>
      <c r="J475" s="8" t="s">
        <v>41</v>
      </c>
      <c r="K475" s="8" t="s">
        <v>146</v>
      </c>
      <c r="L475" s="18" t="str">
        <f>VLOOKUP(D475,Products!$A:$C,3,FALSE)</f>
        <v>Home</v>
      </c>
      <c r="N475" s="18" t="str">
        <f>VLOOKUP(C475,Customers!$A:$E,5,FALSE)</f>
        <v>Retail</v>
      </c>
      <c r="O475" s="18">
        <f>VLOOKUP(C475,Customers!$A:$C,3,FALSE)</f>
        <v>37</v>
      </c>
      <c r="P475" s="18" t="str">
        <f>VLOOKUP(E474,Sales_Reps!$A:$C,3,FALSE)</f>
        <v>East</v>
      </c>
      <c r="Q475" s="18" t="str">
        <f t="shared" si="102"/>
        <v>Sep-24</v>
      </c>
      <c r="R475">
        <f>VLOOKUP(D475, Products!A:D, 4, FALSE)</f>
        <v>1556</v>
      </c>
      <c r="S475">
        <f t="shared" si="103"/>
        <v>0.52123076923076928</v>
      </c>
      <c r="T475" s="10">
        <v>3.6</v>
      </c>
    </row>
    <row r="476" spans="1:20" ht="14.25" hidden="1" customHeight="1" x14ac:dyDescent="0.3">
      <c r="A476" s="8" t="s">
        <v>1533</v>
      </c>
      <c r="B476" s="9">
        <v>45631</v>
      </c>
      <c r="C476" s="8" t="s">
        <v>292</v>
      </c>
      <c r="D476" s="8" t="s">
        <v>260</v>
      </c>
      <c r="E476" s="8" t="s">
        <v>208</v>
      </c>
      <c r="F476" s="10">
        <v>2</v>
      </c>
      <c r="G476" s="10">
        <v>1010</v>
      </c>
      <c r="H476" s="10">
        <v>5.2</v>
      </c>
      <c r="I476" s="10">
        <v>1914.96</v>
      </c>
      <c r="J476" s="8" t="s">
        <v>147</v>
      </c>
      <c r="K476" s="8" t="s">
        <v>42</v>
      </c>
      <c r="L476" s="18" t="str">
        <f>VLOOKUP(D476,Products!$A:$C,3,FALSE)</f>
        <v>Sports</v>
      </c>
      <c r="N476" s="18" t="str">
        <f>VLOOKUP(C476,Customers!$A:$E,5,FALSE)</f>
        <v>SMB</v>
      </c>
      <c r="O476" s="18">
        <f>VLOOKUP(C476,Customers!$A:$C,3,FALSE)</f>
        <v>54</v>
      </c>
      <c r="T476" s="10">
        <v>19.8</v>
      </c>
    </row>
    <row r="477" spans="1:20" ht="14.25" hidden="1" customHeight="1" x14ac:dyDescent="0.3">
      <c r="A477" s="8" t="s">
        <v>1534</v>
      </c>
      <c r="B477" s="9">
        <v>45588</v>
      </c>
      <c r="C477" s="8" t="s">
        <v>451</v>
      </c>
      <c r="D477" s="8" t="s">
        <v>154</v>
      </c>
      <c r="E477" s="8" t="s">
        <v>231</v>
      </c>
      <c r="F477" s="10">
        <v>9</v>
      </c>
      <c r="G477" s="10">
        <v>300</v>
      </c>
      <c r="H477" s="10">
        <v>7.9</v>
      </c>
      <c r="I477" s="10">
        <v>2486.6999999999998</v>
      </c>
      <c r="J477" s="8" t="s">
        <v>41</v>
      </c>
      <c r="K477" s="8" t="s">
        <v>146</v>
      </c>
      <c r="L477" s="18" t="str">
        <f>VLOOKUP(D477,Products!$A:$C,3,FALSE)</f>
        <v>Electronics</v>
      </c>
      <c r="N477" s="18" t="str">
        <f>VLOOKUP(C477,Customers!$A:$E,5,FALSE)</f>
        <v>SMB</v>
      </c>
      <c r="O477" s="18">
        <f>VLOOKUP(C477,Customers!$A:$C,3,FALSE)</f>
        <v>43</v>
      </c>
      <c r="T477" s="10">
        <v>0.3</v>
      </c>
    </row>
    <row r="478" spans="1:20" ht="14.25" hidden="1" customHeight="1" x14ac:dyDescent="0.3">
      <c r="A478" s="8" t="s">
        <v>1535</v>
      </c>
      <c r="B478" s="9">
        <v>45469</v>
      </c>
      <c r="C478" s="8" t="s">
        <v>598</v>
      </c>
      <c r="D478" s="8" t="s">
        <v>320</v>
      </c>
      <c r="E478" s="8" t="s">
        <v>125</v>
      </c>
      <c r="F478" s="10">
        <v>10</v>
      </c>
      <c r="G478" s="10">
        <v>5100</v>
      </c>
      <c r="H478" s="10">
        <v>26.3</v>
      </c>
      <c r="I478" s="10">
        <v>37587</v>
      </c>
      <c r="J478" s="8" t="s">
        <v>97</v>
      </c>
      <c r="K478" s="8" t="s">
        <v>42</v>
      </c>
      <c r="L478" s="18" t="str">
        <f>VLOOKUP(D478,Products!$A:$C,3,FALSE)</f>
        <v>Beauty</v>
      </c>
      <c r="N478" s="18" t="str">
        <f>VLOOKUP(C478,Customers!$A:$E,5,FALSE)</f>
        <v>Corporate</v>
      </c>
      <c r="O478" s="18">
        <f>VLOOKUP(C478,Customers!$A:$C,3,FALSE)</f>
        <v>52</v>
      </c>
      <c r="T478" s="10">
        <v>6.1</v>
      </c>
    </row>
    <row r="479" spans="1:20" ht="14.25" customHeight="1" x14ac:dyDescent="0.3">
      <c r="A479" s="8" t="s">
        <v>1536</v>
      </c>
      <c r="B479" s="21">
        <v>45552</v>
      </c>
      <c r="C479" s="8" t="s">
        <v>229</v>
      </c>
      <c r="D479" s="8" t="s">
        <v>247</v>
      </c>
      <c r="E479" s="8" t="s">
        <v>172</v>
      </c>
      <c r="F479" s="10">
        <v>1</v>
      </c>
      <c r="G479" s="10">
        <v>3350</v>
      </c>
      <c r="H479" s="10">
        <v>8.5</v>
      </c>
      <c r="I479" s="10">
        <v>3065.25</v>
      </c>
      <c r="J479" s="8" t="s">
        <v>147</v>
      </c>
      <c r="K479" s="8" t="s">
        <v>178</v>
      </c>
      <c r="L479" s="18" t="str">
        <f>VLOOKUP(D479,Products!$A:$C,3,FALSE)</f>
        <v>Beauty</v>
      </c>
      <c r="N479" s="18" t="str">
        <f>VLOOKUP(C479,Customers!$A:$E,5,FALSE)</f>
        <v>Retail</v>
      </c>
      <c r="O479" s="18">
        <f>VLOOKUP(C479,Customers!$A:$C,3,FALSE)</f>
        <v>31</v>
      </c>
      <c r="P479" s="18" t="str">
        <f>VLOOKUP(E478,Sales_Reps!$A:$C,3,FALSE)</f>
        <v>North</v>
      </c>
      <c r="Q479" s="18" t="str">
        <f>TEXT(B478,"MMM-YY")</f>
        <v>Jun-24</v>
      </c>
      <c r="R479">
        <f>VLOOKUP(D479, Products!A:D, 4, FALSE)</f>
        <v>1728</v>
      </c>
      <c r="S479">
        <f>(G479-R479)/G479</f>
        <v>0.48417910447761192</v>
      </c>
      <c r="T479" s="10">
        <v>17.2</v>
      </c>
    </row>
    <row r="480" spans="1:20" ht="14.25" hidden="1" customHeight="1" x14ac:dyDescent="0.3">
      <c r="A480" s="8" t="s">
        <v>1537</v>
      </c>
      <c r="B480" s="9">
        <v>45554</v>
      </c>
      <c r="C480" s="8" t="s">
        <v>454</v>
      </c>
      <c r="D480" s="8" t="s">
        <v>192</v>
      </c>
      <c r="E480" s="8" t="s">
        <v>196</v>
      </c>
      <c r="F480" s="10">
        <v>2</v>
      </c>
      <c r="G480" s="10">
        <v>3250</v>
      </c>
      <c r="H480" s="10">
        <v>25.7</v>
      </c>
      <c r="I480" s="10">
        <v>4829.5</v>
      </c>
      <c r="J480" s="8" t="s">
        <v>193</v>
      </c>
      <c r="K480" s="8" t="s">
        <v>119</v>
      </c>
      <c r="L480" s="18" t="str">
        <f>VLOOKUP(D480,Products!$A:$C,3,FALSE)</f>
        <v>Home</v>
      </c>
      <c r="N480" s="18" t="str">
        <f>VLOOKUP(C480,Customers!$A:$E,5,FALSE)</f>
        <v>Retail</v>
      </c>
      <c r="O480" s="18">
        <f>VLOOKUP(C480,Customers!$A:$C,3,FALSE)</f>
        <v>55</v>
      </c>
      <c r="T480" s="10">
        <v>23.6</v>
      </c>
    </row>
    <row r="481" spans="1:20" ht="14.25" customHeight="1" x14ac:dyDescent="0.3">
      <c r="A481" s="8" t="s">
        <v>1538</v>
      </c>
      <c r="B481" s="21">
        <v>45352</v>
      </c>
      <c r="C481" s="8" t="s">
        <v>198</v>
      </c>
      <c r="D481" s="8" t="s">
        <v>124</v>
      </c>
      <c r="E481" s="8" t="s">
        <v>135</v>
      </c>
      <c r="F481" s="10">
        <v>10</v>
      </c>
      <c r="G481" s="10">
        <v>3660</v>
      </c>
      <c r="H481" s="10">
        <v>12</v>
      </c>
      <c r="I481" s="10">
        <v>32208</v>
      </c>
      <c r="J481" s="8" t="s">
        <v>41</v>
      </c>
      <c r="K481" s="8" t="s">
        <v>42</v>
      </c>
      <c r="L481" s="18" t="str">
        <f>VLOOKUP(D481,Products!$A:$C,3,FALSE)</f>
        <v>Grocery</v>
      </c>
      <c r="N481" s="18" t="str">
        <f>VLOOKUP(C481,Customers!$A:$E,5,FALSE)</f>
        <v>Retail</v>
      </c>
      <c r="O481" s="18">
        <f>VLOOKUP(C481,Customers!$A:$C,3,FALSE)</f>
        <v>38</v>
      </c>
      <c r="P481" s="18" t="str">
        <f>VLOOKUP(E480,Sales_Reps!$A:$C,3,FALSE)</f>
        <v>East</v>
      </c>
      <c r="Q481" s="18" t="str">
        <f>TEXT(B480,"MMM-YY")</f>
        <v>Sep-24</v>
      </c>
      <c r="R481">
        <f>VLOOKUP(D481, Products!A:D, 4, FALSE)</f>
        <v>2214</v>
      </c>
      <c r="S481">
        <f>(G481-R481)/G481</f>
        <v>0.39508196721311473</v>
      </c>
      <c r="T481" s="10">
        <v>1.7</v>
      </c>
    </row>
    <row r="482" spans="1:20" ht="14.25" hidden="1" customHeight="1" x14ac:dyDescent="0.3">
      <c r="A482" s="8" t="s">
        <v>1539</v>
      </c>
      <c r="B482" s="9">
        <v>45521</v>
      </c>
      <c r="C482" s="8" t="s">
        <v>410</v>
      </c>
      <c r="D482" s="8" t="s">
        <v>205</v>
      </c>
      <c r="E482" s="8" t="s">
        <v>214</v>
      </c>
      <c r="F482" s="10">
        <v>1</v>
      </c>
      <c r="G482" s="10">
        <v>2400</v>
      </c>
      <c r="H482" s="10">
        <v>24.5</v>
      </c>
      <c r="I482" s="10">
        <v>1812</v>
      </c>
      <c r="J482" s="8" t="s">
        <v>41</v>
      </c>
      <c r="K482" s="8" t="s">
        <v>98</v>
      </c>
      <c r="L482" s="18" t="str">
        <f>VLOOKUP(D482,Products!$A:$C,3,FALSE)</f>
        <v>Sports</v>
      </c>
      <c r="N482" s="18" t="str">
        <f>VLOOKUP(C482,Customers!$A:$E,5,FALSE)</f>
        <v>Retail</v>
      </c>
      <c r="O482" s="18">
        <f>VLOOKUP(C482,Customers!$A:$C,3,FALSE)</f>
        <v>51</v>
      </c>
      <c r="T482" s="10">
        <v>19.600000000000001</v>
      </c>
    </row>
    <row r="483" spans="1:20" ht="14.25" customHeight="1" x14ac:dyDescent="0.3">
      <c r="A483" s="8" t="s">
        <v>1540</v>
      </c>
      <c r="B483" s="21">
        <v>45496</v>
      </c>
      <c r="C483" s="8" t="s">
        <v>851</v>
      </c>
      <c r="D483" s="8" t="s">
        <v>929</v>
      </c>
      <c r="E483" s="8" t="s">
        <v>177</v>
      </c>
      <c r="F483" s="10">
        <v>1</v>
      </c>
      <c r="G483" s="10">
        <v>1090</v>
      </c>
      <c r="H483" s="10">
        <v>18.399999999999999</v>
      </c>
      <c r="I483" s="10">
        <v>889.44</v>
      </c>
      <c r="J483" s="8" t="s">
        <v>41</v>
      </c>
      <c r="K483" s="8" t="s">
        <v>119</v>
      </c>
      <c r="L483" s="18" t="str">
        <f>VLOOKUP(D483,Products!$A:$C,3,FALSE)</f>
        <v>Home</v>
      </c>
      <c r="N483" s="18" t="str">
        <f>VLOOKUP(C483,Customers!$A:$E,5,FALSE)</f>
        <v>Corporate</v>
      </c>
      <c r="O483" s="18">
        <f>VLOOKUP(C483,Customers!$A:$C,3,FALSE)</f>
        <v>31</v>
      </c>
      <c r="P483" s="18" t="str">
        <f>VLOOKUP(E482,Sales_Reps!$A:$C,3,FALSE)</f>
        <v>South</v>
      </c>
      <c r="Q483" s="18" t="str">
        <f t="shared" ref="Q483:Q484" si="104">TEXT(B482,"MMM-YY")</f>
        <v>Aug-24</v>
      </c>
      <c r="R483">
        <f>VLOOKUP(D483, Products!A:D, 4, FALSE)</f>
        <v>464</v>
      </c>
      <c r="S483">
        <f t="shared" ref="S483:S484" si="105">(G483-R483)/G483</f>
        <v>0.57431192660550456</v>
      </c>
      <c r="T483" s="10">
        <v>10.8</v>
      </c>
    </row>
    <row r="484" spans="1:20" ht="14.25" customHeight="1" x14ac:dyDescent="0.3">
      <c r="A484" s="8" t="s">
        <v>1541</v>
      </c>
      <c r="B484" s="21">
        <v>45404</v>
      </c>
      <c r="C484" s="8" t="s">
        <v>294</v>
      </c>
      <c r="D484" s="8" t="s">
        <v>964</v>
      </c>
      <c r="E484" s="8" t="s">
        <v>301</v>
      </c>
      <c r="F484" s="10">
        <v>6</v>
      </c>
      <c r="G484" s="10">
        <v>3780</v>
      </c>
      <c r="H484" s="10">
        <v>15.9</v>
      </c>
      <c r="I484" s="10">
        <v>19073.88</v>
      </c>
      <c r="J484" s="8" t="s">
        <v>41</v>
      </c>
      <c r="K484" s="8" t="s">
        <v>98</v>
      </c>
      <c r="L484" s="18" t="str">
        <f>VLOOKUP(D484,Products!$A:$C,3,FALSE)</f>
        <v>Sports</v>
      </c>
      <c r="N484" s="18" t="str">
        <f>VLOOKUP(C484,Customers!$A:$E,5,FALSE)</f>
        <v>Retail</v>
      </c>
      <c r="O484" s="18">
        <f>VLOOKUP(C484,Customers!$A:$C,3,FALSE)</f>
        <v>22</v>
      </c>
      <c r="P484" s="18" t="str">
        <f>VLOOKUP(E483,Sales_Reps!$A:$C,3,FALSE)</f>
        <v>South</v>
      </c>
      <c r="Q484" s="18" t="str">
        <f t="shared" si="104"/>
        <v>Jul-24</v>
      </c>
      <c r="R484">
        <f>VLOOKUP(D484, Products!A:D, 4, FALSE)</f>
        <v>1860</v>
      </c>
      <c r="S484">
        <f t="shared" si="105"/>
        <v>0.50793650793650791</v>
      </c>
      <c r="T484" s="10">
        <v>25.5</v>
      </c>
    </row>
    <row r="485" spans="1:20" ht="14.25" hidden="1" customHeight="1" x14ac:dyDescent="0.3">
      <c r="A485" s="8" t="s">
        <v>1542</v>
      </c>
      <c r="B485" s="9">
        <v>45330</v>
      </c>
      <c r="C485" s="8" t="s">
        <v>446</v>
      </c>
      <c r="D485" s="8" t="s">
        <v>247</v>
      </c>
      <c r="E485" s="8" t="s">
        <v>158</v>
      </c>
      <c r="F485" s="10">
        <v>3</v>
      </c>
      <c r="G485" s="10">
        <v>3350</v>
      </c>
      <c r="H485" s="10">
        <v>18.8</v>
      </c>
      <c r="I485" s="10">
        <v>8160.6</v>
      </c>
      <c r="J485" s="8" t="s">
        <v>193</v>
      </c>
      <c r="K485" s="8" t="s">
        <v>42</v>
      </c>
      <c r="L485" s="18" t="str">
        <f>VLOOKUP(D485,Products!$A:$C,3,FALSE)</f>
        <v>Beauty</v>
      </c>
      <c r="N485" s="18" t="str">
        <f>VLOOKUP(C485,Customers!$A:$E,5,FALSE)</f>
        <v>SMB</v>
      </c>
      <c r="O485" s="18">
        <f>VLOOKUP(C485,Customers!$A:$C,3,FALSE)</f>
        <v>49</v>
      </c>
      <c r="T485" s="10">
        <v>7.7</v>
      </c>
    </row>
    <row r="486" spans="1:20" ht="14.25" hidden="1" customHeight="1" x14ac:dyDescent="0.3">
      <c r="A486" s="8" t="s">
        <v>1543</v>
      </c>
      <c r="B486" s="9">
        <v>45323</v>
      </c>
      <c r="C486" s="8" t="s">
        <v>157</v>
      </c>
      <c r="D486" s="8" t="s">
        <v>224</v>
      </c>
      <c r="E486" s="8" t="s">
        <v>143</v>
      </c>
      <c r="F486" s="10">
        <v>3</v>
      </c>
      <c r="G486" s="10">
        <v>1080</v>
      </c>
      <c r="H486" s="10">
        <v>3.4</v>
      </c>
      <c r="I486" s="10">
        <v>3129.84</v>
      </c>
      <c r="J486" s="8" t="s">
        <v>41</v>
      </c>
      <c r="K486" s="8" t="s">
        <v>136</v>
      </c>
      <c r="L486" s="18" t="str">
        <f>VLOOKUP(D486,Products!$A:$C,3,FALSE)</f>
        <v>Home</v>
      </c>
      <c r="N486" s="18" t="str">
        <f>VLOOKUP(C486,Customers!$A:$E,5,FALSE)</f>
        <v>Corporate</v>
      </c>
      <c r="O486" s="18">
        <f>VLOOKUP(C486,Customers!$A:$C,3,FALSE)</f>
        <v>57</v>
      </c>
      <c r="T486" s="10">
        <v>23.6</v>
      </c>
    </row>
    <row r="487" spans="1:20" ht="14.25" hidden="1" customHeight="1" x14ac:dyDescent="0.3">
      <c r="A487" s="8" t="s">
        <v>1544</v>
      </c>
      <c r="B487" s="9">
        <v>45519</v>
      </c>
      <c r="C487" s="8" t="s">
        <v>768</v>
      </c>
      <c r="D487" s="8" t="s">
        <v>818</v>
      </c>
      <c r="E487" s="8" t="s">
        <v>196</v>
      </c>
      <c r="F487" s="10">
        <v>6</v>
      </c>
      <c r="G487" s="10">
        <v>4070</v>
      </c>
      <c r="H487" s="10">
        <v>27.7</v>
      </c>
      <c r="I487" s="10">
        <v>17655.66</v>
      </c>
      <c r="J487" s="8" t="s">
        <v>97</v>
      </c>
      <c r="K487" s="8" t="s">
        <v>98</v>
      </c>
      <c r="L487" s="18" t="str">
        <f>VLOOKUP(D487,Products!$A:$C,3,FALSE)</f>
        <v>Grocery</v>
      </c>
      <c r="N487" s="18" t="str">
        <f>VLOOKUP(C487,Customers!$A:$E,5,FALSE)</f>
        <v>SMB</v>
      </c>
      <c r="O487" s="18">
        <f>VLOOKUP(C487,Customers!$A:$C,3,FALSE)</f>
        <v>57</v>
      </c>
      <c r="T487" s="10">
        <v>9.5</v>
      </c>
    </row>
    <row r="488" spans="1:20" ht="14.25" customHeight="1" x14ac:dyDescent="0.3">
      <c r="A488" s="8" t="s">
        <v>1545</v>
      </c>
      <c r="B488" s="21">
        <v>45514</v>
      </c>
      <c r="C488" s="8" t="s">
        <v>294</v>
      </c>
      <c r="D488" s="8" t="s">
        <v>789</v>
      </c>
      <c r="E488" s="8" t="s">
        <v>376</v>
      </c>
      <c r="F488" s="10">
        <v>5</v>
      </c>
      <c r="G488" s="10">
        <v>1540</v>
      </c>
      <c r="H488" s="10">
        <v>24.9</v>
      </c>
      <c r="I488" s="10">
        <v>5782.7</v>
      </c>
      <c r="J488" s="8" t="s">
        <v>41</v>
      </c>
      <c r="K488" s="8" t="s">
        <v>98</v>
      </c>
      <c r="L488" s="18" t="str">
        <f>VLOOKUP(D488,Products!$A:$C,3,FALSE)</f>
        <v>Beauty</v>
      </c>
      <c r="N488" s="18" t="str">
        <f>VLOOKUP(C488,Customers!$A:$E,5,FALSE)</f>
        <v>Retail</v>
      </c>
      <c r="O488" s="18">
        <f>VLOOKUP(C488,Customers!$A:$C,3,FALSE)</f>
        <v>22</v>
      </c>
      <c r="P488" s="18" t="str">
        <f>VLOOKUP(E487,Sales_Reps!$A:$C,3,FALSE)</f>
        <v>East</v>
      </c>
      <c r="Q488" s="18" t="str">
        <f t="shared" ref="Q488:Q493" si="106">TEXT(B487,"MMM-YY")</f>
        <v>Aug-24</v>
      </c>
      <c r="R488">
        <f>VLOOKUP(D488, Products!A:D, 4, FALSE)</f>
        <v>647</v>
      </c>
      <c r="S488">
        <f t="shared" ref="S488:S493" si="107">(G488-R488)/G488</f>
        <v>0.57987012987012987</v>
      </c>
      <c r="T488" s="10">
        <v>17.5</v>
      </c>
    </row>
    <row r="489" spans="1:20" ht="14.25" customHeight="1" x14ac:dyDescent="0.3">
      <c r="A489" s="8" t="s">
        <v>1546</v>
      </c>
      <c r="B489" s="21">
        <v>45497</v>
      </c>
      <c r="C489" s="8" t="s">
        <v>456</v>
      </c>
      <c r="D489" s="8" t="s">
        <v>374</v>
      </c>
      <c r="E489" s="8" t="s">
        <v>172</v>
      </c>
      <c r="F489" s="10">
        <v>6</v>
      </c>
      <c r="G489" s="10">
        <v>2760</v>
      </c>
      <c r="H489" s="10">
        <v>29.9</v>
      </c>
      <c r="I489" s="10">
        <v>11608.56</v>
      </c>
      <c r="J489" s="8" t="s">
        <v>41</v>
      </c>
      <c r="K489" s="8" t="s">
        <v>136</v>
      </c>
      <c r="L489" s="18" t="str">
        <f>VLOOKUP(D489,Products!$A:$C,3,FALSE)</f>
        <v>Grocery</v>
      </c>
      <c r="N489" s="18" t="str">
        <f>VLOOKUP(C489,Customers!$A:$E,5,FALSE)</f>
        <v>SMB</v>
      </c>
      <c r="O489" s="18">
        <f>VLOOKUP(C489,Customers!$A:$C,3,FALSE)</f>
        <v>28</v>
      </c>
      <c r="P489" s="18" t="str">
        <f>VLOOKUP(E488,Sales_Reps!$A:$C,3,FALSE)</f>
        <v>West</v>
      </c>
      <c r="Q489" s="18" t="str">
        <f t="shared" si="106"/>
        <v>Aug-24</v>
      </c>
      <c r="R489">
        <f>VLOOKUP(D489, Products!A:D, 4, FALSE)</f>
        <v>1435</v>
      </c>
      <c r="S489">
        <f t="shared" si="107"/>
        <v>0.48007246376811596</v>
      </c>
      <c r="T489" s="10">
        <v>26.9</v>
      </c>
    </row>
    <row r="490" spans="1:20" ht="14.25" customHeight="1" x14ac:dyDescent="0.3">
      <c r="A490" s="8" t="s">
        <v>1547</v>
      </c>
      <c r="B490" s="21">
        <v>45639</v>
      </c>
      <c r="C490" s="8" t="s">
        <v>673</v>
      </c>
      <c r="D490" s="8" t="s">
        <v>120</v>
      </c>
      <c r="E490" s="8" t="s">
        <v>196</v>
      </c>
      <c r="F490" s="10">
        <v>8</v>
      </c>
      <c r="G490" s="10">
        <v>3970</v>
      </c>
      <c r="H490" s="10">
        <v>23.7</v>
      </c>
      <c r="I490" s="10">
        <v>24232.880000000001</v>
      </c>
      <c r="J490" s="8" t="s">
        <v>41</v>
      </c>
      <c r="K490" s="8" t="s">
        <v>136</v>
      </c>
      <c r="L490" s="18" t="str">
        <f>VLOOKUP(D490,Products!$A:$C,3,FALSE)</f>
        <v>Electronics</v>
      </c>
      <c r="N490" s="18" t="str">
        <f>VLOOKUP(C490,Customers!$A:$E,5,FALSE)</f>
        <v>Retail</v>
      </c>
      <c r="O490" s="18">
        <f>VLOOKUP(C490,Customers!$A:$C,3,FALSE)</f>
        <v>28</v>
      </c>
      <c r="P490" s="18" t="str">
        <f>VLOOKUP(E489,Sales_Reps!$A:$C,3,FALSE)</f>
        <v>West</v>
      </c>
      <c r="Q490" s="18" t="str">
        <f t="shared" si="106"/>
        <v>Jul-24</v>
      </c>
      <c r="R490">
        <f>VLOOKUP(D490, Products!A:D, 4, FALSE)</f>
        <v>2865</v>
      </c>
      <c r="S490">
        <f t="shared" si="107"/>
        <v>0.27833753148614609</v>
      </c>
      <c r="T490" s="10">
        <v>0.6</v>
      </c>
    </row>
    <row r="491" spans="1:20" ht="14.25" customHeight="1" x14ac:dyDescent="0.3">
      <c r="A491" s="8" t="s">
        <v>1548</v>
      </c>
      <c r="B491" s="21">
        <v>45562</v>
      </c>
      <c r="C491" s="8" t="s">
        <v>530</v>
      </c>
      <c r="D491" s="8" t="s">
        <v>889</v>
      </c>
      <c r="E491" s="8" t="s">
        <v>216</v>
      </c>
      <c r="F491" s="10">
        <v>1</v>
      </c>
      <c r="G491" s="10">
        <v>3450</v>
      </c>
      <c r="H491" s="10">
        <v>7.4</v>
      </c>
      <c r="I491" s="10">
        <v>3194.7</v>
      </c>
      <c r="J491" s="8" t="s">
        <v>41</v>
      </c>
      <c r="K491" s="8" t="s">
        <v>146</v>
      </c>
      <c r="L491" s="18" t="str">
        <f>VLOOKUP(D491,Products!$A:$C,3,FALSE)</f>
        <v>Apparel</v>
      </c>
      <c r="N491" s="18" t="str">
        <f>VLOOKUP(C491,Customers!$A:$E,5,FALSE)</f>
        <v>Retail</v>
      </c>
      <c r="O491" s="18">
        <f>VLOOKUP(C491,Customers!$A:$C,3,FALSE)</f>
        <v>37</v>
      </c>
      <c r="P491" s="18" t="str">
        <f>VLOOKUP(E490,Sales_Reps!$A:$C,3,FALSE)</f>
        <v>East</v>
      </c>
      <c r="Q491" s="18" t="str">
        <f t="shared" si="106"/>
        <v>Dec-24</v>
      </c>
      <c r="R491">
        <f>VLOOKUP(D491, Products!A:D, 4, FALSE)</f>
        <v>1748</v>
      </c>
      <c r="S491">
        <f t="shared" si="107"/>
        <v>0.49333333333333335</v>
      </c>
      <c r="T491" s="10">
        <v>19.8</v>
      </c>
    </row>
    <row r="492" spans="1:20" ht="14.25" customHeight="1" x14ac:dyDescent="0.3">
      <c r="A492" s="8" t="s">
        <v>1549</v>
      </c>
      <c r="B492" s="21">
        <v>45308</v>
      </c>
      <c r="C492" s="8" t="s">
        <v>503</v>
      </c>
      <c r="D492" s="8" t="s">
        <v>901</v>
      </c>
      <c r="E492" s="8" t="s">
        <v>96</v>
      </c>
      <c r="F492" s="10">
        <v>3</v>
      </c>
      <c r="G492" s="10">
        <v>3560</v>
      </c>
      <c r="H492" s="10">
        <v>15.2</v>
      </c>
      <c r="I492" s="10">
        <v>9056.64</v>
      </c>
      <c r="J492" s="8" t="s">
        <v>41</v>
      </c>
      <c r="K492" s="8" t="s">
        <v>136</v>
      </c>
      <c r="L492" s="18" t="str">
        <f>VLOOKUP(D492,Products!$A:$C,3,FALSE)</f>
        <v>Apparel</v>
      </c>
      <c r="N492" s="18" t="str">
        <f>VLOOKUP(C492,Customers!$A:$E,5,FALSE)</f>
        <v>Corporate</v>
      </c>
      <c r="O492" s="18">
        <f>VLOOKUP(C492,Customers!$A:$C,3,FALSE)</f>
        <v>36</v>
      </c>
      <c r="P492" s="18" t="str">
        <f>VLOOKUP(E491,Sales_Reps!$A:$C,3,FALSE)</f>
        <v>East</v>
      </c>
      <c r="Q492" s="18" t="str">
        <f t="shared" si="106"/>
        <v>Sep-24</v>
      </c>
      <c r="R492">
        <f>VLOOKUP(D492, Products!A:D, 4, FALSE)</f>
        <v>2629</v>
      </c>
      <c r="S492">
        <f t="shared" si="107"/>
        <v>0.26151685393258428</v>
      </c>
      <c r="T492" s="10">
        <v>27.3</v>
      </c>
    </row>
    <row r="493" spans="1:20" ht="14.25" customHeight="1" x14ac:dyDescent="0.3">
      <c r="A493" s="8" t="s">
        <v>1550</v>
      </c>
      <c r="B493" s="21">
        <v>45428</v>
      </c>
      <c r="C493" s="8" t="s">
        <v>391</v>
      </c>
      <c r="D493" s="8" t="s">
        <v>211</v>
      </c>
      <c r="E493" s="8" t="s">
        <v>143</v>
      </c>
      <c r="F493" s="10">
        <v>4</v>
      </c>
      <c r="G493" s="10">
        <v>3570</v>
      </c>
      <c r="H493" s="10">
        <v>18.899999999999999</v>
      </c>
      <c r="I493" s="10">
        <v>11581.08</v>
      </c>
      <c r="J493" s="8" t="s">
        <v>41</v>
      </c>
      <c r="K493" s="8" t="s">
        <v>42</v>
      </c>
      <c r="L493" s="18" t="str">
        <f>VLOOKUP(D493,Products!$A:$C,3,FALSE)</f>
        <v>Electronics</v>
      </c>
      <c r="N493" s="18" t="str">
        <f>VLOOKUP(C493,Customers!$A:$E,5,FALSE)</f>
        <v>Corporate</v>
      </c>
      <c r="O493" s="18">
        <f>VLOOKUP(C493,Customers!$A:$C,3,FALSE)</f>
        <v>29</v>
      </c>
      <c r="P493" s="18" t="str">
        <f>VLOOKUP(E492,Sales_Reps!$A:$C,3,FALSE)</f>
        <v>North</v>
      </c>
      <c r="Q493" s="18" t="str">
        <f t="shared" si="106"/>
        <v>Jan-24</v>
      </c>
      <c r="R493">
        <f>VLOOKUP(D493, Products!A:D, 4, FALSE)</f>
        <v>1665</v>
      </c>
      <c r="S493">
        <f t="shared" si="107"/>
        <v>0.53361344537815125</v>
      </c>
      <c r="T493" s="10">
        <v>17.7</v>
      </c>
    </row>
    <row r="494" spans="1:20" ht="14.25" hidden="1" customHeight="1" x14ac:dyDescent="0.3">
      <c r="A494" s="8" t="s">
        <v>1551</v>
      </c>
      <c r="B494" s="9">
        <v>45472</v>
      </c>
      <c r="C494" s="8" t="s">
        <v>801</v>
      </c>
      <c r="D494" s="8" t="s">
        <v>152</v>
      </c>
      <c r="E494" s="8" t="s">
        <v>145</v>
      </c>
      <c r="F494" s="10">
        <v>9</v>
      </c>
      <c r="G494" s="10">
        <v>960</v>
      </c>
      <c r="H494" s="10">
        <v>14</v>
      </c>
      <c r="I494" s="10">
        <v>7430.4</v>
      </c>
      <c r="J494" s="8" t="s">
        <v>193</v>
      </c>
      <c r="K494" s="8" t="s">
        <v>42</v>
      </c>
      <c r="L494" s="18" t="str">
        <f>VLOOKUP(D494,Products!$A:$C,3,FALSE)</f>
        <v>Sports</v>
      </c>
      <c r="N494" s="18" t="str">
        <f>VLOOKUP(C494,Customers!$A:$E,5,FALSE)</f>
        <v>Retail</v>
      </c>
      <c r="O494" s="18">
        <f>VLOOKUP(C494,Customers!$A:$C,3,FALSE)</f>
        <v>59</v>
      </c>
      <c r="T494" s="10">
        <v>20.2</v>
      </c>
    </row>
    <row r="495" spans="1:20" ht="14.25" hidden="1" customHeight="1" x14ac:dyDescent="0.3">
      <c r="A495" s="8" t="s">
        <v>1552</v>
      </c>
      <c r="B495" s="9">
        <v>45406</v>
      </c>
      <c r="C495" s="8" t="s">
        <v>598</v>
      </c>
      <c r="D495" s="8" t="s">
        <v>215</v>
      </c>
      <c r="E495" s="8" t="s">
        <v>221</v>
      </c>
      <c r="F495" s="10">
        <v>9</v>
      </c>
      <c r="G495" s="10">
        <v>3450</v>
      </c>
      <c r="H495" s="10">
        <v>6</v>
      </c>
      <c r="I495" s="10">
        <v>29187</v>
      </c>
      <c r="J495" s="8" t="s">
        <v>147</v>
      </c>
      <c r="K495" s="8" t="s">
        <v>42</v>
      </c>
      <c r="L495" s="18" t="str">
        <f>VLOOKUP(D495,Products!$A:$C,3,FALSE)</f>
        <v>Beauty</v>
      </c>
      <c r="N495" s="18" t="str">
        <f>VLOOKUP(C495,Customers!$A:$E,5,FALSE)</f>
        <v>Corporate</v>
      </c>
      <c r="O495" s="18">
        <f>VLOOKUP(C495,Customers!$A:$C,3,FALSE)</f>
        <v>52</v>
      </c>
      <c r="T495" s="10">
        <v>24.8</v>
      </c>
    </row>
    <row r="496" spans="1:20" ht="14.25" hidden="1" customHeight="1" x14ac:dyDescent="0.3">
      <c r="A496" s="8" t="s">
        <v>1553</v>
      </c>
      <c r="B496" s="9">
        <v>45457</v>
      </c>
      <c r="C496" s="8" t="s">
        <v>317</v>
      </c>
      <c r="D496" s="8" t="s">
        <v>247</v>
      </c>
      <c r="E496" s="8" t="s">
        <v>189</v>
      </c>
      <c r="F496" s="10">
        <v>7</v>
      </c>
      <c r="G496" s="10">
        <v>3350</v>
      </c>
      <c r="H496" s="10">
        <v>14</v>
      </c>
      <c r="I496" s="10">
        <v>20167</v>
      </c>
      <c r="J496" s="8" t="s">
        <v>147</v>
      </c>
      <c r="K496" s="8" t="s">
        <v>136</v>
      </c>
      <c r="L496" s="18" t="str">
        <f>VLOOKUP(D496,Products!$A:$C,3,FALSE)</f>
        <v>Beauty</v>
      </c>
      <c r="N496" s="18" t="str">
        <f>VLOOKUP(C496,Customers!$A:$E,5,FALSE)</f>
        <v>Retail</v>
      </c>
      <c r="O496" s="18">
        <f>VLOOKUP(C496,Customers!$A:$C,3,FALSE)</f>
        <v>59</v>
      </c>
      <c r="T496" s="10">
        <v>3.8</v>
      </c>
    </row>
    <row r="497" spans="1:20" ht="14.25" customHeight="1" x14ac:dyDescent="0.3">
      <c r="A497" s="8" t="s">
        <v>1554</v>
      </c>
      <c r="B497" s="21">
        <v>45298</v>
      </c>
      <c r="C497" s="8" t="s">
        <v>330</v>
      </c>
      <c r="D497" s="8" t="s">
        <v>949</v>
      </c>
      <c r="E497" s="8" t="s">
        <v>185</v>
      </c>
      <c r="F497" s="10">
        <v>6</v>
      </c>
      <c r="G497" s="10">
        <v>960</v>
      </c>
      <c r="H497" s="10">
        <v>10.1</v>
      </c>
      <c r="I497" s="10">
        <v>5178.24</v>
      </c>
      <c r="J497" s="8" t="s">
        <v>41</v>
      </c>
      <c r="K497" s="8" t="s">
        <v>119</v>
      </c>
      <c r="L497" s="18" t="str">
        <f>VLOOKUP(D497,Products!$A:$C,3,FALSE)</f>
        <v>Beauty</v>
      </c>
      <c r="N497" s="18" t="str">
        <f>VLOOKUP(C497,Customers!$A:$E,5,FALSE)</f>
        <v>Retail</v>
      </c>
      <c r="O497" s="18">
        <f>VLOOKUP(C497,Customers!$A:$C,3,FALSE)</f>
        <v>35</v>
      </c>
      <c r="P497" s="18" t="str">
        <f>VLOOKUP(E496,Sales_Reps!$A:$C,3,FALSE)</f>
        <v>South</v>
      </c>
      <c r="Q497" s="18" t="str">
        <f t="shared" ref="Q497:Q500" si="108">TEXT(B496,"MMM-YY")</f>
        <v>Jun-24</v>
      </c>
      <c r="R497">
        <f>VLOOKUP(D497, Products!A:D, 4, FALSE)</f>
        <v>675</v>
      </c>
      <c r="S497">
        <f t="shared" ref="S497:S500" si="109">(G497-R497)/G497</f>
        <v>0.296875</v>
      </c>
      <c r="T497" s="10">
        <v>26.2</v>
      </c>
    </row>
    <row r="498" spans="1:20" ht="14.25" customHeight="1" x14ac:dyDescent="0.3">
      <c r="A498" s="8" t="s">
        <v>1555</v>
      </c>
      <c r="B498" s="21">
        <v>45337</v>
      </c>
      <c r="C498" s="8" t="s">
        <v>183</v>
      </c>
      <c r="D498" s="8" t="s">
        <v>154</v>
      </c>
      <c r="E498" s="8" t="s">
        <v>221</v>
      </c>
      <c r="F498" s="10">
        <v>7</v>
      </c>
      <c r="G498" s="10">
        <v>300</v>
      </c>
      <c r="H498" s="10">
        <v>21.9</v>
      </c>
      <c r="I498" s="10">
        <v>1640.1</v>
      </c>
      <c r="J498" s="8" t="s">
        <v>41</v>
      </c>
      <c r="K498" s="8" t="s">
        <v>119</v>
      </c>
      <c r="L498" s="18" t="str">
        <f>VLOOKUP(D498,Products!$A:$C,3,FALSE)</f>
        <v>Electronics</v>
      </c>
      <c r="N498" s="18" t="str">
        <f>VLOOKUP(C498,Customers!$A:$E,5,FALSE)</f>
        <v>SMB</v>
      </c>
      <c r="O498" s="18">
        <f>VLOOKUP(C498,Customers!$A:$C,3,FALSE)</f>
        <v>27</v>
      </c>
      <c r="P498" s="18" t="str">
        <f>VLOOKUP(E497,Sales_Reps!$A:$C,3,FALSE)</f>
        <v>North</v>
      </c>
      <c r="Q498" s="18" t="str">
        <f t="shared" si="108"/>
        <v>Jan-24</v>
      </c>
      <c r="R498">
        <f>VLOOKUP(D498, Products!A:D, 4, FALSE)</f>
        <v>128</v>
      </c>
      <c r="S498">
        <f t="shared" si="109"/>
        <v>0.57333333333333336</v>
      </c>
      <c r="T498" s="10">
        <v>5.6</v>
      </c>
    </row>
    <row r="499" spans="1:20" ht="14.25" customHeight="1" x14ac:dyDescent="0.3">
      <c r="A499" s="8" t="s">
        <v>1556</v>
      </c>
      <c r="B499" s="21">
        <v>45389</v>
      </c>
      <c r="C499" s="8" t="s">
        <v>742</v>
      </c>
      <c r="D499" s="8" t="s">
        <v>909</v>
      </c>
      <c r="E499" s="8" t="s">
        <v>158</v>
      </c>
      <c r="F499" s="10">
        <v>2</v>
      </c>
      <c r="G499" s="10">
        <v>2380</v>
      </c>
      <c r="H499" s="10">
        <v>6.8</v>
      </c>
      <c r="I499" s="10">
        <v>4436.32</v>
      </c>
      <c r="J499" s="8" t="s">
        <v>41</v>
      </c>
      <c r="K499" s="8" t="s">
        <v>178</v>
      </c>
      <c r="L499" s="18" t="str">
        <f>VLOOKUP(D499,Products!$A:$C,3,FALSE)</f>
        <v>Grocery</v>
      </c>
      <c r="N499" s="18" t="str">
        <f>VLOOKUP(C499,Customers!$A:$E,5,FALSE)</f>
        <v>Retail</v>
      </c>
      <c r="O499" s="18">
        <f>VLOOKUP(C499,Customers!$A:$C,3,FALSE)</f>
        <v>38</v>
      </c>
      <c r="P499" s="18" t="str">
        <f>VLOOKUP(E498,Sales_Reps!$A:$C,3,FALSE)</f>
        <v>South</v>
      </c>
      <c r="Q499" s="18" t="str">
        <f t="shared" si="108"/>
        <v>Feb-24</v>
      </c>
      <c r="R499">
        <f>VLOOKUP(D499, Products!A:D, 4, FALSE)</f>
        <v>1182</v>
      </c>
      <c r="S499">
        <f t="shared" si="109"/>
        <v>0.50336134453781511</v>
      </c>
      <c r="T499" s="10">
        <v>19.5</v>
      </c>
    </row>
    <row r="500" spans="1:20" ht="14.25" customHeight="1" x14ac:dyDescent="0.3">
      <c r="A500" s="8" t="s">
        <v>1557</v>
      </c>
      <c r="B500" s="21">
        <v>45298</v>
      </c>
      <c r="C500" s="8" t="s">
        <v>812</v>
      </c>
      <c r="D500" s="8" t="s">
        <v>152</v>
      </c>
      <c r="E500" s="8" t="s">
        <v>153</v>
      </c>
      <c r="F500" s="10">
        <v>5</v>
      </c>
      <c r="G500" s="10">
        <v>960</v>
      </c>
      <c r="H500" s="10">
        <v>15</v>
      </c>
      <c r="I500" s="10">
        <v>4080</v>
      </c>
      <c r="J500" s="8" t="s">
        <v>147</v>
      </c>
      <c r="K500" s="8" t="s">
        <v>136</v>
      </c>
      <c r="L500" s="18" t="str">
        <f>VLOOKUP(D500,Products!$A:$C,3,FALSE)</f>
        <v>Sports</v>
      </c>
      <c r="N500" s="18" t="str">
        <f>VLOOKUP(C500,Customers!$A:$E,5,FALSE)</f>
        <v>Retail</v>
      </c>
      <c r="O500" s="18">
        <f>VLOOKUP(C500,Customers!$A:$C,3,FALSE)</f>
        <v>29</v>
      </c>
      <c r="P500" s="18" t="str">
        <f>VLOOKUP(E499,Sales_Reps!$A:$C,3,FALSE)</f>
        <v>East</v>
      </c>
      <c r="Q500" s="18" t="str">
        <f t="shared" si="108"/>
        <v>Apr-24</v>
      </c>
      <c r="R500">
        <f>VLOOKUP(D500, Products!A:D, 4, FALSE)</f>
        <v>705</v>
      </c>
      <c r="S500">
        <f t="shared" si="109"/>
        <v>0.265625</v>
      </c>
      <c r="T500" s="10">
        <v>11</v>
      </c>
    </row>
    <row r="501" spans="1:20" ht="14.25" hidden="1" customHeight="1" x14ac:dyDescent="0.3">
      <c r="A501" s="8" t="s">
        <v>1558</v>
      </c>
      <c r="B501" s="9">
        <v>45577</v>
      </c>
      <c r="C501" s="8" t="s">
        <v>686</v>
      </c>
      <c r="D501" s="8" t="s">
        <v>964</v>
      </c>
      <c r="E501" s="8" t="s">
        <v>189</v>
      </c>
      <c r="F501" s="10">
        <v>10</v>
      </c>
      <c r="G501" s="10">
        <v>3780</v>
      </c>
      <c r="H501" s="10">
        <v>24.1</v>
      </c>
      <c r="I501" s="10">
        <v>28690.2</v>
      </c>
      <c r="J501" s="8" t="s">
        <v>193</v>
      </c>
      <c r="K501" s="8" t="s">
        <v>98</v>
      </c>
      <c r="L501" s="18" t="str">
        <f>VLOOKUP(D501,Products!$A:$C,3,FALSE)</f>
        <v>Sports</v>
      </c>
      <c r="N501" s="18" t="str">
        <f>VLOOKUP(C501,Customers!$A:$E,5,FALSE)</f>
        <v>SMB</v>
      </c>
      <c r="O501" s="18">
        <f>VLOOKUP(C501,Customers!$A:$C,3,FALSE)</f>
        <v>55</v>
      </c>
      <c r="T501" s="10">
        <v>20.399999999999999</v>
      </c>
    </row>
    <row r="502" spans="1:20" ht="14.25" hidden="1" customHeight="1" x14ac:dyDescent="0.3">
      <c r="A502" s="8" t="s">
        <v>1559</v>
      </c>
      <c r="B502" s="9">
        <v>45355</v>
      </c>
      <c r="C502" s="8" t="s">
        <v>410</v>
      </c>
      <c r="D502" s="8" t="s">
        <v>789</v>
      </c>
      <c r="E502" s="8" t="s">
        <v>321</v>
      </c>
      <c r="F502" s="10">
        <v>4</v>
      </c>
      <c r="G502" s="10">
        <v>1540</v>
      </c>
      <c r="H502" s="10">
        <v>14.2</v>
      </c>
      <c r="I502" s="10">
        <v>5285.28</v>
      </c>
      <c r="J502" s="8" t="s">
        <v>147</v>
      </c>
      <c r="K502" s="8" t="s">
        <v>98</v>
      </c>
      <c r="L502" s="18" t="str">
        <f>VLOOKUP(D502,Products!$A:$C,3,FALSE)</f>
        <v>Beauty</v>
      </c>
      <c r="N502" s="18" t="str">
        <f>VLOOKUP(C502,Customers!$A:$E,5,FALSE)</f>
        <v>Retail</v>
      </c>
      <c r="O502" s="18">
        <f>VLOOKUP(C502,Customers!$A:$C,3,FALSE)</f>
        <v>51</v>
      </c>
      <c r="T502" s="10">
        <v>25.5</v>
      </c>
    </row>
    <row r="503" spans="1:20" ht="14.25" hidden="1" customHeight="1" x14ac:dyDescent="0.3">
      <c r="A503" s="8" t="s">
        <v>1560</v>
      </c>
      <c r="B503" s="9">
        <v>45463</v>
      </c>
      <c r="C503" s="8" t="s">
        <v>340</v>
      </c>
      <c r="D503" s="8" t="s">
        <v>898</v>
      </c>
      <c r="E503" s="8" t="s">
        <v>96</v>
      </c>
      <c r="F503" s="10">
        <v>10</v>
      </c>
      <c r="G503" s="10">
        <v>2510</v>
      </c>
      <c r="H503" s="10">
        <v>20.8</v>
      </c>
      <c r="I503" s="10">
        <v>19879.2</v>
      </c>
      <c r="J503" s="8" t="s">
        <v>41</v>
      </c>
      <c r="K503" s="8" t="s">
        <v>136</v>
      </c>
      <c r="L503" s="18" t="str">
        <f>VLOOKUP(D503,Products!$A:$C,3,FALSE)</f>
        <v>Apparel</v>
      </c>
      <c r="N503" s="18" t="str">
        <f>VLOOKUP(C503,Customers!$A:$E,5,FALSE)</f>
        <v>Retail</v>
      </c>
      <c r="O503" s="18">
        <f>VLOOKUP(C503,Customers!$A:$C,3,FALSE)</f>
        <v>52</v>
      </c>
      <c r="T503" s="10">
        <v>6.8</v>
      </c>
    </row>
    <row r="504" spans="1:20" ht="14.25" hidden="1" customHeight="1" x14ac:dyDescent="0.3">
      <c r="A504" s="8" t="s">
        <v>1561</v>
      </c>
      <c r="B504" s="9">
        <v>45374</v>
      </c>
      <c r="C504" s="8" t="s">
        <v>580</v>
      </c>
      <c r="D504" s="8" t="s">
        <v>912</v>
      </c>
      <c r="E504" s="8" t="s">
        <v>117</v>
      </c>
      <c r="F504" s="10">
        <v>9</v>
      </c>
      <c r="G504" s="10">
        <v>4060</v>
      </c>
      <c r="H504" s="10">
        <v>27.1</v>
      </c>
      <c r="I504" s="10">
        <v>26637.66</v>
      </c>
      <c r="J504" s="8" t="s">
        <v>41</v>
      </c>
      <c r="K504" s="8" t="s">
        <v>178</v>
      </c>
      <c r="L504" s="18" t="str">
        <f>VLOOKUP(D504,Products!$A:$C,3,FALSE)</f>
        <v>Grocery</v>
      </c>
      <c r="N504" s="18" t="str">
        <f>VLOOKUP(C504,Customers!$A:$E,5,FALSE)</f>
        <v>Retail</v>
      </c>
      <c r="O504" s="18">
        <f>VLOOKUP(C504,Customers!$A:$C,3,FALSE)</f>
        <v>44</v>
      </c>
      <c r="T504" s="10">
        <v>29.6</v>
      </c>
    </row>
    <row r="505" spans="1:20" ht="14.25" customHeight="1" x14ac:dyDescent="0.3">
      <c r="A505" s="8" t="s">
        <v>1562</v>
      </c>
      <c r="B505" s="21">
        <v>45638</v>
      </c>
      <c r="C505" s="8" t="s">
        <v>543</v>
      </c>
      <c r="D505" s="8" t="s">
        <v>205</v>
      </c>
      <c r="E505" s="8" t="s">
        <v>145</v>
      </c>
      <c r="F505" s="10">
        <v>4</v>
      </c>
      <c r="G505" s="10">
        <v>2400</v>
      </c>
      <c r="H505" s="10">
        <v>19.100000000000001</v>
      </c>
      <c r="I505" s="10">
        <v>7766.4</v>
      </c>
      <c r="J505" s="8" t="s">
        <v>41</v>
      </c>
      <c r="K505" s="8" t="s">
        <v>119</v>
      </c>
      <c r="L505" s="18" t="str">
        <f>VLOOKUP(D505,Products!$A:$C,3,FALSE)</f>
        <v>Sports</v>
      </c>
      <c r="N505" s="18" t="str">
        <f>VLOOKUP(C505,Customers!$A:$E,5,FALSE)</f>
        <v>SMB</v>
      </c>
      <c r="O505" s="18">
        <f>VLOOKUP(C505,Customers!$A:$C,3,FALSE)</f>
        <v>28</v>
      </c>
      <c r="P505" s="18" t="str">
        <f>VLOOKUP(E504,Sales_Reps!$A:$C,3,FALSE)</f>
        <v>South</v>
      </c>
      <c r="Q505" s="18" t="str">
        <f>TEXT(B504,"MMM-YY")</f>
        <v>Mar-24</v>
      </c>
      <c r="R505">
        <f>VLOOKUP(D505, Products!A:D, 4, FALSE)</f>
        <v>974</v>
      </c>
      <c r="S505">
        <f>(G505-R505)/G505</f>
        <v>0.59416666666666662</v>
      </c>
      <c r="T505" s="10">
        <v>22.2</v>
      </c>
    </row>
    <row r="506" spans="1:20" ht="14.25" hidden="1" customHeight="1" x14ac:dyDescent="0.3">
      <c r="A506" s="8" t="s">
        <v>1563</v>
      </c>
      <c r="B506" s="9">
        <v>45525</v>
      </c>
      <c r="C506" s="8" t="s">
        <v>123</v>
      </c>
      <c r="D506" s="8" t="s">
        <v>283</v>
      </c>
      <c r="E506" s="8" t="s">
        <v>196</v>
      </c>
      <c r="F506" s="10">
        <v>8</v>
      </c>
      <c r="G506" s="10">
        <v>4880</v>
      </c>
      <c r="H506" s="10">
        <v>9.1999999999999993</v>
      </c>
      <c r="I506" s="10">
        <v>35448.32</v>
      </c>
      <c r="J506" s="8" t="s">
        <v>147</v>
      </c>
      <c r="K506" s="8" t="s">
        <v>119</v>
      </c>
      <c r="L506" s="18" t="str">
        <f>VLOOKUP(D506,Products!$A:$C,3,FALSE)</f>
        <v>Beauty</v>
      </c>
      <c r="N506" s="18" t="str">
        <f>VLOOKUP(C506,Customers!$A:$E,5,FALSE)</f>
        <v>Corporate</v>
      </c>
      <c r="O506" s="18">
        <f>VLOOKUP(C506,Customers!$A:$C,3,FALSE)</f>
        <v>46</v>
      </c>
      <c r="T506" s="10">
        <v>21.1</v>
      </c>
    </row>
    <row r="507" spans="1:20" ht="14.25" hidden="1" customHeight="1" x14ac:dyDescent="0.3">
      <c r="A507" s="8" t="s">
        <v>1564</v>
      </c>
      <c r="B507" s="9">
        <v>45586</v>
      </c>
      <c r="C507" s="8" t="s">
        <v>772</v>
      </c>
      <c r="D507" s="8" t="s">
        <v>320</v>
      </c>
      <c r="E507" s="8" t="s">
        <v>158</v>
      </c>
      <c r="F507" s="10">
        <v>9</v>
      </c>
      <c r="G507" s="10">
        <v>5100</v>
      </c>
      <c r="H507" s="10">
        <v>11.1</v>
      </c>
      <c r="I507" s="10">
        <v>40805.1</v>
      </c>
      <c r="J507" s="8" t="s">
        <v>147</v>
      </c>
      <c r="K507" s="8" t="s">
        <v>146</v>
      </c>
      <c r="L507" s="18" t="str">
        <f>VLOOKUP(D507,Products!$A:$C,3,FALSE)</f>
        <v>Beauty</v>
      </c>
      <c r="N507" s="18" t="str">
        <f>VLOOKUP(C507,Customers!$A:$E,5,FALSE)</f>
        <v>Retail</v>
      </c>
      <c r="O507" s="18">
        <f>VLOOKUP(C507,Customers!$A:$C,3,FALSE)</f>
        <v>44</v>
      </c>
      <c r="T507" s="10">
        <v>0.9</v>
      </c>
    </row>
    <row r="508" spans="1:20" ht="14.25" customHeight="1" x14ac:dyDescent="0.3">
      <c r="A508" s="8" t="s">
        <v>1565</v>
      </c>
      <c r="B508" s="21">
        <v>45637</v>
      </c>
      <c r="C508" s="8" t="s">
        <v>645</v>
      </c>
      <c r="D508" s="8" t="s">
        <v>154</v>
      </c>
      <c r="E508" s="8" t="s">
        <v>172</v>
      </c>
      <c r="F508" s="10">
        <v>4</v>
      </c>
      <c r="G508" s="10">
        <v>300</v>
      </c>
      <c r="H508" s="10">
        <v>16.7</v>
      </c>
      <c r="I508" s="10">
        <v>999.6</v>
      </c>
      <c r="J508" s="8" t="s">
        <v>41</v>
      </c>
      <c r="K508" s="8" t="s">
        <v>119</v>
      </c>
      <c r="L508" s="18" t="str">
        <f>VLOOKUP(D508,Products!$A:$C,3,FALSE)</f>
        <v>Electronics</v>
      </c>
      <c r="N508" s="18" t="str">
        <f>VLOOKUP(C508,Customers!$A:$E,5,FALSE)</f>
        <v>SMB</v>
      </c>
      <c r="O508" s="18">
        <f>VLOOKUP(C508,Customers!$A:$C,3,FALSE)</f>
        <v>38</v>
      </c>
      <c r="P508" s="18" t="str">
        <f>VLOOKUP(E507,Sales_Reps!$A:$C,3,FALSE)</f>
        <v>East</v>
      </c>
      <c r="Q508" s="18" t="str">
        <f t="shared" ref="Q508:Q510" si="110">TEXT(B507,"MMM-YY")</f>
        <v>Oct-24</v>
      </c>
      <c r="R508">
        <f>VLOOKUP(D508, Products!A:D, 4, FALSE)</f>
        <v>128</v>
      </c>
      <c r="S508">
        <f t="shared" ref="S508:S510" si="111">(G508-R508)/G508</f>
        <v>0.57333333333333336</v>
      </c>
      <c r="T508" s="10">
        <v>19.399999999999999</v>
      </c>
    </row>
    <row r="509" spans="1:20" ht="14.25" customHeight="1" x14ac:dyDescent="0.3">
      <c r="A509" s="8" t="s">
        <v>1566</v>
      </c>
      <c r="B509" s="21">
        <v>45443</v>
      </c>
      <c r="C509" s="8" t="s">
        <v>442</v>
      </c>
      <c r="D509" s="8" t="s">
        <v>227</v>
      </c>
      <c r="E509" s="8" t="s">
        <v>117</v>
      </c>
      <c r="F509" s="10">
        <v>6</v>
      </c>
      <c r="G509" s="10">
        <v>2480</v>
      </c>
      <c r="H509" s="10">
        <v>3.3</v>
      </c>
      <c r="I509" s="10">
        <v>14388.96</v>
      </c>
      <c r="J509" s="8" t="s">
        <v>41</v>
      </c>
      <c r="K509" s="8" t="s">
        <v>98</v>
      </c>
      <c r="L509" s="18" t="str">
        <f>VLOOKUP(D509,Products!$A:$C,3,FALSE)</f>
        <v>Apparel</v>
      </c>
      <c r="N509" s="18" t="str">
        <f>VLOOKUP(C509,Customers!$A:$E,5,FALSE)</f>
        <v>Retail</v>
      </c>
      <c r="O509" s="18">
        <f>VLOOKUP(C509,Customers!$A:$C,3,FALSE)</f>
        <v>26</v>
      </c>
      <c r="P509" s="18" t="str">
        <f>VLOOKUP(E508,Sales_Reps!$A:$C,3,FALSE)</f>
        <v>West</v>
      </c>
      <c r="Q509" s="18" t="str">
        <f t="shared" si="110"/>
        <v>Dec-24</v>
      </c>
      <c r="R509">
        <f>VLOOKUP(D509, Products!A:D, 4, FALSE)</f>
        <v>1173</v>
      </c>
      <c r="S509">
        <f t="shared" si="111"/>
        <v>0.52701612903225803</v>
      </c>
      <c r="T509" s="10">
        <v>14.8</v>
      </c>
    </row>
    <row r="510" spans="1:20" ht="14.25" customHeight="1" x14ac:dyDescent="0.3">
      <c r="A510" s="8" t="s">
        <v>1567</v>
      </c>
      <c r="B510" s="21">
        <v>45569</v>
      </c>
      <c r="C510" s="8" t="s">
        <v>133</v>
      </c>
      <c r="D510" s="8" t="s">
        <v>242</v>
      </c>
      <c r="E510" s="8" t="s">
        <v>208</v>
      </c>
      <c r="F510" s="10">
        <v>10</v>
      </c>
      <c r="G510" s="10">
        <v>1650</v>
      </c>
      <c r="H510" s="10">
        <v>22.9</v>
      </c>
      <c r="I510" s="10">
        <v>12721.5</v>
      </c>
      <c r="J510" s="8" t="s">
        <v>193</v>
      </c>
      <c r="K510" s="8" t="s">
        <v>98</v>
      </c>
      <c r="L510" s="18" t="str">
        <f>VLOOKUP(D510,Products!$A:$C,3,FALSE)</f>
        <v>Beauty</v>
      </c>
      <c r="N510" s="18" t="str">
        <f>VLOOKUP(C510,Customers!$A:$E,5,FALSE)</f>
        <v>Retail</v>
      </c>
      <c r="O510" s="18">
        <f>VLOOKUP(C510,Customers!$A:$C,3,FALSE)</f>
        <v>36</v>
      </c>
      <c r="P510" s="18" t="str">
        <f>VLOOKUP(E509,Sales_Reps!$A:$C,3,FALSE)</f>
        <v>South</v>
      </c>
      <c r="Q510" s="18" t="str">
        <f t="shared" si="110"/>
        <v>May-24</v>
      </c>
      <c r="R510">
        <f>VLOOKUP(D510, Products!A:D, 4, FALSE)</f>
        <v>1222</v>
      </c>
      <c r="S510">
        <f t="shared" si="111"/>
        <v>0.2593939393939394</v>
      </c>
      <c r="T510" s="10">
        <v>0.3</v>
      </c>
    </row>
    <row r="511" spans="1:20" ht="14.25" hidden="1" customHeight="1" x14ac:dyDescent="0.3">
      <c r="A511" s="8" t="s">
        <v>1568</v>
      </c>
      <c r="B511" s="9">
        <v>45319</v>
      </c>
      <c r="C511" s="8" t="s">
        <v>479</v>
      </c>
      <c r="D511" s="8" t="s">
        <v>918</v>
      </c>
      <c r="E511" s="8" t="s">
        <v>189</v>
      </c>
      <c r="F511" s="10">
        <v>3</v>
      </c>
      <c r="G511" s="10">
        <v>2210</v>
      </c>
      <c r="H511" s="10">
        <v>11.1</v>
      </c>
      <c r="I511" s="10">
        <v>5894.07</v>
      </c>
      <c r="J511" s="8" t="s">
        <v>41</v>
      </c>
      <c r="K511" s="8" t="s">
        <v>178</v>
      </c>
      <c r="L511" s="18" t="str">
        <f>VLOOKUP(D511,Products!$A:$C,3,FALSE)</f>
        <v>Grocery</v>
      </c>
      <c r="N511" s="18" t="str">
        <f>VLOOKUP(C511,Customers!$A:$E,5,FALSE)</f>
        <v>Corporate</v>
      </c>
      <c r="O511" s="18">
        <f>VLOOKUP(C511,Customers!$A:$C,3,FALSE)</f>
        <v>54</v>
      </c>
      <c r="T511" s="10">
        <v>9.5</v>
      </c>
    </row>
    <row r="512" spans="1:20" ht="14.25" hidden="1" customHeight="1" x14ac:dyDescent="0.3">
      <c r="A512" s="8" t="s">
        <v>1569</v>
      </c>
      <c r="B512" s="9">
        <v>45406</v>
      </c>
      <c r="C512" s="8" t="s">
        <v>631</v>
      </c>
      <c r="D512" s="8" t="s">
        <v>227</v>
      </c>
      <c r="E512" s="8" t="s">
        <v>96</v>
      </c>
      <c r="F512" s="10">
        <v>10</v>
      </c>
      <c r="G512" s="10">
        <v>2480</v>
      </c>
      <c r="H512" s="10">
        <v>13</v>
      </c>
      <c r="I512" s="10">
        <v>21576</v>
      </c>
      <c r="J512" s="8" t="s">
        <v>97</v>
      </c>
      <c r="K512" s="8" t="s">
        <v>42</v>
      </c>
      <c r="L512" s="18" t="str">
        <f>VLOOKUP(D512,Products!$A:$C,3,FALSE)</f>
        <v>Apparel</v>
      </c>
      <c r="N512" s="18" t="str">
        <f>VLOOKUP(C512,Customers!$A:$E,5,FALSE)</f>
        <v>Retail</v>
      </c>
      <c r="O512" s="18">
        <f>VLOOKUP(C512,Customers!$A:$C,3,FALSE)</f>
        <v>54</v>
      </c>
      <c r="T512" s="10">
        <v>13.4</v>
      </c>
    </row>
    <row r="513" spans="1:20" ht="14.25" hidden="1" customHeight="1" x14ac:dyDescent="0.3">
      <c r="A513" s="8" t="s">
        <v>1570</v>
      </c>
      <c r="B513" s="9">
        <v>45629</v>
      </c>
      <c r="C513" s="8" t="s">
        <v>123</v>
      </c>
      <c r="D513" s="8" t="s">
        <v>230</v>
      </c>
      <c r="E513" s="8" t="s">
        <v>208</v>
      </c>
      <c r="F513" s="10">
        <v>10</v>
      </c>
      <c r="G513" s="10">
        <v>5330</v>
      </c>
      <c r="H513" s="10">
        <v>0.7</v>
      </c>
      <c r="I513" s="10">
        <v>52926.9</v>
      </c>
      <c r="J513" s="8" t="s">
        <v>41</v>
      </c>
      <c r="K513" s="8" t="s">
        <v>119</v>
      </c>
      <c r="L513" s="18" t="str">
        <f>VLOOKUP(D513,Products!$A:$C,3,FALSE)</f>
        <v>Electronics</v>
      </c>
      <c r="N513" s="18" t="str">
        <f>VLOOKUP(C513,Customers!$A:$E,5,FALSE)</f>
        <v>Corporate</v>
      </c>
      <c r="O513" s="18">
        <f>VLOOKUP(C513,Customers!$A:$C,3,FALSE)</f>
        <v>46</v>
      </c>
      <c r="T513" s="10">
        <v>14</v>
      </c>
    </row>
    <row r="514" spans="1:20" ht="14.25" hidden="1" customHeight="1" x14ac:dyDescent="0.3">
      <c r="A514" s="8" t="s">
        <v>1571</v>
      </c>
      <c r="B514" s="9">
        <v>45612</v>
      </c>
      <c r="C514" s="8" t="s">
        <v>805</v>
      </c>
      <c r="D514" s="8" t="s">
        <v>818</v>
      </c>
      <c r="E514" s="8" t="s">
        <v>189</v>
      </c>
      <c r="F514" s="10">
        <v>9</v>
      </c>
      <c r="G514" s="10">
        <v>4070</v>
      </c>
      <c r="H514" s="10">
        <v>15.6</v>
      </c>
      <c r="I514" s="10">
        <v>30915.72</v>
      </c>
      <c r="J514" s="8" t="s">
        <v>41</v>
      </c>
      <c r="K514" s="8" t="s">
        <v>42</v>
      </c>
      <c r="L514" s="18" t="str">
        <f>VLOOKUP(D514,Products!$A:$C,3,FALSE)</f>
        <v>Grocery</v>
      </c>
      <c r="N514" s="18" t="str">
        <f>VLOOKUP(C514,Customers!$A:$E,5,FALSE)</f>
        <v>Retail</v>
      </c>
      <c r="O514" s="18">
        <f>VLOOKUP(C514,Customers!$A:$C,3,FALSE)</f>
        <v>65</v>
      </c>
      <c r="T514" s="10">
        <v>13.7</v>
      </c>
    </row>
    <row r="515" spans="1:20" ht="14.25" customHeight="1" x14ac:dyDescent="0.3">
      <c r="A515" s="8" t="s">
        <v>1572</v>
      </c>
      <c r="B515" s="21">
        <v>45613</v>
      </c>
      <c r="C515" s="8" t="s">
        <v>578</v>
      </c>
      <c r="D515" s="8" t="s">
        <v>239</v>
      </c>
      <c r="E515" s="8" t="s">
        <v>231</v>
      </c>
      <c r="F515" s="10">
        <v>5</v>
      </c>
      <c r="G515" s="10">
        <v>2720</v>
      </c>
      <c r="H515" s="10">
        <v>10.3</v>
      </c>
      <c r="I515" s="10">
        <v>12199.2</v>
      </c>
      <c r="J515" s="8" t="s">
        <v>147</v>
      </c>
      <c r="K515" s="8" t="s">
        <v>98</v>
      </c>
      <c r="L515" s="18" t="str">
        <f>VLOOKUP(D515,Products!$A:$C,3,FALSE)</f>
        <v>Apparel</v>
      </c>
      <c r="N515" s="18" t="str">
        <f>VLOOKUP(C515,Customers!$A:$E,5,FALSE)</f>
        <v>Retail</v>
      </c>
      <c r="O515" s="18">
        <f>VLOOKUP(C515,Customers!$A:$C,3,FALSE)</f>
        <v>32</v>
      </c>
      <c r="P515" s="18" t="str">
        <f>VLOOKUP(E514,Sales_Reps!$A:$C,3,FALSE)</f>
        <v>South</v>
      </c>
      <c r="Q515" s="18" t="str">
        <f>TEXT(B514,"MMM-YY")</f>
        <v>Nov-24</v>
      </c>
      <c r="R515">
        <f>VLOOKUP(D515, Products!A:D, 4, FALSE)</f>
        <v>1962</v>
      </c>
      <c r="S515">
        <f>(G515-R515)/G515</f>
        <v>0.2786764705882353</v>
      </c>
      <c r="T515" s="10">
        <v>13.8</v>
      </c>
    </row>
    <row r="516" spans="1:20" ht="14.25" hidden="1" customHeight="1" x14ac:dyDescent="0.3">
      <c r="A516" s="8" t="s">
        <v>1573</v>
      </c>
      <c r="B516" s="9">
        <v>45484</v>
      </c>
      <c r="C516" s="8" t="s">
        <v>324</v>
      </c>
      <c r="D516" s="8" t="s">
        <v>338</v>
      </c>
      <c r="E516" s="8" t="s">
        <v>236</v>
      </c>
      <c r="F516" s="10">
        <v>6</v>
      </c>
      <c r="G516" s="10">
        <v>2860</v>
      </c>
      <c r="H516" s="10">
        <v>28.9</v>
      </c>
      <c r="I516" s="10">
        <v>12200.76</v>
      </c>
      <c r="J516" s="8" t="s">
        <v>41</v>
      </c>
      <c r="K516" s="8" t="s">
        <v>136</v>
      </c>
      <c r="L516" s="18" t="str">
        <f>VLOOKUP(D516,Products!$A:$C,3,FALSE)</f>
        <v>Sports</v>
      </c>
      <c r="N516" s="18" t="str">
        <f>VLOOKUP(C516,Customers!$A:$E,5,FALSE)</f>
        <v>Corporate</v>
      </c>
      <c r="O516" s="18">
        <f>VLOOKUP(C516,Customers!$A:$C,3,FALSE)</f>
        <v>43</v>
      </c>
      <c r="T516" s="10">
        <v>1.5</v>
      </c>
    </row>
    <row r="517" spans="1:20" ht="14.25" customHeight="1" x14ac:dyDescent="0.3">
      <c r="A517" s="8" t="s">
        <v>1574</v>
      </c>
      <c r="B517" s="21">
        <v>45656</v>
      </c>
      <c r="C517" s="8" t="s">
        <v>536</v>
      </c>
      <c r="D517" s="8" t="s">
        <v>37</v>
      </c>
      <c r="E517" s="8" t="s">
        <v>189</v>
      </c>
      <c r="F517" s="10">
        <v>5</v>
      </c>
      <c r="G517" s="10">
        <v>3620</v>
      </c>
      <c r="H517" s="10">
        <v>18.2</v>
      </c>
      <c r="I517" s="10">
        <v>14805.8</v>
      </c>
      <c r="J517" s="8" t="s">
        <v>41</v>
      </c>
      <c r="K517" s="8" t="s">
        <v>178</v>
      </c>
      <c r="L517" s="18" t="str">
        <f>VLOOKUP(D517,Products!$A:$C,3,FALSE)</f>
        <v>Apparel</v>
      </c>
      <c r="N517" s="18" t="str">
        <f>VLOOKUP(C517,Customers!$A:$E,5,FALSE)</f>
        <v>Retail</v>
      </c>
      <c r="O517" s="18">
        <f>VLOOKUP(C517,Customers!$A:$C,3,FALSE)</f>
        <v>35</v>
      </c>
      <c r="P517" s="18" t="str">
        <f>VLOOKUP(E516,Sales_Reps!$A:$C,3,FALSE)</f>
        <v>West</v>
      </c>
      <c r="Q517" s="18" t="str">
        <f>TEXT(B516,"MMM-YY")</f>
        <v>Jul-24</v>
      </c>
      <c r="R517">
        <f>VLOOKUP(D517, Products!A:D, 4, FALSE)</f>
        <v>2509</v>
      </c>
      <c r="S517">
        <f>(G517-R517)/G517</f>
        <v>0.3069060773480663</v>
      </c>
      <c r="T517" s="10">
        <v>23.2</v>
      </c>
    </row>
    <row r="518" spans="1:20" ht="14.25" hidden="1" customHeight="1" x14ac:dyDescent="0.3">
      <c r="A518" s="8" t="s">
        <v>1575</v>
      </c>
      <c r="B518" s="9">
        <v>45432</v>
      </c>
      <c r="C518" s="8" t="s">
        <v>207</v>
      </c>
      <c r="D518" s="8" t="s">
        <v>242</v>
      </c>
      <c r="E518" s="8" t="s">
        <v>167</v>
      </c>
      <c r="F518" s="10">
        <v>3</v>
      </c>
      <c r="G518" s="10">
        <v>1650</v>
      </c>
      <c r="H518" s="10">
        <v>10.7</v>
      </c>
      <c r="I518" s="10">
        <v>4420.3500000000004</v>
      </c>
      <c r="J518" s="8" t="s">
        <v>41</v>
      </c>
      <c r="K518" s="8" t="s">
        <v>136</v>
      </c>
      <c r="L518" s="18" t="str">
        <f>VLOOKUP(D518,Products!$A:$C,3,FALSE)</f>
        <v>Beauty</v>
      </c>
      <c r="N518" s="18" t="str">
        <f>VLOOKUP(C518,Customers!$A:$E,5,FALSE)</f>
        <v>SMB</v>
      </c>
      <c r="O518" s="18">
        <f>VLOOKUP(C518,Customers!$A:$C,3,FALSE)</f>
        <v>46</v>
      </c>
      <c r="T518" s="10">
        <v>16.8</v>
      </c>
    </row>
    <row r="519" spans="1:20" ht="14.25" customHeight="1" x14ac:dyDescent="0.3">
      <c r="A519" s="8" t="s">
        <v>1576</v>
      </c>
      <c r="B519" s="21">
        <v>45495</v>
      </c>
      <c r="C519" s="8" t="s">
        <v>637</v>
      </c>
      <c r="D519" s="8" t="s">
        <v>199</v>
      </c>
      <c r="E519" s="8" t="s">
        <v>236</v>
      </c>
      <c r="F519" s="10">
        <v>8</v>
      </c>
      <c r="G519" s="10">
        <v>190</v>
      </c>
      <c r="H519" s="10">
        <v>18</v>
      </c>
      <c r="I519" s="10">
        <v>1246.4000000000001</v>
      </c>
      <c r="J519" s="8" t="s">
        <v>97</v>
      </c>
      <c r="K519" s="8" t="s">
        <v>178</v>
      </c>
      <c r="L519" s="18" t="str">
        <f>VLOOKUP(D519,Products!$A:$C,3,FALSE)</f>
        <v>Sports</v>
      </c>
      <c r="N519" s="18" t="str">
        <f>VLOOKUP(C519,Customers!$A:$E,5,FALSE)</f>
        <v>Retail</v>
      </c>
      <c r="O519" s="18">
        <f>VLOOKUP(C519,Customers!$A:$C,3,FALSE)</f>
        <v>25</v>
      </c>
      <c r="P519" s="18" t="str">
        <f>VLOOKUP(E518,Sales_Reps!$A:$C,3,FALSE)</f>
        <v>East</v>
      </c>
      <c r="Q519" s="18" t="str">
        <f>TEXT(B518,"MMM-YY")</f>
        <v>May-24</v>
      </c>
      <c r="R519">
        <f>VLOOKUP(D519, Products!A:D, 4, FALSE)</f>
        <v>147</v>
      </c>
      <c r="S519">
        <f>(G519-R519)/G519</f>
        <v>0.22631578947368422</v>
      </c>
      <c r="T519" s="10">
        <v>14.5</v>
      </c>
    </row>
    <row r="520" spans="1:20" ht="14.25" hidden="1" customHeight="1" x14ac:dyDescent="0.3">
      <c r="A520" s="8" t="s">
        <v>1577</v>
      </c>
      <c r="B520" s="9">
        <v>45443</v>
      </c>
      <c r="C520" s="8" t="s">
        <v>752</v>
      </c>
      <c r="D520" s="8" t="s">
        <v>939</v>
      </c>
      <c r="E520" s="8" t="s">
        <v>236</v>
      </c>
      <c r="F520" s="10">
        <v>7</v>
      </c>
      <c r="G520" s="10">
        <v>2290</v>
      </c>
      <c r="H520" s="10">
        <v>12.5</v>
      </c>
      <c r="I520" s="10">
        <v>14026.25</v>
      </c>
      <c r="J520" s="8" t="s">
        <v>41</v>
      </c>
      <c r="K520" s="8" t="s">
        <v>146</v>
      </c>
      <c r="L520" s="18" t="str">
        <f>VLOOKUP(D520,Products!$A:$C,3,FALSE)</f>
        <v>Beauty</v>
      </c>
      <c r="N520" s="18" t="str">
        <f>VLOOKUP(C520,Customers!$A:$E,5,FALSE)</f>
        <v>Retail</v>
      </c>
      <c r="O520" s="18">
        <f>VLOOKUP(C520,Customers!$A:$C,3,FALSE)</f>
        <v>49</v>
      </c>
      <c r="T520" s="10">
        <v>18.100000000000001</v>
      </c>
    </row>
    <row r="521" spans="1:20" ht="14.25" hidden="1" customHeight="1" x14ac:dyDescent="0.3">
      <c r="A521" s="8" t="s">
        <v>1579</v>
      </c>
      <c r="B521" s="9">
        <v>45638</v>
      </c>
      <c r="C521" s="8" t="s">
        <v>299</v>
      </c>
      <c r="D521" s="8" t="s">
        <v>230</v>
      </c>
      <c r="E521" s="8" t="s">
        <v>121</v>
      </c>
      <c r="F521" s="10">
        <v>2</v>
      </c>
      <c r="G521" s="10">
        <v>5330</v>
      </c>
      <c r="H521" s="10">
        <v>26.5</v>
      </c>
      <c r="I521" s="10">
        <v>7835.1</v>
      </c>
      <c r="J521" s="8" t="s">
        <v>41</v>
      </c>
      <c r="K521" s="8" t="s">
        <v>98</v>
      </c>
      <c r="L521" s="18" t="str">
        <f>VLOOKUP(D521,Products!$A:$C,3,FALSE)</f>
        <v>Electronics</v>
      </c>
      <c r="N521" s="18" t="str">
        <f>VLOOKUP(C521,Customers!$A:$E,5,FALSE)</f>
        <v>SMB</v>
      </c>
      <c r="O521" s="18">
        <f>VLOOKUP(C521,Customers!$A:$C,3,FALSE)</f>
        <v>52</v>
      </c>
      <c r="T521" s="10">
        <v>0.3</v>
      </c>
    </row>
    <row r="522" spans="1:20" ht="14.25" hidden="1" customHeight="1" x14ac:dyDescent="0.3">
      <c r="A522" s="8" t="s">
        <v>1580</v>
      </c>
      <c r="B522" s="9">
        <v>45476</v>
      </c>
      <c r="C522" s="8" t="s">
        <v>746</v>
      </c>
      <c r="D522" s="8" t="s">
        <v>230</v>
      </c>
      <c r="E522" s="8" t="s">
        <v>301</v>
      </c>
      <c r="F522" s="10">
        <v>4</v>
      </c>
      <c r="G522" s="10">
        <v>5330</v>
      </c>
      <c r="H522" s="10">
        <v>25.6</v>
      </c>
      <c r="I522" s="10">
        <v>15862.08</v>
      </c>
      <c r="J522" s="8" t="s">
        <v>41</v>
      </c>
      <c r="K522" s="8" t="s">
        <v>146</v>
      </c>
      <c r="L522" s="18" t="str">
        <f>VLOOKUP(D522,Products!$A:$C,3,FALSE)</f>
        <v>Electronics</v>
      </c>
      <c r="N522" s="18" t="str">
        <f>VLOOKUP(C522,Customers!$A:$E,5,FALSE)</f>
        <v>SMB</v>
      </c>
      <c r="O522" s="18">
        <f>VLOOKUP(C522,Customers!$A:$C,3,FALSE)</f>
        <v>65</v>
      </c>
      <c r="T522" s="10">
        <v>25.9</v>
      </c>
    </row>
    <row r="523" spans="1:20" ht="14.25" customHeight="1" x14ac:dyDescent="0.3">
      <c r="A523" s="8" t="s">
        <v>1581</v>
      </c>
      <c r="B523" s="21">
        <v>45566</v>
      </c>
      <c r="C523" s="8" t="s">
        <v>605</v>
      </c>
      <c r="D523" s="8" t="s">
        <v>926</v>
      </c>
      <c r="E523" s="8" t="s">
        <v>125</v>
      </c>
      <c r="F523" s="10">
        <v>4</v>
      </c>
      <c r="G523" s="10">
        <v>5080</v>
      </c>
      <c r="H523" s="10">
        <v>28.6</v>
      </c>
      <c r="I523" s="10">
        <v>14508.48</v>
      </c>
      <c r="J523" s="8" t="s">
        <v>41</v>
      </c>
      <c r="K523" s="8" t="s">
        <v>98</v>
      </c>
      <c r="L523" s="18" t="str">
        <f>VLOOKUP(D523,Products!$A:$C,3,FALSE)</f>
        <v>Home</v>
      </c>
      <c r="N523" s="18" t="str">
        <f>VLOOKUP(C523,Customers!$A:$E,5,FALSE)</f>
        <v>Retail</v>
      </c>
      <c r="O523" s="18">
        <f>VLOOKUP(C523,Customers!$A:$C,3,FALSE)</f>
        <v>38</v>
      </c>
      <c r="P523" s="18" t="str">
        <f>VLOOKUP(E522,Sales_Reps!$A:$C,3,FALSE)</f>
        <v>South</v>
      </c>
      <c r="Q523" s="18" t="str">
        <f>TEXT(B522,"MMM-YY")</f>
        <v>Jul-24</v>
      </c>
      <c r="R523">
        <f>VLOOKUP(D523, Products!A:D, 4, FALSE)</f>
        <v>2459</v>
      </c>
      <c r="S523">
        <f>(G523-R523)/G523</f>
        <v>0.51594488188976373</v>
      </c>
      <c r="T523" s="10">
        <v>8.9</v>
      </c>
    </row>
    <row r="524" spans="1:20" ht="14.25" hidden="1" customHeight="1" x14ac:dyDescent="0.3">
      <c r="A524" s="8" t="s">
        <v>1582</v>
      </c>
      <c r="B524" s="9">
        <v>45392</v>
      </c>
      <c r="C524" s="8" t="s">
        <v>446</v>
      </c>
      <c r="D524" s="8" t="s">
        <v>144</v>
      </c>
      <c r="E524" s="8" t="s">
        <v>261</v>
      </c>
      <c r="F524" s="10">
        <v>4</v>
      </c>
      <c r="G524" s="10">
        <v>370</v>
      </c>
      <c r="H524" s="10">
        <v>12.6</v>
      </c>
      <c r="I524" s="10">
        <v>1293.52</v>
      </c>
      <c r="J524" s="8" t="s">
        <v>97</v>
      </c>
      <c r="K524" s="8" t="s">
        <v>42</v>
      </c>
      <c r="L524" s="18" t="str">
        <f>VLOOKUP(D524,Products!$A:$C,3,FALSE)</f>
        <v>Home</v>
      </c>
      <c r="N524" s="18" t="str">
        <f>VLOOKUP(C524,Customers!$A:$E,5,FALSE)</f>
        <v>SMB</v>
      </c>
      <c r="O524" s="18">
        <f>VLOOKUP(C524,Customers!$A:$C,3,FALSE)</f>
        <v>49</v>
      </c>
      <c r="T524" s="10">
        <v>26.8</v>
      </c>
    </row>
    <row r="525" spans="1:20" ht="14.25" customHeight="1" x14ac:dyDescent="0.3">
      <c r="A525" s="8" t="s">
        <v>1583</v>
      </c>
      <c r="B525" s="21">
        <v>45561</v>
      </c>
      <c r="C525" s="8" t="s">
        <v>748</v>
      </c>
      <c r="D525" s="8" t="s">
        <v>116</v>
      </c>
      <c r="E525" s="8" t="s">
        <v>745</v>
      </c>
      <c r="F525" s="10">
        <v>9</v>
      </c>
      <c r="G525" s="10">
        <v>470</v>
      </c>
      <c r="H525" s="10">
        <v>3.6</v>
      </c>
      <c r="I525" s="10">
        <v>4077.72</v>
      </c>
      <c r="J525" s="8" t="s">
        <v>41</v>
      </c>
      <c r="K525" s="8" t="s">
        <v>98</v>
      </c>
      <c r="L525" s="18" t="str">
        <f>VLOOKUP(D525,Products!$A:$C,3,FALSE)</f>
        <v>Sports</v>
      </c>
      <c r="N525" s="18" t="str">
        <f>VLOOKUP(C525,Customers!$A:$E,5,FALSE)</f>
        <v>Retail</v>
      </c>
      <c r="O525" s="18">
        <f>VLOOKUP(C525,Customers!$A:$C,3,FALSE)</f>
        <v>31</v>
      </c>
      <c r="P525" s="18" t="str">
        <f>VLOOKUP(E524,Sales_Reps!$A:$C,3,FALSE)</f>
        <v>North</v>
      </c>
      <c r="Q525" s="18" t="str">
        <f t="shared" ref="Q525:Q527" si="112">TEXT(B524,"MMM-YY")</f>
        <v>Apr-24</v>
      </c>
      <c r="R525">
        <f>VLOOKUP(D525, Products!A:D, 4, FALSE)</f>
        <v>302</v>
      </c>
      <c r="S525">
        <f t="shared" ref="S525:S527" si="113">(G525-R525)/G525</f>
        <v>0.35744680851063831</v>
      </c>
      <c r="T525" s="10">
        <v>18.100000000000001</v>
      </c>
    </row>
    <row r="526" spans="1:20" ht="14.25" customHeight="1" x14ac:dyDescent="0.3">
      <c r="A526" s="8" t="s">
        <v>1584</v>
      </c>
      <c r="B526" s="21">
        <v>45634</v>
      </c>
      <c r="C526" s="8" t="s">
        <v>649</v>
      </c>
      <c r="D526" s="8" t="s">
        <v>954</v>
      </c>
      <c r="E526" s="8" t="s">
        <v>619</v>
      </c>
      <c r="F526" s="10">
        <v>4</v>
      </c>
      <c r="G526" s="10">
        <v>5410</v>
      </c>
      <c r="H526" s="10">
        <v>11.3</v>
      </c>
      <c r="I526" s="10">
        <v>19194.68</v>
      </c>
      <c r="J526" s="8" t="s">
        <v>193</v>
      </c>
      <c r="K526" s="8" t="s">
        <v>146</v>
      </c>
      <c r="L526" s="18" t="str">
        <f>VLOOKUP(D526,Products!$A:$C,3,FALSE)</f>
        <v>Sports</v>
      </c>
      <c r="N526" s="18" t="str">
        <f>VLOOKUP(C526,Customers!$A:$E,5,FALSE)</f>
        <v>SMB</v>
      </c>
      <c r="O526" s="18">
        <f>VLOOKUP(C526,Customers!$A:$C,3,FALSE)</f>
        <v>27</v>
      </c>
      <c r="P526" s="18" t="str">
        <f>VLOOKUP(E525,Sales_Reps!$A:$C,3,FALSE)</f>
        <v>South</v>
      </c>
      <c r="Q526" s="18" t="str">
        <f t="shared" si="112"/>
        <v>Sep-24</v>
      </c>
      <c r="R526">
        <f>VLOOKUP(D526, Products!A:D, 4, FALSE)</f>
        <v>2265</v>
      </c>
      <c r="S526">
        <f t="shared" si="113"/>
        <v>0.58133086876155271</v>
      </c>
      <c r="T526" s="10">
        <v>18.2</v>
      </c>
    </row>
    <row r="527" spans="1:20" ht="14.25" customHeight="1" x14ac:dyDescent="0.3">
      <c r="A527" s="8" t="s">
        <v>1585</v>
      </c>
      <c r="B527" s="21">
        <v>45311</v>
      </c>
      <c r="C527" s="8" t="s">
        <v>681</v>
      </c>
      <c r="D527" s="8" t="s">
        <v>37</v>
      </c>
      <c r="E527" s="8" t="s">
        <v>38</v>
      </c>
      <c r="F527" s="10">
        <v>10</v>
      </c>
      <c r="G527" s="10">
        <v>3620</v>
      </c>
      <c r="H527" s="10">
        <v>2.5</v>
      </c>
      <c r="I527" s="10">
        <v>35295</v>
      </c>
      <c r="J527" s="8" t="s">
        <v>41</v>
      </c>
      <c r="K527" s="8" t="s">
        <v>178</v>
      </c>
      <c r="L527" s="18" t="str">
        <f>VLOOKUP(D527,Products!$A:$C,3,FALSE)</f>
        <v>Apparel</v>
      </c>
      <c r="N527" s="18" t="str">
        <f>VLOOKUP(C527,Customers!$A:$E,5,FALSE)</f>
        <v>SMB</v>
      </c>
      <c r="O527" s="18">
        <f>VLOOKUP(C527,Customers!$A:$C,3,FALSE)</f>
        <v>31</v>
      </c>
      <c r="P527" s="18" t="str">
        <f>VLOOKUP(E526,Sales_Reps!$A:$C,3,FALSE)</f>
        <v>West</v>
      </c>
      <c r="Q527" s="18" t="str">
        <f t="shared" si="112"/>
        <v>Dec-24</v>
      </c>
      <c r="R527">
        <f>VLOOKUP(D527, Products!A:D, 4, FALSE)</f>
        <v>2509</v>
      </c>
      <c r="S527">
        <f t="shared" si="113"/>
        <v>0.3069060773480663</v>
      </c>
      <c r="T527" s="10">
        <v>3.9</v>
      </c>
    </row>
    <row r="528" spans="1:20" ht="14.25" hidden="1" customHeight="1" x14ac:dyDescent="0.3">
      <c r="A528" s="8" t="s">
        <v>1586</v>
      </c>
      <c r="B528" s="9">
        <v>45380</v>
      </c>
      <c r="C528" s="8" t="s">
        <v>332</v>
      </c>
      <c r="D528" s="8" t="s">
        <v>374</v>
      </c>
      <c r="E528" s="8" t="s">
        <v>143</v>
      </c>
      <c r="F528" s="10">
        <v>1</v>
      </c>
      <c r="G528" s="10">
        <v>2760</v>
      </c>
      <c r="H528" s="10">
        <v>22.2</v>
      </c>
      <c r="I528" s="10">
        <v>2147.2800000000002</v>
      </c>
      <c r="J528" s="8" t="s">
        <v>41</v>
      </c>
      <c r="K528" s="8" t="s">
        <v>119</v>
      </c>
      <c r="L528" s="18" t="str">
        <f>VLOOKUP(D528,Products!$A:$C,3,FALSE)</f>
        <v>Grocery</v>
      </c>
      <c r="N528" s="18" t="str">
        <f>VLOOKUP(C528,Customers!$A:$E,5,FALSE)</f>
        <v>Retail</v>
      </c>
      <c r="O528" s="18">
        <f>VLOOKUP(C528,Customers!$A:$C,3,FALSE)</f>
        <v>47</v>
      </c>
      <c r="T528" s="10">
        <v>19.899999999999999</v>
      </c>
    </row>
    <row r="529" spans="1:20" ht="14.25" customHeight="1" x14ac:dyDescent="0.3">
      <c r="A529" s="8" t="s">
        <v>1587</v>
      </c>
      <c r="B529" s="21">
        <v>45549</v>
      </c>
      <c r="C529" s="8" t="s">
        <v>694</v>
      </c>
      <c r="D529" s="8" t="s">
        <v>215</v>
      </c>
      <c r="E529" s="8" t="s">
        <v>231</v>
      </c>
      <c r="F529" s="10">
        <v>7</v>
      </c>
      <c r="G529" s="10">
        <v>3450</v>
      </c>
      <c r="H529" s="10">
        <v>8.6</v>
      </c>
      <c r="I529" s="10">
        <v>22073.1</v>
      </c>
      <c r="J529" s="8" t="s">
        <v>41</v>
      </c>
      <c r="K529" s="8" t="s">
        <v>146</v>
      </c>
      <c r="L529" s="18" t="str">
        <f>VLOOKUP(D529,Products!$A:$C,3,FALSE)</f>
        <v>Beauty</v>
      </c>
      <c r="N529" s="18" t="str">
        <f>VLOOKUP(C529,Customers!$A:$E,5,FALSE)</f>
        <v>Retail</v>
      </c>
      <c r="O529" s="18">
        <f>VLOOKUP(C529,Customers!$A:$C,3,FALSE)</f>
        <v>40</v>
      </c>
      <c r="P529" s="18" t="str">
        <f>VLOOKUP(E528,Sales_Reps!$A:$C,3,FALSE)</f>
        <v>West</v>
      </c>
      <c r="Q529" s="18" t="str">
        <f t="shared" ref="Q529:Q530" si="114">TEXT(B528,"MMM-YY")</f>
        <v>Mar-24</v>
      </c>
      <c r="R529">
        <f>VLOOKUP(D529, Products!A:D, 4, FALSE)</f>
        <v>2420</v>
      </c>
      <c r="S529">
        <f t="shared" ref="S529:S530" si="115">(G529-R529)/G529</f>
        <v>0.29855072463768118</v>
      </c>
      <c r="T529" s="10">
        <v>8.6</v>
      </c>
    </row>
    <row r="530" spans="1:20" ht="14.25" customHeight="1" x14ac:dyDescent="0.3">
      <c r="A530" s="8" t="s">
        <v>1588</v>
      </c>
      <c r="B530" s="21">
        <v>45418</v>
      </c>
      <c r="C530" s="8" t="s">
        <v>765</v>
      </c>
      <c r="D530" s="8" t="s">
        <v>124</v>
      </c>
      <c r="E530" s="8" t="s">
        <v>172</v>
      </c>
      <c r="F530" s="10">
        <v>6</v>
      </c>
      <c r="G530" s="10">
        <v>3660</v>
      </c>
      <c r="H530" s="10">
        <v>10.6</v>
      </c>
      <c r="I530" s="10">
        <v>19632.240000000002</v>
      </c>
      <c r="J530" s="8" t="s">
        <v>41</v>
      </c>
      <c r="K530" s="8" t="s">
        <v>119</v>
      </c>
      <c r="L530" s="18" t="str">
        <f>VLOOKUP(D530,Products!$A:$C,3,FALSE)</f>
        <v>Grocery</v>
      </c>
      <c r="N530" s="18" t="str">
        <f>VLOOKUP(C530,Customers!$A:$E,5,FALSE)</f>
        <v>SMB</v>
      </c>
      <c r="O530" s="18">
        <f>VLOOKUP(C530,Customers!$A:$C,3,FALSE)</f>
        <v>29</v>
      </c>
      <c r="P530" s="18" t="str">
        <f>VLOOKUP(E529,Sales_Reps!$A:$C,3,FALSE)</f>
        <v>North</v>
      </c>
      <c r="Q530" s="18" t="str">
        <f t="shared" si="114"/>
        <v>Sep-24</v>
      </c>
      <c r="R530">
        <f>VLOOKUP(D530, Products!A:D, 4, FALSE)</f>
        <v>2214</v>
      </c>
      <c r="S530">
        <f t="shared" si="115"/>
        <v>0.39508196721311473</v>
      </c>
      <c r="T530" s="10">
        <v>3.1</v>
      </c>
    </row>
    <row r="531" spans="1:20" ht="14.25" hidden="1" customHeight="1" x14ac:dyDescent="0.3">
      <c r="A531" s="8" t="s">
        <v>1589</v>
      </c>
      <c r="B531" s="9">
        <v>45532</v>
      </c>
      <c r="C531" s="8" t="s">
        <v>422</v>
      </c>
      <c r="D531" s="8" t="s">
        <v>211</v>
      </c>
      <c r="E531" s="8" t="s">
        <v>172</v>
      </c>
      <c r="F531" s="10">
        <v>10</v>
      </c>
      <c r="G531" s="10">
        <v>3570</v>
      </c>
      <c r="H531" s="10">
        <v>1.2</v>
      </c>
      <c r="I531" s="10">
        <v>35271.599999999999</v>
      </c>
      <c r="J531" s="8" t="s">
        <v>41</v>
      </c>
      <c r="K531" s="8" t="s">
        <v>146</v>
      </c>
      <c r="L531" s="18" t="str">
        <f>VLOOKUP(D531,Products!$A:$C,3,FALSE)</f>
        <v>Electronics</v>
      </c>
      <c r="N531" s="18" t="str">
        <f>VLOOKUP(C531,Customers!$A:$E,5,FALSE)</f>
        <v>Corporate</v>
      </c>
      <c r="O531" s="18">
        <f>VLOOKUP(C531,Customers!$A:$C,3,FALSE)</f>
        <v>55</v>
      </c>
      <c r="T531" s="10">
        <v>23.7</v>
      </c>
    </row>
    <row r="532" spans="1:20" ht="14.25" hidden="1" customHeight="1" x14ac:dyDescent="0.3">
      <c r="A532" s="8" t="s">
        <v>1590</v>
      </c>
      <c r="B532" s="9">
        <v>45542</v>
      </c>
      <c r="C532" s="8" t="s">
        <v>858</v>
      </c>
      <c r="D532" s="8" t="s">
        <v>929</v>
      </c>
      <c r="E532" s="8" t="s">
        <v>214</v>
      </c>
      <c r="F532" s="10">
        <v>8</v>
      </c>
      <c r="G532" s="10">
        <v>1090</v>
      </c>
      <c r="H532" s="10">
        <v>13.2</v>
      </c>
      <c r="I532" s="10">
        <v>7568.96</v>
      </c>
      <c r="J532" s="8" t="s">
        <v>193</v>
      </c>
      <c r="K532" s="8" t="s">
        <v>119</v>
      </c>
      <c r="L532" s="18" t="str">
        <f>VLOOKUP(D532,Products!$A:$C,3,FALSE)</f>
        <v>Home</v>
      </c>
      <c r="N532" s="18" t="str">
        <f>VLOOKUP(C532,Customers!$A:$E,5,FALSE)</f>
        <v>Retail</v>
      </c>
      <c r="O532" s="18">
        <f>VLOOKUP(C532,Customers!$A:$C,3,FALSE)</f>
        <v>44</v>
      </c>
      <c r="T532" s="10">
        <v>2.5</v>
      </c>
    </row>
    <row r="533" spans="1:20" ht="14.25" customHeight="1" x14ac:dyDescent="0.3">
      <c r="A533" s="8" t="s">
        <v>1591</v>
      </c>
      <c r="B533" s="21">
        <v>45320</v>
      </c>
      <c r="C533" s="8" t="s">
        <v>613</v>
      </c>
      <c r="D533" s="8" t="s">
        <v>37</v>
      </c>
      <c r="E533" s="8" t="s">
        <v>167</v>
      </c>
      <c r="F533" s="10">
        <v>8</v>
      </c>
      <c r="G533" s="10">
        <v>3620</v>
      </c>
      <c r="H533" s="10">
        <v>29</v>
      </c>
      <c r="I533" s="10">
        <v>20561.599999999999</v>
      </c>
      <c r="J533" s="8" t="s">
        <v>41</v>
      </c>
      <c r="K533" s="8" t="s">
        <v>42</v>
      </c>
      <c r="L533" s="18" t="str">
        <f>VLOOKUP(D533,Products!$A:$C,3,FALSE)</f>
        <v>Apparel</v>
      </c>
      <c r="N533" s="18" t="str">
        <f>VLOOKUP(C533,Customers!$A:$E,5,FALSE)</f>
        <v>Retail</v>
      </c>
      <c r="O533" s="18">
        <f>VLOOKUP(C533,Customers!$A:$C,3,FALSE)</f>
        <v>29</v>
      </c>
      <c r="P533" s="18" t="str">
        <f>VLOOKUP(E532,Sales_Reps!$A:$C,3,FALSE)</f>
        <v>South</v>
      </c>
      <c r="Q533" s="18" t="str">
        <f t="shared" ref="Q533:Q535" si="116">TEXT(B532,"MMM-YY")</f>
        <v>Sep-24</v>
      </c>
      <c r="R533">
        <f>VLOOKUP(D533, Products!A:D, 4, FALSE)</f>
        <v>2509</v>
      </c>
      <c r="S533">
        <f t="shared" ref="S533:S535" si="117">(G533-R533)/G533</f>
        <v>0.3069060773480663</v>
      </c>
      <c r="T533" s="10">
        <v>24.2</v>
      </c>
    </row>
    <row r="534" spans="1:20" ht="14.25" customHeight="1" x14ac:dyDescent="0.3">
      <c r="A534" s="8" t="s">
        <v>1592</v>
      </c>
      <c r="B534" s="21">
        <v>45548</v>
      </c>
      <c r="C534" s="8" t="s">
        <v>330</v>
      </c>
      <c r="D534" s="8" t="s">
        <v>283</v>
      </c>
      <c r="E534" s="8" t="s">
        <v>177</v>
      </c>
      <c r="F534" s="10">
        <v>7</v>
      </c>
      <c r="G534" s="10">
        <v>4880</v>
      </c>
      <c r="H534" s="10">
        <v>25.6</v>
      </c>
      <c r="I534" s="10">
        <v>25415.040000000001</v>
      </c>
      <c r="J534" s="8" t="s">
        <v>193</v>
      </c>
      <c r="K534" s="8" t="s">
        <v>119</v>
      </c>
      <c r="L534" s="18" t="str">
        <f>VLOOKUP(D534,Products!$A:$C,3,FALSE)</f>
        <v>Beauty</v>
      </c>
      <c r="N534" s="18" t="str">
        <f>VLOOKUP(C534,Customers!$A:$E,5,FALSE)</f>
        <v>Retail</v>
      </c>
      <c r="O534" s="18">
        <f>VLOOKUP(C534,Customers!$A:$C,3,FALSE)</f>
        <v>35</v>
      </c>
      <c r="P534" s="18" t="str">
        <f>VLOOKUP(E533,Sales_Reps!$A:$C,3,FALSE)</f>
        <v>East</v>
      </c>
      <c r="Q534" s="18" t="str">
        <f t="shared" si="116"/>
        <v>Jan-24</v>
      </c>
      <c r="R534">
        <f>VLOOKUP(D534, Products!A:D, 4, FALSE)</f>
        <v>2768</v>
      </c>
      <c r="S534">
        <f t="shared" si="117"/>
        <v>0.43278688524590164</v>
      </c>
      <c r="T534" s="10">
        <v>10</v>
      </c>
    </row>
    <row r="535" spans="1:20" ht="14.25" customHeight="1" x14ac:dyDescent="0.3">
      <c r="A535" s="8" t="s">
        <v>1593</v>
      </c>
      <c r="B535" s="21">
        <v>45434</v>
      </c>
      <c r="C535" s="8" t="s">
        <v>692</v>
      </c>
      <c r="D535" s="8" t="s">
        <v>116</v>
      </c>
      <c r="E535" s="8" t="s">
        <v>172</v>
      </c>
      <c r="F535" s="10">
        <v>2</v>
      </c>
      <c r="G535" s="10">
        <v>470</v>
      </c>
      <c r="H535" s="10">
        <v>9.6999999999999993</v>
      </c>
      <c r="I535" s="10">
        <v>848.82</v>
      </c>
      <c r="J535" s="8" t="s">
        <v>41</v>
      </c>
      <c r="K535" s="8" t="s">
        <v>42</v>
      </c>
      <c r="L535" s="18" t="str">
        <f>VLOOKUP(D535,Products!$A:$C,3,FALSE)</f>
        <v>Sports</v>
      </c>
      <c r="N535" s="18" t="str">
        <f>VLOOKUP(C535,Customers!$A:$E,5,FALSE)</f>
        <v>Corporate</v>
      </c>
      <c r="O535" s="18">
        <f>VLOOKUP(C535,Customers!$A:$C,3,FALSE)</f>
        <v>29</v>
      </c>
      <c r="P535" s="18" t="str">
        <f>VLOOKUP(E534,Sales_Reps!$A:$C,3,FALSE)</f>
        <v>South</v>
      </c>
      <c r="Q535" s="18" t="str">
        <f t="shared" si="116"/>
        <v>Sep-24</v>
      </c>
      <c r="R535">
        <f>VLOOKUP(D535, Products!A:D, 4, FALSE)</f>
        <v>302</v>
      </c>
      <c r="S535">
        <f t="shared" si="117"/>
        <v>0.35744680851063831</v>
      </c>
      <c r="T535" s="10">
        <v>14.7</v>
      </c>
    </row>
    <row r="536" spans="1:20" ht="14.25" hidden="1" customHeight="1" x14ac:dyDescent="0.3">
      <c r="A536" s="8" t="s">
        <v>1594</v>
      </c>
      <c r="B536" s="9">
        <v>45539</v>
      </c>
      <c r="C536" s="8" t="s">
        <v>340</v>
      </c>
      <c r="D536" s="8" t="s">
        <v>939</v>
      </c>
      <c r="E536" s="8" t="s">
        <v>196</v>
      </c>
      <c r="F536" s="10">
        <v>6</v>
      </c>
      <c r="G536" s="10">
        <v>2290</v>
      </c>
      <c r="H536" s="10">
        <v>8.9</v>
      </c>
      <c r="I536" s="10">
        <v>12517.14</v>
      </c>
      <c r="J536" s="8" t="s">
        <v>41</v>
      </c>
      <c r="K536" s="8" t="s">
        <v>136</v>
      </c>
      <c r="L536" s="18" t="str">
        <f>VLOOKUP(D536,Products!$A:$C,3,FALSE)</f>
        <v>Beauty</v>
      </c>
      <c r="N536" s="18" t="str">
        <f>VLOOKUP(C536,Customers!$A:$E,5,FALSE)</f>
        <v>Retail</v>
      </c>
      <c r="O536" s="18">
        <f>VLOOKUP(C536,Customers!$A:$C,3,FALSE)</f>
        <v>52</v>
      </c>
      <c r="T536" s="10">
        <v>9.6999999999999993</v>
      </c>
    </row>
    <row r="537" spans="1:20" ht="14.25" customHeight="1" x14ac:dyDescent="0.3">
      <c r="A537" s="8" t="s">
        <v>1595</v>
      </c>
      <c r="B537" s="21">
        <v>45468</v>
      </c>
      <c r="C537" s="8" t="s">
        <v>734</v>
      </c>
      <c r="D537" s="8" t="s">
        <v>909</v>
      </c>
      <c r="E537" s="8" t="s">
        <v>177</v>
      </c>
      <c r="F537" s="10">
        <v>3</v>
      </c>
      <c r="G537" s="10">
        <v>2380</v>
      </c>
      <c r="H537" s="10">
        <v>2.7</v>
      </c>
      <c r="I537" s="10">
        <v>6947.22</v>
      </c>
      <c r="J537" s="8" t="s">
        <v>97</v>
      </c>
      <c r="K537" s="8" t="s">
        <v>42</v>
      </c>
      <c r="L537" s="18" t="str">
        <f>VLOOKUP(D537,Products!$A:$C,3,FALSE)</f>
        <v>Grocery</v>
      </c>
      <c r="N537" s="18" t="str">
        <f>VLOOKUP(C537,Customers!$A:$E,5,FALSE)</f>
        <v>Corporate</v>
      </c>
      <c r="O537" s="18">
        <f>VLOOKUP(C537,Customers!$A:$C,3,FALSE)</f>
        <v>37</v>
      </c>
      <c r="P537" s="18" t="str">
        <f>VLOOKUP(E536,Sales_Reps!$A:$C,3,FALSE)</f>
        <v>East</v>
      </c>
      <c r="Q537" s="18" t="str">
        <f>TEXT(B536,"MMM-YY")</f>
        <v>Sep-24</v>
      </c>
      <c r="R537">
        <f>VLOOKUP(D537, Products!A:D, 4, FALSE)</f>
        <v>1182</v>
      </c>
      <c r="S537">
        <f>(G537-R537)/G537</f>
        <v>0.50336134453781511</v>
      </c>
      <c r="T537" s="10">
        <v>10.5</v>
      </c>
    </row>
    <row r="538" spans="1:20" ht="14.25" hidden="1" customHeight="1" x14ac:dyDescent="0.3">
      <c r="A538" s="8" t="s">
        <v>1596</v>
      </c>
      <c r="B538" s="9">
        <v>45485</v>
      </c>
      <c r="C538" s="8" t="s">
        <v>826</v>
      </c>
      <c r="D538" s="8" t="s">
        <v>909</v>
      </c>
      <c r="E538" s="8" t="s">
        <v>135</v>
      </c>
      <c r="F538" s="10">
        <v>9</v>
      </c>
      <c r="G538" s="10">
        <v>2380</v>
      </c>
      <c r="H538" s="10">
        <v>20.100000000000001</v>
      </c>
      <c r="I538" s="10">
        <v>17114.580000000002</v>
      </c>
      <c r="J538" s="8" t="s">
        <v>41</v>
      </c>
      <c r="K538" s="8" t="s">
        <v>146</v>
      </c>
      <c r="L538" s="18" t="str">
        <f>VLOOKUP(D538,Products!$A:$C,3,FALSE)</f>
        <v>Grocery</v>
      </c>
      <c r="N538" s="18" t="str">
        <f>VLOOKUP(C538,Customers!$A:$E,5,FALSE)</f>
        <v>Retail</v>
      </c>
      <c r="O538" s="18">
        <f>VLOOKUP(C538,Customers!$A:$C,3,FALSE)</f>
        <v>56</v>
      </c>
      <c r="T538" s="10">
        <v>14.2</v>
      </c>
    </row>
    <row r="539" spans="1:20" ht="14.25" hidden="1" customHeight="1" x14ac:dyDescent="0.3">
      <c r="A539" s="8" t="s">
        <v>1597</v>
      </c>
      <c r="B539" s="9">
        <v>45303</v>
      </c>
      <c r="C539" s="8" t="s">
        <v>814</v>
      </c>
      <c r="D539" s="8" t="s">
        <v>954</v>
      </c>
      <c r="E539" s="8" t="s">
        <v>117</v>
      </c>
      <c r="F539" s="10">
        <v>8</v>
      </c>
      <c r="G539" s="10">
        <v>5410</v>
      </c>
      <c r="H539" s="10">
        <v>11.2</v>
      </c>
      <c r="I539" s="10">
        <v>38432.639999999999</v>
      </c>
      <c r="J539" s="8" t="s">
        <v>41</v>
      </c>
      <c r="K539" s="8" t="s">
        <v>136</v>
      </c>
      <c r="L539" s="18" t="str">
        <f>VLOOKUP(D539,Products!$A:$C,3,FALSE)</f>
        <v>Sports</v>
      </c>
      <c r="N539" s="18" t="str">
        <f>VLOOKUP(C539,Customers!$A:$E,5,FALSE)</f>
        <v>Corporate</v>
      </c>
      <c r="O539" s="18">
        <f>VLOOKUP(C539,Customers!$A:$C,3,FALSE)</f>
        <v>41</v>
      </c>
      <c r="T539" s="10">
        <v>18.399999999999999</v>
      </c>
    </row>
    <row r="540" spans="1:20" ht="14.25" customHeight="1" x14ac:dyDescent="0.3">
      <c r="A540" s="8" t="s">
        <v>798</v>
      </c>
      <c r="B540" s="21">
        <v>45605</v>
      </c>
      <c r="C540" s="8" t="s">
        <v>533</v>
      </c>
      <c r="D540" s="8" t="s">
        <v>140</v>
      </c>
      <c r="E540" s="8" t="s">
        <v>135</v>
      </c>
      <c r="F540" s="10">
        <v>1</v>
      </c>
      <c r="G540" s="10">
        <v>1430</v>
      </c>
      <c r="H540" s="10">
        <v>19.600000000000001</v>
      </c>
      <c r="I540" s="10">
        <v>1149.72</v>
      </c>
      <c r="J540" s="8" t="s">
        <v>41</v>
      </c>
      <c r="K540" s="8" t="s">
        <v>136</v>
      </c>
      <c r="L540" s="18" t="str">
        <f>VLOOKUP(D540,Products!$A:$C,3,FALSE)</f>
        <v>Electronics</v>
      </c>
      <c r="N540" s="18" t="str">
        <f>VLOOKUP(C540,Customers!$A:$E,5,FALSE)</f>
        <v>SMB</v>
      </c>
      <c r="O540" s="18">
        <f>VLOOKUP(C540,Customers!$A:$C,3,FALSE)</f>
        <v>36</v>
      </c>
      <c r="P540" s="18" t="str">
        <f>VLOOKUP(E539,Sales_Reps!$A:$C,3,FALSE)</f>
        <v>South</v>
      </c>
      <c r="Q540" s="18" t="str">
        <f>TEXT(B539,"MMM-YY")</f>
        <v>Jan-24</v>
      </c>
      <c r="R540">
        <f>VLOOKUP(D540, Products!A:D, 4, FALSE)</f>
        <v>861</v>
      </c>
      <c r="S540">
        <f>(G540-R540)/G540</f>
        <v>0.39790209790209791</v>
      </c>
      <c r="T540" s="10">
        <v>7.5</v>
      </c>
    </row>
    <row r="541" spans="1:20" ht="14.25" hidden="1" customHeight="1" x14ac:dyDescent="0.3">
      <c r="A541" s="8" t="s">
        <v>1598</v>
      </c>
      <c r="B541" s="9">
        <v>45421</v>
      </c>
      <c r="C541" s="8" t="s">
        <v>268</v>
      </c>
      <c r="D541" s="8" t="s">
        <v>205</v>
      </c>
      <c r="E541" s="8" t="s">
        <v>619</v>
      </c>
      <c r="F541" s="10">
        <v>9</v>
      </c>
      <c r="G541" s="10">
        <v>2400</v>
      </c>
      <c r="H541" s="10">
        <v>5</v>
      </c>
      <c r="I541" s="10">
        <v>20520</v>
      </c>
      <c r="J541" s="8" t="s">
        <v>41</v>
      </c>
      <c r="K541" s="8" t="s">
        <v>136</v>
      </c>
      <c r="L541" s="18" t="str">
        <f>VLOOKUP(D541,Products!$A:$C,3,FALSE)</f>
        <v>Sports</v>
      </c>
      <c r="N541" s="18" t="str">
        <f>VLOOKUP(C541,Customers!$A:$E,5,FALSE)</f>
        <v>Retail</v>
      </c>
      <c r="O541" s="18">
        <f>VLOOKUP(C541,Customers!$A:$C,3,FALSE)</f>
        <v>47</v>
      </c>
      <c r="T541" s="10">
        <v>9.5</v>
      </c>
    </row>
    <row r="542" spans="1:20" ht="14.25" hidden="1" customHeight="1" x14ac:dyDescent="0.3">
      <c r="A542" s="8" t="s">
        <v>1599</v>
      </c>
      <c r="B542" s="9">
        <v>45493</v>
      </c>
      <c r="C542" s="8" t="s">
        <v>264</v>
      </c>
      <c r="D542" s="8" t="s">
        <v>624</v>
      </c>
      <c r="E542" s="8" t="s">
        <v>231</v>
      </c>
      <c r="F542" s="10">
        <v>1</v>
      </c>
      <c r="G542" s="10">
        <v>3780</v>
      </c>
      <c r="H542" s="10">
        <v>4.7</v>
      </c>
      <c r="I542" s="10">
        <v>3602.34</v>
      </c>
      <c r="J542" s="8" t="s">
        <v>41</v>
      </c>
      <c r="K542" s="8" t="s">
        <v>98</v>
      </c>
      <c r="L542" s="18" t="str">
        <f>VLOOKUP(D542,Products!$A:$C,3,FALSE)</f>
        <v>Grocery</v>
      </c>
      <c r="N542" s="18" t="str">
        <f>VLOOKUP(C542,Customers!$A:$E,5,FALSE)</f>
        <v>Corporate</v>
      </c>
      <c r="O542" s="18">
        <f>VLOOKUP(C542,Customers!$A:$C,3,FALSE)</f>
        <v>52</v>
      </c>
      <c r="T542" s="10">
        <v>17.7</v>
      </c>
    </row>
    <row r="543" spans="1:20" ht="14.25" hidden="1" customHeight="1" x14ac:dyDescent="0.3">
      <c r="A543" s="8" t="s">
        <v>1600</v>
      </c>
      <c r="B543" s="9">
        <v>45592</v>
      </c>
      <c r="C543" s="8" t="s">
        <v>416</v>
      </c>
      <c r="D543" s="8" t="s">
        <v>896</v>
      </c>
      <c r="E543" s="8" t="s">
        <v>158</v>
      </c>
      <c r="F543" s="10">
        <v>2</v>
      </c>
      <c r="G543" s="10">
        <v>620</v>
      </c>
      <c r="H543" s="10">
        <v>8</v>
      </c>
      <c r="I543" s="10">
        <v>1140.8</v>
      </c>
      <c r="J543" s="8" t="s">
        <v>41</v>
      </c>
      <c r="K543" s="8" t="s">
        <v>146</v>
      </c>
      <c r="L543" s="18" t="str">
        <f>VLOOKUP(D543,Products!$A:$C,3,FALSE)</f>
        <v>Apparel</v>
      </c>
      <c r="N543" s="18" t="str">
        <f>VLOOKUP(C543,Customers!$A:$E,5,FALSE)</f>
        <v>Corporate</v>
      </c>
      <c r="O543" s="18">
        <f>VLOOKUP(C543,Customers!$A:$C,3,FALSE)</f>
        <v>62</v>
      </c>
      <c r="T543" s="10">
        <v>28.8</v>
      </c>
    </row>
    <row r="544" spans="1:20" ht="14.25" hidden="1" customHeight="1" x14ac:dyDescent="0.3">
      <c r="A544" s="8" t="s">
        <v>1601</v>
      </c>
      <c r="B544" s="9">
        <v>45379</v>
      </c>
      <c r="C544" s="8" t="s">
        <v>616</v>
      </c>
      <c r="D544" s="8" t="s">
        <v>199</v>
      </c>
      <c r="E544" s="8" t="s">
        <v>38</v>
      </c>
      <c r="F544" s="10">
        <v>3</v>
      </c>
      <c r="G544" s="10">
        <v>190</v>
      </c>
      <c r="H544" s="10">
        <v>17.899999999999999</v>
      </c>
      <c r="I544" s="10">
        <v>467.97</v>
      </c>
      <c r="J544" s="8" t="s">
        <v>97</v>
      </c>
      <c r="K544" s="8" t="s">
        <v>119</v>
      </c>
      <c r="L544" s="18" t="str">
        <f>VLOOKUP(D544,Products!$A:$C,3,FALSE)</f>
        <v>Sports</v>
      </c>
      <c r="N544" s="18" t="str">
        <f>VLOOKUP(C544,Customers!$A:$E,5,FALSE)</f>
        <v>Retail</v>
      </c>
      <c r="O544" s="18">
        <f>VLOOKUP(C544,Customers!$A:$C,3,FALSE)</f>
        <v>43</v>
      </c>
      <c r="T544" s="10">
        <v>10.3</v>
      </c>
    </row>
    <row r="545" spans="1:20" ht="14.25" hidden="1" customHeight="1" x14ac:dyDescent="0.3">
      <c r="A545" s="8" t="s">
        <v>1602</v>
      </c>
      <c r="B545" s="9">
        <v>45332</v>
      </c>
      <c r="C545" s="8" t="s">
        <v>761</v>
      </c>
      <c r="D545" s="8" t="s">
        <v>37</v>
      </c>
      <c r="E545" s="8" t="s">
        <v>158</v>
      </c>
      <c r="F545" s="10">
        <v>2</v>
      </c>
      <c r="G545" s="10">
        <v>3620</v>
      </c>
      <c r="H545" s="10">
        <v>15.5</v>
      </c>
      <c r="I545" s="10">
        <v>6117.8</v>
      </c>
      <c r="J545" s="8" t="s">
        <v>41</v>
      </c>
      <c r="K545" s="8" t="s">
        <v>136</v>
      </c>
      <c r="L545" s="18" t="str">
        <f>VLOOKUP(D545,Products!$A:$C,3,FALSE)</f>
        <v>Apparel</v>
      </c>
      <c r="N545" s="18" t="str">
        <f>VLOOKUP(C545,Customers!$A:$E,5,FALSE)</f>
        <v>Retail</v>
      </c>
      <c r="O545" s="18">
        <f>VLOOKUP(C545,Customers!$A:$C,3,FALSE)</f>
        <v>61</v>
      </c>
      <c r="T545" s="10">
        <v>18.2</v>
      </c>
    </row>
    <row r="546" spans="1:20" ht="14.25" hidden="1" customHeight="1" x14ac:dyDescent="0.3">
      <c r="A546" s="8" t="s">
        <v>1603</v>
      </c>
      <c r="B546" s="9">
        <v>45610</v>
      </c>
      <c r="C546" s="8" t="s">
        <v>319</v>
      </c>
      <c r="D546" s="8" t="s">
        <v>338</v>
      </c>
      <c r="E546" s="8" t="s">
        <v>167</v>
      </c>
      <c r="F546" s="10">
        <v>5</v>
      </c>
      <c r="G546" s="10">
        <v>2860</v>
      </c>
      <c r="H546" s="10">
        <v>26.8</v>
      </c>
      <c r="I546" s="10">
        <v>10467.6</v>
      </c>
      <c r="J546" s="8" t="s">
        <v>41</v>
      </c>
      <c r="K546" s="8" t="s">
        <v>178</v>
      </c>
      <c r="L546" s="18" t="str">
        <f>VLOOKUP(D546,Products!$A:$C,3,FALSE)</f>
        <v>Sports</v>
      </c>
      <c r="N546" s="18" t="str">
        <f>VLOOKUP(C546,Customers!$A:$E,5,FALSE)</f>
        <v>Corporate</v>
      </c>
      <c r="O546" s="18">
        <f>VLOOKUP(C546,Customers!$A:$C,3,FALSE)</f>
        <v>56</v>
      </c>
      <c r="T546" s="10">
        <v>27.7</v>
      </c>
    </row>
    <row r="547" spans="1:20" ht="14.25" hidden="1" customHeight="1" x14ac:dyDescent="0.3">
      <c r="A547" s="8" t="s">
        <v>1604</v>
      </c>
      <c r="B547" s="9">
        <v>45638</v>
      </c>
      <c r="C547" s="8" t="s">
        <v>454</v>
      </c>
      <c r="D547" s="8" t="s">
        <v>205</v>
      </c>
      <c r="E547" s="8" t="s">
        <v>208</v>
      </c>
      <c r="F547" s="10">
        <v>6</v>
      </c>
      <c r="G547" s="10">
        <v>2400</v>
      </c>
      <c r="H547" s="10">
        <v>19.2</v>
      </c>
      <c r="I547" s="10">
        <v>11635.2</v>
      </c>
      <c r="J547" s="8" t="s">
        <v>147</v>
      </c>
      <c r="K547" s="8" t="s">
        <v>119</v>
      </c>
      <c r="L547" s="18" t="str">
        <f>VLOOKUP(D547,Products!$A:$C,3,FALSE)</f>
        <v>Sports</v>
      </c>
      <c r="N547" s="18" t="str">
        <f>VLOOKUP(C547,Customers!$A:$E,5,FALSE)</f>
        <v>Retail</v>
      </c>
      <c r="O547" s="18">
        <f>VLOOKUP(C547,Customers!$A:$C,3,FALSE)</f>
        <v>55</v>
      </c>
      <c r="T547" s="10">
        <v>29.6</v>
      </c>
    </row>
    <row r="548" spans="1:20" ht="14.25" hidden="1" customHeight="1" x14ac:dyDescent="0.3">
      <c r="A548" s="8" t="s">
        <v>1605</v>
      </c>
      <c r="B548" s="9">
        <v>45546</v>
      </c>
      <c r="C548" s="8" t="s">
        <v>620</v>
      </c>
      <c r="D548" s="8" t="s">
        <v>926</v>
      </c>
      <c r="E548" s="8" t="s">
        <v>214</v>
      </c>
      <c r="F548" s="10">
        <v>7</v>
      </c>
      <c r="G548" s="10">
        <v>5080</v>
      </c>
      <c r="H548" s="10">
        <v>16.600000000000001</v>
      </c>
      <c r="I548" s="10">
        <v>29657.040000000001</v>
      </c>
      <c r="J548" s="8" t="s">
        <v>97</v>
      </c>
      <c r="K548" s="8" t="s">
        <v>136</v>
      </c>
      <c r="L548" s="18" t="str">
        <f>VLOOKUP(D548,Products!$A:$C,3,FALSE)</f>
        <v>Home</v>
      </c>
      <c r="N548" s="18" t="str">
        <f>VLOOKUP(C548,Customers!$A:$E,5,FALSE)</f>
        <v>SMB</v>
      </c>
      <c r="O548" s="18">
        <f>VLOOKUP(C548,Customers!$A:$C,3,FALSE)</f>
        <v>42</v>
      </c>
      <c r="T548" s="10">
        <v>8.1999999999999993</v>
      </c>
    </row>
    <row r="549" spans="1:20" ht="14.25" customHeight="1" x14ac:dyDescent="0.3">
      <c r="A549" s="8" t="s">
        <v>1606</v>
      </c>
      <c r="B549" s="21">
        <v>45436</v>
      </c>
      <c r="C549" s="8" t="s">
        <v>213</v>
      </c>
      <c r="D549" s="8" t="s">
        <v>926</v>
      </c>
      <c r="E549" s="8" t="s">
        <v>301</v>
      </c>
      <c r="F549" s="10">
        <v>10</v>
      </c>
      <c r="G549" s="10">
        <v>5080</v>
      </c>
      <c r="H549" s="10">
        <v>24.6</v>
      </c>
      <c r="I549" s="10">
        <v>38303.199999999997</v>
      </c>
      <c r="J549" s="8" t="s">
        <v>41</v>
      </c>
      <c r="K549" s="8" t="s">
        <v>178</v>
      </c>
      <c r="L549" s="18" t="str">
        <f>VLOOKUP(D549,Products!$A:$C,3,FALSE)</f>
        <v>Home</v>
      </c>
      <c r="N549" s="18" t="str">
        <f>VLOOKUP(C549,Customers!$A:$E,5,FALSE)</f>
        <v>Corporate</v>
      </c>
      <c r="O549" s="18">
        <f>VLOOKUP(C549,Customers!$A:$C,3,FALSE)</f>
        <v>32</v>
      </c>
      <c r="P549" s="18" t="str">
        <f>VLOOKUP(E548,Sales_Reps!$A:$C,3,FALSE)</f>
        <v>South</v>
      </c>
      <c r="Q549" s="18" t="str">
        <f>TEXT(B548,"MMM-YY")</f>
        <v>Sep-24</v>
      </c>
      <c r="R549">
        <f>VLOOKUP(D549, Products!A:D, 4, FALSE)</f>
        <v>2459</v>
      </c>
      <c r="S549">
        <f>(G549-R549)/G549</f>
        <v>0.51594488188976373</v>
      </c>
      <c r="T549" s="10">
        <v>17.8</v>
      </c>
    </row>
    <row r="550" spans="1:20" ht="14.25" hidden="1" customHeight="1" x14ac:dyDescent="0.3">
      <c r="A550" s="8" t="s">
        <v>1607</v>
      </c>
      <c r="B550" s="9">
        <v>45532</v>
      </c>
      <c r="C550" s="8" t="s">
        <v>746</v>
      </c>
      <c r="D550" s="8" t="s">
        <v>152</v>
      </c>
      <c r="E550" s="8" t="s">
        <v>135</v>
      </c>
      <c r="F550" s="10">
        <v>7</v>
      </c>
      <c r="G550" s="10">
        <v>960</v>
      </c>
      <c r="H550" s="10">
        <v>16.600000000000001</v>
      </c>
      <c r="I550" s="10">
        <v>5604.48</v>
      </c>
      <c r="J550" s="8" t="s">
        <v>41</v>
      </c>
      <c r="K550" s="8" t="s">
        <v>146</v>
      </c>
      <c r="L550" s="18" t="str">
        <f>VLOOKUP(D550,Products!$A:$C,3,FALSE)</f>
        <v>Sports</v>
      </c>
      <c r="N550" s="18" t="str">
        <f>VLOOKUP(C550,Customers!$A:$E,5,FALSE)</f>
        <v>SMB</v>
      </c>
      <c r="O550" s="18">
        <f>VLOOKUP(C550,Customers!$A:$C,3,FALSE)</f>
        <v>65</v>
      </c>
      <c r="T550" s="10">
        <v>4.9000000000000004</v>
      </c>
    </row>
    <row r="551" spans="1:20" ht="14.25" hidden="1" customHeight="1" x14ac:dyDescent="0.3">
      <c r="A551" s="8" t="s">
        <v>1608</v>
      </c>
      <c r="B551" s="9">
        <v>45568</v>
      </c>
      <c r="C551" s="8" t="s">
        <v>633</v>
      </c>
      <c r="D551" s="8" t="s">
        <v>124</v>
      </c>
      <c r="E551" s="8" t="s">
        <v>172</v>
      </c>
      <c r="F551" s="10">
        <v>3</v>
      </c>
      <c r="G551" s="10">
        <v>3660</v>
      </c>
      <c r="H551" s="10">
        <v>3.2</v>
      </c>
      <c r="I551" s="10">
        <v>10628.64</v>
      </c>
      <c r="J551" s="8" t="s">
        <v>97</v>
      </c>
      <c r="K551" s="8" t="s">
        <v>119</v>
      </c>
      <c r="L551" s="18" t="str">
        <f>VLOOKUP(D551,Products!$A:$C,3,FALSE)</f>
        <v>Grocery</v>
      </c>
      <c r="N551" s="18" t="str">
        <f>VLOOKUP(C551,Customers!$A:$E,5,FALSE)</f>
        <v>Corporate</v>
      </c>
      <c r="O551" s="18">
        <f>VLOOKUP(C551,Customers!$A:$C,3,FALSE)</f>
        <v>55</v>
      </c>
      <c r="T551" s="10">
        <v>12.3</v>
      </c>
    </row>
    <row r="552" spans="1:20" ht="14.25" hidden="1" customHeight="1" x14ac:dyDescent="0.3">
      <c r="A552" s="8" t="s">
        <v>1609</v>
      </c>
      <c r="B552" s="9">
        <v>45572</v>
      </c>
      <c r="C552" s="8" t="s">
        <v>357</v>
      </c>
      <c r="D552" s="8" t="s">
        <v>181</v>
      </c>
      <c r="E552" s="8" t="s">
        <v>214</v>
      </c>
      <c r="F552" s="10">
        <v>6</v>
      </c>
      <c r="G552" s="10">
        <v>2640</v>
      </c>
      <c r="H552" s="10">
        <v>26.3</v>
      </c>
      <c r="I552" s="10">
        <v>11674.08</v>
      </c>
      <c r="J552" s="8" t="s">
        <v>41</v>
      </c>
      <c r="K552" s="8" t="s">
        <v>42</v>
      </c>
      <c r="L552" s="18" t="str">
        <f>VLOOKUP(D552,Products!$A:$C,3,FALSE)</f>
        <v>Electronics</v>
      </c>
      <c r="N552" s="18" t="str">
        <f>VLOOKUP(C552,Customers!$A:$E,5,FALSE)</f>
        <v>Corporate</v>
      </c>
      <c r="O552" s="18">
        <f>VLOOKUP(C552,Customers!$A:$C,3,FALSE)</f>
        <v>47</v>
      </c>
      <c r="T552" s="10">
        <v>7.8</v>
      </c>
    </row>
    <row r="553" spans="1:20" ht="14.25" hidden="1" customHeight="1" x14ac:dyDescent="0.3">
      <c r="A553" s="8" t="s">
        <v>1610</v>
      </c>
      <c r="B553" s="9">
        <v>45562</v>
      </c>
      <c r="C553" s="8" t="s">
        <v>306</v>
      </c>
      <c r="D553" s="8" t="s">
        <v>160</v>
      </c>
      <c r="E553" s="8" t="s">
        <v>214</v>
      </c>
      <c r="F553" s="10">
        <v>6</v>
      </c>
      <c r="G553" s="10">
        <v>1220</v>
      </c>
      <c r="H553" s="10">
        <v>22.3</v>
      </c>
      <c r="I553" s="10">
        <v>5687.64</v>
      </c>
      <c r="J553" s="8" t="s">
        <v>147</v>
      </c>
      <c r="K553" s="8" t="s">
        <v>98</v>
      </c>
      <c r="L553" s="18" t="str">
        <f>VLOOKUP(D553,Products!$A:$C,3,FALSE)</f>
        <v>Electronics</v>
      </c>
      <c r="N553" s="18" t="str">
        <f>VLOOKUP(C553,Customers!$A:$E,5,FALSE)</f>
        <v>SMB</v>
      </c>
      <c r="O553" s="18">
        <f>VLOOKUP(C553,Customers!$A:$C,3,FALSE)</f>
        <v>64</v>
      </c>
      <c r="T553" s="10">
        <v>6.4</v>
      </c>
    </row>
    <row r="554" spans="1:20" ht="14.25" customHeight="1" x14ac:dyDescent="0.3">
      <c r="A554" s="8" t="s">
        <v>775</v>
      </c>
      <c r="B554" s="21">
        <v>45345</v>
      </c>
      <c r="C554" s="8" t="s">
        <v>778</v>
      </c>
      <c r="D554" s="8" t="s">
        <v>154</v>
      </c>
      <c r="E554" s="8" t="s">
        <v>745</v>
      </c>
      <c r="F554" s="10">
        <v>1</v>
      </c>
      <c r="G554" s="10">
        <v>300</v>
      </c>
      <c r="H554" s="10">
        <v>0.7</v>
      </c>
      <c r="I554" s="10">
        <v>297.89999999999998</v>
      </c>
      <c r="J554" s="8" t="s">
        <v>41</v>
      </c>
      <c r="K554" s="8" t="s">
        <v>136</v>
      </c>
      <c r="L554" s="18" t="str">
        <f>VLOOKUP(D554,Products!$A:$C,3,FALSE)</f>
        <v>Electronics</v>
      </c>
      <c r="N554" s="18" t="str">
        <f>VLOOKUP(C554,Customers!$A:$E,5,FALSE)</f>
        <v>Retail</v>
      </c>
      <c r="O554" s="18">
        <f>VLOOKUP(C554,Customers!$A:$C,3,FALSE)</f>
        <v>27</v>
      </c>
      <c r="P554" s="18" t="str">
        <f>VLOOKUP(E553,Sales_Reps!$A:$C,3,FALSE)</f>
        <v>South</v>
      </c>
      <c r="Q554" s="18" t="str">
        <f>TEXT(B553,"MMM-YY")</f>
        <v>Sep-24</v>
      </c>
      <c r="R554">
        <f>VLOOKUP(D554, Products!A:D, 4, FALSE)</f>
        <v>128</v>
      </c>
      <c r="S554">
        <f>(G554-R554)/G554</f>
        <v>0.57333333333333336</v>
      </c>
      <c r="T554" s="10">
        <v>18.8</v>
      </c>
    </row>
    <row r="555" spans="1:20" ht="14.25" hidden="1" customHeight="1" x14ac:dyDescent="0.3">
      <c r="A555" s="8" t="s">
        <v>1611</v>
      </c>
      <c r="B555" s="9">
        <v>45370</v>
      </c>
      <c r="C555" s="8" t="s">
        <v>763</v>
      </c>
      <c r="D555" s="8" t="s">
        <v>260</v>
      </c>
      <c r="E555" s="8" t="s">
        <v>321</v>
      </c>
      <c r="F555" s="10">
        <v>2</v>
      </c>
      <c r="G555" s="10">
        <v>1010</v>
      </c>
      <c r="H555" s="10">
        <v>28</v>
      </c>
      <c r="I555" s="10">
        <v>1454.4</v>
      </c>
      <c r="J555" s="8" t="s">
        <v>41</v>
      </c>
      <c r="K555" s="8" t="s">
        <v>178</v>
      </c>
      <c r="L555" s="18" t="str">
        <f>VLOOKUP(D555,Products!$A:$C,3,FALSE)</f>
        <v>Sports</v>
      </c>
      <c r="N555" s="18" t="str">
        <f>VLOOKUP(C555,Customers!$A:$E,5,FALSE)</f>
        <v>Retail</v>
      </c>
      <c r="O555" s="18">
        <f>VLOOKUP(C555,Customers!$A:$C,3,FALSE)</f>
        <v>65</v>
      </c>
      <c r="T555" s="10">
        <v>9.8000000000000007</v>
      </c>
    </row>
    <row r="556" spans="1:20" ht="14.25" hidden="1" customHeight="1" x14ac:dyDescent="0.3">
      <c r="A556" s="8" t="s">
        <v>1612</v>
      </c>
      <c r="B556" s="9">
        <v>45407</v>
      </c>
      <c r="C556" s="8" t="s">
        <v>361</v>
      </c>
      <c r="D556" s="8" t="s">
        <v>184</v>
      </c>
      <c r="E556" s="8" t="s">
        <v>865</v>
      </c>
      <c r="F556" s="10">
        <v>5</v>
      </c>
      <c r="G556" s="10">
        <v>2600</v>
      </c>
      <c r="H556" s="10">
        <v>0.8</v>
      </c>
      <c r="I556" s="10">
        <v>12896</v>
      </c>
      <c r="J556" s="8" t="s">
        <v>147</v>
      </c>
      <c r="K556" s="8" t="s">
        <v>119</v>
      </c>
      <c r="L556" s="18" t="str">
        <f>VLOOKUP(D556,Products!$A:$C,3,FALSE)</f>
        <v>Electronics</v>
      </c>
      <c r="N556" s="18" t="str">
        <f>VLOOKUP(C556,Customers!$A:$E,5,FALSE)</f>
        <v>SMB</v>
      </c>
      <c r="O556" s="18">
        <f>VLOOKUP(C556,Customers!$A:$C,3,FALSE)</f>
        <v>45</v>
      </c>
      <c r="T556" s="10">
        <v>5.5</v>
      </c>
    </row>
    <row r="557" spans="1:20" ht="14.25" customHeight="1" x14ac:dyDescent="0.3">
      <c r="A557" s="8" t="s">
        <v>1613</v>
      </c>
      <c r="B557" s="21">
        <v>45337</v>
      </c>
      <c r="C557" s="8" t="s">
        <v>369</v>
      </c>
      <c r="D557" s="8" t="s">
        <v>959</v>
      </c>
      <c r="E557" s="8" t="s">
        <v>376</v>
      </c>
      <c r="F557" s="10">
        <v>3</v>
      </c>
      <c r="G557" s="10">
        <v>6940</v>
      </c>
      <c r="H557" s="10">
        <v>10.7</v>
      </c>
      <c r="I557" s="10">
        <v>18592.259999999998</v>
      </c>
      <c r="J557" s="8" t="s">
        <v>147</v>
      </c>
      <c r="K557" s="8" t="s">
        <v>146</v>
      </c>
      <c r="L557" s="18" t="str">
        <f>VLOOKUP(D557,Products!$A:$C,3,FALSE)</f>
        <v>Sports</v>
      </c>
      <c r="N557" s="18" t="str">
        <f>VLOOKUP(C557,Customers!$A:$E,5,FALSE)</f>
        <v>Retail</v>
      </c>
      <c r="O557" s="18">
        <f>VLOOKUP(C557,Customers!$A:$C,3,FALSE)</f>
        <v>37</v>
      </c>
      <c r="P557" s="18" t="str">
        <f>VLOOKUP(E556,Sales_Reps!$A:$C,3,FALSE)</f>
        <v>South</v>
      </c>
      <c r="Q557" s="18" t="str">
        <f>TEXT(B556,"MMM-YY")</f>
        <v>Apr-24</v>
      </c>
      <c r="R557">
        <f>VLOOKUP(D557, Products!A:D, 4, FALSE)</f>
        <v>2827</v>
      </c>
      <c r="S557">
        <f>(G557-R557)/G557</f>
        <v>0.5926512968299712</v>
      </c>
      <c r="T557" s="10">
        <v>14.1</v>
      </c>
    </row>
    <row r="558" spans="1:20" ht="14.25" hidden="1" customHeight="1" x14ac:dyDescent="0.3">
      <c r="A558" s="8" t="s">
        <v>1614</v>
      </c>
      <c r="B558" s="9">
        <v>45571</v>
      </c>
      <c r="C558" s="8" t="s">
        <v>733</v>
      </c>
      <c r="D558" s="8" t="s">
        <v>144</v>
      </c>
      <c r="E558" s="8" t="s">
        <v>865</v>
      </c>
      <c r="F558" s="10">
        <v>1</v>
      </c>
      <c r="G558" s="10">
        <v>370</v>
      </c>
      <c r="H558" s="10">
        <v>10.3</v>
      </c>
      <c r="I558" s="10">
        <v>331.89</v>
      </c>
      <c r="J558" s="8" t="s">
        <v>193</v>
      </c>
      <c r="K558" s="8" t="s">
        <v>136</v>
      </c>
      <c r="L558" s="18" t="str">
        <f>VLOOKUP(D558,Products!$A:$C,3,FALSE)</f>
        <v>Home</v>
      </c>
      <c r="N558" s="18" t="str">
        <f>VLOOKUP(C558,Customers!$A:$E,5,FALSE)</f>
        <v>SMB</v>
      </c>
      <c r="O558" s="18">
        <f>VLOOKUP(C558,Customers!$A:$C,3,FALSE)</f>
        <v>44</v>
      </c>
      <c r="T558" s="10">
        <v>21.4</v>
      </c>
    </row>
    <row r="559" spans="1:20" ht="14.25" customHeight="1" x14ac:dyDescent="0.3">
      <c r="A559" s="8" t="s">
        <v>1615</v>
      </c>
      <c r="B559" s="21">
        <v>45357</v>
      </c>
      <c r="C559" s="8" t="s">
        <v>717</v>
      </c>
      <c r="D559" s="8" t="s">
        <v>624</v>
      </c>
      <c r="E559" s="8" t="s">
        <v>236</v>
      </c>
      <c r="F559" s="10">
        <v>2</v>
      </c>
      <c r="G559" s="10">
        <v>3780</v>
      </c>
      <c r="H559" s="10">
        <v>29.4</v>
      </c>
      <c r="I559" s="10">
        <v>5337.36</v>
      </c>
      <c r="J559" s="8" t="s">
        <v>41</v>
      </c>
      <c r="K559" s="8" t="s">
        <v>146</v>
      </c>
      <c r="L559" s="18" t="str">
        <f>VLOOKUP(D559,Products!$A:$C,3,FALSE)</f>
        <v>Grocery</v>
      </c>
      <c r="N559" s="18" t="str">
        <f>VLOOKUP(C559,Customers!$A:$E,5,FALSE)</f>
        <v>Retail</v>
      </c>
      <c r="O559" s="18">
        <f>VLOOKUP(C559,Customers!$A:$C,3,FALSE)</f>
        <v>39</v>
      </c>
      <c r="P559" s="18" t="str">
        <f>VLOOKUP(E558,Sales_Reps!$A:$C,3,FALSE)</f>
        <v>South</v>
      </c>
      <c r="Q559" s="18" t="str">
        <f>TEXT(B558,"MMM-YY")</f>
        <v>Oct-24</v>
      </c>
      <c r="R559">
        <f>VLOOKUP(D559, Products!A:D, 4, FALSE)</f>
        <v>2436</v>
      </c>
      <c r="S559">
        <f>(G559-R559)/G559</f>
        <v>0.35555555555555557</v>
      </c>
      <c r="T559" s="10">
        <v>15.8</v>
      </c>
    </row>
    <row r="560" spans="1:20" ht="14.25" hidden="1" customHeight="1" x14ac:dyDescent="0.3">
      <c r="A560" s="8" t="s">
        <v>1616</v>
      </c>
      <c r="B560" s="9">
        <v>45432</v>
      </c>
      <c r="C560" s="8" t="s">
        <v>446</v>
      </c>
      <c r="D560" s="8" t="s">
        <v>171</v>
      </c>
      <c r="E560" s="8" t="s">
        <v>196</v>
      </c>
      <c r="F560" s="10">
        <v>5</v>
      </c>
      <c r="G560" s="10">
        <v>970</v>
      </c>
      <c r="H560" s="10">
        <v>14.6</v>
      </c>
      <c r="I560" s="10">
        <v>4141.8999999999996</v>
      </c>
      <c r="J560" s="8" t="s">
        <v>41</v>
      </c>
      <c r="K560" s="8" t="s">
        <v>42</v>
      </c>
      <c r="L560" s="18" t="str">
        <f>VLOOKUP(D560,Products!$A:$C,3,FALSE)</f>
        <v>Grocery</v>
      </c>
      <c r="N560" s="18" t="str">
        <f>VLOOKUP(C560,Customers!$A:$E,5,FALSE)</f>
        <v>SMB</v>
      </c>
      <c r="O560" s="18">
        <f>VLOOKUP(C560,Customers!$A:$C,3,FALSE)</f>
        <v>49</v>
      </c>
      <c r="T560" s="10">
        <v>25.5</v>
      </c>
    </row>
    <row r="561" spans="1:20" ht="14.25" customHeight="1" x14ac:dyDescent="0.3">
      <c r="A561" s="8" t="s">
        <v>1617</v>
      </c>
      <c r="B561" s="21">
        <v>45604</v>
      </c>
      <c r="C561" s="8" t="s">
        <v>700</v>
      </c>
      <c r="D561" s="8" t="s">
        <v>691</v>
      </c>
      <c r="E561" s="8" t="s">
        <v>261</v>
      </c>
      <c r="F561" s="10">
        <v>3</v>
      </c>
      <c r="G561" s="10">
        <v>2270</v>
      </c>
      <c r="H561" s="10">
        <v>6.5</v>
      </c>
      <c r="I561" s="10">
        <v>6367.35</v>
      </c>
      <c r="J561" s="8" t="s">
        <v>41</v>
      </c>
      <c r="K561" s="8" t="s">
        <v>42</v>
      </c>
      <c r="L561" s="18" t="str">
        <f>VLOOKUP(D561,Products!$A:$C,3,FALSE)</f>
        <v>Grocery</v>
      </c>
      <c r="N561" s="18" t="str">
        <f>VLOOKUP(C561,Customers!$A:$E,5,FALSE)</f>
        <v>Retail</v>
      </c>
      <c r="O561" s="18">
        <f>VLOOKUP(C561,Customers!$A:$C,3,FALSE)</f>
        <v>31</v>
      </c>
      <c r="P561" s="18" t="str">
        <f>VLOOKUP(E560,Sales_Reps!$A:$C,3,FALSE)</f>
        <v>East</v>
      </c>
      <c r="Q561" s="18" t="str">
        <f>TEXT(B560,"MMM-YY")</f>
        <v>May-24</v>
      </c>
      <c r="R561">
        <f>VLOOKUP(D561, Products!A:D, 4, FALSE)</f>
        <v>1412</v>
      </c>
      <c r="S561">
        <f>(G561-R561)/G561</f>
        <v>0.37797356828193834</v>
      </c>
      <c r="T561" s="10">
        <v>16.2</v>
      </c>
    </row>
    <row r="562" spans="1:20" ht="14.25" hidden="1" customHeight="1" x14ac:dyDescent="0.3">
      <c r="A562" s="8" t="s">
        <v>1618</v>
      </c>
      <c r="B562" s="9">
        <v>45467</v>
      </c>
      <c r="C562" s="8" t="s">
        <v>706</v>
      </c>
      <c r="D562" s="8" t="s">
        <v>789</v>
      </c>
      <c r="E562" s="8" t="s">
        <v>236</v>
      </c>
      <c r="F562" s="10">
        <v>10</v>
      </c>
      <c r="G562" s="10">
        <v>1540</v>
      </c>
      <c r="H562" s="10">
        <v>16.5</v>
      </c>
      <c r="I562" s="10">
        <v>12859</v>
      </c>
      <c r="J562" s="8" t="s">
        <v>41</v>
      </c>
      <c r="K562" s="8" t="s">
        <v>98</v>
      </c>
      <c r="L562" s="18" t="str">
        <f>VLOOKUP(D562,Products!$A:$C,3,FALSE)</f>
        <v>Beauty</v>
      </c>
      <c r="N562" s="18" t="str">
        <f>VLOOKUP(C562,Customers!$A:$E,5,FALSE)</f>
        <v>SMB</v>
      </c>
      <c r="O562" s="18">
        <f>VLOOKUP(C562,Customers!$A:$C,3,FALSE)</f>
        <v>46</v>
      </c>
      <c r="T562" s="10">
        <v>24.1</v>
      </c>
    </row>
    <row r="563" spans="1:20" ht="14.25" customHeight="1" x14ac:dyDescent="0.3">
      <c r="A563" s="8" t="s">
        <v>1619</v>
      </c>
      <c r="B563" s="21">
        <v>45649</v>
      </c>
      <c r="C563" s="8" t="s">
        <v>133</v>
      </c>
      <c r="D563" s="8" t="s">
        <v>374</v>
      </c>
      <c r="E563" s="8" t="s">
        <v>121</v>
      </c>
      <c r="F563" s="10">
        <v>4</v>
      </c>
      <c r="G563" s="10">
        <v>2760</v>
      </c>
      <c r="H563" s="10">
        <v>19.8</v>
      </c>
      <c r="I563" s="10">
        <v>8854.08</v>
      </c>
      <c r="J563" s="8" t="s">
        <v>41</v>
      </c>
      <c r="K563" s="8" t="s">
        <v>98</v>
      </c>
      <c r="L563" s="18" t="str">
        <f>VLOOKUP(D563,Products!$A:$C,3,FALSE)</f>
        <v>Grocery</v>
      </c>
      <c r="N563" s="18" t="str">
        <f>VLOOKUP(C563,Customers!$A:$E,5,FALSE)</f>
        <v>Retail</v>
      </c>
      <c r="O563" s="18">
        <f>VLOOKUP(C563,Customers!$A:$C,3,FALSE)</f>
        <v>36</v>
      </c>
      <c r="P563" s="18" t="str">
        <f>VLOOKUP(E562,Sales_Reps!$A:$C,3,FALSE)</f>
        <v>West</v>
      </c>
      <c r="Q563" s="18" t="str">
        <f t="shared" ref="Q563:Q564" si="118">TEXT(B562,"MMM-YY")</f>
        <v>Jun-24</v>
      </c>
      <c r="R563">
        <f>VLOOKUP(D563, Products!A:D, 4, FALSE)</f>
        <v>1435</v>
      </c>
      <c r="S563">
        <f t="shared" ref="S563:S564" si="119">(G563-R563)/G563</f>
        <v>0.48007246376811596</v>
      </c>
      <c r="T563" s="10">
        <v>9.6</v>
      </c>
    </row>
    <row r="564" spans="1:20" ht="14.25" customHeight="1" x14ac:dyDescent="0.3">
      <c r="A564" s="8" t="s">
        <v>1620</v>
      </c>
      <c r="B564" s="21">
        <v>45332</v>
      </c>
      <c r="C564" s="8" t="s">
        <v>309</v>
      </c>
      <c r="D564" s="8" t="s">
        <v>176</v>
      </c>
      <c r="E564" s="8" t="s">
        <v>143</v>
      </c>
      <c r="F564" s="10">
        <v>3</v>
      </c>
      <c r="G564" s="10">
        <v>2270</v>
      </c>
      <c r="H564" s="10">
        <v>29.5</v>
      </c>
      <c r="I564" s="10">
        <v>4801.05</v>
      </c>
      <c r="J564" s="8" t="s">
        <v>193</v>
      </c>
      <c r="K564" s="8" t="s">
        <v>136</v>
      </c>
      <c r="L564" s="18" t="str">
        <f>VLOOKUP(D564,Products!$A:$C,3,FALSE)</f>
        <v>Grocery</v>
      </c>
      <c r="N564" s="18" t="str">
        <f>VLOOKUP(C564,Customers!$A:$E,5,FALSE)</f>
        <v>Retail</v>
      </c>
      <c r="O564" s="18">
        <f>VLOOKUP(C564,Customers!$A:$C,3,FALSE)</f>
        <v>23</v>
      </c>
      <c r="P564" s="18" t="str">
        <f>VLOOKUP(E563,Sales_Reps!$A:$C,3,FALSE)</f>
        <v>East</v>
      </c>
      <c r="Q564" s="18" t="str">
        <f t="shared" si="118"/>
        <v>Dec-24</v>
      </c>
      <c r="R564">
        <f>VLOOKUP(D564, Products!A:D, 4, FALSE)</f>
        <v>1203</v>
      </c>
      <c r="S564">
        <f t="shared" si="119"/>
        <v>0.47004405286343615</v>
      </c>
      <c r="T564" s="10">
        <v>4</v>
      </c>
    </row>
    <row r="565" spans="1:20" ht="14.25" hidden="1" customHeight="1" x14ac:dyDescent="0.3">
      <c r="A565" s="8" t="s">
        <v>1621</v>
      </c>
      <c r="B565" s="9">
        <v>45418</v>
      </c>
      <c r="C565" s="8" t="s">
        <v>814</v>
      </c>
      <c r="D565" s="8" t="s">
        <v>867</v>
      </c>
      <c r="E565" s="8" t="s">
        <v>301</v>
      </c>
      <c r="F565" s="10">
        <v>8</v>
      </c>
      <c r="G565" s="10">
        <v>3020</v>
      </c>
      <c r="H565" s="10">
        <v>1.2</v>
      </c>
      <c r="I565" s="10">
        <v>23870.080000000002</v>
      </c>
      <c r="J565" s="8" t="s">
        <v>41</v>
      </c>
      <c r="K565" s="8" t="s">
        <v>136</v>
      </c>
      <c r="L565" s="18" t="str">
        <f>VLOOKUP(D565,Products!$A:$C,3,FALSE)</f>
        <v>Beauty</v>
      </c>
      <c r="N565" s="18" t="str">
        <f>VLOOKUP(C565,Customers!$A:$E,5,FALSE)</f>
        <v>Corporate</v>
      </c>
      <c r="O565" s="18">
        <f>VLOOKUP(C565,Customers!$A:$C,3,FALSE)</f>
        <v>41</v>
      </c>
      <c r="T565" s="10">
        <v>25.7</v>
      </c>
    </row>
    <row r="566" spans="1:20" ht="14.25" hidden="1" customHeight="1" x14ac:dyDescent="0.3">
      <c r="A566" s="8" t="s">
        <v>1622</v>
      </c>
      <c r="B566" s="9">
        <v>45490</v>
      </c>
      <c r="C566" s="8" t="s">
        <v>312</v>
      </c>
      <c r="D566" s="8" t="s">
        <v>909</v>
      </c>
      <c r="E566" s="8" t="s">
        <v>167</v>
      </c>
      <c r="F566" s="10">
        <v>6</v>
      </c>
      <c r="G566" s="10">
        <v>2380</v>
      </c>
      <c r="H566" s="10">
        <v>20.399999999999999</v>
      </c>
      <c r="I566" s="10">
        <v>11366.88</v>
      </c>
      <c r="J566" s="8" t="s">
        <v>41</v>
      </c>
      <c r="K566" s="8" t="s">
        <v>42</v>
      </c>
      <c r="L566" s="18" t="str">
        <f>VLOOKUP(D566,Products!$A:$C,3,FALSE)</f>
        <v>Grocery</v>
      </c>
      <c r="N566" s="18" t="str">
        <f>VLOOKUP(C566,Customers!$A:$E,5,FALSE)</f>
        <v>Retail</v>
      </c>
      <c r="O566" s="18">
        <f>VLOOKUP(C566,Customers!$A:$C,3,FALSE)</f>
        <v>62</v>
      </c>
      <c r="T566" s="10">
        <v>16.399999999999999</v>
      </c>
    </row>
    <row r="567" spans="1:20" ht="14.25" hidden="1" customHeight="1" x14ac:dyDescent="0.3">
      <c r="A567" s="8" t="s">
        <v>1623</v>
      </c>
      <c r="B567" s="9">
        <v>45470</v>
      </c>
      <c r="C567" s="8" t="s">
        <v>388</v>
      </c>
      <c r="D567" s="8" t="s">
        <v>959</v>
      </c>
      <c r="E567" s="8" t="s">
        <v>172</v>
      </c>
      <c r="F567" s="10">
        <v>1</v>
      </c>
      <c r="G567" s="10">
        <v>6940</v>
      </c>
      <c r="H567" s="10">
        <v>15</v>
      </c>
      <c r="I567" s="10">
        <v>5899</v>
      </c>
      <c r="J567" s="8" t="s">
        <v>147</v>
      </c>
      <c r="K567" s="8" t="s">
        <v>136</v>
      </c>
      <c r="L567" s="18" t="str">
        <f>VLOOKUP(D567,Products!$A:$C,3,FALSE)</f>
        <v>Sports</v>
      </c>
      <c r="N567" s="18" t="str">
        <f>VLOOKUP(C567,Customers!$A:$E,5,FALSE)</f>
        <v>SMB</v>
      </c>
      <c r="O567" s="18">
        <f>VLOOKUP(C567,Customers!$A:$C,3,FALSE)</f>
        <v>49</v>
      </c>
      <c r="T567" s="10">
        <v>3.1</v>
      </c>
    </row>
    <row r="568" spans="1:20" ht="14.25" customHeight="1" x14ac:dyDescent="0.3">
      <c r="A568" s="8" t="s">
        <v>1624</v>
      </c>
      <c r="B568" s="21">
        <v>45654</v>
      </c>
      <c r="C568" s="8" t="s">
        <v>330</v>
      </c>
      <c r="D568" s="8" t="s">
        <v>131</v>
      </c>
      <c r="E568" s="8" t="s">
        <v>177</v>
      </c>
      <c r="F568" s="10">
        <v>1</v>
      </c>
      <c r="G568" s="10">
        <v>2660</v>
      </c>
      <c r="H568" s="10">
        <v>11.6</v>
      </c>
      <c r="I568" s="10">
        <v>2351.44</v>
      </c>
      <c r="J568" s="8" t="s">
        <v>41</v>
      </c>
      <c r="K568" s="8" t="s">
        <v>119</v>
      </c>
      <c r="L568" s="18" t="str">
        <f>VLOOKUP(D568,Products!$A:$C,3,FALSE)</f>
        <v>Electronics</v>
      </c>
      <c r="N568" s="18" t="str">
        <f>VLOOKUP(C568,Customers!$A:$E,5,FALSE)</f>
        <v>Retail</v>
      </c>
      <c r="O568" s="18">
        <f>VLOOKUP(C568,Customers!$A:$C,3,FALSE)</f>
        <v>35</v>
      </c>
      <c r="P568" s="18" t="str">
        <f>VLOOKUP(E567,Sales_Reps!$A:$C,3,FALSE)</f>
        <v>West</v>
      </c>
      <c r="Q568" s="18" t="str">
        <f t="shared" ref="Q568:Q569" si="120">TEXT(B567,"MMM-YY")</f>
        <v>Jun-24</v>
      </c>
      <c r="R568">
        <f>VLOOKUP(D568, Products!A:D, 4, FALSE)</f>
        <v>1259</v>
      </c>
      <c r="S568">
        <f t="shared" ref="S568:S569" si="121">(G568-R568)/G568</f>
        <v>0.52669172932330832</v>
      </c>
      <c r="T568" s="10">
        <v>6.8</v>
      </c>
    </row>
    <row r="569" spans="1:20" ht="14.25" customHeight="1" x14ac:dyDescent="0.3">
      <c r="A569" s="8" t="s">
        <v>1625</v>
      </c>
      <c r="B569" s="21">
        <v>45548</v>
      </c>
      <c r="C569" s="8" t="s">
        <v>385</v>
      </c>
      <c r="D569" s="8" t="s">
        <v>171</v>
      </c>
      <c r="E569" s="8" t="s">
        <v>745</v>
      </c>
      <c r="F569" s="10">
        <v>4</v>
      </c>
      <c r="G569" s="10">
        <v>970</v>
      </c>
      <c r="H569" s="10">
        <v>11.6</v>
      </c>
      <c r="I569" s="10">
        <v>3429.92</v>
      </c>
      <c r="J569" s="8" t="s">
        <v>41</v>
      </c>
      <c r="K569" s="8" t="s">
        <v>42</v>
      </c>
      <c r="L569" s="18" t="str">
        <f>VLOOKUP(D569,Products!$A:$C,3,FALSE)</f>
        <v>Grocery</v>
      </c>
      <c r="N569" s="18" t="str">
        <f>VLOOKUP(C569,Customers!$A:$E,5,FALSE)</f>
        <v>Retail</v>
      </c>
      <c r="O569" s="18">
        <f>VLOOKUP(C569,Customers!$A:$C,3,FALSE)</f>
        <v>35</v>
      </c>
      <c r="P569" s="18" t="str">
        <f>VLOOKUP(E568,Sales_Reps!$A:$C,3,FALSE)</f>
        <v>South</v>
      </c>
      <c r="Q569" s="18" t="str">
        <f t="shared" si="120"/>
        <v>Dec-24</v>
      </c>
      <c r="R569">
        <f>VLOOKUP(D569, Products!A:D, 4, FALSE)</f>
        <v>434</v>
      </c>
      <c r="S569">
        <f t="shared" si="121"/>
        <v>0.5525773195876289</v>
      </c>
      <c r="T569" s="10">
        <v>22.6</v>
      </c>
    </row>
    <row r="570" spans="1:20" ht="14.25" hidden="1" customHeight="1" x14ac:dyDescent="0.3">
      <c r="A570" s="8" t="s">
        <v>1626</v>
      </c>
      <c r="B570" s="9">
        <v>45632</v>
      </c>
      <c r="C570" s="8" t="s">
        <v>740</v>
      </c>
      <c r="D570" s="8" t="s">
        <v>691</v>
      </c>
      <c r="E570" s="8" t="s">
        <v>261</v>
      </c>
      <c r="F570" s="10">
        <v>7</v>
      </c>
      <c r="G570" s="10">
        <v>2270</v>
      </c>
      <c r="H570" s="10">
        <v>27.9</v>
      </c>
      <c r="I570" s="10">
        <v>11456.69</v>
      </c>
      <c r="J570" s="8" t="s">
        <v>41</v>
      </c>
      <c r="K570" s="8" t="s">
        <v>98</v>
      </c>
      <c r="L570" s="18" t="str">
        <f>VLOOKUP(D570,Products!$A:$C,3,FALSE)</f>
        <v>Grocery</v>
      </c>
      <c r="N570" s="18" t="str">
        <f>VLOOKUP(C570,Customers!$A:$E,5,FALSE)</f>
        <v>Retail</v>
      </c>
      <c r="O570" s="18">
        <f>VLOOKUP(C570,Customers!$A:$C,3,FALSE)</f>
        <v>61</v>
      </c>
      <c r="T570" s="10">
        <v>29.1</v>
      </c>
    </row>
    <row r="571" spans="1:20" ht="14.25" hidden="1" customHeight="1" x14ac:dyDescent="0.3">
      <c r="A571" s="8" t="s">
        <v>1627</v>
      </c>
      <c r="B571" s="9">
        <v>45304</v>
      </c>
      <c r="C571" s="8" t="s">
        <v>326</v>
      </c>
      <c r="D571" s="8" t="s">
        <v>260</v>
      </c>
      <c r="E571" s="8" t="s">
        <v>221</v>
      </c>
      <c r="F571" s="10">
        <v>8</v>
      </c>
      <c r="G571" s="10">
        <v>1010</v>
      </c>
      <c r="H571" s="10">
        <v>13.7</v>
      </c>
      <c r="I571" s="10">
        <v>6973.04</v>
      </c>
      <c r="J571" s="8" t="s">
        <v>147</v>
      </c>
      <c r="K571" s="8" t="s">
        <v>178</v>
      </c>
      <c r="L571" s="18" t="str">
        <f>VLOOKUP(D571,Products!$A:$C,3,FALSE)</f>
        <v>Sports</v>
      </c>
      <c r="N571" s="18" t="str">
        <f>VLOOKUP(C571,Customers!$A:$E,5,FALSE)</f>
        <v>Retail</v>
      </c>
      <c r="O571" s="18">
        <f>VLOOKUP(C571,Customers!$A:$C,3,FALSE)</f>
        <v>53</v>
      </c>
      <c r="T571" s="10">
        <v>17.8</v>
      </c>
    </row>
    <row r="572" spans="1:20" ht="14.25" customHeight="1" x14ac:dyDescent="0.3">
      <c r="A572" s="8" t="s">
        <v>1628</v>
      </c>
      <c r="B572" s="21">
        <v>45330</v>
      </c>
      <c r="C572" s="8" t="s">
        <v>734</v>
      </c>
      <c r="D572" s="8" t="s">
        <v>909</v>
      </c>
      <c r="E572" s="8" t="s">
        <v>231</v>
      </c>
      <c r="F572" s="10">
        <v>8</v>
      </c>
      <c r="G572" s="10">
        <v>2380</v>
      </c>
      <c r="H572" s="10">
        <v>15.3</v>
      </c>
      <c r="I572" s="10">
        <v>16126.88</v>
      </c>
      <c r="J572" s="8" t="s">
        <v>147</v>
      </c>
      <c r="K572" s="8" t="s">
        <v>42</v>
      </c>
      <c r="L572" s="18" t="str">
        <f>VLOOKUP(D572,Products!$A:$C,3,FALSE)</f>
        <v>Grocery</v>
      </c>
      <c r="N572" s="18" t="str">
        <f>VLOOKUP(C572,Customers!$A:$E,5,FALSE)</f>
        <v>Corporate</v>
      </c>
      <c r="O572" s="18">
        <f>VLOOKUP(C572,Customers!$A:$C,3,FALSE)</f>
        <v>37</v>
      </c>
      <c r="P572" s="18" t="str">
        <f>VLOOKUP(E571,Sales_Reps!$A:$C,3,FALSE)</f>
        <v>South</v>
      </c>
      <c r="Q572" s="18" t="str">
        <f t="shared" ref="Q572:Q576" si="122">TEXT(B571,"MMM-YY")</f>
        <v>Jan-24</v>
      </c>
      <c r="R572">
        <f>VLOOKUP(D572, Products!A:D, 4, FALSE)</f>
        <v>1182</v>
      </c>
      <c r="S572">
        <f t="shared" ref="S572:S576" si="123">(G572-R572)/G572</f>
        <v>0.50336134453781511</v>
      </c>
      <c r="T572" s="10">
        <v>7.5</v>
      </c>
    </row>
    <row r="573" spans="1:20" ht="14.25" customHeight="1" x14ac:dyDescent="0.3">
      <c r="A573" s="8" t="s">
        <v>1629</v>
      </c>
      <c r="B573" s="21">
        <v>45633</v>
      </c>
      <c r="C573" s="8" t="s">
        <v>533</v>
      </c>
      <c r="D573" s="8" t="s">
        <v>116</v>
      </c>
      <c r="E573" s="8" t="s">
        <v>167</v>
      </c>
      <c r="F573" s="10">
        <v>10</v>
      </c>
      <c r="G573" s="10">
        <v>470</v>
      </c>
      <c r="H573" s="10">
        <v>2.1</v>
      </c>
      <c r="I573" s="10">
        <v>4601.3</v>
      </c>
      <c r="J573" s="8" t="s">
        <v>41</v>
      </c>
      <c r="K573" s="8" t="s">
        <v>136</v>
      </c>
      <c r="L573" s="18" t="str">
        <f>VLOOKUP(D573,Products!$A:$C,3,FALSE)</f>
        <v>Sports</v>
      </c>
      <c r="N573" s="18" t="str">
        <f>VLOOKUP(C573,Customers!$A:$E,5,FALSE)</f>
        <v>SMB</v>
      </c>
      <c r="O573" s="18">
        <f>VLOOKUP(C573,Customers!$A:$C,3,FALSE)</f>
        <v>36</v>
      </c>
      <c r="P573" s="18" t="str">
        <f>VLOOKUP(E572,Sales_Reps!$A:$C,3,FALSE)</f>
        <v>North</v>
      </c>
      <c r="Q573" s="18" t="str">
        <f t="shared" si="122"/>
        <v>Feb-24</v>
      </c>
      <c r="R573">
        <f>VLOOKUP(D573, Products!A:D, 4, FALSE)</f>
        <v>302</v>
      </c>
      <c r="S573">
        <f t="shared" si="123"/>
        <v>0.35744680851063831</v>
      </c>
      <c r="T573" s="10">
        <v>12.9</v>
      </c>
    </row>
    <row r="574" spans="1:20" ht="14.25" customHeight="1" x14ac:dyDescent="0.3">
      <c r="A574" s="8" t="s">
        <v>1630</v>
      </c>
      <c r="B574" s="21">
        <v>45480</v>
      </c>
      <c r="C574" s="8" t="s">
        <v>510</v>
      </c>
      <c r="D574" s="8" t="s">
        <v>320</v>
      </c>
      <c r="E574" s="8" t="s">
        <v>145</v>
      </c>
      <c r="F574" s="10">
        <v>5</v>
      </c>
      <c r="G574" s="10">
        <v>5100</v>
      </c>
      <c r="H574" s="10">
        <v>9.6999999999999993</v>
      </c>
      <c r="I574" s="10">
        <v>23026.5</v>
      </c>
      <c r="J574" s="8" t="s">
        <v>41</v>
      </c>
      <c r="K574" s="8" t="s">
        <v>119</v>
      </c>
      <c r="L574" s="18" t="str">
        <f>VLOOKUP(D574,Products!$A:$C,3,FALSE)</f>
        <v>Beauty</v>
      </c>
      <c r="N574" s="18" t="str">
        <f>VLOOKUP(C574,Customers!$A:$E,5,FALSE)</f>
        <v>SMB</v>
      </c>
      <c r="O574" s="18">
        <f>VLOOKUP(C574,Customers!$A:$C,3,FALSE)</f>
        <v>34</v>
      </c>
      <c r="P574" s="18" t="str">
        <f>VLOOKUP(E573,Sales_Reps!$A:$C,3,FALSE)</f>
        <v>East</v>
      </c>
      <c r="Q574" s="18" t="str">
        <f t="shared" si="122"/>
        <v>Dec-24</v>
      </c>
      <c r="R574">
        <f>VLOOKUP(D574, Products!A:D, 4, FALSE)</f>
        <v>2237</v>
      </c>
      <c r="S574">
        <f t="shared" si="123"/>
        <v>0.56137254901960787</v>
      </c>
      <c r="T574" s="10">
        <v>18.100000000000001</v>
      </c>
    </row>
    <row r="575" spans="1:20" ht="14.25" customHeight="1" x14ac:dyDescent="0.3">
      <c r="A575" s="8" t="s">
        <v>1631</v>
      </c>
      <c r="B575" s="21">
        <v>45402</v>
      </c>
      <c r="C575" s="8" t="s">
        <v>226</v>
      </c>
      <c r="D575" s="8" t="s">
        <v>949</v>
      </c>
      <c r="E575" s="8" t="s">
        <v>376</v>
      </c>
      <c r="F575" s="10">
        <v>9</v>
      </c>
      <c r="G575" s="10">
        <v>960</v>
      </c>
      <c r="H575" s="10">
        <v>17.7</v>
      </c>
      <c r="I575" s="10">
        <v>7110.72</v>
      </c>
      <c r="J575" s="8" t="s">
        <v>41</v>
      </c>
      <c r="K575" s="8" t="s">
        <v>178</v>
      </c>
      <c r="L575" s="18" t="str">
        <f>VLOOKUP(D575,Products!$A:$C,3,FALSE)</f>
        <v>Beauty</v>
      </c>
      <c r="N575" s="18" t="str">
        <f>VLOOKUP(C575,Customers!$A:$E,5,FALSE)</f>
        <v>Retail</v>
      </c>
      <c r="O575" s="18">
        <f>VLOOKUP(C575,Customers!$A:$C,3,FALSE)</f>
        <v>32</v>
      </c>
      <c r="P575" s="18" t="str">
        <f>VLOOKUP(E574,Sales_Reps!$A:$C,3,FALSE)</f>
        <v>West</v>
      </c>
      <c r="Q575" s="18" t="str">
        <f t="shared" si="122"/>
        <v>Jul-24</v>
      </c>
      <c r="R575">
        <f>VLOOKUP(D575, Products!A:D, 4, FALSE)</f>
        <v>675</v>
      </c>
      <c r="S575">
        <f t="shared" si="123"/>
        <v>0.296875</v>
      </c>
      <c r="T575" s="10">
        <v>15.2</v>
      </c>
    </row>
    <row r="576" spans="1:20" ht="14.25" customHeight="1" x14ac:dyDescent="0.3">
      <c r="A576" s="8" t="s">
        <v>1632</v>
      </c>
      <c r="B576" s="21">
        <v>45478</v>
      </c>
      <c r="C576" s="8" t="s">
        <v>401</v>
      </c>
      <c r="D576" s="8" t="s">
        <v>818</v>
      </c>
      <c r="E576" s="8" t="s">
        <v>38</v>
      </c>
      <c r="F576" s="10">
        <v>2</v>
      </c>
      <c r="G576" s="10">
        <v>4070</v>
      </c>
      <c r="H576" s="10">
        <v>2.1</v>
      </c>
      <c r="I576" s="10">
        <v>7969.06</v>
      </c>
      <c r="J576" s="8" t="s">
        <v>41</v>
      </c>
      <c r="K576" s="8" t="s">
        <v>178</v>
      </c>
      <c r="L576" s="18" t="str">
        <f>VLOOKUP(D576,Products!$A:$C,3,FALSE)</f>
        <v>Grocery</v>
      </c>
      <c r="N576" s="18" t="str">
        <f>VLOOKUP(C576,Customers!$A:$E,5,FALSE)</f>
        <v>SMB</v>
      </c>
      <c r="O576" s="18">
        <f>VLOOKUP(C576,Customers!$A:$C,3,FALSE)</f>
        <v>40</v>
      </c>
      <c r="P576" s="18" t="str">
        <f>VLOOKUP(E575,Sales_Reps!$A:$C,3,FALSE)</f>
        <v>West</v>
      </c>
      <c r="Q576" s="18" t="str">
        <f t="shared" si="122"/>
        <v>Apr-24</v>
      </c>
      <c r="R576">
        <f>VLOOKUP(D576, Products!A:D, 4, FALSE)</f>
        <v>2027</v>
      </c>
      <c r="S576">
        <f t="shared" si="123"/>
        <v>0.50196560196560192</v>
      </c>
      <c r="T576" s="10">
        <v>29.4</v>
      </c>
    </row>
    <row r="577" spans="1:20" ht="14.25" hidden="1" customHeight="1" x14ac:dyDescent="0.3">
      <c r="A577" s="8" t="s">
        <v>1633</v>
      </c>
      <c r="B577" s="9">
        <v>45358</v>
      </c>
      <c r="C577" s="8" t="s">
        <v>816</v>
      </c>
      <c r="D577" s="8" t="s">
        <v>569</v>
      </c>
      <c r="E577" s="8" t="s">
        <v>216</v>
      </c>
      <c r="F577" s="10">
        <v>5</v>
      </c>
      <c r="G577" s="10">
        <v>3730</v>
      </c>
      <c r="H577" s="10">
        <v>16.5</v>
      </c>
      <c r="I577" s="10">
        <v>15572.75</v>
      </c>
      <c r="J577" s="8" t="s">
        <v>41</v>
      </c>
      <c r="K577" s="8" t="s">
        <v>146</v>
      </c>
      <c r="L577" s="18" t="str">
        <f>VLOOKUP(D577,Products!$A:$C,3,FALSE)</f>
        <v>Home</v>
      </c>
      <c r="N577" s="18" t="str">
        <f>VLOOKUP(C577,Customers!$A:$E,5,FALSE)</f>
        <v>SMB</v>
      </c>
      <c r="O577" s="18">
        <f>VLOOKUP(C577,Customers!$A:$C,3,FALSE)</f>
        <v>47</v>
      </c>
      <c r="T577" s="10">
        <v>9.6</v>
      </c>
    </row>
    <row r="578" spans="1:20" ht="14.25" hidden="1" customHeight="1" x14ac:dyDescent="0.3">
      <c r="A578" s="8" t="s">
        <v>1634</v>
      </c>
      <c r="B578" s="9">
        <v>45589</v>
      </c>
      <c r="C578" s="8" t="s">
        <v>123</v>
      </c>
      <c r="D578" s="8" t="s">
        <v>338</v>
      </c>
      <c r="E578" s="8" t="s">
        <v>196</v>
      </c>
      <c r="F578" s="10">
        <v>1</v>
      </c>
      <c r="G578" s="10">
        <v>2860</v>
      </c>
      <c r="H578" s="10">
        <v>10.4</v>
      </c>
      <c r="I578" s="10">
        <v>2562.56</v>
      </c>
      <c r="J578" s="8" t="s">
        <v>147</v>
      </c>
      <c r="K578" s="8" t="s">
        <v>119</v>
      </c>
      <c r="L578" s="18" t="str">
        <f>VLOOKUP(D578,Products!$A:$C,3,FALSE)</f>
        <v>Sports</v>
      </c>
      <c r="N578" s="18" t="str">
        <f>VLOOKUP(C578,Customers!$A:$E,5,FALSE)</f>
        <v>Corporate</v>
      </c>
      <c r="O578" s="18">
        <f>VLOOKUP(C578,Customers!$A:$C,3,FALSE)</f>
        <v>46</v>
      </c>
      <c r="T578" s="10">
        <v>18.899999999999999</v>
      </c>
    </row>
    <row r="579" spans="1:20" ht="14.25" customHeight="1" x14ac:dyDescent="0.3">
      <c r="A579" s="8" t="s">
        <v>1635</v>
      </c>
      <c r="B579" s="21">
        <v>45507</v>
      </c>
      <c r="C579" s="8" t="s">
        <v>359</v>
      </c>
      <c r="D579" s="8" t="s">
        <v>283</v>
      </c>
      <c r="E579" s="8" t="s">
        <v>167</v>
      </c>
      <c r="F579" s="10">
        <v>4</v>
      </c>
      <c r="G579" s="10">
        <v>4880</v>
      </c>
      <c r="H579" s="10">
        <v>27.5</v>
      </c>
      <c r="I579" s="10">
        <v>14152</v>
      </c>
      <c r="J579" s="8" t="s">
        <v>97</v>
      </c>
      <c r="K579" s="8" t="s">
        <v>98</v>
      </c>
      <c r="L579" s="18" t="str">
        <f>VLOOKUP(D579,Products!$A:$C,3,FALSE)</f>
        <v>Beauty</v>
      </c>
      <c r="N579" s="18" t="str">
        <f>VLOOKUP(C579,Customers!$A:$E,5,FALSE)</f>
        <v>SMB</v>
      </c>
      <c r="O579" s="18">
        <f>VLOOKUP(C579,Customers!$A:$C,3,FALSE)</f>
        <v>39</v>
      </c>
      <c r="P579" s="18" t="str">
        <f>VLOOKUP(E578,Sales_Reps!$A:$C,3,FALSE)</f>
        <v>East</v>
      </c>
      <c r="Q579" s="18" t="str">
        <f t="shared" ref="Q579:Q580" si="124">TEXT(B578,"MMM-YY")</f>
        <v>Oct-24</v>
      </c>
      <c r="R579">
        <f>VLOOKUP(D579, Products!A:D, 4, FALSE)</f>
        <v>2768</v>
      </c>
      <c r="S579">
        <f t="shared" ref="S579:S580" si="125">(G579-R579)/G579</f>
        <v>0.43278688524590164</v>
      </c>
      <c r="T579" s="10">
        <v>25</v>
      </c>
    </row>
    <row r="580" spans="1:20" ht="14.25" customHeight="1" x14ac:dyDescent="0.3">
      <c r="A580" s="8" t="s">
        <v>1636</v>
      </c>
      <c r="B580" s="21">
        <v>45470</v>
      </c>
      <c r="C580" s="8" t="s">
        <v>578</v>
      </c>
      <c r="D580" s="8" t="s">
        <v>691</v>
      </c>
      <c r="E580" s="8" t="s">
        <v>196</v>
      </c>
      <c r="F580" s="10">
        <v>3</v>
      </c>
      <c r="G580" s="10">
        <v>2270</v>
      </c>
      <c r="H580" s="10">
        <v>6.7</v>
      </c>
      <c r="I580" s="10">
        <v>6353.73</v>
      </c>
      <c r="J580" s="8" t="s">
        <v>41</v>
      </c>
      <c r="K580" s="8" t="s">
        <v>98</v>
      </c>
      <c r="L580" s="18" t="str">
        <f>VLOOKUP(D580,Products!$A:$C,3,FALSE)</f>
        <v>Grocery</v>
      </c>
      <c r="N580" s="18" t="str">
        <f>VLOOKUP(C580,Customers!$A:$E,5,FALSE)</f>
        <v>Retail</v>
      </c>
      <c r="O580" s="18">
        <f>VLOOKUP(C580,Customers!$A:$C,3,FALSE)</f>
        <v>32</v>
      </c>
      <c r="P580" s="18" t="str">
        <f>VLOOKUP(E579,Sales_Reps!$A:$C,3,FALSE)</f>
        <v>East</v>
      </c>
      <c r="Q580" s="18" t="str">
        <f t="shared" si="124"/>
        <v>Aug-24</v>
      </c>
      <c r="R580">
        <f>VLOOKUP(D580, Products!A:D, 4, FALSE)</f>
        <v>1412</v>
      </c>
      <c r="S580">
        <f t="shared" si="125"/>
        <v>0.37797356828193834</v>
      </c>
      <c r="T580" s="10">
        <v>10.1</v>
      </c>
    </row>
    <row r="581" spans="1:20" ht="14.25" hidden="1" customHeight="1" x14ac:dyDescent="0.3">
      <c r="A581" s="8" t="s">
        <v>1637</v>
      </c>
      <c r="B581" s="9">
        <v>45589</v>
      </c>
      <c r="C581" s="8" t="s">
        <v>468</v>
      </c>
      <c r="D581" s="8" t="s">
        <v>912</v>
      </c>
      <c r="E581" s="8" t="s">
        <v>38</v>
      </c>
      <c r="F581" s="10">
        <v>10</v>
      </c>
      <c r="G581" s="10">
        <v>4060</v>
      </c>
      <c r="H581" s="10">
        <v>3.6</v>
      </c>
      <c r="I581" s="10">
        <v>39138.400000000001</v>
      </c>
      <c r="J581" s="8" t="s">
        <v>97</v>
      </c>
      <c r="K581" s="8" t="s">
        <v>146</v>
      </c>
      <c r="L581" s="18" t="str">
        <f>VLOOKUP(D581,Products!$A:$C,3,FALSE)</f>
        <v>Grocery</v>
      </c>
      <c r="N581" s="18" t="str">
        <f>VLOOKUP(C581,Customers!$A:$E,5,FALSE)</f>
        <v>Retail</v>
      </c>
      <c r="O581" s="18">
        <f>VLOOKUP(C581,Customers!$A:$C,3,FALSE)</f>
        <v>65</v>
      </c>
      <c r="T581" s="10">
        <v>4.2</v>
      </c>
    </row>
    <row r="582" spans="1:20" ht="14.25" hidden="1" customHeight="1" x14ac:dyDescent="0.3">
      <c r="A582" s="8" t="s">
        <v>1638</v>
      </c>
      <c r="B582" s="9">
        <v>45433</v>
      </c>
      <c r="C582" s="8" t="s">
        <v>584</v>
      </c>
      <c r="D582" s="8" t="s">
        <v>181</v>
      </c>
      <c r="E582" s="8" t="s">
        <v>185</v>
      </c>
      <c r="F582" s="10">
        <v>8</v>
      </c>
      <c r="G582" s="10">
        <v>2640</v>
      </c>
      <c r="H582" s="10">
        <v>28.8</v>
      </c>
      <c r="I582" s="10">
        <v>15037.44</v>
      </c>
      <c r="J582" s="8" t="s">
        <v>41</v>
      </c>
      <c r="K582" s="8" t="s">
        <v>146</v>
      </c>
      <c r="L582" s="18" t="str">
        <f>VLOOKUP(D582,Products!$A:$C,3,FALSE)</f>
        <v>Electronics</v>
      </c>
      <c r="N582" s="18" t="str">
        <f>VLOOKUP(C582,Customers!$A:$E,5,FALSE)</f>
        <v>Retail</v>
      </c>
      <c r="O582" s="18">
        <f>VLOOKUP(C582,Customers!$A:$C,3,FALSE)</f>
        <v>53</v>
      </c>
      <c r="T582" s="10">
        <v>1.2</v>
      </c>
    </row>
    <row r="583" spans="1:20" ht="14.25" hidden="1" customHeight="1" x14ac:dyDescent="0.3">
      <c r="A583" s="8" t="s">
        <v>1639</v>
      </c>
      <c r="B583" s="9">
        <v>45477</v>
      </c>
      <c r="C583" s="8" t="s">
        <v>365</v>
      </c>
      <c r="D583" s="8" t="s">
        <v>569</v>
      </c>
      <c r="E583" s="8" t="s">
        <v>189</v>
      </c>
      <c r="F583" s="10">
        <v>6</v>
      </c>
      <c r="G583" s="10">
        <v>3730</v>
      </c>
      <c r="H583" s="10">
        <v>21.9</v>
      </c>
      <c r="I583" s="10">
        <v>17478.78</v>
      </c>
      <c r="J583" s="8" t="s">
        <v>41</v>
      </c>
      <c r="K583" s="8" t="s">
        <v>119</v>
      </c>
      <c r="L583" s="18" t="str">
        <f>VLOOKUP(D583,Products!$A:$C,3,FALSE)</f>
        <v>Home</v>
      </c>
      <c r="N583" s="18" t="str">
        <f>VLOOKUP(C583,Customers!$A:$E,5,FALSE)</f>
        <v>Retail</v>
      </c>
      <c r="O583" s="18">
        <f>VLOOKUP(C583,Customers!$A:$C,3,FALSE)</f>
        <v>59</v>
      </c>
      <c r="T583" s="10">
        <v>15.4</v>
      </c>
    </row>
    <row r="584" spans="1:20" ht="14.25" hidden="1" customHeight="1" x14ac:dyDescent="0.3">
      <c r="A584" s="8" t="s">
        <v>1640</v>
      </c>
      <c r="B584" s="9">
        <v>45443</v>
      </c>
      <c r="C584" s="8" t="s">
        <v>365</v>
      </c>
      <c r="D584" s="8" t="s">
        <v>230</v>
      </c>
      <c r="E584" s="8" t="s">
        <v>125</v>
      </c>
      <c r="F584" s="10">
        <v>9</v>
      </c>
      <c r="G584" s="10">
        <v>5330</v>
      </c>
      <c r="H584" s="10">
        <v>29.4</v>
      </c>
      <c r="I584" s="10">
        <v>33866.82</v>
      </c>
      <c r="J584" s="8" t="s">
        <v>147</v>
      </c>
      <c r="K584" s="8" t="s">
        <v>119</v>
      </c>
      <c r="L584" s="18" t="str">
        <f>VLOOKUP(D584,Products!$A:$C,3,FALSE)</f>
        <v>Electronics</v>
      </c>
      <c r="N584" s="18" t="str">
        <f>VLOOKUP(C584,Customers!$A:$E,5,FALSE)</f>
        <v>Retail</v>
      </c>
      <c r="O584" s="18">
        <f>VLOOKUP(C584,Customers!$A:$C,3,FALSE)</f>
        <v>59</v>
      </c>
      <c r="T584" s="10">
        <v>10.5</v>
      </c>
    </row>
    <row r="585" spans="1:20" ht="14.25" customHeight="1" x14ac:dyDescent="0.3">
      <c r="A585" s="8" t="s">
        <v>1641</v>
      </c>
      <c r="B585" s="21">
        <v>45322</v>
      </c>
      <c r="C585" s="8" t="s">
        <v>596</v>
      </c>
      <c r="D585" s="8" t="s">
        <v>889</v>
      </c>
      <c r="E585" s="8" t="s">
        <v>619</v>
      </c>
      <c r="F585" s="10">
        <v>1</v>
      </c>
      <c r="G585" s="10">
        <v>3450</v>
      </c>
      <c r="H585" s="10">
        <v>23.3</v>
      </c>
      <c r="I585" s="10">
        <v>2646.15</v>
      </c>
      <c r="J585" s="8" t="s">
        <v>41</v>
      </c>
      <c r="K585" s="8" t="s">
        <v>146</v>
      </c>
      <c r="L585" s="18" t="str">
        <f>VLOOKUP(D585,Products!$A:$C,3,FALSE)</f>
        <v>Apparel</v>
      </c>
      <c r="N585" s="18" t="str">
        <f>VLOOKUP(C585,Customers!$A:$E,5,FALSE)</f>
        <v>Retail</v>
      </c>
      <c r="O585" s="18">
        <f>VLOOKUP(C585,Customers!$A:$C,3,FALSE)</f>
        <v>33</v>
      </c>
      <c r="P585" s="18" t="str">
        <f>VLOOKUP(E584,Sales_Reps!$A:$C,3,FALSE)</f>
        <v>North</v>
      </c>
      <c r="Q585" s="18" t="str">
        <f>TEXT(B584,"MMM-YY")</f>
        <v>May-24</v>
      </c>
      <c r="R585">
        <f>VLOOKUP(D585, Products!A:D, 4, FALSE)</f>
        <v>1748</v>
      </c>
      <c r="S585">
        <f>(G585-R585)/G585</f>
        <v>0.49333333333333335</v>
      </c>
      <c r="T585" s="10">
        <v>2.1</v>
      </c>
    </row>
    <row r="586" spans="1:20" ht="14.25" hidden="1" customHeight="1" x14ac:dyDescent="0.3">
      <c r="A586" s="8" t="s">
        <v>1642</v>
      </c>
      <c r="B586" s="9">
        <v>45544</v>
      </c>
      <c r="C586" s="8" t="s">
        <v>302</v>
      </c>
      <c r="D586" s="8" t="s">
        <v>662</v>
      </c>
      <c r="E586" s="8" t="s">
        <v>121</v>
      </c>
      <c r="F586" s="10">
        <v>3</v>
      </c>
      <c r="G586" s="10">
        <v>6080</v>
      </c>
      <c r="H586" s="10">
        <v>14.5</v>
      </c>
      <c r="I586" s="10">
        <v>15595.2</v>
      </c>
      <c r="J586" s="8" t="s">
        <v>41</v>
      </c>
      <c r="K586" s="8" t="s">
        <v>136</v>
      </c>
      <c r="L586" s="18" t="str">
        <f>VLOOKUP(D586,Products!$A:$C,3,FALSE)</f>
        <v>Beauty</v>
      </c>
      <c r="N586" s="18" t="str">
        <f>VLOOKUP(C586,Customers!$A:$E,5,FALSE)</f>
        <v>Corporate</v>
      </c>
      <c r="O586" s="18">
        <f>VLOOKUP(C586,Customers!$A:$C,3,FALSE)</f>
        <v>55</v>
      </c>
      <c r="T586" s="10">
        <v>18.5</v>
      </c>
    </row>
    <row r="587" spans="1:20" ht="14.25" hidden="1" customHeight="1" x14ac:dyDescent="0.3">
      <c r="A587" s="8" t="s">
        <v>1643</v>
      </c>
      <c r="B587" s="9">
        <v>45609</v>
      </c>
      <c r="C587" s="8" t="s">
        <v>670</v>
      </c>
      <c r="D587" s="8" t="s">
        <v>569</v>
      </c>
      <c r="E587" s="8" t="s">
        <v>261</v>
      </c>
      <c r="F587" s="10">
        <v>4</v>
      </c>
      <c r="G587" s="10">
        <v>3730</v>
      </c>
      <c r="H587" s="10">
        <v>3.4</v>
      </c>
      <c r="I587" s="10">
        <v>14412.72</v>
      </c>
      <c r="J587" s="8" t="s">
        <v>147</v>
      </c>
      <c r="K587" s="8" t="s">
        <v>136</v>
      </c>
      <c r="L587" s="18" t="str">
        <f>VLOOKUP(D587,Products!$A:$C,3,FALSE)</f>
        <v>Home</v>
      </c>
      <c r="N587" s="18" t="str">
        <f>VLOOKUP(C587,Customers!$A:$E,5,FALSE)</f>
        <v>Retail</v>
      </c>
      <c r="O587" s="18">
        <f>VLOOKUP(C587,Customers!$A:$C,3,FALSE)</f>
        <v>42</v>
      </c>
      <c r="T587" s="10">
        <v>0.3</v>
      </c>
    </row>
    <row r="588" spans="1:20" ht="14.25" hidden="1" customHeight="1" x14ac:dyDescent="0.3">
      <c r="A588" s="8" t="s">
        <v>1644</v>
      </c>
      <c r="B588" s="9">
        <v>45491</v>
      </c>
      <c r="C588" s="8" t="s">
        <v>658</v>
      </c>
      <c r="D588" s="8" t="s">
        <v>131</v>
      </c>
      <c r="E588" s="8" t="s">
        <v>196</v>
      </c>
      <c r="F588" s="10">
        <v>10</v>
      </c>
      <c r="G588" s="10">
        <v>2660</v>
      </c>
      <c r="H588" s="10">
        <v>2.1</v>
      </c>
      <c r="I588" s="10">
        <v>26041.4</v>
      </c>
      <c r="J588" s="8" t="s">
        <v>41</v>
      </c>
      <c r="K588" s="8" t="s">
        <v>98</v>
      </c>
      <c r="L588" s="18" t="str">
        <f>VLOOKUP(D588,Products!$A:$C,3,FALSE)</f>
        <v>Electronics</v>
      </c>
      <c r="N588" s="18" t="str">
        <f>VLOOKUP(C588,Customers!$A:$E,5,FALSE)</f>
        <v>Retail</v>
      </c>
      <c r="O588" s="18">
        <f>VLOOKUP(C588,Customers!$A:$C,3,FALSE)</f>
        <v>41</v>
      </c>
      <c r="T588" s="10">
        <v>13.6</v>
      </c>
    </row>
    <row r="589" spans="1:20" ht="14.25" customHeight="1" x14ac:dyDescent="0.3">
      <c r="A589" s="8" t="s">
        <v>1645</v>
      </c>
      <c r="B589" s="21">
        <v>45373</v>
      </c>
      <c r="C589" s="8" t="s">
        <v>241</v>
      </c>
      <c r="D589" s="8" t="s">
        <v>918</v>
      </c>
      <c r="E589" s="8" t="s">
        <v>216</v>
      </c>
      <c r="F589" s="10">
        <v>7</v>
      </c>
      <c r="G589" s="10">
        <v>2210</v>
      </c>
      <c r="H589" s="10">
        <v>17.100000000000001</v>
      </c>
      <c r="I589" s="10">
        <v>12824.63</v>
      </c>
      <c r="J589" s="8" t="s">
        <v>41</v>
      </c>
      <c r="K589" s="8" t="s">
        <v>178</v>
      </c>
      <c r="L589" s="18" t="str">
        <f>VLOOKUP(D589,Products!$A:$C,3,FALSE)</f>
        <v>Grocery</v>
      </c>
      <c r="N589" s="18" t="str">
        <f>VLOOKUP(C589,Customers!$A:$E,5,FALSE)</f>
        <v>SMB</v>
      </c>
      <c r="O589" s="18">
        <f>VLOOKUP(C589,Customers!$A:$C,3,FALSE)</f>
        <v>40</v>
      </c>
      <c r="P589" s="18" t="str">
        <f>VLOOKUP(E588,Sales_Reps!$A:$C,3,FALSE)</f>
        <v>East</v>
      </c>
      <c r="Q589" s="18" t="str">
        <f>TEXT(B588,"MMM-YY")</f>
        <v>Jul-24</v>
      </c>
      <c r="R589">
        <f>VLOOKUP(D589, Products!A:D, 4, FALSE)</f>
        <v>1010</v>
      </c>
      <c r="S589">
        <f>(G589-R589)/G589</f>
        <v>0.54298642533936647</v>
      </c>
      <c r="T589" s="10">
        <v>4.5999999999999996</v>
      </c>
    </row>
    <row r="590" spans="1:20" ht="14.25" hidden="1" customHeight="1" x14ac:dyDescent="0.3">
      <c r="A590" s="8" t="s">
        <v>1646</v>
      </c>
      <c r="B590" s="9">
        <v>45607</v>
      </c>
      <c r="C590" s="8" t="s">
        <v>266</v>
      </c>
      <c r="D590" s="8" t="s">
        <v>964</v>
      </c>
      <c r="E590" s="8" t="s">
        <v>745</v>
      </c>
      <c r="F590" s="10">
        <v>6</v>
      </c>
      <c r="G590" s="10">
        <v>3780</v>
      </c>
      <c r="H590" s="10">
        <v>12.7</v>
      </c>
      <c r="I590" s="10">
        <v>19799.64</v>
      </c>
      <c r="J590" s="8" t="s">
        <v>41</v>
      </c>
      <c r="K590" s="8" t="s">
        <v>42</v>
      </c>
      <c r="L590" s="18" t="str">
        <f>VLOOKUP(D590,Products!$A:$C,3,FALSE)</f>
        <v>Sports</v>
      </c>
      <c r="N590" s="18" t="str">
        <f>VLOOKUP(C590,Customers!$A:$E,5,FALSE)</f>
        <v>SMB</v>
      </c>
      <c r="O590" s="18">
        <f>VLOOKUP(C590,Customers!$A:$C,3,FALSE)</f>
        <v>44</v>
      </c>
      <c r="T590" s="10">
        <v>8.5</v>
      </c>
    </row>
    <row r="591" spans="1:20" ht="14.25" customHeight="1" x14ac:dyDescent="0.3">
      <c r="A591" s="8" t="s">
        <v>1647</v>
      </c>
      <c r="B591" s="21">
        <v>45412</v>
      </c>
      <c r="C591" s="8" t="s">
        <v>748</v>
      </c>
      <c r="D591" s="8" t="s">
        <v>163</v>
      </c>
      <c r="E591" s="8" t="s">
        <v>236</v>
      </c>
      <c r="F591" s="10">
        <v>4</v>
      </c>
      <c r="G591" s="10">
        <v>5490</v>
      </c>
      <c r="H591" s="10">
        <v>26.9</v>
      </c>
      <c r="I591" s="10">
        <v>16052.76</v>
      </c>
      <c r="J591" s="8" t="s">
        <v>41</v>
      </c>
      <c r="K591" s="8" t="s">
        <v>98</v>
      </c>
      <c r="L591" s="18" t="str">
        <f>VLOOKUP(D591,Products!$A:$C,3,FALSE)</f>
        <v>Home</v>
      </c>
      <c r="N591" s="18" t="str">
        <f>VLOOKUP(C591,Customers!$A:$E,5,FALSE)</f>
        <v>Retail</v>
      </c>
      <c r="O591" s="18">
        <f>VLOOKUP(C591,Customers!$A:$C,3,FALSE)</f>
        <v>31</v>
      </c>
      <c r="P591" s="18" t="str">
        <f>VLOOKUP(E590,Sales_Reps!$A:$C,3,FALSE)</f>
        <v>South</v>
      </c>
      <c r="Q591" s="18" t="str">
        <f t="shared" ref="Q591:Q592" si="126">TEXT(B590,"MMM-YY")</f>
        <v>Nov-24</v>
      </c>
      <c r="R591">
        <f>VLOOKUP(D591, Products!A:D, 4, FALSE)</f>
        <v>2549</v>
      </c>
      <c r="S591">
        <f t="shared" ref="S591:S592" si="127">(G591-R591)/G591</f>
        <v>0.53570127504553733</v>
      </c>
      <c r="T591" s="10">
        <v>5.8</v>
      </c>
    </row>
    <row r="592" spans="1:20" ht="14.25" customHeight="1" x14ac:dyDescent="0.3">
      <c r="A592" s="8" t="s">
        <v>1648</v>
      </c>
      <c r="B592" s="21">
        <v>45351</v>
      </c>
      <c r="C592" s="8" t="s">
        <v>359</v>
      </c>
      <c r="D592" s="8" t="s">
        <v>131</v>
      </c>
      <c r="E592" s="8" t="s">
        <v>745</v>
      </c>
      <c r="F592" s="10">
        <v>9</v>
      </c>
      <c r="G592" s="10">
        <v>2660</v>
      </c>
      <c r="H592" s="10">
        <v>21.9</v>
      </c>
      <c r="I592" s="10">
        <v>18697.14</v>
      </c>
      <c r="J592" s="8" t="s">
        <v>41</v>
      </c>
      <c r="K592" s="8" t="s">
        <v>98</v>
      </c>
      <c r="L592" s="18" t="str">
        <f>VLOOKUP(D592,Products!$A:$C,3,FALSE)</f>
        <v>Electronics</v>
      </c>
      <c r="N592" s="18" t="str">
        <f>VLOOKUP(C592,Customers!$A:$E,5,FALSE)</f>
        <v>SMB</v>
      </c>
      <c r="O592" s="18">
        <f>VLOOKUP(C592,Customers!$A:$C,3,FALSE)</f>
        <v>39</v>
      </c>
      <c r="P592" s="18" t="str">
        <f>VLOOKUP(E591,Sales_Reps!$A:$C,3,FALSE)</f>
        <v>West</v>
      </c>
      <c r="Q592" s="18" t="str">
        <f t="shared" si="126"/>
        <v>Apr-24</v>
      </c>
      <c r="R592">
        <f>VLOOKUP(D592, Products!A:D, 4, FALSE)</f>
        <v>1259</v>
      </c>
      <c r="S592">
        <f t="shared" si="127"/>
        <v>0.52669172932330832</v>
      </c>
      <c r="T592" s="10">
        <v>3.8</v>
      </c>
    </row>
    <row r="593" spans="1:20" ht="14.25" hidden="1" customHeight="1" x14ac:dyDescent="0.3">
      <c r="A593" s="8" t="s">
        <v>1649</v>
      </c>
      <c r="B593" s="9">
        <v>45572</v>
      </c>
      <c r="C593" s="8" t="s">
        <v>317</v>
      </c>
      <c r="D593" s="8" t="s">
        <v>959</v>
      </c>
      <c r="E593" s="8" t="s">
        <v>172</v>
      </c>
      <c r="F593" s="10">
        <v>9</v>
      </c>
      <c r="G593" s="10">
        <v>6940</v>
      </c>
      <c r="H593" s="10">
        <v>8</v>
      </c>
      <c r="I593" s="10">
        <v>57463.199999999997</v>
      </c>
      <c r="J593" s="8" t="s">
        <v>41</v>
      </c>
      <c r="K593" s="8" t="s">
        <v>136</v>
      </c>
      <c r="L593" s="18" t="str">
        <f>VLOOKUP(D593,Products!$A:$C,3,FALSE)</f>
        <v>Sports</v>
      </c>
      <c r="N593" s="18" t="str">
        <f>VLOOKUP(C593,Customers!$A:$E,5,FALSE)</f>
        <v>Retail</v>
      </c>
      <c r="O593" s="18">
        <f>VLOOKUP(C593,Customers!$A:$C,3,FALSE)</f>
        <v>59</v>
      </c>
      <c r="T593" s="10">
        <v>2</v>
      </c>
    </row>
    <row r="594" spans="1:20" ht="14.25" hidden="1" customHeight="1" x14ac:dyDescent="0.3">
      <c r="A594" s="8" t="s">
        <v>1405</v>
      </c>
      <c r="B594" s="9">
        <v>45402</v>
      </c>
      <c r="C594" s="8" t="s">
        <v>357</v>
      </c>
      <c r="D594" s="8" t="s">
        <v>188</v>
      </c>
      <c r="E594" s="8" t="s">
        <v>125</v>
      </c>
      <c r="F594" s="10">
        <v>1</v>
      </c>
      <c r="G594" s="10">
        <v>3870</v>
      </c>
      <c r="H594" s="10">
        <v>22.6</v>
      </c>
      <c r="I594" s="10">
        <v>2995.38</v>
      </c>
      <c r="J594" s="8" t="s">
        <v>41</v>
      </c>
      <c r="K594" s="8" t="s">
        <v>42</v>
      </c>
      <c r="L594" s="18" t="str">
        <f>VLOOKUP(D594,Products!$A:$C,3,FALSE)</f>
        <v>Electronics</v>
      </c>
      <c r="N594" s="18" t="str">
        <f>VLOOKUP(C594,Customers!$A:$E,5,FALSE)</f>
        <v>Corporate</v>
      </c>
      <c r="O594" s="18">
        <f>VLOOKUP(C594,Customers!$A:$C,3,FALSE)</f>
        <v>47</v>
      </c>
      <c r="T594" s="10">
        <v>9.1999999999999993</v>
      </c>
    </row>
    <row r="595" spans="1:20" ht="14.25" hidden="1" customHeight="1" x14ac:dyDescent="0.3">
      <c r="A595" s="8" t="s">
        <v>1650</v>
      </c>
      <c r="B595" s="9">
        <v>45503</v>
      </c>
      <c r="C595" s="8" t="s">
        <v>823</v>
      </c>
      <c r="D595" s="8" t="s">
        <v>929</v>
      </c>
      <c r="E595" s="8" t="s">
        <v>135</v>
      </c>
      <c r="F595" s="10">
        <v>3</v>
      </c>
      <c r="G595" s="10">
        <v>1090</v>
      </c>
      <c r="H595" s="10">
        <v>28.1</v>
      </c>
      <c r="I595" s="10">
        <v>2351.13</v>
      </c>
      <c r="J595" s="8" t="s">
        <v>41</v>
      </c>
      <c r="K595" s="8" t="s">
        <v>178</v>
      </c>
      <c r="L595" s="18" t="str">
        <f>VLOOKUP(D595,Products!$A:$C,3,FALSE)</f>
        <v>Home</v>
      </c>
      <c r="N595" s="18" t="str">
        <f>VLOOKUP(C595,Customers!$A:$E,5,FALSE)</f>
        <v>Retail</v>
      </c>
      <c r="O595" s="18">
        <f>VLOOKUP(C595,Customers!$A:$C,3,FALSE)</f>
        <v>41</v>
      </c>
      <c r="T595" s="10">
        <v>9</v>
      </c>
    </row>
    <row r="596" spans="1:20" ht="14.25" hidden="1" customHeight="1" x14ac:dyDescent="0.3">
      <c r="A596" s="8" t="s">
        <v>1651</v>
      </c>
      <c r="B596" s="9">
        <v>45524</v>
      </c>
      <c r="C596" s="8" t="s">
        <v>271</v>
      </c>
      <c r="D596" s="8" t="s">
        <v>184</v>
      </c>
      <c r="E596" s="8" t="s">
        <v>231</v>
      </c>
      <c r="F596" s="10">
        <v>2</v>
      </c>
      <c r="G596" s="10">
        <v>2600</v>
      </c>
      <c r="H596" s="10">
        <v>5.6</v>
      </c>
      <c r="I596" s="10">
        <v>4908.8</v>
      </c>
      <c r="J596" s="8" t="s">
        <v>41</v>
      </c>
      <c r="K596" s="8" t="s">
        <v>146</v>
      </c>
      <c r="L596" s="18" t="str">
        <f>VLOOKUP(D596,Products!$A:$C,3,FALSE)</f>
        <v>Electronics</v>
      </c>
      <c r="N596" s="18" t="str">
        <f>VLOOKUP(C596,Customers!$A:$E,5,FALSE)</f>
        <v>Retail</v>
      </c>
      <c r="O596" s="18">
        <f>VLOOKUP(C596,Customers!$A:$C,3,FALSE)</f>
        <v>61</v>
      </c>
      <c r="T596" s="10">
        <v>4.5</v>
      </c>
    </row>
    <row r="597" spans="1:20" ht="14.25" hidden="1" customHeight="1" x14ac:dyDescent="0.3">
      <c r="A597" s="8" t="s">
        <v>1652</v>
      </c>
      <c r="B597" s="9">
        <v>45425</v>
      </c>
      <c r="C597" s="8" t="s">
        <v>715</v>
      </c>
      <c r="D597" s="8" t="s">
        <v>152</v>
      </c>
      <c r="E597" s="8" t="s">
        <v>321</v>
      </c>
      <c r="F597" s="10">
        <v>4</v>
      </c>
      <c r="G597" s="10">
        <v>960</v>
      </c>
      <c r="H597" s="10">
        <v>21.7</v>
      </c>
      <c r="I597" s="10">
        <v>3006.72</v>
      </c>
      <c r="J597" s="8" t="s">
        <v>41</v>
      </c>
      <c r="K597" s="8" t="s">
        <v>42</v>
      </c>
      <c r="L597" s="18" t="str">
        <f>VLOOKUP(D597,Products!$A:$C,3,FALSE)</f>
        <v>Sports</v>
      </c>
      <c r="N597" s="18" t="str">
        <f>VLOOKUP(C597,Customers!$A:$E,5,FALSE)</f>
        <v>SMB</v>
      </c>
      <c r="O597" s="18">
        <f>VLOOKUP(C597,Customers!$A:$C,3,FALSE)</f>
        <v>59</v>
      </c>
      <c r="T597" s="10">
        <v>2.7</v>
      </c>
    </row>
    <row r="598" spans="1:20" ht="14.25" hidden="1" customHeight="1" x14ac:dyDescent="0.3">
      <c r="A598" s="8" t="s">
        <v>1653</v>
      </c>
      <c r="B598" s="9">
        <v>45533</v>
      </c>
      <c r="C598" s="8" t="s">
        <v>844</v>
      </c>
      <c r="D598" s="8" t="s">
        <v>144</v>
      </c>
      <c r="E598" s="8" t="s">
        <v>376</v>
      </c>
      <c r="F598" s="10">
        <v>6</v>
      </c>
      <c r="G598" s="10">
        <v>370</v>
      </c>
      <c r="H598" s="10">
        <v>22.5</v>
      </c>
      <c r="I598" s="10">
        <v>1720.5</v>
      </c>
      <c r="J598" s="8" t="s">
        <v>41</v>
      </c>
      <c r="K598" s="8" t="s">
        <v>146</v>
      </c>
      <c r="L598" s="18" t="str">
        <f>VLOOKUP(D598,Products!$A:$C,3,FALSE)</f>
        <v>Home</v>
      </c>
      <c r="N598" s="18" t="str">
        <f>VLOOKUP(C598,Customers!$A:$E,5,FALSE)</f>
        <v>Retail</v>
      </c>
      <c r="O598" s="18">
        <f>VLOOKUP(C598,Customers!$A:$C,3,FALSE)</f>
        <v>54</v>
      </c>
      <c r="T598" s="10">
        <v>19.8</v>
      </c>
    </row>
    <row r="599" spans="1:20" ht="14.25" customHeight="1" x14ac:dyDescent="0.3">
      <c r="A599" s="8" t="s">
        <v>1654</v>
      </c>
      <c r="B599" s="21">
        <v>45649</v>
      </c>
      <c r="C599" s="8" t="s">
        <v>635</v>
      </c>
      <c r="D599" s="8" t="s">
        <v>926</v>
      </c>
      <c r="E599" s="8" t="s">
        <v>125</v>
      </c>
      <c r="F599" s="10">
        <v>5</v>
      </c>
      <c r="G599" s="10">
        <v>5080</v>
      </c>
      <c r="H599" s="10">
        <v>23.8</v>
      </c>
      <c r="I599" s="10">
        <v>19354.8</v>
      </c>
      <c r="J599" s="8" t="s">
        <v>41</v>
      </c>
      <c r="K599" s="8" t="s">
        <v>136</v>
      </c>
      <c r="L599" s="18" t="str">
        <f>VLOOKUP(D599,Products!$A:$C,3,FALSE)</f>
        <v>Home</v>
      </c>
      <c r="N599" s="18" t="str">
        <f>VLOOKUP(C599,Customers!$A:$E,5,FALSE)</f>
        <v>SMB</v>
      </c>
      <c r="O599" s="18">
        <f>VLOOKUP(C599,Customers!$A:$C,3,FALSE)</f>
        <v>34</v>
      </c>
      <c r="P599" s="18" t="str">
        <f>VLOOKUP(E598,Sales_Reps!$A:$C,3,FALSE)</f>
        <v>West</v>
      </c>
      <c r="Q599" s="18" t="str">
        <f>TEXT(B598,"MMM-YY")</f>
        <v>Aug-24</v>
      </c>
      <c r="R599">
        <f>VLOOKUP(D599, Products!A:D, 4, FALSE)</f>
        <v>2459</v>
      </c>
      <c r="S599">
        <f>(G599-R599)/G599</f>
        <v>0.51594488188976373</v>
      </c>
      <c r="T599" s="10">
        <v>21.3</v>
      </c>
    </row>
    <row r="600" spans="1:20" ht="14.25" hidden="1" customHeight="1" x14ac:dyDescent="0.3">
      <c r="A600" s="8" t="s">
        <v>1655</v>
      </c>
      <c r="B600" s="9">
        <v>45375</v>
      </c>
      <c r="C600" s="8" t="s">
        <v>312</v>
      </c>
      <c r="D600" s="8" t="s">
        <v>789</v>
      </c>
      <c r="E600" s="8" t="s">
        <v>200</v>
      </c>
      <c r="F600" s="10">
        <v>5</v>
      </c>
      <c r="G600" s="10">
        <v>1540</v>
      </c>
      <c r="H600" s="10">
        <v>6.1</v>
      </c>
      <c r="I600" s="10">
        <v>7230.3</v>
      </c>
      <c r="J600" s="8" t="s">
        <v>41</v>
      </c>
      <c r="K600" s="8" t="s">
        <v>42</v>
      </c>
      <c r="L600" s="18" t="str">
        <f>VLOOKUP(D600,Products!$A:$C,3,FALSE)</f>
        <v>Beauty</v>
      </c>
      <c r="N600" s="18" t="str">
        <f>VLOOKUP(C600,Customers!$A:$E,5,FALSE)</f>
        <v>Retail</v>
      </c>
      <c r="O600" s="18">
        <f>VLOOKUP(C600,Customers!$A:$C,3,FALSE)</f>
        <v>62</v>
      </c>
      <c r="T600" s="10">
        <v>13.7</v>
      </c>
    </row>
    <row r="601" spans="1:20" ht="14.25" customHeight="1" x14ac:dyDescent="0.3">
      <c r="A601" s="8" t="s">
        <v>1656</v>
      </c>
      <c r="B601" s="21">
        <v>45342</v>
      </c>
      <c r="C601" s="8" t="s">
        <v>708</v>
      </c>
      <c r="D601" s="8" t="s">
        <v>176</v>
      </c>
      <c r="E601" s="8" t="s">
        <v>301</v>
      </c>
      <c r="F601" s="10">
        <v>7</v>
      </c>
      <c r="G601" s="10">
        <v>2270</v>
      </c>
      <c r="H601" s="10">
        <v>0.4</v>
      </c>
      <c r="I601" s="10">
        <v>15826.44</v>
      </c>
      <c r="J601" s="8" t="s">
        <v>41</v>
      </c>
      <c r="K601" s="8" t="s">
        <v>146</v>
      </c>
      <c r="L601" s="18" t="str">
        <f>VLOOKUP(D601,Products!$A:$C,3,FALSE)</f>
        <v>Grocery</v>
      </c>
      <c r="N601" s="18" t="str">
        <f>VLOOKUP(C601,Customers!$A:$E,5,FALSE)</f>
        <v>Retail</v>
      </c>
      <c r="O601" s="18">
        <f>VLOOKUP(C601,Customers!$A:$C,3,FALSE)</f>
        <v>37</v>
      </c>
      <c r="P601" s="18" t="str">
        <f>VLOOKUP(E600,Sales_Reps!$A:$C,3,FALSE)</f>
        <v>North</v>
      </c>
      <c r="Q601" s="18" t="str">
        <f>TEXT(B600,"MMM-YY")</f>
        <v>Mar-24</v>
      </c>
      <c r="R601">
        <f>VLOOKUP(D601, Products!A:D, 4, FALSE)</f>
        <v>1203</v>
      </c>
      <c r="S601">
        <f>(G601-R601)/G601</f>
        <v>0.47004405286343615</v>
      </c>
      <c r="T601" s="10">
        <v>15.4</v>
      </c>
    </row>
    <row r="602" spans="1:20" ht="14.25" hidden="1" customHeight="1" x14ac:dyDescent="0.3">
      <c r="A602" s="8" t="s">
        <v>1657</v>
      </c>
      <c r="B602" s="9">
        <v>45441</v>
      </c>
      <c r="C602" s="8" t="s">
        <v>663</v>
      </c>
      <c r="D602" s="8" t="s">
        <v>152</v>
      </c>
      <c r="E602" s="8" t="s">
        <v>301</v>
      </c>
      <c r="F602" s="10">
        <v>2</v>
      </c>
      <c r="G602" s="10">
        <v>960</v>
      </c>
      <c r="H602" s="10">
        <v>3.7</v>
      </c>
      <c r="I602" s="10">
        <v>1848.96</v>
      </c>
      <c r="J602" s="8" t="s">
        <v>41</v>
      </c>
      <c r="K602" s="8" t="s">
        <v>178</v>
      </c>
      <c r="L602" s="18" t="str">
        <f>VLOOKUP(D602,Products!$A:$C,3,FALSE)</f>
        <v>Sports</v>
      </c>
      <c r="N602" s="18" t="str">
        <f>VLOOKUP(C602,Customers!$A:$E,5,FALSE)</f>
        <v>Retail</v>
      </c>
      <c r="O602" s="18">
        <f>VLOOKUP(C602,Customers!$A:$C,3,FALSE)</f>
        <v>52</v>
      </c>
      <c r="T602" s="10">
        <v>1.9</v>
      </c>
    </row>
    <row r="603" spans="1:20" ht="14.25" hidden="1" customHeight="1" x14ac:dyDescent="0.3">
      <c r="A603" s="8" t="s">
        <v>1658</v>
      </c>
      <c r="B603" s="9">
        <v>45410</v>
      </c>
      <c r="C603" s="8" t="s">
        <v>583</v>
      </c>
      <c r="D603" s="8" t="s">
        <v>140</v>
      </c>
      <c r="E603" s="8" t="s">
        <v>619</v>
      </c>
      <c r="F603" s="10">
        <v>6</v>
      </c>
      <c r="G603" s="10">
        <v>1430</v>
      </c>
      <c r="H603" s="10">
        <v>2</v>
      </c>
      <c r="I603" s="10">
        <v>8408.4</v>
      </c>
      <c r="J603" s="8" t="s">
        <v>97</v>
      </c>
      <c r="K603" s="8" t="s">
        <v>42</v>
      </c>
      <c r="L603" s="18" t="str">
        <f>VLOOKUP(D603,Products!$A:$C,3,FALSE)</f>
        <v>Electronics</v>
      </c>
      <c r="N603" s="18" t="str">
        <f>VLOOKUP(C603,Customers!$A:$E,5,FALSE)</f>
        <v>SMB</v>
      </c>
      <c r="O603" s="18">
        <f>VLOOKUP(C603,Customers!$A:$C,3,FALSE)</f>
        <v>53</v>
      </c>
      <c r="T603" s="10">
        <v>10.3</v>
      </c>
    </row>
    <row r="604" spans="1:20" ht="14.25" customHeight="1" x14ac:dyDescent="0.3">
      <c r="A604" s="8" t="s">
        <v>1659</v>
      </c>
      <c r="B604" s="21">
        <v>45588</v>
      </c>
      <c r="C604" s="8" t="s">
        <v>538</v>
      </c>
      <c r="D604" s="8" t="s">
        <v>215</v>
      </c>
      <c r="E604" s="8" t="s">
        <v>125</v>
      </c>
      <c r="F604" s="10">
        <v>10</v>
      </c>
      <c r="G604" s="10">
        <v>3450</v>
      </c>
      <c r="H604" s="10">
        <v>19.100000000000001</v>
      </c>
      <c r="I604" s="10">
        <v>27910.5</v>
      </c>
      <c r="J604" s="8" t="s">
        <v>41</v>
      </c>
      <c r="K604" s="8" t="s">
        <v>178</v>
      </c>
      <c r="L604" s="18" t="str">
        <f>VLOOKUP(D604,Products!$A:$C,3,FALSE)</f>
        <v>Beauty</v>
      </c>
      <c r="N604" s="18" t="str">
        <f>VLOOKUP(C604,Customers!$A:$E,5,FALSE)</f>
        <v>Retail</v>
      </c>
      <c r="O604" s="18">
        <f>VLOOKUP(C604,Customers!$A:$C,3,FALSE)</f>
        <v>29</v>
      </c>
      <c r="P604" s="18" t="str">
        <f>VLOOKUP(E603,Sales_Reps!$A:$C,3,FALSE)</f>
        <v>West</v>
      </c>
      <c r="Q604" s="18" t="str">
        <f t="shared" ref="Q604:Q605" si="128">TEXT(B603,"MMM-YY")</f>
        <v>Apr-24</v>
      </c>
      <c r="R604">
        <f>VLOOKUP(D604, Products!A:D, 4, FALSE)</f>
        <v>2420</v>
      </c>
      <c r="S604">
        <f t="shared" ref="S604:S605" si="129">(G604-R604)/G604</f>
        <v>0.29855072463768118</v>
      </c>
      <c r="T604" s="10">
        <v>28.2</v>
      </c>
    </row>
    <row r="605" spans="1:20" ht="14.25" customHeight="1" x14ac:dyDescent="0.3">
      <c r="A605" s="8" t="s">
        <v>1660</v>
      </c>
      <c r="B605" s="21">
        <v>45412</v>
      </c>
      <c r="C605" s="8" t="s">
        <v>433</v>
      </c>
      <c r="D605" s="8" t="s">
        <v>160</v>
      </c>
      <c r="E605" s="8" t="s">
        <v>376</v>
      </c>
      <c r="F605" s="10">
        <v>8</v>
      </c>
      <c r="G605" s="10">
        <v>1220</v>
      </c>
      <c r="H605" s="10">
        <v>16.899999999999999</v>
      </c>
      <c r="I605" s="10">
        <v>8110.56</v>
      </c>
      <c r="J605" s="8" t="s">
        <v>41</v>
      </c>
      <c r="K605" s="8" t="s">
        <v>42</v>
      </c>
      <c r="L605" s="18" t="str">
        <f>VLOOKUP(D605,Products!$A:$C,3,FALSE)</f>
        <v>Electronics</v>
      </c>
      <c r="N605" s="18" t="str">
        <f>VLOOKUP(C605,Customers!$A:$E,5,FALSE)</f>
        <v>SMB</v>
      </c>
      <c r="O605" s="18">
        <f>VLOOKUP(C605,Customers!$A:$C,3,FALSE)</f>
        <v>30</v>
      </c>
      <c r="P605" s="18" t="str">
        <f>VLOOKUP(E604,Sales_Reps!$A:$C,3,FALSE)</f>
        <v>North</v>
      </c>
      <c r="Q605" s="18" t="str">
        <f t="shared" si="128"/>
        <v>Oct-24</v>
      </c>
      <c r="R605">
        <f>VLOOKUP(D605, Products!A:D, 4, FALSE)</f>
        <v>517</v>
      </c>
      <c r="S605">
        <f t="shared" si="129"/>
        <v>0.57622950819672136</v>
      </c>
      <c r="T605" s="10">
        <v>2.9</v>
      </c>
    </row>
    <row r="606" spans="1:20" ht="14.25" hidden="1" customHeight="1" x14ac:dyDescent="0.3">
      <c r="A606" s="8" t="s">
        <v>1661</v>
      </c>
      <c r="B606" s="9">
        <v>45439</v>
      </c>
      <c r="C606" s="8" t="s">
        <v>332</v>
      </c>
      <c r="D606" s="8" t="s">
        <v>374</v>
      </c>
      <c r="E606" s="8" t="s">
        <v>321</v>
      </c>
      <c r="F606" s="10">
        <v>9</v>
      </c>
      <c r="G606" s="10">
        <v>2760</v>
      </c>
      <c r="H606" s="10">
        <v>16.899999999999999</v>
      </c>
      <c r="I606" s="10">
        <v>20642.04</v>
      </c>
      <c r="J606" s="8" t="s">
        <v>41</v>
      </c>
      <c r="K606" s="8" t="s">
        <v>119</v>
      </c>
      <c r="L606" s="18" t="str">
        <f>VLOOKUP(D606,Products!$A:$C,3,FALSE)</f>
        <v>Grocery</v>
      </c>
      <c r="N606" s="18" t="str">
        <f>VLOOKUP(C606,Customers!$A:$E,5,FALSE)</f>
        <v>Retail</v>
      </c>
      <c r="O606" s="18">
        <f>VLOOKUP(C606,Customers!$A:$C,3,FALSE)</f>
        <v>47</v>
      </c>
      <c r="T606" s="10">
        <v>3.5</v>
      </c>
    </row>
    <row r="607" spans="1:20" ht="14.25" hidden="1" customHeight="1" x14ac:dyDescent="0.3">
      <c r="A607" s="8" t="s">
        <v>1662</v>
      </c>
      <c r="B607" s="9">
        <v>45593</v>
      </c>
      <c r="C607" s="8" t="s">
        <v>639</v>
      </c>
      <c r="D607" s="8" t="s">
        <v>247</v>
      </c>
      <c r="E607" s="8" t="s">
        <v>121</v>
      </c>
      <c r="F607" s="10">
        <v>6</v>
      </c>
      <c r="G607" s="10">
        <v>3350</v>
      </c>
      <c r="H607" s="10">
        <v>11.8</v>
      </c>
      <c r="I607" s="10">
        <v>17728.2</v>
      </c>
      <c r="J607" s="8" t="s">
        <v>97</v>
      </c>
      <c r="K607" s="8" t="s">
        <v>146</v>
      </c>
      <c r="L607" s="18" t="str">
        <f>VLOOKUP(D607,Products!$A:$C,3,FALSE)</f>
        <v>Beauty</v>
      </c>
      <c r="N607" s="18" t="str">
        <f>VLOOKUP(C607,Customers!$A:$E,5,FALSE)</f>
        <v>SMB</v>
      </c>
      <c r="O607" s="18">
        <f>VLOOKUP(C607,Customers!$A:$C,3,FALSE)</f>
        <v>54</v>
      </c>
      <c r="T607" s="10">
        <v>8.5</v>
      </c>
    </row>
    <row r="608" spans="1:20" ht="14.25" customHeight="1" x14ac:dyDescent="0.3">
      <c r="A608" s="8" t="s">
        <v>1663</v>
      </c>
      <c r="B608" s="21">
        <v>45570</v>
      </c>
      <c r="C608" s="8" t="s">
        <v>635</v>
      </c>
      <c r="D608" s="8" t="s">
        <v>320</v>
      </c>
      <c r="E608" s="8" t="s">
        <v>745</v>
      </c>
      <c r="F608" s="10">
        <v>6</v>
      </c>
      <c r="G608" s="10">
        <v>5100</v>
      </c>
      <c r="H608" s="10">
        <v>13.2</v>
      </c>
      <c r="I608" s="10">
        <v>26560.799999999999</v>
      </c>
      <c r="J608" s="8" t="s">
        <v>41</v>
      </c>
      <c r="K608" s="8" t="s">
        <v>136</v>
      </c>
      <c r="L608" s="18" t="str">
        <f>VLOOKUP(D608,Products!$A:$C,3,FALSE)</f>
        <v>Beauty</v>
      </c>
      <c r="N608" s="18" t="str">
        <f>VLOOKUP(C608,Customers!$A:$E,5,FALSE)</f>
        <v>SMB</v>
      </c>
      <c r="O608" s="18">
        <f>VLOOKUP(C608,Customers!$A:$C,3,FALSE)</f>
        <v>34</v>
      </c>
      <c r="P608" s="18" t="str">
        <f>VLOOKUP(E607,Sales_Reps!$A:$C,3,FALSE)</f>
        <v>East</v>
      </c>
      <c r="Q608" s="18" t="str">
        <f>TEXT(B607,"MMM-YY")</f>
        <v>Oct-24</v>
      </c>
      <c r="R608">
        <f>VLOOKUP(D608, Products!A:D, 4, FALSE)</f>
        <v>2237</v>
      </c>
      <c r="S608">
        <f>(G608-R608)/G608</f>
        <v>0.56137254901960787</v>
      </c>
      <c r="T608" s="10">
        <v>2.7</v>
      </c>
    </row>
    <row r="609" spans="1:20" ht="14.25" hidden="1" customHeight="1" x14ac:dyDescent="0.3">
      <c r="A609" s="8" t="s">
        <v>1664</v>
      </c>
      <c r="B609" s="9">
        <v>45474</v>
      </c>
      <c r="C609" s="8" t="s">
        <v>571</v>
      </c>
      <c r="D609" s="8" t="s">
        <v>181</v>
      </c>
      <c r="E609" s="8" t="s">
        <v>619</v>
      </c>
      <c r="F609" s="10">
        <v>6</v>
      </c>
      <c r="G609" s="10">
        <v>2640</v>
      </c>
      <c r="H609" s="10">
        <v>26.2</v>
      </c>
      <c r="I609" s="10">
        <v>11689.92</v>
      </c>
      <c r="J609" s="8" t="s">
        <v>41</v>
      </c>
      <c r="K609" s="8" t="s">
        <v>98</v>
      </c>
      <c r="L609" s="18" t="str">
        <f>VLOOKUP(D609,Products!$A:$C,3,FALSE)</f>
        <v>Electronics</v>
      </c>
      <c r="N609" s="18" t="str">
        <f>VLOOKUP(C609,Customers!$A:$E,5,FALSE)</f>
        <v>Retail</v>
      </c>
      <c r="O609" s="18">
        <f>VLOOKUP(C609,Customers!$A:$C,3,FALSE)</f>
        <v>49</v>
      </c>
      <c r="T609" s="10">
        <v>14</v>
      </c>
    </row>
    <row r="610" spans="1:20" ht="14.25" customHeight="1" x14ac:dyDescent="0.3">
      <c r="A610" s="8" t="s">
        <v>1665</v>
      </c>
      <c r="B610" s="21">
        <v>45524</v>
      </c>
      <c r="C610" s="8" t="s">
        <v>717</v>
      </c>
      <c r="D610" s="8" t="s">
        <v>124</v>
      </c>
      <c r="E610" s="8" t="s">
        <v>221</v>
      </c>
      <c r="F610" s="10">
        <v>1</v>
      </c>
      <c r="G610" s="10">
        <v>3660</v>
      </c>
      <c r="H610" s="10">
        <v>19.7</v>
      </c>
      <c r="I610" s="10">
        <v>2938.98</v>
      </c>
      <c r="J610" s="8" t="s">
        <v>41</v>
      </c>
      <c r="K610" s="8" t="s">
        <v>146</v>
      </c>
      <c r="L610" s="18" t="str">
        <f>VLOOKUP(D610,Products!$A:$C,3,FALSE)</f>
        <v>Grocery</v>
      </c>
      <c r="N610" s="18" t="str">
        <f>VLOOKUP(C610,Customers!$A:$E,5,FALSE)</f>
        <v>Retail</v>
      </c>
      <c r="O610" s="18">
        <f>VLOOKUP(C610,Customers!$A:$C,3,FALSE)</f>
        <v>39</v>
      </c>
      <c r="P610" s="18" t="str">
        <f>VLOOKUP(E609,Sales_Reps!$A:$C,3,FALSE)</f>
        <v>West</v>
      </c>
      <c r="Q610" s="18" t="str">
        <f>TEXT(B609,"MMM-YY")</f>
        <v>Jul-24</v>
      </c>
      <c r="R610">
        <f>VLOOKUP(D610, Products!A:D, 4, FALSE)</f>
        <v>2214</v>
      </c>
      <c r="S610">
        <f>(G610-R610)/G610</f>
        <v>0.39508196721311473</v>
      </c>
      <c r="T610" s="10">
        <v>16</v>
      </c>
    </row>
    <row r="611" spans="1:20" ht="14.25" hidden="1" customHeight="1" x14ac:dyDescent="0.3">
      <c r="A611" s="8" t="s">
        <v>1666</v>
      </c>
      <c r="B611" s="9">
        <v>45468</v>
      </c>
      <c r="C611" s="8" t="s">
        <v>772</v>
      </c>
      <c r="D611" s="8" t="s">
        <v>144</v>
      </c>
      <c r="E611" s="8" t="s">
        <v>619</v>
      </c>
      <c r="F611" s="10">
        <v>5</v>
      </c>
      <c r="G611" s="10">
        <v>370</v>
      </c>
      <c r="H611" s="10">
        <v>21.7</v>
      </c>
      <c r="I611" s="10">
        <v>1448.55</v>
      </c>
      <c r="J611" s="8" t="s">
        <v>41</v>
      </c>
      <c r="K611" s="8" t="s">
        <v>146</v>
      </c>
      <c r="L611" s="18" t="str">
        <f>VLOOKUP(D611,Products!$A:$C,3,FALSE)</f>
        <v>Home</v>
      </c>
      <c r="N611" s="18" t="str">
        <f>VLOOKUP(C611,Customers!$A:$E,5,FALSE)</f>
        <v>Retail</v>
      </c>
      <c r="O611" s="18">
        <f>VLOOKUP(C611,Customers!$A:$C,3,FALSE)</f>
        <v>44</v>
      </c>
      <c r="T611" s="10">
        <v>15.6</v>
      </c>
    </row>
    <row r="612" spans="1:20" ht="14.25" customHeight="1" x14ac:dyDescent="0.3">
      <c r="A612" s="8" t="s">
        <v>1667</v>
      </c>
      <c r="B612" s="21">
        <v>45336</v>
      </c>
      <c r="C612" s="8" t="s">
        <v>456</v>
      </c>
      <c r="D612" s="8" t="s">
        <v>896</v>
      </c>
      <c r="E612" s="8" t="s">
        <v>145</v>
      </c>
      <c r="F612" s="10">
        <v>5</v>
      </c>
      <c r="G612" s="10">
        <v>620</v>
      </c>
      <c r="H612" s="10">
        <v>10.199999999999999</v>
      </c>
      <c r="I612" s="10">
        <v>2783.8</v>
      </c>
      <c r="J612" s="8" t="s">
        <v>41</v>
      </c>
      <c r="K612" s="8" t="s">
        <v>136</v>
      </c>
      <c r="L612" s="18" t="str">
        <f>VLOOKUP(D612,Products!$A:$C,3,FALSE)</f>
        <v>Apparel</v>
      </c>
      <c r="N612" s="18" t="str">
        <f>VLOOKUP(C612,Customers!$A:$E,5,FALSE)</f>
        <v>SMB</v>
      </c>
      <c r="O612" s="18">
        <f>VLOOKUP(C612,Customers!$A:$C,3,FALSE)</f>
        <v>28</v>
      </c>
      <c r="P612" s="18" t="str">
        <f>VLOOKUP(E611,Sales_Reps!$A:$C,3,FALSE)</f>
        <v>West</v>
      </c>
      <c r="Q612" s="18" t="str">
        <f>TEXT(B611,"MMM-YY")</f>
        <v>Jun-24</v>
      </c>
      <c r="R612">
        <f>VLOOKUP(D612, Products!A:D, 4, FALSE)</f>
        <v>396</v>
      </c>
      <c r="S612">
        <f>(G612-R612)/G612</f>
        <v>0.36129032258064514</v>
      </c>
      <c r="T612" s="10">
        <v>15</v>
      </c>
    </row>
    <row r="613" spans="1:20" ht="14.25" hidden="1" customHeight="1" x14ac:dyDescent="0.3">
      <c r="A613" s="8" t="s">
        <v>1668</v>
      </c>
      <c r="B613" s="9">
        <v>45392</v>
      </c>
      <c r="C613" s="8" t="s">
        <v>763</v>
      </c>
      <c r="D613" s="8" t="s">
        <v>116</v>
      </c>
      <c r="E613" s="8" t="s">
        <v>167</v>
      </c>
      <c r="F613" s="10">
        <v>8</v>
      </c>
      <c r="G613" s="10">
        <v>470</v>
      </c>
      <c r="H613" s="10">
        <v>2.4</v>
      </c>
      <c r="I613" s="10">
        <v>3669.76</v>
      </c>
      <c r="J613" s="8" t="s">
        <v>41</v>
      </c>
      <c r="K613" s="8" t="s">
        <v>178</v>
      </c>
      <c r="L613" s="18" t="str">
        <f>VLOOKUP(D613,Products!$A:$C,3,FALSE)</f>
        <v>Sports</v>
      </c>
      <c r="N613" s="18" t="str">
        <f>VLOOKUP(C613,Customers!$A:$E,5,FALSE)</f>
        <v>Retail</v>
      </c>
      <c r="O613" s="18">
        <f>VLOOKUP(C613,Customers!$A:$C,3,FALSE)</f>
        <v>65</v>
      </c>
      <c r="T613" s="10">
        <v>1.7</v>
      </c>
    </row>
    <row r="614" spans="1:20" ht="14.25" customHeight="1" x14ac:dyDescent="0.3">
      <c r="A614" s="8" t="s">
        <v>1669</v>
      </c>
      <c r="B614" s="21">
        <v>45610</v>
      </c>
      <c r="C614" s="8" t="s">
        <v>549</v>
      </c>
      <c r="D614" s="8" t="s">
        <v>939</v>
      </c>
      <c r="E614" s="8" t="s">
        <v>96</v>
      </c>
      <c r="F614" s="10">
        <v>3</v>
      </c>
      <c r="G614" s="10">
        <v>2290</v>
      </c>
      <c r="H614" s="10">
        <v>20.8</v>
      </c>
      <c r="I614" s="10">
        <v>5441.04</v>
      </c>
      <c r="J614" s="8" t="s">
        <v>41</v>
      </c>
      <c r="K614" s="8" t="s">
        <v>119</v>
      </c>
      <c r="L614" s="18" t="str">
        <f>VLOOKUP(D614,Products!$A:$C,3,FALSE)</f>
        <v>Beauty</v>
      </c>
      <c r="N614" s="18" t="str">
        <f>VLOOKUP(C614,Customers!$A:$E,5,FALSE)</f>
        <v>Retail</v>
      </c>
      <c r="O614" s="18">
        <f>VLOOKUP(C614,Customers!$A:$C,3,FALSE)</f>
        <v>40</v>
      </c>
      <c r="P614" s="18" t="str">
        <f>VLOOKUP(E613,Sales_Reps!$A:$C,3,FALSE)</f>
        <v>East</v>
      </c>
      <c r="Q614" s="18" t="str">
        <f>TEXT(B613,"MMM-YY")</f>
        <v>Apr-24</v>
      </c>
      <c r="R614">
        <f>VLOOKUP(D614, Products!A:D, 4, FALSE)</f>
        <v>1219</v>
      </c>
      <c r="S614">
        <f>(G614-R614)/G614</f>
        <v>0.46768558951965067</v>
      </c>
      <c r="T614" s="10">
        <v>20.3</v>
      </c>
    </row>
    <row r="615" spans="1:20" ht="14.25" hidden="1" customHeight="1" x14ac:dyDescent="0.3">
      <c r="A615" s="8" t="s">
        <v>1670</v>
      </c>
      <c r="B615" s="9">
        <v>45297</v>
      </c>
      <c r="C615" s="8" t="s">
        <v>399</v>
      </c>
      <c r="D615" s="8" t="s">
        <v>152</v>
      </c>
      <c r="E615" s="8" t="s">
        <v>153</v>
      </c>
      <c r="F615" s="10">
        <v>4</v>
      </c>
      <c r="G615" s="10">
        <v>960</v>
      </c>
      <c r="H615" s="10">
        <v>28.8</v>
      </c>
      <c r="I615" s="10">
        <v>2734.08</v>
      </c>
      <c r="J615" s="8" t="s">
        <v>97</v>
      </c>
      <c r="K615" s="8" t="s">
        <v>146</v>
      </c>
      <c r="L615" s="18" t="str">
        <f>VLOOKUP(D615,Products!$A:$C,3,FALSE)</f>
        <v>Sports</v>
      </c>
      <c r="N615" s="18" t="str">
        <f>VLOOKUP(C615,Customers!$A:$E,5,FALSE)</f>
        <v>SMB</v>
      </c>
      <c r="O615" s="18">
        <f>VLOOKUP(C615,Customers!$A:$C,3,FALSE)</f>
        <v>53</v>
      </c>
      <c r="T615" s="10">
        <v>17.100000000000001</v>
      </c>
    </row>
    <row r="616" spans="1:20" ht="14.25" hidden="1" customHeight="1" x14ac:dyDescent="0.3">
      <c r="A616" s="8" t="s">
        <v>1671</v>
      </c>
      <c r="B616" s="9">
        <v>45558</v>
      </c>
      <c r="C616" s="8" t="s">
        <v>627</v>
      </c>
      <c r="D616" s="8" t="s">
        <v>124</v>
      </c>
      <c r="E616" s="8" t="s">
        <v>177</v>
      </c>
      <c r="F616" s="10">
        <v>5</v>
      </c>
      <c r="G616" s="10">
        <v>3660</v>
      </c>
      <c r="H616" s="10">
        <v>11.9</v>
      </c>
      <c r="I616" s="10">
        <v>16122.3</v>
      </c>
      <c r="J616" s="8" t="s">
        <v>97</v>
      </c>
      <c r="K616" s="8" t="s">
        <v>42</v>
      </c>
      <c r="L616" s="18" t="str">
        <f>VLOOKUP(D616,Products!$A:$C,3,FALSE)</f>
        <v>Grocery</v>
      </c>
      <c r="N616" s="18" t="str">
        <f>VLOOKUP(C616,Customers!$A:$E,5,FALSE)</f>
        <v>Retail</v>
      </c>
      <c r="O616" s="18">
        <f>VLOOKUP(C616,Customers!$A:$C,3,FALSE)</f>
        <v>65</v>
      </c>
      <c r="T616" s="10">
        <v>29.3</v>
      </c>
    </row>
    <row r="617" spans="1:20" ht="14.25" hidden="1" customHeight="1" x14ac:dyDescent="0.3">
      <c r="A617" s="8" t="s">
        <v>1672</v>
      </c>
      <c r="B617" s="9">
        <v>45487</v>
      </c>
      <c r="C617" s="8" t="s">
        <v>558</v>
      </c>
      <c r="D617" s="8" t="s">
        <v>211</v>
      </c>
      <c r="E617" s="8" t="s">
        <v>158</v>
      </c>
      <c r="F617" s="10">
        <v>5</v>
      </c>
      <c r="G617" s="10">
        <v>3570</v>
      </c>
      <c r="H617" s="10">
        <v>12.4</v>
      </c>
      <c r="I617" s="10">
        <v>15636.6</v>
      </c>
      <c r="J617" s="8" t="s">
        <v>41</v>
      </c>
      <c r="K617" s="8" t="s">
        <v>178</v>
      </c>
      <c r="L617" s="18" t="str">
        <f>VLOOKUP(D617,Products!$A:$C,3,FALSE)</f>
        <v>Electronics</v>
      </c>
      <c r="N617" s="18" t="str">
        <f>VLOOKUP(C617,Customers!$A:$E,5,FALSE)</f>
        <v>SMB</v>
      </c>
      <c r="O617" s="18">
        <f>VLOOKUP(C617,Customers!$A:$C,3,FALSE)</f>
        <v>65</v>
      </c>
      <c r="T617" s="10">
        <v>1</v>
      </c>
    </row>
    <row r="618" spans="1:20" ht="14.25" customHeight="1" x14ac:dyDescent="0.3">
      <c r="A618" s="8" t="s">
        <v>1673</v>
      </c>
      <c r="B618" s="21">
        <v>45307</v>
      </c>
      <c r="C618" s="8" t="s">
        <v>142</v>
      </c>
      <c r="D618" s="8" t="s">
        <v>924</v>
      </c>
      <c r="E618" s="8" t="s">
        <v>121</v>
      </c>
      <c r="F618" s="10">
        <v>9</v>
      </c>
      <c r="G618" s="10">
        <v>2030</v>
      </c>
      <c r="H618" s="10">
        <v>23.4</v>
      </c>
      <c r="I618" s="10">
        <v>13994.82</v>
      </c>
      <c r="J618" s="8" t="s">
        <v>41</v>
      </c>
      <c r="K618" s="8" t="s">
        <v>146</v>
      </c>
      <c r="L618" s="18" t="str">
        <f>VLOOKUP(D618,Products!$A:$C,3,FALSE)</f>
        <v>Home</v>
      </c>
      <c r="N618" s="18" t="str">
        <f>VLOOKUP(C618,Customers!$A:$E,5,FALSE)</f>
        <v>Retail</v>
      </c>
      <c r="O618" s="18">
        <f>VLOOKUP(C618,Customers!$A:$C,3,FALSE)</f>
        <v>36</v>
      </c>
      <c r="P618" s="18" t="str">
        <f>VLOOKUP(E617,Sales_Reps!$A:$C,3,FALSE)</f>
        <v>East</v>
      </c>
      <c r="Q618" s="18" t="str">
        <f>TEXT(B617,"MMM-YY")</f>
        <v>Jul-24</v>
      </c>
      <c r="R618">
        <f>VLOOKUP(D618, Products!A:D, 4, FALSE)</f>
        <v>1143</v>
      </c>
      <c r="S618">
        <f>(G618-R618)/G618</f>
        <v>0.43694581280788175</v>
      </c>
      <c r="T618" s="10">
        <v>11.6</v>
      </c>
    </row>
    <row r="619" spans="1:20" ht="14.25" hidden="1" customHeight="1" x14ac:dyDescent="0.3">
      <c r="A619" s="8" t="s">
        <v>1674</v>
      </c>
      <c r="B619" s="9">
        <v>45328</v>
      </c>
      <c r="C619" s="8" t="s">
        <v>266</v>
      </c>
      <c r="D619" s="8" t="s">
        <v>239</v>
      </c>
      <c r="E619" s="8" t="s">
        <v>153</v>
      </c>
      <c r="F619" s="10">
        <v>7</v>
      </c>
      <c r="G619" s="10">
        <v>2720</v>
      </c>
      <c r="H619" s="10">
        <v>11.2</v>
      </c>
      <c r="I619" s="10">
        <v>16907.52</v>
      </c>
      <c r="J619" s="8" t="s">
        <v>193</v>
      </c>
      <c r="K619" s="8" t="s">
        <v>42</v>
      </c>
      <c r="L619" s="18" t="str">
        <f>VLOOKUP(D619,Products!$A:$C,3,FALSE)</f>
        <v>Apparel</v>
      </c>
      <c r="N619" s="18" t="str">
        <f>VLOOKUP(C619,Customers!$A:$E,5,FALSE)</f>
        <v>SMB</v>
      </c>
      <c r="O619" s="18">
        <f>VLOOKUP(C619,Customers!$A:$C,3,FALSE)</f>
        <v>44</v>
      </c>
      <c r="T619" s="10">
        <v>10.4</v>
      </c>
    </row>
    <row r="620" spans="1:20" ht="14.25" hidden="1" customHeight="1" x14ac:dyDescent="0.3">
      <c r="A620" s="8" t="s">
        <v>1675</v>
      </c>
      <c r="B620" s="9">
        <v>45627</v>
      </c>
      <c r="C620" s="8" t="s">
        <v>826</v>
      </c>
      <c r="D620" s="8" t="s">
        <v>211</v>
      </c>
      <c r="E620" s="8" t="s">
        <v>135</v>
      </c>
      <c r="F620" s="10">
        <v>2</v>
      </c>
      <c r="G620" s="10">
        <v>3570</v>
      </c>
      <c r="H620" s="10">
        <v>6.1</v>
      </c>
      <c r="I620" s="10">
        <v>6704.46</v>
      </c>
      <c r="J620" s="8" t="s">
        <v>147</v>
      </c>
      <c r="K620" s="8" t="s">
        <v>146</v>
      </c>
      <c r="L620" s="18" t="str">
        <f>VLOOKUP(D620,Products!$A:$C,3,FALSE)</f>
        <v>Electronics</v>
      </c>
      <c r="N620" s="18" t="str">
        <f>VLOOKUP(C620,Customers!$A:$E,5,FALSE)</f>
        <v>Retail</v>
      </c>
      <c r="O620" s="18">
        <f>VLOOKUP(C620,Customers!$A:$C,3,FALSE)</f>
        <v>56</v>
      </c>
      <c r="T620" s="10">
        <v>5.4</v>
      </c>
    </row>
    <row r="621" spans="1:20" ht="14.25" customHeight="1" x14ac:dyDescent="0.3">
      <c r="A621" s="8" t="s">
        <v>1676</v>
      </c>
      <c r="B621" s="21">
        <v>45574</v>
      </c>
      <c r="C621" s="8" t="s">
        <v>458</v>
      </c>
      <c r="D621" s="8" t="s">
        <v>205</v>
      </c>
      <c r="E621" s="8" t="s">
        <v>231</v>
      </c>
      <c r="F621" s="10">
        <v>5</v>
      </c>
      <c r="G621" s="10">
        <v>2400</v>
      </c>
      <c r="H621" s="10">
        <v>16.100000000000001</v>
      </c>
      <c r="I621" s="10">
        <v>10068</v>
      </c>
      <c r="J621" s="8" t="s">
        <v>41</v>
      </c>
      <c r="K621" s="8" t="s">
        <v>42</v>
      </c>
      <c r="L621" s="18" t="str">
        <f>VLOOKUP(D621,Products!$A:$C,3,FALSE)</f>
        <v>Sports</v>
      </c>
      <c r="N621" s="18" t="str">
        <f>VLOOKUP(C621,Customers!$A:$E,5,FALSE)</f>
        <v>Retail</v>
      </c>
      <c r="O621" s="18">
        <f>VLOOKUP(C621,Customers!$A:$C,3,FALSE)</f>
        <v>36</v>
      </c>
      <c r="P621" s="18" t="str">
        <f>VLOOKUP(E620,Sales_Reps!$A:$C,3,FALSE)</f>
        <v>North</v>
      </c>
      <c r="Q621" s="18" t="str">
        <f>TEXT(B620,"MMM-YY")</f>
        <v>Dec-24</v>
      </c>
      <c r="R621">
        <f>VLOOKUP(D621, Products!A:D, 4, FALSE)</f>
        <v>974</v>
      </c>
      <c r="S621">
        <f>(G621-R621)/G621</f>
        <v>0.59416666666666662</v>
      </c>
      <c r="T621" s="10">
        <v>1</v>
      </c>
    </row>
    <row r="622" spans="1:20" ht="14.25" hidden="1" customHeight="1" x14ac:dyDescent="0.3">
      <c r="A622" s="8" t="s">
        <v>1677</v>
      </c>
      <c r="B622" s="9">
        <v>45592</v>
      </c>
      <c r="C622" s="8" t="s">
        <v>399</v>
      </c>
      <c r="D622" s="8" t="s">
        <v>176</v>
      </c>
      <c r="E622" s="8" t="s">
        <v>261</v>
      </c>
      <c r="F622" s="10">
        <v>4</v>
      </c>
      <c r="G622" s="10">
        <v>2270</v>
      </c>
      <c r="H622" s="10">
        <v>27.5</v>
      </c>
      <c r="I622" s="10">
        <v>6583</v>
      </c>
      <c r="J622" s="8" t="s">
        <v>97</v>
      </c>
      <c r="K622" s="8" t="s">
        <v>146</v>
      </c>
      <c r="L622" s="18" t="str">
        <f>VLOOKUP(D622,Products!$A:$C,3,FALSE)</f>
        <v>Grocery</v>
      </c>
      <c r="N622" s="18" t="str">
        <f>VLOOKUP(C622,Customers!$A:$E,5,FALSE)</f>
        <v>SMB</v>
      </c>
      <c r="O622" s="18">
        <f>VLOOKUP(C622,Customers!$A:$C,3,FALSE)</f>
        <v>53</v>
      </c>
      <c r="T622" s="10">
        <v>17.2</v>
      </c>
    </row>
    <row r="623" spans="1:20" ht="14.25" hidden="1" customHeight="1" x14ac:dyDescent="0.3">
      <c r="A623" s="8" t="s">
        <v>1678</v>
      </c>
      <c r="B623" s="9">
        <v>45509</v>
      </c>
      <c r="C623" s="8" t="s">
        <v>123</v>
      </c>
      <c r="D623" s="8" t="s">
        <v>171</v>
      </c>
      <c r="E623" s="8" t="s">
        <v>189</v>
      </c>
      <c r="F623" s="10">
        <v>1</v>
      </c>
      <c r="G623" s="10">
        <v>970</v>
      </c>
      <c r="H623" s="10">
        <v>12.7</v>
      </c>
      <c r="I623" s="10">
        <v>846.81</v>
      </c>
      <c r="J623" s="8" t="s">
        <v>41</v>
      </c>
      <c r="K623" s="8" t="s">
        <v>119</v>
      </c>
      <c r="L623" s="18" t="str">
        <f>VLOOKUP(D623,Products!$A:$C,3,FALSE)</f>
        <v>Grocery</v>
      </c>
      <c r="N623" s="18" t="str">
        <f>VLOOKUP(C623,Customers!$A:$E,5,FALSE)</f>
        <v>Corporate</v>
      </c>
      <c r="O623" s="18">
        <f>VLOOKUP(C623,Customers!$A:$C,3,FALSE)</f>
        <v>46</v>
      </c>
      <c r="T623" s="10">
        <v>14</v>
      </c>
    </row>
    <row r="624" spans="1:20" ht="14.25" hidden="1" customHeight="1" x14ac:dyDescent="0.3">
      <c r="A624" s="8" t="s">
        <v>1679</v>
      </c>
      <c r="B624" s="9">
        <v>45307</v>
      </c>
      <c r="C624" s="8" t="s">
        <v>513</v>
      </c>
      <c r="D624" s="8" t="s">
        <v>959</v>
      </c>
      <c r="E624" s="8" t="s">
        <v>167</v>
      </c>
      <c r="F624" s="10">
        <v>5</v>
      </c>
      <c r="G624" s="10">
        <v>6940</v>
      </c>
      <c r="H624" s="10">
        <v>16.2</v>
      </c>
      <c r="I624" s="10">
        <v>29078.6</v>
      </c>
      <c r="J624" s="8" t="s">
        <v>41</v>
      </c>
      <c r="K624" s="8" t="s">
        <v>136</v>
      </c>
      <c r="L624" s="18" t="str">
        <f>VLOOKUP(D624,Products!$A:$C,3,FALSE)</f>
        <v>Sports</v>
      </c>
      <c r="N624" s="18" t="str">
        <f>VLOOKUP(C624,Customers!$A:$E,5,FALSE)</f>
        <v>SMB</v>
      </c>
      <c r="O624" s="18">
        <f>VLOOKUP(C624,Customers!$A:$C,3,FALSE)</f>
        <v>43</v>
      </c>
      <c r="T624" s="10">
        <v>8.1999999999999993</v>
      </c>
    </row>
    <row r="625" spans="1:20" ht="14.25" hidden="1" customHeight="1" x14ac:dyDescent="0.3">
      <c r="A625" s="8" t="s">
        <v>1680</v>
      </c>
      <c r="B625" s="9">
        <v>45586</v>
      </c>
      <c r="C625" s="8" t="s">
        <v>334</v>
      </c>
      <c r="D625" s="8" t="s">
        <v>959</v>
      </c>
      <c r="E625" s="8" t="s">
        <v>214</v>
      </c>
      <c r="F625" s="10">
        <v>4</v>
      </c>
      <c r="G625" s="10">
        <v>6940</v>
      </c>
      <c r="H625" s="10">
        <v>15.1</v>
      </c>
      <c r="I625" s="10">
        <v>23568.240000000002</v>
      </c>
      <c r="J625" s="8" t="s">
        <v>41</v>
      </c>
      <c r="K625" s="8" t="s">
        <v>178</v>
      </c>
      <c r="L625" s="18" t="str">
        <f>VLOOKUP(D625,Products!$A:$C,3,FALSE)</f>
        <v>Sports</v>
      </c>
      <c r="N625" s="18" t="str">
        <f>VLOOKUP(C625,Customers!$A:$E,5,FALSE)</f>
        <v>Retail</v>
      </c>
      <c r="O625" s="18">
        <f>VLOOKUP(C625,Customers!$A:$C,3,FALSE)</f>
        <v>53</v>
      </c>
      <c r="T625" s="10">
        <v>19.399999999999999</v>
      </c>
    </row>
    <row r="626" spans="1:20" ht="14.25" customHeight="1" x14ac:dyDescent="0.3">
      <c r="A626" s="8" t="s">
        <v>1681</v>
      </c>
      <c r="B626" s="21">
        <v>45587</v>
      </c>
      <c r="C626" s="8" t="s">
        <v>351</v>
      </c>
      <c r="D626" s="8" t="s">
        <v>260</v>
      </c>
      <c r="E626" s="8" t="s">
        <v>125</v>
      </c>
      <c r="F626" s="10">
        <v>1</v>
      </c>
      <c r="G626" s="10">
        <v>1010</v>
      </c>
      <c r="H626" s="10">
        <v>1.7</v>
      </c>
      <c r="I626" s="10">
        <v>992.83</v>
      </c>
      <c r="J626" s="8" t="s">
        <v>41</v>
      </c>
      <c r="K626" s="8" t="s">
        <v>42</v>
      </c>
      <c r="L626" s="18" t="str">
        <f>VLOOKUP(D626,Products!$A:$C,3,FALSE)</f>
        <v>Sports</v>
      </c>
      <c r="N626" s="18" t="str">
        <f>VLOOKUP(C626,Customers!$A:$E,5,FALSE)</f>
        <v>Retail</v>
      </c>
      <c r="O626" s="18">
        <f>VLOOKUP(C626,Customers!$A:$C,3,FALSE)</f>
        <v>25</v>
      </c>
      <c r="P626" s="18" t="str">
        <f>VLOOKUP(E625,Sales_Reps!$A:$C,3,FALSE)</f>
        <v>South</v>
      </c>
      <c r="Q626" s="18" t="str">
        <f t="shared" ref="Q626:Q627" si="130">TEXT(B625,"MMM-YY")</f>
        <v>Oct-24</v>
      </c>
      <c r="R626">
        <f>VLOOKUP(D626, Products!A:D, 4, FALSE)</f>
        <v>516</v>
      </c>
      <c r="S626">
        <f t="shared" ref="S626:S627" si="131">(G626-R626)/G626</f>
        <v>0.4891089108910891</v>
      </c>
      <c r="T626" s="10">
        <v>3.6</v>
      </c>
    </row>
    <row r="627" spans="1:20" ht="14.25" customHeight="1" x14ac:dyDescent="0.3">
      <c r="A627" s="8" t="s">
        <v>1682</v>
      </c>
      <c r="B627" s="21">
        <v>45609</v>
      </c>
      <c r="C627" s="8" t="s">
        <v>330</v>
      </c>
      <c r="D627" s="8" t="s">
        <v>188</v>
      </c>
      <c r="E627" s="8" t="s">
        <v>38</v>
      </c>
      <c r="F627" s="10">
        <v>6</v>
      </c>
      <c r="G627" s="10">
        <v>3870</v>
      </c>
      <c r="H627" s="10">
        <v>12.2</v>
      </c>
      <c r="I627" s="10">
        <v>20387.16</v>
      </c>
      <c r="J627" s="8" t="s">
        <v>41</v>
      </c>
      <c r="K627" s="8" t="s">
        <v>119</v>
      </c>
      <c r="L627" s="18" t="str">
        <f>VLOOKUP(D627,Products!$A:$C,3,FALSE)</f>
        <v>Electronics</v>
      </c>
      <c r="N627" s="18" t="str">
        <f>VLOOKUP(C627,Customers!$A:$E,5,FALSE)</f>
        <v>Retail</v>
      </c>
      <c r="O627" s="18">
        <f>VLOOKUP(C627,Customers!$A:$C,3,FALSE)</f>
        <v>35</v>
      </c>
      <c r="P627" s="18" t="str">
        <f>VLOOKUP(E626,Sales_Reps!$A:$C,3,FALSE)</f>
        <v>North</v>
      </c>
      <c r="Q627" s="18" t="str">
        <f t="shared" si="130"/>
        <v>Oct-24</v>
      </c>
      <c r="R627">
        <f>VLOOKUP(D627, Products!A:D, 4, FALSE)</f>
        <v>1559</v>
      </c>
      <c r="S627">
        <f t="shared" si="131"/>
        <v>0.59715762273901807</v>
      </c>
      <c r="T627" s="10">
        <v>12.3</v>
      </c>
    </row>
    <row r="628" spans="1:20" ht="14.25" hidden="1" customHeight="1" x14ac:dyDescent="0.3">
      <c r="A628" s="8" t="s">
        <v>1683</v>
      </c>
      <c r="B628" s="9">
        <v>45316</v>
      </c>
      <c r="C628" s="8" t="s">
        <v>428</v>
      </c>
      <c r="D628" s="8" t="s">
        <v>320</v>
      </c>
      <c r="E628" s="8" t="s">
        <v>865</v>
      </c>
      <c r="F628" s="10">
        <v>9</v>
      </c>
      <c r="G628" s="10">
        <v>5100</v>
      </c>
      <c r="H628" s="10">
        <v>26.4</v>
      </c>
      <c r="I628" s="10">
        <v>33782.400000000001</v>
      </c>
      <c r="J628" s="8" t="s">
        <v>41</v>
      </c>
      <c r="K628" s="8" t="s">
        <v>178</v>
      </c>
      <c r="L628" s="18" t="str">
        <f>VLOOKUP(D628,Products!$A:$C,3,FALSE)</f>
        <v>Beauty</v>
      </c>
      <c r="N628" s="18" t="str">
        <f>VLOOKUP(C628,Customers!$A:$E,5,FALSE)</f>
        <v>SMB</v>
      </c>
      <c r="O628" s="18">
        <f>VLOOKUP(C628,Customers!$A:$C,3,FALSE)</f>
        <v>48</v>
      </c>
      <c r="T628" s="10">
        <v>13.7</v>
      </c>
    </row>
    <row r="629" spans="1:20" ht="14.25" hidden="1" customHeight="1" x14ac:dyDescent="0.3">
      <c r="A629" s="8" t="s">
        <v>1684</v>
      </c>
      <c r="B629" s="9">
        <v>45451</v>
      </c>
      <c r="C629" s="8" t="s">
        <v>805</v>
      </c>
      <c r="D629" s="8" t="s">
        <v>134</v>
      </c>
      <c r="E629" s="8" t="s">
        <v>135</v>
      </c>
      <c r="F629" s="10">
        <v>2</v>
      </c>
      <c r="G629" s="10">
        <v>3160</v>
      </c>
      <c r="H629" s="10">
        <v>13.4</v>
      </c>
      <c r="I629" s="10">
        <v>5473.12</v>
      </c>
      <c r="J629" s="8" t="s">
        <v>193</v>
      </c>
      <c r="K629" s="8" t="s">
        <v>42</v>
      </c>
      <c r="L629" s="18" t="str">
        <f>VLOOKUP(D629,Products!$A:$C,3,FALSE)</f>
        <v>Apparel</v>
      </c>
      <c r="N629" s="18" t="str">
        <f>VLOOKUP(C629,Customers!$A:$E,5,FALSE)</f>
        <v>Retail</v>
      </c>
      <c r="O629" s="18">
        <f>VLOOKUP(C629,Customers!$A:$C,3,FALSE)</f>
        <v>65</v>
      </c>
      <c r="T629" s="10">
        <v>0.1</v>
      </c>
    </row>
    <row r="630" spans="1:20" ht="14.25" hidden="1" customHeight="1" x14ac:dyDescent="0.3">
      <c r="A630" s="8" t="s">
        <v>1685</v>
      </c>
      <c r="B630" s="9">
        <v>45554</v>
      </c>
      <c r="C630" s="8" t="s">
        <v>816</v>
      </c>
      <c r="D630" s="8" t="s">
        <v>918</v>
      </c>
      <c r="E630" s="8" t="s">
        <v>865</v>
      </c>
      <c r="F630" s="10">
        <v>8</v>
      </c>
      <c r="G630" s="10">
        <v>2210</v>
      </c>
      <c r="H630" s="10">
        <v>26</v>
      </c>
      <c r="I630" s="10">
        <v>13083.2</v>
      </c>
      <c r="J630" s="8" t="s">
        <v>41</v>
      </c>
      <c r="K630" s="8" t="s">
        <v>146</v>
      </c>
      <c r="L630" s="18" t="str">
        <f>VLOOKUP(D630,Products!$A:$C,3,FALSE)</f>
        <v>Grocery</v>
      </c>
      <c r="N630" s="18" t="str">
        <f>VLOOKUP(C630,Customers!$A:$E,5,FALSE)</f>
        <v>SMB</v>
      </c>
      <c r="O630" s="18">
        <f>VLOOKUP(C630,Customers!$A:$C,3,FALSE)</f>
        <v>47</v>
      </c>
      <c r="T630" s="10">
        <v>3</v>
      </c>
    </row>
    <row r="631" spans="1:20" ht="14.25" hidden="1" customHeight="1" x14ac:dyDescent="0.3">
      <c r="A631" s="8" t="s">
        <v>1686</v>
      </c>
      <c r="B631" s="9">
        <v>45567</v>
      </c>
      <c r="C631" s="8" t="s">
        <v>780</v>
      </c>
      <c r="D631" s="8" t="s">
        <v>901</v>
      </c>
      <c r="E631" s="8" t="s">
        <v>376</v>
      </c>
      <c r="F631" s="10">
        <v>5</v>
      </c>
      <c r="G631" s="10">
        <v>3560</v>
      </c>
      <c r="H631" s="10">
        <v>15</v>
      </c>
      <c r="I631" s="10">
        <v>15130</v>
      </c>
      <c r="J631" s="8" t="s">
        <v>41</v>
      </c>
      <c r="K631" s="8" t="s">
        <v>119</v>
      </c>
      <c r="L631" s="18" t="str">
        <f>VLOOKUP(D631,Products!$A:$C,3,FALSE)</f>
        <v>Apparel</v>
      </c>
      <c r="N631" s="18" t="str">
        <f>VLOOKUP(C631,Customers!$A:$E,5,FALSE)</f>
        <v>SMB</v>
      </c>
      <c r="O631" s="18">
        <f>VLOOKUP(C631,Customers!$A:$C,3,FALSE)</f>
        <v>53</v>
      </c>
      <c r="T631" s="10">
        <v>12</v>
      </c>
    </row>
    <row r="632" spans="1:20" ht="14.25" customHeight="1" x14ac:dyDescent="0.3">
      <c r="A632" s="8" t="s">
        <v>1687</v>
      </c>
      <c r="B632" s="21">
        <v>45633</v>
      </c>
      <c r="C632" s="8" t="s">
        <v>778</v>
      </c>
      <c r="D632" s="8" t="s">
        <v>896</v>
      </c>
      <c r="E632" s="8" t="s">
        <v>177</v>
      </c>
      <c r="F632" s="10">
        <v>10</v>
      </c>
      <c r="G632" s="10">
        <v>620</v>
      </c>
      <c r="H632" s="10">
        <v>15.8</v>
      </c>
      <c r="I632" s="10">
        <v>5220.3999999999996</v>
      </c>
      <c r="J632" s="8" t="s">
        <v>193</v>
      </c>
      <c r="K632" s="8" t="s">
        <v>136</v>
      </c>
      <c r="L632" s="18" t="str">
        <f>VLOOKUP(D632,Products!$A:$C,3,FALSE)</f>
        <v>Apparel</v>
      </c>
      <c r="N632" s="18" t="str">
        <f>VLOOKUP(C632,Customers!$A:$E,5,FALSE)</f>
        <v>Retail</v>
      </c>
      <c r="O632" s="18">
        <f>VLOOKUP(C632,Customers!$A:$C,3,FALSE)</f>
        <v>27</v>
      </c>
      <c r="P632" s="18" t="str">
        <f>VLOOKUP(E631,Sales_Reps!$A:$C,3,FALSE)</f>
        <v>West</v>
      </c>
      <c r="Q632" s="18" t="str">
        <f>TEXT(B631,"MMM-YY")</f>
        <v>Oct-24</v>
      </c>
      <c r="R632">
        <f>VLOOKUP(D632, Products!A:D, 4, FALSE)</f>
        <v>396</v>
      </c>
      <c r="S632">
        <f>(G632-R632)/G632</f>
        <v>0.36129032258064514</v>
      </c>
      <c r="T632" s="10">
        <v>22.7</v>
      </c>
    </row>
    <row r="633" spans="1:20" ht="14.25" hidden="1" customHeight="1" x14ac:dyDescent="0.3">
      <c r="A633" s="8" t="s">
        <v>1688</v>
      </c>
      <c r="B633" s="9">
        <v>45588</v>
      </c>
      <c r="C633" s="8" t="s">
        <v>468</v>
      </c>
      <c r="D633" s="8" t="s">
        <v>374</v>
      </c>
      <c r="E633" s="8" t="s">
        <v>261</v>
      </c>
      <c r="F633" s="10">
        <v>3</v>
      </c>
      <c r="G633" s="10">
        <v>2760</v>
      </c>
      <c r="H633" s="10">
        <v>1.9</v>
      </c>
      <c r="I633" s="10">
        <v>8122.68</v>
      </c>
      <c r="J633" s="8" t="s">
        <v>147</v>
      </c>
      <c r="K633" s="8" t="s">
        <v>146</v>
      </c>
      <c r="L633" s="18" t="str">
        <f>VLOOKUP(D633,Products!$A:$C,3,FALSE)</f>
        <v>Grocery</v>
      </c>
      <c r="N633" s="18" t="str">
        <f>VLOOKUP(C633,Customers!$A:$E,5,FALSE)</f>
        <v>Retail</v>
      </c>
      <c r="O633" s="18">
        <f>VLOOKUP(C633,Customers!$A:$C,3,FALSE)</f>
        <v>65</v>
      </c>
      <c r="T633" s="10">
        <v>11.1</v>
      </c>
    </row>
    <row r="634" spans="1:20" ht="14.25" hidden="1" customHeight="1" x14ac:dyDescent="0.3">
      <c r="A634" s="8" t="s">
        <v>1689</v>
      </c>
      <c r="B634" s="9">
        <v>45634</v>
      </c>
      <c r="C634" s="8" t="s">
        <v>519</v>
      </c>
      <c r="D634" s="8" t="s">
        <v>260</v>
      </c>
      <c r="E634" s="8" t="s">
        <v>96</v>
      </c>
      <c r="F634" s="10">
        <v>10</v>
      </c>
      <c r="G634" s="10">
        <v>1010</v>
      </c>
      <c r="H634" s="10">
        <v>28.9</v>
      </c>
      <c r="I634" s="10">
        <v>7181.1</v>
      </c>
      <c r="J634" s="8" t="s">
        <v>41</v>
      </c>
      <c r="K634" s="8" t="s">
        <v>119</v>
      </c>
      <c r="L634" s="18" t="str">
        <f>VLOOKUP(D634,Products!$A:$C,3,FALSE)</f>
        <v>Sports</v>
      </c>
      <c r="N634" s="18" t="str">
        <f>VLOOKUP(C634,Customers!$A:$E,5,FALSE)</f>
        <v>SMB</v>
      </c>
      <c r="O634" s="18">
        <f>VLOOKUP(C634,Customers!$A:$C,3,FALSE)</f>
        <v>50</v>
      </c>
      <c r="T634" s="10">
        <v>8.5</v>
      </c>
    </row>
    <row r="635" spans="1:20" ht="14.25" customHeight="1" x14ac:dyDescent="0.3">
      <c r="A635" s="8" t="s">
        <v>1690</v>
      </c>
      <c r="B635" s="21">
        <v>45352</v>
      </c>
      <c r="C635" s="8" t="s">
        <v>401</v>
      </c>
      <c r="D635" s="8" t="s">
        <v>644</v>
      </c>
      <c r="E635" s="8" t="s">
        <v>261</v>
      </c>
      <c r="F635" s="10">
        <v>1</v>
      </c>
      <c r="G635" s="10">
        <v>3640</v>
      </c>
      <c r="H635" s="10">
        <v>9.6999999999999993</v>
      </c>
      <c r="I635" s="10">
        <v>3286.92</v>
      </c>
      <c r="J635" s="8" t="s">
        <v>41</v>
      </c>
      <c r="K635" s="8" t="s">
        <v>178</v>
      </c>
      <c r="L635" s="18" t="str">
        <f>VLOOKUP(D635,Products!$A:$C,3,FALSE)</f>
        <v>Apparel</v>
      </c>
      <c r="N635" s="18" t="str">
        <f>VLOOKUP(C635,Customers!$A:$E,5,FALSE)</f>
        <v>SMB</v>
      </c>
      <c r="O635" s="18">
        <f>VLOOKUP(C635,Customers!$A:$C,3,FALSE)</f>
        <v>40</v>
      </c>
      <c r="P635" s="18" t="str">
        <f>VLOOKUP(E634,Sales_Reps!$A:$C,3,FALSE)</f>
        <v>North</v>
      </c>
      <c r="Q635" s="18" t="str">
        <f>TEXT(B634,"MMM-YY")</f>
        <v>Dec-24</v>
      </c>
      <c r="R635">
        <f>VLOOKUP(D635, Products!A:D, 4, FALSE)</f>
        <v>2611</v>
      </c>
      <c r="S635">
        <f>(G635-R635)/G635</f>
        <v>0.28269230769230769</v>
      </c>
      <c r="T635" s="10">
        <v>18.5</v>
      </c>
    </row>
    <row r="636" spans="1:20" ht="14.25" hidden="1" customHeight="1" x14ac:dyDescent="0.3">
      <c r="A636" s="8" t="s">
        <v>1691</v>
      </c>
      <c r="B636" s="9">
        <v>45489</v>
      </c>
      <c r="C636" s="8" t="s">
        <v>299</v>
      </c>
      <c r="D636" s="8" t="s">
        <v>95</v>
      </c>
      <c r="E636" s="8" t="s">
        <v>177</v>
      </c>
      <c r="F636" s="10">
        <v>1</v>
      </c>
      <c r="G636" s="10">
        <v>820</v>
      </c>
      <c r="H636" s="10">
        <v>15</v>
      </c>
      <c r="I636" s="10">
        <v>697</v>
      </c>
      <c r="J636" s="8" t="s">
        <v>41</v>
      </c>
      <c r="K636" s="8" t="s">
        <v>98</v>
      </c>
      <c r="L636" s="18" t="str">
        <f>VLOOKUP(D636,Products!$A:$C,3,FALSE)</f>
        <v>Apparel</v>
      </c>
      <c r="N636" s="18" t="str">
        <f>VLOOKUP(C636,Customers!$A:$E,5,FALSE)</f>
        <v>SMB</v>
      </c>
      <c r="O636" s="18">
        <f>VLOOKUP(C636,Customers!$A:$C,3,FALSE)</f>
        <v>52</v>
      </c>
      <c r="T636" s="10">
        <v>19.5</v>
      </c>
    </row>
    <row r="637" spans="1:20" ht="14.25" hidden="1" customHeight="1" x14ac:dyDescent="0.3">
      <c r="A637" s="8" t="s">
        <v>1692</v>
      </c>
      <c r="B637" s="9">
        <v>45342</v>
      </c>
      <c r="C637" s="8" t="s">
        <v>223</v>
      </c>
      <c r="D637" s="8" t="s">
        <v>644</v>
      </c>
      <c r="E637" s="8" t="s">
        <v>865</v>
      </c>
      <c r="F637" s="10">
        <v>4</v>
      </c>
      <c r="G637" s="10">
        <v>3640</v>
      </c>
      <c r="H637" s="10">
        <v>17</v>
      </c>
      <c r="I637" s="10">
        <v>12084.8</v>
      </c>
      <c r="J637" s="8" t="s">
        <v>41</v>
      </c>
      <c r="K637" s="8" t="s">
        <v>98</v>
      </c>
      <c r="L637" s="18" t="str">
        <f>VLOOKUP(D637,Products!$A:$C,3,FALSE)</f>
        <v>Apparel</v>
      </c>
      <c r="N637" s="18" t="str">
        <f>VLOOKUP(C637,Customers!$A:$E,5,FALSE)</f>
        <v>Retail</v>
      </c>
      <c r="O637" s="18">
        <f>VLOOKUP(C637,Customers!$A:$C,3,FALSE)</f>
        <v>49</v>
      </c>
      <c r="T637" s="10">
        <v>4.0999999999999996</v>
      </c>
    </row>
    <row r="638" spans="1:20" ht="14.25" hidden="1" customHeight="1" x14ac:dyDescent="0.3">
      <c r="A638" s="8" t="s">
        <v>1693</v>
      </c>
      <c r="B638" s="9">
        <v>45425</v>
      </c>
      <c r="C638" s="8" t="s">
        <v>600</v>
      </c>
      <c r="D638" s="8" t="s">
        <v>909</v>
      </c>
      <c r="E638" s="8" t="s">
        <v>261</v>
      </c>
      <c r="F638" s="10">
        <v>7</v>
      </c>
      <c r="G638" s="10">
        <v>2380</v>
      </c>
      <c r="H638" s="10">
        <v>25.5</v>
      </c>
      <c r="I638" s="10">
        <v>12411.7</v>
      </c>
      <c r="J638" s="8" t="s">
        <v>41</v>
      </c>
      <c r="K638" s="8" t="s">
        <v>42</v>
      </c>
      <c r="L638" s="18" t="str">
        <f>VLOOKUP(D638,Products!$A:$C,3,FALSE)</f>
        <v>Grocery</v>
      </c>
      <c r="N638" s="18" t="str">
        <f>VLOOKUP(C638,Customers!$A:$E,5,FALSE)</f>
        <v>Corporate</v>
      </c>
      <c r="O638" s="18">
        <f>VLOOKUP(C638,Customers!$A:$C,3,FALSE)</f>
        <v>42</v>
      </c>
      <c r="T638" s="10">
        <v>18.7</v>
      </c>
    </row>
    <row r="639" spans="1:20" ht="14.25" customHeight="1" x14ac:dyDescent="0.3">
      <c r="A639" s="8" t="s">
        <v>1694</v>
      </c>
      <c r="B639" s="21">
        <v>45598</v>
      </c>
      <c r="C639" s="8" t="s">
        <v>591</v>
      </c>
      <c r="D639" s="8" t="s">
        <v>389</v>
      </c>
      <c r="E639" s="8" t="s">
        <v>135</v>
      </c>
      <c r="F639" s="10">
        <v>1</v>
      </c>
      <c r="G639" s="10">
        <v>660</v>
      </c>
      <c r="H639" s="10">
        <v>2.5</v>
      </c>
      <c r="I639" s="10">
        <v>643.5</v>
      </c>
      <c r="J639" s="8" t="s">
        <v>41</v>
      </c>
      <c r="K639" s="8" t="s">
        <v>42</v>
      </c>
      <c r="L639" s="18" t="str">
        <f>VLOOKUP(D639,Products!$A:$C,3,FALSE)</f>
        <v>Home</v>
      </c>
      <c r="N639" s="18" t="str">
        <f>VLOOKUP(C639,Customers!$A:$E,5,FALSE)</f>
        <v>Retail</v>
      </c>
      <c r="O639" s="18">
        <f>VLOOKUP(C639,Customers!$A:$C,3,FALSE)</f>
        <v>36</v>
      </c>
      <c r="P639" s="18" t="str">
        <f>VLOOKUP(E638,Sales_Reps!$A:$C,3,FALSE)</f>
        <v>North</v>
      </c>
      <c r="Q639" s="18" t="str">
        <f t="shared" ref="Q639:Q642" si="132">TEXT(B638,"MMM-YY")</f>
        <v>May-24</v>
      </c>
      <c r="R639">
        <f>VLOOKUP(D639, Products!A:D, 4, FALSE)</f>
        <v>329</v>
      </c>
      <c r="S639">
        <f t="shared" ref="S639:S642" si="133">(G639-R639)/G639</f>
        <v>0.50151515151515147</v>
      </c>
      <c r="T639" s="10">
        <v>1</v>
      </c>
    </row>
    <row r="640" spans="1:20" ht="14.25" customHeight="1" x14ac:dyDescent="0.3">
      <c r="A640" s="8" t="s">
        <v>1695</v>
      </c>
      <c r="B640" s="21">
        <v>45353</v>
      </c>
      <c r="C640" s="8" t="s">
        <v>385</v>
      </c>
      <c r="D640" s="8" t="s">
        <v>188</v>
      </c>
      <c r="E640" s="8" t="s">
        <v>321</v>
      </c>
      <c r="F640" s="10">
        <v>7</v>
      </c>
      <c r="G640" s="10">
        <v>3870</v>
      </c>
      <c r="H640" s="10">
        <v>20.3</v>
      </c>
      <c r="I640" s="10">
        <v>21590.73</v>
      </c>
      <c r="J640" s="8" t="s">
        <v>97</v>
      </c>
      <c r="K640" s="8" t="s">
        <v>42</v>
      </c>
      <c r="L640" s="18" t="str">
        <f>VLOOKUP(D640,Products!$A:$C,3,FALSE)</f>
        <v>Electronics</v>
      </c>
      <c r="N640" s="18" t="str">
        <f>VLOOKUP(C640,Customers!$A:$E,5,FALSE)</f>
        <v>Retail</v>
      </c>
      <c r="O640" s="18">
        <f>VLOOKUP(C640,Customers!$A:$C,3,FALSE)</f>
        <v>35</v>
      </c>
      <c r="P640" s="18" t="str">
        <f>VLOOKUP(E639,Sales_Reps!$A:$C,3,FALSE)</f>
        <v>North</v>
      </c>
      <c r="Q640" s="18" t="str">
        <f t="shared" si="132"/>
        <v>Nov-24</v>
      </c>
      <c r="R640">
        <f>VLOOKUP(D640, Products!A:D, 4, FALSE)</f>
        <v>1559</v>
      </c>
      <c r="S640">
        <f t="shared" si="133"/>
        <v>0.59715762273901807</v>
      </c>
      <c r="T640" s="10">
        <v>10.6</v>
      </c>
    </row>
    <row r="641" spans="1:20" ht="14.25" customHeight="1" x14ac:dyDescent="0.3">
      <c r="A641" s="8" t="s">
        <v>1696</v>
      </c>
      <c r="B641" s="21">
        <v>45542</v>
      </c>
      <c r="C641" s="8" t="s">
        <v>449</v>
      </c>
      <c r="D641" s="8" t="s">
        <v>144</v>
      </c>
      <c r="E641" s="8" t="s">
        <v>221</v>
      </c>
      <c r="F641" s="10">
        <v>10</v>
      </c>
      <c r="G641" s="10">
        <v>370</v>
      </c>
      <c r="H641" s="10">
        <v>1.3</v>
      </c>
      <c r="I641" s="10">
        <v>3651.9</v>
      </c>
      <c r="J641" s="8" t="s">
        <v>193</v>
      </c>
      <c r="K641" s="8" t="s">
        <v>98</v>
      </c>
      <c r="L641" s="18" t="str">
        <f>VLOOKUP(D641,Products!$A:$C,3,FALSE)</f>
        <v>Home</v>
      </c>
      <c r="N641" s="18" t="str">
        <f>VLOOKUP(C641,Customers!$A:$E,5,FALSE)</f>
        <v>Retail</v>
      </c>
      <c r="O641" s="18">
        <f>VLOOKUP(C641,Customers!$A:$C,3,FALSE)</f>
        <v>24</v>
      </c>
      <c r="P641" s="18" t="str">
        <f>VLOOKUP(E640,Sales_Reps!$A:$C,3,FALSE)</f>
        <v>East</v>
      </c>
      <c r="Q641" s="18" t="str">
        <f t="shared" si="132"/>
        <v>Mar-24</v>
      </c>
      <c r="R641">
        <f>VLOOKUP(D641, Products!A:D, 4, FALSE)</f>
        <v>288</v>
      </c>
      <c r="S641">
        <f t="shared" si="133"/>
        <v>0.22162162162162163</v>
      </c>
      <c r="T641" s="10">
        <v>23.8</v>
      </c>
    </row>
    <row r="642" spans="1:20" ht="14.25" customHeight="1" x14ac:dyDescent="0.3">
      <c r="A642" s="8" t="s">
        <v>1697</v>
      </c>
      <c r="B642" s="21">
        <v>45365</v>
      </c>
      <c r="C642" s="8" t="s">
        <v>401</v>
      </c>
      <c r="D642" s="8" t="s">
        <v>37</v>
      </c>
      <c r="E642" s="8" t="s">
        <v>167</v>
      </c>
      <c r="F642" s="10">
        <v>1</v>
      </c>
      <c r="G642" s="10">
        <v>3620</v>
      </c>
      <c r="H642" s="10">
        <v>1.4</v>
      </c>
      <c r="I642" s="10">
        <v>3569.32</v>
      </c>
      <c r="J642" s="8" t="s">
        <v>41</v>
      </c>
      <c r="K642" s="8" t="s">
        <v>178</v>
      </c>
      <c r="L642" s="18" t="str">
        <f>VLOOKUP(D642,Products!$A:$C,3,FALSE)</f>
        <v>Apparel</v>
      </c>
      <c r="N642" s="18" t="str">
        <f>VLOOKUP(C642,Customers!$A:$E,5,FALSE)</f>
        <v>SMB</v>
      </c>
      <c r="O642" s="18">
        <f>VLOOKUP(C642,Customers!$A:$C,3,FALSE)</f>
        <v>40</v>
      </c>
      <c r="P642" s="18" t="str">
        <f>VLOOKUP(E641,Sales_Reps!$A:$C,3,FALSE)</f>
        <v>South</v>
      </c>
      <c r="Q642" s="18" t="str">
        <f t="shared" si="132"/>
        <v>Sep-24</v>
      </c>
      <c r="R642">
        <f>VLOOKUP(D642, Products!A:D, 4, FALSE)</f>
        <v>2509</v>
      </c>
      <c r="S642">
        <f t="shared" si="133"/>
        <v>0.3069060773480663</v>
      </c>
      <c r="T642" s="10">
        <v>7.7</v>
      </c>
    </row>
    <row r="643" spans="1:20" ht="14.25" hidden="1" customHeight="1" x14ac:dyDescent="0.3">
      <c r="A643" s="8" t="s">
        <v>1698</v>
      </c>
      <c r="B643" s="9">
        <v>45574</v>
      </c>
      <c r="C643" s="8" t="s">
        <v>667</v>
      </c>
      <c r="D643" s="8" t="s">
        <v>131</v>
      </c>
      <c r="E643" s="8" t="s">
        <v>96</v>
      </c>
      <c r="F643" s="10">
        <v>10</v>
      </c>
      <c r="G643" s="10">
        <v>2660</v>
      </c>
      <c r="H643" s="10">
        <v>20.2</v>
      </c>
      <c r="I643" s="10">
        <v>21226.799999999999</v>
      </c>
      <c r="J643" s="8" t="s">
        <v>41</v>
      </c>
      <c r="K643" s="8" t="s">
        <v>136</v>
      </c>
      <c r="L643" s="18" t="str">
        <f>VLOOKUP(D643,Products!$A:$C,3,FALSE)</f>
        <v>Electronics</v>
      </c>
      <c r="N643" s="18" t="str">
        <f>VLOOKUP(C643,Customers!$A:$E,5,FALSE)</f>
        <v>Retail</v>
      </c>
      <c r="O643" s="18">
        <f>VLOOKUP(C643,Customers!$A:$C,3,FALSE)</f>
        <v>55</v>
      </c>
      <c r="T643" s="10">
        <v>1.9</v>
      </c>
    </row>
    <row r="644" spans="1:20" ht="14.25" hidden="1" customHeight="1" x14ac:dyDescent="0.3">
      <c r="A644" s="8" t="s">
        <v>1699</v>
      </c>
      <c r="B644" s="9">
        <v>45614</v>
      </c>
      <c r="C644" s="8" t="s">
        <v>633</v>
      </c>
      <c r="D644" s="8" t="s">
        <v>219</v>
      </c>
      <c r="E644" s="8" t="s">
        <v>301</v>
      </c>
      <c r="F644" s="10">
        <v>10</v>
      </c>
      <c r="G644" s="10">
        <v>3450</v>
      </c>
      <c r="H644" s="10">
        <v>25.1</v>
      </c>
      <c r="I644" s="10">
        <v>25840.5</v>
      </c>
      <c r="J644" s="8" t="s">
        <v>41</v>
      </c>
      <c r="K644" s="8" t="s">
        <v>119</v>
      </c>
      <c r="L644" s="18" t="str">
        <f>VLOOKUP(D644,Products!$A:$C,3,FALSE)</f>
        <v>Sports</v>
      </c>
      <c r="N644" s="18" t="str">
        <f>VLOOKUP(C644,Customers!$A:$E,5,FALSE)</f>
        <v>Corporate</v>
      </c>
      <c r="O644" s="18">
        <f>VLOOKUP(C644,Customers!$A:$C,3,FALSE)</f>
        <v>55</v>
      </c>
      <c r="T644" s="10">
        <v>22.3</v>
      </c>
    </row>
    <row r="645" spans="1:20" ht="14.25" customHeight="1" x14ac:dyDescent="0.3">
      <c r="A645" s="8" t="s">
        <v>1700</v>
      </c>
      <c r="B645" s="21">
        <v>45629</v>
      </c>
      <c r="C645" s="8" t="s">
        <v>353</v>
      </c>
      <c r="D645" s="8" t="s">
        <v>912</v>
      </c>
      <c r="E645" s="8" t="s">
        <v>745</v>
      </c>
      <c r="F645" s="10">
        <v>3</v>
      </c>
      <c r="G645" s="10">
        <v>4060</v>
      </c>
      <c r="H645" s="10">
        <v>2.5</v>
      </c>
      <c r="I645" s="10">
        <v>11875.5</v>
      </c>
      <c r="J645" s="8" t="s">
        <v>193</v>
      </c>
      <c r="K645" s="8" t="s">
        <v>136</v>
      </c>
      <c r="L645" s="18" t="str">
        <f>VLOOKUP(D645,Products!$A:$C,3,FALSE)</f>
        <v>Grocery</v>
      </c>
      <c r="N645" s="18" t="str">
        <f>VLOOKUP(C645,Customers!$A:$E,5,FALSE)</f>
        <v>Corporate</v>
      </c>
      <c r="O645" s="18">
        <f>VLOOKUP(C645,Customers!$A:$C,3,FALSE)</f>
        <v>31</v>
      </c>
      <c r="P645" s="18" t="str">
        <f>VLOOKUP(E644,Sales_Reps!$A:$C,3,FALSE)</f>
        <v>South</v>
      </c>
      <c r="Q645" s="18" t="str">
        <f>TEXT(B644,"MMM-YY")</f>
        <v>Nov-24</v>
      </c>
      <c r="R645">
        <f>VLOOKUP(D645, Products!A:D, 4, FALSE)</f>
        <v>2911</v>
      </c>
      <c r="S645">
        <f>(G645-R645)/G645</f>
        <v>0.28300492610837441</v>
      </c>
      <c r="T645" s="10">
        <v>14.4</v>
      </c>
    </row>
    <row r="646" spans="1:20" ht="14.25" hidden="1" customHeight="1" x14ac:dyDescent="0.3">
      <c r="A646" s="8" t="s">
        <v>1701</v>
      </c>
      <c r="B646" s="9">
        <v>45294</v>
      </c>
      <c r="C646" s="8" t="s">
        <v>246</v>
      </c>
      <c r="D646" s="8" t="s">
        <v>152</v>
      </c>
      <c r="E646" s="8" t="s">
        <v>216</v>
      </c>
      <c r="F646" s="10">
        <v>3</v>
      </c>
      <c r="G646" s="10">
        <v>960</v>
      </c>
      <c r="H646" s="10">
        <v>6.6</v>
      </c>
      <c r="I646" s="10">
        <v>2689.92</v>
      </c>
      <c r="J646" s="8" t="s">
        <v>147</v>
      </c>
      <c r="K646" s="8" t="s">
        <v>98</v>
      </c>
      <c r="L646" s="18" t="str">
        <f>VLOOKUP(D646,Products!$A:$C,3,FALSE)</f>
        <v>Sports</v>
      </c>
      <c r="N646" s="18" t="str">
        <f>VLOOKUP(C646,Customers!$A:$E,5,FALSE)</f>
        <v>Corporate</v>
      </c>
      <c r="O646" s="18">
        <f>VLOOKUP(C646,Customers!$A:$C,3,FALSE)</f>
        <v>55</v>
      </c>
      <c r="T646" s="10">
        <v>20.100000000000001</v>
      </c>
    </row>
    <row r="647" spans="1:20" ht="14.25" hidden="1" customHeight="1" x14ac:dyDescent="0.3">
      <c r="A647" s="8" t="s">
        <v>1702</v>
      </c>
      <c r="B647" s="9">
        <v>45418</v>
      </c>
      <c r="C647" s="8" t="s">
        <v>652</v>
      </c>
      <c r="D647" s="8" t="s">
        <v>131</v>
      </c>
      <c r="E647" s="8" t="s">
        <v>135</v>
      </c>
      <c r="F647" s="10">
        <v>4</v>
      </c>
      <c r="G647" s="10">
        <v>2660</v>
      </c>
      <c r="H647" s="10">
        <v>16.899999999999999</v>
      </c>
      <c r="I647" s="10">
        <v>8841.84</v>
      </c>
      <c r="J647" s="8" t="s">
        <v>41</v>
      </c>
      <c r="K647" s="8" t="s">
        <v>178</v>
      </c>
      <c r="L647" s="18" t="str">
        <f>VLOOKUP(D647,Products!$A:$C,3,FALSE)</f>
        <v>Electronics</v>
      </c>
      <c r="N647" s="18" t="str">
        <f>VLOOKUP(C647,Customers!$A:$E,5,FALSE)</f>
        <v>SMB</v>
      </c>
      <c r="O647" s="18">
        <f>VLOOKUP(C647,Customers!$A:$C,3,FALSE)</f>
        <v>43</v>
      </c>
      <c r="T647" s="10">
        <v>19.899999999999999</v>
      </c>
    </row>
    <row r="648" spans="1:20" ht="14.25" hidden="1" customHeight="1" x14ac:dyDescent="0.3">
      <c r="A648" s="8" t="s">
        <v>1703</v>
      </c>
      <c r="B648" s="9">
        <v>45369</v>
      </c>
      <c r="C648" s="8" t="s">
        <v>832</v>
      </c>
      <c r="D648" s="8" t="s">
        <v>176</v>
      </c>
      <c r="E648" s="8" t="s">
        <v>167</v>
      </c>
      <c r="F648" s="10">
        <v>6</v>
      </c>
      <c r="G648" s="10">
        <v>2270</v>
      </c>
      <c r="H648" s="10">
        <v>16.7</v>
      </c>
      <c r="I648" s="10">
        <v>11345.46</v>
      </c>
      <c r="J648" s="8" t="s">
        <v>41</v>
      </c>
      <c r="K648" s="8" t="s">
        <v>178</v>
      </c>
      <c r="L648" s="18" t="str">
        <f>VLOOKUP(D648,Products!$A:$C,3,FALSE)</f>
        <v>Grocery</v>
      </c>
      <c r="N648" s="18" t="str">
        <f>VLOOKUP(C648,Customers!$A:$E,5,FALSE)</f>
        <v>SMB</v>
      </c>
      <c r="O648" s="18">
        <f>VLOOKUP(C648,Customers!$A:$C,3,FALSE)</f>
        <v>65</v>
      </c>
      <c r="T648" s="10">
        <v>4.8</v>
      </c>
    </row>
    <row r="649" spans="1:20" ht="14.25" customHeight="1" x14ac:dyDescent="0.3">
      <c r="A649" s="8" t="s">
        <v>1704</v>
      </c>
      <c r="B649" s="21">
        <v>45549</v>
      </c>
      <c r="C649" s="8" t="s">
        <v>456</v>
      </c>
      <c r="D649" s="8" t="s">
        <v>624</v>
      </c>
      <c r="E649" s="8" t="s">
        <v>145</v>
      </c>
      <c r="F649" s="10">
        <v>5</v>
      </c>
      <c r="G649" s="10">
        <v>3780</v>
      </c>
      <c r="H649" s="10">
        <v>21.5</v>
      </c>
      <c r="I649" s="10">
        <v>14836.5</v>
      </c>
      <c r="J649" s="8" t="s">
        <v>41</v>
      </c>
      <c r="K649" s="8" t="s">
        <v>136</v>
      </c>
      <c r="L649" s="18" t="str">
        <f>VLOOKUP(D649,Products!$A:$C,3,FALSE)</f>
        <v>Grocery</v>
      </c>
      <c r="N649" s="18" t="str">
        <f>VLOOKUP(C649,Customers!$A:$E,5,FALSE)</f>
        <v>SMB</v>
      </c>
      <c r="O649" s="18">
        <f>VLOOKUP(C649,Customers!$A:$C,3,FALSE)</f>
        <v>28</v>
      </c>
      <c r="P649" s="18" t="str">
        <f>VLOOKUP(E648,Sales_Reps!$A:$C,3,FALSE)</f>
        <v>East</v>
      </c>
      <c r="Q649" s="18" t="str">
        <f>TEXT(B648,"MMM-YY")</f>
        <v>Mar-24</v>
      </c>
      <c r="R649">
        <f>VLOOKUP(D649, Products!A:D, 4, FALSE)</f>
        <v>2436</v>
      </c>
      <c r="S649">
        <f>(G649-R649)/G649</f>
        <v>0.35555555555555557</v>
      </c>
      <c r="T649" s="10">
        <v>21.3</v>
      </c>
    </row>
    <row r="650" spans="1:20" ht="14.25" hidden="1" customHeight="1" x14ac:dyDescent="0.3">
      <c r="A650" s="8" t="s">
        <v>1705</v>
      </c>
      <c r="B650" s="9">
        <v>45505</v>
      </c>
      <c r="C650" s="8" t="s">
        <v>454</v>
      </c>
      <c r="D650" s="8" t="s">
        <v>389</v>
      </c>
      <c r="E650" s="8" t="s">
        <v>158</v>
      </c>
      <c r="F650" s="10">
        <v>10</v>
      </c>
      <c r="G650" s="10">
        <v>660</v>
      </c>
      <c r="H650" s="10">
        <v>18.8</v>
      </c>
      <c r="I650" s="10">
        <v>5359.2</v>
      </c>
      <c r="J650" s="8" t="s">
        <v>41</v>
      </c>
      <c r="K650" s="8" t="s">
        <v>119</v>
      </c>
      <c r="L650" s="18" t="str">
        <f>VLOOKUP(D650,Products!$A:$C,3,FALSE)</f>
        <v>Home</v>
      </c>
      <c r="N650" s="18" t="str">
        <f>VLOOKUP(C650,Customers!$A:$E,5,FALSE)</f>
        <v>Retail</v>
      </c>
      <c r="O650" s="18">
        <f>VLOOKUP(C650,Customers!$A:$C,3,FALSE)</f>
        <v>55</v>
      </c>
      <c r="T650" s="10">
        <v>0.5</v>
      </c>
    </row>
    <row r="651" spans="1:20" ht="14.25" customHeight="1" x14ac:dyDescent="0.3">
      <c r="A651" s="8" t="s">
        <v>1706</v>
      </c>
      <c r="B651" s="21">
        <v>45413</v>
      </c>
      <c r="C651" s="8" t="s">
        <v>195</v>
      </c>
      <c r="D651" s="8" t="s">
        <v>569</v>
      </c>
      <c r="E651" s="8" t="s">
        <v>153</v>
      </c>
      <c r="F651" s="10">
        <v>10</v>
      </c>
      <c r="G651" s="10">
        <v>3730</v>
      </c>
      <c r="H651" s="10">
        <v>15.1</v>
      </c>
      <c r="I651" s="10">
        <v>31667.7</v>
      </c>
      <c r="J651" s="8" t="s">
        <v>41</v>
      </c>
      <c r="K651" s="8" t="s">
        <v>42</v>
      </c>
      <c r="L651" s="18" t="str">
        <f>VLOOKUP(D651,Products!$A:$C,3,FALSE)</f>
        <v>Home</v>
      </c>
      <c r="N651" s="18" t="str">
        <f>VLOOKUP(C651,Customers!$A:$E,5,FALSE)</f>
        <v>Corporate</v>
      </c>
      <c r="O651" s="18">
        <f>VLOOKUP(C651,Customers!$A:$C,3,FALSE)</f>
        <v>40</v>
      </c>
      <c r="P651" s="18" t="str">
        <f>VLOOKUP(E650,Sales_Reps!$A:$C,3,FALSE)</f>
        <v>East</v>
      </c>
      <c r="Q651" s="18" t="str">
        <f t="shared" ref="Q651:Q653" si="134">TEXT(B650,"MMM-YY")</f>
        <v>Aug-24</v>
      </c>
      <c r="R651">
        <f>VLOOKUP(D651, Products!A:D, 4, FALSE)</f>
        <v>2135</v>
      </c>
      <c r="S651">
        <f t="shared" ref="S651:S653" si="135">(G651-R651)/G651</f>
        <v>0.42761394101876676</v>
      </c>
      <c r="T651" s="10">
        <v>3.8</v>
      </c>
    </row>
    <row r="652" spans="1:20" ht="14.25" customHeight="1" x14ac:dyDescent="0.3">
      <c r="A652" s="8" t="s">
        <v>1707</v>
      </c>
      <c r="B652" s="21">
        <v>45559</v>
      </c>
      <c r="C652" s="8" t="s">
        <v>183</v>
      </c>
      <c r="D652" s="8" t="s">
        <v>912</v>
      </c>
      <c r="E652" s="8" t="s">
        <v>216</v>
      </c>
      <c r="F652" s="10">
        <v>6</v>
      </c>
      <c r="G652" s="10">
        <v>4060</v>
      </c>
      <c r="H652" s="10">
        <v>20.100000000000001</v>
      </c>
      <c r="I652" s="10">
        <v>19463.64</v>
      </c>
      <c r="J652" s="8" t="s">
        <v>97</v>
      </c>
      <c r="K652" s="8" t="s">
        <v>1708</v>
      </c>
      <c r="L652" s="18" t="str">
        <f>VLOOKUP(D652,Products!$A:$C,3,FALSE)</f>
        <v>Grocery</v>
      </c>
      <c r="N652" s="18" t="str">
        <f>VLOOKUP(C652,Customers!$A:$E,5,FALSE)</f>
        <v>SMB</v>
      </c>
      <c r="O652" s="18">
        <f>VLOOKUP(C652,Customers!$A:$C,3,FALSE)</f>
        <v>27</v>
      </c>
      <c r="P652" s="18" t="str">
        <f>VLOOKUP(E651,Sales_Reps!$A:$C,3,FALSE)</f>
        <v>West</v>
      </c>
      <c r="Q652" s="18" t="str">
        <f t="shared" si="134"/>
        <v>May-24</v>
      </c>
      <c r="R652">
        <f>VLOOKUP(D652, Products!A:D, 4, FALSE)</f>
        <v>2911</v>
      </c>
      <c r="S652">
        <f t="shared" si="135"/>
        <v>0.28300492610837441</v>
      </c>
      <c r="T652" s="10">
        <v>7.8</v>
      </c>
    </row>
    <row r="653" spans="1:20" ht="14.25" customHeight="1" x14ac:dyDescent="0.3">
      <c r="A653" s="8" t="s">
        <v>1709</v>
      </c>
      <c r="B653" s="21">
        <v>45525</v>
      </c>
      <c r="C653" s="8" t="s">
        <v>533</v>
      </c>
      <c r="D653" s="8" t="s">
        <v>176</v>
      </c>
      <c r="E653" s="8" t="s">
        <v>200</v>
      </c>
      <c r="F653" s="10">
        <v>2</v>
      </c>
      <c r="G653" s="10">
        <v>2270</v>
      </c>
      <c r="H653" s="10">
        <v>17.7</v>
      </c>
      <c r="I653" s="10">
        <v>3736.42</v>
      </c>
      <c r="J653" s="8" t="s">
        <v>41</v>
      </c>
      <c r="K653" s="8" t="s">
        <v>136</v>
      </c>
      <c r="L653" s="18" t="str">
        <f>VLOOKUP(D653,Products!$A:$C,3,FALSE)</f>
        <v>Grocery</v>
      </c>
      <c r="N653" s="18" t="str">
        <f>VLOOKUP(C653,Customers!$A:$E,5,FALSE)</f>
        <v>SMB</v>
      </c>
      <c r="O653" s="18">
        <f>VLOOKUP(C653,Customers!$A:$C,3,FALSE)</f>
        <v>36</v>
      </c>
      <c r="P653" s="18" t="str">
        <f>VLOOKUP(E652,Sales_Reps!$A:$C,3,FALSE)</f>
        <v>East</v>
      </c>
      <c r="Q653" s="18" t="str">
        <f t="shared" si="134"/>
        <v>Sep-24</v>
      </c>
      <c r="R653">
        <f>VLOOKUP(D653, Products!A:D, 4, FALSE)</f>
        <v>1203</v>
      </c>
      <c r="S653">
        <f t="shared" si="135"/>
        <v>0.47004405286343615</v>
      </c>
      <c r="T653" s="10">
        <v>19.899999999999999</v>
      </c>
    </row>
    <row r="654" spans="1:20" ht="14.25" hidden="1" customHeight="1" x14ac:dyDescent="0.3">
      <c r="A654" s="8" t="s">
        <v>1710</v>
      </c>
      <c r="B654" s="9">
        <v>45610</v>
      </c>
      <c r="C654" s="8" t="s">
        <v>428</v>
      </c>
      <c r="D654" s="8" t="s">
        <v>211</v>
      </c>
      <c r="E654" s="8" t="s">
        <v>172</v>
      </c>
      <c r="F654" s="10">
        <v>9</v>
      </c>
      <c r="G654" s="10">
        <v>3570</v>
      </c>
      <c r="H654" s="10">
        <v>29.9</v>
      </c>
      <c r="I654" s="10">
        <v>22523.13</v>
      </c>
      <c r="J654" s="8" t="s">
        <v>41</v>
      </c>
      <c r="K654" s="8" t="s">
        <v>178</v>
      </c>
      <c r="L654" s="18" t="str">
        <f>VLOOKUP(D654,Products!$A:$C,3,FALSE)</f>
        <v>Electronics</v>
      </c>
      <c r="N654" s="18" t="str">
        <f>VLOOKUP(C654,Customers!$A:$E,5,FALSE)</f>
        <v>SMB</v>
      </c>
      <c r="O654" s="18">
        <f>VLOOKUP(C654,Customers!$A:$C,3,FALSE)</f>
        <v>48</v>
      </c>
      <c r="T654" s="10">
        <v>29.3</v>
      </c>
    </row>
    <row r="655" spans="1:20" ht="14.25" hidden="1" customHeight="1" x14ac:dyDescent="0.3">
      <c r="A655" s="8" t="s">
        <v>1711</v>
      </c>
      <c r="B655" s="9">
        <v>45521</v>
      </c>
      <c r="C655" s="8" t="s">
        <v>663</v>
      </c>
      <c r="D655" s="8" t="s">
        <v>918</v>
      </c>
      <c r="E655" s="8" t="s">
        <v>185</v>
      </c>
      <c r="F655" s="10">
        <v>7</v>
      </c>
      <c r="G655" s="10">
        <v>2210</v>
      </c>
      <c r="H655" s="10">
        <v>25</v>
      </c>
      <c r="I655" s="10">
        <v>11602.5</v>
      </c>
      <c r="J655" s="8" t="s">
        <v>41</v>
      </c>
      <c r="K655" s="8" t="s">
        <v>178</v>
      </c>
      <c r="L655" s="18" t="str">
        <f>VLOOKUP(D655,Products!$A:$C,3,FALSE)</f>
        <v>Grocery</v>
      </c>
      <c r="N655" s="18" t="str">
        <f>VLOOKUP(C655,Customers!$A:$E,5,FALSE)</f>
        <v>Retail</v>
      </c>
      <c r="O655" s="18">
        <f>VLOOKUP(C655,Customers!$A:$C,3,FALSE)</f>
        <v>52</v>
      </c>
      <c r="T655" s="10">
        <v>15.2</v>
      </c>
    </row>
    <row r="656" spans="1:20" ht="14.25" hidden="1" customHeight="1" x14ac:dyDescent="0.3">
      <c r="A656" s="8" t="s">
        <v>1712</v>
      </c>
      <c r="B656" s="9">
        <v>45381</v>
      </c>
      <c r="C656" s="8" t="s">
        <v>451</v>
      </c>
      <c r="D656" s="8" t="s">
        <v>152</v>
      </c>
      <c r="E656" s="8" t="s">
        <v>376</v>
      </c>
      <c r="F656" s="10">
        <v>2</v>
      </c>
      <c r="G656" s="10">
        <v>960</v>
      </c>
      <c r="H656" s="10">
        <v>8.1999999999999993</v>
      </c>
      <c r="I656" s="10">
        <v>1762.56</v>
      </c>
      <c r="J656" s="8" t="s">
        <v>147</v>
      </c>
      <c r="K656" s="8" t="s">
        <v>146</v>
      </c>
      <c r="L656" s="18" t="str">
        <f>VLOOKUP(D656,Products!$A:$C,3,FALSE)</f>
        <v>Sports</v>
      </c>
      <c r="N656" s="18" t="str">
        <f>VLOOKUP(C656,Customers!$A:$E,5,FALSE)</f>
        <v>SMB</v>
      </c>
      <c r="O656" s="18">
        <f>VLOOKUP(C656,Customers!$A:$C,3,FALSE)</f>
        <v>43</v>
      </c>
      <c r="T656" s="10">
        <v>7</v>
      </c>
    </row>
    <row r="657" spans="1:20" ht="14.25" customHeight="1" x14ac:dyDescent="0.3">
      <c r="A657" s="8" t="s">
        <v>1713</v>
      </c>
      <c r="B657" s="21">
        <v>45401</v>
      </c>
      <c r="C657" s="8" t="s">
        <v>564</v>
      </c>
      <c r="D657" s="8" t="s">
        <v>964</v>
      </c>
      <c r="E657" s="8" t="s">
        <v>376</v>
      </c>
      <c r="F657" s="10">
        <v>9</v>
      </c>
      <c r="G657" s="10">
        <v>3780</v>
      </c>
      <c r="H657" s="10">
        <v>28.4</v>
      </c>
      <c r="I657" s="10">
        <v>24358.32</v>
      </c>
      <c r="J657" s="8" t="s">
        <v>97</v>
      </c>
      <c r="K657" s="8" t="s">
        <v>178</v>
      </c>
      <c r="L657" s="18" t="str">
        <f>VLOOKUP(D657,Products!$A:$C,3,FALSE)</f>
        <v>Sports</v>
      </c>
      <c r="N657" s="18" t="str">
        <f>VLOOKUP(C657,Customers!$A:$E,5,FALSE)</f>
        <v>Corporate</v>
      </c>
      <c r="O657" s="18">
        <f>VLOOKUP(C657,Customers!$A:$C,3,FALSE)</f>
        <v>22</v>
      </c>
      <c r="P657" s="18" t="str">
        <f>VLOOKUP(E656,Sales_Reps!$A:$C,3,FALSE)</f>
        <v>West</v>
      </c>
      <c r="Q657" s="18" t="str">
        <f>TEXT(B656,"MMM-YY")</f>
        <v>Mar-24</v>
      </c>
      <c r="R657">
        <f>VLOOKUP(D657, Products!A:D, 4, FALSE)</f>
        <v>1860</v>
      </c>
      <c r="S657">
        <f>(G657-R657)/G657</f>
        <v>0.50793650793650791</v>
      </c>
      <c r="T657" s="10">
        <v>4.7</v>
      </c>
    </row>
    <row r="658" spans="1:20" ht="14.25" hidden="1" customHeight="1" x14ac:dyDescent="0.3">
      <c r="A658" s="8" t="s">
        <v>1714</v>
      </c>
      <c r="B658" s="9">
        <v>45581</v>
      </c>
      <c r="C658" s="8" t="s">
        <v>523</v>
      </c>
      <c r="D658" s="8" t="s">
        <v>320</v>
      </c>
      <c r="E658" s="8" t="s">
        <v>117</v>
      </c>
      <c r="F658" s="10">
        <v>2</v>
      </c>
      <c r="G658" s="10">
        <v>5100</v>
      </c>
      <c r="H658" s="10">
        <v>8.6</v>
      </c>
      <c r="I658" s="10">
        <v>9322.7999999999993</v>
      </c>
      <c r="J658" s="8" t="s">
        <v>41</v>
      </c>
      <c r="K658" s="8" t="s">
        <v>98</v>
      </c>
      <c r="L658" s="18" t="str">
        <f>VLOOKUP(D658,Products!$A:$C,3,FALSE)</f>
        <v>Beauty</v>
      </c>
      <c r="N658" s="18" t="str">
        <f>VLOOKUP(C658,Customers!$A:$E,5,FALSE)</f>
        <v>Corporate</v>
      </c>
      <c r="O658" s="18">
        <f>VLOOKUP(C658,Customers!$A:$C,3,FALSE)</f>
        <v>44</v>
      </c>
      <c r="T658" s="10">
        <v>1.3</v>
      </c>
    </row>
    <row r="659" spans="1:20" ht="14.25" customHeight="1" x14ac:dyDescent="0.3">
      <c r="A659" s="8" t="s">
        <v>1715</v>
      </c>
      <c r="B659" s="21">
        <v>45414</v>
      </c>
      <c r="C659" s="8" t="s">
        <v>349</v>
      </c>
      <c r="D659" s="8" t="s">
        <v>227</v>
      </c>
      <c r="E659" s="8" t="s">
        <v>216</v>
      </c>
      <c r="F659" s="10">
        <v>4</v>
      </c>
      <c r="G659" s="10">
        <v>2480</v>
      </c>
      <c r="H659" s="10">
        <v>16.600000000000001</v>
      </c>
      <c r="I659" s="10">
        <v>8273.2800000000007</v>
      </c>
      <c r="J659" s="8" t="s">
        <v>41</v>
      </c>
      <c r="K659" s="8" t="s">
        <v>136</v>
      </c>
      <c r="L659" s="18" t="str">
        <f>VLOOKUP(D659,Products!$A:$C,3,FALSE)</f>
        <v>Apparel</v>
      </c>
      <c r="N659" s="18" t="str">
        <f>VLOOKUP(C659,Customers!$A:$E,5,FALSE)</f>
        <v>SMB</v>
      </c>
      <c r="O659" s="18">
        <f>VLOOKUP(C659,Customers!$A:$C,3,FALSE)</f>
        <v>26</v>
      </c>
      <c r="P659" s="18" t="str">
        <f>VLOOKUP(E658,Sales_Reps!$A:$C,3,FALSE)</f>
        <v>South</v>
      </c>
      <c r="Q659" s="18" t="str">
        <f>TEXT(B658,"MMM-YY")</f>
        <v>Oct-24</v>
      </c>
      <c r="R659">
        <f>VLOOKUP(D659, Products!A:D, 4, FALSE)</f>
        <v>1173</v>
      </c>
      <c r="S659">
        <f>(G659-R659)/G659</f>
        <v>0.52701612903225803</v>
      </c>
      <c r="T659" s="10">
        <v>9.3000000000000007</v>
      </c>
    </row>
    <row r="660" spans="1:20" ht="14.25" hidden="1" customHeight="1" x14ac:dyDescent="0.3">
      <c r="A660" s="8" t="s">
        <v>1716</v>
      </c>
      <c r="B660" s="9">
        <v>45443</v>
      </c>
      <c r="C660" s="8" t="s">
        <v>786</v>
      </c>
      <c r="D660" s="8" t="s">
        <v>224</v>
      </c>
      <c r="E660" s="8" t="s">
        <v>167</v>
      </c>
      <c r="F660" s="10">
        <v>10</v>
      </c>
      <c r="G660" s="10">
        <v>1080</v>
      </c>
      <c r="H660" s="10">
        <v>14.5</v>
      </c>
      <c r="I660" s="10">
        <v>9234</v>
      </c>
      <c r="J660" s="8" t="s">
        <v>41</v>
      </c>
      <c r="K660" s="8" t="s">
        <v>146</v>
      </c>
      <c r="L660" s="18" t="str">
        <f>VLOOKUP(D660,Products!$A:$C,3,FALSE)</f>
        <v>Home</v>
      </c>
      <c r="N660" s="18" t="str">
        <f>VLOOKUP(C660,Customers!$A:$E,5,FALSE)</f>
        <v>Corporate</v>
      </c>
      <c r="O660" s="18">
        <f>VLOOKUP(C660,Customers!$A:$C,3,FALSE)</f>
        <v>46</v>
      </c>
      <c r="T660" s="10">
        <v>17.2</v>
      </c>
    </row>
    <row r="661" spans="1:20" ht="14.25" customHeight="1" x14ac:dyDescent="0.3">
      <c r="A661" s="8" t="s">
        <v>1717</v>
      </c>
      <c r="B661" s="21">
        <v>45377</v>
      </c>
      <c r="C661" s="8" t="s">
        <v>549</v>
      </c>
      <c r="D661" s="8" t="s">
        <v>184</v>
      </c>
      <c r="E661" s="8" t="s">
        <v>236</v>
      </c>
      <c r="F661" s="10">
        <v>7</v>
      </c>
      <c r="G661" s="10">
        <v>2600</v>
      </c>
      <c r="H661" s="10">
        <v>21</v>
      </c>
      <c r="I661" s="10">
        <v>14378</v>
      </c>
      <c r="J661" s="8" t="s">
        <v>41</v>
      </c>
      <c r="K661" s="8" t="s">
        <v>119</v>
      </c>
      <c r="L661" s="18" t="str">
        <f>VLOOKUP(D661,Products!$A:$C,3,FALSE)</f>
        <v>Electronics</v>
      </c>
      <c r="N661" s="18" t="str">
        <f>VLOOKUP(C661,Customers!$A:$E,5,FALSE)</f>
        <v>Retail</v>
      </c>
      <c r="O661" s="18">
        <f>VLOOKUP(C661,Customers!$A:$C,3,FALSE)</f>
        <v>40</v>
      </c>
      <c r="P661" s="18" t="str">
        <f>VLOOKUP(E660,Sales_Reps!$A:$C,3,FALSE)</f>
        <v>East</v>
      </c>
      <c r="Q661" s="18" t="str">
        <f t="shared" ref="Q661:Q662" si="136">TEXT(B660,"MMM-YY")</f>
        <v>May-24</v>
      </c>
      <c r="R661">
        <f>VLOOKUP(D661, Products!A:D, 4, FALSE)</f>
        <v>1052</v>
      </c>
      <c r="S661">
        <f t="shared" ref="S661:S662" si="137">(G661-R661)/G661</f>
        <v>0.5953846153846154</v>
      </c>
      <c r="T661" s="10">
        <v>27</v>
      </c>
    </row>
    <row r="662" spans="1:20" ht="14.25" customHeight="1" x14ac:dyDescent="0.3">
      <c r="A662" s="8" t="s">
        <v>1718</v>
      </c>
      <c r="B662" s="21">
        <v>45622</v>
      </c>
      <c r="C662" s="8" t="s">
        <v>133</v>
      </c>
      <c r="D662" s="8" t="s">
        <v>184</v>
      </c>
      <c r="E662" s="8" t="s">
        <v>301</v>
      </c>
      <c r="F662" s="10">
        <v>7</v>
      </c>
      <c r="G662" s="10">
        <v>2600</v>
      </c>
      <c r="H662" s="10">
        <v>6.7</v>
      </c>
      <c r="I662" s="10">
        <v>16980.599999999999</v>
      </c>
      <c r="J662" s="8" t="s">
        <v>97</v>
      </c>
      <c r="K662" s="8" t="s">
        <v>98</v>
      </c>
      <c r="L662" s="18" t="str">
        <f>VLOOKUP(D662,Products!$A:$C,3,FALSE)</f>
        <v>Electronics</v>
      </c>
      <c r="N662" s="18" t="str">
        <f>VLOOKUP(C662,Customers!$A:$E,5,FALSE)</f>
        <v>Retail</v>
      </c>
      <c r="O662" s="18">
        <f>VLOOKUP(C662,Customers!$A:$C,3,FALSE)</f>
        <v>36</v>
      </c>
      <c r="P662" s="18" t="str">
        <f>VLOOKUP(E661,Sales_Reps!$A:$C,3,FALSE)</f>
        <v>West</v>
      </c>
      <c r="Q662" s="18" t="str">
        <f t="shared" si="136"/>
        <v>Mar-24</v>
      </c>
      <c r="R662">
        <f>VLOOKUP(D662, Products!A:D, 4, FALSE)</f>
        <v>1052</v>
      </c>
      <c r="S662">
        <f t="shared" si="137"/>
        <v>0.5953846153846154</v>
      </c>
      <c r="T662" s="10">
        <v>12.3</v>
      </c>
    </row>
    <row r="663" spans="1:20" ht="14.25" hidden="1" customHeight="1" x14ac:dyDescent="0.3">
      <c r="A663" s="8" t="s">
        <v>1719</v>
      </c>
      <c r="B663" s="9">
        <v>45403</v>
      </c>
      <c r="C663" s="8" t="s">
        <v>519</v>
      </c>
      <c r="D663" s="8" t="s">
        <v>95</v>
      </c>
      <c r="E663" s="8" t="s">
        <v>208</v>
      </c>
      <c r="F663" s="10">
        <v>8</v>
      </c>
      <c r="G663" s="10">
        <v>820</v>
      </c>
      <c r="H663" s="10">
        <v>17.8</v>
      </c>
      <c r="I663" s="10">
        <v>5392.32</v>
      </c>
      <c r="J663" s="8" t="s">
        <v>97</v>
      </c>
      <c r="K663" s="8" t="s">
        <v>119</v>
      </c>
      <c r="L663" s="18" t="str">
        <f>VLOOKUP(D663,Products!$A:$C,3,FALSE)</f>
        <v>Apparel</v>
      </c>
      <c r="N663" s="18" t="str">
        <f>VLOOKUP(C663,Customers!$A:$E,5,FALSE)</f>
        <v>SMB</v>
      </c>
      <c r="O663" s="18">
        <f>VLOOKUP(C663,Customers!$A:$C,3,FALSE)</f>
        <v>50</v>
      </c>
      <c r="T663" s="10">
        <v>25.2</v>
      </c>
    </row>
    <row r="664" spans="1:20" ht="14.25" hidden="1" customHeight="1" x14ac:dyDescent="0.3">
      <c r="A664" s="8" t="s">
        <v>1720</v>
      </c>
      <c r="B664" s="9">
        <v>45532</v>
      </c>
      <c r="C664" s="8" t="s">
        <v>363</v>
      </c>
      <c r="D664" s="8" t="s">
        <v>152</v>
      </c>
      <c r="E664" s="8" t="s">
        <v>214</v>
      </c>
      <c r="F664" s="10">
        <v>3</v>
      </c>
      <c r="G664" s="10">
        <v>960</v>
      </c>
      <c r="H664" s="10">
        <v>17.8</v>
      </c>
      <c r="I664" s="10">
        <v>2367.36</v>
      </c>
      <c r="J664" s="8" t="s">
        <v>41</v>
      </c>
      <c r="K664" s="8" t="s">
        <v>42</v>
      </c>
      <c r="L664" s="18" t="str">
        <f>VLOOKUP(D664,Products!$A:$C,3,FALSE)</f>
        <v>Sports</v>
      </c>
      <c r="N664" s="18" t="str">
        <f>VLOOKUP(C664,Customers!$A:$E,5,FALSE)</f>
        <v>Retail</v>
      </c>
      <c r="O664" s="18">
        <f>VLOOKUP(C664,Customers!$A:$C,3,FALSE)</f>
        <v>49</v>
      </c>
      <c r="T664" s="10">
        <v>8</v>
      </c>
    </row>
    <row r="665" spans="1:20" ht="14.25" hidden="1" customHeight="1" x14ac:dyDescent="0.3">
      <c r="A665" s="8" t="s">
        <v>1721</v>
      </c>
      <c r="B665" s="9">
        <v>45301</v>
      </c>
      <c r="C665" s="8" t="s">
        <v>633</v>
      </c>
      <c r="D665" s="8" t="s">
        <v>789</v>
      </c>
      <c r="E665" s="8" t="s">
        <v>208</v>
      </c>
      <c r="F665" s="10">
        <v>2</v>
      </c>
      <c r="G665" s="10">
        <v>1540</v>
      </c>
      <c r="H665" s="10">
        <v>1.8</v>
      </c>
      <c r="I665" s="10">
        <v>3024.56</v>
      </c>
      <c r="J665" s="8" t="s">
        <v>147</v>
      </c>
      <c r="K665" s="8" t="s">
        <v>119</v>
      </c>
      <c r="L665" s="18" t="str">
        <f>VLOOKUP(D665,Products!$A:$C,3,FALSE)</f>
        <v>Beauty</v>
      </c>
      <c r="N665" s="18" t="str">
        <f>VLOOKUP(C665,Customers!$A:$E,5,FALSE)</f>
        <v>Corporate</v>
      </c>
      <c r="O665" s="18">
        <f>VLOOKUP(C665,Customers!$A:$C,3,FALSE)</f>
        <v>55</v>
      </c>
      <c r="T665" s="10">
        <v>11.9</v>
      </c>
    </row>
    <row r="666" spans="1:20" ht="14.25" hidden="1" customHeight="1" x14ac:dyDescent="0.3">
      <c r="A666" s="8" t="s">
        <v>1722</v>
      </c>
      <c r="B666" s="9">
        <v>45622</v>
      </c>
      <c r="C666" s="8" t="s">
        <v>733</v>
      </c>
      <c r="D666" s="8" t="s">
        <v>959</v>
      </c>
      <c r="E666" s="8" t="s">
        <v>143</v>
      </c>
      <c r="F666" s="10">
        <v>5</v>
      </c>
      <c r="G666" s="10">
        <v>6940</v>
      </c>
      <c r="H666" s="10">
        <v>2.9</v>
      </c>
      <c r="I666" s="10">
        <v>33693.699999999997</v>
      </c>
      <c r="J666" s="8" t="s">
        <v>41</v>
      </c>
      <c r="K666" s="8" t="s">
        <v>136</v>
      </c>
      <c r="L666" s="18" t="str">
        <f>VLOOKUP(D666,Products!$A:$C,3,FALSE)</f>
        <v>Sports</v>
      </c>
      <c r="N666" s="18" t="str">
        <f>VLOOKUP(C666,Customers!$A:$E,5,FALSE)</f>
        <v>SMB</v>
      </c>
      <c r="O666" s="18">
        <f>VLOOKUP(C666,Customers!$A:$C,3,FALSE)</f>
        <v>44</v>
      </c>
      <c r="T666" s="10">
        <v>1.8</v>
      </c>
    </row>
    <row r="667" spans="1:20" ht="14.25" hidden="1" customHeight="1" x14ac:dyDescent="0.3">
      <c r="A667" s="8" t="s">
        <v>1723</v>
      </c>
      <c r="B667" s="9">
        <v>45531</v>
      </c>
      <c r="C667" s="8" t="s">
        <v>840</v>
      </c>
      <c r="D667" s="8" t="s">
        <v>789</v>
      </c>
      <c r="E667" s="8" t="s">
        <v>745</v>
      </c>
      <c r="F667" s="10">
        <v>5</v>
      </c>
      <c r="G667" s="10">
        <v>1540</v>
      </c>
      <c r="H667" s="10">
        <v>28.8</v>
      </c>
      <c r="I667" s="10">
        <v>5482.4</v>
      </c>
      <c r="J667" s="8" t="s">
        <v>41</v>
      </c>
      <c r="K667" s="8" t="s">
        <v>98</v>
      </c>
      <c r="L667" s="18" t="str">
        <f>VLOOKUP(D667,Products!$A:$C,3,FALSE)</f>
        <v>Beauty</v>
      </c>
      <c r="N667" s="18" t="str">
        <f>VLOOKUP(C667,Customers!$A:$E,5,FALSE)</f>
        <v>SMB</v>
      </c>
      <c r="O667" s="18">
        <f>VLOOKUP(C667,Customers!$A:$C,3,FALSE)</f>
        <v>53</v>
      </c>
      <c r="T667" s="10">
        <v>21.7</v>
      </c>
    </row>
    <row r="668" spans="1:20" ht="14.25" hidden="1" customHeight="1" x14ac:dyDescent="0.3">
      <c r="A668" s="8" t="s">
        <v>1724</v>
      </c>
      <c r="B668" s="9">
        <v>45326</v>
      </c>
      <c r="C668" s="8" t="s">
        <v>139</v>
      </c>
      <c r="D668" s="8" t="s">
        <v>569</v>
      </c>
      <c r="E668" s="8" t="s">
        <v>189</v>
      </c>
      <c r="F668" s="10">
        <v>8</v>
      </c>
      <c r="G668" s="10">
        <v>3730</v>
      </c>
      <c r="H668" s="10">
        <v>21.1</v>
      </c>
      <c r="I668" s="10">
        <v>23543.759999999998</v>
      </c>
      <c r="J668" s="8" t="s">
        <v>41</v>
      </c>
      <c r="K668" s="8" t="s">
        <v>119</v>
      </c>
      <c r="L668" s="18" t="str">
        <f>VLOOKUP(D668,Products!$A:$C,3,FALSE)</f>
        <v>Home</v>
      </c>
      <c r="N668" s="18" t="str">
        <f>VLOOKUP(C668,Customers!$A:$E,5,FALSE)</f>
        <v>Retail</v>
      </c>
      <c r="O668" s="18">
        <f>VLOOKUP(C668,Customers!$A:$C,3,FALSE)</f>
        <v>53</v>
      </c>
      <c r="T668" s="10">
        <v>6.8</v>
      </c>
    </row>
    <row r="669" spans="1:20" ht="14.25" customHeight="1" x14ac:dyDescent="0.3">
      <c r="A669" s="8" t="s">
        <v>1725</v>
      </c>
      <c r="B669" s="21">
        <v>45635</v>
      </c>
      <c r="C669" s="8" t="s">
        <v>647</v>
      </c>
      <c r="D669" s="8" t="s">
        <v>374</v>
      </c>
      <c r="E669" s="8" t="s">
        <v>208</v>
      </c>
      <c r="F669" s="10">
        <v>7</v>
      </c>
      <c r="G669" s="10">
        <v>2760</v>
      </c>
      <c r="H669" s="10">
        <v>1.2</v>
      </c>
      <c r="I669" s="10">
        <v>19088.16</v>
      </c>
      <c r="J669" s="8" t="s">
        <v>147</v>
      </c>
      <c r="K669" s="8" t="s">
        <v>136</v>
      </c>
      <c r="L669" s="18" t="str">
        <f>VLOOKUP(D669,Products!$A:$C,3,FALSE)</f>
        <v>Grocery</v>
      </c>
      <c r="N669" s="18" t="str">
        <f>VLOOKUP(C669,Customers!$A:$E,5,FALSE)</f>
        <v>Retail</v>
      </c>
      <c r="O669" s="18">
        <f>VLOOKUP(C669,Customers!$A:$C,3,FALSE)</f>
        <v>34</v>
      </c>
      <c r="P669" s="18" t="str">
        <f>VLOOKUP(E668,Sales_Reps!$A:$C,3,FALSE)</f>
        <v>South</v>
      </c>
      <c r="Q669" s="18" t="str">
        <f>TEXT(B668,"MMM-YY")</f>
        <v>Feb-24</v>
      </c>
      <c r="R669">
        <f>VLOOKUP(D669, Products!A:D, 4, FALSE)</f>
        <v>1435</v>
      </c>
      <c r="S669">
        <f>(G669-R669)/G669</f>
        <v>0.48007246376811596</v>
      </c>
      <c r="T669" s="10">
        <v>14.3</v>
      </c>
    </row>
    <row r="670" spans="1:20" ht="14.25" hidden="1" customHeight="1" x14ac:dyDescent="0.3">
      <c r="A670" s="8" t="s">
        <v>1726</v>
      </c>
      <c r="B670" s="9">
        <v>45431</v>
      </c>
      <c r="C670" s="8" t="s">
        <v>783</v>
      </c>
      <c r="D670" s="8" t="s">
        <v>120</v>
      </c>
      <c r="E670" s="8" t="s">
        <v>321</v>
      </c>
      <c r="F670" s="10">
        <v>3</v>
      </c>
      <c r="G670" s="10">
        <v>3970</v>
      </c>
      <c r="H670" s="10">
        <v>18.3</v>
      </c>
      <c r="I670" s="10">
        <v>9730.4699999999993</v>
      </c>
      <c r="J670" s="8" t="s">
        <v>41</v>
      </c>
      <c r="K670" s="8" t="s">
        <v>98</v>
      </c>
      <c r="L670" s="18" t="str">
        <f>VLOOKUP(D670,Products!$A:$C,3,FALSE)</f>
        <v>Electronics</v>
      </c>
      <c r="N670" s="18" t="str">
        <f>VLOOKUP(C670,Customers!$A:$E,5,FALSE)</f>
        <v>Corporate</v>
      </c>
      <c r="O670" s="18">
        <f>VLOOKUP(C670,Customers!$A:$C,3,FALSE)</f>
        <v>51</v>
      </c>
      <c r="T670" s="10">
        <v>3.3</v>
      </c>
    </row>
    <row r="671" spans="1:20" ht="14.25" customHeight="1" x14ac:dyDescent="0.3">
      <c r="A671" s="8" t="s">
        <v>1727</v>
      </c>
      <c r="B671" s="21">
        <v>45393</v>
      </c>
      <c r="C671" s="8" t="s">
        <v>456</v>
      </c>
      <c r="D671" s="8" t="s">
        <v>624</v>
      </c>
      <c r="E671" s="8" t="s">
        <v>208</v>
      </c>
      <c r="F671" s="10">
        <v>4</v>
      </c>
      <c r="G671" s="10">
        <v>3780</v>
      </c>
      <c r="H671" s="10">
        <v>24.6</v>
      </c>
      <c r="I671" s="10">
        <v>11400.48</v>
      </c>
      <c r="J671" s="8" t="s">
        <v>41</v>
      </c>
      <c r="K671" s="8" t="s">
        <v>136</v>
      </c>
      <c r="L671" s="18" t="str">
        <f>VLOOKUP(D671,Products!$A:$C,3,FALSE)</f>
        <v>Grocery</v>
      </c>
      <c r="N671" s="18" t="str">
        <f>VLOOKUP(C671,Customers!$A:$E,5,FALSE)</f>
        <v>SMB</v>
      </c>
      <c r="O671" s="18">
        <f>VLOOKUP(C671,Customers!$A:$C,3,FALSE)</f>
        <v>28</v>
      </c>
      <c r="P671" s="18" t="str">
        <f>VLOOKUP(E670,Sales_Reps!$A:$C,3,FALSE)</f>
        <v>East</v>
      </c>
      <c r="Q671" s="18" t="str">
        <f>TEXT(B670,"MMM-YY")</f>
        <v>May-24</v>
      </c>
      <c r="R671">
        <f>VLOOKUP(D671, Products!A:D, 4, FALSE)</f>
        <v>2436</v>
      </c>
      <c r="S671">
        <f>(G671-R671)/G671</f>
        <v>0.35555555555555557</v>
      </c>
      <c r="T671" s="10">
        <v>0.1</v>
      </c>
    </row>
    <row r="672" spans="1:20" ht="14.25" hidden="1" customHeight="1" x14ac:dyDescent="0.3">
      <c r="A672" s="8" t="s">
        <v>1728</v>
      </c>
      <c r="B672" s="9">
        <v>45295</v>
      </c>
      <c r="C672" s="8" t="s">
        <v>340</v>
      </c>
      <c r="D672" s="8" t="s">
        <v>239</v>
      </c>
      <c r="E672" s="8" t="s">
        <v>135</v>
      </c>
      <c r="F672" s="10">
        <v>10</v>
      </c>
      <c r="G672" s="10">
        <v>2720</v>
      </c>
      <c r="H672" s="10">
        <v>12.8</v>
      </c>
      <c r="I672" s="10">
        <v>23718.400000000001</v>
      </c>
      <c r="J672" s="8" t="s">
        <v>41</v>
      </c>
      <c r="K672" s="8" t="s">
        <v>136</v>
      </c>
      <c r="L672" s="18" t="str">
        <f>VLOOKUP(D672,Products!$A:$C,3,FALSE)</f>
        <v>Apparel</v>
      </c>
      <c r="N672" s="18" t="str">
        <f>VLOOKUP(C672,Customers!$A:$E,5,FALSE)</f>
        <v>Retail</v>
      </c>
      <c r="O672" s="18">
        <f>VLOOKUP(C672,Customers!$A:$C,3,FALSE)</f>
        <v>52</v>
      </c>
      <c r="T672" s="10">
        <v>5.0999999999999996</v>
      </c>
    </row>
    <row r="673" spans="1:20" ht="14.25" hidden="1" customHeight="1" x14ac:dyDescent="0.3">
      <c r="A673" s="8" t="s">
        <v>1729</v>
      </c>
      <c r="B673" s="9">
        <v>45371</v>
      </c>
      <c r="C673" s="8" t="s">
        <v>698</v>
      </c>
      <c r="D673" s="8" t="s">
        <v>120</v>
      </c>
      <c r="E673" s="8" t="s">
        <v>121</v>
      </c>
      <c r="F673" s="10">
        <v>5</v>
      </c>
      <c r="G673" s="10">
        <v>3970</v>
      </c>
      <c r="H673" s="10">
        <v>5.9</v>
      </c>
      <c r="I673" s="10">
        <v>18678.849999999999</v>
      </c>
      <c r="J673" s="8" t="s">
        <v>41</v>
      </c>
      <c r="K673" s="8" t="s">
        <v>146</v>
      </c>
      <c r="L673" s="18" t="str">
        <f>VLOOKUP(D673,Products!$A:$C,3,FALSE)</f>
        <v>Electronics</v>
      </c>
      <c r="N673" s="18" t="str">
        <f>VLOOKUP(C673,Customers!$A:$E,5,FALSE)</f>
        <v>Retail</v>
      </c>
      <c r="O673" s="18">
        <f>VLOOKUP(C673,Customers!$A:$C,3,FALSE)</f>
        <v>49</v>
      </c>
      <c r="T673" s="10">
        <v>5.9</v>
      </c>
    </row>
    <row r="674" spans="1:20" ht="14.25" customHeight="1" x14ac:dyDescent="0.3">
      <c r="A674" s="8" t="s">
        <v>1730</v>
      </c>
      <c r="B674" s="21">
        <v>45601</v>
      </c>
      <c r="C674" s="8" t="s">
        <v>191</v>
      </c>
      <c r="D674" s="8" t="s">
        <v>95</v>
      </c>
      <c r="E674" s="8" t="s">
        <v>865</v>
      </c>
      <c r="F674" s="10">
        <v>3</v>
      </c>
      <c r="G674" s="10">
        <v>820</v>
      </c>
      <c r="H674" s="10">
        <v>19.399999999999999</v>
      </c>
      <c r="I674" s="10">
        <v>1982.76</v>
      </c>
      <c r="J674" s="8" t="s">
        <v>41</v>
      </c>
      <c r="K674" s="8" t="s">
        <v>42</v>
      </c>
      <c r="L674" s="18" t="str">
        <f>VLOOKUP(D674,Products!$A:$C,3,FALSE)</f>
        <v>Apparel</v>
      </c>
      <c r="N674" s="18" t="str">
        <f>VLOOKUP(C674,Customers!$A:$E,5,FALSE)</f>
        <v>SMB</v>
      </c>
      <c r="O674" s="18">
        <f>VLOOKUP(C674,Customers!$A:$C,3,FALSE)</f>
        <v>39</v>
      </c>
      <c r="P674" s="18" t="str">
        <f>VLOOKUP(E673,Sales_Reps!$A:$C,3,FALSE)</f>
        <v>East</v>
      </c>
      <c r="Q674" s="18" t="str">
        <f t="shared" ref="Q674:Q676" si="138">TEXT(B673,"MMM-YY")</f>
        <v>Mar-24</v>
      </c>
      <c r="R674">
        <f>VLOOKUP(D674, Products!A:D, 4, FALSE)</f>
        <v>391</v>
      </c>
      <c r="S674">
        <f t="shared" ref="S674:S676" si="139">(G674-R674)/G674</f>
        <v>0.52317073170731709</v>
      </c>
      <c r="T674" s="10">
        <v>21.5</v>
      </c>
    </row>
    <row r="675" spans="1:20" ht="14.25" customHeight="1" x14ac:dyDescent="0.3">
      <c r="A675" s="8" t="s">
        <v>1731</v>
      </c>
      <c r="B675" s="21">
        <v>45471</v>
      </c>
      <c r="C675" s="8" t="s">
        <v>369</v>
      </c>
      <c r="D675" s="8" t="s">
        <v>896</v>
      </c>
      <c r="E675" s="8" t="s">
        <v>177</v>
      </c>
      <c r="F675" s="10">
        <v>7</v>
      </c>
      <c r="G675" s="10">
        <v>620</v>
      </c>
      <c r="H675" s="10">
        <v>9.9</v>
      </c>
      <c r="I675" s="10">
        <v>3910.34</v>
      </c>
      <c r="J675" s="8" t="s">
        <v>41</v>
      </c>
      <c r="K675" s="8" t="s">
        <v>146</v>
      </c>
      <c r="L675" s="18" t="str">
        <f>VLOOKUP(D675,Products!$A:$C,3,FALSE)</f>
        <v>Apparel</v>
      </c>
      <c r="N675" s="18" t="str">
        <f>VLOOKUP(C675,Customers!$A:$E,5,FALSE)</f>
        <v>Retail</v>
      </c>
      <c r="O675" s="18">
        <f>VLOOKUP(C675,Customers!$A:$C,3,FALSE)</f>
        <v>37</v>
      </c>
      <c r="P675" s="18" t="str">
        <f>VLOOKUP(E674,Sales_Reps!$A:$C,3,FALSE)</f>
        <v>South</v>
      </c>
      <c r="Q675" s="18" t="str">
        <f t="shared" si="138"/>
        <v>Nov-24</v>
      </c>
      <c r="R675">
        <f>VLOOKUP(D675, Products!A:D, 4, FALSE)</f>
        <v>396</v>
      </c>
      <c r="S675">
        <f t="shared" si="139"/>
        <v>0.36129032258064514</v>
      </c>
      <c r="T675" s="10">
        <v>11.4</v>
      </c>
    </row>
    <row r="676" spans="1:20" ht="14.25" customHeight="1" x14ac:dyDescent="0.3">
      <c r="A676" s="8" t="s">
        <v>1732</v>
      </c>
      <c r="B676" s="21">
        <v>45318</v>
      </c>
      <c r="C676" s="8" t="s">
        <v>614</v>
      </c>
      <c r="D676" s="8" t="s">
        <v>939</v>
      </c>
      <c r="E676" s="8" t="s">
        <v>619</v>
      </c>
      <c r="F676" s="10">
        <v>8</v>
      </c>
      <c r="G676" s="10">
        <v>2290</v>
      </c>
      <c r="H676" s="10">
        <v>18.3</v>
      </c>
      <c r="I676" s="10">
        <v>14967.44</v>
      </c>
      <c r="J676" s="8" t="s">
        <v>41</v>
      </c>
      <c r="K676" s="8" t="s">
        <v>178</v>
      </c>
      <c r="L676" s="18" t="str">
        <f>VLOOKUP(D676,Products!$A:$C,3,FALSE)</f>
        <v>Beauty</v>
      </c>
      <c r="N676" s="18" t="str">
        <f>VLOOKUP(C676,Customers!$A:$E,5,FALSE)</f>
        <v>Retail</v>
      </c>
      <c r="O676" s="18">
        <f>VLOOKUP(C676,Customers!$A:$C,3,FALSE)</f>
        <v>31</v>
      </c>
      <c r="P676" s="18" t="str">
        <f>VLOOKUP(E675,Sales_Reps!$A:$C,3,FALSE)</f>
        <v>South</v>
      </c>
      <c r="Q676" s="18" t="str">
        <f t="shared" si="138"/>
        <v>Jun-24</v>
      </c>
      <c r="R676">
        <f>VLOOKUP(D676, Products!A:D, 4, FALSE)</f>
        <v>1219</v>
      </c>
      <c r="S676">
        <f t="shared" si="139"/>
        <v>0.46768558951965067</v>
      </c>
      <c r="T676" s="10">
        <v>22.9</v>
      </c>
    </row>
    <row r="677" spans="1:20" ht="14.25" hidden="1" customHeight="1" x14ac:dyDescent="0.3">
      <c r="A677" s="8" t="s">
        <v>1733</v>
      </c>
      <c r="B677" s="9">
        <v>45364</v>
      </c>
      <c r="C677" s="8" t="s">
        <v>814</v>
      </c>
      <c r="D677" s="8" t="s">
        <v>171</v>
      </c>
      <c r="E677" s="8" t="s">
        <v>145</v>
      </c>
      <c r="F677" s="10">
        <v>3</v>
      </c>
      <c r="G677" s="10">
        <v>970</v>
      </c>
      <c r="H677" s="10">
        <v>18.399999999999999</v>
      </c>
      <c r="I677" s="10">
        <v>2374.56</v>
      </c>
      <c r="J677" s="8" t="s">
        <v>41</v>
      </c>
      <c r="K677" s="8" t="s">
        <v>136</v>
      </c>
      <c r="L677" s="18" t="str">
        <f>VLOOKUP(D677,Products!$A:$C,3,FALSE)</f>
        <v>Grocery</v>
      </c>
      <c r="N677" s="18" t="str">
        <f>VLOOKUP(C677,Customers!$A:$E,5,FALSE)</f>
        <v>Corporate</v>
      </c>
      <c r="O677" s="18">
        <f>VLOOKUP(C677,Customers!$A:$C,3,FALSE)</f>
        <v>41</v>
      </c>
      <c r="T677" s="10">
        <v>1.9</v>
      </c>
    </row>
    <row r="678" spans="1:20" ht="14.25" hidden="1" customHeight="1" x14ac:dyDescent="0.3">
      <c r="A678" s="8" t="s">
        <v>1734</v>
      </c>
      <c r="B678" s="9">
        <v>45419</v>
      </c>
      <c r="C678" s="8" t="s">
        <v>332</v>
      </c>
      <c r="D678" s="8" t="s">
        <v>144</v>
      </c>
      <c r="E678" s="8" t="s">
        <v>117</v>
      </c>
      <c r="F678" s="10">
        <v>2</v>
      </c>
      <c r="G678" s="10">
        <v>370</v>
      </c>
      <c r="H678" s="10">
        <v>8.9</v>
      </c>
      <c r="I678" s="10">
        <v>674.14</v>
      </c>
      <c r="J678" s="8" t="s">
        <v>41</v>
      </c>
      <c r="K678" s="8" t="s">
        <v>119</v>
      </c>
      <c r="L678" s="18" t="str">
        <f>VLOOKUP(D678,Products!$A:$C,3,FALSE)</f>
        <v>Home</v>
      </c>
      <c r="N678" s="18" t="str">
        <f>VLOOKUP(C678,Customers!$A:$E,5,FALSE)</f>
        <v>Retail</v>
      </c>
      <c r="O678" s="18">
        <f>VLOOKUP(C678,Customers!$A:$C,3,FALSE)</f>
        <v>47</v>
      </c>
      <c r="T678" s="10">
        <v>18</v>
      </c>
    </row>
    <row r="679" spans="1:20" ht="14.25" customHeight="1" x14ac:dyDescent="0.3">
      <c r="A679" s="8" t="s">
        <v>749</v>
      </c>
      <c r="B679" s="21">
        <v>45632</v>
      </c>
      <c r="C679" s="8" t="s">
        <v>288</v>
      </c>
      <c r="D679" s="8" t="s">
        <v>140</v>
      </c>
      <c r="E679" s="8" t="s">
        <v>38</v>
      </c>
      <c r="F679" s="10">
        <v>1</v>
      </c>
      <c r="G679" s="10">
        <v>1430</v>
      </c>
      <c r="H679" s="10">
        <v>5.9</v>
      </c>
      <c r="I679" s="10">
        <v>1345.63</v>
      </c>
      <c r="J679" s="8" t="s">
        <v>147</v>
      </c>
      <c r="K679" s="8" t="s">
        <v>119</v>
      </c>
      <c r="L679" s="18" t="str">
        <f>VLOOKUP(D679,Products!$A:$C,3,FALSE)</f>
        <v>Electronics</v>
      </c>
      <c r="N679" s="18" t="str">
        <f>VLOOKUP(C679,Customers!$A:$E,5,FALSE)</f>
        <v>SMB</v>
      </c>
      <c r="O679" s="18">
        <f>VLOOKUP(C679,Customers!$A:$C,3,FALSE)</f>
        <v>26</v>
      </c>
      <c r="P679" s="18" t="str">
        <f>VLOOKUP(E678,Sales_Reps!$A:$C,3,FALSE)</f>
        <v>South</v>
      </c>
      <c r="Q679" s="18" t="str">
        <f t="shared" ref="Q679:Q680" si="140">TEXT(B678,"MMM-YY")</f>
        <v>May-24</v>
      </c>
      <c r="R679">
        <f>VLOOKUP(D679, Products!A:D, 4, FALSE)</f>
        <v>861</v>
      </c>
      <c r="S679">
        <f t="shared" ref="S679:S680" si="141">(G679-R679)/G679</f>
        <v>0.39790209790209791</v>
      </c>
      <c r="T679" s="10">
        <v>11.5</v>
      </c>
    </row>
    <row r="680" spans="1:20" ht="14.25" customHeight="1" x14ac:dyDescent="0.3">
      <c r="A680" s="8" t="s">
        <v>1735</v>
      </c>
      <c r="B680" s="21">
        <v>45494</v>
      </c>
      <c r="C680" s="8" t="s">
        <v>344</v>
      </c>
      <c r="D680" s="8" t="s">
        <v>205</v>
      </c>
      <c r="E680" s="8" t="s">
        <v>143</v>
      </c>
      <c r="F680" s="10">
        <v>2</v>
      </c>
      <c r="G680" s="10">
        <v>2400</v>
      </c>
      <c r="H680" s="10">
        <v>29.1</v>
      </c>
      <c r="I680" s="10">
        <v>3403.2</v>
      </c>
      <c r="J680" s="8" t="s">
        <v>41</v>
      </c>
      <c r="K680" s="8" t="s">
        <v>136</v>
      </c>
      <c r="L680" s="18" t="str">
        <f>VLOOKUP(D680,Products!$A:$C,3,FALSE)</f>
        <v>Sports</v>
      </c>
      <c r="N680" s="18" t="str">
        <f>VLOOKUP(C680,Customers!$A:$E,5,FALSE)</f>
        <v>Retail</v>
      </c>
      <c r="O680" s="18">
        <f>VLOOKUP(C680,Customers!$A:$C,3,FALSE)</f>
        <v>37</v>
      </c>
      <c r="P680" s="18" t="str">
        <f>VLOOKUP(E679,Sales_Reps!$A:$C,3,FALSE)</f>
        <v>North</v>
      </c>
      <c r="Q680" s="18" t="str">
        <f t="shared" si="140"/>
        <v>Dec-24</v>
      </c>
      <c r="R680">
        <f>VLOOKUP(D680, Products!A:D, 4, FALSE)</f>
        <v>974</v>
      </c>
      <c r="S680">
        <f t="shared" si="141"/>
        <v>0.59416666666666662</v>
      </c>
      <c r="T680" s="10">
        <v>18</v>
      </c>
    </row>
    <row r="681" spans="1:20" ht="14.25" hidden="1" customHeight="1" x14ac:dyDescent="0.3">
      <c r="A681" s="8" t="s">
        <v>1736</v>
      </c>
      <c r="B681" s="9">
        <v>45337</v>
      </c>
      <c r="C681" s="8" t="s">
        <v>780</v>
      </c>
      <c r="D681" s="8" t="s">
        <v>140</v>
      </c>
      <c r="E681" s="8" t="s">
        <v>865</v>
      </c>
      <c r="F681" s="10">
        <v>9</v>
      </c>
      <c r="G681" s="10">
        <v>1430</v>
      </c>
      <c r="H681" s="10">
        <v>6</v>
      </c>
      <c r="I681" s="10">
        <v>12097.8</v>
      </c>
      <c r="J681" s="8" t="s">
        <v>41</v>
      </c>
      <c r="K681" s="8" t="s">
        <v>119</v>
      </c>
      <c r="L681" s="18" t="str">
        <f>VLOOKUP(D681,Products!$A:$C,3,FALSE)</f>
        <v>Electronics</v>
      </c>
      <c r="N681" s="18" t="str">
        <f>VLOOKUP(C681,Customers!$A:$E,5,FALSE)</f>
        <v>SMB</v>
      </c>
      <c r="O681" s="18">
        <f>VLOOKUP(C681,Customers!$A:$C,3,FALSE)</f>
        <v>53</v>
      </c>
      <c r="T681" s="10">
        <v>7.1</v>
      </c>
    </row>
    <row r="682" spans="1:20" ht="14.25" hidden="1" customHeight="1" x14ac:dyDescent="0.3">
      <c r="A682" s="8" t="s">
        <v>1737</v>
      </c>
      <c r="B682" s="9">
        <v>45510</v>
      </c>
      <c r="C682" s="8" t="s">
        <v>852</v>
      </c>
      <c r="D682" s="8" t="s">
        <v>239</v>
      </c>
      <c r="E682" s="8" t="s">
        <v>38</v>
      </c>
      <c r="F682" s="10">
        <v>8</v>
      </c>
      <c r="G682" s="10">
        <v>2720</v>
      </c>
      <c r="H682" s="10">
        <v>25.7</v>
      </c>
      <c r="I682" s="10">
        <v>16167.68</v>
      </c>
      <c r="J682" s="8" t="s">
        <v>41</v>
      </c>
      <c r="K682" s="8" t="s">
        <v>119</v>
      </c>
      <c r="L682" s="18" t="str">
        <f>VLOOKUP(D682,Products!$A:$C,3,FALSE)</f>
        <v>Apparel</v>
      </c>
      <c r="N682" s="18" t="str">
        <f>VLOOKUP(C682,Customers!$A:$E,5,FALSE)</f>
        <v>SMB</v>
      </c>
      <c r="O682" s="18">
        <f>VLOOKUP(C682,Customers!$A:$C,3,FALSE)</f>
        <v>48</v>
      </c>
      <c r="T682" s="10">
        <v>22.2</v>
      </c>
    </row>
    <row r="683" spans="1:20" ht="14.25" customHeight="1" x14ac:dyDescent="0.3">
      <c r="A683" s="8" t="s">
        <v>1738</v>
      </c>
      <c r="B683" s="21">
        <v>45572</v>
      </c>
      <c r="C683" s="8" t="s">
        <v>556</v>
      </c>
      <c r="D683" s="8" t="s">
        <v>959</v>
      </c>
      <c r="E683" s="8" t="s">
        <v>619</v>
      </c>
      <c r="F683" s="10">
        <v>6</v>
      </c>
      <c r="G683" s="10">
        <v>6940</v>
      </c>
      <c r="H683" s="10">
        <v>25.7</v>
      </c>
      <c r="I683" s="10">
        <v>30938.52</v>
      </c>
      <c r="J683" s="8" t="s">
        <v>41</v>
      </c>
      <c r="K683" s="8" t="s">
        <v>98</v>
      </c>
      <c r="L683" s="18" t="str">
        <f>VLOOKUP(D683,Products!$A:$C,3,FALSE)</f>
        <v>Sports</v>
      </c>
      <c r="N683" s="18" t="str">
        <f>VLOOKUP(C683,Customers!$A:$E,5,FALSE)</f>
        <v>Retail</v>
      </c>
      <c r="O683" s="18">
        <f>VLOOKUP(C683,Customers!$A:$C,3,FALSE)</f>
        <v>24</v>
      </c>
      <c r="P683" s="18" t="str">
        <f>VLOOKUP(E682,Sales_Reps!$A:$C,3,FALSE)</f>
        <v>North</v>
      </c>
      <c r="Q683" s="18" t="str">
        <f>TEXT(B682,"MMM-YY")</f>
        <v>Aug-24</v>
      </c>
      <c r="R683">
        <f>VLOOKUP(D683, Products!A:D, 4, FALSE)</f>
        <v>2827</v>
      </c>
      <c r="S683">
        <f>(G683-R683)/G683</f>
        <v>0.5926512968299712</v>
      </c>
      <c r="T683" s="10">
        <v>17.899999999999999</v>
      </c>
    </row>
    <row r="684" spans="1:20" ht="14.25" hidden="1" customHeight="1" x14ac:dyDescent="0.3">
      <c r="A684" s="8" t="s">
        <v>1739</v>
      </c>
      <c r="B684" s="9">
        <v>45472</v>
      </c>
      <c r="C684" s="8" t="s">
        <v>254</v>
      </c>
      <c r="D684" s="8" t="s">
        <v>37</v>
      </c>
      <c r="E684" s="8" t="s">
        <v>38</v>
      </c>
      <c r="F684" s="10">
        <v>3</v>
      </c>
      <c r="G684" s="10">
        <v>3620</v>
      </c>
      <c r="H684" s="10">
        <v>29.7</v>
      </c>
      <c r="I684" s="10">
        <v>7634.58</v>
      </c>
      <c r="J684" s="8" t="s">
        <v>41</v>
      </c>
      <c r="K684" s="8" t="s">
        <v>42</v>
      </c>
      <c r="L684" s="18" t="str">
        <f>VLOOKUP(D684,Products!$A:$C,3,FALSE)</f>
        <v>Apparel</v>
      </c>
      <c r="N684" s="18" t="str">
        <f>VLOOKUP(C684,Customers!$A:$E,5,FALSE)</f>
        <v>Corporate</v>
      </c>
      <c r="O684" s="18">
        <f>VLOOKUP(C684,Customers!$A:$C,3,FALSE)</f>
        <v>42</v>
      </c>
      <c r="T684" s="10">
        <v>1.4</v>
      </c>
    </row>
    <row r="685" spans="1:20" ht="14.25" hidden="1" customHeight="1" x14ac:dyDescent="0.3">
      <c r="A685" s="8" t="s">
        <v>1740</v>
      </c>
      <c r="B685" s="9">
        <v>45615</v>
      </c>
      <c r="C685" s="8" t="s">
        <v>840</v>
      </c>
      <c r="D685" s="8" t="s">
        <v>181</v>
      </c>
      <c r="E685" s="8" t="s">
        <v>145</v>
      </c>
      <c r="F685" s="10">
        <v>8</v>
      </c>
      <c r="G685" s="10">
        <v>2640</v>
      </c>
      <c r="H685" s="10">
        <v>24.4</v>
      </c>
      <c r="I685" s="10">
        <v>15966.72</v>
      </c>
      <c r="J685" s="8" t="s">
        <v>41</v>
      </c>
      <c r="K685" s="8" t="s">
        <v>98</v>
      </c>
      <c r="L685" s="18" t="str">
        <f>VLOOKUP(D685,Products!$A:$C,3,FALSE)</f>
        <v>Electronics</v>
      </c>
      <c r="N685" s="18" t="str">
        <f>VLOOKUP(C685,Customers!$A:$E,5,FALSE)</f>
        <v>SMB</v>
      </c>
      <c r="O685" s="18">
        <f>VLOOKUP(C685,Customers!$A:$C,3,FALSE)</f>
        <v>53</v>
      </c>
      <c r="T685" s="10">
        <v>9.6</v>
      </c>
    </row>
    <row r="686" spans="1:20" ht="14.25" hidden="1" customHeight="1" x14ac:dyDescent="0.3">
      <c r="A686" s="8" t="s">
        <v>1741</v>
      </c>
      <c r="B686" s="9">
        <v>45349</v>
      </c>
      <c r="C686" s="8" t="s">
        <v>826</v>
      </c>
      <c r="D686" s="8" t="s">
        <v>163</v>
      </c>
      <c r="E686" s="8" t="s">
        <v>125</v>
      </c>
      <c r="F686" s="10">
        <v>3</v>
      </c>
      <c r="G686" s="10">
        <v>5490</v>
      </c>
      <c r="H686" s="10">
        <v>13.5</v>
      </c>
      <c r="I686" s="10">
        <v>14246.55</v>
      </c>
      <c r="J686" s="8" t="s">
        <v>41</v>
      </c>
      <c r="K686" s="8" t="s">
        <v>146</v>
      </c>
      <c r="L686" s="18" t="str">
        <f>VLOOKUP(D686,Products!$A:$C,3,FALSE)</f>
        <v>Home</v>
      </c>
      <c r="N686" s="18" t="str">
        <f>VLOOKUP(C686,Customers!$A:$E,5,FALSE)</f>
        <v>Retail</v>
      </c>
      <c r="O686" s="18">
        <f>VLOOKUP(C686,Customers!$A:$C,3,FALSE)</f>
        <v>56</v>
      </c>
      <c r="T686" s="10">
        <v>29.4</v>
      </c>
    </row>
    <row r="687" spans="1:20" ht="14.25" customHeight="1" x14ac:dyDescent="0.3">
      <c r="A687" s="8" t="s">
        <v>1742</v>
      </c>
      <c r="B687" s="21">
        <v>45413</v>
      </c>
      <c r="C687" s="8" t="s">
        <v>191</v>
      </c>
      <c r="D687" s="8" t="s">
        <v>926</v>
      </c>
      <c r="E687" s="8" t="s">
        <v>121</v>
      </c>
      <c r="F687" s="10">
        <v>3</v>
      </c>
      <c r="G687" s="10">
        <v>5080</v>
      </c>
      <c r="H687" s="10">
        <v>9.3000000000000007</v>
      </c>
      <c r="I687" s="10">
        <v>13822.68</v>
      </c>
      <c r="J687" s="8" t="s">
        <v>41</v>
      </c>
      <c r="K687" s="8" t="s">
        <v>42</v>
      </c>
      <c r="L687" s="18" t="str">
        <f>VLOOKUP(D687,Products!$A:$C,3,FALSE)</f>
        <v>Home</v>
      </c>
      <c r="N687" s="18" t="str">
        <f>VLOOKUP(C687,Customers!$A:$E,5,FALSE)</f>
        <v>SMB</v>
      </c>
      <c r="O687" s="18">
        <f>VLOOKUP(C687,Customers!$A:$C,3,FALSE)</f>
        <v>39</v>
      </c>
      <c r="P687" s="18" t="str">
        <f>VLOOKUP(E686,Sales_Reps!$A:$C,3,FALSE)</f>
        <v>North</v>
      </c>
      <c r="Q687" s="18" t="str">
        <f t="shared" ref="Q687:Q689" si="142">TEXT(B686,"MMM-YY")</f>
        <v>Feb-24</v>
      </c>
      <c r="R687">
        <f>VLOOKUP(D687, Products!A:D, 4, FALSE)</f>
        <v>2459</v>
      </c>
      <c r="S687">
        <f t="shared" ref="S687:S689" si="143">(G687-R687)/G687</f>
        <v>0.51594488188976373</v>
      </c>
      <c r="T687" s="10">
        <v>26.8</v>
      </c>
    </row>
    <row r="688" spans="1:20" ht="14.25" customHeight="1" x14ac:dyDescent="0.3">
      <c r="A688" s="8" t="s">
        <v>1743</v>
      </c>
      <c r="B688" s="21">
        <v>45515</v>
      </c>
      <c r="C688" s="8" t="s">
        <v>456</v>
      </c>
      <c r="D688" s="8" t="s">
        <v>939</v>
      </c>
      <c r="E688" s="8" t="s">
        <v>143</v>
      </c>
      <c r="F688" s="10">
        <v>4</v>
      </c>
      <c r="G688" s="10">
        <v>2290</v>
      </c>
      <c r="H688" s="10">
        <v>24.4</v>
      </c>
      <c r="I688" s="10">
        <v>6924.96</v>
      </c>
      <c r="J688" s="8" t="s">
        <v>41</v>
      </c>
      <c r="K688" s="8" t="s">
        <v>136</v>
      </c>
      <c r="L688" s="18" t="str">
        <f>VLOOKUP(D688,Products!$A:$C,3,FALSE)</f>
        <v>Beauty</v>
      </c>
      <c r="N688" s="18" t="str">
        <f>VLOOKUP(C688,Customers!$A:$E,5,FALSE)</f>
        <v>SMB</v>
      </c>
      <c r="O688" s="18">
        <f>VLOOKUP(C688,Customers!$A:$C,3,FALSE)</f>
        <v>28</v>
      </c>
      <c r="P688" s="18" t="str">
        <f>VLOOKUP(E687,Sales_Reps!$A:$C,3,FALSE)</f>
        <v>East</v>
      </c>
      <c r="Q688" s="18" t="str">
        <f t="shared" si="142"/>
        <v>May-24</v>
      </c>
      <c r="R688">
        <f>VLOOKUP(D688, Products!A:D, 4, FALSE)</f>
        <v>1219</v>
      </c>
      <c r="S688">
        <f t="shared" si="143"/>
        <v>0.46768558951965067</v>
      </c>
      <c r="T688" s="10">
        <v>9.1</v>
      </c>
    </row>
    <row r="689" spans="1:20" ht="14.25" customHeight="1" x14ac:dyDescent="0.3">
      <c r="A689" s="8" t="s">
        <v>1744</v>
      </c>
      <c r="B689" s="21">
        <v>45463</v>
      </c>
      <c r="C689" s="8" t="s">
        <v>487</v>
      </c>
      <c r="D689" s="8" t="s">
        <v>924</v>
      </c>
      <c r="E689" s="8" t="s">
        <v>865</v>
      </c>
      <c r="F689" s="10">
        <v>10</v>
      </c>
      <c r="G689" s="10">
        <v>2030</v>
      </c>
      <c r="H689" s="10">
        <v>13.6</v>
      </c>
      <c r="I689" s="10">
        <v>17539.2</v>
      </c>
      <c r="J689" s="8" t="s">
        <v>97</v>
      </c>
      <c r="K689" s="8" t="s">
        <v>42</v>
      </c>
      <c r="L689" s="18" t="str">
        <f>VLOOKUP(D689,Products!$A:$C,3,FALSE)</f>
        <v>Home</v>
      </c>
      <c r="N689" s="18" t="str">
        <f>VLOOKUP(C689,Customers!$A:$E,5,FALSE)</f>
        <v>Retail</v>
      </c>
      <c r="O689" s="18">
        <f>VLOOKUP(C689,Customers!$A:$C,3,FALSE)</f>
        <v>22</v>
      </c>
      <c r="P689" s="18" t="str">
        <f>VLOOKUP(E688,Sales_Reps!$A:$C,3,FALSE)</f>
        <v>West</v>
      </c>
      <c r="Q689" s="18" t="str">
        <f t="shared" si="142"/>
        <v>Aug-24</v>
      </c>
      <c r="R689">
        <f>VLOOKUP(D689, Products!A:D, 4, FALSE)</f>
        <v>1143</v>
      </c>
      <c r="S689">
        <f t="shared" si="143"/>
        <v>0.43694581280788175</v>
      </c>
      <c r="T689" s="10">
        <v>2.2000000000000002</v>
      </c>
    </row>
    <row r="690" spans="1:20" ht="14.25" hidden="1" customHeight="1" x14ac:dyDescent="0.3">
      <c r="A690" s="8" t="s">
        <v>1745</v>
      </c>
      <c r="B690" s="9">
        <v>45607</v>
      </c>
      <c r="C690" s="8" t="s">
        <v>273</v>
      </c>
      <c r="D690" s="8" t="s">
        <v>140</v>
      </c>
      <c r="E690" s="8" t="s">
        <v>189</v>
      </c>
      <c r="F690" s="10">
        <v>10</v>
      </c>
      <c r="G690" s="10">
        <v>1430</v>
      </c>
      <c r="H690" s="10">
        <v>16.100000000000001</v>
      </c>
      <c r="I690" s="10">
        <v>11997.7</v>
      </c>
      <c r="J690" s="8" t="s">
        <v>147</v>
      </c>
      <c r="K690" s="8" t="s">
        <v>146</v>
      </c>
      <c r="L690" s="18" t="str">
        <f>VLOOKUP(D690,Products!$A:$C,3,FALSE)</f>
        <v>Electronics</v>
      </c>
      <c r="N690" s="18" t="str">
        <f>VLOOKUP(C690,Customers!$A:$E,5,FALSE)</f>
        <v>SMB</v>
      </c>
      <c r="O690" s="18">
        <f>VLOOKUP(C690,Customers!$A:$C,3,FALSE)</f>
        <v>61</v>
      </c>
      <c r="T690" s="10">
        <v>1.7</v>
      </c>
    </row>
    <row r="691" spans="1:20" ht="14.25" hidden="1" customHeight="1" x14ac:dyDescent="0.3">
      <c r="A691" s="8" t="s">
        <v>1746</v>
      </c>
      <c r="B691" s="9">
        <v>45357</v>
      </c>
      <c r="C691" s="8" t="s">
        <v>639</v>
      </c>
      <c r="D691" s="8" t="s">
        <v>624</v>
      </c>
      <c r="E691" s="8" t="s">
        <v>214</v>
      </c>
      <c r="F691" s="10">
        <v>1</v>
      </c>
      <c r="G691" s="10">
        <v>3780</v>
      </c>
      <c r="H691" s="10">
        <v>22.7</v>
      </c>
      <c r="I691" s="10">
        <v>2921.94</v>
      </c>
      <c r="J691" s="8" t="s">
        <v>41</v>
      </c>
      <c r="K691" s="8" t="s">
        <v>146</v>
      </c>
      <c r="L691" s="18" t="str">
        <f>VLOOKUP(D691,Products!$A:$C,3,FALSE)</f>
        <v>Grocery</v>
      </c>
      <c r="N691" s="18" t="str">
        <f>VLOOKUP(C691,Customers!$A:$E,5,FALSE)</f>
        <v>SMB</v>
      </c>
      <c r="O691" s="18">
        <f>VLOOKUP(C691,Customers!$A:$C,3,FALSE)</f>
        <v>54</v>
      </c>
      <c r="T691" s="10">
        <v>16.399999999999999</v>
      </c>
    </row>
    <row r="692" spans="1:20" ht="14.25" hidden="1" customHeight="1" x14ac:dyDescent="0.3">
      <c r="A692" s="8" t="s">
        <v>1747</v>
      </c>
      <c r="B692" s="9">
        <v>45443</v>
      </c>
      <c r="C692" s="8" t="s">
        <v>713</v>
      </c>
      <c r="D692" s="8" t="s">
        <v>134</v>
      </c>
      <c r="E692" s="8" t="s">
        <v>216</v>
      </c>
      <c r="F692" s="10">
        <v>10</v>
      </c>
      <c r="G692" s="10">
        <v>3160</v>
      </c>
      <c r="H692" s="10">
        <v>13.4</v>
      </c>
      <c r="I692" s="10">
        <v>27365.599999999999</v>
      </c>
      <c r="J692" s="8" t="s">
        <v>41</v>
      </c>
      <c r="K692" s="8" t="s">
        <v>146</v>
      </c>
      <c r="L692" s="18" t="str">
        <f>VLOOKUP(D692,Products!$A:$C,3,FALSE)</f>
        <v>Apparel</v>
      </c>
      <c r="N692" s="18" t="str">
        <f>VLOOKUP(C692,Customers!$A:$E,5,FALSE)</f>
        <v>Retail</v>
      </c>
      <c r="O692" s="18">
        <f>VLOOKUP(C692,Customers!$A:$C,3,FALSE)</f>
        <v>50</v>
      </c>
      <c r="T692" s="10">
        <v>4.3</v>
      </c>
    </row>
    <row r="693" spans="1:20" ht="14.25" hidden="1" customHeight="1" x14ac:dyDescent="0.3">
      <c r="A693" s="8" t="s">
        <v>1748</v>
      </c>
      <c r="B693" s="9">
        <v>45422</v>
      </c>
      <c r="C693" s="8" t="s">
        <v>627</v>
      </c>
      <c r="D693" s="8" t="s">
        <v>140</v>
      </c>
      <c r="E693" s="8" t="s">
        <v>200</v>
      </c>
      <c r="F693" s="10">
        <v>2</v>
      </c>
      <c r="G693" s="10">
        <v>1430</v>
      </c>
      <c r="H693" s="10">
        <v>7.4</v>
      </c>
      <c r="I693" s="10">
        <v>2648.36</v>
      </c>
      <c r="J693" s="8" t="s">
        <v>41</v>
      </c>
      <c r="K693" s="8" t="s">
        <v>42</v>
      </c>
      <c r="L693" s="18" t="str">
        <f>VLOOKUP(D693,Products!$A:$C,3,FALSE)</f>
        <v>Electronics</v>
      </c>
      <c r="N693" s="18" t="str">
        <f>VLOOKUP(C693,Customers!$A:$E,5,FALSE)</f>
        <v>Retail</v>
      </c>
      <c r="O693" s="18">
        <f>VLOOKUP(C693,Customers!$A:$C,3,FALSE)</f>
        <v>65</v>
      </c>
      <c r="T693" s="10">
        <v>5.9</v>
      </c>
    </row>
    <row r="694" spans="1:20" ht="14.25" hidden="1" customHeight="1" x14ac:dyDescent="0.3">
      <c r="A694" s="8" t="s">
        <v>1749</v>
      </c>
      <c r="B694" s="9">
        <v>45640</v>
      </c>
      <c r="C694" s="8" t="s">
        <v>587</v>
      </c>
      <c r="D694" s="8" t="s">
        <v>134</v>
      </c>
      <c r="E694" s="8" t="s">
        <v>125</v>
      </c>
      <c r="F694" s="10">
        <v>5</v>
      </c>
      <c r="G694" s="10">
        <v>3160</v>
      </c>
      <c r="H694" s="10">
        <v>3.6</v>
      </c>
      <c r="I694" s="10">
        <v>15231.2</v>
      </c>
      <c r="J694" s="8" t="s">
        <v>97</v>
      </c>
      <c r="K694" s="8" t="s">
        <v>136</v>
      </c>
      <c r="L694" s="18" t="str">
        <f>VLOOKUP(D694,Products!$A:$C,3,FALSE)</f>
        <v>Apparel</v>
      </c>
      <c r="N694" s="18" t="str">
        <f>VLOOKUP(C694,Customers!$A:$E,5,FALSE)</f>
        <v>SMB</v>
      </c>
      <c r="O694" s="18">
        <f>VLOOKUP(C694,Customers!$A:$C,3,FALSE)</f>
        <v>64</v>
      </c>
      <c r="T694" s="10">
        <v>29.1</v>
      </c>
    </row>
    <row r="695" spans="1:20" ht="14.25" customHeight="1" x14ac:dyDescent="0.3">
      <c r="A695" s="8" t="s">
        <v>1750</v>
      </c>
      <c r="B695" s="21">
        <v>45521</v>
      </c>
      <c r="C695" s="8" t="s">
        <v>591</v>
      </c>
      <c r="D695" s="8" t="s">
        <v>939</v>
      </c>
      <c r="E695" s="8" t="s">
        <v>185</v>
      </c>
      <c r="F695" s="10">
        <v>2</v>
      </c>
      <c r="G695" s="10">
        <v>2290</v>
      </c>
      <c r="H695" s="10">
        <v>28.2</v>
      </c>
      <c r="I695" s="10">
        <v>3288.44</v>
      </c>
      <c r="J695" s="8" t="s">
        <v>41</v>
      </c>
      <c r="K695" s="8" t="s">
        <v>42</v>
      </c>
      <c r="L695" s="18" t="str">
        <f>VLOOKUP(D695,Products!$A:$C,3,FALSE)</f>
        <v>Beauty</v>
      </c>
      <c r="N695" s="18" t="str">
        <f>VLOOKUP(C695,Customers!$A:$E,5,FALSE)</f>
        <v>Retail</v>
      </c>
      <c r="O695" s="18">
        <f>VLOOKUP(C695,Customers!$A:$C,3,FALSE)</f>
        <v>36</v>
      </c>
      <c r="P695" s="18" t="str">
        <f>VLOOKUP(E694,Sales_Reps!$A:$C,3,FALSE)</f>
        <v>North</v>
      </c>
      <c r="Q695" s="18" t="str">
        <f t="shared" ref="Q695:Q696" si="144">TEXT(B694,"MMM-YY")</f>
        <v>Dec-24</v>
      </c>
      <c r="R695">
        <f>VLOOKUP(D695, Products!A:D, 4, FALSE)</f>
        <v>1219</v>
      </c>
      <c r="S695">
        <f t="shared" ref="S695:S696" si="145">(G695-R695)/G695</f>
        <v>0.46768558951965067</v>
      </c>
      <c r="T695" s="10">
        <v>17.899999999999999</v>
      </c>
    </row>
    <row r="696" spans="1:20" ht="14.25" customHeight="1" x14ac:dyDescent="0.3">
      <c r="A696" s="8" t="s">
        <v>1751</v>
      </c>
      <c r="B696" s="21">
        <v>45366</v>
      </c>
      <c r="C696" s="8" t="s">
        <v>251</v>
      </c>
      <c r="D696" s="8" t="s">
        <v>889</v>
      </c>
      <c r="E696" s="8" t="s">
        <v>301</v>
      </c>
      <c r="F696" s="10">
        <v>5</v>
      </c>
      <c r="G696" s="10">
        <v>3450</v>
      </c>
      <c r="H696" s="10">
        <v>18.100000000000001</v>
      </c>
      <c r="I696" s="10">
        <v>14127.75</v>
      </c>
      <c r="J696" s="8" t="s">
        <v>147</v>
      </c>
      <c r="K696" s="8" t="s">
        <v>42</v>
      </c>
      <c r="L696" s="18" t="str">
        <f>VLOOKUP(D696,Products!$A:$C,3,FALSE)</f>
        <v>Apparel</v>
      </c>
      <c r="N696" s="18" t="str">
        <f>VLOOKUP(C696,Customers!$A:$E,5,FALSE)</f>
        <v>Retail</v>
      </c>
      <c r="O696" s="18">
        <f>VLOOKUP(C696,Customers!$A:$C,3,FALSE)</f>
        <v>36</v>
      </c>
      <c r="P696" s="18" t="str">
        <f>VLOOKUP(E695,Sales_Reps!$A:$C,3,FALSE)</f>
        <v>North</v>
      </c>
      <c r="Q696" s="18" t="str">
        <f t="shared" si="144"/>
        <v>Aug-24</v>
      </c>
      <c r="R696">
        <f>VLOOKUP(D696, Products!A:D, 4, FALSE)</f>
        <v>1748</v>
      </c>
      <c r="S696">
        <f t="shared" si="145"/>
        <v>0.49333333333333335</v>
      </c>
      <c r="T696" s="10">
        <v>26.2</v>
      </c>
    </row>
    <row r="697" spans="1:20" ht="14.25" hidden="1" customHeight="1" x14ac:dyDescent="0.3">
      <c r="A697" s="8" t="s">
        <v>1752</v>
      </c>
      <c r="B697" s="9">
        <v>45439</v>
      </c>
      <c r="C697" s="8" t="s">
        <v>410</v>
      </c>
      <c r="D697" s="8" t="s">
        <v>901</v>
      </c>
      <c r="E697" s="8" t="s">
        <v>231</v>
      </c>
      <c r="F697" s="10">
        <v>1</v>
      </c>
      <c r="G697" s="10">
        <v>3560</v>
      </c>
      <c r="H697" s="10">
        <v>18.7</v>
      </c>
      <c r="I697" s="10">
        <v>2894.28</v>
      </c>
      <c r="J697" s="8" t="s">
        <v>41</v>
      </c>
      <c r="K697" s="8" t="s">
        <v>98</v>
      </c>
      <c r="L697" s="18" t="str">
        <f>VLOOKUP(D697,Products!$A:$C,3,FALSE)</f>
        <v>Apparel</v>
      </c>
      <c r="N697" s="18" t="str">
        <f>VLOOKUP(C697,Customers!$A:$E,5,FALSE)</f>
        <v>Retail</v>
      </c>
      <c r="O697" s="18">
        <f>VLOOKUP(C697,Customers!$A:$C,3,FALSE)</f>
        <v>51</v>
      </c>
      <c r="T697" s="10">
        <v>15.4</v>
      </c>
    </row>
    <row r="698" spans="1:20" ht="14.25" hidden="1" customHeight="1" x14ac:dyDescent="0.3">
      <c r="A698" s="8" t="s">
        <v>1753</v>
      </c>
      <c r="B698" s="9">
        <v>45426</v>
      </c>
      <c r="C698" s="8" t="s">
        <v>683</v>
      </c>
      <c r="D698" s="8" t="s">
        <v>205</v>
      </c>
      <c r="E698" s="8" t="s">
        <v>214</v>
      </c>
      <c r="F698" s="10">
        <v>9</v>
      </c>
      <c r="G698" s="10">
        <v>2400</v>
      </c>
      <c r="H698" s="10">
        <v>18.5</v>
      </c>
      <c r="I698" s="10">
        <v>17604</v>
      </c>
      <c r="J698" s="8" t="s">
        <v>41</v>
      </c>
      <c r="K698" s="8" t="s">
        <v>178</v>
      </c>
      <c r="L698" s="18" t="str">
        <f>VLOOKUP(D698,Products!$A:$C,3,FALSE)</f>
        <v>Sports</v>
      </c>
      <c r="N698" s="18" t="str">
        <f>VLOOKUP(C698,Customers!$A:$E,5,FALSE)</f>
        <v>Corporate</v>
      </c>
      <c r="O698" s="18">
        <f>VLOOKUP(C698,Customers!$A:$C,3,FALSE)</f>
        <v>46</v>
      </c>
      <c r="T698" s="10">
        <v>8.1</v>
      </c>
    </row>
    <row r="699" spans="1:20" ht="14.25" hidden="1" customHeight="1" x14ac:dyDescent="0.3">
      <c r="A699" s="8" t="s">
        <v>1754</v>
      </c>
      <c r="B699" s="9">
        <v>45415</v>
      </c>
      <c r="C699" s="8" t="s">
        <v>611</v>
      </c>
      <c r="D699" s="8" t="s">
        <v>188</v>
      </c>
      <c r="E699" s="8" t="s">
        <v>208</v>
      </c>
      <c r="F699" s="10">
        <v>9</v>
      </c>
      <c r="G699" s="10">
        <v>3870</v>
      </c>
      <c r="H699" s="10">
        <v>6.9</v>
      </c>
      <c r="I699" s="10">
        <v>32426.73</v>
      </c>
      <c r="J699" s="8" t="s">
        <v>193</v>
      </c>
      <c r="K699" s="8" t="s">
        <v>98</v>
      </c>
      <c r="L699" s="18" t="str">
        <f>VLOOKUP(D699,Products!$A:$C,3,FALSE)</f>
        <v>Electronics</v>
      </c>
      <c r="N699" s="18" t="str">
        <f>VLOOKUP(C699,Customers!$A:$E,5,FALSE)</f>
        <v>Retail</v>
      </c>
      <c r="O699" s="18">
        <f>VLOOKUP(C699,Customers!$A:$C,3,FALSE)</f>
        <v>60</v>
      </c>
      <c r="T699" s="10">
        <v>21</v>
      </c>
    </row>
    <row r="700" spans="1:20" ht="14.25" hidden="1" customHeight="1" x14ac:dyDescent="0.3">
      <c r="A700" s="8" t="s">
        <v>1755</v>
      </c>
      <c r="B700" s="9">
        <v>45620</v>
      </c>
      <c r="C700" s="8" t="s">
        <v>139</v>
      </c>
      <c r="D700" s="8" t="s">
        <v>124</v>
      </c>
      <c r="E700" s="8" t="s">
        <v>196</v>
      </c>
      <c r="F700" s="10">
        <v>5</v>
      </c>
      <c r="G700" s="10">
        <v>3660</v>
      </c>
      <c r="H700" s="10">
        <v>11.7</v>
      </c>
      <c r="I700" s="10">
        <v>16158.9</v>
      </c>
      <c r="J700" s="8" t="s">
        <v>41</v>
      </c>
      <c r="K700" s="8" t="s">
        <v>119</v>
      </c>
      <c r="L700" s="18" t="str">
        <f>VLOOKUP(D700,Products!$A:$C,3,FALSE)</f>
        <v>Grocery</v>
      </c>
      <c r="N700" s="18" t="str">
        <f>VLOOKUP(C700,Customers!$A:$E,5,FALSE)</f>
        <v>Retail</v>
      </c>
      <c r="O700" s="18">
        <f>VLOOKUP(C700,Customers!$A:$C,3,FALSE)</f>
        <v>53</v>
      </c>
      <c r="T700" s="10">
        <v>21</v>
      </c>
    </row>
    <row r="701" spans="1:20" ht="14.25" customHeight="1" x14ac:dyDescent="0.3">
      <c r="A701" s="8" t="s">
        <v>1756</v>
      </c>
      <c r="B701" s="21">
        <v>45346</v>
      </c>
      <c r="C701" s="8" t="s">
        <v>563</v>
      </c>
      <c r="D701" s="8" t="s">
        <v>224</v>
      </c>
      <c r="E701" s="8" t="s">
        <v>143</v>
      </c>
      <c r="F701" s="10">
        <v>4</v>
      </c>
      <c r="G701" s="10">
        <v>1080</v>
      </c>
      <c r="H701" s="10">
        <v>17.5</v>
      </c>
      <c r="I701" s="10">
        <v>3564</v>
      </c>
      <c r="J701" s="8" t="s">
        <v>41</v>
      </c>
      <c r="K701" s="8" t="s">
        <v>98</v>
      </c>
      <c r="L701" s="18" t="str">
        <f>VLOOKUP(D701,Products!$A:$C,3,FALSE)</f>
        <v>Home</v>
      </c>
      <c r="N701" s="18" t="str">
        <f>VLOOKUP(C701,Customers!$A:$E,5,FALSE)</f>
        <v>Corporate</v>
      </c>
      <c r="O701" s="18">
        <f>VLOOKUP(C701,Customers!$A:$C,3,FALSE)</f>
        <v>24</v>
      </c>
      <c r="P701" s="18" t="str">
        <f>VLOOKUP(E700,Sales_Reps!$A:$C,3,FALSE)</f>
        <v>East</v>
      </c>
      <c r="Q701" s="18" t="str">
        <f>TEXT(B700,"MMM-YY")</f>
        <v>Nov-24</v>
      </c>
      <c r="R701">
        <f>VLOOKUP(D701, Products!A:D, 4, FALSE)</f>
        <v>519</v>
      </c>
      <c r="S701">
        <f>(G701-R701)/G701</f>
        <v>0.51944444444444449</v>
      </c>
      <c r="T701" s="10">
        <v>13.5</v>
      </c>
    </row>
    <row r="702" spans="1:20" ht="14.25" hidden="1" customHeight="1" x14ac:dyDescent="0.3">
      <c r="A702" s="8" t="s">
        <v>1757</v>
      </c>
      <c r="B702" s="9">
        <v>45297</v>
      </c>
      <c r="C702" s="8" t="s">
        <v>340</v>
      </c>
      <c r="D702" s="8" t="s">
        <v>964</v>
      </c>
      <c r="E702" s="8" t="s">
        <v>125</v>
      </c>
      <c r="F702" s="10">
        <v>6</v>
      </c>
      <c r="G702" s="10">
        <v>3780</v>
      </c>
      <c r="H702" s="10">
        <v>27.8</v>
      </c>
      <c r="I702" s="10">
        <v>16374.96</v>
      </c>
      <c r="J702" s="8" t="s">
        <v>41</v>
      </c>
      <c r="K702" s="8" t="s">
        <v>136</v>
      </c>
      <c r="L702" s="18" t="str">
        <f>VLOOKUP(D702,Products!$A:$C,3,FALSE)</f>
        <v>Sports</v>
      </c>
      <c r="N702" s="18" t="str">
        <f>VLOOKUP(C702,Customers!$A:$E,5,FALSE)</f>
        <v>Retail</v>
      </c>
      <c r="O702" s="18">
        <f>VLOOKUP(C702,Customers!$A:$C,3,FALSE)</f>
        <v>52</v>
      </c>
      <c r="T702" s="10">
        <v>22.9</v>
      </c>
    </row>
    <row r="703" spans="1:20" ht="14.25" hidden="1" customHeight="1" x14ac:dyDescent="0.3">
      <c r="A703" s="8" t="s">
        <v>1758</v>
      </c>
      <c r="B703" s="9">
        <v>45521</v>
      </c>
      <c r="C703" s="8" t="s">
        <v>639</v>
      </c>
      <c r="D703" s="8" t="s">
        <v>227</v>
      </c>
      <c r="E703" s="8" t="s">
        <v>196</v>
      </c>
      <c r="F703" s="10">
        <v>8</v>
      </c>
      <c r="G703" s="10">
        <v>2480</v>
      </c>
      <c r="H703" s="10">
        <v>15.7</v>
      </c>
      <c r="I703" s="10">
        <v>16725.12</v>
      </c>
      <c r="J703" s="8" t="s">
        <v>97</v>
      </c>
      <c r="K703" s="8" t="s">
        <v>146</v>
      </c>
      <c r="L703" s="18" t="str">
        <f>VLOOKUP(D703,Products!$A:$C,3,FALSE)</f>
        <v>Apparel</v>
      </c>
      <c r="N703" s="18" t="str">
        <f>VLOOKUP(C703,Customers!$A:$E,5,FALSE)</f>
        <v>SMB</v>
      </c>
      <c r="O703" s="18">
        <f>VLOOKUP(C703,Customers!$A:$C,3,FALSE)</f>
        <v>54</v>
      </c>
      <c r="T703" s="10">
        <v>11.6</v>
      </c>
    </row>
    <row r="704" spans="1:20" ht="14.25" hidden="1" customHeight="1" x14ac:dyDescent="0.3">
      <c r="A704" s="8" t="s">
        <v>1759</v>
      </c>
      <c r="B704" s="9">
        <v>45409</v>
      </c>
      <c r="C704" s="8" t="s">
        <v>292</v>
      </c>
      <c r="D704" s="8" t="s">
        <v>260</v>
      </c>
      <c r="E704" s="8" t="s">
        <v>117</v>
      </c>
      <c r="F704" s="10">
        <v>10</v>
      </c>
      <c r="G704" s="10">
        <v>1010</v>
      </c>
      <c r="H704" s="10">
        <v>0.1</v>
      </c>
      <c r="I704" s="10">
        <v>10089.9</v>
      </c>
      <c r="J704" s="8" t="s">
        <v>97</v>
      </c>
      <c r="K704" s="8" t="s">
        <v>42</v>
      </c>
      <c r="L704" s="18" t="str">
        <f>VLOOKUP(D704,Products!$A:$C,3,FALSE)</f>
        <v>Sports</v>
      </c>
      <c r="N704" s="18" t="str">
        <f>VLOOKUP(C704,Customers!$A:$E,5,FALSE)</f>
        <v>SMB</v>
      </c>
      <c r="O704" s="18">
        <f>VLOOKUP(C704,Customers!$A:$C,3,FALSE)</f>
        <v>54</v>
      </c>
      <c r="T704" s="10">
        <v>18.399999999999999</v>
      </c>
    </row>
    <row r="705" spans="1:20" ht="14.25" hidden="1" customHeight="1" x14ac:dyDescent="0.3">
      <c r="A705" s="8" t="s">
        <v>1760</v>
      </c>
      <c r="B705" s="9">
        <v>45406</v>
      </c>
      <c r="C705" s="8" t="s">
        <v>204</v>
      </c>
      <c r="D705" s="8" t="s">
        <v>116</v>
      </c>
      <c r="E705" s="8" t="s">
        <v>301</v>
      </c>
      <c r="F705" s="10">
        <v>3</v>
      </c>
      <c r="G705" s="10">
        <v>470</v>
      </c>
      <c r="H705" s="10">
        <v>1.1000000000000001</v>
      </c>
      <c r="I705" s="10">
        <v>1394.49</v>
      </c>
      <c r="J705" s="8" t="s">
        <v>41</v>
      </c>
      <c r="K705" s="8" t="s">
        <v>42</v>
      </c>
      <c r="L705" s="18" t="str">
        <f>VLOOKUP(D705,Products!$A:$C,3,FALSE)</f>
        <v>Sports</v>
      </c>
      <c r="N705" s="18" t="str">
        <f>VLOOKUP(C705,Customers!$A:$E,5,FALSE)</f>
        <v>Retail</v>
      </c>
      <c r="O705" s="18">
        <f>VLOOKUP(C705,Customers!$A:$C,3,FALSE)</f>
        <v>63</v>
      </c>
      <c r="T705" s="10">
        <v>29.8</v>
      </c>
    </row>
    <row r="706" spans="1:20" ht="14.25" customHeight="1" x14ac:dyDescent="0.3">
      <c r="A706" s="8" t="s">
        <v>1761</v>
      </c>
      <c r="B706" s="21">
        <v>45474</v>
      </c>
      <c r="C706" s="8" t="s">
        <v>244</v>
      </c>
      <c r="D706" s="8" t="s">
        <v>176</v>
      </c>
      <c r="E706" s="8" t="s">
        <v>158</v>
      </c>
      <c r="F706" s="10">
        <v>4</v>
      </c>
      <c r="G706" s="10">
        <v>2270</v>
      </c>
      <c r="H706" s="10">
        <v>17.100000000000001</v>
      </c>
      <c r="I706" s="10">
        <v>7527.32</v>
      </c>
      <c r="J706" s="8" t="s">
        <v>41</v>
      </c>
      <c r="K706" s="8" t="s">
        <v>119</v>
      </c>
      <c r="L706" s="18" t="str">
        <f>VLOOKUP(D706,Products!$A:$C,3,FALSE)</f>
        <v>Grocery</v>
      </c>
      <c r="N706" s="18" t="str">
        <f>VLOOKUP(C706,Customers!$A:$E,5,FALSE)</f>
        <v>Retail</v>
      </c>
      <c r="O706" s="18">
        <f>VLOOKUP(C706,Customers!$A:$C,3,FALSE)</f>
        <v>24</v>
      </c>
      <c r="P706" s="18" t="str">
        <f>VLOOKUP(E705,Sales_Reps!$A:$C,3,FALSE)</f>
        <v>South</v>
      </c>
      <c r="Q706" s="18" t="str">
        <f>TEXT(B705,"MMM-YY")</f>
        <v>Apr-24</v>
      </c>
      <c r="R706">
        <f>VLOOKUP(D706, Products!A:D, 4, FALSE)</f>
        <v>1203</v>
      </c>
      <c r="S706">
        <f>(G706-R706)/G706</f>
        <v>0.47004405286343615</v>
      </c>
      <c r="T706" s="10">
        <v>29.4</v>
      </c>
    </row>
    <row r="707" spans="1:20" ht="14.25" hidden="1" customHeight="1" x14ac:dyDescent="0.3">
      <c r="A707" s="8" t="s">
        <v>1762</v>
      </c>
      <c r="B707" s="9">
        <v>45588</v>
      </c>
      <c r="C707" s="8" t="s">
        <v>377</v>
      </c>
      <c r="D707" s="8" t="s">
        <v>374</v>
      </c>
      <c r="E707" s="8" t="s">
        <v>177</v>
      </c>
      <c r="F707" s="10">
        <v>7</v>
      </c>
      <c r="G707" s="10">
        <v>2760</v>
      </c>
      <c r="H707" s="10">
        <v>17.100000000000001</v>
      </c>
      <c r="I707" s="10">
        <v>16016.28</v>
      </c>
      <c r="J707" s="8" t="s">
        <v>41</v>
      </c>
      <c r="K707" s="8" t="s">
        <v>119</v>
      </c>
      <c r="L707" s="18" t="str">
        <f>VLOOKUP(D707,Products!$A:$C,3,FALSE)</f>
        <v>Grocery</v>
      </c>
      <c r="N707" s="18" t="str">
        <f>VLOOKUP(C707,Customers!$A:$E,5,FALSE)</f>
        <v>Retail</v>
      </c>
      <c r="O707" s="18">
        <f>VLOOKUP(C707,Customers!$A:$C,3,FALSE)</f>
        <v>53</v>
      </c>
      <c r="T707" s="10">
        <v>27</v>
      </c>
    </row>
    <row r="708" spans="1:20" ht="14.25" hidden="1" customHeight="1" x14ac:dyDescent="0.3">
      <c r="A708" s="8" t="s">
        <v>1763</v>
      </c>
      <c r="B708" s="9">
        <v>45530</v>
      </c>
      <c r="C708" s="8" t="s">
        <v>823</v>
      </c>
      <c r="D708" s="8" t="s">
        <v>219</v>
      </c>
      <c r="E708" s="8" t="s">
        <v>135</v>
      </c>
      <c r="F708" s="10">
        <v>6</v>
      </c>
      <c r="G708" s="10">
        <v>3450</v>
      </c>
      <c r="H708" s="10">
        <v>6.6</v>
      </c>
      <c r="I708" s="10">
        <v>19333.8</v>
      </c>
      <c r="J708" s="8" t="s">
        <v>193</v>
      </c>
      <c r="K708" s="8" t="s">
        <v>178</v>
      </c>
      <c r="L708" s="18" t="str">
        <f>VLOOKUP(D708,Products!$A:$C,3,FALSE)</f>
        <v>Sports</v>
      </c>
      <c r="N708" s="18" t="str">
        <f>VLOOKUP(C708,Customers!$A:$E,5,FALSE)</f>
        <v>Retail</v>
      </c>
      <c r="O708" s="18">
        <f>VLOOKUP(C708,Customers!$A:$C,3,FALSE)</f>
        <v>41</v>
      </c>
      <c r="T708" s="10">
        <v>20.100000000000001</v>
      </c>
    </row>
    <row r="709" spans="1:20" ht="14.25" customHeight="1" x14ac:dyDescent="0.3">
      <c r="A709" s="8" t="s">
        <v>1764</v>
      </c>
      <c r="B709" s="21">
        <v>45630</v>
      </c>
      <c r="C709" s="8" t="s">
        <v>834</v>
      </c>
      <c r="D709" s="8" t="s">
        <v>124</v>
      </c>
      <c r="E709" s="8" t="s">
        <v>38</v>
      </c>
      <c r="F709" s="10">
        <v>8</v>
      </c>
      <c r="G709" s="10">
        <v>3660</v>
      </c>
      <c r="H709" s="10">
        <v>7.2</v>
      </c>
      <c r="I709" s="10">
        <v>27171.84</v>
      </c>
      <c r="J709" s="8" t="s">
        <v>41</v>
      </c>
      <c r="K709" s="8" t="s">
        <v>178</v>
      </c>
      <c r="L709" s="18" t="str">
        <f>VLOOKUP(D709,Products!$A:$C,3,FALSE)</f>
        <v>Grocery</v>
      </c>
      <c r="N709" s="18" t="str">
        <f>VLOOKUP(C709,Customers!$A:$E,5,FALSE)</f>
        <v>Retail</v>
      </c>
      <c r="O709" s="18">
        <f>VLOOKUP(C709,Customers!$A:$C,3,FALSE)</f>
        <v>22</v>
      </c>
      <c r="P709" s="18" t="str">
        <f>VLOOKUP(E708,Sales_Reps!$A:$C,3,FALSE)</f>
        <v>North</v>
      </c>
      <c r="Q709" s="18" t="str">
        <f t="shared" ref="Q709:Q713" si="146">TEXT(B708,"MMM-YY")</f>
        <v>Aug-24</v>
      </c>
      <c r="R709">
        <f>VLOOKUP(D709, Products!A:D, 4, FALSE)</f>
        <v>2214</v>
      </c>
      <c r="S709">
        <f t="shared" ref="S709:S713" si="147">(G709-R709)/G709</f>
        <v>0.39508196721311473</v>
      </c>
      <c r="T709" s="10">
        <v>7.8</v>
      </c>
    </row>
    <row r="710" spans="1:20" ht="14.25" customHeight="1" x14ac:dyDescent="0.3">
      <c r="A710" s="8" t="s">
        <v>1765</v>
      </c>
      <c r="B710" s="21">
        <v>45551</v>
      </c>
      <c r="C710" s="8" t="s">
        <v>393</v>
      </c>
      <c r="D710" s="8" t="s">
        <v>160</v>
      </c>
      <c r="E710" s="8" t="s">
        <v>143</v>
      </c>
      <c r="F710" s="10">
        <v>4</v>
      </c>
      <c r="G710" s="10">
        <v>1220</v>
      </c>
      <c r="H710" s="10">
        <v>24.3</v>
      </c>
      <c r="I710" s="10">
        <v>3694.16</v>
      </c>
      <c r="J710" s="8" t="s">
        <v>147</v>
      </c>
      <c r="K710" s="8" t="s">
        <v>42</v>
      </c>
      <c r="L710" s="18" t="str">
        <f>VLOOKUP(D710,Products!$A:$C,3,FALSE)</f>
        <v>Electronics</v>
      </c>
      <c r="N710" s="18" t="str">
        <f>VLOOKUP(C710,Customers!$A:$E,5,FALSE)</f>
        <v>Retail</v>
      </c>
      <c r="O710" s="18">
        <f>VLOOKUP(C710,Customers!$A:$C,3,FALSE)</f>
        <v>39</v>
      </c>
      <c r="P710" s="18" t="str">
        <f>VLOOKUP(E709,Sales_Reps!$A:$C,3,FALSE)</f>
        <v>North</v>
      </c>
      <c r="Q710" s="18" t="str">
        <f t="shared" si="146"/>
        <v>Dec-24</v>
      </c>
      <c r="R710">
        <f>VLOOKUP(D710, Products!A:D, 4, FALSE)</f>
        <v>517</v>
      </c>
      <c r="S710">
        <f t="shared" si="147"/>
        <v>0.57622950819672136</v>
      </c>
      <c r="T710" s="10">
        <v>22.8</v>
      </c>
    </row>
    <row r="711" spans="1:20" ht="14.25" customHeight="1" x14ac:dyDescent="0.3">
      <c r="A711" s="8" t="s">
        <v>1766</v>
      </c>
      <c r="B711" s="21">
        <v>45610</v>
      </c>
      <c r="C711" s="8" t="s">
        <v>750</v>
      </c>
      <c r="D711" s="8" t="s">
        <v>954</v>
      </c>
      <c r="E711" s="8" t="s">
        <v>38</v>
      </c>
      <c r="F711" s="10">
        <v>2</v>
      </c>
      <c r="G711" s="10">
        <v>5410</v>
      </c>
      <c r="H711" s="10">
        <v>0.9</v>
      </c>
      <c r="I711" s="10">
        <v>10722.62</v>
      </c>
      <c r="J711" s="8" t="s">
        <v>97</v>
      </c>
      <c r="K711" s="8" t="s">
        <v>178</v>
      </c>
      <c r="L711" s="18" t="str">
        <f>VLOOKUP(D711,Products!$A:$C,3,FALSE)</f>
        <v>Sports</v>
      </c>
      <c r="N711" s="18" t="str">
        <f>VLOOKUP(C711,Customers!$A:$E,5,FALSE)</f>
        <v>SMB</v>
      </c>
      <c r="O711" s="18">
        <f>VLOOKUP(C711,Customers!$A:$C,3,FALSE)</f>
        <v>28</v>
      </c>
      <c r="P711" s="18" t="str">
        <f>VLOOKUP(E710,Sales_Reps!$A:$C,3,FALSE)</f>
        <v>West</v>
      </c>
      <c r="Q711" s="18" t="str">
        <f t="shared" si="146"/>
        <v>Sep-24</v>
      </c>
      <c r="R711">
        <f>VLOOKUP(D711, Products!A:D, 4, FALSE)</f>
        <v>2265</v>
      </c>
      <c r="S711">
        <f t="shared" si="147"/>
        <v>0.58133086876155271</v>
      </c>
      <c r="T711" s="10">
        <v>23.5</v>
      </c>
    </row>
    <row r="712" spans="1:20" ht="14.25" customHeight="1" x14ac:dyDescent="0.3">
      <c r="A712" s="8" t="s">
        <v>1767</v>
      </c>
      <c r="B712" s="21">
        <v>45322</v>
      </c>
      <c r="C712" s="8" t="s">
        <v>487</v>
      </c>
      <c r="D712" s="8" t="s">
        <v>924</v>
      </c>
      <c r="E712" s="8" t="s">
        <v>214</v>
      </c>
      <c r="F712" s="10">
        <v>5</v>
      </c>
      <c r="G712" s="10">
        <v>2030</v>
      </c>
      <c r="H712" s="10">
        <v>25.2</v>
      </c>
      <c r="I712" s="10">
        <v>7592.2</v>
      </c>
      <c r="J712" s="8" t="s">
        <v>41</v>
      </c>
      <c r="K712" s="8" t="s">
        <v>42</v>
      </c>
      <c r="L712" s="18" t="str">
        <f>VLOOKUP(D712,Products!$A:$C,3,FALSE)</f>
        <v>Home</v>
      </c>
      <c r="N712" s="18" t="str">
        <f>VLOOKUP(C712,Customers!$A:$E,5,FALSE)</f>
        <v>Retail</v>
      </c>
      <c r="O712" s="18">
        <f>VLOOKUP(C712,Customers!$A:$C,3,FALSE)</f>
        <v>22</v>
      </c>
      <c r="P712" s="18" t="str">
        <f>VLOOKUP(E711,Sales_Reps!$A:$C,3,FALSE)</f>
        <v>North</v>
      </c>
      <c r="Q712" s="18" t="str">
        <f t="shared" si="146"/>
        <v>Nov-24</v>
      </c>
      <c r="R712">
        <f>VLOOKUP(D712, Products!A:D, 4, FALSE)</f>
        <v>1143</v>
      </c>
      <c r="S712">
        <f t="shared" si="147"/>
        <v>0.43694581280788175</v>
      </c>
      <c r="T712" s="10">
        <v>2.2999999999999998</v>
      </c>
    </row>
    <row r="713" spans="1:20" ht="14.25" customHeight="1" x14ac:dyDescent="0.3">
      <c r="A713" s="8" t="s">
        <v>720</v>
      </c>
      <c r="B713" s="21">
        <v>45363</v>
      </c>
      <c r="C713" s="8" t="s">
        <v>442</v>
      </c>
      <c r="D713" s="8" t="s">
        <v>160</v>
      </c>
      <c r="E713" s="8" t="s">
        <v>189</v>
      </c>
      <c r="F713" s="10">
        <v>5</v>
      </c>
      <c r="G713" s="10">
        <v>1220</v>
      </c>
      <c r="H713" s="10">
        <v>2.6</v>
      </c>
      <c r="I713" s="10">
        <v>5941.4</v>
      </c>
      <c r="J713" s="8" t="s">
        <v>41</v>
      </c>
      <c r="K713" s="8" t="s">
        <v>98</v>
      </c>
      <c r="L713" s="18" t="str">
        <f>VLOOKUP(D713,Products!$A:$C,3,FALSE)</f>
        <v>Electronics</v>
      </c>
      <c r="N713" s="18" t="str">
        <f>VLOOKUP(C713,Customers!$A:$E,5,FALSE)</f>
        <v>Retail</v>
      </c>
      <c r="O713" s="18">
        <f>VLOOKUP(C713,Customers!$A:$C,3,FALSE)</f>
        <v>26</v>
      </c>
      <c r="P713" s="18" t="str">
        <f>VLOOKUP(E712,Sales_Reps!$A:$C,3,FALSE)</f>
        <v>South</v>
      </c>
      <c r="Q713" s="18" t="str">
        <f t="shared" si="146"/>
        <v>Jan-24</v>
      </c>
      <c r="R713">
        <f>VLOOKUP(D713, Products!A:D, 4, FALSE)</f>
        <v>517</v>
      </c>
      <c r="S713">
        <f t="shared" si="147"/>
        <v>0.57622950819672136</v>
      </c>
      <c r="T713" s="10">
        <v>25.8</v>
      </c>
    </row>
    <row r="714" spans="1:20" ht="14.25" hidden="1" customHeight="1" x14ac:dyDescent="0.3">
      <c r="A714" s="8" t="s">
        <v>1768</v>
      </c>
      <c r="B714" s="9">
        <v>45600</v>
      </c>
      <c r="C714" s="8" t="s">
        <v>422</v>
      </c>
      <c r="D714" s="8" t="s">
        <v>131</v>
      </c>
      <c r="E714" s="8" t="s">
        <v>125</v>
      </c>
      <c r="F714" s="10">
        <v>4</v>
      </c>
      <c r="G714" s="10">
        <v>2660</v>
      </c>
      <c r="H714" s="10">
        <v>19.100000000000001</v>
      </c>
      <c r="I714" s="10">
        <v>8607.76</v>
      </c>
      <c r="J714" s="8" t="s">
        <v>193</v>
      </c>
      <c r="K714" s="8" t="s">
        <v>146</v>
      </c>
      <c r="L714" s="18" t="str">
        <f>VLOOKUP(D714,Products!$A:$C,3,FALSE)</f>
        <v>Electronics</v>
      </c>
      <c r="N714" s="18" t="str">
        <f>VLOOKUP(C714,Customers!$A:$E,5,FALSE)</f>
        <v>Corporate</v>
      </c>
      <c r="O714" s="18">
        <f>VLOOKUP(C714,Customers!$A:$C,3,FALSE)</f>
        <v>55</v>
      </c>
      <c r="T714" s="10">
        <v>13.1</v>
      </c>
    </row>
    <row r="715" spans="1:20" ht="14.25" hidden="1" customHeight="1" x14ac:dyDescent="0.3">
      <c r="A715" s="8" t="s">
        <v>1769</v>
      </c>
      <c r="B715" s="9">
        <v>45351</v>
      </c>
      <c r="C715" s="8" t="s">
        <v>620</v>
      </c>
      <c r="D715" s="8" t="s">
        <v>818</v>
      </c>
      <c r="E715" s="8" t="s">
        <v>221</v>
      </c>
      <c r="F715" s="10">
        <v>3</v>
      </c>
      <c r="G715" s="10">
        <v>4070</v>
      </c>
      <c r="H715" s="10">
        <v>25.2</v>
      </c>
      <c r="I715" s="10">
        <v>9133.08</v>
      </c>
      <c r="J715" s="8" t="s">
        <v>41</v>
      </c>
      <c r="K715" s="8" t="s">
        <v>136</v>
      </c>
      <c r="L715" s="18" t="str">
        <f>VLOOKUP(D715,Products!$A:$C,3,FALSE)</f>
        <v>Grocery</v>
      </c>
      <c r="N715" s="18" t="str">
        <f>VLOOKUP(C715,Customers!$A:$E,5,FALSE)</f>
        <v>SMB</v>
      </c>
      <c r="O715" s="18">
        <f>VLOOKUP(C715,Customers!$A:$C,3,FALSE)</f>
        <v>42</v>
      </c>
      <c r="T715" s="10">
        <v>16.600000000000001</v>
      </c>
    </row>
    <row r="716" spans="1:20" ht="14.25" customHeight="1" x14ac:dyDescent="0.3">
      <c r="A716" s="8" t="s">
        <v>1770</v>
      </c>
      <c r="B716" s="21">
        <v>45461</v>
      </c>
      <c r="C716" s="8" t="s">
        <v>614</v>
      </c>
      <c r="D716" s="8" t="s">
        <v>949</v>
      </c>
      <c r="E716" s="8" t="s">
        <v>117</v>
      </c>
      <c r="F716" s="10">
        <v>10</v>
      </c>
      <c r="G716" s="10">
        <v>960</v>
      </c>
      <c r="H716" s="10">
        <v>0.3</v>
      </c>
      <c r="I716" s="10">
        <v>9571.2000000000007</v>
      </c>
      <c r="J716" s="8" t="s">
        <v>41</v>
      </c>
      <c r="K716" s="8" t="s">
        <v>178</v>
      </c>
      <c r="L716" s="18" t="str">
        <f>VLOOKUP(D716,Products!$A:$C,3,FALSE)</f>
        <v>Beauty</v>
      </c>
      <c r="N716" s="18" t="str">
        <f>VLOOKUP(C716,Customers!$A:$E,5,FALSE)</f>
        <v>Retail</v>
      </c>
      <c r="O716" s="18">
        <f>VLOOKUP(C716,Customers!$A:$C,3,FALSE)</f>
        <v>31</v>
      </c>
      <c r="P716" s="18" t="str">
        <f>VLOOKUP(E715,Sales_Reps!$A:$C,3,FALSE)</f>
        <v>South</v>
      </c>
      <c r="Q716" s="18" t="str">
        <f>TEXT(B715,"MMM-YY")</f>
        <v>Feb-24</v>
      </c>
      <c r="R716">
        <f>VLOOKUP(D716, Products!A:D, 4, FALSE)</f>
        <v>675</v>
      </c>
      <c r="S716">
        <f>(G716-R716)/G716</f>
        <v>0.296875</v>
      </c>
      <c r="T716" s="10">
        <v>25.9</v>
      </c>
    </row>
    <row r="717" spans="1:20" ht="14.25" hidden="1" customHeight="1" x14ac:dyDescent="0.3">
      <c r="A717" s="8" t="s">
        <v>1771</v>
      </c>
      <c r="B717" s="9">
        <v>45431</v>
      </c>
      <c r="C717" s="8" t="s">
        <v>403</v>
      </c>
      <c r="D717" s="8" t="s">
        <v>569</v>
      </c>
      <c r="E717" s="8" t="s">
        <v>236</v>
      </c>
      <c r="F717" s="10">
        <v>2</v>
      </c>
      <c r="G717" s="10">
        <v>3730</v>
      </c>
      <c r="H717" s="10">
        <v>29.9</v>
      </c>
      <c r="I717" s="10">
        <v>5229.46</v>
      </c>
      <c r="J717" s="8" t="s">
        <v>41</v>
      </c>
      <c r="K717" s="8" t="s">
        <v>98</v>
      </c>
      <c r="L717" s="18" t="str">
        <f>VLOOKUP(D717,Products!$A:$C,3,FALSE)</f>
        <v>Home</v>
      </c>
      <c r="N717" s="18" t="str">
        <f>VLOOKUP(C717,Customers!$A:$E,5,FALSE)</f>
        <v>Corporate</v>
      </c>
      <c r="O717" s="18">
        <f>VLOOKUP(C717,Customers!$A:$C,3,FALSE)</f>
        <v>49</v>
      </c>
      <c r="T717" s="10">
        <v>17.5</v>
      </c>
    </row>
    <row r="718" spans="1:20" ht="14.25" hidden="1" customHeight="1" x14ac:dyDescent="0.3">
      <c r="A718" s="8" t="s">
        <v>1772</v>
      </c>
      <c r="B718" s="9">
        <v>45592</v>
      </c>
      <c r="C718" s="8" t="s">
        <v>477</v>
      </c>
      <c r="D718" s="8" t="s">
        <v>152</v>
      </c>
      <c r="E718" s="8" t="s">
        <v>185</v>
      </c>
      <c r="F718" s="10">
        <v>9</v>
      </c>
      <c r="G718" s="10">
        <v>960</v>
      </c>
      <c r="H718" s="10">
        <v>1.9</v>
      </c>
      <c r="I718" s="10">
        <v>8475.84</v>
      </c>
      <c r="J718" s="8" t="s">
        <v>41</v>
      </c>
      <c r="K718" s="8" t="s">
        <v>98</v>
      </c>
      <c r="L718" s="18" t="str">
        <f>VLOOKUP(D718,Products!$A:$C,3,FALSE)</f>
        <v>Sports</v>
      </c>
      <c r="N718" s="18" t="str">
        <f>VLOOKUP(C718,Customers!$A:$E,5,FALSE)</f>
        <v>SMB</v>
      </c>
      <c r="O718" s="18">
        <f>VLOOKUP(C718,Customers!$A:$C,3,FALSE)</f>
        <v>62</v>
      </c>
      <c r="T718" s="10">
        <v>8.3000000000000007</v>
      </c>
    </row>
    <row r="719" spans="1:20" ht="14.25" customHeight="1" x14ac:dyDescent="0.3">
      <c r="A719" s="8" t="s">
        <v>1773</v>
      </c>
      <c r="B719" s="21">
        <v>45454</v>
      </c>
      <c r="C719" s="8" t="s">
        <v>198</v>
      </c>
      <c r="D719" s="8" t="s">
        <v>889</v>
      </c>
      <c r="E719" s="8" t="s">
        <v>185</v>
      </c>
      <c r="F719" s="10">
        <v>2</v>
      </c>
      <c r="G719" s="10">
        <v>3450</v>
      </c>
      <c r="H719" s="10">
        <v>22.9</v>
      </c>
      <c r="I719" s="10">
        <v>5319.9</v>
      </c>
      <c r="J719" s="8" t="s">
        <v>97</v>
      </c>
      <c r="K719" s="8" t="s">
        <v>42</v>
      </c>
      <c r="L719" s="18" t="str">
        <f>VLOOKUP(D719,Products!$A:$C,3,FALSE)</f>
        <v>Apparel</v>
      </c>
      <c r="N719" s="18" t="str">
        <f>VLOOKUP(C719,Customers!$A:$E,5,FALSE)</f>
        <v>Retail</v>
      </c>
      <c r="O719" s="18">
        <f>VLOOKUP(C719,Customers!$A:$C,3,FALSE)</f>
        <v>38</v>
      </c>
      <c r="P719" s="18" t="str">
        <f>VLOOKUP(E718,Sales_Reps!$A:$C,3,FALSE)</f>
        <v>North</v>
      </c>
      <c r="Q719" s="18" t="str">
        <f>TEXT(B718,"MMM-YY")</f>
        <v>Oct-24</v>
      </c>
      <c r="R719">
        <f>VLOOKUP(D719, Products!A:D, 4, FALSE)</f>
        <v>1748</v>
      </c>
      <c r="S719">
        <f>(G719-R719)/G719</f>
        <v>0.49333333333333335</v>
      </c>
      <c r="T719" s="10">
        <v>2.2999999999999998</v>
      </c>
    </row>
    <row r="720" spans="1:20" ht="14.25" hidden="1" customHeight="1" x14ac:dyDescent="0.3">
      <c r="A720" s="8" t="s">
        <v>1774</v>
      </c>
      <c r="B720" s="9">
        <v>45616</v>
      </c>
      <c r="C720" s="8" t="s">
        <v>541</v>
      </c>
      <c r="D720" s="8" t="s">
        <v>954</v>
      </c>
      <c r="E720" s="8" t="s">
        <v>177</v>
      </c>
      <c r="F720" s="10">
        <v>3</v>
      </c>
      <c r="G720" s="10">
        <v>5410</v>
      </c>
      <c r="H720" s="10">
        <v>15.5</v>
      </c>
      <c r="I720" s="10">
        <v>13714.35</v>
      </c>
      <c r="J720" s="8" t="s">
        <v>41</v>
      </c>
      <c r="K720" s="8" t="s">
        <v>136</v>
      </c>
      <c r="L720" s="18" t="str">
        <f>VLOOKUP(D720,Products!$A:$C,3,FALSE)</f>
        <v>Sports</v>
      </c>
      <c r="N720" s="18" t="str">
        <f>VLOOKUP(C720,Customers!$A:$E,5,FALSE)</f>
        <v>Corporate</v>
      </c>
      <c r="O720" s="18">
        <f>VLOOKUP(C720,Customers!$A:$C,3,FALSE)</f>
        <v>41</v>
      </c>
      <c r="T720" s="10">
        <v>13.4</v>
      </c>
    </row>
    <row r="721" spans="1:20" ht="14.25" hidden="1" customHeight="1" x14ac:dyDescent="0.3">
      <c r="A721" s="8" t="s">
        <v>1775</v>
      </c>
      <c r="B721" s="9">
        <v>45448</v>
      </c>
      <c r="C721" s="8" t="s">
        <v>832</v>
      </c>
      <c r="D721" s="8" t="s">
        <v>247</v>
      </c>
      <c r="E721" s="8" t="s">
        <v>158</v>
      </c>
      <c r="F721" s="10">
        <v>8</v>
      </c>
      <c r="G721" s="10">
        <v>3350</v>
      </c>
      <c r="H721" s="10">
        <v>18.399999999999999</v>
      </c>
      <c r="I721" s="10">
        <v>21868.799999999999</v>
      </c>
      <c r="J721" s="8" t="s">
        <v>41</v>
      </c>
      <c r="K721" s="8" t="s">
        <v>178</v>
      </c>
      <c r="L721" s="18" t="str">
        <f>VLOOKUP(D721,Products!$A:$C,3,FALSE)</f>
        <v>Beauty</v>
      </c>
      <c r="N721" s="18" t="str">
        <f>VLOOKUP(C721,Customers!$A:$E,5,FALSE)</f>
        <v>SMB</v>
      </c>
      <c r="O721" s="18">
        <f>VLOOKUP(C721,Customers!$A:$C,3,FALSE)</f>
        <v>65</v>
      </c>
      <c r="T721" s="10">
        <v>6.3</v>
      </c>
    </row>
    <row r="722" spans="1:20" ht="14.25" hidden="1" customHeight="1" x14ac:dyDescent="0.3">
      <c r="A722" s="8" t="s">
        <v>1776</v>
      </c>
      <c r="B722" s="9">
        <v>45611</v>
      </c>
      <c r="C722" s="8" t="s">
        <v>377</v>
      </c>
      <c r="D722" s="8" t="s">
        <v>239</v>
      </c>
      <c r="E722" s="8" t="s">
        <v>135</v>
      </c>
      <c r="F722" s="10">
        <v>5</v>
      </c>
      <c r="G722" s="10">
        <v>2720</v>
      </c>
      <c r="H722" s="10">
        <v>17.3</v>
      </c>
      <c r="I722" s="10">
        <v>11247.2</v>
      </c>
      <c r="J722" s="8" t="s">
        <v>147</v>
      </c>
      <c r="K722" s="8" t="s">
        <v>119</v>
      </c>
      <c r="L722" s="18" t="str">
        <f>VLOOKUP(D722,Products!$A:$C,3,FALSE)</f>
        <v>Apparel</v>
      </c>
      <c r="N722" s="18" t="str">
        <f>VLOOKUP(C722,Customers!$A:$E,5,FALSE)</f>
        <v>Retail</v>
      </c>
      <c r="O722" s="18">
        <f>VLOOKUP(C722,Customers!$A:$C,3,FALSE)</f>
        <v>53</v>
      </c>
      <c r="T722" s="10">
        <v>17.8</v>
      </c>
    </row>
    <row r="723" spans="1:20" ht="14.25" customHeight="1" x14ac:dyDescent="0.3">
      <c r="A723" s="8" t="s">
        <v>1777</v>
      </c>
      <c r="B723" s="21">
        <v>45403</v>
      </c>
      <c r="C723" s="8" t="s">
        <v>151</v>
      </c>
      <c r="D723" s="8" t="s">
        <v>124</v>
      </c>
      <c r="E723" s="8" t="s">
        <v>121</v>
      </c>
      <c r="F723" s="10">
        <v>8</v>
      </c>
      <c r="G723" s="10">
        <v>3660</v>
      </c>
      <c r="H723" s="10">
        <v>28.8</v>
      </c>
      <c r="I723" s="10">
        <v>20847.36</v>
      </c>
      <c r="J723" s="8" t="s">
        <v>41</v>
      </c>
      <c r="K723" s="8" t="s">
        <v>136</v>
      </c>
      <c r="L723" s="18" t="str">
        <f>VLOOKUP(D723,Products!$A:$C,3,FALSE)</f>
        <v>Grocery</v>
      </c>
      <c r="N723" s="18" t="str">
        <f>VLOOKUP(C723,Customers!$A:$E,5,FALSE)</f>
        <v>Retail</v>
      </c>
      <c r="O723" s="18">
        <f>VLOOKUP(C723,Customers!$A:$C,3,FALSE)</f>
        <v>27</v>
      </c>
      <c r="P723" s="18" t="str">
        <f>VLOOKUP(E722,Sales_Reps!$A:$C,3,FALSE)</f>
        <v>North</v>
      </c>
      <c r="Q723" s="18" t="str">
        <f>TEXT(B722,"MMM-YY")</f>
        <v>Nov-24</v>
      </c>
      <c r="R723">
        <f>VLOOKUP(D723, Products!A:D, 4, FALSE)</f>
        <v>2214</v>
      </c>
      <c r="S723">
        <f>(G723-R723)/G723</f>
        <v>0.39508196721311473</v>
      </c>
      <c r="T723" s="10">
        <v>29.3</v>
      </c>
    </row>
    <row r="724" spans="1:20" ht="14.25" hidden="1" customHeight="1" x14ac:dyDescent="0.3">
      <c r="A724" s="8" t="s">
        <v>1778</v>
      </c>
      <c r="B724" s="9">
        <v>45530</v>
      </c>
      <c r="C724" s="8" t="s">
        <v>759</v>
      </c>
      <c r="D724" s="8" t="s">
        <v>154</v>
      </c>
      <c r="E724" s="8" t="s">
        <v>745</v>
      </c>
      <c r="F724" s="10">
        <v>6</v>
      </c>
      <c r="G724" s="10">
        <v>300</v>
      </c>
      <c r="H724" s="10">
        <v>23.9</v>
      </c>
      <c r="I724" s="10">
        <v>1369.8</v>
      </c>
      <c r="J724" s="8" t="s">
        <v>147</v>
      </c>
      <c r="K724" s="8" t="s">
        <v>98</v>
      </c>
      <c r="L724" s="18" t="str">
        <f>VLOOKUP(D724,Products!$A:$C,3,FALSE)</f>
        <v>Electronics</v>
      </c>
      <c r="N724" s="18" t="str">
        <f>VLOOKUP(C724,Customers!$A:$E,5,FALSE)</f>
        <v>SMB</v>
      </c>
      <c r="O724" s="18">
        <f>VLOOKUP(C724,Customers!$A:$C,3,FALSE)</f>
        <v>59</v>
      </c>
      <c r="T724" s="10">
        <v>10.4</v>
      </c>
    </row>
    <row r="725" spans="1:20" ht="14.25" hidden="1" customHeight="1" x14ac:dyDescent="0.3">
      <c r="A725" s="8" t="s">
        <v>1779</v>
      </c>
      <c r="B725" s="9">
        <v>45548</v>
      </c>
      <c r="C725" s="8" t="s">
        <v>690</v>
      </c>
      <c r="D725" s="8" t="s">
        <v>939</v>
      </c>
      <c r="E725" s="8" t="s">
        <v>376</v>
      </c>
      <c r="F725" s="10">
        <v>3</v>
      </c>
      <c r="G725" s="10">
        <v>2290</v>
      </c>
      <c r="H725" s="10">
        <v>2.4</v>
      </c>
      <c r="I725" s="10">
        <v>6705.12</v>
      </c>
      <c r="J725" s="8" t="s">
        <v>41</v>
      </c>
      <c r="K725" s="8" t="s">
        <v>98</v>
      </c>
      <c r="L725" s="18" t="str">
        <f>VLOOKUP(D725,Products!$A:$C,3,FALSE)</f>
        <v>Beauty</v>
      </c>
      <c r="N725" s="18" t="str">
        <f>VLOOKUP(C725,Customers!$A:$E,5,FALSE)</f>
        <v>Corporate</v>
      </c>
      <c r="O725" s="18">
        <f>VLOOKUP(C725,Customers!$A:$C,3,FALSE)</f>
        <v>52</v>
      </c>
      <c r="T725" s="10">
        <v>11.1</v>
      </c>
    </row>
    <row r="726" spans="1:20" ht="14.25" hidden="1" customHeight="1" x14ac:dyDescent="0.3">
      <c r="A726" s="8" t="s">
        <v>1780</v>
      </c>
      <c r="B726" s="9">
        <v>45403</v>
      </c>
      <c r="C726" s="8" t="s">
        <v>264</v>
      </c>
      <c r="D726" s="8" t="s">
        <v>283</v>
      </c>
      <c r="E726" s="8" t="s">
        <v>117</v>
      </c>
      <c r="F726" s="10">
        <v>6</v>
      </c>
      <c r="G726" s="10">
        <v>4880</v>
      </c>
      <c r="H726" s="10">
        <v>11.1</v>
      </c>
      <c r="I726" s="10">
        <v>26029.919999999998</v>
      </c>
      <c r="J726" s="8" t="s">
        <v>97</v>
      </c>
      <c r="K726" s="8" t="s">
        <v>98</v>
      </c>
      <c r="L726" s="18" t="str">
        <f>VLOOKUP(D726,Products!$A:$C,3,FALSE)</f>
        <v>Beauty</v>
      </c>
      <c r="N726" s="18" t="str">
        <f>VLOOKUP(C726,Customers!$A:$E,5,FALSE)</f>
        <v>Corporate</v>
      </c>
      <c r="O726" s="18">
        <f>VLOOKUP(C726,Customers!$A:$C,3,FALSE)</f>
        <v>52</v>
      </c>
      <c r="T726" s="10">
        <v>27.2</v>
      </c>
    </row>
    <row r="727" spans="1:20" ht="14.25" customHeight="1" x14ac:dyDescent="0.3">
      <c r="A727" s="8" t="s">
        <v>693</v>
      </c>
      <c r="B727" s="21">
        <v>45562</v>
      </c>
      <c r="C727" s="8" t="s">
        <v>696</v>
      </c>
      <c r="D727" s="8" t="s">
        <v>154</v>
      </c>
      <c r="E727" s="8" t="s">
        <v>38</v>
      </c>
      <c r="F727" s="10">
        <v>5</v>
      </c>
      <c r="G727" s="10">
        <v>300</v>
      </c>
      <c r="H727" s="10">
        <v>19.399999999999999</v>
      </c>
      <c r="I727" s="10">
        <v>1209</v>
      </c>
      <c r="J727" s="8" t="s">
        <v>41</v>
      </c>
      <c r="K727" s="8" t="s">
        <v>136</v>
      </c>
      <c r="L727" s="18" t="str">
        <f>VLOOKUP(D727,Products!$A:$C,3,FALSE)</f>
        <v>Electronics</v>
      </c>
      <c r="N727" s="18" t="str">
        <f>VLOOKUP(C727,Customers!$A:$E,5,FALSE)</f>
        <v>Retail</v>
      </c>
      <c r="O727" s="18">
        <f>VLOOKUP(C727,Customers!$A:$C,3,FALSE)</f>
        <v>36</v>
      </c>
      <c r="P727" s="18" t="str">
        <f>VLOOKUP(E726,Sales_Reps!$A:$C,3,FALSE)</f>
        <v>South</v>
      </c>
      <c r="Q727" s="18" t="str">
        <f t="shared" ref="Q727:Q728" si="148">TEXT(B726,"MMM-YY")</f>
        <v>Apr-24</v>
      </c>
      <c r="R727">
        <f>VLOOKUP(D727, Products!A:D, 4, FALSE)</f>
        <v>128</v>
      </c>
      <c r="S727">
        <f t="shared" ref="S727:S728" si="149">(G727-R727)/G727</f>
        <v>0.57333333333333336</v>
      </c>
      <c r="T727" s="10">
        <v>9.3000000000000007</v>
      </c>
    </row>
    <row r="728" spans="1:20" ht="14.25" customHeight="1" x14ac:dyDescent="0.3">
      <c r="A728" s="8" t="s">
        <v>1781</v>
      </c>
      <c r="B728" s="21">
        <v>45635</v>
      </c>
      <c r="C728" s="8" t="s">
        <v>736</v>
      </c>
      <c r="D728" s="8" t="s">
        <v>131</v>
      </c>
      <c r="E728" s="8" t="s">
        <v>143</v>
      </c>
      <c r="F728" s="10">
        <v>3</v>
      </c>
      <c r="G728" s="10">
        <v>2660</v>
      </c>
      <c r="H728" s="10">
        <v>28.5</v>
      </c>
      <c r="I728" s="10">
        <v>5705.7</v>
      </c>
      <c r="J728" s="8" t="s">
        <v>97</v>
      </c>
      <c r="K728" s="8" t="s">
        <v>178</v>
      </c>
      <c r="L728" s="18" t="str">
        <f>VLOOKUP(D728,Products!$A:$C,3,FALSE)</f>
        <v>Electronics</v>
      </c>
      <c r="N728" s="18" t="str">
        <f>VLOOKUP(C728,Customers!$A:$E,5,FALSE)</f>
        <v>SMB</v>
      </c>
      <c r="O728" s="18">
        <f>VLOOKUP(C728,Customers!$A:$C,3,FALSE)</f>
        <v>25</v>
      </c>
      <c r="P728" s="18" t="str">
        <f>VLOOKUP(E727,Sales_Reps!$A:$C,3,FALSE)</f>
        <v>North</v>
      </c>
      <c r="Q728" s="18" t="str">
        <f t="shared" si="148"/>
        <v>Sep-24</v>
      </c>
      <c r="R728">
        <f>VLOOKUP(D728, Products!A:D, 4, FALSE)</f>
        <v>1259</v>
      </c>
      <c r="S728">
        <f t="shared" si="149"/>
        <v>0.52669172932330832</v>
      </c>
      <c r="T728" s="10">
        <v>4.5</v>
      </c>
    </row>
    <row r="729" spans="1:20" ht="14.25" hidden="1" customHeight="1" x14ac:dyDescent="0.3">
      <c r="A729" s="8" t="s">
        <v>1782</v>
      </c>
      <c r="B729" s="9">
        <v>45434</v>
      </c>
      <c r="C729" s="8" t="s">
        <v>340</v>
      </c>
      <c r="D729" s="8" t="s">
        <v>929</v>
      </c>
      <c r="E729" s="8" t="s">
        <v>153</v>
      </c>
      <c r="F729" s="10">
        <v>7</v>
      </c>
      <c r="G729" s="10">
        <v>1090</v>
      </c>
      <c r="H729" s="10">
        <v>10.3</v>
      </c>
      <c r="I729" s="10">
        <v>6844.11</v>
      </c>
      <c r="J729" s="8" t="s">
        <v>41</v>
      </c>
      <c r="K729" s="8" t="s">
        <v>136</v>
      </c>
      <c r="L729" s="18" t="str">
        <f>VLOOKUP(D729,Products!$A:$C,3,FALSE)</f>
        <v>Home</v>
      </c>
      <c r="N729" s="18" t="str">
        <f>VLOOKUP(C729,Customers!$A:$E,5,FALSE)</f>
        <v>Retail</v>
      </c>
      <c r="O729" s="18">
        <f>VLOOKUP(C729,Customers!$A:$C,3,FALSE)</f>
        <v>52</v>
      </c>
      <c r="T729" s="10">
        <v>7.5</v>
      </c>
    </row>
    <row r="730" spans="1:20" ht="14.25" customHeight="1" x14ac:dyDescent="0.3">
      <c r="A730" s="8" t="s">
        <v>1783</v>
      </c>
      <c r="B730" s="21">
        <v>45350</v>
      </c>
      <c r="C730" s="8" t="s">
        <v>391</v>
      </c>
      <c r="D730" s="8" t="s">
        <v>140</v>
      </c>
      <c r="E730" s="8" t="s">
        <v>189</v>
      </c>
      <c r="F730" s="10">
        <v>9</v>
      </c>
      <c r="G730" s="10">
        <v>1430</v>
      </c>
      <c r="H730" s="10">
        <v>12.1</v>
      </c>
      <c r="I730" s="10">
        <v>11312.73</v>
      </c>
      <c r="J730" s="8" t="s">
        <v>147</v>
      </c>
      <c r="K730" s="8" t="s">
        <v>42</v>
      </c>
      <c r="L730" s="18" t="str">
        <f>VLOOKUP(D730,Products!$A:$C,3,FALSE)</f>
        <v>Electronics</v>
      </c>
      <c r="N730" s="18" t="str">
        <f>VLOOKUP(C730,Customers!$A:$E,5,FALSE)</f>
        <v>Corporate</v>
      </c>
      <c r="O730" s="18">
        <f>VLOOKUP(C730,Customers!$A:$C,3,FALSE)</f>
        <v>29</v>
      </c>
      <c r="P730" s="18" t="str">
        <f>VLOOKUP(E729,Sales_Reps!$A:$C,3,FALSE)</f>
        <v>West</v>
      </c>
      <c r="Q730" s="18" t="str">
        <f t="shared" ref="Q730:Q731" si="150">TEXT(B729,"MMM-YY")</f>
        <v>May-24</v>
      </c>
      <c r="R730">
        <f>VLOOKUP(D730, Products!A:D, 4, FALSE)</f>
        <v>861</v>
      </c>
      <c r="S730">
        <f t="shared" ref="S730:S731" si="151">(G730-R730)/G730</f>
        <v>0.39790209790209791</v>
      </c>
      <c r="T730" s="10">
        <v>16.399999999999999</v>
      </c>
    </row>
    <row r="731" spans="1:20" ht="14.25" customHeight="1" x14ac:dyDescent="0.3">
      <c r="A731" s="8" t="s">
        <v>669</v>
      </c>
      <c r="B731" s="21">
        <v>45344</v>
      </c>
      <c r="C731" s="8" t="s">
        <v>568</v>
      </c>
      <c r="D731" s="8" t="s">
        <v>181</v>
      </c>
      <c r="E731" s="8" t="s">
        <v>96</v>
      </c>
      <c r="F731" s="10">
        <v>5</v>
      </c>
      <c r="G731" s="10">
        <v>2640</v>
      </c>
      <c r="H731" s="10">
        <v>26.8</v>
      </c>
      <c r="I731" s="10">
        <v>9662.4</v>
      </c>
      <c r="J731" s="8" t="s">
        <v>41</v>
      </c>
      <c r="K731" s="8" t="s">
        <v>98</v>
      </c>
      <c r="L731" s="18" t="str">
        <f>VLOOKUP(D731,Products!$A:$C,3,FALSE)</f>
        <v>Electronics</v>
      </c>
      <c r="N731" s="18" t="str">
        <f>VLOOKUP(C731,Customers!$A:$E,5,FALSE)</f>
        <v>Retail</v>
      </c>
      <c r="O731" s="18">
        <f>VLOOKUP(C731,Customers!$A:$C,3,FALSE)</f>
        <v>37</v>
      </c>
      <c r="P731" s="18" t="str">
        <f>VLOOKUP(E730,Sales_Reps!$A:$C,3,FALSE)</f>
        <v>South</v>
      </c>
      <c r="Q731" s="18" t="str">
        <f t="shared" si="150"/>
        <v>Feb-24</v>
      </c>
      <c r="R731">
        <f>VLOOKUP(D731, Products!A:D, 4, FALSE)</f>
        <v>1149</v>
      </c>
      <c r="S731">
        <f t="shared" si="151"/>
        <v>0.56477272727272732</v>
      </c>
      <c r="T731" s="10">
        <v>28.7</v>
      </c>
    </row>
    <row r="732" spans="1:20" ht="14.25" hidden="1" customHeight="1" x14ac:dyDescent="0.3">
      <c r="A732" s="8" t="s">
        <v>1784</v>
      </c>
      <c r="B732" s="9">
        <v>45498</v>
      </c>
      <c r="C732" s="8" t="s">
        <v>598</v>
      </c>
      <c r="D732" s="8" t="s">
        <v>239</v>
      </c>
      <c r="E732" s="8" t="s">
        <v>231</v>
      </c>
      <c r="F732" s="10">
        <v>8</v>
      </c>
      <c r="G732" s="10">
        <v>2720</v>
      </c>
      <c r="H732" s="10">
        <v>17.5</v>
      </c>
      <c r="I732" s="10">
        <v>17952</v>
      </c>
      <c r="J732" s="8" t="s">
        <v>41</v>
      </c>
      <c r="K732" s="8" t="s">
        <v>42</v>
      </c>
      <c r="L732" s="18" t="str">
        <f>VLOOKUP(D732,Products!$A:$C,3,FALSE)</f>
        <v>Apparel</v>
      </c>
      <c r="N732" s="18" t="str">
        <f>VLOOKUP(C732,Customers!$A:$E,5,FALSE)</f>
        <v>Corporate</v>
      </c>
      <c r="O732" s="18">
        <f>VLOOKUP(C732,Customers!$A:$C,3,FALSE)</f>
        <v>52</v>
      </c>
      <c r="T732" s="10">
        <v>18.899999999999999</v>
      </c>
    </row>
    <row r="733" spans="1:20" ht="14.25" hidden="1" customHeight="1" x14ac:dyDescent="0.3">
      <c r="A733" s="8" t="s">
        <v>1785</v>
      </c>
      <c r="B733" s="9">
        <v>45520</v>
      </c>
      <c r="C733" s="8" t="s">
        <v>314</v>
      </c>
      <c r="D733" s="8" t="s">
        <v>644</v>
      </c>
      <c r="E733" s="8" t="s">
        <v>221</v>
      </c>
      <c r="F733" s="10">
        <v>9</v>
      </c>
      <c r="G733" s="10">
        <v>3640</v>
      </c>
      <c r="H733" s="10">
        <v>3.6</v>
      </c>
      <c r="I733" s="10">
        <v>31580.639999999999</v>
      </c>
      <c r="J733" s="8" t="s">
        <v>41</v>
      </c>
      <c r="K733" s="8" t="s">
        <v>178</v>
      </c>
      <c r="L733" s="18" t="str">
        <f>VLOOKUP(D733,Products!$A:$C,3,FALSE)</f>
        <v>Apparel</v>
      </c>
      <c r="N733" s="18" t="str">
        <f>VLOOKUP(C733,Customers!$A:$E,5,FALSE)</f>
        <v>Corporate</v>
      </c>
      <c r="O733" s="18">
        <f>VLOOKUP(C733,Customers!$A:$C,3,FALSE)</f>
        <v>52</v>
      </c>
      <c r="T733" s="10">
        <v>5.7</v>
      </c>
    </row>
    <row r="734" spans="1:20" ht="14.25" hidden="1" customHeight="1" x14ac:dyDescent="0.3">
      <c r="A734" s="8" t="s">
        <v>1786</v>
      </c>
      <c r="B734" s="9">
        <v>45554</v>
      </c>
      <c r="C734" s="8" t="s">
        <v>1787</v>
      </c>
      <c r="D734" s="8" t="s">
        <v>662</v>
      </c>
      <c r="E734" s="8" t="s">
        <v>216</v>
      </c>
      <c r="F734" s="10">
        <v>7</v>
      </c>
      <c r="G734" s="10">
        <v>6080</v>
      </c>
      <c r="H734" s="10">
        <v>23.6</v>
      </c>
      <c r="I734" s="10">
        <v>32515.84</v>
      </c>
      <c r="J734" s="8" t="s">
        <v>41</v>
      </c>
      <c r="K734" s="8" t="s">
        <v>146</v>
      </c>
      <c r="L734" s="18" t="str">
        <f>VLOOKUP(D734,Products!$A:$C,3,FALSE)</f>
        <v>Beauty</v>
      </c>
      <c r="N734" s="18" t="e">
        <f>VLOOKUP(C734,Customers!$A:$E,5,FALSE)</f>
        <v>#N/A</v>
      </c>
      <c r="O734" s="18" t="e">
        <f>VLOOKUP(C734,Customers!$A:$C,3,FALSE)</f>
        <v>#N/A</v>
      </c>
      <c r="T734" s="10">
        <v>19.899999999999999</v>
      </c>
    </row>
    <row r="735" spans="1:20" ht="14.25" hidden="1" customHeight="1" x14ac:dyDescent="0.3">
      <c r="A735" s="8" t="s">
        <v>1788</v>
      </c>
      <c r="B735" s="9">
        <v>45584</v>
      </c>
      <c r="C735" s="8" t="s">
        <v>275</v>
      </c>
      <c r="D735" s="8" t="s">
        <v>230</v>
      </c>
      <c r="E735" s="8" t="s">
        <v>301</v>
      </c>
      <c r="F735" s="10">
        <v>7</v>
      </c>
      <c r="G735" s="10">
        <v>5330</v>
      </c>
      <c r="H735" s="10">
        <v>19.7</v>
      </c>
      <c r="I735" s="10">
        <v>29959.93</v>
      </c>
      <c r="J735" s="8" t="s">
        <v>147</v>
      </c>
      <c r="K735" s="8" t="s">
        <v>98</v>
      </c>
      <c r="L735" s="18" t="str">
        <f>VLOOKUP(D735,Products!$A:$C,3,FALSE)</f>
        <v>Electronics</v>
      </c>
      <c r="N735" s="18" t="str">
        <f>VLOOKUP(C735,Customers!$A:$E,5,FALSE)</f>
        <v>Corporate</v>
      </c>
      <c r="O735" s="18">
        <f>VLOOKUP(C735,Customers!$A:$C,3,FALSE)</f>
        <v>41</v>
      </c>
      <c r="T735" s="10">
        <v>4.0999999999999996</v>
      </c>
    </row>
    <row r="736" spans="1:20" ht="14.25" hidden="1" customHeight="1" x14ac:dyDescent="0.3">
      <c r="A736" s="8" t="s">
        <v>1789</v>
      </c>
      <c r="B736" s="9">
        <v>45593</v>
      </c>
      <c r="C736" s="8" t="s">
        <v>354</v>
      </c>
      <c r="D736" s="8" t="s">
        <v>839</v>
      </c>
      <c r="E736" s="8" t="s">
        <v>153</v>
      </c>
      <c r="F736" s="10">
        <v>5</v>
      </c>
      <c r="G736" s="10">
        <v>4610</v>
      </c>
      <c r="H736" s="10">
        <v>3.6</v>
      </c>
      <c r="I736" s="10">
        <v>22220.2</v>
      </c>
      <c r="J736" s="8" t="s">
        <v>41</v>
      </c>
      <c r="K736" s="8" t="s">
        <v>178</v>
      </c>
      <c r="L736" s="18" t="str">
        <f>VLOOKUP(D736,Products!$A:$C,3,FALSE)</f>
        <v>Home</v>
      </c>
      <c r="N736" s="18" t="str">
        <f>VLOOKUP(C736,Customers!$A:$E,5,FALSE)</f>
        <v>Retail</v>
      </c>
      <c r="O736" s="18">
        <f>VLOOKUP(C736,Customers!$A:$C,3,FALSE)</f>
        <v>61</v>
      </c>
      <c r="T736" s="10">
        <v>15.2</v>
      </c>
    </row>
    <row r="737" spans="1:20" ht="14.25" customHeight="1" x14ac:dyDescent="0.3">
      <c r="A737" s="8" t="s">
        <v>1790</v>
      </c>
      <c r="B737" s="21">
        <v>45302</v>
      </c>
      <c r="C737" s="8" t="s">
        <v>591</v>
      </c>
      <c r="D737" s="8" t="s">
        <v>230</v>
      </c>
      <c r="E737" s="8" t="s">
        <v>143</v>
      </c>
      <c r="F737" s="10">
        <v>9</v>
      </c>
      <c r="G737" s="10">
        <v>5330</v>
      </c>
      <c r="H737" s="10">
        <v>22.9</v>
      </c>
      <c r="I737" s="10">
        <v>36984.870000000003</v>
      </c>
      <c r="J737" s="8" t="s">
        <v>41</v>
      </c>
      <c r="K737" s="8" t="s">
        <v>42</v>
      </c>
      <c r="L737" s="18" t="str">
        <f>VLOOKUP(D737,Products!$A:$C,3,FALSE)</f>
        <v>Electronics</v>
      </c>
      <c r="N737" s="18" t="str">
        <f>VLOOKUP(C737,Customers!$A:$E,5,FALSE)</f>
        <v>Retail</v>
      </c>
      <c r="O737" s="18">
        <f>VLOOKUP(C737,Customers!$A:$C,3,FALSE)</f>
        <v>36</v>
      </c>
      <c r="P737" s="18" t="str">
        <f>VLOOKUP(E736,Sales_Reps!$A:$C,3,FALSE)</f>
        <v>West</v>
      </c>
      <c r="Q737" s="18" t="str">
        <f>TEXT(B736,"MMM-YY")</f>
        <v>Oct-24</v>
      </c>
      <c r="R737">
        <f>VLOOKUP(D737, Products!A:D, 4, FALSE)</f>
        <v>2405</v>
      </c>
      <c r="S737">
        <f>(G737-R737)/G737</f>
        <v>0.54878048780487809</v>
      </c>
      <c r="T737" s="10">
        <v>16.8</v>
      </c>
    </row>
    <row r="738" spans="1:20" ht="14.25" hidden="1" customHeight="1" x14ac:dyDescent="0.3">
      <c r="A738" s="8" t="s">
        <v>1791</v>
      </c>
      <c r="B738" s="9">
        <v>45440</v>
      </c>
      <c r="C738" s="8" t="s">
        <v>610</v>
      </c>
      <c r="D738" s="8" t="s">
        <v>662</v>
      </c>
      <c r="E738" s="8" t="s">
        <v>167</v>
      </c>
      <c r="F738" s="10">
        <v>5</v>
      </c>
      <c r="G738" s="10">
        <v>6080</v>
      </c>
      <c r="H738" s="10">
        <v>6</v>
      </c>
      <c r="I738" s="10">
        <v>28576</v>
      </c>
      <c r="J738" s="8" t="s">
        <v>193</v>
      </c>
      <c r="K738" s="8" t="s">
        <v>42</v>
      </c>
      <c r="L738" s="18" t="str">
        <f>VLOOKUP(D738,Products!$A:$C,3,FALSE)</f>
        <v>Beauty</v>
      </c>
      <c r="N738" s="18" t="str">
        <f>VLOOKUP(C738,Customers!$A:$E,5,FALSE)</f>
        <v>Retail</v>
      </c>
      <c r="O738" s="18">
        <f>VLOOKUP(C738,Customers!$A:$C,3,FALSE)</f>
        <v>49</v>
      </c>
      <c r="T738" s="10">
        <v>27.9</v>
      </c>
    </row>
    <row r="739" spans="1:20" ht="14.25" hidden="1" customHeight="1" x14ac:dyDescent="0.3">
      <c r="A739" s="8" t="s">
        <v>1792</v>
      </c>
      <c r="B739" s="9">
        <v>45299</v>
      </c>
      <c r="C739" s="8" t="s">
        <v>861</v>
      </c>
      <c r="D739" s="8" t="s">
        <v>644</v>
      </c>
      <c r="E739" s="8" t="s">
        <v>121</v>
      </c>
      <c r="F739" s="10">
        <v>7</v>
      </c>
      <c r="G739" s="10">
        <v>3640</v>
      </c>
      <c r="H739" s="10">
        <v>5.5</v>
      </c>
      <c r="I739" s="10">
        <v>24078.6</v>
      </c>
      <c r="J739" s="8" t="s">
        <v>41</v>
      </c>
      <c r="K739" s="8" t="s">
        <v>146</v>
      </c>
      <c r="L739" s="18" t="str">
        <f>VLOOKUP(D739,Products!$A:$C,3,FALSE)</f>
        <v>Apparel</v>
      </c>
      <c r="N739" s="18" t="str">
        <f>VLOOKUP(C739,Customers!$A:$E,5,FALSE)</f>
        <v>Corporate</v>
      </c>
      <c r="O739" s="18">
        <f>VLOOKUP(C739,Customers!$A:$C,3,FALSE)</f>
        <v>51</v>
      </c>
      <c r="T739" s="10">
        <v>0.3</v>
      </c>
    </row>
    <row r="740" spans="1:20" ht="14.25" customHeight="1" x14ac:dyDescent="0.3">
      <c r="A740" s="8" t="s">
        <v>1793</v>
      </c>
      <c r="B740" s="21">
        <v>45336</v>
      </c>
      <c r="C740" s="8" t="s">
        <v>187</v>
      </c>
      <c r="D740" s="8" t="s">
        <v>131</v>
      </c>
      <c r="E740" s="8" t="s">
        <v>745</v>
      </c>
      <c r="F740" s="10">
        <v>1</v>
      </c>
      <c r="G740" s="10">
        <v>2660</v>
      </c>
      <c r="H740" s="10">
        <v>6.1</v>
      </c>
      <c r="I740" s="10">
        <v>2497.7399999999998</v>
      </c>
      <c r="J740" s="8" t="s">
        <v>147</v>
      </c>
      <c r="K740" s="8" t="s">
        <v>98</v>
      </c>
      <c r="L740" s="18" t="str">
        <f>VLOOKUP(D740,Products!$A:$C,3,FALSE)</f>
        <v>Electronics</v>
      </c>
      <c r="N740" s="18" t="str">
        <f>VLOOKUP(C740,Customers!$A:$E,5,FALSE)</f>
        <v>Corporate</v>
      </c>
      <c r="O740" s="18">
        <f>VLOOKUP(C740,Customers!$A:$C,3,FALSE)</f>
        <v>35</v>
      </c>
      <c r="P740" s="18" t="str">
        <f>VLOOKUP(E739,Sales_Reps!$A:$C,3,FALSE)</f>
        <v>East</v>
      </c>
      <c r="Q740" s="18" t="str">
        <f t="shared" ref="Q740:Q741" si="152">TEXT(B739,"MMM-YY")</f>
        <v>Jan-24</v>
      </c>
      <c r="R740">
        <f>VLOOKUP(D740, Products!A:D, 4, FALSE)</f>
        <v>1259</v>
      </c>
      <c r="S740">
        <f t="shared" ref="S740:S741" si="153">(G740-R740)/G740</f>
        <v>0.52669172932330832</v>
      </c>
      <c r="T740" s="10">
        <v>3.4</v>
      </c>
    </row>
    <row r="741" spans="1:20" ht="14.25" customHeight="1" x14ac:dyDescent="0.3">
      <c r="A741" s="8" t="s">
        <v>1794</v>
      </c>
      <c r="B741" s="21">
        <v>45300</v>
      </c>
      <c r="C741" s="8" t="s">
        <v>623</v>
      </c>
      <c r="D741" s="8" t="s">
        <v>247</v>
      </c>
      <c r="E741" s="8" t="s">
        <v>301</v>
      </c>
      <c r="F741" s="10">
        <v>8</v>
      </c>
      <c r="G741" s="10">
        <v>3350</v>
      </c>
      <c r="H741" s="10">
        <v>19.5</v>
      </c>
      <c r="I741" s="10">
        <v>21574</v>
      </c>
      <c r="J741" s="8" t="s">
        <v>41</v>
      </c>
      <c r="K741" s="8" t="s">
        <v>42</v>
      </c>
      <c r="L741" s="18" t="str">
        <f>VLOOKUP(D741,Products!$A:$C,3,FALSE)</f>
        <v>Beauty</v>
      </c>
      <c r="N741" s="18" t="str">
        <f>VLOOKUP(C741,Customers!$A:$E,5,FALSE)</f>
        <v>SMB</v>
      </c>
      <c r="O741" s="18">
        <f>VLOOKUP(C741,Customers!$A:$C,3,FALSE)</f>
        <v>29</v>
      </c>
      <c r="P741" s="18" t="str">
        <f>VLOOKUP(E740,Sales_Reps!$A:$C,3,FALSE)</f>
        <v>South</v>
      </c>
      <c r="Q741" s="18" t="str">
        <f t="shared" si="152"/>
        <v>Feb-24</v>
      </c>
      <c r="R741">
        <f>VLOOKUP(D741, Products!A:D, 4, FALSE)</f>
        <v>1728</v>
      </c>
      <c r="S741">
        <f t="shared" si="153"/>
        <v>0.48417910447761192</v>
      </c>
      <c r="T741" s="10">
        <v>13.3</v>
      </c>
    </row>
    <row r="742" spans="1:20" ht="14.25" hidden="1" customHeight="1" x14ac:dyDescent="0.3">
      <c r="A742" s="8" t="s">
        <v>1795</v>
      </c>
      <c r="B742" s="9">
        <v>45648</v>
      </c>
      <c r="C742" s="8" t="s">
        <v>35</v>
      </c>
      <c r="D742" s="8" t="s">
        <v>839</v>
      </c>
      <c r="E742" s="8" t="s">
        <v>158</v>
      </c>
      <c r="F742" s="10">
        <v>4</v>
      </c>
      <c r="G742" s="10">
        <v>4610</v>
      </c>
      <c r="H742" s="10">
        <v>24</v>
      </c>
      <c r="I742" s="10">
        <v>14014.4</v>
      </c>
      <c r="J742" s="8" t="s">
        <v>41</v>
      </c>
      <c r="K742" s="8" t="s">
        <v>42</v>
      </c>
      <c r="L742" s="18" t="str">
        <f>VLOOKUP(D742,Products!$A:$C,3,FALSE)</f>
        <v>Home</v>
      </c>
      <c r="N742" s="18" t="str">
        <f>VLOOKUP(C742,Customers!$A:$E,5,FALSE)</f>
        <v>SMB</v>
      </c>
      <c r="O742" s="18">
        <f>VLOOKUP(C742,Customers!$A:$C,3,FALSE)</f>
        <v>44</v>
      </c>
      <c r="T742" s="10">
        <v>15.3</v>
      </c>
    </row>
    <row r="743" spans="1:20" ht="14.25" customHeight="1" x14ac:dyDescent="0.3">
      <c r="A743" s="8" t="s">
        <v>1796</v>
      </c>
      <c r="B743" s="21">
        <v>45293</v>
      </c>
      <c r="C743" s="8" t="s">
        <v>418</v>
      </c>
      <c r="D743" s="8" t="s">
        <v>338</v>
      </c>
      <c r="E743" s="8" t="s">
        <v>117</v>
      </c>
      <c r="F743" s="10">
        <v>7</v>
      </c>
      <c r="G743" s="10">
        <v>2860</v>
      </c>
      <c r="H743" s="10">
        <v>23.2</v>
      </c>
      <c r="I743" s="10">
        <v>15375.36</v>
      </c>
      <c r="J743" s="8" t="s">
        <v>41</v>
      </c>
      <c r="K743" s="8" t="s">
        <v>42</v>
      </c>
      <c r="L743" s="18" t="str">
        <f>VLOOKUP(D743,Products!$A:$C,3,FALSE)</f>
        <v>Sports</v>
      </c>
      <c r="N743" s="18" t="str">
        <f>VLOOKUP(C743,Customers!$A:$E,5,FALSE)</f>
        <v>Corporate</v>
      </c>
      <c r="O743" s="18">
        <f>VLOOKUP(C743,Customers!$A:$C,3,FALSE)</f>
        <v>40</v>
      </c>
      <c r="P743" s="18" t="str">
        <f>VLOOKUP(E742,Sales_Reps!$A:$C,3,FALSE)</f>
        <v>East</v>
      </c>
      <c r="Q743" s="18" t="str">
        <f t="shared" ref="Q743:Q748" si="154">TEXT(B742,"MMM-YY")</f>
        <v>Dec-24</v>
      </c>
      <c r="R743">
        <f>VLOOKUP(D743, Products!A:D, 4, FALSE)</f>
        <v>2028</v>
      </c>
      <c r="S743">
        <f t="shared" ref="S743:S748" si="155">(G743-R743)/G743</f>
        <v>0.29090909090909089</v>
      </c>
      <c r="T743" s="10">
        <v>17.5</v>
      </c>
    </row>
    <row r="744" spans="1:20" ht="14.25" customHeight="1" x14ac:dyDescent="0.3">
      <c r="A744" s="8" t="s">
        <v>1797</v>
      </c>
      <c r="B744" s="21">
        <v>45644</v>
      </c>
      <c r="C744" s="8" t="s">
        <v>591</v>
      </c>
      <c r="D744" s="8" t="s">
        <v>247</v>
      </c>
      <c r="E744" s="8" t="s">
        <v>745</v>
      </c>
      <c r="F744" s="10">
        <v>7</v>
      </c>
      <c r="G744" s="10">
        <v>3350</v>
      </c>
      <c r="H744" s="10">
        <v>10.6</v>
      </c>
      <c r="I744" s="10">
        <v>20964.3</v>
      </c>
      <c r="J744" s="8" t="s">
        <v>97</v>
      </c>
      <c r="K744" s="8" t="s">
        <v>42</v>
      </c>
      <c r="L744" s="18" t="str">
        <f>VLOOKUP(D744,Products!$A:$C,3,FALSE)</f>
        <v>Beauty</v>
      </c>
      <c r="N744" s="18" t="str">
        <f>VLOOKUP(C744,Customers!$A:$E,5,FALSE)</f>
        <v>Retail</v>
      </c>
      <c r="O744" s="18">
        <f>VLOOKUP(C744,Customers!$A:$C,3,FALSE)</f>
        <v>36</v>
      </c>
      <c r="P744" s="18" t="str">
        <f>VLOOKUP(E743,Sales_Reps!$A:$C,3,FALSE)</f>
        <v>South</v>
      </c>
      <c r="Q744" s="18" t="str">
        <f t="shared" si="154"/>
        <v>Jan-24</v>
      </c>
      <c r="R744">
        <f>VLOOKUP(D744, Products!A:D, 4, FALSE)</f>
        <v>1728</v>
      </c>
      <c r="S744">
        <f t="shared" si="155"/>
        <v>0.48417910447761192</v>
      </c>
      <c r="T744" s="10">
        <v>1.8</v>
      </c>
    </row>
    <row r="745" spans="1:20" ht="14.25" customHeight="1" x14ac:dyDescent="0.3">
      <c r="A745" s="8" t="s">
        <v>1798</v>
      </c>
      <c r="B745" s="21">
        <v>45589</v>
      </c>
      <c r="C745" s="8" t="s">
        <v>440</v>
      </c>
      <c r="D745" s="8" t="s">
        <v>918</v>
      </c>
      <c r="E745" s="8" t="s">
        <v>172</v>
      </c>
      <c r="F745" s="10">
        <v>5</v>
      </c>
      <c r="G745" s="10">
        <v>2210</v>
      </c>
      <c r="H745" s="10">
        <v>12.1</v>
      </c>
      <c r="I745" s="10">
        <v>9712.9500000000007</v>
      </c>
      <c r="J745" s="8" t="s">
        <v>41</v>
      </c>
      <c r="K745" s="8" t="s">
        <v>98</v>
      </c>
      <c r="L745" s="18" t="str">
        <f>VLOOKUP(D745,Products!$A:$C,3,FALSE)</f>
        <v>Grocery</v>
      </c>
      <c r="N745" s="18" t="str">
        <f>VLOOKUP(C745,Customers!$A:$E,5,FALSE)</f>
        <v>Retail</v>
      </c>
      <c r="O745" s="18">
        <f>VLOOKUP(C745,Customers!$A:$C,3,FALSE)</f>
        <v>28</v>
      </c>
      <c r="P745" s="18" t="str">
        <f>VLOOKUP(E744,Sales_Reps!$A:$C,3,FALSE)</f>
        <v>South</v>
      </c>
      <c r="Q745" s="18" t="str">
        <f t="shared" si="154"/>
        <v>Dec-24</v>
      </c>
      <c r="R745">
        <f>VLOOKUP(D745, Products!A:D, 4, FALSE)</f>
        <v>1010</v>
      </c>
      <c r="S745">
        <f t="shared" si="155"/>
        <v>0.54298642533936647</v>
      </c>
      <c r="T745" s="10">
        <v>24.8</v>
      </c>
    </row>
    <row r="746" spans="1:20" ht="14.25" customHeight="1" x14ac:dyDescent="0.3">
      <c r="A746" s="8" t="s">
        <v>1799</v>
      </c>
      <c r="B746" s="21">
        <v>45329</v>
      </c>
      <c r="C746" s="8" t="s">
        <v>734</v>
      </c>
      <c r="D746" s="8" t="s">
        <v>215</v>
      </c>
      <c r="E746" s="8" t="s">
        <v>745</v>
      </c>
      <c r="F746" s="10">
        <v>1</v>
      </c>
      <c r="G746" s="10">
        <v>3450</v>
      </c>
      <c r="H746" s="10">
        <v>19.100000000000001</v>
      </c>
      <c r="I746" s="10">
        <v>2791.05</v>
      </c>
      <c r="J746" s="8" t="s">
        <v>97</v>
      </c>
      <c r="K746" s="8" t="s">
        <v>42</v>
      </c>
      <c r="L746" s="18" t="str">
        <f>VLOOKUP(D746,Products!$A:$C,3,FALSE)</f>
        <v>Beauty</v>
      </c>
      <c r="N746" s="18" t="str">
        <f>VLOOKUP(C746,Customers!$A:$E,5,FALSE)</f>
        <v>Corporate</v>
      </c>
      <c r="O746" s="18">
        <f>VLOOKUP(C746,Customers!$A:$C,3,FALSE)</f>
        <v>37</v>
      </c>
      <c r="P746" s="18" t="str">
        <f>VLOOKUP(E745,Sales_Reps!$A:$C,3,FALSE)</f>
        <v>West</v>
      </c>
      <c r="Q746" s="18" t="str">
        <f t="shared" si="154"/>
        <v>Oct-24</v>
      </c>
      <c r="R746">
        <f>VLOOKUP(D746, Products!A:D, 4, FALSE)</f>
        <v>2420</v>
      </c>
      <c r="S746">
        <f t="shared" si="155"/>
        <v>0.29855072463768118</v>
      </c>
      <c r="T746" s="10">
        <v>28.3</v>
      </c>
    </row>
    <row r="747" spans="1:20" ht="14.25" customHeight="1" x14ac:dyDescent="0.3">
      <c r="A747" s="8" t="s">
        <v>1800</v>
      </c>
      <c r="B747" s="21">
        <v>45587</v>
      </c>
      <c r="C747" s="8" t="s">
        <v>742</v>
      </c>
      <c r="D747" s="8" t="s">
        <v>320</v>
      </c>
      <c r="E747" s="8" t="s">
        <v>172</v>
      </c>
      <c r="F747" s="10">
        <v>5</v>
      </c>
      <c r="G747" s="10">
        <v>5100</v>
      </c>
      <c r="H747" s="10">
        <v>2.8</v>
      </c>
      <c r="I747" s="10">
        <v>24786</v>
      </c>
      <c r="J747" s="8" t="s">
        <v>41</v>
      </c>
      <c r="K747" s="8" t="s">
        <v>178</v>
      </c>
      <c r="L747" s="18" t="str">
        <f>VLOOKUP(D747,Products!$A:$C,3,FALSE)</f>
        <v>Beauty</v>
      </c>
      <c r="N747" s="18" t="str">
        <f>VLOOKUP(C747,Customers!$A:$E,5,FALSE)</f>
        <v>Retail</v>
      </c>
      <c r="O747" s="18">
        <f>VLOOKUP(C747,Customers!$A:$C,3,FALSE)</f>
        <v>38</v>
      </c>
      <c r="P747" s="18" t="str">
        <f>VLOOKUP(E746,Sales_Reps!$A:$C,3,FALSE)</f>
        <v>South</v>
      </c>
      <c r="Q747" s="18" t="str">
        <f t="shared" si="154"/>
        <v>Feb-24</v>
      </c>
      <c r="R747">
        <f>VLOOKUP(D747, Products!A:D, 4, FALSE)</f>
        <v>2237</v>
      </c>
      <c r="S747">
        <f t="shared" si="155"/>
        <v>0.56137254901960787</v>
      </c>
      <c r="T747" s="10">
        <v>22.2</v>
      </c>
    </row>
    <row r="748" spans="1:20" ht="14.25" customHeight="1" x14ac:dyDescent="0.3">
      <c r="A748" s="8" t="s">
        <v>1801</v>
      </c>
      <c r="B748" s="21">
        <v>45423</v>
      </c>
      <c r="C748" s="8" t="s">
        <v>538</v>
      </c>
      <c r="D748" s="8" t="s">
        <v>320</v>
      </c>
      <c r="E748" s="8" t="s">
        <v>200</v>
      </c>
      <c r="F748" s="10">
        <v>9</v>
      </c>
      <c r="G748" s="10">
        <v>5100</v>
      </c>
      <c r="H748" s="10">
        <v>24.4</v>
      </c>
      <c r="I748" s="10">
        <v>34700.400000000001</v>
      </c>
      <c r="J748" s="8" t="s">
        <v>41</v>
      </c>
      <c r="K748" s="8" t="s">
        <v>178</v>
      </c>
      <c r="L748" s="18" t="str">
        <f>VLOOKUP(D748,Products!$A:$C,3,FALSE)</f>
        <v>Beauty</v>
      </c>
      <c r="N748" s="18" t="str">
        <f>VLOOKUP(C748,Customers!$A:$E,5,FALSE)</f>
        <v>Retail</v>
      </c>
      <c r="O748" s="18">
        <f>VLOOKUP(C748,Customers!$A:$C,3,FALSE)</f>
        <v>29</v>
      </c>
      <c r="P748" s="18" t="str">
        <f>VLOOKUP(E747,Sales_Reps!$A:$C,3,FALSE)</f>
        <v>West</v>
      </c>
      <c r="Q748" s="18" t="str">
        <f t="shared" si="154"/>
        <v>Oct-24</v>
      </c>
      <c r="R748">
        <f>VLOOKUP(D748, Products!A:D, 4, FALSE)</f>
        <v>2237</v>
      </c>
      <c r="S748">
        <f t="shared" si="155"/>
        <v>0.56137254901960787</v>
      </c>
      <c r="T748" s="10">
        <v>29</v>
      </c>
    </row>
    <row r="749" spans="1:20" ht="14.25" hidden="1" customHeight="1" x14ac:dyDescent="0.3">
      <c r="A749" s="8" t="s">
        <v>1802</v>
      </c>
      <c r="B749" s="9">
        <v>45568</v>
      </c>
      <c r="C749" s="8" t="s">
        <v>658</v>
      </c>
      <c r="D749" s="8" t="s">
        <v>389</v>
      </c>
      <c r="E749" s="8" t="s">
        <v>125</v>
      </c>
      <c r="F749" s="10">
        <v>9</v>
      </c>
      <c r="G749" s="10">
        <v>660</v>
      </c>
      <c r="H749" s="10">
        <v>19.8</v>
      </c>
      <c r="I749" s="10">
        <v>4763.88</v>
      </c>
      <c r="J749" s="8" t="s">
        <v>41</v>
      </c>
      <c r="K749" s="8" t="s">
        <v>98</v>
      </c>
      <c r="L749" s="18" t="str">
        <f>VLOOKUP(D749,Products!$A:$C,3,FALSE)</f>
        <v>Home</v>
      </c>
      <c r="N749" s="18" t="str">
        <f>VLOOKUP(C749,Customers!$A:$E,5,FALSE)</f>
        <v>Retail</v>
      </c>
      <c r="O749" s="18">
        <f>VLOOKUP(C749,Customers!$A:$C,3,FALSE)</f>
        <v>41</v>
      </c>
      <c r="T749" s="10">
        <v>9.6</v>
      </c>
    </row>
    <row r="750" spans="1:20" ht="14.25" hidden="1" customHeight="1" x14ac:dyDescent="0.3">
      <c r="A750" s="8" t="s">
        <v>1803</v>
      </c>
      <c r="B750" s="9">
        <v>45549</v>
      </c>
      <c r="C750" s="8" t="s">
        <v>521</v>
      </c>
      <c r="D750" s="8" t="s">
        <v>818</v>
      </c>
      <c r="E750" s="8" t="s">
        <v>125</v>
      </c>
      <c r="F750" s="10">
        <v>3</v>
      </c>
      <c r="G750" s="10">
        <v>4070</v>
      </c>
      <c r="H750" s="10">
        <v>27.1</v>
      </c>
      <c r="I750" s="10">
        <v>8901.09</v>
      </c>
      <c r="J750" s="8" t="s">
        <v>41</v>
      </c>
      <c r="K750" s="8" t="s">
        <v>146</v>
      </c>
      <c r="L750" s="18" t="str">
        <f>VLOOKUP(D750,Products!$A:$C,3,FALSE)</f>
        <v>Grocery</v>
      </c>
      <c r="N750" s="18" t="str">
        <f>VLOOKUP(C750,Customers!$A:$E,5,FALSE)</f>
        <v>Retail</v>
      </c>
      <c r="O750" s="18">
        <f>VLOOKUP(C750,Customers!$A:$C,3,FALSE)</f>
        <v>44</v>
      </c>
      <c r="T750" s="10">
        <v>10.199999999999999</v>
      </c>
    </row>
    <row r="751" spans="1:20" ht="14.25" customHeight="1" x14ac:dyDescent="0.3">
      <c r="A751" s="8" t="s">
        <v>1804</v>
      </c>
      <c r="B751" s="21">
        <v>45504</v>
      </c>
      <c r="C751" s="8" t="s">
        <v>166</v>
      </c>
      <c r="D751" s="8" t="s">
        <v>898</v>
      </c>
      <c r="E751" s="8" t="s">
        <v>38</v>
      </c>
      <c r="F751" s="10">
        <v>2</v>
      </c>
      <c r="G751" s="10">
        <v>2510</v>
      </c>
      <c r="H751" s="10">
        <v>29.1</v>
      </c>
      <c r="I751" s="10">
        <v>3559.18</v>
      </c>
      <c r="J751" s="8" t="s">
        <v>41</v>
      </c>
      <c r="K751" s="8" t="s">
        <v>146</v>
      </c>
      <c r="L751" s="18" t="str">
        <f>VLOOKUP(D751,Products!$A:$C,3,FALSE)</f>
        <v>Apparel</v>
      </c>
      <c r="N751" s="18" t="str">
        <f>VLOOKUP(C751,Customers!$A:$E,5,FALSE)</f>
        <v>SMB</v>
      </c>
      <c r="O751" s="18">
        <f>VLOOKUP(C751,Customers!$A:$C,3,FALSE)</f>
        <v>22</v>
      </c>
      <c r="P751" s="18" t="str">
        <f>VLOOKUP(E750,Sales_Reps!$A:$C,3,FALSE)</f>
        <v>North</v>
      </c>
      <c r="Q751" s="18" t="str">
        <f t="shared" ref="Q751:Q754" si="156">TEXT(B750,"MMM-YY")</f>
        <v>Sep-24</v>
      </c>
      <c r="R751">
        <f>VLOOKUP(D751, Products!A:D, 4, FALSE)</f>
        <v>1075</v>
      </c>
      <c r="S751">
        <f t="shared" ref="S751:S754" si="157">(G751-R751)/G751</f>
        <v>0.57171314741035861</v>
      </c>
      <c r="T751" s="10">
        <v>21.6</v>
      </c>
    </row>
    <row r="752" spans="1:20" ht="14.25" customHeight="1" x14ac:dyDescent="0.3">
      <c r="A752" s="8" t="s">
        <v>1805</v>
      </c>
      <c r="B752" s="21">
        <v>45449</v>
      </c>
      <c r="C752" s="8" t="s">
        <v>623</v>
      </c>
      <c r="D752" s="8" t="s">
        <v>192</v>
      </c>
      <c r="E752" s="8" t="s">
        <v>143</v>
      </c>
      <c r="F752" s="10">
        <v>4</v>
      </c>
      <c r="G752" s="10">
        <v>3250</v>
      </c>
      <c r="H752" s="10">
        <v>21.1</v>
      </c>
      <c r="I752" s="10">
        <v>10257</v>
      </c>
      <c r="J752" s="8" t="s">
        <v>41</v>
      </c>
      <c r="K752" s="8" t="s">
        <v>42</v>
      </c>
      <c r="L752" s="18" t="str">
        <f>VLOOKUP(D752,Products!$A:$C,3,FALSE)</f>
        <v>Home</v>
      </c>
      <c r="N752" s="18" t="str">
        <f>VLOOKUP(C752,Customers!$A:$E,5,FALSE)</f>
        <v>SMB</v>
      </c>
      <c r="O752" s="18">
        <f>VLOOKUP(C752,Customers!$A:$C,3,FALSE)</f>
        <v>29</v>
      </c>
      <c r="P752" s="18" t="str">
        <f>VLOOKUP(E751,Sales_Reps!$A:$C,3,FALSE)</f>
        <v>North</v>
      </c>
      <c r="Q752" s="18" t="str">
        <f t="shared" si="156"/>
        <v>Jul-24</v>
      </c>
      <c r="R752">
        <f>VLOOKUP(D752, Products!A:D, 4, FALSE)</f>
        <v>1556</v>
      </c>
      <c r="S752">
        <f t="shared" si="157"/>
        <v>0.52123076923076928</v>
      </c>
      <c r="T752" s="10">
        <v>12.1</v>
      </c>
    </row>
    <row r="753" spans="1:20" ht="14.25" customHeight="1" x14ac:dyDescent="0.3">
      <c r="A753" s="8" t="s">
        <v>1806</v>
      </c>
      <c r="B753" s="21">
        <v>45600</v>
      </c>
      <c r="C753" s="8" t="s">
        <v>384</v>
      </c>
      <c r="D753" s="8" t="s">
        <v>144</v>
      </c>
      <c r="E753" s="8" t="s">
        <v>96</v>
      </c>
      <c r="F753" s="10">
        <v>3</v>
      </c>
      <c r="G753" s="10">
        <v>370</v>
      </c>
      <c r="H753" s="10">
        <v>7.7</v>
      </c>
      <c r="I753" s="10">
        <v>1024.53</v>
      </c>
      <c r="J753" s="8" t="s">
        <v>41</v>
      </c>
      <c r="K753" s="8" t="s">
        <v>136</v>
      </c>
      <c r="L753" s="18" t="str">
        <f>VLOOKUP(D753,Products!$A:$C,3,FALSE)</f>
        <v>Home</v>
      </c>
      <c r="N753" s="18" t="str">
        <f>VLOOKUP(C753,Customers!$A:$E,5,FALSE)</f>
        <v>Corporate</v>
      </c>
      <c r="O753" s="18">
        <f>VLOOKUP(C753,Customers!$A:$C,3,FALSE)</f>
        <v>26</v>
      </c>
      <c r="P753" s="18" t="str">
        <f>VLOOKUP(E752,Sales_Reps!$A:$C,3,FALSE)</f>
        <v>West</v>
      </c>
      <c r="Q753" s="18" t="str">
        <f t="shared" si="156"/>
        <v>Jun-24</v>
      </c>
      <c r="R753">
        <f>VLOOKUP(D753, Products!A:D, 4, FALSE)</f>
        <v>288</v>
      </c>
      <c r="S753">
        <f t="shared" si="157"/>
        <v>0.22162162162162163</v>
      </c>
      <c r="T753" s="10">
        <v>26.7</v>
      </c>
    </row>
    <row r="754" spans="1:20" ht="14.25" customHeight="1" x14ac:dyDescent="0.3">
      <c r="A754" s="8" t="s">
        <v>1807</v>
      </c>
      <c r="B754" s="21">
        <v>45479</v>
      </c>
      <c r="C754" s="8" t="s">
        <v>692</v>
      </c>
      <c r="D754" s="8" t="s">
        <v>95</v>
      </c>
      <c r="E754" s="8" t="s">
        <v>125</v>
      </c>
      <c r="F754" s="10">
        <v>10</v>
      </c>
      <c r="G754" s="10">
        <v>820</v>
      </c>
      <c r="H754" s="10">
        <v>3.5</v>
      </c>
      <c r="I754" s="10">
        <v>7913</v>
      </c>
      <c r="J754" s="8" t="s">
        <v>41</v>
      </c>
      <c r="K754" s="8" t="s">
        <v>42</v>
      </c>
      <c r="L754" s="18" t="str">
        <f>VLOOKUP(D754,Products!$A:$C,3,FALSE)</f>
        <v>Apparel</v>
      </c>
      <c r="N754" s="18" t="str">
        <f>VLOOKUP(C754,Customers!$A:$E,5,FALSE)</f>
        <v>Corporate</v>
      </c>
      <c r="O754" s="18">
        <f>VLOOKUP(C754,Customers!$A:$C,3,FALSE)</f>
        <v>29</v>
      </c>
      <c r="P754" s="18" t="str">
        <f>VLOOKUP(E753,Sales_Reps!$A:$C,3,FALSE)</f>
        <v>North</v>
      </c>
      <c r="Q754" s="18" t="str">
        <f t="shared" si="156"/>
        <v>Nov-24</v>
      </c>
      <c r="R754">
        <f>VLOOKUP(D754, Products!A:D, 4, FALSE)</f>
        <v>391</v>
      </c>
      <c r="S754">
        <f t="shared" si="157"/>
        <v>0.52317073170731709</v>
      </c>
      <c r="T754" s="10">
        <v>9.3000000000000007</v>
      </c>
    </row>
    <row r="755" spans="1:20" ht="14.25" hidden="1" customHeight="1" x14ac:dyDescent="0.3">
      <c r="A755" s="8" t="s">
        <v>1808</v>
      </c>
      <c r="B755" s="9">
        <v>45531</v>
      </c>
      <c r="C755" s="8" t="s">
        <v>667</v>
      </c>
      <c r="D755" s="8" t="s">
        <v>818</v>
      </c>
      <c r="E755" s="8" t="s">
        <v>236</v>
      </c>
      <c r="F755" s="10">
        <v>4</v>
      </c>
      <c r="G755" s="10">
        <v>4070</v>
      </c>
      <c r="H755" s="10">
        <v>23.8</v>
      </c>
      <c r="I755" s="10">
        <v>12405.36</v>
      </c>
      <c r="J755" s="8" t="s">
        <v>41</v>
      </c>
      <c r="K755" s="8" t="s">
        <v>136</v>
      </c>
      <c r="L755" s="18" t="str">
        <f>VLOOKUP(D755,Products!$A:$C,3,FALSE)</f>
        <v>Grocery</v>
      </c>
      <c r="N755" s="18" t="str">
        <f>VLOOKUP(C755,Customers!$A:$E,5,FALSE)</f>
        <v>Retail</v>
      </c>
      <c r="O755" s="18">
        <f>VLOOKUP(C755,Customers!$A:$C,3,FALSE)</f>
        <v>55</v>
      </c>
      <c r="T755" s="10">
        <v>8.1999999999999993</v>
      </c>
    </row>
    <row r="756" spans="1:20" ht="14.25" customHeight="1" x14ac:dyDescent="0.3">
      <c r="A756" s="8" t="s">
        <v>1809</v>
      </c>
      <c r="B756" s="21">
        <v>45356</v>
      </c>
      <c r="C756" s="8" t="s">
        <v>812</v>
      </c>
      <c r="D756" s="8" t="s">
        <v>909</v>
      </c>
      <c r="E756" s="8" t="s">
        <v>865</v>
      </c>
      <c r="F756" s="10">
        <v>1</v>
      </c>
      <c r="G756" s="10">
        <v>2380</v>
      </c>
      <c r="H756" s="10">
        <v>19.600000000000001</v>
      </c>
      <c r="I756" s="10">
        <v>1913.52</v>
      </c>
      <c r="J756" s="8" t="s">
        <v>147</v>
      </c>
      <c r="K756" s="8" t="s">
        <v>136</v>
      </c>
      <c r="L756" s="18" t="str">
        <f>VLOOKUP(D756,Products!$A:$C,3,FALSE)</f>
        <v>Grocery</v>
      </c>
      <c r="N756" s="18" t="str">
        <f>VLOOKUP(C756,Customers!$A:$E,5,FALSE)</f>
        <v>Retail</v>
      </c>
      <c r="O756" s="18">
        <f>VLOOKUP(C756,Customers!$A:$C,3,FALSE)</f>
        <v>29</v>
      </c>
      <c r="P756" s="18" t="str">
        <f>VLOOKUP(E755,Sales_Reps!$A:$C,3,FALSE)</f>
        <v>West</v>
      </c>
      <c r="Q756" s="18" t="str">
        <f>TEXT(B755,"MMM-YY")</f>
        <v>Aug-24</v>
      </c>
      <c r="R756">
        <f>VLOOKUP(D756, Products!A:D, 4, FALSE)</f>
        <v>1182</v>
      </c>
      <c r="S756">
        <f>(G756-R756)/G756</f>
        <v>0.50336134453781511</v>
      </c>
      <c r="T756" s="10">
        <v>10.4</v>
      </c>
    </row>
    <row r="757" spans="1:20" ht="14.25" hidden="1" customHeight="1" x14ac:dyDescent="0.3">
      <c r="A757" s="8" t="s">
        <v>1810</v>
      </c>
      <c r="B757" s="9">
        <v>45553</v>
      </c>
      <c r="C757" s="8" t="s">
        <v>805</v>
      </c>
      <c r="D757" s="8" t="s">
        <v>163</v>
      </c>
      <c r="E757" s="8" t="s">
        <v>143</v>
      </c>
      <c r="F757" s="10">
        <v>3</v>
      </c>
      <c r="G757" s="10">
        <v>5490</v>
      </c>
      <c r="H757" s="10">
        <v>2.5</v>
      </c>
      <c r="I757" s="10">
        <v>16058.25</v>
      </c>
      <c r="J757" s="8" t="s">
        <v>41</v>
      </c>
      <c r="K757" s="8" t="s">
        <v>42</v>
      </c>
      <c r="L757" s="18" t="str">
        <f>VLOOKUP(D757,Products!$A:$C,3,FALSE)</f>
        <v>Home</v>
      </c>
      <c r="N757" s="18" t="str">
        <f>VLOOKUP(C757,Customers!$A:$E,5,FALSE)</f>
        <v>Retail</v>
      </c>
      <c r="O757" s="18">
        <f>VLOOKUP(C757,Customers!$A:$C,3,FALSE)</f>
        <v>65</v>
      </c>
      <c r="T757" s="10">
        <v>12.6</v>
      </c>
    </row>
    <row r="758" spans="1:20" ht="14.25" hidden="1" customHeight="1" x14ac:dyDescent="0.3">
      <c r="A758" s="8" t="s">
        <v>1811</v>
      </c>
      <c r="B758" s="9">
        <v>45492</v>
      </c>
      <c r="C758" s="8" t="s">
        <v>698</v>
      </c>
      <c r="D758" s="8" t="s">
        <v>644</v>
      </c>
      <c r="E758" s="8" t="s">
        <v>619</v>
      </c>
      <c r="F758" s="10">
        <v>3</v>
      </c>
      <c r="G758" s="10">
        <v>3640</v>
      </c>
      <c r="H758" s="10">
        <v>23.3</v>
      </c>
      <c r="I758" s="10">
        <v>8375.64</v>
      </c>
      <c r="J758" s="8" t="s">
        <v>41</v>
      </c>
      <c r="K758" s="8" t="s">
        <v>146</v>
      </c>
      <c r="L758" s="18" t="str">
        <f>VLOOKUP(D758,Products!$A:$C,3,FALSE)</f>
        <v>Apparel</v>
      </c>
      <c r="N758" s="18" t="str">
        <f>VLOOKUP(C758,Customers!$A:$E,5,FALSE)</f>
        <v>Retail</v>
      </c>
      <c r="O758" s="18">
        <f>VLOOKUP(C758,Customers!$A:$C,3,FALSE)</f>
        <v>49</v>
      </c>
      <c r="T758" s="10">
        <v>2.6</v>
      </c>
    </row>
    <row r="759" spans="1:20" ht="14.25" customHeight="1" x14ac:dyDescent="0.3">
      <c r="A759" s="8" t="s">
        <v>1812</v>
      </c>
      <c r="B759" s="21">
        <v>45388</v>
      </c>
      <c r="C759" s="8" t="s">
        <v>563</v>
      </c>
      <c r="D759" s="8" t="s">
        <v>839</v>
      </c>
      <c r="E759" s="8" t="s">
        <v>167</v>
      </c>
      <c r="F759" s="10">
        <v>2</v>
      </c>
      <c r="G759" s="10">
        <v>4610</v>
      </c>
      <c r="H759" s="10">
        <v>5</v>
      </c>
      <c r="I759" s="10">
        <v>8759</v>
      </c>
      <c r="J759" s="8" t="s">
        <v>97</v>
      </c>
      <c r="K759" s="8" t="s">
        <v>98</v>
      </c>
      <c r="L759" s="18" t="str">
        <f>VLOOKUP(D759,Products!$A:$C,3,FALSE)</f>
        <v>Home</v>
      </c>
      <c r="N759" s="18" t="str">
        <f>VLOOKUP(C759,Customers!$A:$E,5,FALSE)</f>
        <v>Corporate</v>
      </c>
      <c r="O759" s="18">
        <f>VLOOKUP(C759,Customers!$A:$C,3,FALSE)</f>
        <v>24</v>
      </c>
      <c r="P759" s="18" t="str">
        <f>VLOOKUP(E758,Sales_Reps!$A:$C,3,FALSE)</f>
        <v>West</v>
      </c>
      <c r="Q759" s="18" t="str">
        <f>TEXT(B758,"MMM-YY")</f>
        <v>Jul-24</v>
      </c>
      <c r="R759">
        <f>VLOOKUP(D759, Products!A:D, 4, FALSE)</f>
        <v>1850</v>
      </c>
      <c r="S759">
        <f>(G759-R759)/G759</f>
        <v>0.59869848156182215</v>
      </c>
      <c r="T759" s="10">
        <v>13.1</v>
      </c>
    </row>
    <row r="760" spans="1:20" ht="14.25" hidden="1" customHeight="1" x14ac:dyDescent="0.3">
      <c r="A760" s="8" t="s">
        <v>1813</v>
      </c>
      <c r="B760" s="9">
        <v>45369</v>
      </c>
      <c r="C760" s="8" t="s">
        <v>801</v>
      </c>
      <c r="D760" s="8" t="s">
        <v>205</v>
      </c>
      <c r="E760" s="8" t="s">
        <v>231</v>
      </c>
      <c r="F760" s="10">
        <v>8</v>
      </c>
      <c r="G760" s="10">
        <v>2400</v>
      </c>
      <c r="H760" s="10">
        <v>10</v>
      </c>
      <c r="I760" s="10">
        <v>17280</v>
      </c>
      <c r="J760" s="8" t="s">
        <v>97</v>
      </c>
      <c r="K760" s="8" t="s">
        <v>42</v>
      </c>
      <c r="L760" s="18" t="str">
        <f>VLOOKUP(D760,Products!$A:$C,3,FALSE)</f>
        <v>Sports</v>
      </c>
      <c r="N760" s="18" t="str">
        <f>VLOOKUP(C760,Customers!$A:$E,5,FALSE)</f>
        <v>Retail</v>
      </c>
      <c r="O760" s="18">
        <f>VLOOKUP(C760,Customers!$A:$C,3,FALSE)</f>
        <v>59</v>
      </c>
      <c r="T760" s="10">
        <v>23.7</v>
      </c>
    </row>
    <row r="761" spans="1:20" ht="14.25" customHeight="1" x14ac:dyDescent="0.3">
      <c r="A761" s="8" t="s">
        <v>1814</v>
      </c>
      <c r="B761" s="21">
        <v>45597</v>
      </c>
      <c r="C761" s="8" t="s">
        <v>500</v>
      </c>
      <c r="D761" s="8" t="s">
        <v>247</v>
      </c>
      <c r="E761" s="8" t="s">
        <v>261</v>
      </c>
      <c r="F761" s="10">
        <v>7</v>
      </c>
      <c r="G761" s="10">
        <v>3350</v>
      </c>
      <c r="H761" s="10">
        <v>23.7</v>
      </c>
      <c r="I761" s="10">
        <v>17892.349999999999</v>
      </c>
      <c r="J761" s="8" t="s">
        <v>41</v>
      </c>
      <c r="K761" s="8" t="s">
        <v>119</v>
      </c>
      <c r="L761" s="18" t="str">
        <f>VLOOKUP(D761,Products!$A:$C,3,FALSE)</f>
        <v>Beauty</v>
      </c>
      <c r="N761" s="18" t="str">
        <f>VLOOKUP(C761,Customers!$A:$E,5,FALSE)</f>
        <v>Retail</v>
      </c>
      <c r="O761" s="18">
        <f>VLOOKUP(C761,Customers!$A:$C,3,FALSE)</f>
        <v>30</v>
      </c>
      <c r="P761" s="18" t="str">
        <f>VLOOKUP(E760,Sales_Reps!$A:$C,3,FALSE)</f>
        <v>North</v>
      </c>
      <c r="Q761" s="18" t="str">
        <f t="shared" ref="Q761:Q762" si="158">TEXT(B760,"MMM-YY")</f>
        <v>Mar-24</v>
      </c>
      <c r="R761">
        <f>VLOOKUP(D761, Products!A:D, 4, FALSE)</f>
        <v>1728</v>
      </c>
      <c r="S761">
        <f t="shared" ref="S761:S762" si="159">(G761-R761)/G761</f>
        <v>0.48417910447761192</v>
      </c>
      <c r="T761" s="10">
        <v>17.3</v>
      </c>
    </row>
    <row r="762" spans="1:20" ht="14.25" customHeight="1" x14ac:dyDescent="0.3">
      <c r="A762" s="8" t="s">
        <v>1815</v>
      </c>
      <c r="B762" s="21">
        <v>45611</v>
      </c>
      <c r="C762" s="8" t="s">
        <v>603</v>
      </c>
      <c r="D762" s="8" t="s">
        <v>644</v>
      </c>
      <c r="E762" s="8" t="s">
        <v>189</v>
      </c>
      <c r="F762" s="10">
        <v>4</v>
      </c>
      <c r="G762" s="10">
        <v>3640</v>
      </c>
      <c r="H762" s="10">
        <v>9.3000000000000007</v>
      </c>
      <c r="I762" s="10">
        <v>13205.92</v>
      </c>
      <c r="J762" s="8" t="s">
        <v>147</v>
      </c>
      <c r="K762" s="8" t="s">
        <v>178</v>
      </c>
      <c r="L762" s="18" t="str">
        <f>VLOOKUP(D762,Products!$A:$C,3,FALSE)</f>
        <v>Apparel</v>
      </c>
      <c r="N762" s="18" t="str">
        <f>VLOOKUP(C762,Customers!$A:$E,5,FALSE)</f>
        <v>Retail</v>
      </c>
      <c r="O762" s="18">
        <f>VLOOKUP(C762,Customers!$A:$C,3,FALSE)</f>
        <v>27</v>
      </c>
      <c r="P762" s="18" t="str">
        <f>VLOOKUP(E761,Sales_Reps!$A:$C,3,FALSE)</f>
        <v>North</v>
      </c>
      <c r="Q762" s="18" t="str">
        <f t="shared" si="158"/>
        <v>Nov-24</v>
      </c>
      <c r="R762">
        <f>VLOOKUP(D762, Products!A:D, 4, FALSE)</f>
        <v>2611</v>
      </c>
      <c r="S762">
        <f t="shared" si="159"/>
        <v>0.28269230769230769</v>
      </c>
      <c r="T762" s="10">
        <v>22.4</v>
      </c>
    </row>
    <row r="763" spans="1:20" ht="14.25" hidden="1" customHeight="1" x14ac:dyDescent="0.3">
      <c r="A763" s="8" t="s">
        <v>1816</v>
      </c>
      <c r="B763" s="9">
        <v>45579</v>
      </c>
      <c r="C763" s="8" t="s">
        <v>492</v>
      </c>
      <c r="D763" s="8" t="s">
        <v>644</v>
      </c>
      <c r="E763" s="8" t="s">
        <v>172</v>
      </c>
      <c r="F763" s="10">
        <v>9</v>
      </c>
      <c r="G763" s="10">
        <v>3640</v>
      </c>
      <c r="H763" s="10">
        <v>13.1</v>
      </c>
      <c r="I763" s="10">
        <v>28468.44</v>
      </c>
      <c r="J763" s="8" t="s">
        <v>97</v>
      </c>
      <c r="K763" s="8" t="s">
        <v>42</v>
      </c>
      <c r="L763" s="18" t="str">
        <f>VLOOKUP(D763,Products!$A:$C,3,FALSE)</f>
        <v>Apparel</v>
      </c>
      <c r="N763" s="18" t="str">
        <f>VLOOKUP(C763,Customers!$A:$E,5,FALSE)</f>
        <v>Retail</v>
      </c>
      <c r="O763" s="18">
        <f>VLOOKUP(C763,Customers!$A:$C,3,FALSE)</f>
        <v>42</v>
      </c>
      <c r="T763" s="10">
        <v>13.1</v>
      </c>
    </row>
    <row r="764" spans="1:20" ht="14.25" hidden="1" customHeight="1" x14ac:dyDescent="0.3">
      <c r="A764" s="8" t="s">
        <v>1817</v>
      </c>
      <c r="B764" s="9">
        <v>45634</v>
      </c>
      <c r="C764" s="8" t="s">
        <v>238</v>
      </c>
      <c r="D764" s="8" t="s">
        <v>924</v>
      </c>
      <c r="E764" s="8" t="s">
        <v>117</v>
      </c>
      <c r="F764" s="10">
        <v>2</v>
      </c>
      <c r="G764" s="10">
        <v>2030</v>
      </c>
      <c r="H764" s="10">
        <v>12.2</v>
      </c>
      <c r="I764" s="10">
        <v>3564.68</v>
      </c>
      <c r="J764" s="8" t="s">
        <v>41</v>
      </c>
      <c r="K764" s="8" t="s">
        <v>42</v>
      </c>
      <c r="L764" s="18" t="str">
        <f>VLOOKUP(D764,Products!$A:$C,3,FALSE)</f>
        <v>Home</v>
      </c>
      <c r="N764" s="18" t="str">
        <f>VLOOKUP(C764,Customers!$A:$E,5,FALSE)</f>
        <v>Retail</v>
      </c>
      <c r="O764" s="18">
        <f>VLOOKUP(C764,Customers!$A:$C,3,FALSE)</f>
        <v>50</v>
      </c>
      <c r="T764" s="10">
        <v>3.2</v>
      </c>
    </row>
    <row r="765" spans="1:20" ht="14.25" customHeight="1" x14ac:dyDescent="0.3">
      <c r="A765" s="8" t="s">
        <v>1818</v>
      </c>
      <c r="B765" s="21">
        <v>45471</v>
      </c>
      <c r="C765" s="8" t="s">
        <v>515</v>
      </c>
      <c r="D765" s="8" t="s">
        <v>134</v>
      </c>
      <c r="E765" s="8" t="s">
        <v>261</v>
      </c>
      <c r="F765" s="10">
        <v>4</v>
      </c>
      <c r="G765" s="10">
        <v>3160</v>
      </c>
      <c r="H765" s="10">
        <v>7.5</v>
      </c>
      <c r="I765" s="10">
        <v>11692</v>
      </c>
      <c r="J765" s="8" t="s">
        <v>41</v>
      </c>
      <c r="K765" s="8" t="s">
        <v>146</v>
      </c>
      <c r="L765" s="18" t="str">
        <f>VLOOKUP(D765,Products!$A:$C,3,FALSE)</f>
        <v>Apparel</v>
      </c>
      <c r="N765" s="18" t="str">
        <f>VLOOKUP(C765,Customers!$A:$E,5,FALSE)</f>
        <v>Retail</v>
      </c>
      <c r="O765" s="18">
        <f>VLOOKUP(C765,Customers!$A:$C,3,FALSE)</f>
        <v>29</v>
      </c>
      <c r="P765" s="18" t="str">
        <f>VLOOKUP(E764,Sales_Reps!$A:$C,3,FALSE)</f>
        <v>South</v>
      </c>
      <c r="Q765" s="18" t="str">
        <f t="shared" ref="Q765:Q767" si="160">TEXT(B764,"MMM-YY")</f>
        <v>Dec-24</v>
      </c>
      <c r="R765">
        <f>VLOOKUP(D765, Products!A:D, 4, FALSE)</f>
        <v>1886</v>
      </c>
      <c r="S765">
        <f t="shared" ref="S765:S767" si="161">(G765-R765)/G765</f>
        <v>0.4031645569620253</v>
      </c>
      <c r="T765" s="10">
        <v>12.6</v>
      </c>
    </row>
    <row r="766" spans="1:20" ht="14.25" customHeight="1" x14ac:dyDescent="0.3">
      <c r="A766" s="8" t="s">
        <v>1819</v>
      </c>
      <c r="B766" s="21">
        <v>45327</v>
      </c>
      <c r="C766" s="8" t="s">
        <v>731</v>
      </c>
      <c r="D766" s="8" t="s">
        <v>818</v>
      </c>
      <c r="E766" s="8" t="s">
        <v>236</v>
      </c>
      <c r="F766" s="10">
        <v>10</v>
      </c>
      <c r="G766" s="10">
        <v>4070</v>
      </c>
      <c r="H766" s="10">
        <v>8.3000000000000007</v>
      </c>
      <c r="I766" s="10">
        <v>37321.9</v>
      </c>
      <c r="J766" s="8" t="s">
        <v>41</v>
      </c>
      <c r="K766" s="8" t="s">
        <v>98</v>
      </c>
      <c r="L766" s="18" t="str">
        <f>VLOOKUP(D766,Products!$A:$C,3,FALSE)</f>
        <v>Grocery</v>
      </c>
      <c r="N766" s="18" t="str">
        <f>VLOOKUP(C766,Customers!$A:$E,5,FALSE)</f>
        <v>SMB</v>
      </c>
      <c r="O766" s="18">
        <f>VLOOKUP(C766,Customers!$A:$C,3,FALSE)</f>
        <v>26</v>
      </c>
      <c r="P766" s="18" t="str">
        <f>VLOOKUP(E765,Sales_Reps!$A:$C,3,FALSE)</f>
        <v>North</v>
      </c>
      <c r="Q766" s="18" t="str">
        <f t="shared" si="160"/>
        <v>Jun-24</v>
      </c>
      <c r="R766">
        <f>VLOOKUP(D766, Products!A:D, 4, FALSE)</f>
        <v>2027</v>
      </c>
      <c r="S766">
        <f t="shared" si="161"/>
        <v>0.50196560196560192</v>
      </c>
      <c r="T766" s="10">
        <v>22.2</v>
      </c>
    </row>
    <row r="767" spans="1:20" ht="14.25" customHeight="1" x14ac:dyDescent="0.3">
      <c r="A767" s="8" t="s">
        <v>1820</v>
      </c>
      <c r="B767" s="21">
        <v>45343</v>
      </c>
      <c r="C767" s="8" t="s">
        <v>549</v>
      </c>
      <c r="D767" s="8" t="s">
        <v>912</v>
      </c>
      <c r="E767" s="8" t="s">
        <v>153</v>
      </c>
      <c r="F767" s="10">
        <v>8</v>
      </c>
      <c r="G767" s="10">
        <v>4060</v>
      </c>
      <c r="H767" s="10">
        <v>8.5</v>
      </c>
      <c r="I767" s="10">
        <v>29719.200000000001</v>
      </c>
      <c r="J767" s="8" t="s">
        <v>41</v>
      </c>
      <c r="K767" s="8" t="s">
        <v>119</v>
      </c>
      <c r="L767" s="18" t="str">
        <f>VLOOKUP(D767,Products!$A:$C,3,FALSE)</f>
        <v>Grocery</v>
      </c>
      <c r="N767" s="18" t="str">
        <f>VLOOKUP(C767,Customers!$A:$E,5,FALSE)</f>
        <v>Retail</v>
      </c>
      <c r="O767" s="18">
        <f>VLOOKUP(C767,Customers!$A:$C,3,FALSE)</f>
        <v>40</v>
      </c>
      <c r="P767" s="18" t="str">
        <f>VLOOKUP(E766,Sales_Reps!$A:$C,3,FALSE)</f>
        <v>West</v>
      </c>
      <c r="Q767" s="18" t="str">
        <f t="shared" si="160"/>
        <v>Feb-24</v>
      </c>
      <c r="R767">
        <f>VLOOKUP(D767, Products!A:D, 4, FALSE)</f>
        <v>2911</v>
      </c>
      <c r="S767">
        <f t="shared" si="161"/>
        <v>0.28300492610837441</v>
      </c>
      <c r="T767" s="10">
        <v>6.4</v>
      </c>
    </row>
    <row r="768" spans="1:20" ht="14.25" hidden="1" customHeight="1" x14ac:dyDescent="0.3">
      <c r="A768" s="8" t="s">
        <v>1821</v>
      </c>
      <c r="B768" s="9">
        <v>45334</v>
      </c>
      <c r="C768" s="8" t="s">
        <v>826</v>
      </c>
      <c r="D768" s="8" t="s">
        <v>152</v>
      </c>
      <c r="E768" s="8" t="s">
        <v>167</v>
      </c>
      <c r="F768" s="10">
        <v>8</v>
      </c>
      <c r="G768" s="10">
        <v>960</v>
      </c>
      <c r="H768" s="10">
        <v>8.6999999999999993</v>
      </c>
      <c r="I768" s="10">
        <v>7011.84</v>
      </c>
      <c r="J768" s="8" t="s">
        <v>41</v>
      </c>
      <c r="K768" s="8" t="s">
        <v>146</v>
      </c>
      <c r="L768" s="18" t="str">
        <f>VLOOKUP(D768,Products!$A:$C,3,FALSE)</f>
        <v>Sports</v>
      </c>
      <c r="N768" s="18" t="str">
        <f>VLOOKUP(C768,Customers!$A:$E,5,FALSE)</f>
        <v>Retail</v>
      </c>
      <c r="O768" s="18">
        <f>VLOOKUP(C768,Customers!$A:$C,3,FALSE)</f>
        <v>56</v>
      </c>
      <c r="T768" s="10">
        <v>10.5</v>
      </c>
    </row>
    <row r="769" spans="1:20" ht="14.25" customHeight="1" x14ac:dyDescent="0.3">
      <c r="A769" s="8" t="s">
        <v>1822</v>
      </c>
      <c r="B769" s="21">
        <v>45306</v>
      </c>
      <c r="C769" s="8" t="s">
        <v>592</v>
      </c>
      <c r="D769" s="8" t="s">
        <v>691</v>
      </c>
      <c r="E769" s="8" t="s">
        <v>619</v>
      </c>
      <c r="F769" s="10">
        <v>2</v>
      </c>
      <c r="G769" s="10">
        <v>2270</v>
      </c>
      <c r="H769" s="10">
        <v>10.199999999999999</v>
      </c>
      <c r="I769" s="10">
        <v>4076.92</v>
      </c>
      <c r="J769" s="8" t="s">
        <v>41</v>
      </c>
      <c r="K769" s="8" t="s">
        <v>42</v>
      </c>
      <c r="L769" s="18" t="str">
        <f>VLOOKUP(D769,Products!$A:$C,3,FALSE)</f>
        <v>Grocery</v>
      </c>
      <c r="N769" s="18" t="str">
        <f>VLOOKUP(C769,Customers!$A:$E,5,FALSE)</f>
        <v>SMB</v>
      </c>
      <c r="O769" s="18">
        <f>VLOOKUP(C769,Customers!$A:$C,3,FALSE)</f>
        <v>35</v>
      </c>
      <c r="P769" s="18" t="str">
        <f>VLOOKUP(E768,Sales_Reps!$A:$C,3,FALSE)</f>
        <v>East</v>
      </c>
      <c r="Q769" s="18" t="str">
        <f t="shared" ref="Q769:Q770" si="162">TEXT(B768,"MMM-YY")</f>
        <v>Feb-24</v>
      </c>
      <c r="R769">
        <f>VLOOKUP(D769, Products!A:D, 4, FALSE)</f>
        <v>1412</v>
      </c>
      <c r="S769">
        <f t="shared" ref="S769:S770" si="163">(G769-R769)/G769</f>
        <v>0.37797356828193834</v>
      </c>
      <c r="T769" s="10">
        <v>21.1</v>
      </c>
    </row>
    <row r="770" spans="1:20" ht="14.25" customHeight="1" x14ac:dyDescent="0.3">
      <c r="A770" s="8" t="s">
        <v>1823</v>
      </c>
      <c r="B770" s="21">
        <v>45296</v>
      </c>
      <c r="C770" s="8" t="s">
        <v>538</v>
      </c>
      <c r="D770" s="8" t="s">
        <v>624</v>
      </c>
      <c r="E770" s="8" t="s">
        <v>38</v>
      </c>
      <c r="F770" s="10">
        <v>1</v>
      </c>
      <c r="G770" s="10">
        <v>3780</v>
      </c>
      <c r="H770" s="10">
        <v>15.3</v>
      </c>
      <c r="I770" s="10">
        <v>3201.66</v>
      </c>
      <c r="J770" s="8" t="s">
        <v>147</v>
      </c>
      <c r="K770" s="8" t="s">
        <v>178</v>
      </c>
      <c r="L770" s="18" t="str">
        <f>VLOOKUP(D770,Products!$A:$C,3,FALSE)</f>
        <v>Grocery</v>
      </c>
      <c r="N770" s="18" t="str">
        <f>VLOOKUP(C770,Customers!$A:$E,5,FALSE)</f>
        <v>Retail</v>
      </c>
      <c r="O770" s="18">
        <f>VLOOKUP(C770,Customers!$A:$C,3,FALSE)</f>
        <v>29</v>
      </c>
      <c r="P770" s="18" t="str">
        <f>VLOOKUP(E769,Sales_Reps!$A:$C,3,FALSE)</f>
        <v>West</v>
      </c>
      <c r="Q770" s="18" t="str">
        <f t="shared" si="162"/>
        <v>Jan-24</v>
      </c>
      <c r="R770">
        <f>VLOOKUP(D770, Products!A:D, 4, FALSE)</f>
        <v>2436</v>
      </c>
      <c r="S770">
        <f t="shared" si="163"/>
        <v>0.35555555555555557</v>
      </c>
      <c r="T770" s="10">
        <v>12</v>
      </c>
    </row>
    <row r="771" spans="1:20" ht="14.25" hidden="1" customHeight="1" x14ac:dyDescent="0.3">
      <c r="A771" s="8" t="s">
        <v>1824</v>
      </c>
      <c r="B771" s="9">
        <v>45489</v>
      </c>
      <c r="C771" s="8" t="s">
        <v>342</v>
      </c>
      <c r="D771" s="8" t="s">
        <v>939</v>
      </c>
      <c r="E771" s="8" t="s">
        <v>172</v>
      </c>
      <c r="F771" s="10">
        <v>10</v>
      </c>
      <c r="G771" s="10">
        <v>2290</v>
      </c>
      <c r="H771" s="10">
        <v>2.4</v>
      </c>
      <c r="I771" s="10">
        <v>22350.400000000001</v>
      </c>
      <c r="J771" s="8" t="s">
        <v>97</v>
      </c>
      <c r="K771" s="8" t="s">
        <v>146</v>
      </c>
      <c r="L771" s="18" t="str">
        <f>VLOOKUP(D771,Products!$A:$C,3,FALSE)</f>
        <v>Beauty</v>
      </c>
      <c r="N771" s="18" t="str">
        <f>VLOOKUP(C771,Customers!$A:$E,5,FALSE)</f>
        <v>Retail</v>
      </c>
      <c r="O771" s="18">
        <f>VLOOKUP(C771,Customers!$A:$C,3,FALSE)</f>
        <v>57</v>
      </c>
      <c r="T771" s="10">
        <v>25.2</v>
      </c>
    </row>
    <row r="772" spans="1:20" ht="14.25" hidden="1" customHeight="1" x14ac:dyDescent="0.3">
      <c r="A772" s="8" t="s">
        <v>1825</v>
      </c>
      <c r="B772" s="9">
        <v>45416</v>
      </c>
      <c r="C772" s="8" t="s">
        <v>492</v>
      </c>
      <c r="D772" s="8" t="s">
        <v>247</v>
      </c>
      <c r="E772" s="8" t="s">
        <v>121</v>
      </c>
      <c r="F772" s="10">
        <v>5</v>
      </c>
      <c r="G772" s="10">
        <v>3350</v>
      </c>
      <c r="H772" s="10">
        <v>18.5</v>
      </c>
      <c r="I772" s="10">
        <v>13651.25</v>
      </c>
      <c r="J772" s="8" t="s">
        <v>147</v>
      </c>
      <c r="K772" s="8" t="s">
        <v>42</v>
      </c>
      <c r="L772" s="18" t="str">
        <f>VLOOKUP(D772,Products!$A:$C,3,FALSE)</f>
        <v>Beauty</v>
      </c>
      <c r="N772" s="18" t="str">
        <f>VLOOKUP(C772,Customers!$A:$E,5,FALSE)</f>
        <v>Retail</v>
      </c>
      <c r="O772" s="18">
        <f>VLOOKUP(C772,Customers!$A:$C,3,FALSE)</f>
        <v>42</v>
      </c>
      <c r="T772" s="10">
        <v>13.3</v>
      </c>
    </row>
    <row r="773" spans="1:20" ht="14.25" hidden="1" customHeight="1" x14ac:dyDescent="0.3">
      <c r="A773" s="8" t="s">
        <v>1826</v>
      </c>
      <c r="B773" s="9">
        <v>45347</v>
      </c>
      <c r="C773" s="8" t="s">
        <v>372</v>
      </c>
      <c r="D773" s="8" t="s">
        <v>898</v>
      </c>
      <c r="E773" s="8" t="s">
        <v>216</v>
      </c>
      <c r="F773" s="10">
        <v>7</v>
      </c>
      <c r="G773" s="10">
        <v>2510</v>
      </c>
      <c r="H773" s="10">
        <v>4.2</v>
      </c>
      <c r="I773" s="10">
        <v>16832.060000000001</v>
      </c>
      <c r="J773" s="8" t="s">
        <v>147</v>
      </c>
      <c r="K773" s="8" t="s">
        <v>42</v>
      </c>
      <c r="L773" s="18" t="str">
        <f>VLOOKUP(D773,Products!$A:$C,3,FALSE)</f>
        <v>Apparel</v>
      </c>
      <c r="N773" s="18" t="str">
        <f>VLOOKUP(C773,Customers!$A:$E,5,FALSE)</f>
        <v>SMB</v>
      </c>
      <c r="O773" s="18">
        <f>VLOOKUP(C773,Customers!$A:$C,3,FALSE)</f>
        <v>54</v>
      </c>
      <c r="T773" s="10">
        <v>5.8</v>
      </c>
    </row>
    <row r="774" spans="1:20" ht="14.25" hidden="1" customHeight="1" x14ac:dyDescent="0.3">
      <c r="A774" s="8" t="s">
        <v>1827</v>
      </c>
      <c r="B774" s="9">
        <v>45652</v>
      </c>
      <c r="C774" s="8" t="s">
        <v>223</v>
      </c>
      <c r="D774" s="8" t="s">
        <v>184</v>
      </c>
      <c r="E774" s="8" t="s">
        <v>167</v>
      </c>
      <c r="F774" s="10">
        <v>1</v>
      </c>
      <c r="G774" s="10">
        <v>2600</v>
      </c>
      <c r="H774" s="10">
        <v>2.2000000000000002</v>
      </c>
      <c r="I774" s="10">
        <v>2542.8000000000002</v>
      </c>
      <c r="J774" s="8" t="s">
        <v>41</v>
      </c>
      <c r="K774" s="8" t="s">
        <v>98</v>
      </c>
      <c r="L774" s="18" t="str">
        <f>VLOOKUP(D774,Products!$A:$C,3,FALSE)</f>
        <v>Electronics</v>
      </c>
      <c r="N774" s="18" t="str">
        <f>VLOOKUP(C774,Customers!$A:$E,5,FALSE)</f>
        <v>Retail</v>
      </c>
      <c r="O774" s="18">
        <f>VLOOKUP(C774,Customers!$A:$C,3,FALSE)</f>
        <v>49</v>
      </c>
      <c r="T774" s="10">
        <v>10.5</v>
      </c>
    </row>
    <row r="775" spans="1:20" ht="14.25" hidden="1" customHeight="1" x14ac:dyDescent="0.3">
      <c r="A775" s="8" t="s">
        <v>1828</v>
      </c>
      <c r="B775" s="9">
        <v>45467</v>
      </c>
      <c r="C775" s="8" t="s">
        <v>667</v>
      </c>
      <c r="D775" s="8" t="s">
        <v>116</v>
      </c>
      <c r="E775" s="8" t="s">
        <v>200</v>
      </c>
      <c r="F775" s="10">
        <v>8</v>
      </c>
      <c r="G775" s="10">
        <v>470</v>
      </c>
      <c r="H775" s="10">
        <v>25.2</v>
      </c>
      <c r="I775" s="10">
        <v>2812.48</v>
      </c>
      <c r="J775" s="8" t="s">
        <v>41</v>
      </c>
      <c r="K775" s="8" t="s">
        <v>136</v>
      </c>
      <c r="L775" s="18" t="str">
        <f>VLOOKUP(D775,Products!$A:$C,3,FALSE)</f>
        <v>Sports</v>
      </c>
      <c r="N775" s="18" t="str">
        <f>VLOOKUP(C775,Customers!$A:$E,5,FALSE)</f>
        <v>Retail</v>
      </c>
      <c r="O775" s="18">
        <f>VLOOKUP(C775,Customers!$A:$C,3,FALSE)</f>
        <v>55</v>
      </c>
      <c r="T775" s="10">
        <v>0.9</v>
      </c>
    </row>
    <row r="776" spans="1:20" ht="14.25" hidden="1" customHeight="1" x14ac:dyDescent="0.3">
      <c r="A776" s="8" t="s">
        <v>1829</v>
      </c>
      <c r="B776" s="9">
        <v>45558</v>
      </c>
      <c r="C776" s="8" t="s">
        <v>357</v>
      </c>
      <c r="D776" s="8" t="s">
        <v>224</v>
      </c>
      <c r="E776" s="8" t="s">
        <v>189</v>
      </c>
      <c r="F776" s="10">
        <v>6</v>
      </c>
      <c r="G776" s="10">
        <v>1080</v>
      </c>
      <c r="H776" s="10">
        <v>25</v>
      </c>
      <c r="I776" s="10">
        <v>4860</v>
      </c>
      <c r="J776" s="8" t="s">
        <v>41</v>
      </c>
      <c r="K776" s="8" t="s">
        <v>42</v>
      </c>
      <c r="L776" s="18" t="str">
        <f>VLOOKUP(D776,Products!$A:$C,3,FALSE)</f>
        <v>Home</v>
      </c>
      <c r="N776" s="18" t="str">
        <f>VLOOKUP(C776,Customers!$A:$E,5,FALSE)</f>
        <v>Corporate</v>
      </c>
      <c r="O776" s="18">
        <f>VLOOKUP(C776,Customers!$A:$C,3,FALSE)</f>
        <v>47</v>
      </c>
      <c r="T776" s="10">
        <v>28.9</v>
      </c>
    </row>
    <row r="777" spans="1:20" ht="14.25" hidden="1" customHeight="1" x14ac:dyDescent="0.3">
      <c r="A777" s="8" t="s">
        <v>1830</v>
      </c>
      <c r="B777" s="9">
        <v>45645</v>
      </c>
      <c r="C777" s="8" t="s">
        <v>35</v>
      </c>
      <c r="D777" s="8" t="s">
        <v>260</v>
      </c>
      <c r="E777" s="8" t="s">
        <v>158</v>
      </c>
      <c r="F777" s="10">
        <v>2</v>
      </c>
      <c r="G777" s="10">
        <v>1010</v>
      </c>
      <c r="H777" s="10">
        <v>16.100000000000001</v>
      </c>
      <c r="I777" s="10">
        <v>1694.78</v>
      </c>
      <c r="J777" s="8" t="s">
        <v>41</v>
      </c>
      <c r="K777" s="8" t="s">
        <v>42</v>
      </c>
      <c r="L777" s="18" t="str">
        <f>VLOOKUP(D777,Products!$A:$C,3,FALSE)</f>
        <v>Sports</v>
      </c>
      <c r="N777" s="18" t="str">
        <f>VLOOKUP(C777,Customers!$A:$E,5,FALSE)</f>
        <v>SMB</v>
      </c>
      <c r="O777" s="18">
        <f>VLOOKUP(C777,Customers!$A:$C,3,FALSE)</f>
        <v>44</v>
      </c>
      <c r="T777" s="10">
        <v>18.7</v>
      </c>
    </row>
    <row r="778" spans="1:20" ht="14.25" customHeight="1" x14ac:dyDescent="0.3">
      <c r="A778" s="8" t="s">
        <v>1831</v>
      </c>
      <c r="B778" s="21">
        <v>45418</v>
      </c>
      <c r="C778" s="8" t="s">
        <v>288</v>
      </c>
      <c r="D778" s="8" t="s">
        <v>188</v>
      </c>
      <c r="E778" s="8" t="s">
        <v>261</v>
      </c>
      <c r="F778" s="10">
        <v>6</v>
      </c>
      <c r="G778" s="10">
        <v>3870</v>
      </c>
      <c r="H778" s="10">
        <v>22.4</v>
      </c>
      <c r="I778" s="10">
        <v>18018.72</v>
      </c>
      <c r="J778" s="8" t="s">
        <v>147</v>
      </c>
      <c r="K778" s="8" t="s">
        <v>119</v>
      </c>
      <c r="L778" s="18" t="str">
        <f>VLOOKUP(D778,Products!$A:$C,3,FALSE)</f>
        <v>Electronics</v>
      </c>
      <c r="N778" s="18" t="str">
        <f>VLOOKUP(C778,Customers!$A:$E,5,FALSE)</f>
        <v>SMB</v>
      </c>
      <c r="O778" s="18">
        <f>VLOOKUP(C778,Customers!$A:$C,3,FALSE)</f>
        <v>26</v>
      </c>
      <c r="P778" s="18" t="str">
        <f>VLOOKUP(E777,Sales_Reps!$A:$C,3,FALSE)</f>
        <v>East</v>
      </c>
      <c r="Q778" s="18" t="str">
        <f>TEXT(B777,"MMM-YY")</f>
        <v>Dec-24</v>
      </c>
      <c r="R778">
        <f>VLOOKUP(D778, Products!A:D, 4, FALSE)</f>
        <v>1559</v>
      </c>
      <c r="S778">
        <f>(G778-R778)/G778</f>
        <v>0.59715762273901807</v>
      </c>
      <c r="T778" s="10">
        <v>3.2</v>
      </c>
    </row>
    <row r="779" spans="1:20" ht="14.25" hidden="1" customHeight="1" x14ac:dyDescent="0.3">
      <c r="A779" s="8" t="s">
        <v>1832</v>
      </c>
      <c r="B779" s="9">
        <v>45655</v>
      </c>
      <c r="C779" s="8" t="s">
        <v>772</v>
      </c>
      <c r="D779" s="8" t="s">
        <v>924</v>
      </c>
      <c r="E779" s="8" t="s">
        <v>619</v>
      </c>
      <c r="F779" s="10">
        <v>3</v>
      </c>
      <c r="G779" s="10">
        <v>2030</v>
      </c>
      <c r="H779" s="10">
        <v>18.5</v>
      </c>
      <c r="I779" s="10">
        <v>4963.3500000000004</v>
      </c>
      <c r="J779" s="8" t="s">
        <v>41</v>
      </c>
      <c r="K779" s="8" t="s">
        <v>146</v>
      </c>
      <c r="L779" s="18" t="str">
        <f>VLOOKUP(D779,Products!$A:$C,3,FALSE)</f>
        <v>Home</v>
      </c>
      <c r="N779" s="18" t="str">
        <f>VLOOKUP(C779,Customers!$A:$E,5,FALSE)</f>
        <v>Retail</v>
      </c>
      <c r="O779" s="18">
        <f>VLOOKUP(C779,Customers!$A:$C,3,FALSE)</f>
        <v>44</v>
      </c>
      <c r="T779" s="10">
        <v>8.4</v>
      </c>
    </row>
    <row r="780" spans="1:20" ht="14.25" hidden="1" customHeight="1" x14ac:dyDescent="0.3">
      <c r="A780" s="8" t="s">
        <v>1833</v>
      </c>
      <c r="B780" s="9">
        <v>45540</v>
      </c>
      <c r="C780" s="8" t="s">
        <v>300</v>
      </c>
      <c r="D780" s="8" t="s">
        <v>224</v>
      </c>
      <c r="E780" s="8" t="s">
        <v>619</v>
      </c>
      <c r="F780" s="10">
        <v>7</v>
      </c>
      <c r="G780" s="10">
        <v>1080</v>
      </c>
      <c r="H780" s="10">
        <v>6.8</v>
      </c>
      <c r="I780" s="10">
        <v>7045.92</v>
      </c>
      <c r="J780" s="8" t="s">
        <v>97</v>
      </c>
      <c r="K780" s="8" t="s">
        <v>42</v>
      </c>
      <c r="L780" s="18" t="str">
        <f>VLOOKUP(D780,Products!$A:$C,3,FALSE)</f>
        <v>Home</v>
      </c>
      <c r="N780" s="18" t="str">
        <f>VLOOKUP(C780,Customers!$A:$E,5,FALSE)</f>
        <v>Retail</v>
      </c>
      <c r="O780" s="18">
        <f>VLOOKUP(C780,Customers!$A:$C,3,FALSE)</f>
        <v>44</v>
      </c>
      <c r="T780" s="10">
        <v>16.3</v>
      </c>
    </row>
    <row r="781" spans="1:20" ht="14.25" hidden="1" customHeight="1" x14ac:dyDescent="0.3">
      <c r="A781" s="8" t="s">
        <v>1834</v>
      </c>
      <c r="B781" s="9">
        <v>45609</v>
      </c>
      <c r="C781" s="8" t="s">
        <v>783</v>
      </c>
      <c r="D781" s="8" t="s">
        <v>929</v>
      </c>
      <c r="E781" s="8" t="s">
        <v>214</v>
      </c>
      <c r="F781" s="10">
        <v>1</v>
      </c>
      <c r="G781" s="10">
        <v>1090</v>
      </c>
      <c r="H781" s="10">
        <v>20.6</v>
      </c>
      <c r="I781" s="10">
        <v>865.46</v>
      </c>
      <c r="J781" s="8" t="s">
        <v>41</v>
      </c>
      <c r="K781" s="8" t="s">
        <v>98</v>
      </c>
      <c r="L781" s="18" t="str">
        <f>VLOOKUP(D781,Products!$A:$C,3,FALSE)</f>
        <v>Home</v>
      </c>
      <c r="N781" s="18" t="str">
        <f>VLOOKUP(C781,Customers!$A:$E,5,FALSE)</f>
        <v>Corporate</v>
      </c>
      <c r="O781" s="18">
        <f>VLOOKUP(C781,Customers!$A:$C,3,FALSE)</f>
        <v>51</v>
      </c>
      <c r="T781" s="10">
        <v>10.7</v>
      </c>
    </row>
    <row r="782" spans="1:20" ht="14.25" customHeight="1" x14ac:dyDescent="0.3">
      <c r="A782" s="8" t="s">
        <v>1835</v>
      </c>
      <c r="B782" s="21">
        <v>45528</v>
      </c>
      <c r="C782" s="8" t="s">
        <v>440</v>
      </c>
      <c r="D782" s="8" t="s">
        <v>144</v>
      </c>
      <c r="E782" s="8" t="s">
        <v>865</v>
      </c>
      <c r="F782" s="10">
        <v>8</v>
      </c>
      <c r="G782" s="10">
        <v>370</v>
      </c>
      <c r="H782" s="10">
        <v>1.7</v>
      </c>
      <c r="I782" s="10">
        <v>2909.68</v>
      </c>
      <c r="J782" s="8" t="s">
        <v>41</v>
      </c>
      <c r="K782" s="8" t="s">
        <v>98</v>
      </c>
      <c r="L782" s="18" t="str">
        <f>VLOOKUP(D782,Products!$A:$C,3,FALSE)</f>
        <v>Home</v>
      </c>
      <c r="N782" s="18" t="str">
        <f>VLOOKUP(C782,Customers!$A:$E,5,FALSE)</f>
        <v>Retail</v>
      </c>
      <c r="O782" s="18">
        <f>VLOOKUP(C782,Customers!$A:$C,3,FALSE)</f>
        <v>28</v>
      </c>
      <c r="P782" s="18" t="str">
        <f>VLOOKUP(E781,Sales_Reps!$A:$C,3,FALSE)</f>
        <v>South</v>
      </c>
      <c r="Q782" s="18" t="str">
        <f>TEXT(B781,"MMM-YY")</f>
        <v>Nov-24</v>
      </c>
      <c r="R782">
        <f>VLOOKUP(D782, Products!A:D, 4, FALSE)</f>
        <v>288</v>
      </c>
      <c r="S782">
        <f>(G782-R782)/G782</f>
        <v>0.22162162162162163</v>
      </c>
      <c r="T782" s="10">
        <v>20.7</v>
      </c>
    </row>
    <row r="783" spans="1:20" ht="14.25" hidden="1" customHeight="1" x14ac:dyDescent="0.3">
      <c r="A783" s="8" t="s">
        <v>1836</v>
      </c>
      <c r="B783" s="9">
        <v>45625</v>
      </c>
      <c r="C783" s="8" t="s">
        <v>844</v>
      </c>
      <c r="D783" s="8" t="s">
        <v>901</v>
      </c>
      <c r="E783" s="8" t="s">
        <v>167</v>
      </c>
      <c r="F783" s="10">
        <v>7</v>
      </c>
      <c r="G783" s="10">
        <v>3560</v>
      </c>
      <c r="H783" s="10">
        <v>28.7</v>
      </c>
      <c r="I783" s="10">
        <v>17767.96</v>
      </c>
      <c r="J783" s="8" t="s">
        <v>41</v>
      </c>
      <c r="K783" s="8" t="s">
        <v>146</v>
      </c>
      <c r="L783" s="18" t="str">
        <f>VLOOKUP(D783,Products!$A:$C,3,FALSE)</f>
        <v>Apparel</v>
      </c>
      <c r="N783" s="18" t="str">
        <f>VLOOKUP(C783,Customers!$A:$E,5,FALSE)</f>
        <v>Retail</v>
      </c>
      <c r="O783" s="18">
        <f>VLOOKUP(C783,Customers!$A:$C,3,FALSE)</f>
        <v>54</v>
      </c>
      <c r="T783" s="10">
        <v>22.9</v>
      </c>
    </row>
    <row r="784" spans="1:20" ht="14.25" hidden="1" customHeight="1" x14ac:dyDescent="0.3">
      <c r="A784" s="8" t="s">
        <v>1837</v>
      </c>
      <c r="B784" s="9">
        <v>45444</v>
      </c>
      <c r="C784" s="8" t="s">
        <v>312</v>
      </c>
      <c r="D784" s="8" t="s">
        <v>662</v>
      </c>
      <c r="E784" s="8" t="s">
        <v>221</v>
      </c>
      <c r="F784" s="10">
        <v>9</v>
      </c>
      <c r="G784" s="10">
        <v>6080</v>
      </c>
      <c r="H784" s="10">
        <v>16.3</v>
      </c>
      <c r="I784" s="10">
        <v>45800.639999999999</v>
      </c>
      <c r="J784" s="8" t="s">
        <v>147</v>
      </c>
      <c r="K784" s="8" t="s">
        <v>42</v>
      </c>
      <c r="L784" s="18" t="str">
        <f>VLOOKUP(D784,Products!$A:$C,3,FALSE)</f>
        <v>Beauty</v>
      </c>
      <c r="N784" s="18" t="str">
        <f>VLOOKUP(C784,Customers!$A:$E,5,FALSE)</f>
        <v>Retail</v>
      </c>
      <c r="O784" s="18">
        <f>VLOOKUP(C784,Customers!$A:$C,3,FALSE)</f>
        <v>62</v>
      </c>
      <c r="T784" s="10">
        <v>15.3</v>
      </c>
    </row>
    <row r="785" spans="1:20" ht="14.25" customHeight="1" x14ac:dyDescent="0.3">
      <c r="A785" s="8" t="s">
        <v>1838</v>
      </c>
      <c r="B785" s="21">
        <v>45505</v>
      </c>
      <c r="C785" s="8" t="s">
        <v>213</v>
      </c>
      <c r="D785" s="8" t="s">
        <v>219</v>
      </c>
      <c r="E785" s="8" t="s">
        <v>301</v>
      </c>
      <c r="F785" s="10">
        <v>2</v>
      </c>
      <c r="G785" s="10">
        <v>3450</v>
      </c>
      <c r="H785" s="10">
        <v>17.600000000000001</v>
      </c>
      <c r="I785" s="10">
        <v>5685.6</v>
      </c>
      <c r="J785" s="8" t="s">
        <v>97</v>
      </c>
      <c r="K785" s="8" t="s">
        <v>178</v>
      </c>
      <c r="L785" s="18" t="str">
        <f>VLOOKUP(D785,Products!$A:$C,3,FALSE)</f>
        <v>Sports</v>
      </c>
      <c r="N785" s="18" t="str">
        <f>VLOOKUP(C785,Customers!$A:$E,5,FALSE)</f>
        <v>Corporate</v>
      </c>
      <c r="O785" s="18">
        <f>VLOOKUP(C785,Customers!$A:$C,3,FALSE)</f>
        <v>32</v>
      </c>
      <c r="P785" s="18" t="str">
        <f>VLOOKUP(E784,Sales_Reps!$A:$C,3,FALSE)</f>
        <v>South</v>
      </c>
      <c r="Q785" s="18" t="str">
        <f>TEXT(B784,"MMM-YY")</f>
        <v>Jun-24</v>
      </c>
      <c r="R785">
        <f>VLOOKUP(D785, Products!A:D, 4, FALSE)</f>
        <v>2467</v>
      </c>
      <c r="S785">
        <f>(G785-R785)/G785</f>
        <v>0.28492753623188405</v>
      </c>
      <c r="T785" s="10">
        <v>16.8</v>
      </c>
    </row>
    <row r="786" spans="1:20" ht="14.25" hidden="1" customHeight="1" x14ac:dyDescent="0.3">
      <c r="A786" s="8" t="s">
        <v>1839</v>
      </c>
      <c r="B786" s="9">
        <v>45401</v>
      </c>
      <c r="C786" s="8" t="s">
        <v>410</v>
      </c>
      <c r="D786" s="8" t="s">
        <v>926</v>
      </c>
      <c r="E786" s="8" t="s">
        <v>214</v>
      </c>
      <c r="F786" s="10">
        <v>1</v>
      </c>
      <c r="G786" s="10">
        <v>5080</v>
      </c>
      <c r="H786" s="10">
        <v>5.9</v>
      </c>
      <c r="I786" s="10">
        <v>4780.28</v>
      </c>
      <c r="J786" s="8" t="s">
        <v>41</v>
      </c>
      <c r="K786" s="8" t="s">
        <v>98</v>
      </c>
      <c r="L786" s="18" t="str">
        <f>VLOOKUP(D786,Products!$A:$C,3,FALSE)</f>
        <v>Home</v>
      </c>
      <c r="N786" s="18" t="str">
        <f>VLOOKUP(C786,Customers!$A:$E,5,FALSE)</f>
        <v>Retail</v>
      </c>
      <c r="O786" s="18">
        <f>VLOOKUP(C786,Customers!$A:$C,3,FALSE)</f>
        <v>51</v>
      </c>
      <c r="T786" s="10">
        <v>14.3</v>
      </c>
    </row>
    <row r="787" spans="1:20" ht="14.25" customHeight="1" x14ac:dyDescent="0.3">
      <c r="A787" s="8" t="s">
        <v>1840</v>
      </c>
      <c r="B787" s="21">
        <v>45364</v>
      </c>
      <c r="C787" s="8" t="s">
        <v>750</v>
      </c>
      <c r="D787" s="8" t="s">
        <v>889</v>
      </c>
      <c r="E787" s="8" t="s">
        <v>208</v>
      </c>
      <c r="F787" s="10">
        <v>7</v>
      </c>
      <c r="G787" s="10">
        <v>3450</v>
      </c>
      <c r="H787" s="10">
        <v>17.399999999999999</v>
      </c>
      <c r="I787" s="10">
        <v>19947.900000000001</v>
      </c>
      <c r="J787" s="8" t="s">
        <v>41</v>
      </c>
      <c r="K787" s="8" t="s">
        <v>178</v>
      </c>
      <c r="L787" s="18" t="str">
        <f>VLOOKUP(D787,Products!$A:$C,3,FALSE)</f>
        <v>Apparel</v>
      </c>
      <c r="N787" s="18" t="str">
        <f>VLOOKUP(C787,Customers!$A:$E,5,FALSE)</f>
        <v>SMB</v>
      </c>
      <c r="O787" s="18">
        <f>VLOOKUP(C787,Customers!$A:$C,3,FALSE)</f>
        <v>28</v>
      </c>
      <c r="P787" s="18" t="str">
        <f>VLOOKUP(E786,Sales_Reps!$A:$C,3,FALSE)</f>
        <v>South</v>
      </c>
      <c r="Q787" s="18" t="str">
        <f t="shared" ref="Q787:Q788" si="164">TEXT(B786,"MMM-YY")</f>
        <v>Apr-24</v>
      </c>
      <c r="R787">
        <f>VLOOKUP(D787, Products!A:D, 4, FALSE)</f>
        <v>1748</v>
      </c>
      <c r="S787">
        <f t="shared" ref="S787:S788" si="165">(G787-R787)/G787</f>
        <v>0.49333333333333335</v>
      </c>
      <c r="T787" s="10">
        <v>11.3</v>
      </c>
    </row>
    <row r="788" spans="1:20" ht="14.25" customHeight="1" x14ac:dyDescent="0.3">
      <c r="A788" s="8" t="s">
        <v>1841</v>
      </c>
      <c r="B788" s="21">
        <v>45403</v>
      </c>
      <c r="C788" s="8" t="s">
        <v>393</v>
      </c>
      <c r="D788" s="8" t="s">
        <v>176</v>
      </c>
      <c r="E788" s="8" t="s">
        <v>214</v>
      </c>
      <c r="F788" s="10">
        <v>8</v>
      </c>
      <c r="G788" s="10">
        <v>2270</v>
      </c>
      <c r="H788" s="10">
        <v>24.7</v>
      </c>
      <c r="I788" s="10">
        <v>13674.48</v>
      </c>
      <c r="J788" s="8" t="s">
        <v>41</v>
      </c>
      <c r="K788" s="8" t="s">
        <v>42</v>
      </c>
      <c r="L788" s="18" t="str">
        <f>VLOOKUP(D788,Products!$A:$C,3,FALSE)</f>
        <v>Grocery</v>
      </c>
      <c r="N788" s="18" t="str">
        <f>VLOOKUP(C788,Customers!$A:$E,5,FALSE)</f>
        <v>Retail</v>
      </c>
      <c r="O788" s="18">
        <f>VLOOKUP(C788,Customers!$A:$C,3,FALSE)</f>
        <v>39</v>
      </c>
      <c r="P788" s="18" t="str">
        <f>VLOOKUP(E787,Sales_Reps!$A:$C,3,FALSE)</f>
        <v>East</v>
      </c>
      <c r="Q788" s="18" t="str">
        <f t="shared" si="164"/>
        <v>Mar-24</v>
      </c>
      <c r="R788">
        <f>VLOOKUP(D788, Products!A:D, 4, FALSE)</f>
        <v>1203</v>
      </c>
      <c r="S788">
        <f t="shared" si="165"/>
        <v>0.47004405286343615</v>
      </c>
      <c r="T788" s="10">
        <v>26.8</v>
      </c>
    </row>
    <row r="789" spans="1:20" ht="14.25" hidden="1" customHeight="1" x14ac:dyDescent="0.3">
      <c r="A789" s="8" t="s">
        <v>1842</v>
      </c>
      <c r="B789" s="9">
        <v>45599</v>
      </c>
      <c r="C789" s="8" t="s">
        <v>35</v>
      </c>
      <c r="D789" s="8" t="s">
        <v>134</v>
      </c>
      <c r="E789" s="8" t="s">
        <v>208</v>
      </c>
      <c r="F789" s="10">
        <v>3</v>
      </c>
      <c r="G789" s="10">
        <v>3160</v>
      </c>
      <c r="H789" s="10">
        <v>1.5</v>
      </c>
      <c r="I789" s="10">
        <v>9337.7999999999993</v>
      </c>
      <c r="J789" s="8" t="s">
        <v>97</v>
      </c>
      <c r="K789" s="8" t="s">
        <v>42</v>
      </c>
      <c r="L789" s="18" t="str">
        <f>VLOOKUP(D789,Products!$A:$C,3,FALSE)</f>
        <v>Apparel</v>
      </c>
      <c r="N789" s="18" t="str">
        <f>VLOOKUP(C789,Customers!$A:$E,5,FALSE)</f>
        <v>SMB</v>
      </c>
      <c r="O789" s="18">
        <f>VLOOKUP(C789,Customers!$A:$C,3,FALSE)</f>
        <v>44</v>
      </c>
      <c r="T789" s="10">
        <v>12.5</v>
      </c>
    </row>
    <row r="790" spans="1:20" ht="14.25" hidden="1" customHeight="1" x14ac:dyDescent="0.3">
      <c r="A790" s="8" t="s">
        <v>1843</v>
      </c>
      <c r="B790" s="9">
        <v>45389</v>
      </c>
      <c r="C790" s="8" t="s">
        <v>656</v>
      </c>
      <c r="D790" s="8" t="s">
        <v>247</v>
      </c>
      <c r="E790" s="8" t="s">
        <v>236</v>
      </c>
      <c r="F790" s="10">
        <v>6</v>
      </c>
      <c r="G790" s="10">
        <v>3350</v>
      </c>
      <c r="H790" s="10">
        <v>0.9</v>
      </c>
      <c r="I790" s="10">
        <v>19919.099999999999</v>
      </c>
      <c r="J790" s="8" t="s">
        <v>97</v>
      </c>
      <c r="K790" s="8" t="s">
        <v>136</v>
      </c>
      <c r="L790" s="18" t="str">
        <f>VLOOKUP(D790,Products!$A:$C,3,FALSE)</f>
        <v>Beauty</v>
      </c>
      <c r="N790" s="18" t="str">
        <f>VLOOKUP(C790,Customers!$A:$E,5,FALSE)</f>
        <v>Retail</v>
      </c>
      <c r="O790" s="18">
        <f>VLOOKUP(C790,Customers!$A:$C,3,FALSE)</f>
        <v>54</v>
      </c>
      <c r="T790" s="10">
        <v>1.3</v>
      </c>
    </row>
    <row r="791" spans="1:20" ht="14.25" hidden="1" customHeight="1" x14ac:dyDescent="0.3">
      <c r="A791" s="8" t="s">
        <v>1844</v>
      </c>
      <c r="B791" s="9">
        <v>45506</v>
      </c>
      <c r="C791" s="8" t="s">
        <v>631</v>
      </c>
      <c r="D791" s="8" t="s">
        <v>242</v>
      </c>
      <c r="E791" s="8" t="s">
        <v>236</v>
      </c>
      <c r="F791" s="10">
        <v>7</v>
      </c>
      <c r="G791" s="10">
        <v>1650</v>
      </c>
      <c r="H791" s="10">
        <v>5.6</v>
      </c>
      <c r="I791" s="10">
        <v>10903.2</v>
      </c>
      <c r="J791" s="8" t="s">
        <v>193</v>
      </c>
      <c r="K791" s="8" t="s">
        <v>42</v>
      </c>
      <c r="L791" s="18" t="str">
        <f>VLOOKUP(D791,Products!$A:$C,3,FALSE)</f>
        <v>Beauty</v>
      </c>
      <c r="N791" s="18" t="str">
        <f>VLOOKUP(C791,Customers!$A:$E,5,FALSE)</f>
        <v>Retail</v>
      </c>
      <c r="O791" s="18">
        <f>VLOOKUP(C791,Customers!$A:$C,3,FALSE)</f>
        <v>54</v>
      </c>
      <c r="T791" s="10">
        <v>21.3</v>
      </c>
    </row>
    <row r="792" spans="1:20" ht="14.25" customHeight="1" x14ac:dyDescent="0.3">
      <c r="A792" s="8" t="s">
        <v>1845</v>
      </c>
      <c r="B792" s="21">
        <v>45402</v>
      </c>
      <c r="C792" s="8" t="s">
        <v>288</v>
      </c>
      <c r="D792" s="8" t="s">
        <v>163</v>
      </c>
      <c r="E792" s="8" t="s">
        <v>200</v>
      </c>
      <c r="F792" s="10">
        <v>1</v>
      </c>
      <c r="G792" s="10">
        <v>5490</v>
      </c>
      <c r="H792" s="10">
        <v>5.8</v>
      </c>
      <c r="I792" s="10">
        <v>5171.58</v>
      </c>
      <c r="J792" s="8" t="s">
        <v>41</v>
      </c>
      <c r="K792" s="8" t="s">
        <v>119</v>
      </c>
      <c r="L792" s="18" t="str">
        <f>VLOOKUP(D792,Products!$A:$C,3,FALSE)</f>
        <v>Home</v>
      </c>
      <c r="N792" s="18" t="str">
        <f>VLOOKUP(C792,Customers!$A:$E,5,FALSE)</f>
        <v>SMB</v>
      </c>
      <c r="O792" s="18">
        <f>VLOOKUP(C792,Customers!$A:$C,3,FALSE)</f>
        <v>26</v>
      </c>
      <c r="P792" s="18" t="str">
        <f>VLOOKUP(E791,Sales_Reps!$A:$C,3,FALSE)</f>
        <v>West</v>
      </c>
      <c r="Q792" s="18" t="str">
        <f>TEXT(B791,"MMM-YY")</f>
        <v>Aug-24</v>
      </c>
      <c r="R792">
        <f>VLOOKUP(D792, Products!A:D, 4, FALSE)</f>
        <v>2549</v>
      </c>
      <c r="S792">
        <f>(G792-R792)/G792</f>
        <v>0.53570127504553733</v>
      </c>
      <c r="T792" s="10">
        <v>15.8</v>
      </c>
    </row>
    <row r="793" spans="1:20" ht="14.25" hidden="1" customHeight="1" x14ac:dyDescent="0.3">
      <c r="A793" s="8" t="s">
        <v>1846</v>
      </c>
      <c r="B793" s="9">
        <v>45405</v>
      </c>
      <c r="C793" s="8" t="s">
        <v>204</v>
      </c>
      <c r="D793" s="8" t="s">
        <v>224</v>
      </c>
      <c r="E793" s="8" t="s">
        <v>153</v>
      </c>
      <c r="F793" s="10">
        <v>3</v>
      </c>
      <c r="G793" s="10">
        <v>1080</v>
      </c>
      <c r="H793" s="10">
        <v>20.9</v>
      </c>
      <c r="I793" s="10">
        <v>2562.84</v>
      </c>
      <c r="J793" s="8" t="s">
        <v>41</v>
      </c>
      <c r="K793" s="8" t="s">
        <v>42</v>
      </c>
      <c r="L793" s="18" t="str">
        <f>VLOOKUP(D793,Products!$A:$C,3,FALSE)</f>
        <v>Home</v>
      </c>
      <c r="N793" s="18" t="str">
        <f>VLOOKUP(C793,Customers!$A:$E,5,FALSE)</f>
        <v>Retail</v>
      </c>
      <c r="O793" s="18">
        <f>VLOOKUP(C793,Customers!$A:$C,3,FALSE)</f>
        <v>63</v>
      </c>
      <c r="T793" s="10">
        <v>18.7</v>
      </c>
    </row>
    <row r="794" spans="1:20" ht="14.25" hidden="1" customHeight="1" x14ac:dyDescent="0.3">
      <c r="A794" s="8" t="s">
        <v>1847</v>
      </c>
      <c r="B794" s="9">
        <v>45434</v>
      </c>
      <c r="C794" s="8" t="s">
        <v>1848</v>
      </c>
      <c r="D794" s="8" t="s">
        <v>624</v>
      </c>
      <c r="E794" s="8" t="s">
        <v>167</v>
      </c>
      <c r="F794" s="10">
        <v>10</v>
      </c>
      <c r="G794" s="10">
        <v>3780</v>
      </c>
      <c r="H794" s="10">
        <v>5.5</v>
      </c>
      <c r="I794" s="10">
        <v>35721</v>
      </c>
      <c r="J794" s="8" t="s">
        <v>41</v>
      </c>
      <c r="K794" s="8" t="s">
        <v>178</v>
      </c>
      <c r="L794" s="18" t="str">
        <f>VLOOKUP(D794,Products!$A:$C,3,FALSE)</f>
        <v>Grocery</v>
      </c>
      <c r="N794" s="18" t="e">
        <f>VLOOKUP(C794,Customers!$A:$E,5,FALSE)</f>
        <v>#N/A</v>
      </c>
      <c r="O794" s="18" t="e">
        <f>VLOOKUP(C794,Customers!$A:$C,3,FALSE)</f>
        <v>#N/A</v>
      </c>
      <c r="T794" s="10">
        <v>21.6</v>
      </c>
    </row>
    <row r="795" spans="1:20" ht="14.25" customHeight="1" x14ac:dyDescent="0.3">
      <c r="A795" s="8" t="s">
        <v>1849</v>
      </c>
      <c r="B795" s="21">
        <v>45558</v>
      </c>
      <c r="C795" s="8" t="s">
        <v>173</v>
      </c>
      <c r="D795" s="8" t="s">
        <v>924</v>
      </c>
      <c r="E795" s="8" t="s">
        <v>143</v>
      </c>
      <c r="F795" s="10">
        <v>2</v>
      </c>
      <c r="G795" s="10">
        <v>2030</v>
      </c>
      <c r="H795" s="10">
        <v>2</v>
      </c>
      <c r="I795" s="10">
        <v>3978.8</v>
      </c>
      <c r="J795" s="8" t="s">
        <v>97</v>
      </c>
      <c r="K795" s="8" t="s">
        <v>178</v>
      </c>
      <c r="L795" s="18" t="str">
        <f>VLOOKUP(D795,Products!$A:$C,3,FALSE)</f>
        <v>Home</v>
      </c>
      <c r="N795" s="18" t="str">
        <f>VLOOKUP(C795,Customers!$A:$E,5,FALSE)</f>
        <v>Retail</v>
      </c>
      <c r="O795" s="18">
        <f>VLOOKUP(C795,Customers!$A:$C,3,FALSE)</f>
        <v>26</v>
      </c>
      <c r="P795" s="18" t="str">
        <f>VLOOKUP(E794,Sales_Reps!$A:$C,3,FALSE)</f>
        <v>East</v>
      </c>
      <c r="Q795" s="18" t="str">
        <f>TEXT(B794,"MMM-YY")</f>
        <v>May-24</v>
      </c>
      <c r="R795">
        <f>VLOOKUP(D795, Products!A:D, 4, FALSE)</f>
        <v>1143</v>
      </c>
      <c r="S795">
        <f>(G795-R795)/G795</f>
        <v>0.43694581280788175</v>
      </c>
      <c r="T795" s="10">
        <v>19.7</v>
      </c>
    </row>
    <row r="796" spans="1:20" ht="14.25" hidden="1" customHeight="1" x14ac:dyDescent="0.3">
      <c r="A796" s="8" t="s">
        <v>1850</v>
      </c>
      <c r="B796" s="9">
        <v>45582</v>
      </c>
      <c r="C796" s="8" t="s">
        <v>814</v>
      </c>
      <c r="D796" s="8" t="s">
        <v>789</v>
      </c>
      <c r="E796" s="8" t="s">
        <v>158</v>
      </c>
      <c r="F796" s="10">
        <v>8</v>
      </c>
      <c r="G796" s="10">
        <v>1540</v>
      </c>
      <c r="H796" s="10">
        <v>9</v>
      </c>
      <c r="I796" s="10">
        <v>11211.2</v>
      </c>
      <c r="J796" s="8" t="s">
        <v>147</v>
      </c>
      <c r="K796" s="8" t="s">
        <v>136</v>
      </c>
      <c r="L796" s="18" t="str">
        <f>VLOOKUP(D796,Products!$A:$C,3,FALSE)</f>
        <v>Beauty</v>
      </c>
      <c r="N796" s="18" t="str">
        <f>VLOOKUP(C796,Customers!$A:$E,5,FALSE)</f>
        <v>Corporate</v>
      </c>
      <c r="O796" s="18">
        <f>VLOOKUP(C796,Customers!$A:$C,3,FALSE)</f>
        <v>41</v>
      </c>
      <c r="T796" s="10">
        <v>5.6</v>
      </c>
    </row>
    <row r="797" spans="1:20" ht="14.25" hidden="1" customHeight="1" x14ac:dyDescent="0.3">
      <c r="A797" s="8" t="s">
        <v>1851</v>
      </c>
      <c r="B797" s="9">
        <v>45601</v>
      </c>
      <c r="C797" s="8" t="s">
        <v>170</v>
      </c>
      <c r="D797" s="8" t="s">
        <v>192</v>
      </c>
      <c r="E797" s="8" t="s">
        <v>301</v>
      </c>
      <c r="F797" s="10">
        <v>9</v>
      </c>
      <c r="G797" s="10">
        <v>3250</v>
      </c>
      <c r="H797" s="10">
        <v>20.5</v>
      </c>
      <c r="I797" s="10">
        <v>23253.75</v>
      </c>
      <c r="J797" s="8" t="s">
        <v>41</v>
      </c>
      <c r="K797" s="8" t="s">
        <v>42</v>
      </c>
      <c r="L797" s="18" t="str">
        <f>VLOOKUP(D797,Products!$A:$C,3,FALSE)</f>
        <v>Home</v>
      </c>
      <c r="N797" s="18" t="str">
        <f>VLOOKUP(C797,Customers!$A:$E,5,FALSE)</f>
        <v>Retail</v>
      </c>
      <c r="O797" s="18">
        <f>VLOOKUP(C797,Customers!$A:$C,3,FALSE)</f>
        <v>56</v>
      </c>
      <c r="T797" s="10">
        <v>13.3</v>
      </c>
    </row>
    <row r="798" spans="1:20" ht="14.25" hidden="1" customHeight="1" x14ac:dyDescent="0.3">
      <c r="A798" s="8" t="s">
        <v>1852</v>
      </c>
      <c r="B798" s="9">
        <v>45344</v>
      </c>
      <c r="C798" s="8" t="s">
        <v>780</v>
      </c>
      <c r="D798" s="8" t="s">
        <v>215</v>
      </c>
      <c r="E798" s="8" t="s">
        <v>96</v>
      </c>
      <c r="F798" s="10">
        <v>3</v>
      </c>
      <c r="G798" s="10">
        <v>3450</v>
      </c>
      <c r="H798" s="10">
        <v>17.899999999999999</v>
      </c>
      <c r="I798" s="10">
        <v>8497.35</v>
      </c>
      <c r="J798" s="8" t="s">
        <v>41</v>
      </c>
      <c r="K798" s="8" t="s">
        <v>119</v>
      </c>
      <c r="L798" s="18" t="str">
        <f>VLOOKUP(D798,Products!$A:$C,3,FALSE)</f>
        <v>Beauty</v>
      </c>
      <c r="N798" s="18" t="str">
        <f>VLOOKUP(C798,Customers!$A:$E,5,FALSE)</f>
        <v>SMB</v>
      </c>
      <c r="O798" s="18">
        <f>VLOOKUP(C798,Customers!$A:$C,3,FALSE)</f>
        <v>53</v>
      </c>
      <c r="T798" s="10">
        <v>23.9</v>
      </c>
    </row>
    <row r="799" spans="1:20" ht="14.25" customHeight="1" x14ac:dyDescent="0.3">
      <c r="A799" s="8" t="s">
        <v>1853</v>
      </c>
      <c r="B799" s="21">
        <v>45504</v>
      </c>
      <c r="C799" s="8" t="s">
        <v>563</v>
      </c>
      <c r="D799" s="8" t="s">
        <v>163</v>
      </c>
      <c r="E799" s="8" t="s">
        <v>135</v>
      </c>
      <c r="F799" s="10">
        <v>5</v>
      </c>
      <c r="G799" s="10">
        <v>5490</v>
      </c>
      <c r="H799" s="10">
        <v>7.9</v>
      </c>
      <c r="I799" s="10">
        <v>25281.45</v>
      </c>
      <c r="J799" s="8" t="s">
        <v>41</v>
      </c>
      <c r="K799" s="8" t="s">
        <v>98</v>
      </c>
      <c r="L799" s="18" t="str">
        <f>VLOOKUP(D799,Products!$A:$C,3,FALSE)</f>
        <v>Home</v>
      </c>
      <c r="N799" s="18" t="str">
        <f>VLOOKUP(C799,Customers!$A:$E,5,FALSE)</f>
        <v>Corporate</v>
      </c>
      <c r="O799" s="18">
        <f>VLOOKUP(C799,Customers!$A:$C,3,FALSE)</f>
        <v>24</v>
      </c>
      <c r="P799" s="18" t="str">
        <f>VLOOKUP(E798,Sales_Reps!$A:$C,3,FALSE)</f>
        <v>North</v>
      </c>
      <c r="Q799" s="18" t="str">
        <f t="shared" ref="Q799:Q800" si="166">TEXT(B798,"MMM-YY")</f>
        <v>Feb-24</v>
      </c>
      <c r="R799">
        <f>VLOOKUP(D799, Products!A:D, 4, FALSE)</f>
        <v>2549</v>
      </c>
      <c r="S799">
        <f t="shared" ref="S799:S800" si="167">(G799-R799)/G799</f>
        <v>0.53570127504553733</v>
      </c>
      <c r="T799" s="10">
        <v>2.5</v>
      </c>
    </row>
    <row r="800" spans="1:20" ht="14.25" customHeight="1" x14ac:dyDescent="0.3">
      <c r="A800" s="8" t="s">
        <v>1854</v>
      </c>
      <c r="B800" s="21">
        <v>45306</v>
      </c>
      <c r="C800" s="8" t="s">
        <v>549</v>
      </c>
      <c r="D800" s="8" t="s">
        <v>144</v>
      </c>
      <c r="E800" s="8" t="s">
        <v>236</v>
      </c>
      <c r="F800" s="10">
        <v>3</v>
      </c>
      <c r="G800" s="10">
        <v>370</v>
      </c>
      <c r="H800" s="10">
        <v>13.4</v>
      </c>
      <c r="I800" s="10">
        <v>961.26</v>
      </c>
      <c r="J800" s="8" t="s">
        <v>41</v>
      </c>
      <c r="K800" s="8" t="s">
        <v>119</v>
      </c>
      <c r="L800" s="18" t="str">
        <f>VLOOKUP(D800,Products!$A:$C,3,FALSE)</f>
        <v>Home</v>
      </c>
      <c r="N800" s="18" t="str">
        <f>VLOOKUP(C800,Customers!$A:$E,5,FALSE)</f>
        <v>Retail</v>
      </c>
      <c r="O800" s="18">
        <f>VLOOKUP(C800,Customers!$A:$C,3,FALSE)</f>
        <v>40</v>
      </c>
      <c r="P800" s="18" t="str">
        <f>VLOOKUP(E799,Sales_Reps!$A:$C,3,FALSE)</f>
        <v>North</v>
      </c>
      <c r="Q800" s="18" t="str">
        <f t="shared" si="166"/>
        <v>Jul-24</v>
      </c>
      <c r="R800">
        <f>VLOOKUP(D800, Products!A:D, 4, FALSE)</f>
        <v>288</v>
      </c>
      <c r="S800">
        <f t="shared" si="167"/>
        <v>0.22162162162162163</v>
      </c>
      <c r="T800" s="10">
        <v>11</v>
      </c>
    </row>
    <row r="801" spans="1:20" ht="14.25" hidden="1" customHeight="1" x14ac:dyDescent="0.3">
      <c r="A801" s="8" t="s">
        <v>1855</v>
      </c>
      <c r="B801" s="9">
        <v>45413</v>
      </c>
      <c r="C801" s="8" t="s">
        <v>840</v>
      </c>
      <c r="D801" s="8" t="s">
        <v>230</v>
      </c>
      <c r="E801" s="8" t="s">
        <v>214</v>
      </c>
      <c r="F801" s="10">
        <v>7</v>
      </c>
      <c r="G801" s="10">
        <v>5330</v>
      </c>
      <c r="H801" s="10">
        <v>29.7</v>
      </c>
      <c r="I801" s="10">
        <v>26228.93</v>
      </c>
      <c r="J801" s="8" t="s">
        <v>97</v>
      </c>
      <c r="K801" s="8" t="s">
        <v>98</v>
      </c>
      <c r="L801" s="18" t="str">
        <f>VLOOKUP(D801,Products!$A:$C,3,FALSE)</f>
        <v>Electronics</v>
      </c>
      <c r="N801" s="18" t="str">
        <f>VLOOKUP(C801,Customers!$A:$E,5,FALSE)</f>
        <v>SMB</v>
      </c>
      <c r="O801" s="18">
        <f>VLOOKUP(C801,Customers!$A:$C,3,FALSE)</f>
        <v>53</v>
      </c>
      <c r="T801" s="10">
        <v>11.1</v>
      </c>
    </row>
    <row r="802" spans="1:20" ht="14.25" hidden="1" customHeight="1" x14ac:dyDescent="0.3">
      <c r="A802" s="8" t="s">
        <v>1856</v>
      </c>
      <c r="B802" s="9">
        <v>45368</v>
      </c>
      <c r="C802" s="8" t="s">
        <v>571</v>
      </c>
      <c r="D802" s="8" t="s">
        <v>219</v>
      </c>
      <c r="E802" s="8" t="s">
        <v>221</v>
      </c>
      <c r="F802" s="10">
        <v>8</v>
      </c>
      <c r="G802" s="10">
        <v>3450</v>
      </c>
      <c r="H802" s="10">
        <v>23.7</v>
      </c>
      <c r="I802" s="10">
        <v>21058.799999999999</v>
      </c>
      <c r="J802" s="8" t="s">
        <v>41</v>
      </c>
      <c r="K802" s="8" t="s">
        <v>98</v>
      </c>
      <c r="L802" s="18" t="str">
        <f>VLOOKUP(D802,Products!$A:$C,3,FALSE)</f>
        <v>Sports</v>
      </c>
      <c r="N802" s="18" t="str">
        <f>VLOOKUP(C802,Customers!$A:$E,5,FALSE)</f>
        <v>Retail</v>
      </c>
      <c r="O802" s="18">
        <f>VLOOKUP(C802,Customers!$A:$C,3,FALSE)</f>
        <v>49</v>
      </c>
      <c r="T802" s="10">
        <v>16.5</v>
      </c>
    </row>
    <row r="803" spans="1:20" ht="14.25" hidden="1" customHeight="1" x14ac:dyDescent="0.3">
      <c r="A803" s="8" t="s">
        <v>1857</v>
      </c>
      <c r="B803" s="9">
        <v>45316</v>
      </c>
      <c r="C803" s="8" t="s">
        <v>783</v>
      </c>
      <c r="D803" s="8" t="s">
        <v>889</v>
      </c>
      <c r="E803" s="8" t="s">
        <v>619</v>
      </c>
      <c r="F803" s="10">
        <v>8</v>
      </c>
      <c r="G803" s="10">
        <v>3450</v>
      </c>
      <c r="H803" s="10">
        <v>5.4</v>
      </c>
      <c r="I803" s="10">
        <v>26109.599999999999</v>
      </c>
      <c r="J803" s="8" t="s">
        <v>41</v>
      </c>
      <c r="K803" s="8" t="s">
        <v>98</v>
      </c>
      <c r="L803" s="18" t="str">
        <f>VLOOKUP(D803,Products!$A:$C,3,FALSE)</f>
        <v>Apparel</v>
      </c>
      <c r="N803" s="18" t="str">
        <f>VLOOKUP(C803,Customers!$A:$E,5,FALSE)</f>
        <v>Corporate</v>
      </c>
      <c r="O803" s="18">
        <f>VLOOKUP(C803,Customers!$A:$C,3,FALSE)</f>
        <v>51</v>
      </c>
      <c r="T803" s="10">
        <v>11.8</v>
      </c>
    </row>
    <row r="804" spans="1:20" ht="14.25" hidden="1" customHeight="1" x14ac:dyDescent="0.3">
      <c r="A804" s="8" t="s">
        <v>1858</v>
      </c>
      <c r="B804" s="9">
        <v>45652</v>
      </c>
      <c r="C804" s="8" t="s">
        <v>379</v>
      </c>
      <c r="D804" s="8" t="s">
        <v>662</v>
      </c>
      <c r="E804" s="8" t="s">
        <v>236</v>
      </c>
      <c r="F804" s="10">
        <v>1</v>
      </c>
      <c r="G804" s="10">
        <v>6080</v>
      </c>
      <c r="H804" s="10">
        <v>22.3</v>
      </c>
      <c r="I804" s="10">
        <v>4724.16</v>
      </c>
      <c r="J804" s="8" t="s">
        <v>41</v>
      </c>
      <c r="K804" s="8" t="s">
        <v>146</v>
      </c>
      <c r="L804" s="18" t="str">
        <f>VLOOKUP(D804,Products!$A:$C,3,FALSE)</f>
        <v>Beauty</v>
      </c>
      <c r="N804" s="18" t="str">
        <f>VLOOKUP(C804,Customers!$A:$E,5,FALSE)</f>
        <v>Corporate</v>
      </c>
      <c r="O804" s="18">
        <f>VLOOKUP(C804,Customers!$A:$C,3,FALSE)</f>
        <v>62</v>
      </c>
      <c r="T804" s="10">
        <v>10.4</v>
      </c>
    </row>
    <row r="805" spans="1:20" ht="14.25" hidden="1" customHeight="1" x14ac:dyDescent="0.3">
      <c r="A805" s="8" t="s">
        <v>1859</v>
      </c>
      <c r="B805" s="9">
        <v>45597</v>
      </c>
      <c r="C805" s="8" t="s">
        <v>519</v>
      </c>
      <c r="D805" s="8" t="s">
        <v>898</v>
      </c>
      <c r="E805" s="8" t="s">
        <v>865</v>
      </c>
      <c r="F805" s="10">
        <v>9</v>
      </c>
      <c r="G805" s="10">
        <v>2510</v>
      </c>
      <c r="H805" s="10">
        <v>27.4</v>
      </c>
      <c r="I805" s="10">
        <v>16400.34</v>
      </c>
      <c r="J805" s="8" t="s">
        <v>41</v>
      </c>
      <c r="K805" s="8" t="s">
        <v>119</v>
      </c>
      <c r="L805" s="18" t="str">
        <f>VLOOKUP(D805,Products!$A:$C,3,FALSE)</f>
        <v>Apparel</v>
      </c>
      <c r="N805" s="18" t="str">
        <f>VLOOKUP(C805,Customers!$A:$E,5,FALSE)</f>
        <v>SMB</v>
      </c>
      <c r="O805" s="18">
        <f>VLOOKUP(C805,Customers!$A:$C,3,FALSE)</f>
        <v>50</v>
      </c>
      <c r="T805" s="10">
        <v>22.5</v>
      </c>
    </row>
    <row r="806" spans="1:20" ht="14.25" hidden="1" customHeight="1" x14ac:dyDescent="0.3">
      <c r="A806" s="8" t="s">
        <v>1860</v>
      </c>
      <c r="B806" s="9">
        <v>45392</v>
      </c>
      <c r="C806" s="8" t="s">
        <v>218</v>
      </c>
      <c r="D806" s="8" t="s">
        <v>260</v>
      </c>
      <c r="E806" s="8" t="s">
        <v>189</v>
      </c>
      <c r="F806" s="10">
        <v>10</v>
      </c>
      <c r="G806" s="10">
        <v>1010</v>
      </c>
      <c r="H806" s="10">
        <v>28.4</v>
      </c>
      <c r="I806" s="10">
        <v>7231.6</v>
      </c>
      <c r="J806" s="8" t="s">
        <v>41</v>
      </c>
      <c r="K806" s="8" t="s">
        <v>146</v>
      </c>
      <c r="L806" s="18" t="str">
        <f>VLOOKUP(D806,Products!$A:$C,3,FALSE)</f>
        <v>Sports</v>
      </c>
      <c r="N806" s="18" t="str">
        <f>VLOOKUP(C806,Customers!$A:$E,5,FALSE)</f>
        <v>Retail</v>
      </c>
      <c r="O806" s="18">
        <f>VLOOKUP(C806,Customers!$A:$C,3,FALSE)</f>
        <v>54</v>
      </c>
      <c r="T806" s="10">
        <v>21.5</v>
      </c>
    </row>
    <row r="807" spans="1:20" ht="14.25" hidden="1" customHeight="1" x14ac:dyDescent="0.3">
      <c r="A807" s="8" t="s">
        <v>1861</v>
      </c>
      <c r="B807" s="9">
        <v>45401</v>
      </c>
      <c r="C807" s="8" t="s">
        <v>844</v>
      </c>
      <c r="D807" s="8" t="s">
        <v>901</v>
      </c>
      <c r="E807" s="8" t="s">
        <v>208</v>
      </c>
      <c r="F807" s="10">
        <v>1</v>
      </c>
      <c r="G807" s="10">
        <v>3560</v>
      </c>
      <c r="H807" s="10">
        <v>26</v>
      </c>
      <c r="I807" s="10">
        <v>2634.4</v>
      </c>
      <c r="J807" s="8" t="s">
        <v>41</v>
      </c>
      <c r="K807" s="8" t="s">
        <v>146</v>
      </c>
      <c r="L807" s="18" t="str">
        <f>VLOOKUP(D807,Products!$A:$C,3,FALSE)</f>
        <v>Apparel</v>
      </c>
      <c r="N807" s="18" t="str">
        <f>VLOOKUP(C807,Customers!$A:$E,5,FALSE)</f>
        <v>Retail</v>
      </c>
      <c r="O807" s="18">
        <f>VLOOKUP(C807,Customers!$A:$C,3,FALSE)</f>
        <v>54</v>
      </c>
      <c r="T807" s="10">
        <v>21</v>
      </c>
    </row>
    <row r="808" spans="1:20" ht="14.25" hidden="1" customHeight="1" x14ac:dyDescent="0.3">
      <c r="A808" s="8" t="s">
        <v>1862</v>
      </c>
      <c r="B808" s="9">
        <v>45397</v>
      </c>
      <c r="C808" s="8" t="s">
        <v>481</v>
      </c>
      <c r="D808" s="8" t="s">
        <v>867</v>
      </c>
      <c r="E808" s="8" t="s">
        <v>125</v>
      </c>
      <c r="F808" s="10">
        <v>8</v>
      </c>
      <c r="G808" s="10">
        <v>3020</v>
      </c>
      <c r="H808" s="10">
        <v>6.9</v>
      </c>
      <c r="I808" s="10">
        <v>22492.959999999999</v>
      </c>
      <c r="J808" s="8" t="s">
        <v>41</v>
      </c>
      <c r="K808" s="8" t="s">
        <v>178</v>
      </c>
      <c r="L808" s="18" t="str">
        <f>VLOOKUP(D808,Products!$A:$C,3,FALSE)</f>
        <v>Beauty</v>
      </c>
      <c r="N808" s="18" t="str">
        <f>VLOOKUP(C808,Customers!$A:$E,5,FALSE)</f>
        <v>Corporate</v>
      </c>
      <c r="O808" s="18">
        <f>VLOOKUP(C808,Customers!$A:$C,3,FALSE)</f>
        <v>43</v>
      </c>
      <c r="T808" s="10">
        <v>13.5</v>
      </c>
    </row>
    <row r="809" spans="1:20" ht="14.25" customHeight="1" x14ac:dyDescent="0.3">
      <c r="A809" s="8" t="s">
        <v>1863</v>
      </c>
      <c r="B809" s="21">
        <v>45301</v>
      </c>
      <c r="C809" s="8" t="s">
        <v>442</v>
      </c>
      <c r="D809" s="8" t="s">
        <v>818</v>
      </c>
      <c r="E809" s="8" t="s">
        <v>121</v>
      </c>
      <c r="F809" s="10">
        <v>1</v>
      </c>
      <c r="G809" s="10">
        <v>4070</v>
      </c>
      <c r="H809" s="10">
        <v>8.1999999999999993</v>
      </c>
      <c r="I809" s="10">
        <v>3736.26</v>
      </c>
      <c r="J809" s="8" t="s">
        <v>41</v>
      </c>
      <c r="K809" s="8" t="s">
        <v>98</v>
      </c>
      <c r="L809" s="18" t="str">
        <f>VLOOKUP(D809,Products!$A:$C,3,FALSE)</f>
        <v>Grocery</v>
      </c>
      <c r="N809" s="18" t="str">
        <f>VLOOKUP(C809,Customers!$A:$E,5,FALSE)</f>
        <v>Retail</v>
      </c>
      <c r="O809" s="18">
        <f>VLOOKUP(C809,Customers!$A:$C,3,FALSE)</f>
        <v>26</v>
      </c>
      <c r="P809" s="18" t="str">
        <f>VLOOKUP(E808,Sales_Reps!$A:$C,3,FALSE)</f>
        <v>North</v>
      </c>
      <c r="Q809" s="18" t="str">
        <f t="shared" ref="Q809:Q811" si="168">TEXT(B808,"MMM-YY")</f>
        <v>Apr-24</v>
      </c>
      <c r="R809">
        <f>VLOOKUP(D809, Products!A:D, 4, FALSE)</f>
        <v>2027</v>
      </c>
      <c r="S809">
        <f t="shared" ref="S809:S811" si="169">(G809-R809)/G809</f>
        <v>0.50196560196560192</v>
      </c>
      <c r="T809" s="10">
        <v>25.4</v>
      </c>
    </row>
    <row r="810" spans="1:20" ht="14.25" customHeight="1" x14ac:dyDescent="0.3">
      <c r="A810" s="8" t="s">
        <v>1864</v>
      </c>
      <c r="B810" s="21">
        <v>45347</v>
      </c>
      <c r="C810" s="8" t="s">
        <v>515</v>
      </c>
      <c r="D810" s="8" t="s">
        <v>144</v>
      </c>
      <c r="E810" s="8" t="s">
        <v>321</v>
      </c>
      <c r="F810" s="10">
        <v>9</v>
      </c>
      <c r="G810" s="10">
        <v>370</v>
      </c>
      <c r="H810" s="10">
        <v>19.8</v>
      </c>
      <c r="I810" s="10">
        <v>2670.66</v>
      </c>
      <c r="J810" s="8" t="s">
        <v>41</v>
      </c>
      <c r="K810" s="8" t="s">
        <v>146</v>
      </c>
      <c r="L810" s="18" t="str">
        <f>VLOOKUP(D810,Products!$A:$C,3,FALSE)</f>
        <v>Home</v>
      </c>
      <c r="N810" s="18" t="str">
        <f>VLOOKUP(C810,Customers!$A:$E,5,FALSE)</f>
        <v>Retail</v>
      </c>
      <c r="O810" s="18">
        <f>VLOOKUP(C810,Customers!$A:$C,3,FALSE)</f>
        <v>29</v>
      </c>
      <c r="P810" s="18" t="str">
        <f>VLOOKUP(E809,Sales_Reps!$A:$C,3,FALSE)</f>
        <v>East</v>
      </c>
      <c r="Q810" s="18" t="str">
        <f t="shared" si="168"/>
        <v>Jan-24</v>
      </c>
      <c r="R810">
        <f>VLOOKUP(D810, Products!A:D, 4, FALSE)</f>
        <v>288</v>
      </c>
      <c r="S810">
        <f t="shared" si="169"/>
        <v>0.22162162162162163</v>
      </c>
      <c r="T810" s="10">
        <v>4.7</v>
      </c>
    </row>
    <row r="811" spans="1:20" ht="14.25" customHeight="1" x14ac:dyDescent="0.3">
      <c r="A811" s="8" t="s">
        <v>1865</v>
      </c>
      <c r="B811" s="21">
        <v>45544</v>
      </c>
      <c r="C811" s="8" t="s">
        <v>750</v>
      </c>
      <c r="D811" s="8" t="s">
        <v>171</v>
      </c>
      <c r="E811" s="8" t="s">
        <v>321</v>
      </c>
      <c r="F811" s="10">
        <v>6</v>
      </c>
      <c r="G811" s="10">
        <v>970</v>
      </c>
      <c r="H811" s="10">
        <v>16.2</v>
      </c>
      <c r="I811" s="10">
        <v>4877.16</v>
      </c>
      <c r="J811" s="8" t="s">
        <v>41</v>
      </c>
      <c r="K811" s="8" t="s">
        <v>178</v>
      </c>
      <c r="L811" s="18" t="str">
        <f>VLOOKUP(D811,Products!$A:$C,3,FALSE)</f>
        <v>Grocery</v>
      </c>
      <c r="N811" s="18" t="str">
        <f>VLOOKUP(C811,Customers!$A:$E,5,FALSE)</f>
        <v>SMB</v>
      </c>
      <c r="O811" s="18">
        <f>VLOOKUP(C811,Customers!$A:$C,3,FALSE)</f>
        <v>28</v>
      </c>
      <c r="P811" s="18" t="str">
        <f>VLOOKUP(E810,Sales_Reps!$A:$C,3,FALSE)</f>
        <v>East</v>
      </c>
      <c r="Q811" s="18" t="str">
        <f t="shared" si="168"/>
        <v>Feb-24</v>
      </c>
      <c r="R811">
        <f>VLOOKUP(D811, Products!A:D, 4, FALSE)</f>
        <v>434</v>
      </c>
      <c r="S811">
        <f t="shared" si="169"/>
        <v>0.5525773195876289</v>
      </c>
      <c r="T811" s="10">
        <v>1</v>
      </c>
    </row>
    <row r="812" spans="1:20" ht="14.25" hidden="1" customHeight="1" x14ac:dyDescent="0.3">
      <c r="A812" s="8" t="s">
        <v>1866</v>
      </c>
      <c r="B812" s="9">
        <v>45633</v>
      </c>
      <c r="C812" s="8" t="s">
        <v>460</v>
      </c>
      <c r="D812" s="8" t="s">
        <v>239</v>
      </c>
      <c r="E812" s="8" t="s">
        <v>158</v>
      </c>
      <c r="F812" s="10">
        <v>10</v>
      </c>
      <c r="G812" s="10">
        <v>2720</v>
      </c>
      <c r="H812" s="10">
        <v>3</v>
      </c>
      <c r="I812" s="10">
        <v>26384</v>
      </c>
      <c r="J812" s="8" t="s">
        <v>97</v>
      </c>
      <c r="K812" s="8" t="s">
        <v>42</v>
      </c>
      <c r="L812" s="18" t="str">
        <f>VLOOKUP(D812,Products!$A:$C,3,FALSE)</f>
        <v>Apparel</v>
      </c>
      <c r="N812" s="18" t="str">
        <f>VLOOKUP(C812,Customers!$A:$E,5,FALSE)</f>
        <v>SMB</v>
      </c>
      <c r="O812" s="18">
        <f>VLOOKUP(C812,Customers!$A:$C,3,FALSE)</f>
        <v>60</v>
      </c>
      <c r="T812" s="10">
        <v>7.2</v>
      </c>
    </row>
    <row r="813" spans="1:20" ht="14.25" hidden="1" customHeight="1" x14ac:dyDescent="0.3">
      <c r="A813" s="8" t="s">
        <v>1867</v>
      </c>
      <c r="B813" s="9">
        <v>45293</v>
      </c>
      <c r="C813" s="8" t="s">
        <v>324</v>
      </c>
      <c r="D813" s="8" t="s">
        <v>205</v>
      </c>
      <c r="E813" s="8" t="s">
        <v>117</v>
      </c>
      <c r="F813" s="10">
        <v>7</v>
      </c>
      <c r="G813" s="10">
        <v>2400</v>
      </c>
      <c r="H813" s="10">
        <v>29.4</v>
      </c>
      <c r="I813" s="10">
        <v>11860.8</v>
      </c>
      <c r="J813" s="8" t="s">
        <v>41</v>
      </c>
      <c r="K813" s="8" t="s">
        <v>136</v>
      </c>
      <c r="L813" s="18" t="str">
        <f>VLOOKUP(D813,Products!$A:$C,3,FALSE)</f>
        <v>Sports</v>
      </c>
      <c r="N813" s="18" t="str">
        <f>VLOOKUP(C813,Customers!$A:$E,5,FALSE)</f>
        <v>Corporate</v>
      </c>
      <c r="O813" s="18">
        <f>VLOOKUP(C813,Customers!$A:$C,3,FALSE)</f>
        <v>43</v>
      </c>
      <c r="T813" s="10">
        <v>15.3</v>
      </c>
    </row>
    <row r="814" spans="1:20" ht="14.25" hidden="1" customHeight="1" x14ac:dyDescent="0.3">
      <c r="A814" s="8" t="s">
        <v>1868</v>
      </c>
      <c r="B814" s="9">
        <v>45564</v>
      </c>
      <c r="C814" s="8" t="s">
        <v>627</v>
      </c>
      <c r="D814" s="8" t="s">
        <v>901</v>
      </c>
      <c r="E814" s="8" t="s">
        <v>189</v>
      </c>
      <c r="F814" s="10">
        <v>8</v>
      </c>
      <c r="G814" s="10">
        <v>3560</v>
      </c>
      <c r="H814" s="10">
        <v>21.7</v>
      </c>
      <c r="I814" s="10">
        <v>22299.84</v>
      </c>
      <c r="J814" s="8" t="s">
        <v>41</v>
      </c>
      <c r="K814" s="8" t="s">
        <v>42</v>
      </c>
      <c r="L814" s="18" t="str">
        <f>VLOOKUP(D814,Products!$A:$C,3,FALSE)</f>
        <v>Apparel</v>
      </c>
      <c r="N814" s="18" t="str">
        <f>VLOOKUP(C814,Customers!$A:$E,5,FALSE)</f>
        <v>Retail</v>
      </c>
      <c r="O814" s="18">
        <f>VLOOKUP(C814,Customers!$A:$C,3,FALSE)</f>
        <v>65</v>
      </c>
      <c r="T814" s="10">
        <v>2.7</v>
      </c>
    </row>
    <row r="815" spans="1:20" ht="14.25" customHeight="1" x14ac:dyDescent="0.3">
      <c r="A815" s="8" t="s">
        <v>1869</v>
      </c>
      <c r="B815" s="21">
        <v>45385</v>
      </c>
      <c r="C815" s="8" t="s">
        <v>724</v>
      </c>
      <c r="D815" s="8" t="s">
        <v>818</v>
      </c>
      <c r="E815" s="8" t="s">
        <v>301</v>
      </c>
      <c r="F815" s="10">
        <v>7</v>
      </c>
      <c r="G815" s="10">
        <v>4070</v>
      </c>
      <c r="H815" s="10">
        <v>10.5</v>
      </c>
      <c r="I815" s="10">
        <v>25498.55</v>
      </c>
      <c r="J815" s="8" t="s">
        <v>41</v>
      </c>
      <c r="K815" s="8" t="s">
        <v>119</v>
      </c>
      <c r="L815" s="18" t="str">
        <f>VLOOKUP(D815,Products!$A:$C,3,FALSE)</f>
        <v>Grocery</v>
      </c>
      <c r="N815" s="18" t="str">
        <f>VLOOKUP(C815,Customers!$A:$E,5,FALSE)</f>
        <v>SMB</v>
      </c>
      <c r="O815" s="18">
        <f>VLOOKUP(C815,Customers!$A:$C,3,FALSE)</f>
        <v>29</v>
      </c>
      <c r="P815" s="18" t="str">
        <f>VLOOKUP(E814,Sales_Reps!$A:$C,3,FALSE)</f>
        <v>South</v>
      </c>
      <c r="Q815" s="18" t="str">
        <f>TEXT(B814,"MMM-YY")</f>
        <v>Sep-24</v>
      </c>
      <c r="R815">
        <f>VLOOKUP(D815, Products!A:D, 4, FALSE)</f>
        <v>2027</v>
      </c>
      <c r="S815">
        <f>(G815-R815)/G815</f>
        <v>0.50196560196560192</v>
      </c>
      <c r="T815" s="10">
        <v>19.899999999999999</v>
      </c>
    </row>
    <row r="816" spans="1:20" ht="14.25" hidden="1" customHeight="1" x14ac:dyDescent="0.3">
      <c r="A816" s="8" t="s">
        <v>1870</v>
      </c>
      <c r="B816" s="9">
        <v>45299</v>
      </c>
      <c r="C816" s="8" t="s">
        <v>584</v>
      </c>
      <c r="D816" s="8" t="s">
        <v>954</v>
      </c>
      <c r="E816" s="8" t="s">
        <v>135</v>
      </c>
      <c r="F816" s="10">
        <v>3</v>
      </c>
      <c r="G816" s="10">
        <v>5410</v>
      </c>
      <c r="H816" s="10">
        <v>0.2</v>
      </c>
      <c r="I816" s="10">
        <v>16197.54</v>
      </c>
      <c r="J816" s="8" t="s">
        <v>41</v>
      </c>
      <c r="K816" s="8" t="s">
        <v>146</v>
      </c>
      <c r="L816" s="18" t="str">
        <f>VLOOKUP(D816,Products!$A:$C,3,FALSE)</f>
        <v>Sports</v>
      </c>
      <c r="N816" s="18" t="str">
        <f>VLOOKUP(C816,Customers!$A:$E,5,FALSE)</f>
        <v>Retail</v>
      </c>
      <c r="O816" s="18">
        <f>VLOOKUP(C816,Customers!$A:$C,3,FALSE)</f>
        <v>53</v>
      </c>
      <c r="T816" s="10">
        <v>5.5</v>
      </c>
    </row>
    <row r="817" spans="1:20" ht="14.25" hidden="1" customHeight="1" x14ac:dyDescent="0.3">
      <c r="A817" s="8" t="s">
        <v>1871</v>
      </c>
      <c r="B817" s="9">
        <v>45651</v>
      </c>
      <c r="C817" s="8" t="s">
        <v>408</v>
      </c>
      <c r="D817" s="8" t="s">
        <v>374</v>
      </c>
      <c r="E817" s="8" t="s">
        <v>172</v>
      </c>
      <c r="F817" s="10">
        <v>4</v>
      </c>
      <c r="G817" s="10">
        <v>2760</v>
      </c>
      <c r="H817" s="10">
        <v>27.5</v>
      </c>
      <c r="I817" s="10">
        <v>8004</v>
      </c>
      <c r="J817" s="8" t="s">
        <v>147</v>
      </c>
      <c r="K817" s="8" t="s">
        <v>119</v>
      </c>
      <c r="L817" s="18" t="str">
        <f>VLOOKUP(D817,Products!$A:$C,3,FALSE)</f>
        <v>Grocery</v>
      </c>
      <c r="N817" s="18" t="str">
        <f>VLOOKUP(C817,Customers!$A:$E,5,FALSE)</f>
        <v>SMB</v>
      </c>
      <c r="O817" s="18">
        <f>VLOOKUP(C817,Customers!$A:$C,3,FALSE)</f>
        <v>48</v>
      </c>
      <c r="T817" s="10">
        <v>22.5</v>
      </c>
    </row>
    <row r="818" spans="1:20" ht="14.25" customHeight="1" x14ac:dyDescent="0.3">
      <c r="A818" s="8" t="s">
        <v>527</v>
      </c>
      <c r="B818" s="21">
        <v>45474</v>
      </c>
      <c r="C818" s="8" t="s">
        <v>613</v>
      </c>
      <c r="D818" s="8" t="s">
        <v>926</v>
      </c>
      <c r="E818" s="8" t="s">
        <v>745</v>
      </c>
      <c r="F818" s="10">
        <v>3</v>
      </c>
      <c r="G818" s="10">
        <v>5080</v>
      </c>
      <c r="H818" s="10">
        <v>27.2</v>
      </c>
      <c r="I818" s="10">
        <v>11094.72</v>
      </c>
      <c r="J818" s="8" t="s">
        <v>41</v>
      </c>
      <c r="K818" s="8" t="s">
        <v>42</v>
      </c>
      <c r="L818" s="18" t="str">
        <f>VLOOKUP(D818,Products!$A:$C,3,FALSE)</f>
        <v>Home</v>
      </c>
      <c r="N818" s="18" t="str">
        <f>VLOOKUP(C818,Customers!$A:$E,5,FALSE)</f>
        <v>Retail</v>
      </c>
      <c r="O818" s="18">
        <f>VLOOKUP(C818,Customers!$A:$C,3,FALSE)</f>
        <v>29</v>
      </c>
      <c r="P818" s="18" t="str">
        <f>VLOOKUP(E817,Sales_Reps!$A:$C,3,FALSE)</f>
        <v>West</v>
      </c>
      <c r="Q818" s="18" t="str">
        <f t="shared" ref="Q818:Q819" si="170">TEXT(B817,"MMM-YY")</f>
        <v>Dec-24</v>
      </c>
      <c r="R818">
        <f>VLOOKUP(D818, Products!A:D, 4, FALSE)</f>
        <v>2459</v>
      </c>
      <c r="S818">
        <f t="shared" ref="S818:S819" si="171">(G818-R818)/G818</f>
        <v>0.51594488188976373</v>
      </c>
      <c r="T818" s="10">
        <v>17.8</v>
      </c>
    </row>
    <row r="819" spans="1:20" ht="14.25" customHeight="1" x14ac:dyDescent="0.3">
      <c r="A819" s="8" t="s">
        <v>1872</v>
      </c>
      <c r="B819" s="21">
        <v>45391</v>
      </c>
      <c r="C819" s="8" t="s">
        <v>393</v>
      </c>
      <c r="D819" s="8" t="s">
        <v>929</v>
      </c>
      <c r="E819" s="8" t="s">
        <v>121</v>
      </c>
      <c r="F819" s="10">
        <v>5</v>
      </c>
      <c r="G819" s="10">
        <v>1090</v>
      </c>
      <c r="H819" s="10">
        <v>3.3</v>
      </c>
      <c r="I819" s="10">
        <v>5270.15</v>
      </c>
      <c r="J819" s="8" t="s">
        <v>41</v>
      </c>
      <c r="K819" s="8" t="s">
        <v>42</v>
      </c>
      <c r="L819" s="18" t="str">
        <f>VLOOKUP(D819,Products!$A:$C,3,FALSE)</f>
        <v>Home</v>
      </c>
      <c r="N819" s="18" t="str">
        <f>VLOOKUP(C819,Customers!$A:$E,5,FALSE)</f>
        <v>Retail</v>
      </c>
      <c r="O819" s="18">
        <f>VLOOKUP(C819,Customers!$A:$C,3,FALSE)</f>
        <v>39</v>
      </c>
      <c r="P819" s="18" t="str">
        <f>VLOOKUP(E818,Sales_Reps!$A:$C,3,FALSE)</f>
        <v>South</v>
      </c>
      <c r="Q819" s="18" t="str">
        <f t="shared" si="170"/>
        <v>Jul-24</v>
      </c>
      <c r="R819">
        <f>VLOOKUP(D819, Products!A:D, 4, FALSE)</f>
        <v>464</v>
      </c>
      <c r="S819">
        <f t="shared" si="171"/>
        <v>0.57431192660550456</v>
      </c>
      <c r="T819" s="10">
        <v>29.8</v>
      </c>
    </row>
    <row r="820" spans="1:20" ht="14.25" hidden="1" customHeight="1" x14ac:dyDescent="0.3">
      <c r="A820" s="8" t="s">
        <v>1873</v>
      </c>
      <c r="B820" s="9">
        <v>45328</v>
      </c>
      <c r="C820" s="8" t="s">
        <v>541</v>
      </c>
      <c r="D820" s="8" t="s">
        <v>909</v>
      </c>
      <c r="E820" s="8" t="s">
        <v>236</v>
      </c>
      <c r="F820" s="10">
        <v>10</v>
      </c>
      <c r="G820" s="10">
        <v>2380</v>
      </c>
      <c r="H820" s="10">
        <v>7</v>
      </c>
      <c r="I820" s="10">
        <v>22134</v>
      </c>
      <c r="J820" s="8" t="s">
        <v>41</v>
      </c>
      <c r="K820" s="8" t="s">
        <v>136</v>
      </c>
      <c r="L820" s="18" t="str">
        <f>VLOOKUP(D820,Products!$A:$C,3,FALSE)</f>
        <v>Grocery</v>
      </c>
      <c r="N820" s="18" t="str">
        <f>VLOOKUP(C820,Customers!$A:$E,5,FALSE)</f>
        <v>Corporate</v>
      </c>
      <c r="O820" s="18">
        <f>VLOOKUP(C820,Customers!$A:$C,3,FALSE)</f>
        <v>41</v>
      </c>
      <c r="T820" s="10">
        <v>13.6</v>
      </c>
    </row>
    <row r="821" spans="1:20" ht="14.25" hidden="1" customHeight="1" x14ac:dyDescent="0.3">
      <c r="A821" s="8" t="s">
        <v>1874</v>
      </c>
      <c r="B821" s="9">
        <v>45490</v>
      </c>
      <c r="C821" s="8" t="s">
        <v>304</v>
      </c>
      <c r="D821" s="8" t="s">
        <v>134</v>
      </c>
      <c r="E821" s="8" t="s">
        <v>376</v>
      </c>
      <c r="F821" s="10">
        <v>5</v>
      </c>
      <c r="G821" s="10">
        <v>3160</v>
      </c>
      <c r="H821" s="10">
        <v>25.6</v>
      </c>
      <c r="I821" s="10">
        <v>11755.2</v>
      </c>
      <c r="J821" s="8" t="s">
        <v>41</v>
      </c>
      <c r="K821" s="8" t="s">
        <v>98</v>
      </c>
      <c r="L821" s="18" t="str">
        <f>VLOOKUP(D821,Products!$A:$C,3,FALSE)</f>
        <v>Apparel</v>
      </c>
      <c r="N821" s="18" t="str">
        <f>VLOOKUP(C821,Customers!$A:$E,5,FALSE)</f>
        <v>SMB</v>
      </c>
      <c r="O821" s="18">
        <f>VLOOKUP(C821,Customers!$A:$C,3,FALSE)</f>
        <v>43</v>
      </c>
      <c r="T821" s="10">
        <v>15</v>
      </c>
    </row>
    <row r="822" spans="1:20" ht="14.25" hidden="1" customHeight="1" x14ac:dyDescent="0.3">
      <c r="A822" s="8" t="s">
        <v>1875</v>
      </c>
      <c r="B822" s="9">
        <v>45362</v>
      </c>
      <c r="C822" s="8" t="s">
        <v>451</v>
      </c>
      <c r="D822" s="8" t="s">
        <v>205</v>
      </c>
      <c r="E822" s="8" t="s">
        <v>236</v>
      </c>
      <c r="F822" s="10">
        <v>9</v>
      </c>
      <c r="G822" s="10">
        <v>2400</v>
      </c>
      <c r="H822" s="10">
        <v>8.4</v>
      </c>
      <c r="I822" s="10">
        <v>19785.599999999999</v>
      </c>
      <c r="J822" s="8" t="s">
        <v>41</v>
      </c>
      <c r="K822" s="8" t="s">
        <v>146</v>
      </c>
      <c r="L822" s="18" t="str">
        <f>VLOOKUP(D822,Products!$A:$C,3,FALSE)</f>
        <v>Sports</v>
      </c>
      <c r="N822" s="18" t="str">
        <f>VLOOKUP(C822,Customers!$A:$E,5,FALSE)</f>
        <v>SMB</v>
      </c>
      <c r="O822" s="18">
        <f>VLOOKUP(C822,Customers!$A:$C,3,FALSE)</f>
        <v>43</v>
      </c>
      <c r="T822" s="10">
        <v>15.6</v>
      </c>
    </row>
    <row r="823" spans="1:20" ht="14.25" customHeight="1" x14ac:dyDescent="0.3">
      <c r="A823" s="8" t="s">
        <v>1876</v>
      </c>
      <c r="B823" s="21">
        <v>45449</v>
      </c>
      <c r="C823" s="8" t="s">
        <v>862</v>
      </c>
      <c r="D823" s="8" t="s">
        <v>184</v>
      </c>
      <c r="E823" s="8" t="s">
        <v>321</v>
      </c>
      <c r="F823" s="10">
        <v>4</v>
      </c>
      <c r="G823" s="10">
        <v>2600</v>
      </c>
      <c r="H823" s="10">
        <v>4.2</v>
      </c>
      <c r="I823" s="10">
        <v>9963.2000000000007</v>
      </c>
      <c r="J823" s="8" t="s">
        <v>41</v>
      </c>
      <c r="K823" s="8" t="s">
        <v>146</v>
      </c>
      <c r="L823" s="18" t="str">
        <f>VLOOKUP(D823,Products!$A:$C,3,FALSE)</f>
        <v>Electronics</v>
      </c>
      <c r="N823" s="18" t="str">
        <f>VLOOKUP(C823,Customers!$A:$E,5,FALSE)</f>
        <v>Retail</v>
      </c>
      <c r="O823" s="18">
        <f>VLOOKUP(C823,Customers!$A:$C,3,FALSE)</f>
        <v>38</v>
      </c>
      <c r="P823" s="18" t="str">
        <f>VLOOKUP(E822,Sales_Reps!$A:$C,3,FALSE)</f>
        <v>West</v>
      </c>
      <c r="Q823" s="18" t="str">
        <f>TEXT(B822,"MMM-YY")</f>
        <v>Mar-24</v>
      </c>
      <c r="R823">
        <f>VLOOKUP(D823, Products!A:D, 4, FALSE)</f>
        <v>1052</v>
      </c>
      <c r="S823">
        <f>(G823-R823)/G823</f>
        <v>0.5953846153846154</v>
      </c>
      <c r="T823" s="10">
        <v>5.5</v>
      </c>
    </row>
    <row r="824" spans="1:20" ht="14.25" hidden="1" customHeight="1" x14ac:dyDescent="0.3">
      <c r="A824" s="8" t="s">
        <v>1877</v>
      </c>
      <c r="B824" s="9">
        <v>45409</v>
      </c>
      <c r="C824" s="8" t="s">
        <v>1878</v>
      </c>
      <c r="D824" s="8" t="s">
        <v>176</v>
      </c>
      <c r="E824" s="8" t="s">
        <v>208</v>
      </c>
      <c r="F824" s="10">
        <v>5</v>
      </c>
      <c r="G824" s="10">
        <v>2270</v>
      </c>
      <c r="H824" s="10">
        <v>0.1</v>
      </c>
      <c r="I824" s="10">
        <v>11338.65</v>
      </c>
      <c r="J824" s="8" t="s">
        <v>41</v>
      </c>
      <c r="K824" s="8" t="s">
        <v>146</v>
      </c>
      <c r="L824" s="18" t="str">
        <f>VLOOKUP(D824,Products!$A:$C,3,FALSE)</f>
        <v>Grocery</v>
      </c>
      <c r="N824" s="18" t="e">
        <f>VLOOKUP(C824,Customers!$A:$E,5,FALSE)</f>
        <v>#N/A</v>
      </c>
      <c r="O824" s="18" t="e">
        <f>VLOOKUP(C824,Customers!$A:$C,3,FALSE)</f>
        <v>#N/A</v>
      </c>
      <c r="T824" s="10">
        <v>5</v>
      </c>
    </row>
    <row r="825" spans="1:20" ht="14.25" hidden="1" customHeight="1" x14ac:dyDescent="0.3">
      <c r="A825" s="8" t="s">
        <v>1879</v>
      </c>
      <c r="B825" s="9">
        <v>45465</v>
      </c>
      <c r="C825" s="8" t="s">
        <v>541</v>
      </c>
      <c r="D825" s="8" t="s">
        <v>163</v>
      </c>
      <c r="E825" s="8" t="s">
        <v>321</v>
      </c>
      <c r="F825" s="10">
        <v>7</v>
      </c>
      <c r="G825" s="10">
        <v>5490</v>
      </c>
      <c r="H825" s="10">
        <v>14.9</v>
      </c>
      <c r="I825" s="10">
        <v>32703.93</v>
      </c>
      <c r="J825" s="8" t="s">
        <v>41</v>
      </c>
      <c r="K825" s="8" t="s">
        <v>136</v>
      </c>
      <c r="L825" s="18" t="str">
        <f>VLOOKUP(D825,Products!$A:$C,3,FALSE)</f>
        <v>Home</v>
      </c>
      <c r="N825" s="18" t="str">
        <f>VLOOKUP(C825,Customers!$A:$E,5,FALSE)</f>
        <v>Corporate</v>
      </c>
      <c r="O825" s="18">
        <f>VLOOKUP(C825,Customers!$A:$C,3,FALSE)</f>
        <v>41</v>
      </c>
      <c r="T825" s="10">
        <v>28.5</v>
      </c>
    </row>
    <row r="826" spans="1:20" ht="14.25" customHeight="1" x14ac:dyDescent="0.3">
      <c r="A826" s="8" t="s">
        <v>1880</v>
      </c>
      <c r="B826" s="21">
        <v>45415</v>
      </c>
      <c r="C826" s="8" t="s">
        <v>592</v>
      </c>
      <c r="D826" s="8" t="s">
        <v>188</v>
      </c>
      <c r="E826" s="8" t="s">
        <v>214</v>
      </c>
      <c r="F826" s="10">
        <v>5</v>
      </c>
      <c r="G826" s="10">
        <v>3870</v>
      </c>
      <c r="H826" s="10">
        <v>13.3</v>
      </c>
      <c r="I826" s="10">
        <v>16776.45</v>
      </c>
      <c r="J826" s="8" t="s">
        <v>147</v>
      </c>
      <c r="K826" s="8" t="s">
        <v>42</v>
      </c>
      <c r="L826" s="18" t="str">
        <f>VLOOKUP(D826,Products!$A:$C,3,FALSE)</f>
        <v>Electronics</v>
      </c>
      <c r="N826" s="18" t="str">
        <f>VLOOKUP(C826,Customers!$A:$E,5,FALSE)</f>
        <v>SMB</v>
      </c>
      <c r="O826" s="18">
        <f>VLOOKUP(C826,Customers!$A:$C,3,FALSE)</f>
        <v>35</v>
      </c>
      <c r="P826" s="18" t="str">
        <f>VLOOKUP(E825,Sales_Reps!$A:$C,3,FALSE)</f>
        <v>East</v>
      </c>
      <c r="Q826" s="18" t="str">
        <f t="shared" ref="Q826:Q829" si="172">TEXT(B825,"MMM-YY")</f>
        <v>Jun-24</v>
      </c>
      <c r="R826">
        <f>VLOOKUP(D826, Products!A:D, 4, FALSE)</f>
        <v>1559</v>
      </c>
      <c r="S826">
        <f t="shared" ref="S826:S829" si="173">(G826-R826)/G826</f>
        <v>0.59715762273901807</v>
      </c>
      <c r="T826" s="10">
        <v>7.7</v>
      </c>
    </row>
    <row r="827" spans="1:20" ht="14.25" customHeight="1" x14ac:dyDescent="0.3">
      <c r="A827" s="8" t="s">
        <v>1881</v>
      </c>
      <c r="B827" s="21">
        <v>45372</v>
      </c>
      <c r="C827" s="8" t="s">
        <v>784</v>
      </c>
      <c r="D827" s="8" t="s">
        <v>949</v>
      </c>
      <c r="E827" s="8" t="s">
        <v>153</v>
      </c>
      <c r="F827" s="10">
        <v>2</v>
      </c>
      <c r="G827" s="10">
        <v>960</v>
      </c>
      <c r="H827" s="10">
        <v>17.5</v>
      </c>
      <c r="I827" s="10">
        <v>1584</v>
      </c>
      <c r="J827" s="8" t="s">
        <v>41</v>
      </c>
      <c r="K827" s="8" t="s">
        <v>178</v>
      </c>
      <c r="L827" s="18" t="str">
        <f>VLOOKUP(D827,Products!$A:$C,3,FALSE)</f>
        <v>Beauty</v>
      </c>
      <c r="N827" s="18" t="str">
        <f>VLOOKUP(C827,Customers!$A:$E,5,FALSE)</f>
        <v>Retail</v>
      </c>
      <c r="O827" s="18">
        <f>VLOOKUP(C827,Customers!$A:$C,3,FALSE)</f>
        <v>28</v>
      </c>
      <c r="P827" s="18" t="str">
        <f>VLOOKUP(E826,Sales_Reps!$A:$C,3,FALSE)</f>
        <v>South</v>
      </c>
      <c r="Q827" s="18" t="str">
        <f t="shared" si="172"/>
        <v>May-24</v>
      </c>
      <c r="R827">
        <f>VLOOKUP(D827, Products!A:D, 4, FALSE)</f>
        <v>675</v>
      </c>
      <c r="S827">
        <f t="shared" si="173"/>
        <v>0.296875</v>
      </c>
      <c r="T827" s="10">
        <v>17.399999999999999</v>
      </c>
    </row>
    <row r="828" spans="1:20" ht="14.25" customHeight="1" x14ac:dyDescent="0.3">
      <c r="A828" s="8" t="s">
        <v>1882</v>
      </c>
      <c r="B828" s="21">
        <v>45405</v>
      </c>
      <c r="C828" s="8" t="s">
        <v>708</v>
      </c>
      <c r="D828" s="8" t="s">
        <v>283</v>
      </c>
      <c r="E828" s="8" t="s">
        <v>231</v>
      </c>
      <c r="F828" s="10">
        <v>4</v>
      </c>
      <c r="G828" s="10">
        <v>4880</v>
      </c>
      <c r="H828" s="10">
        <v>12.2</v>
      </c>
      <c r="I828" s="10">
        <v>17138.560000000001</v>
      </c>
      <c r="J828" s="8" t="s">
        <v>147</v>
      </c>
      <c r="K828" s="8" t="s">
        <v>146</v>
      </c>
      <c r="L828" s="18" t="str">
        <f>VLOOKUP(D828,Products!$A:$C,3,FALSE)</f>
        <v>Beauty</v>
      </c>
      <c r="N828" s="18" t="str">
        <f>VLOOKUP(C828,Customers!$A:$E,5,FALSE)</f>
        <v>Retail</v>
      </c>
      <c r="O828" s="18">
        <f>VLOOKUP(C828,Customers!$A:$C,3,FALSE)</f>
        <v>37</v>
      </c>
      <c r="P828" s="18" t="str">
        <f>VLOOKUP(E827,Sales_Reps!$A:$C,3,FALSE)</f>
        <v>West</v>
      </c>
      <c r="Q828" s="18" t="str">
        <f t="shared" si="172"/>
        <v>Mar-24</v>
      </c>
      <c r="R828">
        <f>VLOOKUP(D828, Products!A:D, 4, FALSE)</f>
        <v>2768</v>
      </c>
      <c r="S828">
        <f t="shared" si="173"/>
        <v>0.43278688524590164</v>
      </c>
      <c r="T828" s="10">
        <v>11.6</v>
      </c>
    </row>
    <row r="829" spans="1:20" ht="14.25" customHeight="1" x14ac:dyDescent="0.3">
      <c r="A829" s="8" t="s">
        <v>1883</v>
      </c>
      <c r="B829" s="21">
        <v>45419</v>
      </c>
      <c r="C829" s="8" t="s">
        <v>649</v>
      </c>
      <c r="D829" s="8" t="s">
        <v>205</v>
      </c>
      <c r="E829" s="8" t="s">
        <v>135</v>
      </c>
      <c r="F829" s="10">
        <v>5</v>
      </c>
      <c r="G829" s="10">
        <v>2400</v>
      </c>
      <c r="H829" s="10">
        <v>15</v>
      </c>
      <c r="I829" s="10">
        <v>10200</v>
      </c>
      <c r="J829" s="8" t="s">
        <v>41</v>
      </c>
      <c r="K829" s="8" t="s">
        <v>146</v>
      </c>
      <c r="L829" s="18" t="str">
        <f>VLOOKUP(D829,Products!$A:$C,3,FALSE)</f>
        <v>Sports</v>
      </c>
      <c r="N829" s="18" t="str">
        <f>VLOOKUP(C829,Customers!$A:$E,5,FALSE)</f>
        <v>SMB</v>
      </c>
      <c r="O829" s="18">
        <f>VLOOKUP(C829,Customers!$A:$C,3,FALSE)</f>
        <v>27</v>
      </c>
      <c r="P829" s="18" t="str">
        <f>VLOOKUP(E828,Sales_Reps!$A:$C,3,FALSE)</f>
        <v>North</v>
      </c>
      <c r="Q829" s="18" t="str">
        <f t="shared" si="172"/>
        <v>Apr-24</v>
      </c>
      <c r="R829">
        <f>VLOOKUP(D829, Products!A:D, 4, FALSE)</f>
        <v>974</v>
      </c>
      <c r="S829">
        <f t="shared" si="173"/>
        <v>0.59416666666666662</v>
      </c>
      <c r="T829" s="10">
        <v>15</v>
      </c>
    </row>
    <row r="830" spans="1:20" ht="14.25" hidden="1" customHeight="1" x14ac:dyDescent="0.3">
      <c r="A830" s="8" t="s">
        <v>1884</v>
      </c>
      <c r="B830" s="9">
        <v>45522</v>
      </c>
      <c r="C830" s="8" t="s">
        <v>372</v>
      </c>
      <c r="D830" s="8" t="s">
        <v>896</v>
      </c>
      <c r="E830" s="8" t="s">
        <v>301</v>
      </c>
      <c r="F830" s="10">
        <v>9</v>
      </c>
      <c r="G830" s="10">
        <v>620</v>
      </c>
      <c r="H830" s="10">
        <v>20.399999999999999</v>
      </c>
      <c r="I830" s="10">
        <v>4441.68</v>
      </c>
      <c r="J830" s="8" t="s">
        <v>97</v>
      </c>
      <c r="K830" s="8" t="s">
        <v>42</v>
      </c>
      <c r="L830" s="18" t="str">
        <f>VLOOKUP(D830,Products!$A:$C,3,FALSE)</f>
        <v>Apparel</v>
      </c>
      <c r="N830" s="18" t="str">
        <f>VLOOKUP(C830,Customers!$A:$E,5,FALSE)</f>
        <v>SMB</v>
      </c>
      <c r="O830" s="18">
        <f>VLOOKUP(C830,Customers!$A:$C,3,FALSE)</f>
        <v>54</v>
      </c>
      <c r="T830" s="10">
        <v>16.600000000000001</v>
      </c>
    </row>
    <row r="831" spans="1:20" ht="14.25" customHeight="1" x14ac:dyDescent="0.3">
      <c r="A831" s="8" t="s">
        <v>1885</v>
      </c>
      <c r="B831" s="21">
        <v>45513</v>
      </c>
      <c r="C831" s="8" t="s">
        <v>251</v>
      </c>
      <c r="D831" s="8" t="s">
        <v>839</v>
      </c>
      <c r="E831" s="8" t="s">
        <v>745</v>
      </c>
      <c r="F831" s="10">
        <v>1</v>
      </c>
      <c r="G831" s="10">
        <v>4610</v>
      </c>
      <c r="H831" s="10">
        <v>1.8</v>
      </c>
      <c r="I831" s="10">
        <v>4527.0200000000004</v>
      </c>
      <c r="J831" s="8" t="s">
        <v>97</v>
      </c>
      <c r="K831" s="8" t="s">
        <v>42</v>
      </c>
      <c r="L831" s="18" t="str">
        <f>VLOOKUP(D831,Products!$A:$C,3,FALSE)</f>
        <v>Home</v>
      </c>
      <c r="N831" s="18" t="str">
        <f>VLOOKUP(C831,Customers!$A:$E,5,FALSE)</f>
        <v>Retail</v>
      </c>
      <c r="O831" s="18">
        <f>VLOOKUP(C831,Customers!$A:$C,3,FALSE)</f>
        <v>36</v>
      </c>
      <c r="P831" s="18" t="str">
        <f>VLOOKUP(E830,Sales_Reps!$A:$C,3,FALSE)</f>
        <v>South</v>
      </c>
      <c r="Q831" s="18" t="str">
        <f>TEXT(B830,"MMM-YY")</f>
        <v>Aug-24</v>
      </c>
      <c r="R831">
        <f>VLOOKUP(D831, Products!A:D, 4, FALSE)</f>
        <v>1850</v>
      </c>
      <c r="S831">
        <f>(G831-R831)/G831</f>
        <v>0.59869848156182215</v>
      </c>
      <c r="T831" s="10">
        <v>3.8</v>
      </c>
    </row>
    <row r="832" spans="1:20" ht="14.25" hidden="1" customHeight="1" x14ac:dyDescent="0.3">
      <c r="A832" s="8" t="s">
        <v>1886</v>
      </c>
      <c r="B832" s="9">
        <v>45500</v>
      </c>
      <c r="C832" s="8" t="s">
        <v>483</v>
      </c>
      <c r="D832" s="8" t="s">
        <v>839</v>
      </c>
      <c r="E832" s="8" t="s">
        <v>117</v>
      </c>
      <c r="F832" s="10">
        <v>7</v>
      </c>
      <c r="G832" s="10">
        <v>4610</v>
      </c>
      <c r="H832" s="10">
        <v>27</v>
      </c>
      <c r="I832" s="10">
        <v>23557.1</v>
      </c>
      <c r="J832" s="8" t="s">
        <v>41</v>
      </c>
      <c r="K832" s="8" t="s">
        <v>98</v>
      </c>
      <c r="L832" s="18" t="str">
        <f>VLOOKUP(D832,Products!$A:$C,3,FALSE)</f>
        <v>Home</v>
      </c>
      <c r="N832" s="18" t="str">
        <f>VLOOKUP(C832,Customers!$A:$E,5,FALSE)</f>
        <v>SMB</v>
      </c>
      <c r="O832" s="18">
        <f>VLOOKUP(C832,Customers!$A:$C,3,FALSE)</f>
        <v>51</v>
      </c>
      <c r="T832" s="10">
        <v>20</v>
      </c>
    </row>
    <row r="833" spans="1:20" ht="14.25" customHeight="1" x14ac:dyDescent="0.3">
      <c r="A833" s="8" t="s">
        <v>1887</v>
      </c>
      <c r="B833" s="21">
        <v>45608</v>
      </c>
      <c r="C833" s="8" t="s">
        <v>681</v>
      </c>
      <c r="D833" s="8" t="s">
        <v>171</v>
      </c>
      <c r="E833" s="8" t="s">
        <v>236</v>
      </c>
      <c r="F833" s="10">
        <v>6</v>
      </c>
      <c r="G833" s="10">
        <v>970</v>
      </c>
      <c r="H833" s="10">
        <v>4.7</v>
      </c>
      <c r="I833" s="10">
        <v>5546.46</v>
      </c>
      <c r="J833" s="8" t="s">
        <v>147</v>
      </c>
      <c r="K833" s="8" t="s">
        <v>178</v>
      </c>
      <c r="L833" s="18" t="str">
        <f>VLOOKUP(D833,Products!$A:$C,3,FALSE)</f>
        <v>Grocery</v>
      </c>
      <c r="N833" s="18" t="str">
        <f>VLOOKUP(C833,Customers!$A:$E,5,FALSE)</f>
        <v>SMB</v>
      </c>
      <c r="O833" s="18">
        <f>VLOOKUP(C833,Customers!$A:$C,3,FALSE)</f>
        <v>31</v>
      </c>
      <c r="P833" s="18" t="str">
        <f>VLOOKUP(E832,Sales_Reps!$A:$C,3,FALSE)</f>
        <v>South</v>
      </c>
      <c r="Q833" s="18" t="str">
        <f t="shared" ref="Q833:Q834" si="174">TEXT(B832,"MMM-YY")</f>
        <v>Jul-24</v>
      </c>
      <c r="R833">
        <f>VLOOKUP(D833, Products!A:D, 4, FALSE)</f>
        <v>434</v>
      </c>
      <c r="S833">
        <f t="shared" ref="S833:S834" si="175">(G833-R833)/G833</f>
        <v>0.5525773195876289</v>
      </c>
      <c r="T833" s="10">
        <v>11.5</v>
      </c>
    </row>
    <row r="834" spans="1:20" ht="14.25" customHeight="1" x14ac:dyDescent="0.3">
      <c r="A834" s="8" t="s">
        <v>1888</v>
      </c>
      <c r="B834" s="21">
        <v>45362</v>
      </c>
      <c r="C834" s="8" t="s">
        <v>187</v>
      </c>
      <c r="D834" s="8" t="s">
        <v>140</v>
      </c>
      <c r="E834" s="8" t="s">
        <v>376</v>
      </c>
      <c r="F834" s="10">
        <v>8</v>
      </c>
      <c r="G834" s="10">
        <v>1430</v>
      </c>
      <c r="H834" s="10">
        <v>8.6999999999999993</v>
      </c>
      <c r="I834" s="10">
        <v>10444.719999999999</v>
      </c>
      <c r="J834" s="8" t="s">
        <v>41</v>
      </c>
      <c r="K834" s="8" t="s">
        <v>98</v>
      </c>
      <c r="L834" s="18" t="str">
        <f>VLOOKUP(D834,Products!$A:$C,3,FALSE)</f>
        <v>Electronics</v>
      </c>
      <c r="N834" s="18" t="str">
        <f>VLOOKUP(C834,Customers!$A:$E,5,FALSE)</f>
        <v>Corporate</v>
      </c>
      <c r="O834" s="18">
        <f>VLOOKUP(C834,Customers!$A:$C,3,FALSE)</f>
        <v>35</v>
      </c>
      <c r="P834" s="18" t="str">
        <f>VLOOKUP(E833,Sales_Reps!$A:$C,3,FALSE)</f>
        <v>West</v>
      </c>
      <c r="Q834" s="18" t="str">
        <f t="shared" si="174"/>
        <v>Nov-24</v>
      </c>
      <c r="R834">
        <f>VLOOKUP(D834, Products!A:D, 4, FALSE)</f>
        <v>861</v>
      </c>
      <c r="S834">
        <f t="shared" si="175"/>
        <v>0.39790209790209791</v>
      </c>
      <c r="T834" s="10">
        <v>14.5</v>
      </c>
    </row>
    <row r="835" spans="1:20" ht="14.25" hidden="1" customHeight="1" x14ac:dyDescent="0.3">
      <c r="A835" s="8" t="s">
        <v>1889</v>
      </c>
      <c r="B835" s="9">
        <v>45348</v>
      </c>
      <c r="C835" s="8" t="s">
        <v>519</v>
      </c>
      <c r="D835" s="8" t="s">
        <v>624</v>
      </c>
      <c r="E835" s="8" t="s">
        <v>865</v>
      </c>
      <c r="F835" s="10">
        <v>5</v>
      </c>
      <c r="G835" s="10">
        <v>3780</v>
      </c>
      <c r="H835" s="10">
        <v>2.9</v>
      </c>
      <c r="I835" s="10">
        <v>18351.900000000001</v>
      </c>
      <c r="J835" s="8" t="s">
        <v>41</v>
      </c>
      <c r="K835" s="8" t="s">
        <v>119</v>
      </c>
      <c r="L835" s="18" t="str">
        <f>VLOOKUP(D835,Products!$A:$C,3,FALSE)</f>
        <v>Grocery</v>
      </c>
      <c r="N835" s="18" t="str">
        <f>VLOOKUP(C835,Customers!$A:$E,5,FALSE)</f>
        <v>SMB</v>
      </c>
      <c r="O835" s="18">
        <f>VLOOKUP(C835,Customers!$A:$C,3,FALSE)</f>
        <v>50</v>
      </c>
      <c r="T835" s="10">
        <v>26.3</v>
      </c>
    </row>
    <row r="836" spans="1:20" ht="14.25" hidden="1" customHeight="1" x14ac:dyDescent="0.3">
      <c r="A836" s="8" t="s">
        <v>1890</v>
      </c>
      <c r="B836" s="9">
        <v>45532</v>
      </c>
      <c r="C836" s="8" t="s">
        <v>832</v>
      </c>
      <c r="D836" s="8" t="s">
        <v>789</v>
      </c>
      <c r="E836" s="8" t="s">
        <v>208</v>
      </c>
      <c r="F836" s="10">
        <v>2</v>
      </c>
      <c r="G836" s="10">
        <v>1540</v>
      </c>
      <c r="H836" s="10">
        <v>12.7</v>
      </c>
      <c r="I836" s="10">
        <v>2688.84</v>
      </c>
      <c r="J836" s="8" t="s">
        <v>41</v>
      </c>
      <c r="K836" s="8" t="s">
        <v>178</v>
      </c>
      <c r="L836" s="18" t="str">
        <f>VLOOKUP(D836,Products!$A:$C,3,FALSE)</f>
        <v>Beauty</v>
      </c>
      <c r="N836" s="18" t="str">
        <f>VLOOKUP(C836,Customers!$A:$E,5,FALSE)</f>
        <v>SMB</v>
      </c>
      <c r="O836" s="18">
        <f>VLOOKUP(C836,Customers!$A:$C,3,FALSE)</f>
        <v>65</v>
      </c>
      <c r="T836" s="10">
        <v>24.3</v>
      </c>
    </row>
    <row r="837" spans="1:20" ht="14.25" customHeight="1" x14ac:dyDescent="0.3">
      <c r="A837" s="8" t="s">
        <v>1891</v>
      </c>
      <c r="B837" s="21">
        <v>45492</v>
      </c>
      <c r="C837" s="8" t="s">
        <v>393</v>
      </c>
      <c r="D837" s="8" t="s">
        <v>224</v>
      </c>
      <c r="E837" s="8" t="s">
        <v>321</v>
      </c>
      <c r="F837" s="10">
        <v>9</v>
      </c>
      <c r="G837" s="10">
        <v>1080</v>
      </c>
      <c r="H837" s="10">
        <v>11.2</v>
      </c>
      <c r="I837" s="10">
        <v>8631.36</v>
      </c>
      <c r="J837" s="8" t="s">
        <v>147</v>
      </c>
      <c r="K837" s="8" t="s">
        <v>42</v>
      </c>
      <c r="L837" s="18" t="str">
        <f>VLOOKUP(D837,Products!$A:$C,3,FALSE)</f>
        <v>Home</v>
      </c>
      <c r="N837" s="18" t="str">
        <f>VLOOKUP(C837,Customers!$A:$E,5,FALSE)</f>
        <v>Retail</v>
      </c>
      <c r="O837" s="18">
        <f>VLOOKUP(C837,Customers!$A:$C,3,FALSE)</f>
        <v>39</v>
      </c>
      <c r="P837" s="18" t="str">
        <f>VLOOKUP(E836,Sales_Reps!$A:$C,3,FALSE)</f>
        <v>East</v>
      </c>
      <c r="Q837" s="18" t="str">
        <f>TEXT(B836,"MMM-YY")</f>
        <v>Aug-24</v>
      </c>
      <c r="R837">
        <f>VLOOKUP(D837, Products!A:D, 4, FALSE)</f>
        <v>519</v>
      </c>
      <c r="S837">
        <f>(G837-R837)/G837</f>
        <v>0.51944444444444449</v>
      </c>
      <c r="T837" s="10">
        <v>29.2</v>
      </c>
    </row>
    <row r="838" spans="1:20" ht="14.25" hidden="1" customHeight="1" x14ac:dyDescent="0.3">
      <c r="A838" s="8" t="s">
        <v>1892</v>
      </c>
      <c r="B838" s="9">
        <v>45368</v>
      </c>
      <c r="C838" s="8" t="s">
        <v>805</v>
      </c>
      <c r="D838" s="8" t="s">
        <v>205</v>
      </c>
      <c r="E838" s="8" t="s">
        <v>38</v>
      </c>
      <c r="F838" s="10">
        <v>3</v>
      </c>
      <c r="G838" s="10">
        <v>2400</v>
      </c>
      <c r="H838" s="10">
        <v>28.6</v>
      </c>
      <c r="I838" s="10">
        <v>5140.8</v>
      </c>
      <c r="J838" s="8" t="s">
        <v>41</v>
      </c>
      <c r="K838" s="8" t="s">
        <v>42</v>
      </c>
      <c r="L838" s="18" t="str">
        <f>VLOOKUP(D838,Products!$A:$C,3,FALSE)</f>
        <v>Sports</v>
      </c>
      <c r="N838" s="18" t="str">
        <f>VLOOKUP(C838,Customers!$A:$E,5,FALSE)</f>
        <v>Retail</v>
      </c>
      <c r="O838" s="18">
        <f>VLOOKUP(C838,Customers!$A:$C,3,FALSE)</f>
        <v>65</v>
      </c>
      <c r="T838" s="10">
        <v>28.4</v>
      </c>
    </row>
    <row r="839" spans="1:20" ht="14.25" hidden="1" customHeight="1" x14ac:dyDescent="0.3">
      <c r="A839" s="8" t="s">
        <v>1893</v>
      </c>
      <c r="B839" s="9">
        <v>45448</v>
      </c>
      <c r="C839" s="8" t="s">
        <v>207</v>
      </c>
      <c r="D839" s="8" t="s">
        <v>224</v>
      </c>
      <c r="E839" s="8" t="s">
        <v>167</v>
      </c>
      <c r="F839" s="10">
        <v>5</v>
      </c>
      <c r="G839" s="10">
        <v>1080</v>
      </c>
      <c r="H839" s="10">
        <v>18.3</v>
      </c>
      <c r="I839" s="10">
        <v>4411.8</v>
      </c>
      <c r="J839" s="8" t="s">
        <v>41</v>
      </c>
      <c r="K839" s="8" t="s">
        <v>136</v>
      </c>
      <c r="L839" s="18" t="str">
        <f>VLOOKUP(D839,Products!$A:$C,3,FALSE)</f>
        <v>Home</v>
      </c>
      <c r="N839" s="18" t="str">
        <f>VLOOKUP(C839,Customers!$A:$E,5,FALSE)</f>
        <v>SMB</v>
      </c>
      <c r="O839" s="18">
        <f>VLOOKUP(C839,Customers!$A:$C,3,FALSE)</f>
        <v>46</v>
      </c>
      <c r="T839" s="10">
        <v>5.3</v>
      </c>
    </row>
    <row r="840" spans="1:20" ht="14.25" hidden="1" customHeight="1" x14ac:dyDescent="0.3">
      <c r="A840" s="8" t="s">
        <v>1894</v>
      </c>
      <c r="B840" s="9">
        <v>45610</v>
      </c>
      <c r="C840" s="8" t="s">
        <v>654</v>
      </c>
      <c r="D840" s="8" t="s">
        <v>176</v>
      </c>
      <c r="E840" s="8" t="s">
        <v>619</v>
      </c>
      <c r="F840" s="10">
        <v>7</v>
      </c>
      <c r="G840" s="10">
        <v>2270</v>
      </c>
      <c r="H840" s="10">
        <v>1.7</v>
      </c>
      <c r="I840" s="10">
        <v>15619.87</v>
      </c>
      <c r="J840" s="8" t="s">
        <v>147</v>
      </c>
      <c r="K840" s="8" t="s">
        <v>98</v>
      </c>
      <c r="L840" s="18" t="str">
        <f>VLOOKUP(D840,Products!$A:$C,3,FALSE)</f>
        <v>Grocery</v>
      </c>
      <c r="N840" s="18" t="str">
        <f>VLOOKUP(C840,Customers!$A:$E,5,FALSE)</f>
        <v>SMB</v>
      </c>
      <c r="O840" s="18">
        <f>VLOOKUP(C840,Customers!$A:$C,3,FALSE)</f>
        <v>51</v>
      </c>
      <c r="T840" s="10">
        <v>5.8</v>
      </c>
    </row>
    <row r="841" spans="1:20" ht="14.25" customHeight="1" x14ac:dyDescent="0.3">
      <c r="A841" s="8" t="s">
        <v>1895</v>
      </c>
      <c r="B841" s="21">
        <v>45438</v>
      </c>
      <c r="C841" s="8" t="s">
        <v>649</v>
      </c>
      <c r="D841" s="8" t="s">
        <v>124</v>
      </c>
      <c r="E841" s="8" t="s">
        <v>376</v>
      </c>
      <c r="F841" s="10">
        <v>8</v>
      </c>
      <c r="G841" s="10">
        <v>3660</v>
      </c>
      <c r="H841" s="10">
        <v>19.100000000000001</v>
      </c>
      <c r="I841" s="10">
        <v>23687.52</v>
      </c>
      <c r="J841" s="8" t="s">
        <v>147</v>
      </c>
      <c r="K841" s="8" t="s">
        <v>146</v>
      </c>
      <c r="L841" s="18" t="str">
        <f>VLOOKUP(D841,Products!$A:$C,3,FALSE)</f>
        <v>Grocery</v>
      </c>
      <c r="N841" s="18" t="str">
        <f>VLOOKUP(C841,Customers!$A:$E,5,FALSE)</f>
        <v>SMB</v>
      </c>
      <c r="O841" s="18">
        <f>VLOOKUP(C841,Customers!$A:$C,3,FALSE)</f>
        <v>27</v>
      </c>
      <c r="P841" s="18" t="str">
        <f>VLOOKUP(E840,Sales_Reps!$A:$C,3,FALSE)</f>
        <v>West</v>
      </c>
      <c r="Q841" s="18" t="str">
        <f>TEXT(B840,"MMM-YY")</f>
        <v>Nov-24</v>
      </c>
      <c r="R841">
        <f>VLOOKUP(D841, Products!A:D, 4, FALSE)</f>
        <v>2214</v>
      </c>
      <c r="S841">
        <f>(G841-R841)/G841</f>
        <v>0.39508196721311473</v>
      </c>
    </row>
    <row r="842" spans="1:20" ht="14.25" hidden="1" customHeight="1" x14ac:dyDescent="0.3">
      <c r="A842" s="8" t="s">
        <v>1896</v>
      </c>
      <c r="B842" s="9">
        <v>45477</v>
      </c>
      <c r="C842" s="8" t="s">
        <v>408</v>
      </c>
      <c r="D842" s="8" t="s">
        <v>192</v>
      </c>
      <c r="E842" s="8" t="s">
        <v>200</v>
      </c>
      <c r="F842" s="10">
        <v>5</v>
      </c>
      <c r="G842" s="10">
        <v>3250</v>
      </c>
      <c r="H842" s="10">
        <v>12.9</v>
      </c>
      <c r="I842" s="10">
        <v>14153.75</v>
      </c>
      <c r="J842" s="8" t="s">
        <v>41</v>
      </c>
      <c r="K842" s="8" t="s">
        <v>119</v>
      </c>
      <c r="L842" s="18" t="str">
        <f>VLOOKUP(D842,Products!$A:$C,3,FALSE)</f>
        <v>Home</v>
      </c>
      <c r="N842" s="18" t="str">
        <f>VLOOKUP(C842,Customers!$A:$E,5,FALSE)</f>
        <v>SMB</v>
      </c>
      <c r="O842" s="18">
        <f>VLOOKUP(C842,Customers!$A:$C,3,FALSE)</f>
        <v>48</v>
      </c>
    </row>
    <row r="843" spans="1:20" ht="14.25" customHeight="1" x14ac:dyDescent="0.3">
      <c r="A843" s="8" t="s">
        <v>1897</v>
      </c>
      <c r="B843" s="21">
        <v>45328</v>
      </c>
      <c r="C843" s="8" t="s">
        <v>118</v>
      </c>
      <c r="D843" s="8" t="s">
        <v>242</v>
      </c>
      <c r="E843" s="8" t="s">
        <v>189</v>
      </c>
      <c r="F843" s="10">
        <v>4</v>
      </c>
      <c r="G843" s="10">
        <v>1650</v>
      </c>
      <c r="H843" s="10">
        <v>4.0999999999999996</v>
      </c>
      <c r="I843" s="10">
        <v>6329.4</v>
      </c>
      <c r="J843" s="8" t="s">
        <v>41</v>
      </c>
      <c r="K843" s="8" t="s">
        <v>42</v>
      </c>
      <c r="L843" s="18" t="str">
        <f>VLOOKUP(D843,Products!$A:$C,3,FALSE)</f>
        <v>Beauty</v>
      </c>
      <c r="N843" s="18" t="str">
        <f>VLOOKUP(C843,Customers!$A:$E,5,FALSE)</f>
        <v>SMB</v>
      </c>
      <c r="O843" s="18">
        <f>VLOOKUP(C843,Customers!$A:$C,3,FALSE)</f>
        <v>24</v>
      </c>
      <c r="P843" s="18" t="str">
        <f>VLOOKUP(E842,Sales_Reps!$A:$C,3,FALSE)</f>
        <v>North</v>
      </c>
      <c r="Q843" s="18" t="str">
        <f>TEXT(B842,"MMM-YY")</f>
        <v>Jul-24</v>
      </c>
      <c r="R843">
        <f>VLOOKUP(D843, Products!A:D, 4, FALSE)</f>
        <v>1222</v>
      </c>
      <c r="S843">
        <f>(G843-R843)/G843</f>
        <v>0.2593939393939394</v>
      </c>
    </row>
    <row r="844" spans="1:20" ht="14.25" hidden="1" customHeight="1" x14ac:dyDescent="0.3">
      <c r="A844" s="8" t="s">
        <v>1898</v>
      </c>
      <c r="B844" s="9">
        <v>45624</v>
      </c>
      <c r="C844" s="8" t="s">
        <v>665</v>
      </c>
      <c r="D844" s="8" t="s">
        <v>926</v>
      </c>
      <c r="E844" s="8" t="s">
        <v>200</v>
      </c>
      <c r="F844" s="10">
        <v>6</v>
      </c>
      <c r="G844" s="10">
        <v>5080</v>
      </c>
      <c r="H844" s="10">
        <v>3</v>
      </c>
      <c r="I844" s="10">
        <v>29565.599999999999</v>
      </c>
      <c r="J844" s="8" t="s">
        <v>41</v>
      </c>
      <c r="K844" s="8" t="s">
        <v>178</v>
      </c>
      <c r="L844" s="18" t="str">
        <f>VLOOKUP(D844,Products!$A:$C,3,FALSE)</f>
        <v>Home</v>
      </c>
      <c r="N844" s="18" t="str">
        <f>VLOOKUP(C844,Customers!$A:$E,5,FALSE)</f>
        <v>SMB</v>
      </c>
      <c r="O844" s="18">
        <f>VLOOKUP(C844,Customers!$A:$C,3,FALSE)</f>
        <v>43</v>
      </c>
    </row>
    <row r="845" spans="1:20" ht="14.25" hidden="1" customHeight="1" x14ac:dyDescent="0.3">
      <c r="A845" s="8" t="s">
        <v>1899</v>
      </c>
      <c r="B845" s="9">
        <v>45614</v>
      </c>
      <c r="C845" s="8" t="s">
        <v>761</v>
      </c>
      <c r="D845" s="8" t="s">
        <v>219</v>
      </c>
      <c r="E845" s="8" t="s">
        <v>619</v>
      </c>
      <c r="F845" s="10">
        <v>8</v>
      </c>
      <c r="G845" s="10">
        <v>3450</v>
      </c>
      <c r="H845" s="10">
        <v>20.9</v>
      </c>
      <c r="I845" s="10">
        <v>21831.599999999999</v>
      </c>
      <c r="J845" s="8" t="s">
        <v>41</v>
      </c>
      <c r="K845" s="8" t="s">
        <v>136</v>
      </c>
      <c r="L845" s="18" t="str">
        <f>VLOOKUP(D845,Products!$A:$C,3,FALSE)</f>
        <v>Sports</v>
      </c>
      <c r="N845" s="18" t="str">
        <f>VLOOKUP(C845,Customers!$A:$E,5,FALSE)</f>
        <v>Retail</v>
      </c>
      <c r="O845" s="18">
        <f>VLOOKUP(C845,Customers!$A:$C,3,FALSE)</f>
        <v>61</v>
      </c>
    </row>
    <row r="846" spans="1:20" ht="14.25" hidden="1" customHeight="1" x14ac:dyDescent="0.3">
      <c r="A846" s="8" t="s">
        <v>1900</v>
      </c>
      <c r="B846" s="9">
        <v>45429</v>
      </c>
      <c r="C846" s="8" t="s">
        <v>658</v>
      </c>
      <c r="D846" s="8" t="s">
        <v>247</v>
      </c>
      <c r="E846" s="8" t="s">
        <v>167</v>
      </c>
      <c r="F846" s="10">
        <v>6</v>
      </c>
      <c r="G846" s="10">
        <v>3350</v>
      </c>
      <c r="H846" s="10">
        <v>24.8</v>
      </c>
      <c r="I846" s="10">
        <v>15115.2</v>
      </c>
      <c r="J846" s="8" t="s">
        <v>41</v>
      </c>
      <c r="K846" s="8" t="s">
        <v>98</v>
      </c>
      <c r="L846" s="18" t="str">
        <f>VLOOKUP(D846,Products!$A:$C,3,FALSE)</f>
        <v>Beauty</v>
      </c>
      <c r="N846" s="18" t="str">
        <f>VLOOKUP(C846,Customers!$A:$E,5,FALSE)</f>
        <v>Retail</v>
      </c>
      <c r="O846" s="18">
        <f>VLOOKUP(C846,Customers!$A:$C,3,FALSE)</f>
        <v>41</v>
      </c>
    </row>
    <row r="847" spans="1:20" ht="14.25" customHeight="1" x14ac:dyDescent="0.3">
      <c r="A847" s="8" t="s">
        <v>1901</v>
      </c>
      <c r="B847" s="21">
        <v>45451</v>
      </c>
      <c r="C847" s="8" t="s">
        <v>614</v>
      </c>
      <c r="D847" s="8" t="s">
        <v>918</v>
      </c>
      <c r="E847" s="8" t="s">
        <v>619</v>
      </c>
      <c r="F847" s="10">
        <v>10</v>
      </c>
      <c r="G847" s="10">
        <v>2210</v>
      </c>
      <c r="H847" s="10">
        <v>4.2</v>
      </c>
      <c r="I847" s="10">
        <v>21171.8</v>
      </c>
      <c r="J847" s="8" t="s">
        <v>41</v>
      </c>
      <c r="K847" s="8" t="s">
        <v>178</v>
      </c>
      <c r="L847" s="18" t="str">
        <f>VLOOKUP(D847,Products!$A:$C,3,FALSE)</f>
        <v>Grocery</v>
      </c>
      <c r="N847" s="18" t="str">
        <f>VLOOKUP(C847,Customers!$A:$E,5,FALSE)</f>
        <v>Retail</v>
      </c>
      <c r="O847" s="18">
        <f>VLOOKUP(C847,Customers!$A:$C,3,FALSE)</f>
        <v>31</v>
      </c>
      <c r="P847" s="18" t="str">
        <f>VLOOKUP(E846,Sales_Reps!$A:$C,3,FALSE)</f>
        <v>East</v>
      </c>
      <c r="Q847" s="18" t="str">
        <f>TEXT(B846,"MMM-YY")</f>
        <v>May-24</v>
      </c>
      <c r="R847">
        <f>VLOOKUP(D847, Products!A:D, 4, FALSE)</f>
        <v>1010</v>
      </c>
      <c r="S847">
        <f>(G847-R847)/G847</f>
        <v>0.54298642533936647</v>
      </c>
    </row>
    <row r="848" spans="1:20" ht="14.25" hidden="1" customHeight="1" x14ac:dyDescent="0.3">
      <c r="A848" s="8" t="s">
        <v>1902</v>
      </c>
      <c r="B848" s="9">
        <v>45444</v>
      </c>
      <c r="C848" s="8" t="s">
        <v>616</v>
      </c>
      <c r="D848" s="8" t="s">
        <v>283</v>
      </c>
      <c r="E848" s="8" t="s">
        <v>125</v>
      </c>
      <c r="F848" s="10">
        <v>10</v>
      </c>
      <c r="G848" s="10">
        <v>4880</v>
      </c>
      <c r="H848" s="10">
        <v>0.7</v>
      </c>
      <c r="I848" s="10">
        <v>48458.400000000001</v>
      </c>
      <c r="J848" s="8" t="s">
        <v>41</v>
      </c>
      <c r="K848" s="8" t="s">
        <v>119</v>
      </c>
      <c r="L848" s="18" t="str">
        <f>VLOOKUP(D848,Products!$A:$C,3,FALSE)</f>
        <v>Beauty</v>
      </c>
      <c r="N848" s="18" t="str">
        <f>VLOOKUP(C848,Customers!$A:$E,5,FALSE)</f>
        <v>Retail</v>
      </c>
      <c r="O848" s="18">
        <f>VLOOKUP(C848,Customers!$A:$C,3,FALSE)</f>
        <v>43</v>
      </c>
    </row>
    <row r="849" spans="1:19" ht="14.25" hidden="1" customHeight="1" x14ac:dyDescent="0.3">
      <c r="A849" s="8" t="s">
        <v>1903</v>
      </c>
      <c r="B849" s="9">
        <v>45369</v>
      </c>
      <c r="C849" s="8" t="s">
        <v>223</v>
      </c>
      <c r="D849" s="8" t="s">
        <v>338</v>
      </c>
      <c r="E849" s="8" t="s">
        <v>185</v>
      </c>
      <c r="F849" s="10">
        <v>7</v>
      </c>
      <c r="G849" s="10">
        <v>2860</v>
      </c>
      <c r="H849" s="10">
        <v>28.1</v>
      </c>
      <c r="I849" s="10">
        <v>14394.38</v>
      </c>
      <c r="J849" s="8" t="s">
        <v>97</v>
      </c>
      <c r="K849" s="8" t="s">
        <v>98</v>
      </c>
      <c r="L849" s="18" t="str">
        <f>VLOOKUP(D849,Products!$A:$C,3,FALSE)</f>
        <v>Sports</v>
      </c>
      <c r="N849" s="18" t="str">
        <f>VLOOKUP(C849,Customers!$A:$E,5,FALSE)</f>
        <v>Retail</v>
      </c>
      <c r="O849" s="18">
        <f>VLOOKUP(C849,Customers!$A:$C,3,FALSE)</f>
        <v>49</v>
      </c>
    </row>
    <row r="850" spans="1:19" ht="14.25" hidden="1" customHeight="1" x14ac:dyDescent="0.3">
      <c r="A850" s="8" t="s">
        <v>1904</v>
      </c>
      <c r="B850" s="9">
        <v>45581</v>
      </c>
      <c r="C850" s="8" t="s">
        <v>627</v>
      </c>
      <c r="D850" s="8" t="s">
        <v>171</v>
      </c>
      <c r="E850" s="8" t="s">
        <v>96</v>
      </c>
      <c r="F850" s="10">
        <v>3</v>
      </c>
      <c r="G850" s="10">
        <v>970</v>
      </c>
      <c r="H850" s="10">
        <v>28.3</v>
      </c>
      <c r="I850" s="10">
        <v>2086.4699999999998</v>
      </c>
      <c r="J850" s="8" t="s">
        <v>41</v>
      </c>
      <c r="K850" s="8" t="s">
        <v>42</v>
      </c>
      <c r="L850" s="18" t="str">
        <f>VLOOKUP(D850,Products!$A:$C,3,FALSE)</f>
        <v>Grocery</v>
      </c>
      <c r="N850" s="18" t="str">
        <f>VLOOKUP(C850,Customers!$A:$E,5,FALSE)</f>
        <v>Retail</v>
      </c>
      <c r="O850" s="18">
        <f>VLOOKUP(C850,Customers!$A:$C,3,FALSE)</f>
        <v>65</v>
      </c>
    </row>
    <row r="851" spans="1:19" ht="14.25" customHeight="1" x14ac:dyDescent="0.3">
      <c r="A851" s="8" t="s">
        <v>1905</v>
      </c>
      <c r="B851" s="21">
        <v>45494</v>
      </c>
      <c r="C851" s="8" t="s">
        <v>692</v>
      </c>
      <c r="D851" s="8" t="s">
        <v>691</v>
      </c>
      <c r="E851" s="8" t="s">
        <v>135</v>
      </c>
      <c r="F851" s="10">
        <v>1</v>
      </c>
      <c r="G851" s="10">
        <v>2270</v>
      </c>
      <c r="H851" s="10">
        <v>15.1</v>
      </c>
      <c r="I851" s="10">
        <v>1927.23</v>
      </c>
      <c r="J851" s="8" t="s">
        <v>41</v>
      </c>
      <c r="K851" s="8" t="s">
        <v>42</v>
      </c>
      <c r="L851" s="18" t="str">
        <f>VLOOKUP(D851,Products!$A:$C,3,FALSE)</f>
        <v>Grocery</v>
      </c>
      <c r="N851" s="18" t="str">
        <f>VLOOKUP(C851,Customers!$A:$E,5,FALSE)</f>
        <v>Corporate</v>
      </c>
      <c r="O851" s="18">
        <f>VLOOKUP(C851,Customers!$A:$C,3,FALSE)</f>
        <v>29</v>
      </c>
      <c r="P851" s="18" t="str">
        <f>VLOOKUP(E850,Sales_Reps!$A:$C,3,FALSE)</f>
        <v>North</v>
      </c>
      <c r="Q851" s="18" t="str">
        <f>TEXT(B850,"MMM-YY")</f>
        <v>Oct-24</v>
      </c>
      <c r="R851">
        <f>VLOOKUP(D851, Products!A:D, 4, FALSE)</f>
        <v>1412</v>
      </c>
      <c r="S851">
        <f>(G851-R851)/G851</f>
        <v>0.37797356828193834</v>
      </c>
    </row>
    <row r="852" spans="1:19" ht="14.25" hidden="1" customHeight="1" x14ac:dyDescent="0.3">
      <c r="A852" s="8" t="s">
        <v>1906</v>
      </c>
      <c r="B852" s="9">
        <v>45324</v>
      </c>
      <c r="C852" s="8" t="s">
        <v>477</v>
      </c>
      <c r="D852" s="8" t="s">
        <v>901</v>
      </c>
      <c r="E852" s="8" t="s">
        <v>301</v>
      </c>
      <c r="F852" s="10">
        <v>5</v>
      </c>
      <c r="G852" s="10">
        <v>3560</v>
      </c>
      <c r="H852" s="10">
        <v>11.5</v>
      </c>
      <c r="I852" s="10">
        <v>15753</v>
      </c>
      <c r="J852" s="8" t="s">
        <v>41</v>
      </c>
      <c r="K852" s="8" t="s">
        <v>98</v>
      </c>
      <c r="L852" s="18" t="str">
        <f>VLOOKUP(D852,Products!$A:$C,3,FALSE)</f>
        <v>Apparel</v>
      </c>
      <c r="N852" s="18" t="str">
        <f>VLOOKUP(C852,Customers!$A:$E,5,FALSE)</f>
        <v>SMB</v>
      </c>
      <c r="O852" s="18">
        <f>VLOOKUP(C852,Customers!$A:$C,3,FALSE)</f>
        <v>62</v>
      </c>
    </row>
    <row r="853" spans="1:19" ht="14.25" hidden="1" customHeight="1" x14ac:dyDescent="0.3">
      <c r="A853" s="8" t="s">
        <v>1907</v>
      </c>
      <c r="B853" s="9">
        <v>45419</v>
      </c>
      <c r="C853" s="8" t="s">
        <v>246</v>
      </c>
      <c r="D853" s="8" t="s">
        <v>954</v>
      </c>
      <c r="E853" s="8" t="s">
        <v>177</v>
      </c>
      <c r="F853" s="10">
        <v>2</v>
      </c>
      <c r="G853" s="10">
        <v>5410</v>
      </c>
      <c r="H853" s="10">
        <v>14.8</v>
      </c>
      <c r="I853" s="10">
        <v>9218.64</v>
      </c>
      <c r="J853" s="8" t="s">
        <v>97</v>
      </c>
      <c r="K853" s="8" t="s">
        <v>98</v>
      </c>
      <c r="L853" s="18" t="str">
        <f>VLOOKUP(D853,Products!$A:$C,3,FALSE)</f>
        <v>Sports</v>
      </c>
      <c r="N853" s="18" t="str">
        <f>VLOOKUP(C853,Customers!$A:$E,5,FALSE)</f>
        <v>Corporate</v>
      </c>
      <c r="O853" s="18">
        <f>VLOOKUP(C853,Customers!$A:$C,3,FALSE)</f>
        <v>55</v>
      </c>
    </row>
    <row r="854" spans="1:19" ht="14.25" customHeight="1" x14ac:dyDescent="0.3">
      <c r="A854" s="8" t="s">
        <v>1908</v>
      </c>
      <c r="B854" s="21">
        <v>45656</v>
      </c>
      <c r="C854" s="8" t="s">
        <v>673</v>
      </c>
      <c r="D854" s="8" t="s">
        <v>227</v>
      </c>
      <c r="E854" s="8" t="s">
        <v>125</v>
      </c>
      <c r="F854" s="10">
        <v>2</v>
      </c>
      <c r="G854" s="10">
        <v>2480</v>
      </c>
      <c r="H854" s="10">
        <v>27.2</v>
      </c>
      <c r="I854" s="10">
        <v>3610.88</v>
      </c>
      <c r="J854" s="8" t="s">
        <v>41</v>
      </c>
      <c r="K854" s="8" t="s">
        <v>136</v>
      </c>
      <c r="L854" s="18" t="str">
        <f>VLOOKUP(D854,Products!$A:$C,3,FALSE)</f>
        <v>Apparel</v>
      </c>
      <c r="N854" s="18" t="str">
        <f>VLOOKUP(C854,Customers!$A:$E,5,FALSE)</f>
        <v>Retail</v>
      </c>
      <c r="O854" s="18">
        <f>VLOOKUP(C854,Customers!$A:$C,3,FALSE)</f>
        <v>28</v>
      </c>
      <c r="P854" s="18" t="str">
        <f>VLOOKUP(E853,Sales_Reps!$A:$C,3,FALSE)</f>
        <v>South</v>
      </c>
      <c r="Q854" s="18" t="str">
        <f>TEXT(B853,"MMM-YY")</f>
        <v>May-24</v>
      </c>
      <c r="R854">
        <f>VLOOKUP(D854, Products!A:D, 4, FALSE)</f>
        <v>1173</v>
      </c>
      <c r="S854">
        <f>(G854-R854)/G854</f>
        <v>0.52701612903225803</v>
      </c>
    </row>
    <row r="855" spans="1:19" ht="14.25" hidden="1" customHeight="1" x14ac:dyDescent="0.3">
      <c r="A855" s="8" t="s">
        <v>1909</v>
      </c>
      <c r="B855" s="9">
        <v>45350</v>
      </c>
      <c r="C855" s="8" t="s">
        <v>528</v>
      </c>
      <c r="D855" s="8" t="s">
        <v>95</v>
      </c>
      <c r="E855" s="8" t="s">
        <v>117</v>
      </c>
      <c r="F855" s="10">
        <v>6</v>
      </c>
      <c r="G855" s="10">
        <v>820</v>
      </c>
      <c r="H855" s="10">
        <v>6.6</v>
      </c>
      <c r="I855" s="10">
        <v>4595.28</v>
      </c>
      <c r="J855" s="8" t="s">
        <v>41</v>
      </c>
      <c r="K855" s="8" t="s">
        <v>119</v>
      </c>
      <c r="L855" s="18" t="str">
        <f>VLOOKUP(D855,Products!$A:$C,3,FALSE)</f>
        <v>Apparel</v>
      </c>
      <c r="N855" s="18" t="str">
        <f>VLOOKUP(C855,Customers!$A:$E,5,FALSE)</f>
        <v>Retail</v>
      </c>
      <c r="O855" s="18">
        <f>VLOOKUP(C855,Customers!$A:$C,3,FALSE)</f>
        <v>45</v>
      </c>
    </row>
    <row r="856" spans="1:19" ht="14.25" customHeight="1" x14ac:dyDescent="0.3">
      <c r="A856" s="8" t="s">
        <v>641</v>
      </c>
      <c r="B856" s="21">
        <v>45434</v>
      </c>
      <c r="C856" s="8" t="s">
        <v>647</v>
      </c>
      <c r="D856" s="8" t="s">
        <v>230</v>
      </c>
      <c r="E856" s="8" t="s">
        <v>301</v>
      </c>
      <c r="F856" s="10">
        <v>10</v>
      </c>
      <c r="G856" s="10">
        <v>5330</v>
      </c>
      <c r="H856" s="10">
        <v>16.100000000000001</v>
      </c>
      <c r="I856" s="10">
        <v>44718.7</v>
      </c>
      <c r="J856" s="8" t="s">
        <v>41</v>
      </c>
      <c r="K856" s="8" t="s">
        <v>136</v>
      </c>
      <c r="L856" s="18" t="str">
        <f>VLOOKUP(D856,Products!$A:$C,3,FALSE)</f>
        <v>Electronics</v>
      </c>
      <c r="N856" s="18" t="str">
        <f>VLOOKUP(C856,Customers!$A:$E,5,FALSE)</f>
        <v>Retail</v>
      </c>
      <c r="O856" s="18">
        <f>VLOOKUP(C856,Customers!$A:$C,3,FALSE)</f>
        <v>34</v>
      </c>
      <c r="P856" s="18" t="str">
        <f>VLOOKUP(E855,Sales_Reps!$A:$C,3,FALSE)</f>
        <v>South</v>
      </c>
      <c r="Q856" s="18" t="str">
        <f>TEXT(B855,"MMM-YY")</f>
        <v>Feb-24</v>
      </c>
      <c r="R856">
        <f>VLOOKUP(D856, Products!A:D, 4, FALSE)</f>
        <v>2405</v>
      </c>
      <c r="S856">
        <f>(G856-R856)/G856</f>
        <v>0.54878048780487809</v>
      </c>
    </row>
    <row r="857" spans="1:19" ht="14.25" hidden="1" customHeight="1" x14ac:dyDescent="0.3">
      <c r="A857" s="8" t="s">
        <v>1910</v>
      </c>
      <c r="B857" s="9">
        <v>45438</v>
      </c>
      <c r="C857" s="8" t="s">
        <v>395</v>
      </c>
      <c r="D857" s="8" t="s">
        <v>215</v>
      </c>
      <c r="E857" s="8" t="s">
        <v>185</v>
      </c>
      <c r="F857" s="10">
        <v>2</v>
      </c>
      <c r="G857" s="10">
        <v>3450</v>
      </c>
      <c r="H857" s="10">
        <v>11.3</v>
      </c>
      <c r="I857" s="10">
        <v>6120.3</v>
      </c>
      <c r="J857" s="8" t="s">
        <v>97</v>
      </c>
      <c r="K857" s="8" t="s">
        <v>178</v>
      </c>
      <c r="L857" s="18" t="str">
        <f>VLOOKUP(D857,Products!$A:$C,3,FALSE)</f>
        <v>Beauty</v>
      </c>
      <c r="N857" s="18" t="str">
        <f>VLOOKUP(C857,Customers!$A:$E,5,FALSE)</f>
        <v>Retail</v>
      </c>
      <c r="O857" s="18">
        <f>VLOOKUP(C857,Customers!$A:$C,3,FALSE)</f>
        <v>64</v>
      </c>
    </row>
    <row r="858" spans="1:19" ht="14.25" hidden="1" customHeight="1" x14ac:dyDescent="0.3">
      <c r="A858" s="8" t="s">
        <v>1911</v>
      </c>
      <c r="B858" s="9">
        <v>45486</v>
      </c>
      <c r="C858" s="8" t="s">
        <v>658</v>
      </c>
      <c r="D858" s="8" t="s">
        <v>949</v>
      </c>
      <c r="E858" s="8" t="s">
        <v>208</v>
      </c>
      <c r="F858" s="10">
        <v>7</v>
      </c>
      <c r="G858" s="10">
        <v>960</v>
      </c>
      <c r="H858" s="10">
        <v>17.100000000000001</v>
      </c>
      <c r="I858" s="10">
        <v>5570.88</v>
      </c>
      <c r="J858" s="8" t="s">
        <v>41</v>
      </c>
      <c r="K858" s="8" t="s">
        <v>98</v>
      </c>
      <c r="L858" s="18" t="str">
        <f>VLOOKUP(D858,Products!$A:$C,3,FALSE)</f>
        <v>Beauty</v>
      </c>
      <c r="N858" s="18" t="str">
        <f>VLOOKUP(C858,Customers!$A:$E,5,FALSE)</f>
        <v>Retail</v>
      </c>
      <c r="O858" s="18">
        <f>VLOOKUP(C858,Customers!$A:$C,3,FALSE)</f>
        <v>41</v>
      </c>
    </row>
    <row r="859" spans="1:19" ht="14.25" hidden="1" customHeight="1" x14ac:dyDescent="0.3">
      <c r="A859" s="8" t="s">
        <v>1912</v>
      </c>
      <c r="B859" s="9">
        <v>45623</v>
      </c>
      <c r="C859" s="8" t="s">
        <v>665</v>
      </c>
      <c r="D859" s="8" t="s">
        <v>889</v>
      </c>
      <c r="E859" s="8" t="s">
        <v>200</v>
      </c>
      <c r="F859" s="10">
        <v>5</v>
      </c>
      <c r="G859" s="10">
        <v>3450</v>
      </c>
      <c r="H859" s="10">
        <v>22.9</v>
      </c>
      <c r="I859" s="10">
        <v>13299.75</v>
      </c>
      <c r="J859" s="8" t="s">
        <v>41</v>
      </c>
      <c r="K859" s="8" t="s">
        <v>178</v>
      </c>
      <c r="L859" s="18" t="str">
        <f>VLOOKUP(D859,Products!$A:$C,3,FALSE)</f>
        <v>Apparel</v>
      </c>
      <c r="N859" s="18" t="str">
        <f>VLOOKUP(C859,Customers!$A:$E,5,FALSE)</f>
        <v>SMB</v>
      </c>
      <c r="O859" s="18">
        <f>VLOOKUP(C859,Customers!$A:$C,3,FALSE)</f>
        <v>43</v>
      </c>
    </row>
    <row r="860" spans="1:19" ht="14.25" hidden="1" customHeight="1" x14ac:dyDescent="0.3">
      <c r="A860" s="8" t="s">
        <v>1913</v>
      </c>
      <c r="B860" s="9">
        <v>45634</v>
      </c>
      <c r="C860" s="8" t="s">
        <v>715</v>
      </c>
      <c r="D860" s="8" t="s">
        <v>160</v>
      </c>
      <c r="E860" s="8" t="s">
        <v>135</v>
      </c>
      <c r="F860" s="10">
        <v>5</v>
      </c>
      <c r="G860" s="10">
        <v>1220</v>
      </c>
      <c r="H860" s="10">
        <v>0.3</v>
      </c>
      <c r="I860" s="10">
        <v>6081.7</v>
      </c>
      <c r="J860" s="8" t="s">
        <v>41</v>
      </c>
      <c r="K860" s="8" t="s">
        <v>42</v>
      </c>
      <c r="L860" s="18" t="str">
        <f>VLOOKUP(D860,Products!$A:$C,3,FALSE)</f>
        <v>Electronics</v>
      </c>
      <c r="N860" s="18" t="str">
        <f>VLOOKUP(C860,Customers!$A:$E,5,FALSE)</f>
        <v>SMB</v>
      </c>
      <c r="O860" s="18">
        <f>VLOOKUP(C860,Customers!$A:$C,3,FALSE)</f>
        <v>59</v>
      </c>
    </row>
    <row r="861" spans="1:19" ht="14.25" customHeight="1" x14ac:dyDescent="0.3">
      <c r="A861" s="8" t="s">
        <v>1914</v>
      </c>
      <c r="B861" s="21">
        <v>45308</v>
      </c>
      <c r="C861" s="8" t="s">
        <v>393</v>
      </c>
      <c r="D861" s="8" t="s">
        <v>230</v>
      </c>
      <c r="E861" s="8" t="s">
        <v>38</v>
      </c>
      <c r="F861" s="10">
        <v>5</v>
      </c>
      <c r="G861" s="10">
        <v>5330</v>
      </c>
      <c r="H861" s="10">
        <v>29</v>
      </c>
      <c r="I861" s="10">
        <v>18921.5</v>
      </c>
      <c r="J861" s="8" t="s">
        <v>41</v>
      </c>
      <c r="K861" s="8" t="s">
        <v>42</v>
      </c>
      <c r="L861" s="18" t="str">
        <f>VLOOKUP(D861,Products!$A:$C,3,FALSE)</f>
        <v>Electronics</v>
      </c>
      <c r="N861" s="18" t="str">
        <f>VLOOKUP(C861,Customers!$A:$E,5,FALSE)</f>
        <v>Retail</v>
      </c>
      <c r="O861" s="18">
        <f>VLOOKUP(C861,Customers!$A:$C,3,FALSE)</f>
        <v>39</v>
      </c>
      <c r="P861" s="18" t="str">
        <f>VLOOKUP(E860,Sales_Reps!$A:$C,3,FALSE)</f>
        <v>North</v>
      </c>
      <c r="Q861" s="18" t="str">
        <f t="shared" ref="Q861:Q862" si="176">TEXT(B860,"MMM-YY")</f>
        <v>Dec-24</v>
      </c>
      <c r="R861">
        <f>VLOOKUP(D861, Products!A:D, 4, FALSE)</f>
        <v>2405</v>
      </c>
      <c r="S861">
        <f t="shared" ref="S861:S862" si="177">(G861-R861)/G861</f>
        <v>0.54878048780487809</v>
      </c>
    </row>
    <row r="862" spans="1:19" ht="14.25" customHeight="1" x14ac:dyDescent="0.3">
      <c r="A862" s="8" t="s">
        <v>1915</v>
      </c>
      <c r="B862" s="21">
        <v>45641</v>
      </c>
      <c r="C862" s="8" t="s">
        <v>812</v>
      </c>
      <c r="D862" s="8" t="s">
        <v>211</v>
      </c>
      <c r="E862" s="8" t="s">
        <v>172</v>
      </c>
      <c r="F862" s="10">
        <v>3</v>
      </c>
      <c r="G862" s="10">
        <v>3570</v>
      </c>
      <c r="H862" s="10">
        <v>20</v>
      </c>
      <c r="I862" s="10">
        <v>8568</v>
      </c>
      <c r="J862" s="8" t="s">
        <v>147</v>
      </c>
      <c r="K862" s="8" t="s">
        <v>136</v>
      </c>
      <c r="L862" s="18" t="str">
        <f>VLOOKUP(D862,Products!$A:$C,3,FALSE)</f>
        <v>Electronics</v>
      </c>
      <c r="N862" s="18" t="str">
        <f>VLOOKUP(C862,Customers!$A:$E,5,FALSE)</f>
        <v>Retail</v>
      </c>
      <c r="O862" s="18">
        <f>VLOOKUP(C862,Customers!$A:$C,3,FALSE)</f>
        <v>29</v>
      </c>
      <c r="P862" s="18" t="str">
        <f>VLOOKUP(E861,Sales_Reps!$A:$C,3,FALSE)</f>
        <v>North</v>
      </c>
      <c r="Q862" s="18" t="str">
        <f t="shared" si="176"/>
        <v>Jan-24</v>
      </c>
      <c r="R862">
        <f>VLOOKUP(D862, Products!A:D, 4, FALSE)</f>
        <v>1665</v>
      </c>
      <c r="S862">
        <f t="shared" si="177"/>
        <v>0.53361344537815125</v>
      </c>
    </row>
    <row r="863" spans="1:19" ht="14.25" hidden="1" customHeight="1" x14ac:dyDescent="0.3">
      <c r="A863" s="8" t="s">
        <v>1916</v>
      </c>
      <c r="B863" s="9">
        <v>45396</v>
      </c>
      <c r="C863" s="8" t="s">
        <v>826</v>
      </c>
      <c r="D863" s="8" t="s">
        <v>918</v>
      </c>
      <c r="E863" s="8" t="s">
        <v>376</v>
      </c>
      <c r="F863" s="10">
        <v>9</v>
      </c>
      <c r="G863" s="10">
        <v>2210</v>
      </c>
      <c r="H863" s="10">
        <v>12.4</v>
      </c>
      <c r="I863" s="10">
        <v>17423.64</v>
      </c>
      <c r="J863" s="8" t="s">
        <v>41</v>
      </c>
      <c r="K863" s="8" t="s">
        <v>146</v>
      </c>
      <c r="L863" s="18" t="str">
        <f>VLOOKUP(D863,Products!$A:$C,3,FALSE)</f>
        <v>Grocery</v>
      </c>
      <c r="N863" s="18" t="str">
        <f>VLOOKUP(C863,Customers!$A:$E,5,FALSE)</f>
        <v>Retail</v>
      </c>
      <c r="O863" s="18">
        <f>VLOOKUP(C863,Customers!$A:$C,3,FALSE)</f>
        <v>56</v>
      </c>
    </row>
    <row r="864" spans="1:19" ht="14.25" customHeight="1" x14ac:dyDescent="0.3">
      <c r="A864" s="8" t="s">
        <v>1917</v>
      </c>
      <c r="B864" s="21">
        <v>45302</v>
      </c>
      <c r="C864" s="8" t="s">
        <v>191</v>
      </c>
      <c r="D864" s="8" t="s">
        <v>964</v>
      </c>
      <c r="E864" s="8" t="s">
        <v>236</v>
      </c>
      <c r="F864" s="10">
        <v>5</v>
      </c>
      <c r="G864" s="10">
        <v>3780</v>
      </c>
      <c r="H864" s="10">
        <v>3.9</v>
      </c>
      <c r="I864" s="10">
        <v>18162.900000000001</v>
      </c>
      <c r="J864" s="8" t="s">
        <v>41</v>
      </c>
      <c r="K864" s="8" t="s">
        <v>42</v>
      </c>
      <c r="L864" s="18" t="str">
        <f>VLOOKUP(D864,Products!$A:$C,3,FALSE)</f>
        <v>Sports</v>
      </c>
      <c r="N864" s="18" t="str">
        <f>VLOOKUP(C864,Customers!$A:$E,5,FALSE)</f>
        <v>SMB</v>
      </c>
      <c r="O864" s="18">
        <f>VLOOKUP(C864,Customers!$A:$C,3,FALSE)</f>
        <v>39</v>
      </c>
      <c r="P864" s="18" t="str">
        <f>VLOOKUP(E863,Sales_Reps!$A:$C,3,FALSE)</f>
        <v>West</v>
      </c>
      <c r="Q864" s="18" t="str">
        <f t="shared" ref="Q864:Q865" si="178">TEXT(B863,"MMM-YY")</f>
        <v>Apr-24</v>
      </c>
      <c r="R864">
        <f>VLOOKUP(D864, Products!A:D, 4, FALSE)</f>
        <v>1860</v>
      </c>
      <c r="S864">
        <f t="shared" ref="S864:S865" si="179">(G864-R864)/G864</f>
        <v>0.50793650793650791</v>
      </c>
    </row>
    <row r="865" spans="1:19" ht="14.25" customHeight="1" x14ac:dyDescent="0.3">
      <c r="A865" s="8" t="s">
        <v>1918</v>
      </c>
      <c r="B865" s="21">
        <v>45626</v>
      </c>
      <c r="C865" s="8" t="s">
        <v>233</v>
      </c>
      <c r="D865" s="8" t="s">
        <v>181</v>
      </c>
      <c r="E865" s="8" t="s">
        <v>135</v>
      </c>
      <c r="F865" s="10">
        <v>10</v>
      </c>
      <c r="G865" s="10">
        <v>2640</v>
      </c>
      <c r="H865" s="10">
        <v>17.8</v>
      </c>
      <c r="I865" s="10">
        <v>21700.799999999999</v>
      </c>
      <c r="J865" s="8" t="s">
        <v>193</v>
      </c>
      <c r="K865" s="8" t="s">
        <v>146</v>
      </c>
      <c r="L865" s="18" t="str">
        <f>VLOOKUP(D865,Products!$A:$C,3,FALSE)</f>
        <v>Electronics</v>
      </c>
      <c r="N865" s="18" t="str">
        <f>VLOOKUP(C865,Customers!$A:$E,5,FALSE)</f>
        <v>Retail</v>
      </c>
      <c r="O865" s="18">
        <f>VLOOKUP(C865,Customers!$A:$C,3,FALSE)</f>
        <v>34</v>
      </c>
      <c r="P865" s="18" t="str">
        <f>VLOOKUP(E864,Sales_Reps!$A:$C,3,FALSE)</f>
        <v>West</v>
      </c>
      <c r="Q865" s="18" t="str">
        <f t="shared" si="178"/>
        <v>Jan-24</v>
      </c>
      <c r="R865">
        <f>VLOOKUP(D865, Products!A:D, 4, FALSE)</f>
        <v>1149</v>
      </c>
      <c r="S865">
        <f t="shared" si="179"/>
        <v>0.56477272727272732</v>
      </c>
    </row>
    <row r="866" spans="1:19" ht="14.25" hidden="1" customHeight="1" x14ac:dyDescent="0.3">
      <c r="A866" s="8" t="s">
        <v>1919</v>
      </c>
      <c r="B866" s="9">
        <v>45352</v>
      </c>
      <c r="C866" s="8" t="s">
        <v>620</v>
      </c>
      <c r="D866" s="8" t="s">
        <v>154</v>
      </c>
      <c r="E866" s="8" t="s">
        <v>153</v>
      </c>
      <c r="F866" s="10">
        <v>5</v>
      </c>
      <c r="G866" s="10">
        <v>300</v>
      </c>
      <c r="H866" s="10">
        <v>12.9</v>
      </c>
      <c r="I866" s="10">
        <v>1306.5</v>
      </c>
      <c r="J866" s="8" t="s">
        <v>41</v>
      </c>
      <c r="K866" s="8" t="s">
        <v>136</v>
      </c>
      <c r="L866" s="18" t="str">
        <f>VLOOKUP(D866,Products!$A:$C,3,FALSE)</f>
        <v>Electronics</v>
      </c>
      <c r="N866" s="18" t="str">
        <f>VLOOKUP(C866,Customers!$A:$E,5,FALSE)</f>
        <v>SMB</v>
      </c>
      <c r="O866" s="18">
        <f>VLOOKUP(C866,Customers!$A:$C,3,FALSE)</f>
        <v>42</v>
      </c>
    </row>
    <row r="867" spans="1:19" ht="14.25" hidden="1" customHeight="1" x14ac:dyDescent="0.3">
      <c r="A867" s="8" t="s">
        <v>1920</v>
      </c>
      <c r="B867" s="9">
        <v>45588</v>
      </c>
      <c r="C867" s="8" t="s">
        <v>665</v>
      </c>
      <c r="D867" s="8" t="s">
        <v>205</v>
      </c>
      <c r="E867" s="8" t="s">
        <v>745</v>
      </c>
      <c r="F867" s="10">
        <v>2</v>
      </c>
      <c r="G867" s="10">
        <v>2400</v>
      </c>
      <c r="H867" s="10">
        <v>17.100000000000001</v>
      </c>
      <c r="I867" s="10">
        <v>3979.2</v>
      </c>
      <c r="J867" s="8" t="s">
        <v>97</v>
      </c>
      <c r="K867" s="8" t="s">
        <v>178</v>
      </c>
      <c r="L867" s="18" t="str">
        <f>VLOOKUP(D867,Products!$A:$C,3,FALSE)</f>
        <v>Sports</v>
      </c>
      <c r="N867" s="18" t="str">
        <f>VLOOKUP(C867,Customers!$A:$E,5,FALSE)</f>
        <v>SMB</v>
      </c>
      <c r="O867" s="18">
        <f>VLOOKUP(C867,Customers!$A:$C,3,FALSE)</f>
        <v>43</v>
      </c>
    </row>
    <row r="868" spans="1:19" ht="14.25" customHeight="1" x14ac:dyDescent="0.3">
      <c r="A868" s="8" t="s">
        <v>1921</v>
      </c>
      <c r="B868" s="21">
        <v>45583</v>
      </c>
      <c r="C868" s="8" t="s">
        <v>538</v>
      </c>
      <c r="D868" s="8" t="s">
        <v>224</v>
      </c>
      <c r="E868" s="8" t="s">
        <v>376</v>
      </c>
      <c r="F868" s="10">
        <v>5</v>
      </c>
      <c r="G868" s="10">
        <v>1080</v>
      </c>
      <c r="H868" s="10">
        <v>15.7</v>
      </c>
      <c r="I868" s="10">
        <v>4552.2</v>
      </c>
      <c r="J868" s="8" t="s">
        <v>97</v>
      </c>
      <c r="K868" s="8" t="s">
        <v>178</v>
      </c>
      <c r="L868" s="18" t="str">
        <f>VLOOKUP(D868,Products!$A:$C,3,FALSE)</f>
        <v>Home</v>
      </c>
      <c r="N868" s="18" t="str">
        <f>VLOOKUP(C868,Customers!$A:$E,5,FALSE)</f>
        <v>Retail</v>
      </c>
      <c r="O868" s="18">
        <f>VLOOKUP(C868,Customers!$A:$C,3,FALSE)</f>
        <v>29</v>
      </c>
      <c r="P868" s="18" t="str">
        <f>VLOOKUP(E867,Sales_Reps!$A:$C,3,FALSE)</f>
        <v>South</v>
      </c>
      <c r="Q868" s="18" t="str">
        <f t="shared" ref="Q868:Q869" si="180">TEXT(B867,"MMM-YY")</f>
        <v>Oct-24</v>
      </c>
      <c r="R868">
        <f>VLOOKUP(D868, Products!A:D, 4, FALSE)</f>
        <v>519</v>
      </c>
      <c r="S868">
        <f t="shared" ref="S868:S869" si="181">(G868-R868)/G868</f>
        <v>0.51944444444444449</v>
      </c>
    </row>
    <row r="869" spans="1:19" ht="14.25" customHeight="1" x14ac:dyDescent="0.3">
      <c r="A869" s="8" t="s">
        <v>1922</v>
      </c>
      <c r="B869" s="21">
        <v>45528</v>
      </c>
      <c r="C869" s="8" t="s">
        <v>244</v>
      </c>
      <c r="D869" s="8" t="s">
        <v>192</v>
      </c>
      <c r="E869" s="8" t="s">
        <v>200</v>
      </c>
      <c r="F869" s="10">
        <v>1</v>
      </c>
      <c r="G869" s="10">
        <v>3250</v>
      </c>
      <c r="H869" s="10">
        <v>14.7</v>
      </c>
      <c r="I869" s="10">
        <v>2772.25</v>
      </c>
      <c r="J869" s="8" t="s">
        <v>41</v>
      </c>
      <c r="K869" s="8" t="s">
        <v>119</v>
      </c>
      <c r="L869" s="18" t="str">
        <f>VLOOKUP(D869,Products!$A:$C,3,FALSE)</f>
        <v>Home</v>
      </c>
      <c r="N869" s="18" t="str">
        <f>VLOOKUP(C869,Customers!$A:$E,5,FALSE)</f>
        <v>Retail</v>
      </c>
      <c r="O869" s="18">
        <f>VLOOKUP(C869,Customers!$A:$C,3,FALSE)</f>
        <v>24</v>
      </c>
      <c r="P869" s="18" t="str">
        <f>VLOOKUP(E868,Sales_Reps!$A:$C,3,FALSE)</f>
        <v>West</v>
      </c>
      <c r="Q869" s="18" t="str">
        <f t="shared" si="180"/>
        <v>Oct-24</v>
      </c>
      <c r="R869">
        <f>VLOOKUP(D869, Products!A:D, 4, FALSE)</f>
        <v>1556</v>
      </c>
      <c r="S869">
        <f t="shared" si="181"/>
        <v>0.52123076923076928</v>
      </c>
    </row>
    <row r="870" spans="1:19" ht="14.25" hidden="1" customHeight="1" x14ac:dyDescent="0.3">
      <c r="A870" s="8" t="s">
        <v>1923</v>
      </c>
      <c r="B870" s="9">
        <v>45400</v>
      </c>
      <c r="C870" s="8" t="s">
        <v>504</v>
      </c>
      <c r="D870" s="8" t="s">
        <v>144</v>
      </c>
      <c r="E870" s="8" t="s">
        <v>216</v>
      </c>
      <c r="F870" s="10">
        <v>7</v>
      </c>
      <c r="G870" s="10">
        <v>370</v>
      </c>
      <c r="H870" s="10">
        <v>6</v>
      </c>
      <c r="I870" s="10">
        <v>2434.6</v>
      </c>
      <c r="J870" s="8" t="s">
        <v>147</v>
      </c>
      <c r="K870" s="8" t="s">
        <v>136</v>
      </c>
      <c r="L870" s="18" t="str">
        <f>VLOOKUP(D870,Products!$A:$C,3,FALSE)</f>
        <v>Home</v>
      </c>
      <c r="N870" s="18" t="str">
        <f>VLOOKUP(C870,Customers!$A:$E,5,FALSE)</f>
        <v>Corporate</v>
      </c>
      <c r="O870" s="18">
        <f>VLOOKUP(C870,Customers!$A:$C,3,FALSE)</f>
        <v>42</v>
      </c>
    </row>
    <row r="871" spans="1:19" ht="14.25" hidden="1" customHeight="1" x14ac:dyDescent="0.3">
      <c r="A871" s="8" t="s">
        <v>1924</v>
      </c>
      <c r="B871" s="9">
        <v>45337</v>
      </c>
      <c r="C871" s="8" t="s">
        <v>1925</v>
      </c>
      <c r="D871" s="8" t="s">
        <v>163</v>
      </c>
      <c r="E871" s="8" t="s">
        <v>236</v>
      </c>
      <c r="F871" s="10">
        <v>7</v>
      </c>
      <c r="G871" s="10">
        <v>5490</v>
      </c>
      <c r="H871" s="10">
        <v>10.199999999999999</v>
      </c>
      <c r="I871" s="10">
        <v>34510.14</v>
      </c>
      <c r="J871" s="8" t="s">
        <v>41</v>
      </c>
      <c r="K871" s="8" t="s">
        <v>42</v>
      </c>
      <c r="L871" s="18" t="str">
        <f>VLOOKUP(D871,Products!$A:$C,3,FALSE)</f>
        <v>Home</v>
      </c>
      <c r="N871" s="18" t="e">
        <f>VLOOKUP(C871,Customers!$A:$E,5,FALSE)</f>
        <v>#N/A</v>
      </c>
      <c r="O871" s="18" t="e">
        <f>VLOOKUP(C871,Customers!$A:$C,3,FALSE)</f>
        <v>#N/A</v>
      </c>
    </row>
    <row r="872" spans="1:19" ht="14.25" customHeight="1" x14ac:dyDescent="0.3">
      <c r="A872" s="8" t="s">
        <v>1926</v>
      </c>
      <c r="B872" s="21">
        <v>45482</v>
      </c>
      <c r="C872" s="8" t="s">
        <v>425</v>
      </c>
      <c r="D872" s="8" t="s">
        <v>120</v>
      </c>
      <c r="E872" s="8" t="s">
        <v>172</v>
      </c>
      <c r="F872" s="10">
        <v>3</v>
      </c>
      <c r="G872" s="10">
        <v>3970</v>
      </c>
      <c r="H872" s="10">
        <v>2.4</v>
      </c>
      <c r="I872" s="10">
        <v>11624.16</v>
      </c>
      <c r="J872" s="8" t="s">
        <v>41</v>
      </c>
      <c r="K872" s="8" t="s">
        <v>146</v>
      </c>
      <c r="L872" s="18" t="str">
        <f>VLOOKUP(D872,Products!$A:$C,3,FALSE)</f>
        <v>Electronics</v>
      </c>
      <c r="N872" s="18" t="str">
        <f>VLOOKUP(C872,Customers!$A:$E,5,FALSE)</f>
        <v>Retail</v>
      </c>
      <c r="O872" s="18">
        <f>VLOOKUP(C872,Customers!$A:$C,3,FALSE)</f>
        <v>38</v>
      </c>
      <c r="P872" s="18" t="str">
        <f>VLOOKUP(E871,Sales_Reps!$A:$C,3,FALSE)</f>
        <v>West</v>
      </c>
      <c r="Q872" s="18" t="str">
        <f>TEXT(B871,"MMM-YY")</f>
        <v>Feb-24</v>
      </c>
      <c r="R872">
        <f>VLOOKUP(D872, Products!A:D, 4, FALSE)</f>
        <v>2865</v>
      </c>
      <c r="S872">
        <f>(G872-R872)/G872</f>
        <v>0.27833753148614609</v>
      </c>
    </row>
    <row r="873" spans="1:19" ht="14.25" hidden="1" customHeight="1" x14ac:dyDescent="0.3">
      <c r="A873" s="8" t="s">
        <v>1927</v>
      </c>
      <c r="B873" s="9">
        <v>45583</v>
      </c>
      <c r="C873" s="8" t="s">
        <v>711</v>
      </c>
      <c r="D873" s="8" t="s">
        <v>160</v>
      </c>
      <c r="E873" s="8" t="s">
        <v>38</v>
      </c>
      <c r="F873" s="10">
        <v>4</v>
      </c>
      <c r="G873" s="10">
        <v>1220</v>
      </c>
      <c r="H873" s="10">
        <v>25.3</v>
      </c>
      <c r="I873" s="10">
        <v>3645.36</v>
      </c>
      <c r="J873" s="8" t="s">
        <v>41</v>
      </c>
      <c r="K873" s="8" t="s">
        <v>178</v>
      </c>
      <c r="L873" s="18" t="str">
        <f>VLOOKUP(D873,Products!$A:$C,3,FALSE)</f>
        <v>Electronics</v>
      </c>
      <c r="N873" s="18" t="str">
        <f>VLOOKUP(C873,Customers!$A:$E,5,FALSE)</f>
        <v>Retail</v>
      </c>
      <c r="O873" s="18">
        <f>VLOOKUP(C873,Customers!$A:$C,3,FALSE)</f>
        <v>52</v>
      </c>
    </row>
    <row r="874" spans="1:19" ht="14.25" hidden="1" customHeight="1" x14ac:dyDescent="0.3">
      <c r="A874" s="8" t="s">
        <v>1928</v>
      </c>
      <c r="B874" s="9">
        <v>45409</v>
      </c>
      <c r="C874" s="8" t="s">
        <v>395</v>
      </c>
      <c r="D874" s="8" t="s">
        <v>134</v>
      </c>
      <c r="E874" s="8" t="s">
        <v>376</v>
      </c>
      <c r="F874" s="10">
        <v>3</v>
      </c>
      <c r="G874" s="10">
        <v>3160</v>
      </c>
      <c r="H874" s="10">
        <v>19.8</v>
      </c>
      <c r="I874" s="10">
        <v>7602.96</v>
      </c>
      <c r="J874" s="8" t="s">
        <v>41</v>
      </c>
      <c r="K874" s="8" t="s">
        <v>178</v>
      </c>
      <c r="L874" s="18" t="str">
        <f>VLOOKUP(D874,Products!$A:$C,3,FALSE)</f>
        <v>Apparel</v>
      </c>
      <c r="N874" s="18" t="str">
        <f>VLOOKUP(C874,Customers!$A:$E,5,FALSE)</f>
        <v>Retail</v>
      </c>
      <c r="O874" s="18">
        <f>VLOOKUP(C874,Customers!$A:$C,3,FALSE)</f>
        <v>64</v>
      </c>
    </row>
    <row r="875" spans="1:19" ht="14.25" hidden="1" customHeight="1" x14ac:dyDescent="0.3">
      <c r="A875" s="8" t="s">
        <v>1929</v>
      </c>
      <c r="B875" s="9">
        <v>45430</v>
      </c>
      <c r="C875" s="8" t="s">
        <v>772</v>
      </c>
      <c r="D875" s="8" t="s">
        <v>154</v>
      </c>
      <c r="E875" s="8" t="s">
        <v>135</v>
      </c>
      <c r="F875" s="10">
        <v>1</v>
      </c>
      <c r="G875" s="10">
        <v>300</v>
      </c>
      <c r="H875" s="10">
        <v>24.5</v>
      </c>
      <c r="I875" s="10">
        <v>226.5</v>
      </c>
      <c r="J875" s="8" t="s">
        <v>41</v>
      </c>
      <c r="K875" s="8" t="s">
        <v>146</v>
      </c>
      <c r="L875" s="18" t="str">
        <f>VLOOKUP(D875,Products!$A:$C,3,FALSE)</f>
        <v>Electronics</v>
      </c>
      <c r="N875" s="18" t="str">
        <f>VLOOKUP(C875,Customers!$A:$E,5,FALSE)</f>
        <v>Retail</v>
      </c>
      <c r="O875" s="18">
        <f>VLOOKUP(C875,Customers!$A:$C,3,FALSE)</f>
        <v>44</v>
      </c>
    </row>
    <row r="876" spans="1:19" ht="14.25" hidden="1" customHeight="1" x14ac:dyDescent="0.3">
      <c r="A876" s="8" t="s">
        <v>1930</v>
      </c>
      <c r="B876" s="9">
        <v>45654</v>
      </c>
      <c r="C876" s="8" t="s">
        <v>483</v>
      </c>
      <c r="D876" s="8" t="s">
        <v>215</v>
      </c>
      <c r="E876" s="8" t="s">
        <v>236</v>
      </c>
      <c r="F876" s="10">
        <v>5</v>
      </c>
      <c r="G876" s="10">
        <v>3450</v>
      </c>
      <c r="H876" s="10">
        <v>13.4</v>
      </c>
      <c r="I876" s="10">
        <v>14938.5</v>
      </c>
      <c r="J876" s="8" t="s">
        <v>97</v>
      </c>
      <c r="K876" s="8" t="s">
        <v>98</v>
      </c>
      <c r="L876" s="18" t="str">
        <f>VLOOKUP(D876,Products!$A:$C,3,FALSE)</f>
        <v>Beauty</v>
      </c>
      <c r="N876" s="18" t="str">
        <f>VLOOKUP(C876,Customers!$A:$E,5,FALSE)</f>
        <v>SMB</v>
      </c>
      <c r="O876" s="18">
        <f>VLOOKUP(C876,Customers!$A:$C,3,FALSE)</f>
        <v>51</v>
      </c>
    </row>
    <row r="877" spans="1:19" ht="14.25" customHeight="1" x14ac:dyDescent="0.3">
      <c r="A877" s="8" t="s">
        <v>1931</v>
      </c>
      <c r="B877" s="21">
        <v>45397</v>
      </c>
      <c r="C877" s="8" t="s">
        <v>605</v>
      </c>
      <c r="D877" s="8" t="s">
        <v>37</v>
      </c>
      <c r="E877" s="8" t="s">
        <v>619</v>
      </c>
      <c r="F877" s="10">
        <v>7</v>
      </c>
      <c r="G877" s="10">
        <v>3620</v>
      </c>
      <c r="H877" s="10">
        <v>19.2</v>
      </c>
      <c r="I877" s="10">
        <v>20474.72</v>
      </c>
      <c r="J877" s="8" t="s">
        <v>41</v>
      </c>
      <c r="K877" s="8" t="s">
        <v>98</v>
      </c>
      <c r="L877" s="18" t="str">
        <f>VLOOKUP(D877,Products!$A:$C,3,FALSE)</f>
        <v>Apparel</v>
      </c>
      <c r="N877" s="18" t="str">
        <f>VLOOKUP(C877,Customers!$A:$E,5,FALSE)</f>
        <v>Retail</v>
      </c>
      <c r="O877" s="18">
        <f>VLOOKUP(C877,Customers!$A:$C,3,FALSE)</f>
        <v>38</v>
      </c>
      <c r="P877" s="18" t="str">
        <f>VLOOKUP(E876,Sales_Reps!$A:$C,3,FALSE)</f>
        <v>West</v>
      </c>
      <c r="Q877" s="18" t="str">
        <f t="shared" ref="Q877:Q878" si="182">TEXT(B876,"MMM-YY")</f>
        <v>Dec-24</v>
      </c>
      <c r="R877">
        <f>VLOOKUP(D877, Products!A:D, 4, FALSE)</f>
        <v>2509</v>
      </c>
      <c r="S877">
        <f t="shared" ref="S877:S878" si="183">(G877-R877)/G877</f>
        <v>0.3069060773480663</v>
      </c>
    </row>
    <row r="878" spans="1:19" ht="14.25" customHeight="1" x14ac:dyDescent="0.3">
      <c r="A878" s="8" t="s">
        <v>1932</v>
      </c>
      <c r="B878" s="21">
        <v>45505</v>
      </c>
      <c r="C878" s="8" t="s">
        <v>142</v>
      </c>
      <c r="D878" s="8" t="s">
        <v>176</v>
      </c>
      <c r="E878" s="8" t="s">
        <v>177</v>
      </c>
      <c r="F878" s="10">
        <v>10</v>
      </c>
      <c r="G878" s="10">
        <v>2270</v>
      </c>
      <c r="H878" s="10">
        <v>20.5</v>
      </c>
      <c r="I878" s="10">
        <v>18046.5</v>
      </c>
      <c r="J878" s="8" t="s">
        <v>41</v>
      </c>
      <c r="K878" s="8" t="s">
        <v>146</v>
      </c>
      <c r="L878" s="18" t="str">
        <f>VLOOKUP(D878,Products!$A:$C,3,FALSE)</f>
        <v>Grocery</v>
      </c>
      <c r="N878" s="18" t="str">
        <f>VLOOKUP(C878,Customers!$A:$E,5,FALSE)</f>
        <v>Retail</v>
      </c>
      <c r="O878" s="18">
        <f>VLOOKUP(C878,Customers!$A:$C,3,FALSE)</f>
        <v>36</v>
      </c>
      <c r="P878" s="18" t="str">
        <f>VLOOKUP(E877,Sales_Reps!$A:$C,3,FALSE)</f>
        <v>West</v>
      </c>
      <c r="Q878" s="18" t="str">
        <f t="shared" si="182"/>
        <v>Apr-24</v>
      </c>
      <c r="R878">
        <f>VLOOKUP(D878, Products!A:D, 4, FALSE)</f>
        <v>1203</v>
      </c>
      <c r="S878">
        <f t="shared" si="183"/>
        <v>0.47004405286343615</v>
      </c>
    </row>
    <row r="879" spans="1:19" ht="14.25" hidden="1" customHeight="1" x14ac:dyDescent="0.3">
      <c r="A879" s="8" t="s">
        <v>1933</v>
      </c>
      <c r="B879" s="9">
        <v>45386</v>
      </c>
      <c r="C879" s="8" t="s">
        <v>367</v>
      </c>
      <c r="D879" s="8" t="s">
        <v>239</v>
      </c>
      <c r="E879" s="8" t="s">
        <v>153</v>
      </c>
      <c r="F879" s="10">
        <v>5</v>
      </c>
      <c r="G879" s="10">
        <v>2720</v>
      </c>
      <c r="H879" s="10">
        <v>29.3</v>
      </c>
      <c r="I879" s="10">
        <v>9615.2000000000007</v>
      </c>
      <c r="J879" s="8" t="s">
        <v>41</v>
      </c>
      <c r="K879" s="8" t="s">
        <v>146</v>
      </c>
      <c r="L879" s="18" t="str">
        <f>VLOOKUP(D879,Products!$A:$C,3,FALSE)</f>
        <v>Apparel</v>
      </c>
      <c r="N879" s="18" t="str">
        <f>VLOOKUP(C879,Customers!$A:$E,5,FALSE)</f>
        <v>Corporate</v>
      </c>
      <c r="O879" s="18">
        <f>VLOOKUP(C879,Customers!$A:$C,3,FALSE)</f>
        <v>42</v>
      </c>
    </row>
    <row r="880" spans="1:19" ht="14.25" customHeight="1" x14ac:dyDescent="0.3">
      <c r="A880" s="8" t="s">
        <v>1934</v>
      </c>
      <c r="B880" s="21">
        <v>45499</v>
      </c>
      <c r="C880" s="8" t="s">
        <v>748</v>
      </c>
      <c r="D880" s="8" t="s">
        <v>624</v>
      </c>
      <c r="E880" s="8" t="s">
        <v>196</v>
      </c>
      <c r="F880" s="10">
        <v>9</v>
      </c>
      <c r="G880" s="10">
        <v>3780</v>
      </c>
      <c r="H880" s="10">
        <v>2.2999999999999998</v>
      </c>
      <c r="I880" s="10">
        <v>33237.54</v>
      </c>
      <c r="J880" s="8" t="s">
        <v>41</v>
      </c>
      <c r="K880" s="8" t="s">
        <v>98</v>
      </c>
      <c r="L880" s="18" t="str">
        <f>VLOOKUP(D880,Products!$A:$C,3,FALSE)</f>
        <v>Grocery</v>
      </c>
      <c r="N880" s="18" t="str">
        <f>VLOOKUP(C880,Customers!$A:$E,5,FALSE)</f>
        <v>Retail</v>
      </c>
      <c r="O880" s="18">
        <f>VLOOKUP(C880,Customers!$A:$C,3,FALSE)</f>
        <v>31</v>
      </c>
      <c r="P880" s="18" t="str">
        <f>VLOOKUP(E879,Sales_Reps!$A:$C,3,FALSE)</f>
        <v>West</v>
      </c>
      <c r="Q880" s="18" t="str">
        <f t="shared" ref="Q880:Q881" si="184">TEXT(B879,"MMM-YY")</f>
        <v>Apr-24</v>
      </c>
      <c r="R880">
        <f>VLOOKUP(D880, Products!A:D, 4, FALSE)</f>
        <v>2436</v>
      </c>
      <c r="S880">
        <f t="shared" ref="S880:S881" si="185">(G880-R880)/G880</f>
        <v>0.35555555555555557</v>
      </c>
    </row>
    <row r="881" spans="1:19" ht="14.25" customHeight="1" x14ac:dyDescent="0.3">
      <c r="A881" s="8" t="s">
        <v>1935</v>
      </c>
      <c r="B881" s="21">
        <v>45636</v>
      </c>
      <c r="C881" s="8" t="s">
        <v>722</v>
      </c>
      <c r="D881" s="8" t="s">
        <v>912</v>
      </c>
      <c r="E881" s="8" t="s">
        <v>117</v>
      </c>
      <c r="F881" s="10">
        <v>9</v>
      </c>
      <c r="G881" s="10">
        <v>4060</v>
      </c>
      <c r="H881" s="10">
        <v>11.5</v>
      </c>
      <c r="I881" s="10">
        <v>32337.9</v>
      </c>
      <c r="J881" s="8" t="s">
        <v>41</v>
      </c>
      <c r="K881" s="8" t="s">
        <v>98</v>
      </c>
      <c r="L881" s="18" t="str">
        <f>VLOOKUP(D881,Products!$A:$C,3,FALSE)</f>
        <v>Grocery</v>
      </c>
      <c r="N881" s="18" t="str">
        <f>VLOOKUP(C881,Customers!$A:$E,5,FALSE)</f>
        <v>Retail</v>
      </c>
      <c r="O881" s="18">
        <f>VLOOKUP(C881,Customers!$A:$C,3,FALSE)</f>
        <v>34</v>
      </c>
      <c r="P881" s="18" t="str">
        <f>VLOOKUP(E880,Sales_Reps!$A:$C,3,FALSE)</f>
        <v>East</v>
      </c>
      <c r="Q881" s="18" t="str">
        <f t="shared" si="184"/>
        <v>Jul-24</v>
      </c>
      <c r="R881">
        <f>VLOOKUP(D881, Products!A:D, 4, FALSE)</f>
        <v>2911</v>
      </c>
      <c r="S881">
        <f t="shared" si="185"/>
        <v>0.28300492610837441</v>
      </c>
    </row>
    <row r="882" spans="1:19" ht="14.25" hidden="1" customHeight="1" x14ac:dyDescent="0.3">
      <c r="A882" s="8" t="s">
        <v>1365</v>
      </c>
      <c r="B882" s="9">
        <v>45517</v>
      </c>
      <c r="C882" s="8" t="s">
        <v>858</v>
      </c>
      <c r="D882" s="8" t="s">
        <v>374</v>
      </c>
      <c r="E882" s="8" t="s">
        <v>189</v>
      </c>
      <c r="F882" s="10">
        <v>10</v>
      </c>
      <c r="G882" s="10">
        <v>2760</v>
      </c>
      <c r="H882" s="10">
        <v>3.9</v>
      </c>
      <c r="I882" s="10">
        <v>26523.599999999999</v>
      </c>
      <c r="J882" s="8" t="s">
        <v>193</v>
      </c>
      <c r="K882" s="8" t="s">
        <v>119</v>
      </c>
      <c r="L882" s="18" t="str">
        <f>VLOOKUP(D882,Products!$A:$C,3,FALSE)</f>
        <v>Grocery</v>
      </c>
      <c r="N882" s="18" t="str">
        <f>VLOOKUP(C882,Customers!$A:$E,5,FALSE)</f>
        <v>Retail</v>
      </c>
      <c r="O882" s="18">
        <f>VLOOKUP(C882,Customers!$A:$C,3,FALSE)</f>
        <v>44</v>
      </c>
    </row>
    <row r="883" spans="1:19" ht="14.25" customHeight="1" x14ac:dyDescent="0.3">
      <c r="A883" s="8" t="s">
        <v>1936</v>
      </c>
      <c r="B883" s="21">
        <v>45593</v>
      </c>
      <c r="C883" s="8" t="s">
        <v>568</v>
      </c>
      <c r="D883" s="8" t="s">
        <v>224</v>
      </c>
      <c r="E883" s="8" t="s">
        <v>216</v>
      </c>
      <c r="F883" s="10">
        <v>10</v>
      </c>
      <c r="G883" s="10">
        <v>1080</v>
      </c>
      <c r="H883" s="10">
        <v>21.4</v>
      </c>
      <c r="I883" s="10">
        <v>8488.7999999999993</v>
      </c>
      <c r="J883" s="8" t="s">
        <v>41</v>
      </c>
      <c r="K883" s="8" t="s">
        <v>98</v>
      </c>
      <c r="L883" s="18" t="str">
        <f>VLOOKUP(D883,Products!$A:$C,3,FALSE)</f>
        <v>Home</v>
      </c>
      <c r="N883" s="18" t="str">
        <f>VLOOKUP(C883,Customers!$A:$E,5,FALSE)</f>
        <v>Retail</v>
      </c>
      <c r="O883" s="18">
        <f>VLOOKUP(C883,Customers!$A:$C,3,FALSE)</f>
        <v>37</v>
      </c>
      <c r="P883" s="18" t="str">
        <f>VLOOKUP(E882,Sales_Reps!$A:$C,3,FALSE)</f>
        <v>South</v>
      </c>
      <c r="Q883" s="18" t="str">
        <f>TEXT(B882,"MMM-YY")</f>
        <v>Aug-24</v>
      </c>
      <c r="R883">
        <f>VLOOKUP(D883, Products!A:D, 4, FALSE)</f>
        <v>519</v>
      </c>
      <c r="S883">
        <f>(G883-R883)/G883</f>
        <v>0.51944444444444449</v>
      </c>
    </row>
    <row r="884" spans="1:19" ht="14.25" hidden="1" customHeight="1" x14ac:dyDescent="0.3">
      <c r="A884" s="8" t="s">
        <v>1937</v>
      </c>
      <c r="B884" s="9">
        <v>45497</v>
      </c>
      <c r="C884" s="8" t="s">
        <v>367</v>
      </c>
      <c r="D884" s="8" t="s">
        <v>926</v>
      </c>
      <c r="E884" s="8" t="s">
        <v>208</v>
      </c>
      <c r="F884" s="10">
        <v>6</v>
      </c>
      <c r="G884" s="10">
        <v>5080</v>
      </c>
      <c r="H884" s="10">
        <v>29.8</v>
      </c>
      <c r="I884" s="10">
        <v>21396.959999999999</v>
      </c>
      <c r="J884" s="8" t="s">
        <v>97</v>
      </c>
      <c r="K884" s="8" t="s">
        <v>146</v>
      </c>
      <c r="L884" s="18" t="str">
        <f>VLOOKUP(D884,Products!$A:$C,3,FALSE)</f>
        <v>Home</v>
      </c>
      <c r="N884" s="18" t="str">
        <f>VLOOKUP(C884,Customers!$A:$E,5,FALSE)</f>
        <v>Corporate</v>
      </c>
      <c r="O884" s="18">
        <f>VLOOKUP(C884,Customers!$A:$C,3,FALSE)</f>
        <v>42</v>
      </c>
    </row>
    <row r="885" spans="1:19" ht="14.25" hidden="1" customHeight="1" x14ac:dyDescent="0.3">
      <c r="A885" s="8" t="s">
        <v>1938</v>
      </c>
      <c r="B885" s="9">
        <v>45293</v>
      </c>
      <c r="C885" s="8" t="s">
        <v>170</v>
      </c>
      <c r="D885" s="8" t="s">
        <v>283</v>
      </c>
      <c r="E885" s="8" t="s">
        <v>143</v>
      </c>
      <c r="F885" s="10">
        <v>1</v>
      </c>
      <c r="G885" s="10">
        <v>4880</v>
      </c>
      <c r="H885" s="10">
        <v>28.2</v>
      </c>
      <c r="I885" s="10">
        <v>3503.84</v>
      </c>
      <c r="J885" s="8" t="s">
        <v>41</v>
      </c>
      <c r="K885" s="8" t="s">
        <v>42</v>
      </c>
      <c r="L885" s="18" t="str">
        <f>VLOOKUP(D885,Products!$A:$C,3,FALSE)</f>
        <v>Beauty</v>
      </c>
      <c r="N885" s="18" t="str">
        <f>VLOOKUP(C885,Customers!$A:$E,5,FALSE)</f>
        <v>Retail</v>
      </c>
      <c r="O885" s="18">
        <f>VLOOKUP(C885,Customers!$A:$C,3,FALSE)</f>
        <v>56</v>
      </c>
    </row>
    <row r="886" spans="1:19" ht="14.25" customHeight="1" x14ac:dyDescent="0.3">
      <c r="A886" s="8" t="s">
        <v>1939</v>
      </c>
      <c r="B886" s="21">
        <v>45562</v>
      </c>
      <c r="C886" s="8" t="s">
        <v>464</v>
      </c>
      <c r="D886" s="8" t="s">
        <v>691</v>
      </c>
      <c r="E886" s="8" t="s">
        <v>619</v>
      </c>
      <c r="F886" s="10">
        <v>1</v>
      </c>
      <c r="G886" s="10">
        <v>2270</v>
      </c>
      <c r="H886" s="10">
        <v>27.8</v>
      </c>
      <c r="I886" s="10">
        <v>1638.94</v>
      </c>
      <c r="J886" s="8" t="s">
        <v>41</v>
      </c>
      <c r="K886" s="8" t="s">
        <v>146</v>
      </c>
      <c r="L886" s="18" t="str">
        <f>VLOOKUP(D886,Products!$A:$C,3,FALSE)</f>
        <v>Grocery</v>
      </c>
      <c r="N886" s="18" t="str">
        <f>VLOOKUP(C886,Customers!$A:$E,5,FALSE)</f>
        <v>SMB</v>
      </c>
      <c r="O886" s="18">
        <f>VLOOKUP(C886,Customers!$A:$C,3,FALSE)</f>
        <v>36</v>
      </c>
      <c r="P886" s="18" t="str">
        <f>VLOOKUP(E885,Sales_Reps!$A:$C,3,FALSE)</f>
        <v>West</v>
      </c>
      <c r="Q886" s="18" t="str">
        <f>TEXT(B885,"MMM-YY")</f>
        <v>Jan-24</v>
      </c>
      <c r="R886">
        <f>VLOOKUP(D886, Products!A:D, 4, FALSE)</f>
        <v>1412</v>
      </c>
      <c r="S886">
        <f>(G886-R886)/G886</f>
        <v>0.37797356828193834</v>
      </c>
    </row>
    <row r="887" spans="1:19" ht="14.25" hidden="1" customHeight="1" x14ac:dyDescent="0.3">
      <c r="A887" s="8" t="s">
        <v>1940</v>
      </c>
      <c r="B887" s="9">
        <v>45638</v>
      </c>
      <c r="C887" s="8" t="s">
        <v>518</v>
      </c>
      <c r="D887" s="8" t="s">
        <v>120</v>
      </c>
      <c r="E887" s="8" t="s">
        <v>158</v>
      </c>
      <c r="F887" s="10">
        <v>9</v>
      </c>
      <c r="G887" s="10">
        <v>3970</v>
      </c>
      <c r="H887" s="10">
        <v>7</v>
      </c>
      <c r="I887" s="10">
        <v>33228.9</v>
      </c>
      <c r="J887" s="8" t="s">
        <v>41</v>
      </c>
      <c r="K887" s="8" t="s">
        <v>119</v>
      </c>
      <c r="L887" s="18" t="str">
        <f>VLOOKUP(D887,Products!$A:$C,3,FALSE)</f>
        <v>Electronics</v>
      </c>
      <c r="N887" s="18" t="str">
        <f>VLOOKUP(C887,Customers!$A:$E,5,FALSE)</f>
        <v>SMB</v>
      </c>
      <c r="O887" s="18">
        <f>VLOOKUP(C887,Customers!$A:$C,3,FALSE)</f>
        <v>55</v>
      </c>
    </row>
    <row r="888" spans="1:19" ht="14.25" hidden="1" customHeight="1" x14ac:dyDescent="0.3">
      <c r="A888" s="8" t="s">
        <v>1941</v>
      </c>
      <c r="B888" s="9">
        <v>45408</v>
      </c>
      <c r="C888" s="8" t="s">
        <v>796</v>
      </c>
      <c r="D888" s="8" t="s">
        <v>320</v>
      </c>
      <c r="E888" s="8" t="s">
        <v>200</v>
      </c>
      <c r="F888" s="10">
        <v>9</v>
      </c>
      <c r="G888" s="10">
        <v>5100</v>
      </c>
      <c r="H888" s="10">
        <v>9.6999999999999993</v>
      </c>
      <c r="I888" s="10">
        <v>41447.699999999997</v>
      </c>
      <c r="J888" s="8" t="s">
        <v>41</v>
      </c>
      <c r="K888" s="8" t="s">
        <v>146</v>
      </c>
      <c r="L888" s="18" t="str">
        <f>VLOOKUP(D888,Products!$A:$C,3,FALSE)</f>
        <v>Beauty</v>
      </c>
      <c r="N888" s="18" t="str">
        <f>VLOOKUP(C888,Customers!$A:$E,5,FALSE)</f>
        <v>Retail</v>
      </c>
      <c r="O888" s="18">
        <f>VLOOKUP(C888,Customers!$A:$C,3,FALSE)</f>
        <v>52</v>
      </c>
    </row>
    <row r="889" spans="1:19" ht="14.25" customHeight="1" x14ac:dyDescent="0.3">
      <c r="A889" s="8" t="s">
        <v>1942</v>
      </c>
      <c r="B889" s="21">
        <v>45498</v>
      </c>
      <c r="C889" s="8" t="s">
        <v>765</v>
      </c>
      <c r="D889" s="8" t="s">
        <v>199</v>
      </c>
      <c r="E889" s="8" t="s">
        <v>96</v>
      </c>
      <c r="F889" s="10">
        <v>8</v>
      </c>
      <c r="G889" s="10">
        <v>190</v>
      </c>
      <c r="H889" s="10">
        <v>10.199999999999999</v>
      </c>
      <c r="I889" s="10">
        <v>1364.96</v>
      </c>
      <c r="J889" s="8" t="s">
        <v>41</v>
      </c>
      <c r="K889" s="8" t="s">
        <v>119</v>
      </c>
      <c r="L889" s="18" t="str">
        <f>VLOOKUP(D889,Products!$A:$C,3,FALSE)</f>
        <v>Sports</v>
      </c>
      <c r="N889" s="18" t="str">
        <f>VLOOKUP(C889,Customers!$A:$E,5,FALSE)</f>
        <v>SMB</v>
      </c>
      <c r="O889" s="18">
        <f>VLOOKUP(C889,Customers!$A:$C,3,FALSE)</f>
        <v>29</v>
      </c>
      <c r="P889" s="18" t="str">
        <f>VLOOKUP(E888,Sales_Reps!$A:$C,3,FALSE)</f>
        <v>North</v>
      </c>
      <c r="Q889" s="18" t="str">
        <f>TEXT(B888,"MMM-YY")</f>
        <v>Apr-24</v>
      </c>
      <c r="R889">
        <f>VLOOKUP(D889, Products!A:D, 4, FALSE)</f>
        <v>147</v>
      </c>
      <c r="S889">
        <f>(G889-R889)/G889</f>
        <v>0.22631578947368422</v>
      </c>
    </row>
    <row r="890" spans="1:19" ht="14.25" hidden="1" customHeight="1" x14ac:dyDescent="0.3">
      <c r="A890" s="8" t="s">
        <v>1943</v>
      </c>
      <c r="B890" s="9">
        <v>45649</v>
      </c>
      <c r="C890" s="8" t="s">
        <v>413</v>
      </c>
      <c r="D890" s="8" t="s">
        <v>662</v>
      </c>
      <c r="E890" s="8" t="s">
        <v>376</v>
      </c>
      <c r="F890" s="10">
        <v>1</v>
      </c>
      <c r="G890" s="10">
        <v>6080</v>
      </c>
      <c r="H890" s="10">
        <v>5.6</v>
      </c>
      <c r="I890" s="10">
        <v>5739.52</v>
      </c>
      <c r="J890" s="8" t="s">
        <v>41</v>
      </c>
      <c r="K890" s="8" t="s">
        <v>146</v>
      </c>
      <c r="L890" s="18" t="str">
        <f>VLOOKUP(D890,Products!$A:$C,3,FALSE)</f>
        <v>Beauty</v>
      </c>
      <c r="N890" s="18" t="str">
        <f>VLOOKUP(C890,Customers!$A:$E,5,FALSE)</f>
        <v>Retail</v>
      </c>
      <c r="O890" s="18">
        <f>VLOOKUP(C890,Customers!$A:$C,3,FALSE)</f>
        <v>42</v>
      </c>
    </row>
    <row r="891" spans="1:19" ht="14.25" customHeight="1" x14ac:dyDescent="0.3">
      <c r="A891" s="8" t="s">
        <v>1944</v>
      </c>
      <c r="B891" s="21">
        <v>45484</v>
      </c>
      <c r="C891" s="8" t="s">
        <v>717</v>
      </c>
      <c r="D891" s="8" t="s">
        <v>152</v>
      </c>
      <c r="E891" s="8" t="s">
        <v>321</v>
      </c>
      <c r="F891" s="10">
        <v>6</v>
      </c>
      <c r="G891" s="10">
        <v>960</v>
      </c>
      <c r="H891" s="10">
        <v>1.9</v>
      </c>
      <c r="I891" s="10">
        <v>5650.56</v>
      </c>
      <c r="J891" s="8" t="s">
        <v>41</v>
      </c>
      <c r="K891" s="8" t="s">
        <v>146</v>
      </c>
      <c r="L891" s="18" t="str">
        <f>VLOOKUP(D891,Products!$A:$C,3,FALSE)</f>
        <v>Sports</v>
      </c>
      <c r="N891" s="18" t="str">
        <f>VLOOKUP(C891,Customers!$A:$E,5,FALSE)</f>
        <v>Retail</v>
      </c>
      <c r="O891" s="18">
        <f>VLOOKUP(C891,Customers!$A:$C,3,FALSE)</f>
        <v>39</v>
      </c>
      <c r="P891" s="18" t="str">
        <f>VLOOKUP(E890,Sales_Reps!$A:$C,3,FALSE)</f>
        <v>West</v>
      </c>
      <c r="Q891" s="18" t="str">
        <f>TEXT(B890,"MMM-YY")</f>
        <v>Dec-24</v>
      </c>
      <c r="R891">
        <f>VLOOKUP(D891, Products!A:D, 4, FALSE)</f>
        <v>705</v>
      </c>
      <c r="S891">
        <f>(G891-R891)/G891</f>
        <v>0.265625</v>
      </c>
    </row>
    <row r="892" spans="1:19" ht="14.25" hidden="1" customHeight="1" x14ac:dyDescent="0.3">
      <c r="A892" s="8" t="s">
        <v>1945</v>
      </c>
      <c r="B892" s="9">
        <v>45316</v>
      </c>
      <c r="C892" s="8" t="s">
        <v>408</v>
      </c>
      <c r="D892" s="8" t="s">
        <v>789</v>
      </c>
      <c r="E892" s="8" t="s">
        <v>185</v>
      </c>
      <c r="F892" s="10">
        <v>7</v>
      </c>
      <c r="G892" s="10">
        <v>1540</v>
      </c>
      <c r="H892" s="10">
        <v>7.1</v>
      </c>
      <c r="I892" s="10">
        <v>10014.620000000001</v>
      </c>
      <c r="J892" s="8" t="s">
        <v>41</v>
      </c>
      <c r="K892" s="8" t="s">
        <v>119</v>
      </c>
      <c r="L892" s="18" t="str">
        <f>VLOOKUP(D892,Products!$A:$C,3,FALSE)</f>
        <v>Beauty</v>
      </c>
      <c r="N892" s="18" t="str">
        <f>VLOOKUP(C892,Customers!$A:$E,5,FALSE)</f>
        <v>SMB</v>
      </c>
      <c r="O892" s="18">
        <f>VLOOKUP(C892,Customers!$A:$C,3,FALSE)</f>
        <v>48</v>
      </c>
    </row>
    <row r="893" spans="1:19" ht="14.25" hidden="1" customHeight="1" x14ac:dyDescent="0.3">
      <c r="A893" s="8" t="s">
        <v>1946</v>
      </c>
      <c r="B893" s="9">
        <v>45328</v>
      </c>
      <c r="C893" s="8" t="s">
        <v>794</v>
      </c>
      <c r="D893" s="8" t="s">
        <v>154</v>
      </c>
      <c r="E893" s="8" t="s">
        <v>865</v>
      </c>
      <c r="F893" s="10">
        <v>10</v>
      </c>
      <c r="G893" s="10">
        <v>300</v>
      </c>
      <c r="H893" s="10">
        <v>12.8</v>
      </c>
      <c r="I893" s="10">
        <v>2616</v>
      </c>
      <c r="J893" s="8" t="s">
        <v>147</v>
      </c>
      <c r="K893" s="8" t="s">
        <v>119</v>
      </c>
      <c r="L893" s="18" t="str">
        <f>VLOOKUP(D893,Products!$A:$C,3,FALSE)</f>
        <v>Electronics</v>
      </c>
      <c r="N893" s="18" t="str">
        <f>VLOOKUP(C893,Customers!$A:$E,5,FALSE)</f>
        <v>Retail</v>
      </c>
      <c r="O893" s="18">
        <f>VLOOKUP(C893,Customers!$A:$C,3,FALSE)</f>
        <v>54</v>
      </c>
    </row>
    <row r="894" spans="1:19" ht="14.25" hidden="1" customHeight="1" x14ac:dyDescent="0.3">
      <c r="A894" s="8" t="s">
        <v>1947</v>
      </c>
      <c r="B894" s="9">
        <v>45456</v>
      </c>
      <c r="C894" s="8" t="s">
        <v>428</v>
      </c>
      <c r="D894" s="8" t="s">
        <v>283</v>
      </c>
      <c r="E894" s="8" t="s">
        <v>865</v>
      </c>
      <c r="F894" s="10">
        <v>4</v>
      </c>
      <c r="G894" s="10">
        <v>4880</v>
      </c>
      <c r="H894" s="10">
        <v>26.5</v>
      </c>
      <c r="I894" s="10">
        <v>14347.2</v>
      </c>
      <c r="J894" s="8" t="s">
        <v>41</v>
      </c>
      <c r="K894" s="8" t="s">
        <v>178</v>
      </c>
      <c r="L894" s="18" t="str">
        <f>VLOOKUP(D894,Products!$A:$C,3,FALSE)</f>
        <v>Beauty</v>
      </c>
      <c r="N894" s="18" t="str">
        <f>VLOOKUP(C894,Customers!$A:$E,5,FALSE)</f>
        <v>SMB</v>
      </c>
      <c r="O894" s="18">
        <f>VLOOKUP(C894,Customers!$A:$C,3,FALSE)</f>
        <v>48</v>
      </c>
    </row>
    <row r="895" spans="1:19" ht="14.25" hidden="1" customHeight="1" x14ac:dyDescent="0.3">
      <c r="A895" s="8" t="s">
        <v>1948</v>
      </c>
      <c r="B895" s="9">
        <v>45589</v>
      </c>
      <c r="C895" s="8" t="s">
        <v>656</v>
      </c>
      <c r="D895" s="8" t="s">
        <v>144</v>
      </c>
      <c r="E895" s="8" t="s">
        <v>200</v>
      </c>
      <c r="F895" s="10">
        <v>2</v>
      </c>
      <c r="G895" s="10">
        <v>370</v>
      </c>
      <c r="H895" s="10">
        <v>26.5</v>
      </c>
      <c r="I895" s="10">
        <v>543.9</v>
      </c>
      <c r="J895" s="8" t="s">
        <v>41</v>
      </c>
      <c r="K895" s="8" t="s">
        <v>136</v>
      </c>
      <c r="L895" s="18" t="str">
        <f>VLOOKUP(D895,Products!$A:$C,3,FALSE)</f>
        <v>Home</v>
      </c>
      <c r="N895" s="18" t="str">
        <f>VLOOKUP(C895,Customers!$A:$E,5,FALSE)</f>
        <v>Retail</v>
      </c>
      <c r="O895" s="18">
        <f>VLOOKUP(C895,Customers!$A:$C,3,FALSE)</f>
        <v>54</v>
      </c>
    </row>
    <row r="896" spans="1:19" ht="14.25" hidden="1" customHeight="1" x14ac:dyDescent="0.3">
      <c r="A896" s="8" t="s">
        <v>1949</v>
      </c>
      <c r="B896" s="9">
        <v>45593</v>
      </c>
      <c r="C896" s="8" t="s">
        <v>573</v>
      </c>
      <c r="D896" s="8" t="s">
        <v>839</v>
      </c>
      <c r="E896" s="8" t="s">
        <v>261</v>
      </c>
      <c r="F896" s="10">
        <v>3</v>
      </c>
      <c r="G896" s="10">
        <v>4610</v>
      </c>
      <c r="H896" s="10">
        <v>29.7</v>
      </c>
      <c r="I896" s="10">
        <v>9722.49</v>
      </c>
      <c r="J896" s="8" t="s">
        <v>41</v>
      </c>
      <c r="K896" s="8" t="s">
        <v>136</v>
      </c>
      <c r="L896" s="18" t="str">
        <f>VLOOKUP(D896,Products!$A:$C,3,FALSE)</f>
        <v>Home</v>
      </c>
      <c r="N896" s="18" t="str">
        <f>VLOOKUP(C896,Customers!$A:$E,5,FALSE)</f>
        <v>SMB</v>
      </c>
      <c r="O896" s="18">
        <f>VLOOKUP(C896,Customers!$A:$C,3,FALSE)</f>
        <v>44</v>
      </c>
    </row>
    <row r="897" spans="1:19" ht="14.25" customHeight="1" x14ac:dyDescent="0.3">
      <c r="A897" s="8" t="s">
        <v>1950</v>
      </c>
      <c r="B897" s="21">
        <v>45539</v>
      </c>
      <c r="C897" s="8" t="s">
        <v>337</v>
      </c>
      <c r="D897" s="8" t="s">
        <v>184</v>
      </c>
      <c r="E897" s="8" t="s">
        <v>745</v>
      </c>
      <c r="F897" s="10">
        <v>5</v>
      </c>
      <c r="G897" s="10">
        <v>2600</v>
      </c>
      <c r="H897" s="10">
        <v>21.4</v>
      </c>
      <c r="I897" s="10">
        <v>10218</v>
      </c>
      <c r="J897" s="8" t="s">
        <v>41</v>
      </c>
      <c r="K897" s="8" t="s">
        <v>146</v>
      </c>
      <c r="L897" s="18" t="str">
        <f>VLOOKUP(D897,Products!$A:$C,3,FALSE)</f>
        <v>Electronics</v>
      </c>
      <c r="N897" s="18" t="str">
        <f>VLOOKUP(C897,Customers!$A:$E,5,FALSE)</f>
        <v>Retail</v>
      </c>
      <c r="O897" s="18">
        <f>VLOOKUP(C897,Customers!$A:$C,3,FALSE)</f>
        <v>35</v>
      </c>
      <c r="P897" s="18" t="str">
        <f>VLOOKUP(E896,Sales_Reps!$A:$C,3,FALSE)</f>
        <v>North</v>
      </c>
      <c r="Q897" s="18" t="str">
        <f>TEXT(B896,"MMM-YY")</f>
        <v>Oct-24</v>
      </c>
      <c r="R897">
        <f>VLOOKUP(D897, Products!A:D, 4, FALSE)</f>
        <v>1052</v>
      </c>
      <c r="S897">
        <f>(G897-R897)/G897</f>
        <v>0.5953846153846154</v>
      </c>
    </row>
    <row r="898" spans="1:19" ht="14.25" hidden="1" customHeight="1" x14ac:dyDescent="0.3">
      <c r="A898" s="8" t="s">
        <v>1656</v>
      </c>
      <c r="B898" s="9">
        <v>45436</v>
      </c>
      <c r="C898" s="8" t="s">
        <v>810</v>
      </c>
      <c r="D898" s="8" t="s">
        <v>160</v>
      </c>
      <c r="E898" s="8" t="s">
        <v>145</v>
      </c>
      <c r="F898" s="10">
        <v>10</v>
      </c>
      <c r="G898" s="10">
        <v>1220</v>
      </c>
      <c r="H898" s="10">
        <v>24.3</v>
      </c>
      <c r="I898" s="10">
        <v>9235.4</v>
      </c>
      <c r="J898" s="8" t="s">
        <v>41</v>
      </c>
      <c r="K898" s="8" t="s">
        <v>42</v>
      </c>
      <c r="L898" s="18" t="str">
        <f>VLOOKUP(D898,Products!$A:$C,3,FALSE)</f>
        <v>Electronics</v>
      </c>
      <c r="N898" s="18" t="str">
        <f>VLOOKUP(C898,Customers!$A:$E,5,FALSE)</f>
        <v>Retail</v>
      </c>
      <c r="O898" s="18">
        <f>VLOOKUP(C898,Customers!$A:$C,3,FALSE)</f>
        <v>48</v>
      </c>
    </row>
    <row r="899" spans="1:19" ht="14.25" hidden="1" customHeight="1" x14ac:dyDescent="0.3">
      <c r="A899" s="8" t="s">
        <v>1951</v>
      </c>
      <c r="B899" s="9">
        <v>45646</v>
      </c>
      <c r="C899" s="8" t="s">
        <v>1952</v>
      </c>
      <c r="D899" s="8" t="s">
        <v>140</v>
      </c>
      <c r="E899" s="8" t="s">
        <v>301</v>
      </c>
      <c r="F899" s="10">
        <v>10</v>
      </c>
      <c r="G899" s="10">
        <v>1430</v>
      </c>
      <c r="H899" s="10">
        <v>5.0999999999999996</v>
      </c>
      <c r="I899" s="10">
        <v>13570.7</v>
      </c>
      <c r="J899" s="8" t="s">
        <v>147</v>
      </c>
      <c r="K899" s="8" t="s">
        <v>98</v>
      </c>
      <c r="L899" s="18" t="str">
        <f>VLOOKUP(D899,Products!$A:$C,3,FALSE)</f>
        <v>Electronics</v>
      </c>
      <c r="N899" s="18" t="e">
        <f>VLOOKUP(C899,Customers!$A:$E,5,FALSE)</f>
        <v>#N/A</v>
      </c>
      <c r="O899" s="18" t="e">
        <f>VLOOKUP(C899,Customers!$A:$C,3,FALSE)</f>
        <v>#N/A</v>
      </c>
    </row>
    <row r="900" spans="1:19" ht="14.25" hidden="1" customHeight="1" x14ac:dyDescent="0.3">
      <c r="A900" s="8" t="s">
        <v>1953</v>
      </c>
      <c r="B900" s="9">
        <v>45478</v>
      </c>
      <c r="C900" s="8" t="s">
        <v>658</v>
      </c>
      <c r="D900" s="8" t="s">
        <v>283</v>
      </c>
      <c r="E900" s="8" t="s">
        <v>143</v>
      </c>
      <c r="F900" s="10">
        <v>10</v>
      </c>
      <c r="G900" s="10">
        <v>4880</v>
      </c>
      <c r="H900" s="10">
        <v>25.5</v>
      </c>
      <c r="I900" s="10">
        <v>36356</v>
      </c>
      <c r="J900" s="8" t="s">
        <v>147</v>
      </c>
      <c r="K900" s="8" t="s">
        <v>98</v>
      </c>
      <c r="L900" s="18" t="str">
        <f>VLOOKUP(D900,Products!$A:$C,3,FALSE)</f>
        <v>Beauty</v>
      </c>
      <c r="N900" s="18" t="str">
        <f>VLOOKUP(C900,Customers!$A:$E,5,FALSE)</f>
        <v>Retail</v>
      </c>
      <c r="O900" s="18">
        <f>VLOOKUP(C900,Customers!$A:$C,3,FALSE)</f>
        <v>41</v>
      </c>
    </row>
    <row r="901" spans="1:19" ht="14.25" customHeight="1" x14ac:dyDescent="0.3">
      <c r="A901" s="8" t="s">
        <v>1954</v>
      </c>
      <c r="B901" s="21">
        <v>45518</v>
      </c>
      <c r="C901" s="8" t="s">
        <v>681</v>
      </c>
      <c r="D901" s="8" t="s">
        <v>662</v>
      </c>
      <c r="E901" s="8" t="s">
        <v>172</v>
      </c>
      <c r="F901" s="10">
        <v>6</v>
      </c>
      <c r="G901" s="10">
        <v>6080</v>
      </c>
      <c r="H901" s="10">
        <v>21.6</v>
      </c>
      <c r="I901" s="10">
        <v>28600.32</v>
      </c>
      <c r="J901" s="8" t="s">
        <v>41</v>
      </c>
      <c r="K901" s="8" t="s">
        <v>178</v>
      </c>
      <c r="L901" s="18" t="str">
        <f>VLOOKUP(D901,Products!$A:$C,3,FALSE)</f>
        <v>Beauty</v>
      </c>
      <c r="N901" s="18" t="str">
        <f>VLOOKUP(C901,Customers!$A:$E,5,FALSE)</f>
        <v>SMB</v>
      </c>
      <c r="O901" s="18">
        <f>VLOOKUP(C901,Customers!$A:$C,3,FALSE)</f>
        <v>31</v>
      </c>
      <c r="P901" s="18" t="str">
        <f>VLOOKUP(E900,Sales_Reps!$A:$C,3,FALSE)</f>
        <v>West</v>
      </c>
      <c r="Q901" s="18" t="str">
        <f t="shared" ref="Q901:Q902" si="186">TEXT(B900,"MMM-YY")</f>
        <v>Jul-24</v>
      </c>
      <c r="R901">
        <f>VLOOKUP(D901, Products!A:D, 4, FALSE)</f>
        <v>2617</v>
      </c>
      <c r="S901">
        <f t="shared" ref="S901:S902" si="187">(G901-R901)/G901</f>
        <v>0.56957236842105263</v>
      </c>
    </row>
    <row r="902" spans="1:19" ht="14.25" customHeight="1" x14ac:dyDescent="0.3">
      <c r="A902" s="8" t="s">
        <v>1955</v>
      </c>
      <c r="B902" s="21">
        <v>45319</v>
      </c>
      <c r="C902" s="8" t="s">
        <v>159</v>
      </c>
      <c r="D902" s="8" t="s">
        <v>867</v>
      </c>
      <c r="E902" s="8" t="s">
        <v>745</v>
      </c>
      <c r="F902" s="10">
        <v>3</v>
      </c>
      <c r="G902" s="10">
        <v>3020</v>
      </c>
      <c r="H902" s="10">
        <v>20.7</v>
      </c>
      <c r="I902" s="10">
        <v>7184.58</v>
      </c>
      <c r="J902" s="8" t="s">
        <v>41</v>
      </c>
      <c r="K902" s="8" t="s">
        <v>98</v>
      </c>
      <c r="L902" s="18" t="str">
        <f>VLOOKUP(D902,Products!$A:$C,3,FALSE)</f>
        <v>Beauty</v>
      </c>
      <c r="N902" s="18" t="str">
        <f>VLOOKUP(C902,Customers!$A:$E,5,FALSE)</f>
        <v>Corporate</v>
      </c>
      <c r="O902" s="18">
        <f>VLOOKUP(C902,Customers!$A:$C,3,FALSE)</f>
        <v>34</v>
      </c>
      <c r="P902" s="18" t="str">
        <f>VLOOKUP(E901,Sales_Reps!$A:$C,3,FALSE)</f>
        <v>West</v>
      </c>
      <c r="Q902" s="18" t="str">
        <f t="shared" si="186"/>
        <v>Aug-24</v>
      </c>
      <c r="R902">
        <f>VLOOKUP(D902, Products!A:D, 4, FALSE)</f>
        <v>1626</v>
      </c>
      <c r="S902">
        <f t="shared" si="187"/>
        <v>0.46158940397350995</v>
      </c>
    </row>
    <row r="903" spans="1:19" ht="14.25" hidden="1" customHeight="1" x14ac:dyDescent="0.3">
      <c r="A903" s="8" t="s">
        <v>1956</v>
      </c>
      <c r="B903" s="9">
        <v>45445</v>
      </c>
      <c r="C903" s="8" t="s">
        <v>490</v>
      </c>
      <c r="D903" s="8" t="s">
        <v>239</v>
      </c>
      <c r="E903" s="8" t="s">
        <v>745</v>
      </c>
      <c r="F903" s="10">
        <v>9</v>
      </c>
      <c r="G903" s="10">
        <v>2720</v>
      </c>
      <c r="H903" s="10">
        <v>21.4</v>
      </c>
      <c r="I903" s="10">
        <v>19241.28</v>
      </c>
      <c r="J903" s="8" t="s">
        <v>41</v>
      </c>
      <c r="K903" s="8" t="s">
        <v>136</v>
      </c>
      <c r="L903" s="18" t="str">
        <f>VLOOKUP(D903,Products!$A:$C,3,FALSE)</f>
        <v>Apparel</v>
      </c>
      <c r="N903" s="18" t="str">
        <f>VLOOKUP(C903,Customers!$A:$E,5,FALSE)</f>
        <v>Corporate</v>
      </c>
      <c r="O903" s="18">
        <f>VLOOKUP(C903,Customers!$A:$C,3,FALSE)</f>
        <v>59</v>
      </c>
    </row>
    <row r="904" spans="1:19" ht="14.25" hidden="1" customHeight="1" x14ac:dyDescent="0.3">
      <c r="A904" s="8" t="s">
        <v>1957</v>
      </c>
      <c r="B904" s="9">
        <v>45417</v>
      </c>
      <c r="C904" s="8" t="s">
        <v>686</v>
      </c>
      <c r="D904" s="8" t="s">
        <v>211</v>
      </c>
      <c r="E904" s="8" t="s">
        <v>145</v>
      </c>
      <c r="F904" s="10">
        <v>10</v>
      </c>
      <c r="G904" s="10">
        <v>3570</v>
      </c>
      <c r="H904" s="10">
        <v>4.4000000000000004</v>
      </c>
      <c r="I904" s="10">
        <v>34129.199999999997</v>
      </c>
      <c r="J904" s="8" t="s">
        <v>41</v>
      </c>
      <c r="K904" s="8" t="s">
        <v>98</v>
      </c>
      <c r="L904" s="18" t="str">
        <f>VLOOKUP(D904,Products!$A:$C,3,FALSE)</f>
        <v>Electronics</v>
      </c>
      <c r="N904" s="18" t="str">
        <f>VLOOKUP(C904,Customers!$A:$E,5,FALSE)</f>
        <v>SMB</v>
      </c>
      <c r="O904" s="18">
        <f>VLOOKUP(C904,Customers!$A:$C,3,FALSE)</f>
        <v>55</v>
      </c>
    </row>
    <row r="905" spans="1:19" ht="14.25" hidden="1" customHeight="1" x14ac:dyDescent="0.3">
      <c r="A905" s="8" t="s">
        <v>1958</v>
      </c>
      <c r="B905" s="9">
        <v>45309</v>
      </c>
      <c r="C905" s="8" t="s">
        <v>816</v>
      </c>
      <c r="D905" s="8" t="s">
        <v>224</v>
      </c>
      <c r="E905" s="8" t="s">
        <v>117</v>
      </c>
      <c r="F905" s="10">
        <v>8</v>
      </c>
      <c r="G905" s="10">
        <v>1080</v>
      </c>
      <c r="H905" s="10">
        <v>23.8</v>
      </c>
      <c r="I905" s="10">
        <v>6583.68</v>
      </c>
      <c r="J905" s="8" t="s">
        <v>41</v>
      </c>
      <c r="K905" s="8" t="s">
        <v>146</v>
      </c>
      <c r="L905" s="18" t="str">
        <f>VLOOKUP(D905,Products!$A:$C,3,FALSE)</f>
        <v>Home</v>
      </c>
      <c r="N905" s="18" t="str">
        <f>VLOOKUP(C905,Customers!$A:$E,5,FALSE)</f>
        <v>SMB</v>
      </c>
      <c r="O905" s="18">
        <f>VLOOKUP(C905,Customers!$A:$C,3,FALSE)</f>
        <v>47</v>
      </c>
    </row>
    <row r="906" spans="1:19" ht="14.25" customHeight="1" x14ac:dyDescent="0.3">
      <c r="A906" s="8" t="s">
        <v>1959</v>
      </c>
      <c r="B906" s="21">
        <v>45367</v>
      </c>
      <c r="C906" s="8" t="s">
        <v>344</v>
      </c>
      <c r="D906" s="8" t="s">
        <v>929</v>
      </c>
      <c r="E906" s="8" t="s">
        <v>865</v>
      </c>
      <c r="F906" s="10">
        <v>8</v>
      </c>
      <c r="G906" s="10">
        <v>1090</v>
      </c>
      <c r="H906" s="10">
        <v>17.5</v>
      </c>
      <c r="I906" s="10">
        <v>7194</v>
      </c>
      <c r="J906" s="8" t="s">
        <v>41</v>
      </c>
      <c r="K906" s="8" t="s">
        <v>136</v>
      </c>
      <c r="L906" s="18" t="str">
        <f>VLOOKUP(D906,Products!$A:$C,3,FALSE)</f>
        <v>Home</v>
      </c>
      <c r="N906" s="18" t="str">
        <f>VLOOKUP(C906,Customers!$A:$E,5,FALSE)</f>
        <v>Retail</v>
      </c>
      <c r="O906" s="18">
        <f>VLOOKUP(C906,Customers!$A:$C,3,FALSE)</f>
        <v>37</v>
      </c>
      <c r="P906" s="18" t="str">
        <f>VLOOKUP(E905,Sales_Reps!$A:$C,3,FALSE)</f>
        <v>South</v>
      </c>
      <c r="Q906" s="18" t="str">
        <f>TEXT(B905,"MMM-YY")</f>
        <v>Jan-24</v>
      </c>
      <c r="R906">
        <f>VLOOKUP(D906, Products!A:D, 4, FALSE)</f>
        <v>464</v>
      </c>
      <c r="S906">
        <f>(G906-R906)/G906</f>
        <v>0.57431192660550456</v>
      </c>
    </row>
    <row r="907" spans="1:19" ht="14.25" hidden="1" customHeight="1" x14ac:dyDescent="0.3">
      <c r="A907" s="8" t="s">
        <v>1960</v>
      </c>
      <c r="B907" s="9">
        <v>45615</v>
      </c>
      <c r="C907" s="8" t="s">
        <v>483</v>
      </c>
      <c r="D907" s="8" t="s">
        <v>901</v>
      </c>
      <c r="E907" s="8" t="s">
        <v>619</v>
      </c>
      <c r="F907" s="10">
        <v>7</v>
      </c>
      <c r="G907" s="10">
        <v>3560</v>
      </c>
      <c r="H907" s="10">
        <v>11.1</v>
      </c>
      <c r="I907" s="10">
        <v>22153.88</v>
      </c>
      <c r="J907" s="8" t="s">
        <v>41</v>
      </c>
      <c r="K907" s="8" t="s">
        <v>98</v>
      </c>
      <c r="L907" s="18" t="str">
        <f>VLOOKUP(D907,Products!$A:$C,3,FALSE)</f>
        <v>Apparel</v>
      </c>
      <c r="N907" s="18" t="str">
        <f>VLOOKUP(C907,Customers!$A:$E,5,FALSE)</f>
        <v>SMB</v>
      </c>
      <c r="O907" s="18">
        <f>VLOOKUP(C907,Customers!$A:$C,3,FALSE)</f>
        <v>51</v>
      </c>
    </row>
    <row r="908" spans="1:19" ht="14.25" hidden="1" customHeight="1" x14ac:dyDescent="0.3">
      <c r="A908" s="8" t="s">
        <v>1961</v>
      </c>
      <c r="B908" s="9">
        <v>45499</v>
      </c>
      <c r="C908" s="8" t="s">
        <v>463</v>
      </c>
      <c r="D908" s="8" t="s">
        <v>199</v>
      </c>
      <c r="E908" s="8" t="s">
        <v>196</v>
      </c>
      <c r="F908" s="10">
        <v>6</v>
      </c>
      <c r="G908" s="10">
        <v>190</v>
      </c>
      <c r="H908" s="10">
        <v>17.100000000000001</v>
      </c>
      <c r="I908" s="10">
        <v>945.06</v>
      </c>
      <c r="J908" s="8" t="s">
        <v>147</v>
      </c>
      <c r="K908" s="8" t="s">
        <v>146</v>
      </c>
      <c r="L908" s="18" t="str">
        <f>VLOOKUP(D908,Products!$A:$C,3,FALSE)</f>
        <v>Sports</v>
      </c>
      <c r="N908" s="18" t="str">
        <f>VLOOKUP(C908,Customers!$A:$E,5,FALSE)</f>
        <v>SMB</v>
      </c>
      <c r="O908" s="18">
        <f>VLOOKUP(C908,Customers!$A:$C,3,FALSE)</f>
        <v>54</v>
      </c>
    </row>
    <row r="909" spans="1:19" ht="14.25" customHeight="1" x14ac:dyDescent="0.3">
      <c r="A909" s="8" t="s">
        <v>1962</v>
      </c>
      <c r="B909" s="21">
        <v>45356</v>
      </c>
      <c r="C909" s="8" t="s">
        <v>556</v>
      </c>
      <c r="D909" s="8" t="s">
        <v>912</v>
      </c>
      <c r="E909" s="8" t="s">
        <v>145</v>
      </c>
      <c r="F909" s="10">
        <v>7</v>
      </c>
      <c r="G909" s="10">
        <v>4060</v>
      </c>
      <c r="H909" s="10">
        <v>0.6</v>
      </c>
      <c r="I909" s="10">
        <v>28249.48</v>
      </c>
      <c r="J909" s="8" t="s">
        <v>41</v>
      </c>
      <c r="K909" s="8" t="s">
        <v>98</v>
      </c>
      <c r="L909" s="18" t="str">
        <f>VLOOKUP(D909,Products!$A:$C,3,FALSE)</f>
        <v>Grocery</v>
      </c>
      <c r="N909" s="18" t="str">
        <f>VLOOKUP(C909,Customers!$A:$E,5,FALSE)</f>
        <v>Retail</v>
      </c>
      <c r="O909" s="18">
        <f>VLOOKUP(C909,Customers!$A:$C,3,FALSE)</f>
        <v>24</v>
      </c>
      <c r="P909" s="18" t="str">
        <f>VLOOKUP(E908,Sales_Reps!$A:$C,3,FALSE)</f>
        <v>East</v>
      </c>
      <c r="Q909" s="18" t="str">
        <f t="shared" ref="Q909:Q912" si="188">TEXT(B908,"MMM-YY")</f>
        <v>Jul-24</v>
      </c>
      <c r="R909">
        <f>VLOOKUP(D909, Products!A:D, 4, FALSE)</f>
        <v>2911</v>
      </c>
      <c r="S909">
        <f t="shared" ref="S909:S912" si="189">(G909-R909)/G909</f>
        <v>0.28300492610837441</v>
      </c>
    </row>
    <row r="910" spans="1:19" ht="14.25" customHeight="1" x14ac:dyDescent="0.3">
      <c r="A910" s="8" t="s">
        <v>1963</v>
      </c>
      <c r="B910" s="21">
        <v>45346</v>
      </c>
      <c r="C910" s="8" t="s">
        <v>195</v>
      </c>
      <c r="D910" s="8" t="s">
        <v>839</v>
      </c>
      <c r="E910" s="8" t="s">
        <v>216</v>
      </c>
      <c r="F910" s="10">
        <v>4</v>
      </c>
      <c r="G910" s="10">
        <v>4610</v>
      </c>
      <c r="H910" s="10">
        <v>1.9</v>
      </c>
      <c r="I910" s="10">
        <v>18089.64</v>
      </c>
      <c r="J910" s="8" t="s">
        <v>97</v>
      </c>
      <c r="K910" s="8" t="s">
        <v>42</v>
      </c>
      <c r="L910" s="18" t="str">
        <f>VLOOKUP(D910,Products!$A:$C,3,FALSE)</f>
        <v>Home</v>
      </c>
      <c r="N910" s="18" t="str">
        <f>VLOOKUP(C910,Customers!$A:$E,5,FALSE)</f>
        <v>Corporate</v>
      </c>
      <c r="O910" s="18">
        <f>VLOOKUP(C910,Customers!$A:$C,3,FALSE)</f>
        <v>40</v>
      </c>
      <c r="P910" s="18" t="str">
        <f>VLOOKUP(E909,Sales_Reps!$A:$C,3,FALSE)</f>
        <v>West</v>
      </c>
      <c r="Q910" s="18" t="str">
        <f t="shared" si="188"/>
        <v>Mar-24</v>
      </c>
      <c r="R910">
        <f>VLOOKUP(D910, Products!A:D, 4, FALSE)</f>
        <v>1850</v>
      </c>
      <c r="S910">
        <f t="shared" si="189"/>
        <v>0.59869848156182215</v>
      </c>
    </row>
    <row r="911" spans="1:19" ht="14.25" customHeight="1" x14ac:dyDescent="0.3">
      <c r="A911" s="8" t="s">
        <v>1964</v>
      </c>
      <c r="B911" s="21">
        <v>45640</v>
      </c>
      <c r="C911" s="8" t="s">
        <v>679</v>
      </c>
      <c r="D911" s="8" t="s">
        <v>818</v>
      </c>
      <c r="E911" s="8" t="s">
        <v>321</v>
      </c>
      <c r="F911" s="10">
        <v>4</v>
      </c>
      <c r="G911" s="10">
        <v>4070</v>
      </c>
      <c r="H911" s="10">
        <v>26.8</v>
      </c>
      <c r="I911" s="10">
        <v>11916.96</v>
      </c>
      <c r="J911" s="8" t="s">
        <v>41</v>
      </c>
      <c r="K911" s="8" t="s">
        <v>98</v>
      </c>
      <c r="L911" s="18" t="str">
        <f>VLOOKUP(D911,Products!$A:$C,3,FALSE)</f>
        <v>Grocery</v>
      </c>
      <c r="N911" s="18" t="str">
        <f>VLOOKUP(C911,Customers!$A:$E,5,FALSE)</f>
        <v>Corporate</v>
      </c>
      <c r="O911" s="18">
        <f>VLOOKUP(C911,Customers!$A:$C,3,FALSE)</f>
        <v>22</v>
      </c>
      <c r="P911" s="18" t="str">
        <f>VLOOKUP(E910,Sales_Reps!$A:$C,3,FALSE)</f>
        <v>East</v>
      </c>
      <c r="Q911" s="18" t="str">
        <f t="shared" si="188"/>
        <v>Feb-24</v>
      </c>
      <c r="R911">
        <f>VLOOKUP(D911, Products!A:D, 4, FALSE)</f>
        <v>2027</v>
      </c>
      <c r="S911">
        <f t="shared" si="189"/>
        <v>0.50196560196560192</v>
      </c>
    </row>
    <row r="912" spans="1:19" ht="14.25" customHeight="1" x14ac:dyDescent="0.3">
      <c r="A912" s="8" t="s">
        <v>1965</v>
      </c>
      <c r="B912" s="21">
        <v>45633</v>
      </c>
      <c r="C912" s="8" t="s">
        <v>771</v>
      </c>
      <c r="D912" s="8" t="s">
        <v>37</v>
      </c>
      <c r="E912" s="8" t="s">
        <v>185</v>
      </c>
      <c r="F912" s="10">
        <v>4</v>
      </c>
      <c r="G912" s="10">
        <v>3620</v>
      </c>
      <c r="H912" s="10">
        <v>11.7</v>
      </c>
      <c r="I912" s="10">
        <v>12785.84</v>
      </c>
      <c r="J912" s="8" t="s">
        <v>41</v>
      </c>
      <c r="K912" s="8" t="s">
        <v>178</v>
      </c>
      <c r="L912" s="18" t="str">
        <f>VLOOKUP(D912,Products!$A:$C,3,FALSE)</f>
        <v>Apparel</v>
      </c>
      <c r="N912" s="18" t="str">
        <f>VLOOKUP(C912,Customers!$A:$E,5,FALSE)</f>
        <v>Retail</v>
      </c>
      <c r="O912" s="18">
        <f>VLOOKUP(C912,Customers!$A:$C,3,FALSE)</f>
        <v>27</v>
      </c>
      <c r="P912" s="18" t="str">
        <f>VLOOKUP(E911,Sales_Reps!$A:$C,3,FALSE)</f>
        <v>East</v>
      </c>
      <c r="Q912" s="18" t="str">
        <f t="shared" si="188"/>
        <v>Dec-24</v>
      </c>
      <c r="R912">
        <f>VLOOKUP(D912, Products!A:D, 4, FALSE)</f>
        <v>2509</v>
      </c>
      <c r="S912">
        <f t="shared" si="189"/>
        <v>0.3069060773480663</v>
      </c>
    </row>
    <row r="913" spans="1:19" ht="14.25" hidden="1" customHeight="1" x14ac:dyDescent="0.3">
      <c r="A913" s="8" t="s">
        <v>1966</v>
      </c>
      <c r="B913" s="9">
        <v>45430</v>
      </c>
      <c r="C913" s="8" t="s">
        <v>768</v>
      </c>
      <c r="D913" s="8" t="s">
        <v>120</v>
      </c>
      <c r="E913" s="8" t="s">
        <v>143</v>
      </c>
      <c r="F913" s="10">
        <v>3</v>
      </c>
      <c r="G913" s="10">
        <v>3970</v>
      </c>
      <c r="H913" s="10">
        <v>24.7</v>
      </c>
      <c r="I913" s="10">
        <v>8968.23</v>
      </c>
      <c r="J913" s="8" t="s">
        <v>41</v>
      </c>
      <c r="K913" s="8" t="s">
        <v>98</v>
      </c>
      <c r="L913" s="18" t="str">
        <f>VLOOKUP(D913,Products!$A:$C,3,FALSE)</f>
        <v>Electronics</v>
      </c>
      <c r="N913" s="18" t="str">
        <f>VLOOKUP(C913,Customers!$A:$E,5,FALSE)</f>
        <v>SMB</v>
      </c>
      <c r="O913" s="18">
        <f>VLOOKUP(C913,Customers!$A:$C,3,FALSE)</f>
        <v>57</v>
      </c>
    </row>
    <row r="914" spans="1:19" ht="14.25" hidden="1" customHeight="1" x14ac:dyDescent="0.3">
      <c r="A914" s="8" t="s">
        <v>1967</v>
      </c>
      <c r="B914" s="9">
        <v>45355</v>
      </c>
      <c r="C914" s="8" t="s">
        <v>504</v>
      </c>
      <c r="D914" s="8" t="s">
        <v>171</v>
      </c>
      <c r="E914" s="8" t="s">
        <v>172</v>
      </c>
      <c r="F914" s="10">
        <v>4</v>
      </c>
      <c r="G914" s="10">
        <v>970</v>
      </c>
      <c r="H914" s="10">
        <v>0.4</v>
      </c>
      <c r="I914" s="10">
        <v>3864.48</v>
      </c>
      <c r="J914" s="8" t="s">
        <v>41</v>
      </c>
      <c r="K914" s="8" t="s">
        <v>136</v>
      </c>
      <c r="L914" s="18" t="str">
        <f>VLOOKUP(D914,Products!$A:$C,3,FALSE)</f>
        <v>Grocery</v>
      </c>
      <c r="N914" s="18" t="str">
        <f>VLOOKUP(C914,Customers!$A:$E,5,FALSE)</f>
        <v>Corporate</v>
      </c>
      <c r="O914" s="18">
        <f>VLOOKUP(C914,Customers!$A:$C,3,FALSE)</f>
        <v>42</v>
      </c>
    </row>
    <row r="915" spans="1:19" ht="14.25" customHeight="1" x14ac:dyDescent="0.3">
      <c r="A915" s="8" t="s">
        <v>1968</v>
      </c>
      <c r="B915" s="21">
        <v>45379</v>
      </c>
      <c r="C915" s="8" t="s">
        <v>538</v>
      </c>
      <c r="D915" s="8" t="s">
        <v>152</v>
      </c>
      <c r="E915" s="8" t="s">
        <v>208</v>
      </c>
      <c r="F915" s="10">
        <v>2</v>
      </c>
      <c r="G915" s="10">
        <v>960</v>
      </c>
      <c r="H915" s="10">
        <v>1.4</v>
      </c>
      <c r="I915" s="10">
        <v>1893.12</v>
      </c>
      <c r="J915" s="8" t="s">
        <v>41</v>
      </c>
      <c r="K915" s="8" t="s">
        <v>178</v>
      </c>
      <c r="L915" s="18" t="str">
        <f>VLOOKUP(D915,Products!$A:$C,3,FALSE)</f>
        <v>Sports</v>
      </c>
      <c r="N915" s="18" t="str">
        <f>VLOOKUP(C915,Customers!$A:$E,5,FALSE)</f>
        <v>Retail</v>
      </c>
      <c r="O915" s="18">
        <f>VLOOKUP(C915,Customers!$A:$C,3,FALSE)</f>
        <v>29</v>
      </c>
      <c r="P915" s="18" t="str">
        <f>VLOOKUP(E914,Sales_Reps!$A:$C,3,FALSE)</f>
        <v>West</v>
      </c>
      <c r="Q915" s="18" t="str">
        <f>TEXT(B914,"MMM-YY")</f>
        <v>Mar-24</v>
      </c>
      <c r="R915">
        <f>VLOOKUP(D915, Products!A:D, 4, FALSE)</f>
        <v>705</v>
      </c>
      <c r="S915">
        <f>(G915-R915)/G915</f>
        <v>0.265625</v>
      </c>
    </row>
    <row r="916" spans="1:19" ht="14.25" hidden="1" customHeight="1" x14ac:dyDescent="0.3">
      <c r="A916" s="8" t="s">
        <v>1969</v>
      </c>
      <c r="B916" s="9">
        <v>45375</v>
      </c>
      <c r="C916" s="8" t="s">
        <v>218</v>
      </c>
      <c r="D916" s="8" t="s">
        <v>154</v>
      </c>
      <c r="E916" s="8" t="s">
        <v>221</v>
      </c>
      <c r="F916" s="10">
        <v>7</v>
      </c>
      <c r="G916" s="10">
        <v>300</v>
      </c>
      <c r="H916" s="10">
        <v>20.399999999999999</v>
      </c>
      <c r="I916" s="10">
        <v>1671.6</v>
      </c>
      <c r="J916" s="8" t="s">
        <v>41</v>
      </c>
      <c r="K916" s="8" t="s">
        <v>146</v>
      </c>
      <c r="L916" s="18" t="str">
        <f>VLOOKUP(D916,Products!$A:$C,3,FALSE)</f>
        <v>Electronics</v>
      </c>
      <c r="N916" s="18" t="str">
        <f>VLOOKUP(C916,Customers!$A:$E,5,FALSE)</f>
        <v>Retail</v>
      </c>
      <c r="O916" s="18">
        <f>VLOOKUP(C916,Customers!$A:$C,3,FALSE)</f>
        <v>54</v>
      </c>
    </row>
    <row r="917" spans="1:19" ht="14.25" hidden="1" customHeight="1" x14ac:dyDescent="0.3">
      <c r="A917" s="8" t="s">
        <v>1970</v>
      </c>
      <c r="B917" s="9">
        <v>45397</v>
      </c>
      <c r="C917" s="8" t="s">
        <v>296</v>
      </c>
      <c r="D917" s="8" t="s">
        <v>184</v>
      </c>
      <c r="E917" s="8" t="s">
        <v>117</v>
      </c>
      <c r="F917" s="10">
        <v>8</v>
      </c>
      <c r="G917" s="10">
        <v>2600</v>
      </c>
      <c r="H917" s="10">
        <v>2.2000000000000002</v>
      </c>
      <c r="I917" s="10">
        <v>20342.400000000001</v>
      </c>
      <c r="J917" s="8" t="s">
        <v>147</v>
      </c>
      <c r="K917" s="8" t="s">
        <v>178</v>
      </c>
      <c r="L917" s="18" t="str">
        <f>VLOOKUP(D917,Products!$A:$C,3,FALSE)</f>
        <v>Electronics</v>
      </c>
      <c r="N917" s="18" t="str">
        <f>VLOOKUP(C917,Customers!$A:$E,5,FALSE)</f>
        <v>Retail</v>
      </c>
      <c r="O917" s="18">
        <f>VLOOKUP(C917,Customers!$A:$C,3,FALSE)</f>
        <v>46</v>
      </c>
    </row>
    <row r="918" spans="1:19" ht="14.25" hidden="1" customHeight="1" x14ac:dyDescent="0.3">
      <c r="A918" s="8" t="s">
        <v>1971</v>
      </c>
      <c r="B918" s="9">
        <v>45571</v>
      </c>
      <c r="C918" s="8" t="s">
        <v>610</v>
      </c>
      <c r="D918" s="8" t="s">
        <v>144</v>
      </c>
      <c r="E918" s="8" t="s">
        <v>135</v>
      </c>
      <c r="F918" s="10">
        <v>2</v>
      </c>
      <c r="G918" s="10">
        <v>370</v>
      </c>
      <c r="H918" s="10">
        <v>17.7</v>
      </c>
      <c r="I918" s="10">
        <v>609.02</v>
      </c>
      <c r="J918" s="8" t="s">
        <v>41</v>
      </c>
      <c r="K918" s="8" t="s">
        <v>42</v>
      </c>
      <c r="L918" s="18" t="str">
        <f>VLOOKUP(D918,Products!$A:$C,3,FALSE)</f>
        <v>Home</v>
      </c>
      <c r="N918" s="18" t="str">
        <f>VLOOKUP(C918,Customers!$A:$E,5,FALSE)</f>
        <v>Retail</v>
      </c>
      <c r="O918" s="18">
        <f>VLOOKUP(C918,Customers!$A:$C,3,FALSE)</f>
        <v>49</v>
      </c>
    </row>
    <row r="919" spans="1:19" ht="14.25" hidden="1" customHeight="1" x14ac:dyDescent="0.3">
      <c r="A919" s="8" t="s">
        <v>1972</v>
      </c>
      <c r="B919" s="9">
        <v>45455</v>
      </c>
      <c r="C919" s="8" t="s">
        <v>246</v>
      </c>
      <c r="D919" s="8" t="s">
        <v>215</v>
      </c>
      <c r="E919" s="8" t="s">
        <v>376</v>
      </c>
      <c r="F919" s="10">
        <v>4</v>
      </c>
      <c r="G919" s="10">
        <v>3450</v>
      </c>
      <c r="H919" s="10">
        <v>9.8000000000000007</v>
      </c>
      <c r="I919" s="10">
        <v>12447.6</v>
      </c>
      <c r="J919" s="8" t="s">
        <v>147</v>
      </c>
      <c r="K919" s="8" t="s">
        <v>98</v>
      </c>
      <c r="L919" s="18" t="str">
        <f>VLOOKUP(D919,Products!$A:$C,3,FALSE)</f>
        <v>Beauty</v>
      </c>
      <c r="N919" s="18" t="str">
        <f>VLOOKUP(C919,Customers!$A:$E,5,FALSE)</f>
        <v>Corporate</v>
      </c>
      <c r="O919" s="18">
        <f>VLOOKUP(C919,Customers!$A:$C,3,FALSE)</f>
        <v>55</v>
      </c>
    </row>
    <row r="920" spans="1:19" ht="14.25" customHeight="1" x14ac:dyDescent="0.3">
      <c r="A920" s="8" t="s">
        <v>1973</v>
      </c>
      <c r="B920" s="21">
        <v>45486</v>
      </c>
      <c r="C920" s="8" t="s">
        <v>724</v>
      </c>
      <c r="D920" s="8" t="s">
        <v>227</v>
      </c>
      <c r="E920" s="8" t="s">
        <v>321</v>
      </c>
      <c r="F920" s="10">
        <v>1</v>
      </c>
      <c r="G920" s="10">
        <v>2480</v>
      </c>
      <c r="H920" s="10">
        <v>5.8</v>
      </c>
      <c r="I920" s="10">
        <v>2336.16</v>
      </c>
      <c r="J920" s="8" t="s">
        <v>41</v>
      </c>
      <c r="K920" s="8" t="s">
        <v>119</v>
      </c>
      <c r="L920" s="18" t="str">
        <f>VLOOKUP(D920,Products!$A:$C,3,FALSE)</f>
        <v>Apparel</v>
      </c>
      <c r="N920" s="18" t="str">
        <f>VLOOKUP(C920,Customers!$A:$E,5,FALSE)</f>
        <v>SMB</v>
      </c>
      <c r="O920" s="18">
        <f>VLOOKUP(C920,Customers!$A:$C,3,FALSE)</f>
        <v>29</v>
      </c>
      <c r="P920" s="18" t="str">
        <f>VLOOKUP(E919,Sales_Reps!$A:$C,3,FALSE)</f>
        <v>West</v>
      </c>
      <c r="Q920" s="18" t="str">
        <f>TEXT(B919,"MMM-YY")</f>
        <v>Jun-24</v>
      </c>
      <c r="R920">
        <f>VLOOKUP(D920, Products!A:D, 4, FALSE)</f>
        <v>1173</v>
      </c>
      <c r="S920">
        <f>(G920-R920)/G920</f>
        <v>0.52701612903225803</v>
      </c>
    </row>
    <row r="921" spans="1:19" ht="14.25" hidden="1" customHeight="1" x14ac:dyDescent="0.3">
      <c r="A921" s="8" t="s">
        <v>1974</v>
      </c>
      <c r="B921" s="9">
        <v>45329</v>
      </c>
      <c r="C921" s="8" t="s">
        <v>431</v>
      </c>
      <c r="D921" s="8" t="s">
        <v>124</v>
      </c>
      <c r="E921" s="8" t="s">
        <v>158</v>
      </c>
      <c r="F921" s="10">
        <v>5</v>
      </c>
      <c r="G921" s="10">
        <v>3660</v>
      </c>
      <c r="H921" s="10">
        <v>4.7</v>
      </c>
      <c r="I921" s="10">
        <v>17439.900000000001</v>
      </c>
      <c r="J921" s="8" t="s">
        <v>97</v>
      </c>
      <c r="K921" s="8" t="s">
        <v>146</v>
      </c>
      <c r="L921" s="18" t="str">
        <f>VLOOKUP(D921,Products!$A:$C,3,FALSE)</f>
        <v>Grocery</v>
      </c>
      <c r="N921" s="18" t="str">
        <f>VLOOKUP(C921,Customers!$A:$E,5,FALSE)</f>
        <v>Corporate</v>
      </c>
      <c r="O921" s="18">
        <f>VLOOKUP(C921,Customers!$A:$C,3,FALSE)</f>
        <v>60</v>
      </c>
    </row>
    <row r="922" spans="1:19" ht="14.25" customHeight="1" x14ac:dyDescent="0.3">
      <c r="A922" s="8" t="s">
        <v>1975</v>
      </c>
      <c r="B922" s="21">
        <v>45315</v>
      </c>
      <c r="C922" s="8" t="s">
        <v>547</v>
      </c>
      <c r="D922" s="8" t="s">
        <v>242</v>
      </c>
      <c r="E922" s="8" t="s">
        <v>208</v>
      </c>
      <c r="F922" s="10">
        <v>7</v>
      </c>
      <c r="G922" s="10">
        <v>1650</v>
      </c>
      <c r="H922" s="10">
        <v>8.6</v>
      </c>
      <c r="I922" s="10">
        <v>10556.7</v>
      </c>
      <c r="J922" s="8" t="s">
        <v>41</v>
      </c>
      <c r="K922" s="8" t="s">
        <v>98</v>
      </c>
      <c r="L922" s="18" t="str">
        <f>VLOOKUP(D922,Products!$A:$C,3,FALSE)</f>
        <v>Beauty</v>
      </c>
      <c r="N922" s="18" t="str">
        <f>VLOOKUP(C922,Customers!$A:$E,5,FALSE)</f>
        <v>Retail</v>
      </c>
      <c r="O922" s="18">
        <f>VLOOKUP(C922,Customers!$A:$C,3,FALSE)</f>
        <v>26</v>
      </c>
      <c r="P922" s="18" t="str">
        <f>VLOOKUP(E921,Sales_Reps!$A:$C,3,FALSE)</f>
        <v>East</v>
      </c>
      <c r="Q922" s="18" t="str">
        <f>TEXT(B921,"MMM-YY")</f>
        <v>Feb-24</v>
      </c>
      <c r="R922">
        <f>VLOOKUP(D922, Products!A:D, 4, FALSE)</f>
        <v>1222</v>
      </c>
      <c r="S922">
        <f>(G922-R922)/G922</f>
        <v>0.2593939393939394</v>
      </c>
    </row>
    <row r="923" spans="1:19" ht="14.25" hidden="1" customHeight="1" x14ac:dyDescent="0.3">
      <c r="A923" s="8" t="s">
        <v>1976</v>
      </c>
      <c r="B923" s="9">
        <v>45473</v>
      </c>
      <c r="C923" s="8" t="s">
        <v>319</v>
      </c>
      <c r="D923" s="8" t="s">
        <v>199</v>
      </c>
      <c r="E923" s="8" t="s">
        <v>145</v>
      </c>
      <c r="F923" s="10">
        <v>6</v>
      </c>
      <c r="G923" s="10">
        <v>190</v>
      </c>
      <c r="H923" s="10">
        <v>14.6</v>
      </c>
      <c r="I923" s="10">
        <v>973.56</v>
      </c>
      <c r="J923" s="8" t="s">
        <v>41</v>
      </c>
      <c r="K923" s="8" t="s">
        <v>178</v>
      </c>
      <c r="L923" s="18" t="str">
        <f>VLOOKUP(D923,Products!$A:$C,3,FALSE)</f>
        <v>Sports</v>
      </c>
      <c r="N923" s="18" t="str">
        <f>VLOOKUP(C923,Customers!$A:$E,5,FALSE)</f>
        <v>Corporate</v>
      </c>
      <c r="O923" s="18">
        <f>VLOOKUP(C923,Customers!$A:$C,3,FALSE)</f>
        <v>56</v>
      </c>
    </row>
    <row r="924" spans="1:19" ht="14.25" customHeight="1" x14ac:dyDescent="0.3">
      <c r="A924" s="8" t="s">
        <v>1977</v>
      </c>
      <c r="B924" s="21">
        <v>45546</v>
      </c>
      <c r="C924" s="8" t="s">
        <v>195</v>
      </c>
      <c r="D924" s="8" t="s">
        <v>691</v>
      </c>
      <c r="E924" s="8" t="s">
        <v>231</v>
      </c>
      <c r="F924" s="10">
        <v>5</v>
      </c>
      <c r="G924" s="10">
        <v>2270</v>
      </c>
      <c r="H924" s="10">
        <v>5.9</v>
      </c>
      <c r="I924" s="10">
        <v>10680.35</v>
      </c>
      <c r="J924" s="8" t="s">
        <v>41</v>
      </c>
      <c r="K924" s="8" t="s">
        <v>42</v>
      </c>
      <c r="L924" s="18" t="str">
        <f>VLOOKUP(D924,Products!$A:$C,3,FALSE)</f>
        <v>Grocery</v>
      </c>
      <c r="N924" s="18" t="str">
        <f>VLOOKUP(C924,Customers!$A:$E,5,FALSE)</f>
        <v>Corporate</v>
      </c>
      <c r="O924" s="18">
        <f>VLOOKUP(C924,Customers!$A:$C,3,FALSE)</f>
        <v>40</v>
      </c>
      <c r="P924" s="18" t="str">
        <f>VLOOKUP(E923,Sales_Reps!$A:$C,3,FALSE)</f>
        <v>West</v>
      </c>
      <c r="Q924" s="18" t="str">
        <f>TEXT(B923,"MMM-YY")</f>
        <v>Jun-24</v>
      </c>
      <c r="R924">
        <f>VLOOKUP(D924, Products!A:D, 4, FALSE)</f>
        <v>1412</v>
      </c>
      <c r="S924">
        <f>(G924-R924)/G924</f>
        <v>0.37797356828193834</v>
      </c>
    </row>
    <row r="925" spans="1:19" ht="14.25" hidden="1" customHeight="1" x14ac:dyDescent="0.3">
      <c r="A925" s="8" t="s">
        <v>1978</v>
      </c>
      <c r="B925" s="9">
        <v>45625</v>
      </c>
      <c r="C925" s="8" t="s">
        <v>761</v>
      </c>
      <c r="D925" s="8" t="s">
        <v>176</v>
      </c>
      <c r="E925" s="8" t="s">
        <v>865</v>
      </c>
      <c r="F925" s="10">
        <v>1</v>
      </c>
      <c r="G925" s="10">
        <v>2270</v>
      </c>
      <c r="H925" s="10">
        <v>14.9</v>
      </c>
      <c r="I925" s="10">
        <v>1931.77</v>
      </c>
      <c r="J925" s="8" t="s">
        <v>41</v>
      </c>
      <c r="K925" s="8" t="s">
        <v>136</v>
      </c>
      <c r="L925" s="18" t="str">
        <f>VLOOKUP(D925,Products!$A:$C,3,FALSE)</f>
        <v>Grocery</v>
      </c>
      <c r="N925" s="18" t="str">
        <f>VLOOKUP(C925,Customers!$A:$E,5,FALSE)</f>
        <v>Retail</v>
      </c>
      <c r="O925" s="18">
        <f>VLOOKUP(C925,Customers!$A:$C,3,FALSE)</f>
        <v>61</v>
      </c>
    </row>
    <row r="926" spans="1:19" ht="14.25" hidden="1" customHeight="1" x14ac:dyDescent="0.3">
      <c r="A926" s="8" t="s">
        <v>1979</v>
      </c>
      <c r="B926" s="9">
        <v>45579</v>
      </c>
      <c r="C926" s="8" t="s">
        <v>796</v>
      </c>
      <c r="D926" s="8" t="s">
        <v>889</v>
      </c>
      <c r="E926" s="8" t="s">
        <v>167</v>
      </c>
      <c r="F926" s="10">
        <v>4</v>
      </c>
      <c r="G926" s="10">
        <v>3450</v>
      </c>
      <c r="H926" s="10">
        <v>11.7</v>
      </c>
      <c r="I926" s="10">
        <v>12185.4</v>
      </c>
      <c r="J926" s="8" t="s">
        <v>147</v>
      </c>
      <c r="K926" s="8" t="s">
        <v>146</v>
      </c>
      <c r="L926" s="18" t="str">
        <f>VLOOKUP(D926,Products!$A:$C,3,FALSE)</f>
        <v>Apparel</v>
      </c>
      <c r="N926" s="18" t="str">
        <f>VLOOKUP(C926,Customers!$A:$E,5,FALSE)</f>
        <v>Retail</v>
      </c>
      <c r="O926" s="18">
        <f>VLOOKUP(C926,Customers!$A:$C,3,FALSE)</f>
        <v>52</v>
      </c>
    </row>
    <row r="927" spans="1:19" ht="14.25" hidden="1" customHeight="1" x14ac:dyDescent="0.3">
      <c r="A927" s="8" t="s">
        <v>1980</v>
      </c>
      <c r="B927" s="9">
        <v>45323</v>
      </c>
      <c r="C927" s="8" t="s">
        <v>776</v>
      </c>
      <c r="D927" s="8" t="s">
        <v>867</v>
      </c>
      <c r="E927" s="8" t="s">
        <v>172</v>
      </c>
      <c r="F927" s="10">
        <v>7</v>
      </c>
      <c r="G927" s="10">
        <v>3020</v>
      </c>
      <c r="H927" s="10">
        <v>18.8</v>
      </c>
      <c r="I927" s="10">
        <v>17165.68</v>
      </c>
      <c r="J927" s="8" t="s">
        <v>41</v>
      </c>
      <c r="K927" s="8" t="s">
        <v>146</v>
      </c>
      <c r="L927" s="18" t="str">
        <f>VLOOKUP(D927,Products!$A:$C,3,FALSE)</f>
        <v>Beauty</v>
      </c>
      <c r="N927" s="18" t="str">
        <f>VLOOKUP(C927,Customers!$A:$E,5,FALSE)</f>
        <v>Retail</v>
      </c>
      <c r="O927" s="18">
        <f>VLOOKUP(C927,Customers!$A:$C,3,FALSE)</f>
        <v>44</v>
      </c>
    </row>
    <row r="928" spans="1:19" ht="14.25" hidden="1" customHeight="1" x14ac:dyDescent="0.3">
      <c r="A928" s="8" t="s">
        <v>1981</v>
      </c>
      <c r="B928" s="9">
        <v>45613</v>
      </c>
      <c r="C928" s="8" t="s">
        <v>268</v>
      </c>
      <c r="D928" s="8" t="s">
        <v>924</v>
      </c>
      <c r="E928" s="8" t="s">
        <v>221</v>
      </c>
      <c r="F928" s="10">
        <v>4</v>
      </c>
      <c r="G928" s="10">
        <v>2030</v>
      </c>
      <c r="H928" s="10">
        <v>25.7</v>
      </c>
      <c r="I928" s="10">
        <v>6033.16</v>
      </c>
      <c r="J928" s="8" t="s">
        <v>41</v>
      </c>
      <c r="K928" s="8" t="s">
        <v>136</v>
      </c>
      <c r="L928" s="18" t="str">
        <f>VLOOKUP(D928,Products!$A:$C,3,FALSE)</f>
        <v>Home</v>
      </c>
      <c r="N928" s="18" t="str">
        <f>VLOOKUP(C928,Customers!$A:$E,5,FALSE)</f>
        <v>Retail</v>
      </c>
      <c r="O928" s="18">
        <f>VLOOKUP(C928,Customers!$A:$C,3,FALSE)</f>
        <v>47</v>
      </c>
    </row>
    <row r="929" spans="1:19" ht="14.25" customHeight="1" x14ac:dyDescent="0.3">
      <c r="A929" s="8" t="s">
        <v>1982</v>
      </c>
      <c r="B929" s="21">
        <v>45362</v>
      </c>
      <c r="C929" s="8" t="s">
        <v>605</v>
      </c>
      <c r="D929" s="8" t="s">
        <v>889</v>
      </c>
      <c r="E929" s="8" t="s">
        <v>117</v>
      </c>
      <c r="F929" s="10">
        <v>4</v>
      </c>
      <c r="G929" s="10">
        <v>3450</v>
      </c>
      <c r="H929" s="10">
        <v>3.9</v>
      </c>
      <c r="I929" s="10">
        <v>13261.8</v>
      </c>
      <c r="J929" s="8" t="s">
        <v>41</v>
      </c>
      <c r="K929" s="8" t="s">
        <v>98</v>
      </c>
      <c r="L929" s="18" t="str">
        <f>VLOOKUP(D929,Products!$A:$C,3,FALSE)</f>
        <v>Apparel</v>
      </c>
      <c r="N929" s="18" t="str">
        <f>VLOOKUP(C929,Customers!$A:$E,5,FALSE)</f>
        <v>Retail</v>
      </c>
      <c r="O929" s="18">
        <f>VLOOKUP(C929,Customers!$A:$C,3,FALSE)</f>
        <v>38</v>
      </c>
      <c r="P929" s="18" t="str">
        <f>VLOOKUP(E928,Sales_Reps!$A:$C,3,FALSE)</f>
        <v>South</v>
      </c>
      <c r="Q929" s="18" t="str">
        <f>TEXT(B928,"MMM-YY")</f>
        <v>Nov-24</v>
      </c>
      <c r="R929">
        <f>VLOOKUP(D929, Products!A:D, 4, FALSE)</f>
        <v>1748</v>
      </c>
      <c r="S929">
        <f>(G929-R929)/G929</f>
        <v>0.49333333333333335</v>
      </c>
    </row>
    <row r="930" spans="1:19" ht="14.25" hidden="1" customHeight="1" x14ac:dyDescent="0.3">
      <c r="A930" s="8" t="s">
        <v>1983</v>
      </c>
      <c r="B930" s="9">
        <v>45347</v>
      </c>
      <c r="C930" s="8" t="s">
        <v>776</v>
      </c>
      <c r="D930" s="8" t="s">
        <v>949</v>
      </c>
      <c r="E930" s="8" t="s">
        <v>172</v>
      </c>
      <c r="F930" s="10">
        <v>5</v>
      </c>
      <c r="G930" s="10">
        <v>960</v>
      </c>
      <c r="H930" s="10">
        <v>8</v>
      </c>
      <c r="I930" s="10">
        <v>4416</v>
      </c>
      <c r="J930" s="8" t="s">
        <v>41</v>
      </c>
      <c r="K930" s="8" t="s">
        <v>146</v>
      </c>
      <c r="L930" s="18" t="str">
        <f>VLOOKUP(D930,Products!$A:$C,3,FALSE)</f>
        <v>Beauty</v>
      </c>
      <c r="N930" s="18" t="str">
        <f>VLOOKUP(C930,Customers!$A:$E,5,FALSE)</f>
        <v>Retail</v>
      </c>
      <c r="O930" s="18">
        <f>VLOOKUP(C930,Customers!$A:$C,3,FALSE)</f>
        <v>44</v>
      </c>
    </row>
    <row r="931" spans="1:19" ht="14.25" hidden="1" customHeight="1" x14ac:dyDescent="0.3">
      <c r="A931" s="8" t="s">
        <v>1984</v>
      </c>
      <c r="B931" s="9">
        <v>45550</v>
      </c>
      <c r="C931" s="8" t="s">
        <v>115</v>
      </c>
      <c r="D931" s="8" t="s">
        <v>120</v>
      </c>
      <c r="E931" s="8" t="s">
        <v>231</v>
      </c>
      <c r="F931" s="10">
        <v>7</v>
      </c>
      <c r="G931" s="10">
        <v>3970</v>
      </c>
      <c r="H931" s="10">
        <v>11.7</v>
      </c>
      <c r="I931" s="10">
        <v>24538.57</v>
      </c>
      <c r="J931" s="8" t="s">
        <v>41</v>
      </c>
      <c r="K931" s="8" t="s">
        <v>119</v>
      </c>
      <c r="L931" s="18" t="str">
        <f>VLOOKUP(D931,Products!$A:$C,3,FALSE)</f>
        <v>Electronics</v>
      </c>
      <c r="N931" s="18" t="str">
        <f>VLOOKUP(C931,Customers!$A:$E,5,FALSE)</f>
        <v>Retail</v>
      </c>
      <c r="O931" s="18">
        <f>VLOOKUP(C931,Customers!$A:$C,3,FALSE)</f>
        <v>52</v>
      </c>
    </row>
    <row r="932" spans="1:19" ht="14.25" hidden="1" customHeight="1" x14ac:dyDescent="0.3">
      <c r="A932" s="8" t="s">
        <v>1985</v>
      </c>
      <c r="B932" s="9">
        <v>45554</v>
      </c>
      <c r="C932" s="8" t="s">
        <v>683</v>
      </c>
      <c r="D932" s="8" t="s">
        <v>954</v>
      </c>
      <c r="E932" s="8" t="s">
        <v>376</v>
      </c>
      <c r="F932" s="10">
        <v>3</v>
      </c>
      <c r="G932" s="10">
        <v>5410</v>
      </c>
      <c r="H932" s="10">
        <v>10</v>
      </c>
      <c r="I932" s="10">
        <v>14607</v>
      </c>
      <c r="J932" s="8" t="s">
        <v>41</v>
      </c>
      <c r="K932" s="8" t="s">
        <v>178</v>
      </c>
      <c r="L932" s="18" t="str">
        <f>VLOOKUP(D932,Products!$A:$C,3,FALSE)</f>
        <v>Sports</v>
      </c>
      <c r="N932" s="18" t="str">
        <f>VLOOKUP(C932,Customers!$A:$E,5,FALSE)</f>
        <v>Corporate</v>
      </c>
      <c r="O932" s="18">
        <f>VLOOKUP(C932,Customers!$A:$C,3,FALSE)</f>
        <v>46</v>
      </c>
    </row>
    <row r="933" spans="1:19" ht="14.25" customHeight="1" x14ac:dyDescent="0.3">
      <c r="A933" s="8" t="s">
        <v>1986</v>
      </c>
      <c r="B933" s="21">
        <v>45428</v>
      </c>
      <c r="C933" s="8" t="s">
        <v>734</v>
      </c>
      <c r="D933" s="8" t="s">
        <v>211</v>
      </c>
      <c r="E933" s="8" t="s">
        <v>38</v>
      </c>
      <c r="F933" s="10">
        <v>8</v>
      </c>
      <c r="G933" s="10">
        <v>3570</v>
      </c>
      <c r="H933" s="10">
        <v>8.5</v>
      </c>
      <c r="I933" s="10">
        <v>26132.400000000001</v>
      </c>
      <c r="J933" s="8" t="s">
        <v>41</v>
      </c>
      <c r="K933" s="8" t="s">
        <v>42</v>
      </c>
      <c r="L933" s="18" t="str">
        <f>VLOOKUP(D933,Products!$A:$C,3,FALSE)</f>
        <v>Electronics</v>
      </c>
      <c r="N933" s="18" t="str">
        <f>VLOOKUP(C933,Customers!$A:$E,5,FALSE)</f>
        <v>Corporate</v>
      </c>
      <c r="O933" s="18">
        <f>VLOOKUP(C933,Customers!$A:$C,3,FALSE)</f>
        <v>37</v>
      </c>
      <c r="P933" s="18" t="str">
        <f>VLOOKUP(E932,Sales_Reps!$A:$C,3,FALSE)</f>
        <v>West</v>
      </c>
      <c r="Q933" s="18" t="str">
        <f>TEXT(B932,"MMM-YY")</f>
        <v>Sep-24</v>
      </c>
      <c r="R933">
        <f>VLOOKUP(D933, Products!A:D, 4, FALSE)</f>
        <v>1665</v>
      </c>
      <c r="S933">
        <f>(G933-R933)/G933</f>
        <v>0.53361344537815125</v>
      </c>
    </row>
    <row r="934" spans="1:19" ht="14.25" hidden="1" customHeight="1" x14ac:dyDescent="0.3">
      <c r="A934" s="8" t="s">
        <v>1987</v>
      </c>
      <c r="B934" s="9">
        <v>45517</v>
      </c>
      <c r="C934" s="8" t="s">
        <v>463</v>
      </c>
      <c r="D934" s="8" t="s">
        <v>184</v>
      </c>
      <c r="E934" s="8" t="s">
        <v>117</v>
      </c>
      <c r="F934" s="10">
        <v>7</v>
      </c>
      <c r="G934" s="10">
        <v>2600</v>
      </c>
      <c r="H934" s="10">
        <v>27.1</v>
      </c>
      <c r="I934" s="10">
        <v>13267.8</v>
      </c>
      <c r="J934" s="8" t="s">
        <v>41</v>
      </c>
      <c r="K934" s="8" t="s">
        <v>146</v>
      </c>
      <c r="L934" s="18" t="str">
        <f>VLOOKUP(D934,Products!$A:$C,3,FALSE)</f>
        <v>Electronics</v>
      </c>
      <c r="N934" s="18" t="str">
        <f>VLOOKUP(C934,Customers!$A:$E,5,FALSE)</f>
        <v>SMB</v>
      </c>
      <c r="O934" s="18">
        <f>VLOOKUP(C934,Customers!$A:$C,3,FALSE)</f>
        <v>54</v>
      </c>
    </row>
    <row r="935" spans="1:19" ht="14.25" hidden="1" customHeight="1" x14ac:dyDescent="0.3">
      <c r="A935" s="8" t="s">
        <v>1988</v>
      </c>
      <c r="B935" s="9">
        <v>45442</v>
      </c>
      <c r="C935" s="8" t="s">
        <v>633</v>
      </c>
      <c r="D935" s="8" t="s">
        <v>116</v>
      </c>
      <c r="E935" s="8" t="s">
        <v>376</v>
      </c>
      <c r="F935" s="10">
        <v>6</v>
      </c>
      <c r="G935" s="10">
        <v>470</v>
      </c>
      <c r="H935" s="10">
        <v>2.4</v>
      </c>
      <c r="I935" s="10">
        <v>2752.32</v>
      </c>
      <c r="J935" s="8" t="s">
        <v>97</v>
      </c>
      <c r="K935" s="8" t="s">
        <v>119</v>
      </c>
      <c r="L935" s="18" t="str">
        <f>VLOOKUP(D935,Products!$A:$C,3,FALSE)</f>
        <v>Sports</v>
      </c>
      <c r="N935" s="18" t="str">
        <f>VLOOKUP(C935,Customers!$A:$E,5,FALSE)</f>
        <v>Corporate</v>
      </c>
      <c r="O935" s="18">
        <f>VLOOKUP(C935,Customers!$A:$C,3,FALSE)</f>
        <v>55</v>
      </c>
    </row>
    <row r="936" spans="1:19" ht="14.25" customHeight="1" x14ac:dyDescent="0.3">
      <c r="A936" s="8" t="s">
        <v>1989</v>
      </c>
      <c r="B936" s="21">
        <v>45371</v>
      </c>
      <c r="C936" s="8" t="s">
        <v>812</v>
      </c>
      <c r="D936" s="8" t="s">
        <v>116</v>
      </c>
      <c r="E936" s="8" t="s">
        <v>145</v>
      </c>
      <c r="F936" s="10">
        <v>3</v>
      </c>
      <c r="G936" s="10">
        <v>470</v>
      </c>
      <c r="H936" s="10">
        <v>6.3</v>
      </c>
      <c r="I936" s="10">
        <v>1321.17</v>
      </c>
      <c r="J936" s="8" t="s">
        <v>41</v>
      </c>
      <c r="K936" s="8" t="s">
        <v>136</v>
      </c>
      <c r="L936" s="18" t="str">
        <f>VLOOKUP(D936,Products!$A:$C,3,FALSE)</f>
        <v>Sports</v>
      </c>
      <c r="N936" s="18" t="str">
        <f>VLOOKUP(C936,Customers!$A:$E,5,FALSE)</f>
        <v>Retail</v>
      </c>
      <c r="O936" s="18">
        <f>VLOOKUP(C936,Customers!$A:$C,3,FALSE)</f>
        <v>29</v>
      </c>
      <c r="P936" s="18" t="str">
        <f>VLOOKUP(E935,Sales_Reps!$A:$C,3,FALSE)</f>
        <v>West</v>
      </c>
      <c r="Q936" s="18" t="str">
        <f>TEXT(B935,"MMM-YY")</f>
        <v>May-24</v>
      </c>
      <c r="R936">
        <f>VLOOKUP(D936, Products!A:D, 4, FALSE)</f>
        <v>302</v>
      </c>
      <c r="S936">
        <f>(G936-R936)/G936</f>
        <v>0.35744680851063831</v>
      </c>
    </row>
    <row r="937" spans="1:19" ht="14.25" hidden="1" customHeight="1" x14ac:dyDescent="0.3">
      <c r="A937" s="8" t="s">
        <v>1990</v>
      </c>
      <c r="B937" s="9">
        <v>45540</v>
      </c>
      <c r="C937" s="8" t="s">
        <v>483</v>
      </c>
      <c r="D937" s="8" t="s">
        <v>964</v>
      </c>
      <c r="E937" s="8" t="s">
        <v>185</v>
      </c>
      <c r="F937" s="10">
        <v>3</v>
      </c>
      <c r="G937" s="10">
        <v>3780</v>
      </c>
      <c r="H937" s="10">
        <v>19.399999999999999</v>
      </c>
      <c r="I937" s="10">
        <v>9140.0400000000009</v>
      </c>
      <c r="J937" s="8" t="s">
        <v>97</v>
      </c>
      <c r="K937" s="8" t="s">
        <v>98</v>
      </c>
      <c r="L937" s="18" t="str">
        <f>VLOOKUP(D937,Products!$A:$C,3,FALSE)</f>
        <v>Sports</v>
      </c>
      <c r="N937" s="18" t="str">
        <f>VLOOKUP(C937,Customers!$A:$E,5,FALSE)</f>
        <v>SMB</v>
      </c>
      <c r="O937" s="18">
        <f>VLOOKUP(C937,Customers!$A:$C,3,FALSE)</f>
        <v>51</v>
      </c>
    </row>
    <row r="938" spans="1:19" ht="14.25" hidden="1" customHeight="1" x14ac:dyDescent="0.3">
      <c r="A938" s="8" t="s">
        <v>1991</v>
      </c>
      <c r="B938" s="9">
        <v>45392</v>
      </c>
      <c r="C938" s="8" t="s">
        <v>170</v>
      </c>
      <c r="D938" s="8" t="s">
        <v>959</v>
      </c>
      <c r="E938" s="8" t="s">
        <v>158</v>
      </c>
      <c r="F938" s="10">
        <v>5</v>
      </c>
      <c r="G938" s="10">
        <v>6940</v>
      </c>
      <c r="H938" s="10">
        <v>12.6</v>
      </c>
      <c r="I938" s="10">
        <v>30327.8</v>
      </c>
      <c r="J938" s="8" t="s">
        <v>41</v>
      </c>
      <c r="K938" s="8" t="s">
        <v>42</v>
      </c>
      <c r="L938" s="18" t="str">
        <f>VLOOKUP(D938,Products!$A:$C,3,FALSE)</f>
        <v>Sports</v>
      </c>
      <c r="N938" s="18" t="str">
        <f>VLOOKUP(C938,Customers!$A:$E,5,FALSE)</f>
        <v>Retail</v>
      </c>
      <c r="O938" s="18">
        <f>VLOOKUP(C938,Customers!$A:$C,3,FALSE)</f>
        <v>56</v>
      </c>
    </row>
    <row r="939" spans="1:19" ht="14.25" customHeight="1" x14ac:dyDescent="0.3">
      <c r="A939" s="8" t="s">
        <v>1992</v>
      </c>
      <c r="B939" s="21">
        <v>45386</v>
      </c>
      <c r="C939" s="8" t="s">
        <v>487</v>
      </c>
      <c r="D939" s="8" t="s">
        <v>188</v>
      </c>
      <c r="E939" s="8" t="s">
        <v>143</v>
      </c>
      <c r="F939" s="10">
        <v>2</v>
      </c>
      <c r="G939" s="10">
        <v>3870</v>
      </c>
      <c r="H939" s="10">
        <v>10.5</v>
      </c>
      <c r="I939" s="10">
        <v>6927.3</v>
      </c>
      <c r="J939" s="8" t="s">
        <v>41</v>
      </c>
      <c r="K939" s="8" t="s">
        <v>42</v>
      </c>
      <c r="L939" s="18" t="str">
        <f>VLOOKUP(D939,Products!$A:$C,3,FALSE)</f>
        <v>Electronics</v>
      </c>
      <c r="N939" s="18" t="str">
        <f>VLOOKUP(C939,Customers!$A:$E,5,FALSE)</f>
        <v>Retail</v>
      </c>
      <c r="O939" s="18">
        <f>VLOOKUP(C939,Customers!$A:$C,3,FALSE)</f>
        <v>22</v>
      </c>
      <c r="P939" s="18" t="str">
        <f>VLOOKUP(E938,Sales_Reps!$A:$C,3,FALSE)</f>
        <v>East</v>
      </c>
      <c r="Q939" s="18" t="str">
        <f>TEXT(B938,"MMM-YY")</f>
        <v>Apr-24</v>
      </c>
      <c r="R939">
        <f>VLOOKUP(D939, Products!A:D, 4, FALSE)</f>
        <v>1559</v>
      </c>
      <c r="S939">
        <f>(G939-R939)/G939</f>
        <v>0.59715762273901807</v>
      </c>
    </row>
    <row r="940" spans="1:19" ht="14.25" hidden="1" customHeight="1" x14ac:dyDescent="0.3">
      <c r="A940" s="8" t="s">
        <v>1993</v>
      </c>
      <c r="B940" s="9">
        <v>45516</v>
      </c>
      <c r="C940" s="8" t="s">
        <v>541</v>
      </c>
      <c r="D940" s="8" t="s">
        <v>954</v>
      </c>
      <c r="E940" s="8" t="s">
        <v>117</v>
      </c>
      <c r="F940" s="10">
        <v>8</v>
      </c>
      <c r="G940" s="10">
        <v>5410</v>
      </c>
      <c r="H940" s="10">
        <v>28.4</v>
      </c>
      <c r="I940" s="10">
        <v>30988.48</v>
      </c>
      <c r="J940" s="8" t="s">
        <v>97</v>
      </c>
      <c r="K940" s="8" t="s">
        <v>136</v>
      </c>
      <c r="L940" s="18" t="str">
        <f>VLOOKUP(D940,Products!$A:$C,3,FALSE)</f>
        <v>Sports</v>
      </c>
      <c r="N940" s="18" t="str">
        <f>VLOOKUP(C940,Customers!$A:$E,5,FALSE)</f>
        <v>Corporate</v>
      </c>
      <c r="O940" s="18">
        <f>VLOOKUP(C940,Customers!$A:$C,3,FALSE)</f>
        <v>41</v>
      </c>
    </row>
    <row r="941" spans="1:19" ht="14.25" hidden="1" customHeight="1" x14ac:dyDescent="0.3">
      <c r="A941" s="8" t="s">
        <v>1994</v>
      </c>
      <c r="B941" s="9">
        <v>45618</v>
      </c>
      <c r="C941" s="8" t="s">
        <v>357</v>
      </c>
      <c r="D941" s="8" t="s">
        <v>120</v>
      </c>
      <c r="E941" s="8" t="s">
        <v>143</v>
      </c>
      <c r="F941" s="10">
        <v>7</v>
      </c>
      <c r="G941" s="10">
        <v>3970</v>
      </c>
      <c r="H941" s="10">
        <v>12.3</v>
      </c>
      <c r="I941" s="10">
        <v>24371.83</v>
      </c>
      <c r="J941" s="8" t="s">
        <v>41</v>
      </c>
      <c r="K941" s="8" t="s">
        <v>42</v>
      </c>
      <c r="L941" s="18" t="str">
        <f>VLOOKUP(D941,Products!$A:$C,3,FALSE)</f>
        <v>Electronics</v>
      </c>
      <c r="N941" s="18" t="str">
        <f>VLOOKUP(C941,Customers!$A:$E,5,FALSE)</f>
        <v>Corporate</v>
      </c>
      <c r="O941" s="18">
        <f>VLOOKUP(C941,Customers!$A:$C,3,FALSE)</f>
        <v>47</v>
      </c>
    </row>
    <row r="942" spans="1:19" ht="14.25" hidden="1" customHeight="1" x14ac:dyDescent="0.3">
      <c r="A942" s="8" t="s">
        <v>1995</v>
      </c>
      <c r="B942" s="9">
        <v>45610</v>
      </c>
      <c r="C942" s="8" t="s">
        <v>584</v>
      </c>
      <c r="D942" s="8" t="s">
        <v>959</v>
      </c>
      <c r="E942" s="8" t="s">
        <v>231</v>
      </c>
      <c r="F942" s="10">
        <v>5</v>
      </c>
      <c r="G942" s="10">
        <v>6940</v>
      </c>
      <c r="H942" s="10">
        <v>1.5</v>
      </c>
      <c r="I942" s="10">
        <v>34179.5</v>
      </c>
      <c r="J942" s="8" t="s">
        <v>41</v>
      </c>
      <c r="K942" s="8" t="s">
        <v>146</v>
      </c>
      <c r="L942" s="18" t="str">
        <f>VLOOKUP(D942,Products!$A:$C,3,FALSE)</f>
        <v>Sports</v>
      </c>
      <c r="N942" s="18" t="str">
        <f>VLOOKUP(C942,Customers!$A:$E,5,FALSE)</f>
        <v>Retail</v>
      </c>
      <c r="O942" s="18">
        <f>VLOOKUP(C942,Customers!$A:$C,3,FALSE)</f>
        <v>53</v>
      </c>
    </row>
    <row r="943" spans="1:19" ht="14.25" hidden="1" customHeight="1" x14ac:dyDescent="0.3">
      <c r="A943" s="8" t="s">
        <v>1996</v>
      </c>
      <c r="B943" s="9">
        <v>45541</v>
      </c>
      <c r="C943" s="8" t="s">
        <v>302</v>
      </c>
      <c r="D943" s="8" t="s">
        <v>134</v>
      </c>
      <c r="E943" s="8" t="s">
        <v>125</v>
      </c>
      <c r="F943" s="10">
        <v>7</v>
      </c>
      <c r="G943" s="10">
        <v>3160</v>
      </c>
      <c r="H943" s="10">
        <v>2.4</v>
      </c>
      <c r="I943" s="10">
        <v>21589.119999999999</v>
      </c>
      <c r="J943" s="8" t="s">
        <v>193</v>
      </c>
      <c r="K943" s="8" t="s">
        <v>136</v>
      </c>
      <c r="L943" s="18" t="str">
        <f>VLOOKUP(D943,Products!$A:$C,3,FALSE)</f>
        <v>Apparel</v>
      </c>
      <c r="N943" s="18" t="str">
        <f>VLOOKUP(C943,Customers!$A:$E,5,FALSE)</f>
        <v>Corporate</v>
      </c>
      <c r="O943" s="18">
        <f>VLOOKUP(C943,Customers!$A:$C,3,FALSE)</f>
        <v>55</v>
      </c>
    </row>
    <row r="944" spans="1:19" ht="14.25" hidden="1" customHeight="1" x14ac:dyDescent="0.3">
      <c r="A944" s="8" t="s">
        <v>1997</v>
      </c>
      <c r="B944" s="9">
        <v>45497</v>
      </c>
      <c r="C944" s="8" t="s">
        <v>324</v>
      </c>
      <c r="D944" s="8" t="s">
        <v>95</v>
      </c>
      <c r="E944" s="8" t="s">
        <v>153</v>
      </c>
      <c r="F944" s="10">
        <v>2</v>
      </c>
      <c r="G944" s="10">
        <v>820</v>
      </c>
      <c r="H944" s="10">
        <v>8.1</v>
      </c>
      <c r="I944" s="10">
        <v>1507.16</v>
      </c>
      <c r="J944" s="8" t="s">
        <v>41</v>
      </c>
      <c r="K944" s="8" t="s">
        <v>136</v>
      </c>
      <c r="L944" s="18" t="str">
        <f>VLOOKUP(D944,Products!$A:$C,3,FALSE)</f>
        <v>Apparel</v>
      </c>
      <c r="N944" s="18" t="str">
        <f>VLOOKUP(C944,Customers!$A:$E,5,FALSE)</f>
        <v>Corporate</v>
      </c>
      <c r="O944" s="18">
        <f>VLOOKUP(C944,Customers!$A:$C,3,FALSE)</f>
        <v>43</v>
      </c>
    </row>
    <row r="945" spans="1:19" ht="14.25" customHeight="1" x14ac:dyDescent="0.3">
      <c r="A945" s="8" t="s">
        <v>1998</v>
      </c>
      <c r="B945" s="21">
        <v>45567</v>
      </c>
      <c r="C945" s="8" t="s">
        <v>635</v>
      </c>
      <c r="D945" s="8" t="s">
        <v>789</v>
      </c>
      <c r="E945" s="8" t="s">
        <v>143</v>
      </c>
      <c r="F945" s="10">
        <v>2</v>
      </c>
      <c r="G945" s="10">
        <v>1540</v>
      </c>
      <c r="H945" s="10">
        <v>17.7</v>
      </c>
      <c r="I945" s="10">
        <v>2534.84</v>
      </c>
      <c r="J945" s="8" t="s">
        <v>41</v>
      </c>
      <c r="K945" s="8" t="s">
        <v>136</v>
      </c>
      <c r="L945" s="18" t="str">
        <f>VLOOKUP(D945,Products!$A:$C,3,FALSE)</f>
        <v>Beauty</v>
      </c>
      <c r="N945" s="18" t="str">
        <f>VLOOKUP(C945,Customers!$A:$E,5,FALSE)</f>
        <v>SMB</v>
      </c>
      <c r="O945" s="18">
        <f>VLOOKUP(C945,Customers!$A:$C,3,FALSE)</f>
        <v>34</v>
      </c>
      <c r="P945" s="18" t="str">
        <f>VLOOKUP(E944,Sales_Reps!$A:$C,3,FALSE)</f>
        <v>West</v>
      </c>
      <c r="Q945" s="18" t="str">
        <f t="shared" ref="Q945:Q946" si="190">TEXT(B944,"MMM-YY")</f>
        <v>Jul-24</v>
      </c>
      <c r="R945">
        <f>VLOOKUP(D945, Products!A:D, 4, FALSE)</f>
        <v>647</v>
      </c>
      <c r="S945">
        <f t="shared" ref="S945:S946" si="191">(G945-R945)/G945</f>
        <v>0.57987012987012987</v>
      </c>
    </row>
    <row r="946" spans="1:19" ht="14.25" customHeight="1" x14ac:dyDescent="0.3">
      <c r="A946" s="8" t="s">
        <v>1999</v>
      </c>
      <c r="B946" s="21">
        <v>45451</v>
      </c>
      <c r="C946" s="8" t="s">
        <v>812</v>
      </c>
      <c r="D946" s="8" t="s">
        <v>188</v>
      </c>
      <c r="E946" s="8" t="s">
        <v>231</v>
      </c>
      <c r="F946" s="10">
        <v>10</v>
      </c>
      <c r="G946" s="10">
        <v>3870</v>
      </c>
      <c r="H946" s="10">
        <v>12.2</v>
      </c>
      <c r="I946" s="10">
        <v>33978.6</v>
      </c>
      <c r="J946" s="8" t="s">
        <v>193</v>
      </c>
      <c r="K946" s="8" t="s">
        <v>136</v>
      </c>
      <c r="L946" s="18" t="str">
        <f>VLOOKUP(D946,Products!$A:$C,3,FALSE)</f>
        <v>Electronics</v>
      </c>
      <c r="N946" s="18" t="str">
        <f>VLOOKUP(C946,Customers!$A:$E,5,FALSE)</f>
        <v>Retail</v>
      </c>
      <c r="O946" s="18">
        <f>VLOOKUP(C946,Customers!$A:$C,3,FALSE)</f>
        <v>29</v>
      </c>
      <c r="P946" s="18" t="str">
        <f>VLOOKUP(E945,Sales_Reps!$A:$C,3,FALSE)</f>
        <v>West</v>
      </c>
      <c r="Q946" s="18" t="str">
        <f t="shared" si="190"/>
        <v>Oct-24</v>
      </c>
      <c r="R946">
        <f>VLOOKUP(D946, Products!A:D, 4, FALSE)</f>
        <v>1559</v>
      </c>
      <c r="S946">
        <f t="shared" si="191"/>
        <v>0.59715762273901807</v>
      </c>
    </row>
    <row r="947" spans="1:19" ht="14.25" hidden="1" customHeight="1" x14ac:dyDescent="0.3">
      <c r="A947" s="8" t="s">
        <v>2000</v>
      </c>
      <c r="B947" s="9">
        <v>45488</v>
      </c>
      <c r="C947" s="8" t="s">
        <v>713</v>
      </c>
      <c r="D947" s="8" t="s">
        <v>131</v>
      </c>
      <c r="E947" s="8" t="s">
        <v>261</v>
      </c>
      <c r="F947" s="10">
        <v>7</v>
      </c>
      <c r="G947" s="10">
        <v>2660</v>
      </c>
      <c r="H947" s="10">
        <v>4.7</v>
      </c>
      <c r="I947" s="10">
        <v>17744.86</v>
      </c>
      <c r="J947" s="8" t="s">
        <v>41</v>
      </c>
      <c r="K947" s="8" t="s">
        <v>146</v>
      </c>
      <c r="L947" s="18" t="str">
        <f>VLOOKUP(D947,Products!$A:$C,3,FALSE)</f>
        <v>Electronics</v>
      </c>
      <c r="N947" s="18" t="str">
        <f>VLOOKUP(C947,Customers!$A:$E,5,FALSE)</f>
        <v>Retail</v>
      </c>
      <c r="O947" s="18">
        <f>VLOOKUP(C947,Customers!$A:$C,3,FALSE)</f>
        <v>50</v>
      </c>
    </row>
    <row r="948" spans="1:19" ht="14.25" hidden="1" customHeight="1" x14ac:dyDescent="0.3">
      <c r="A948" s="8" t="s">
        <v>2001</v>
      </c>
      <c r="B948" s="9">
        <v>45431</v>
      </c>
      <c r="C948" s="8" t="s">
        <v>654</v>
      </c>
      <c r="D948" s="8" t="s">
        <v>211</v>
      </c>
      <c r="E948" s="8" t="s">
        <v>214</v>
      </c>
      <c r="F948" s="10">
        <v>4</v>
      </c>
      <c r="G948" s="10">
        <v>3570</v>
      </c>
      <c r="H948" s="10">
        <v>19.3</v>
      </c>
      <c r="I948" s="10">
        <v>11523.96</v>
      </c>
      <c r="J948" s="8" t="s">
        <v>41</v>
      </c>
      <c r="K948" s="8" t="s">
        <v>98</v>
      </c>
      <c r="L948" s="18" t="str">
        <f>VLOOKUP(D948,Products!$A:$C,3,FALSE)</f>
        <v>Electronics</v>
      </c>
      <c r="N948" s="18" t="str">
        <f>VLOOKUP(C948,Customers!$A:$E,5,FALSE)</f>
        <v>SMB</v>
      </c>
      <c r="O948" s="18">
        <f>VLOOKUP(C948,Customers!$A:$C,3,FALSE)</f>
        <v>51</v>
      </c>
    </row>
    <row r="949" spans="1:19" ht="14.25" hidden="1" customHeight="1" x14ac:dyDescent="0.3">
      <c r="A949" s="8" t="s">
        <v>2002</v>
      </c>
      <c r="B949" s="9">
        <v>45393</v>
      </c>
      <c r="C949" s="8" t="s">
        <v>299</v>
      </c>
      <c r="D949" s="8" t="s">
        <v>924</v>
      </c>
      <c r="E949" s="8" t="s">
        <v>261</v>
      </c>
      <c r="F949" s="10">
        <v>2</v>
      </c>
      <c r="G949" s="10">
        <v>2030</v>
      </c>
      <c r="H949" s="10">
        <v>2.6</v>
      </c>
      <c r="I949" s="10">
        <v>3954.44</v>
      </c>
      <c r="J949" s="8" t="s">
        <v>41</v>
      </c>
      <c r="K949" s="8" t="s">
        <v>98</v>
      </c>
      <c r="L949" s="18" t="str">
        <f>VLOOKUP(D949,Products!$A:$C,3,FALSE)</f>
        <v>Home</v>
      </c>
      <c r="N949" s="18" t="str">
        <f>VLOOKUP(C949,Customers!$A:$E,5,FALSE)</f>
        <v>SMB</v>
      </c>
      <c r="O949" s="18">
        <f>VLOOKUP(C949,Customers!$A:$C,3,FALSE)</f>
        <v>52</v>
      </c>
    </row>
    <row r="950" spans="1:19" ht="14.25" hidden="1" customHeight="1" x14ac:dyDescent="0.3">
      <c r="A950" s="8" t="s">
        <v>2003</v>
      </c>
      <c r="B950" s="9">
        <v>45427</v>
      </c>
      <c r="C950" s="8" t="s">
        <v>481</v>
      </c>
      <c r="D950" s="8" t="s">
        <v>134</v>
      </c>
      <c r="E950" s="8" t="s">
        <v>745</v>
      </c>
      <c r="F950" s="10">
        <v>6</v>
      </c>
      <c r="G950" s="10">
        <v>3160</v>
      </c>
      <c r="H950" s="10">
        <v>25.8</v>
      </c>
      <c r="I950" s="10">
        <v>14068.32</v>
      </c>
      <c r="J950" s="8" t="s">
        <v>41</v>
      </c>
      <c r="K950" s="8" t="s">
        <v>178</v>
      </c>
      <c r="L950" s="18" t="str">
        <f>VLOOKUP(D950,Products!$A:$C,3,FALSE)</f>
        <v>Apparel</v>
      </c>
      <c r="N950" s="18" t="str">
        <f>VLOOKUP(C950,Customers!$A:$E,5,FALSE)</f>
        <v>Corporate</v>
      </c>
      <c r="O950" s="18">
        <f>VLOOKUP(C950,Customers!$A:$C,3,FALSE)</f>
        <v>43</v>
      </c>
    </row>
    <row r="951" spans="1:19" ht="14.25" hidden="1" customHeight="1" x14ac:dyDescent="0.3">
      <c r="A951" s="8" t="s">
        <v>2004</v>
      </c>
      <c r="B951" s="9">
        <v>45591</v>
      </c>
      <c r="C951" s="8" t="s">
        <v>518</v>
      </c>
      <c r="D951" s="8" t="s">
        <v>926</v>
      </c>
      <c r="E951" s="8" t="s">
        <v>117</v>
      </c>
      <c r="F951" s="10">
        <v>4</v>
      </c>
      <c r="G951" s="10">
        <v>5080</v>
      </c>
      <c r="H951" s="10">
        <v>2</v>
      </c>
      <c r="I951" s="10">
        <v>19913.599999999999</v>
      </c>
      <c r="J951" s="8" t="s">
        <v>41</v>
      </c>
      <c r="K951" s="8" t="s">
        <v>2005</v>
      </c>
      <c r="L951" s="18" t="str">
        <f>VLOOKUP(D951,Products!$A:$C,3,FALSE)</f>
        <v>Home</v>
      </c>
      <c r="N951" s="18" t="str">
        <f>VLOOKUP(C951,Customers!$A:$E,5,FALSE)</f>
        <v>SMB</v>
      </c>
      <c r="O951" s="18">
        <f>VLOOKUP(C951,Customers!$A:$C,3,FALSE)</f>
        <v>55</v>
      </c>
    </row>
    <row r="952" spans="1:19" ht="14.25" customHeight="1" x14ac:dyDescent="0.3">
      <c r="A952" s="8" t="s">
        <v>2006</v>
      </c>
      <c r="B952" s="21">
        <v>45327</v>
      </c>
      <c r="C952" s="8" t="s">
        <v>734</v>
      </c>
      <c r="D952" s="8" t="s">
        <v>215</v>
      </c>
      <c r="E952" s="8" t="s">
        <v>177</v>
      </c>
      <c r="F952" s="10">
        <v>6</v>
      </c>
      <c r="G952" s="10">
        <v>3450</v>
      </c>
      <c r="H952" s="10">
        <v>1.8</v>
      </c>
      <c r="I952" s="10">
        <v>20327.400000000001</v>
      </c>
      <c r="J952" s="8" t="s">
        <v>147</v>
      </c>
      <c r="K952" s="8" t="s">
        <v>42</v>
      </c>
      <c r="L952" s="18" t="str">
        <f>VLOOKUP(D952,Products!$A:$C,3,FALSE)</f>
        <v>Beauty</v>
      </c>
      <c r="N952" s="18" t="str">
        <f>VLOOKUP(C952,Customers!$A:$E,5,FALSE)</f>
        <v>Corporate</v>
      </c>
      <c r="O952" s="18">
        <f>VLOOKUP(C952,Customers!$A:$C,3,FALSE)</f>
        <v>37</v>
      </c>
      <c r="P952" s="18" t="str">
        <f>VLOOKUP(E951,Sales_Reps!$A:$C,3,FALSE)</f>
        <v>South</v>
      </c>
      <c r="Q952" s="18" t="str">
        <f t="shared" ref="Q952:Q954" si="192">TEXT(B951,"MMM-YY")</f>
        <v>Oct-24</v>
      </c>
      <c r="R952">
        <f>VLOOKUP(D952, Products!A:D, 4, FALSE)</f>
        <v>2420</v>
      </c>
      <c r="S952">
        <f t="shared" ref="S952:S954" si="193">(G952-R952)/G952</f>
        <v>0.29855072463768118</v>
      </c>
    </row>
    <row r="953" spans="1:19" ht="14.25" customHeight="1" x14ac:dyDescent="0.3">
      <c r="A953" s="8" t="s">
        <v>2007</v>
      </c>
      <c r="B953" s="21">
        <v>45575</v>
      </c>
      <c r="C953" s="8" t="s">
        <v>717</v>
      </c>
      <c r="D953" s="8" t="s">
        <v>219</v>
      </c>
      <c r="E953" s="8" t="s">
        <v>221</v>
      </c>
      <c r="F953" s="10">
        <v>3</v>
      </c>
      <c r="G953" s="10">
        <v>3450</v>
      </c>
      <c r="H953" s="10">
        <v>4.7</v>
      </c>
      <c r="I953" s="10">
        <v>9863.5499999999993</v>
      </c>
      <c r="J953" s="8" t="s">
        <v>97</v>
      </c>
      <c r="K953" s="8" t="s">
        <v>146</v>
      </c>
      <c r="L953" s="18" t="str">
        <f>VLOOKUP(D953,Products!$A:$C,3,FALSE)</f>
        <v>Sports</v>
      </c>
      <c r="N953" s="18" t="str">
        <f>VLOOKUP(C953,Customers!$A:$E,5,FALSE)</f>
        <v>Retail</v>
      </c>
      <c r="O953" s="18">
        <f>VLOOKUP(C953,Customers!$A:$C,3,FALSE)</f>
        <v>39</v>
      </c>
      <c r="P953" s="18" t="str">
        <f>VLOOKUP(E952,Sales_Reps!$A:$C,3,FALSE)</f>
        <v>South</v>
      </c>
      <c r="Q953" s="18" t="str">
        <f t="shared" si="192"/>
        <v>Feb-24</v>
      </c>
      <c r="R953">
        <f>VLOOKUP(D953, Products!A:D, 4, FALSE)</f>
        <v>2467</v>
      </c>
      <c r="S953">
        <f t="shared" si="193"/>
        <v>0.28492753623188405</v>
      </c>
    </row>
    <row r="954" spans="1:19" ht="14.25" customHeight="1" x14ac:dyDescent="0.3">
      <c r="A954" s="8" t="s">
        <v>612</v>
      </c>
      <c r="B954" s="21">
        <v>45367</v>
      </c>
      <c r="C954" s="8" t="s">
        <v>173</v>
      </c>
      <c r="D954" s="8" t="s">
        <v>230</v>
      </c>
      <c r="E954" s="8" t="s">
        <v>619</v>
      </c>
      <c r="F954" s="10">
        <v>7</v>
      </c>
      <c r="G954" s="10">
        <v>5330</v>
      </c>
      <c r="H954" s="10">
        <v>16.399999999999999</v>
      </c>
      <c r="I954" s="10">
        <v>31191.16</v>
      </c>
      <c r="J954" s="8" t="s">
        <v>41</v>
      </c>
      <c r="K954" s="8" t="s">
        <v>178</v>
      </c>
      <c r="L954" s="18" t="str">
        <f>VLOOKUP(D954,Products!$A:$C,3,FALSE)</f>
        <v>Electronics</v>
      </c>
      <c r="N954" s="18" t="str">
        <f>VLOOKUP(C954,Customers!$A:$E,5,FALSE)</f>
        <v>Retail</v>
      </c>
      <c r="O954" s="18">
        <f>VLOOKUP(C954,Customers!$A:$C,3,FALSE)</f>
        <v>26</v>
      </c>
      <c r="P954" s="18" t="str">
        <f>VLOOKUP(E953,Sales_Reps!$A:$C,3,FALSE)</f>
        <v>South</v>
      </c>
      <c r="Q954" s="18" t="str">
        <f t="shared" si="192"/>
        <v>Oct-24</v>
      </c>
      <c r="R954">
        <f>VLOOKUP(D954, Products!A:D, 4, FALSE)</f>
        <v>2405</v>
      </c>
      <c r="S954">
        <f t="shared" si="193"/>
        <v>0.54878048780487809</v>
      </c>
    </row>
    <row r="955" spans="1:19" ht="14.25" hidden="1" customHeight="1" x14ac:dyDescent="0.3">
      <c r="A955" s="8" t="s">
        <v>2008</v>
      </c>
      <c r="B955" s="9">
        <v>45522</v>
      </c>
      <c r="C955" s="8" t="s">
        <v>796</v>
      </c>
      <c r="D955" s="8" t="s">
        <v>918</v>
      </c>
      <c r="E955" s="8" t="s">
        <v>200</v>
      </c>
      <c r="F955" s="10">
        <v>6</v>
      </c>
      <c r="G955" s="10">
        <v>2210</v>
      </c>
      <c r="H955" s="10">
        <v>13.1</v>
      </c>
      <c r="I955" s="10">
        <v>11522.94</v>
      </c>
      <c r="J955" s="8" t="s">
        <v>41</v>
      </c>
      <c r="K955" s="8" t="s">
        <v>146</v>
      </c>
      <c r="L955" s="18" t="str">
        <f>VLOOKUP(D955,Products!$A:$C,3,FALSE)</f>
        <v>Grocery</v>
      </c>
      <c r="N955" s="18" t="str">
        <f>VLOOKUP(C955,Customers!$A:$E,5,FALSE)</f>
        <v>Retail</v>
      </c>
      <c r="O955" s="18">
        <f>VLOOKUP(C955,Customers!$A:$C,3,FALSE)</f>
        <v>52</v>
      </c>
    </row>
    <row r="956" spans="1:19" ht="14.25" hidden="1" customHeight="1" x14ac:dyDescent="0.3">
      <c r="A956" s="8" t="s">
        <v>2009</v>
      </c>
      <c r="B956" s="9">
        <v>45579</v>
      </c>
      <c r="C956" s="8" t="s">
        <v>555</v>
      </c>
      <c r="D956" s="8" t="s">
        <v>224</v>
      </c>
      <c r="E956" s="8" t="s">
        <v>376</v>
      </c>
      <c r="F956" s="10">
        <v>8</v>
      </c>
      <c r="G956" s="10">
        <v>1080</v>
      </c>
      <c r="H956" s="10">
        <v>8.6999999999999993</v>
      </c>
      <c r="I956" s="10">
        <v>7888.32</v>
      </c>
      <c r="J956" s="8" t="s">
        <v>41</v>
      </c>
      <c r="K956" s="8" t="s">
        <v>146</v>
      </c>
      <c r="L956" s="18" t="str">
        <f>VLOOKUP(D956,Products!$A:$C,3,FALSE)</f>
        <v>Home</v>
      </c>
      <c r="N956" s="18" t="str">
        <f>VLOOKUP(C956,Customers!$A:$E,5,FALSE)</f>
        <v>Retail</v>
      </c>
      <c r="O956" s="18">
        <f>VLOOKUP(C956,Customers!$A:$C,3,FALSE)</f>
        <v>41</v>
      </c>
    </row>
    <row r="957" spans="1:19" ht="14.25" hidden="1" customHeight="1" x14ac:dyDescent="0.3">
      <c r="A957" s="8" t="s">
        <v>2010</v>
      </c>
      <c r="B957" s="9">
        <v>45495</v>
      </c>
      <c r="C957" s="8" t="s">
        <v>573</v>
      </c>
      <c r="D957" s="8" t="s">
        <v>37</v>
      </c>
      <c r="E957" s="8" t="s">
        <v>301</v>
      </c>
      <c r="F957" s="10">
        <v>5</v>
      </c>
      <c r="G957" s="10">
        <v>3620</v>
      </c>
      <c r="H957" s="10">
        <v>16.100000000000001</v>
      </c>
      <c r="I957" s="10">
        <v>15185.9</v>
      </c>
      <c r="J957" s="8" t="s">
        <v>41</v>
      </c>
      <c r="K957" s="8" t="s">
        <v>136</v>
      </c>
      <c r="L957" s="18" t="str">
        <f>VLOOKUP(D957,Products!$A:$C,3,FALSE)</f>
        <v>Apparel</v>
      </c>
      <c r="N957" s="18" t="str">
        <f>VLOOKUP(C957,Customers!$A:$E,5,FALSE)</f>
        <v>SMB</v>
      </c>
      <c r="O957" s="18">
        <f>VLOOKUP(C957,Customers!$A:$C,3,FALSE)</f>
        <v>44</v>
      </c>
    </row>
    <row r="958" spans="1:19" ht="14.25" customHeight="1" x14ac:dyDescent="0.3">
      <c r="A958" s="8" t="s">
        <v>2011</v>
      </c>
      <c r="B958" s="21">
        <v>45483</v>
      </c>
      <c r="C958" s="8" t="s">
        <v>142</v>
      </c>
      <c r="D958" s="8" t="s">
        <v>901</v>
      </c>
      <c r="E958" s="8" t="s">
        <v>865</v>
      </c>
      <c r="F958" s="10">
        <v>7</v>
      </c>
      <c r="G958" s="10">
        <v>3560</v>
      </c>
      <c r="H958" s="10">
        <v>8.5</v>
      </c>
      <c r="I958" s="10">
        <v>22801.8</v>
      </c>
      <c r="J958" s="8" t="s">
        <v>41</v>
      </c>
      <c r="K958" s="8" t="s">
        <v>146</v>
      </c>
      <c r="L958" s="18" t="str">
        <f>VLOOKUP(D958,Products!$A:$C,3,FALSE)</f>
        <v>Apparel</v>
      </c>
      <c r="N958" s="18" t="str">
        <f>VLOOKUP(C958,Customers!$A:$E,5,FALSE)</f>
        <v>Retail</v>
      </c>
      <c r="O958" s="18">
        <f>VLOOKUP(C958,Customers!$A:$C,3,FALSE)</f>
        <v>36</v>
      </c>
      <c r="P958" s="18" t="str">
        <f>VLOOKUP(E957,Sales_Reps!$A:$C,3,FALSE)</f>
        <v>South</v>
      </c>
      <c r="Q958" s="18" t="str">
        <f>TEXT(B957,"MMM-YY")</f>
        <v>Jul-24</v>
      </c>
      <c r="R958">
        <f>VLOOKUP(D958, Products!A:D, 4, FALSE)</f>
        <v>2629</v>
      </c>
      <c r="S958">
        <f>(G958-R958)/G958</f>
        <v>0.26151685393258428</v>
      </c>
    </row>
    <row r="959" spans="1:19" ht="14.25" hidden="1" customHeight="1" x14ac:dyDescent="0.3">
      <c r="A959" s="8" t="s">
        <v>2012</v>
      </c>
      <c r="B959" s="9">
        <v>45496</v>
      </c>
      <c r="C959" s="8" t="s">
        <v>658</v>
      </c>
      <c r="D959" s="8" t="s">
        <v>924</v>
      </c>
      <c r="E959" s="8" t="s">
        <v>145</v>
      </c>
      <c r="F959" s="10">
        <v>8</v>
      </c>
      <c r="G959" s="10">
        <v>2030</v>
      </c>
      <c r="H959" s="10">
        <v>18.100000000000001</v>
      </c>
      <c r="I959" s="10">
        <v>13300.56</v>
      </c>
      <c r="J959" s="8" t="s">
        <v>41</v>
      </c>
      <c r="K959" s="8" t="s">
        <v>98</v>
      </c>
      <c r="L959" s="18" t="str">
        <f>VLOOKUP(D959,Products!$A:$C,3,FALSE)</f>
        <v>Home</v>
      </c>
      <c r="N959" s="18" t="str">
        <f>VLOOKUP(C959,Customers!$A:$E,5,FALSE)</f>
        <v>Retail</v>
      </c>
      <c r="O959" s="18">
        <f>VLOOKUP(C959,Customers!$A:$C,3,FALSE)</f>
        <v>41</v>
      </c>
    </row>
    <row r="960" spans="1:19" ht="14.25" hidden="1" customHeight="1" x14ac:dyDescent="0.3">
      <c r="A960" s="8" t="s">
        <v>2013</v>
      </c>
      <c r="B960" s="9">
        <v>45350</v>
      </c>
      <c r="C960" s="8" t="s">
        <v>483</v>
      </c>
      <c r="D960" s="8" t="s">
        <v>242</v>
      </c>
      <c r="E960" s="8" t="s">
        <v>865</v>
      </c>
      <c r="F960" s="10">
        <v>10</v>
      </c>
      <c r="G960" s="10">
        <v>1650</v>
      </c>
      <c r="H960" s="10">
        <v>7.1</v>
      </c>
      <c r="I960" s="10">
        <v>15328.5</v>
      </c>
      <c r="J960" s="8" t="s">
        <v>41</v>
      </c>
      <c r="K960" s="8" t="s">
        <v>98</v>
      </c>
      <c r="L960" s="18" t="str">
        <f>VLOOKUP(D960,Products!$A:$C,3,FALSE)</f>
        <v>Beauty</v>
      </c>
      <c r="N960" s="18" t="str">
        <f>VLOOKUP(C960,Customers!$A:$E,5,FALSE)</f>
        <v>SMB</v>
      </c>
      <c r="O960" s="18">
        <f>VLOOKUP(C960,Customers!$A:$C,3,FALSE)</f>
        <v>51</v>
      </c>
    </row>
    <row r="961" spans="1:19" ht="14.25" hidden="1" customHeight="1" x14ac:dyDescent="0.3">
      <c r="A961" s="8" t="s">
        <v>2014</v>
      </c>
      <c r="B961" s="9">
        <v>45517</v>
      </c>
      <c r="C961" s="8" t="s">
        <v>832</v>
      </c>
      <c r="D961" s="8" t="s">
        <v>374</v>
      </c>
      <c r="E961" s="8" t="s">
        <v>121</v>
      </c>
      <c r="F961" s="10">
        <v>4</v>
      </c>
      <c r="G961" s="10">
        <v>2760</v>
      </c>
      <c r="H961" s="10">
        <v>17.600000000000001</v>
      </c>
      <c r="I961" s="10">
        <v>9096.9599999999991</v>
      </c>
      <c r="J961" s="8" t="s">
        <v>147</v>
      </c>
      <c r="K961" s="8" t="s">
        <v>178</v>
      </c>
      <c r="L961" s="18" t="str">
        <f>VLOOKUP(D961,Products!$A:$C,3,FALSE)</f>
        <v>Grocery</v>
      </c>
      <c r="N961" s="18" t="str">
        <f>VLOOKUP(C961,Customers!$A:$E,5,FALSE)</f>
        <v>SMB</v>
      </c>
      <c r="O961" s="18">
        <f>VLOOKUP(C961,Customers!$A:$C,3,FALSE)</f>
        <v>65</v>
      </c>
    </row>
    <row r="962" spans="1:19" ht="14.25" hidden="1" customHeight="1" x14ac:dyDescent="0.3">
      <c r="A962" s="8" t="s">
        <v>2015</v>
      </c>
      <c r="B962" s="9">
        <v>45460</v>
      </c>
      <c r="C962" s="8" t="s">
        <v>854</v>
      </c>
      <c r="D962" s="8" t="s">
        <v>120</v>
      </c>
      <c r="E962" s="8" t="s">
        <v>214</v>
      </c>
      <c r="F962" s="10">
        <v>4</v>
      </c>
      <c r="G962" s="10">
        <v>3970</v>
      </c>
      <c r="H962" s="10">
        <v>4.3</v>
      </c>
      <c r="I962" s="10">
        <v>15197.16</v>
      </c>
      <c r="J962" s="8" t="s">
        <v>41</v>
      </c>
      <c r="K962" s="8" t="s">
        <v>119</v>
      </c>
      <c r="L962" s="18" t="str">
        <f>VLOOKUP(D962,Products!$A:$C,3,FALSE)</f>
        <v>Electronics</v>
      </c>
      <c r="N962" s="18" t="str">
        <f>VLOOKUP(C962,Customers!$A:$E,5,FALSE)</f>
        <v>Corporate</v>
      </c>
      <c r="O962" s="18">
        <f>VLOOKUP(C962,Customers!$A:$C,3,FALSE)</f>
        <v>47</v>
      </c>
    </row>
    <row r="963" spans="1:19" ht="14.25" hidden="1" customHeight="1" x14ac:dyDescent="0.3">
      <c r="A963" s="8" t="s">
        <v>2016</v>
      </c>
      <c r="B963" s="9">
        <v>45509</v>
      </c>
      <c r="C963" s="8" t="s">
        <v>446</v>
      </c>
      <c r="D963" s="8" t="s">
        <v>662</v>
      </c>
      <c r="E963" s="8" t="s">
        <v>177</v>
      </c>
      <c r="F963" s="10">
        <v>2</v>
      </c>
      <c r="G963" s="10">
        <v>6080</v>
      </c>
      <c r="H963" s="10">
        <v>23.8</v>
      </c>
      <c r="I963" s="10">
        <v>9265.92</v>
      </c>
      <c r="J963" s="8" t="s">
        <v>41</v>
      </c>
      <c r="K963" s="8" t="s">
        <v>42</v>
      </c>
      <c r="L963" s="18" t="str">
        <f>VLOOKUP(D963,Products!$A:$C,3,FALSE)</f>
        <v>Beauty</v>
      </c>
      <c r="N963" s="18" t="str">
        <f>VLOOKUP(C963,Customers!$A:$E,5,FALSE)</f>
        <v>SMB</v>
      </c>
      <c r="O963" s="18">
        <f>VLOOKUP(C963,Customers!$A:$C,3,FALSE)</f>
        <v>49</v>
      </c>
    </row>
    <row r="964" spans="1:19" ht="14.25" hidden="1" customHeight="1" x14ac:dyDescent="0.3">
      <c r="A964" s="8" t="s">
        <v>2017</v>
      </c>
      <c r="B964" s="9">
        <v>45602</v>
      </c>
      <c r="C964" s="8" t="s">
        <v>277</v>
      </c>
      <c r="D964" s="8" t="s">
        <v>176</v>
      </c>
      <c r="E964" s="8" t="s">
        <v>185</v>
      </c>
      <c r="F964" s="10">
        <v>4</v>
      </c>
      <c r="G964" s="10">
        <v>2270</v>
      </c>
      <c r="H964" s="10">
        <v>28.9</v>
      </c>
      <c r="I964" s="10">
        <v>6455.88</v>
      </c>
      <c r="J964" s="8" t="s">
        <v>41</v>
      </c>
      <c r="K964" s="8" t="s">
        <v>42</v>
      </c>
      <c r="L964" s="18" t="str">
        <f>VLOOKUP(D964,Products!$A:$C,3,FALSE)</f>
        <v>Grocery</v>
      </c>
      <c r="N964" s="18" t="str">
        <f>VLOOKUP(C964,Customers!$A:$E,5,FALSE)</f>
        <v>Retail</v>
      </c>
      <c r="O964" s="18">
        <f>VLOOKUP(C964,Customers!$A:$C,3,FALSE)</f>
        <v>43</v>
      </c>
    </row>
    <row r="965" spans="1:19" ht="14.25" hidden="1" customHeight="1" x14ac:dyDescent="0.3">
      <c r="A965" s="8" t="s">
        <v>2018</v>
      </c>
      <c r="B965" s="9">
        <v>45441</v>
      </c>
      <c r="C965" s="8" t="s">
        <v>357</v>
      </c>
      <c r="D965" s="8" t="s">
        <v>120</v>
      </c>
      <c r="E965" s="8" t="s">
        <v>185</v>
      </c>
      <c r="F965" s="10">
        <v>10</v>
      </c>
      <c r="G965" s="10">
        <v>3970</v>
      </c>
      <c r="H965" s="10">
        <v>26.2</v>
      </c>
      <c r="I965" s="10">
        <v>29298.6</v>
      </c>
      <c r="J965" s="8" t="s">
        <v>41</v>
      </c>
      <c r="K965" s="8" t="s">
        <v>42</v>
      </c>
      <c r="L965" s="18" t="str">
        <f>VLOOKUP(D965,Products!$A:$C,3,FALSE)</f>
        <v>Electronics</v>
      </c>
      <c r="N965" s="18" t="str">
        <f>VLOOKUP(C965,Customers!$A:$E,5,FALSE)</f>
        <v>Corporate</v>
      </c>
      <c r="O965" s="18">
        <f>VLOOKUP(C965,Customers!$A:$C,3,FALSE)</f>
        <v>47</v>
      </c>
    </row>
    <row r="966" spans="1:19" ht="14.25" customHeight="1" x14ac:dyDescent="0.3">
      <c r="A966" s="8" t="s">
        <v>2019</v>
      </c>
      <c r="B966" s="21">
        <v>45378</v>
      </c>
      <c r="C966" s="8" t="s">
        <v>547</v>
      </c>
      <c r="D966" s="8" t="s">
        <v>320</v>
      </c>
      <c r="E966" s="8" t="s">
        <v>745</v>
      </c>
      <c r="F966" s="10">
        <v>4</v>
      </c>
      <c r="G966" s="10">
        <v>5100</v>
      </c>
      <c r="H966" s="10">
        <v>2.1</v>
      </c>
      <c r="I966" s="10">
        <v>19971.599999999999</v>
      </c>
      <c r="J966" s="8" t="s">
        <v>41</v>
      </c>
      <c r="K966" s="8" t="s">
        <v>98</v>
      </c>
      <c r="L966" s="18" t="str">
        <f>VLOOKUP(D966,Products!$A:$C,3,FALSE)</f>
        <v>Beauty</v>
      </c>
      <c r="N966" s="18" t="str">
        <f>VLOOKUP(C966,Customers!$A:$E,5,FALSE)</f>
        <v>Retail</v>
      </c>
      <c r="O966" s="18">
        <f>VLOOKUP(C966,Customers!$A:$C,3,FALSE)</f>
        <v>26</v>
      </c>
      <c r="P966" s="18" t="str">
        <f>VLOOKUP(E965,Sales_Reps!$A:$C,3,FALSE)</f>
        <v>North</v>
      </c>
      <c r="Q966" s="18" t="str">
        <f t="shared" ref="Q966:Q968" si="194">TEXT(B965,"MMM-YY")</f>
        <v>May-24</v>
      </c>
      <c r="R966">
        <f>VLOOKUP(D966, Products!A:D, 4, FALSE)</f>
        <v>2237</v>
      </c>
      <c r="S966">
        <f t="shared" ref="S966:S968" si="195">(G966-R966)/G966</f>
        <v>0.56137254901960787</v>
      </c>
    </row>
    <row r="967" spans="1:19" ht="14.25" customHeight="1" x14ac:dyDescent="0.3">
      <c r="A967" s="8" t="s">
        <v>2020</v>
      </c>
      <c r="B967" s="21">
        <v>45428</v>
      </c>
      <c r="C967" s="8" t="s">
        <v>738</v>
      </c>
      <c r="D967" s="8" t="s">
        <v>867</v>
      </c>
      <c r="E967" s="8" t="s">
        <v>153</v>
      </c>
      <c r="F967" s="10">
        <v>5</v>
      </c>
      <c r="G967" s="10">
        <v>3020</v>
      </c>
      <c r="H967" s="10">
        <v>17.3</v>
      </c>
      <c r="I967" s="10">
        <v>12487.7</v>
      </c>
      <c r="J967" s="8" t="s">
        <v>41</v>
      </c>
      <c r="K967" s="8" t="s">
        <v>42</v>
      </c>
      <c r="L967" s="18" t="str">
        <f>VLOOKUP(D967,Products!$A:$C,3,FALSE)</f>
        <v>Beauty</v>
      </c>
      <c r="N967" s="18" t="str">
        <f>VLOOKUP(C967,Customers!$A:$E,5,FALSE)</f>
        <v>Corporate</v>
      </c>
      <c r="O967" s="18">
        <f>VLOOKUP(C967,Customers!$A:$C,3,FALSE)</f>
        <v>33</v>
      </c>
      <c r="P967" s="18" t="str">
        <f>VLOOKUP(E966,Sales_Reps!$A:$C,3,FALSE)</f>
        <v>South</v>
      </c>
      <c r="Q967" s="18" t="str">
        <f t="shared" si="194"/>
        <v>Mar-24</v>
      </c>
      <c r="R967">
        <f>VLOOKUP(D967, Products!A:D, 4, FALSE)</f>
        <v>1626</v>
      </c>
      <c r="S967">
        <f t="shared" si="195"/>
        <v>0.46158940397350995</v>
      </c>
    </row>
    <row r="968" spans="1:19" ht="14.25" customHeight="1" x14ac:dyDescent="0.3">
      <c r="A968" s="8" t="s">
        <v>2021</v>
      </c>
      <c r="B968" s="21">
        <v>45521</v>
      </c>
      <c r="C968" s="8" t="s">
        <v>530</v>
      </c>
      <c r="D968" s="8" t="s">
        <v>152</v>
      </c>
      <c r="E968" s="8" t="s">
        <v>221</v>
      </c>
      <c r="F968" s="10">
        <v>8</v>
      </c>
      <c r="G968" s="10">
        <v>960</v>
      </c>
      <c r="H968" s="10">
        <v>1.3</v>
      </c>
      <c r="I968" s="10">
        <v>7580.16</v>
      </c>
      <c r="J968" s="8" t="s">
        <v>147</v>
      </c>
      <c r="K968" s="8" t="s">
        <v>146</v>
      </c>
      <c r="L968" s="18" t="str">
        <f>VLOOKUP(D968,Products!$A:$C,3,FALSE)</f>
        <v>Sports</v>
      </c>
      <c r="N968" s="18" t="str">
        <f>VLOOKUP(C968,Customers!$A:$E,5,FALSE)</f>
        <v>Retail</v>
      </c>
      <c r="O968" s="18">
        <f>VLOOKUP(C968,Customers!$A:$C,3,FALSE)</f>
        <v>37</v>
      </c>
      <c r="P968" s="18" t="str">
        <f>VLOOKUP(E967,Sales_Reps!$A:$C,3,FALSE)</f>
        <v>West</v>
      </c>
      <c r="Q968" s="18" t="str">
        <f t="shared" si="194"/>
        <v>May-24</v>
      </c>
      <c r="R968">
        <f>VLOOKUP(D968, Products!A:D, 4, FALSE)</f>
        <v>705</v>
      </c>
      <c r="S968">
        <f t="shared" si="195"/>
        <v>0.265625</v>
      </c>
    </row>
    <row r="969" spans="1:19" ht="14.25" hidden="1" customHeight="1" x14ac:dyDescent="0.3">
      <c r="A969" s="8" t="s">
        <v>2022</v>
      </c>
      <c r="B969" s="9">
        <v>45612</v>
      </c>
      <c r="C969" s="8" t="s">
        <v>746</v>
      </c>
      <c r="D969" s="8" t="s">
        <v>227</v>
      </c>
      <c r="E969" s="8" t="s">
        <v>135</v>
      </c>
      <c r="F969" s="10">
        <v>9</v>
      </c>
      <c r="G969" s="10">
        <v>2480</v>
      </c>
      <c r="H969" s="10">
        <v>15.6</v>
      </c>
      <c r="I969" s="10">
        <v>18838.080000000002</v>
      </c>
      <c r="J969" s="8" t="s">
        <v>41</v>
      </c>
      <c r="K969" s="8" t="s">
        <v>146</v>
      </c>
      <c r="L969" s="18" t="str">
        <f>VLOOKUP(D969,Products!$A:$C,3,FALSE)</f>
        <v>Apparel</v>
      </c>
      <c r="N969" s="18" t="str">
        <f>VLOOKUP(C969,Customers!$A:$E,5,FALSE)</f>
        <v>SMB</v>
      </c>
      <c r="O969" s="18">
        <f>VLOOKUP(C969,Customers!$A:$C,3,FALSE)</f>
        <v>65</v>
      </c>
    </row>
    <row r="970" spans="1:19" ht="14.25" hidden="1" customHeight="1" x14ac:dyDescent="0.3">
      <c r="A970" s="8" t="s">
        <v>2023</v>
      </c>
      <c r="B970" s="9">
        <v>45566</v>
      </c>
      <c r="C970" s="8" t="s">
        <v>2024</v>
      </c>
      <c r="D970" s="8" t="s">
        <v>171</v>
      </c>
      <c r="E970" s="8" t="s">
        <v>189</v>
      </c>
      <c r="F970" s="10">
        <v>1</v>
      </c>
      <c r="G970" s="10">
        <v>970</v>
      </c>
      <c r="H970" s="10">
        <v>24.9</v>
      </c>
      <c r="I970" s="10">
        <v>728.47</v>
      </c>
      <c r="J970" s="8" t="s">
        <v>41</v>
      </c>
      <c r="K970" s="8" t="s">
        <v>136</v>
      </c>
      <c r="L970" s="18" t="str">
        <f>VLOOKUP(D970,Products!$A:$C,3,FALSE)</f>
        <v>Grocery</v>
      </c>
      <c r="N970" s="18" t="e">
        <f>VLOOKUP(C970,Customers!$A:$E,5,FALSE)</f>
        <v>#N/A</v>
      </c>
      <c r="O970" s="18" t="e">
        <f>VLOOKUP(C970,Customers!$A:$C,3,FALSE)</f>
        <v>#N/A</v>
      </c>
    </row>
    <row r="971" spans="1:19" ht="14.25" hidden="1" customHeight="1" x14ac:dyDescent="0.3">
      <c r="A971" s="8" t="s">
        <v>2025</v>
      </c>
      <c r="B971" s="9">
        <v>45606</v>
      </c>
      <c r="C971" s="8" t="s">
        <v>583</v>
      </c>
      <c r="D971" s="8" t="s">
        <v>909</v>
      </c>
      <c r="E971" s="8" t="s">
        <v>196</v>
      </c>
      <c r="F971" s="10">
        <v>4</v>
      </c>
      <c r="G971" s="10">
        <v>2380</v>
      </c>
      <c r="H971" s="10">
        <v>9.5</v>
      </c>
      <c r="I971" s="10">
        <v>8615.6</v>
      </c>
      <c r="J971" s="8" t="s">
        <v>147</v>
      </c>
      <c r="K971" s="8" t="s">
        <v>42</v>
      </c>
      <c r="L971" s="18" t="str">
        <f>VLOOKUP(D971,Products!$A:$C,3,FALSE)</f>
        <v>Grocery</v>
      </c>
      <c r="N971" s="18" t="str">
        <f>VLOOKUP(C971,Customers!$A:$E,5,FALSE)</f>
        <v>SMB</v>
      </c>
      <c r="O971" s="18">
        <f>VLOOKUP(C971,Customers!$A:$C,3,FALSE)</f>
        <v>53</v>
      </c>
    </row>
    <row r="972" spans="1:19" ht="14.25" hidden="1" customHeight="1" x14ac:dyDescent="0.3">
      <c r="A972" s="8" t="s">
        <v>2026</v>
      </c>
      <c r="B972" s="9">
        <v>45423</v>
      </c>
      <c r="C972" s="8" t="s">
        <v>175</v>
      </c>
      <c r="D972" s="8" t="s">
        <v>954</v>
      </c>
      <c r="E972" s="8" t="s">
        <v>96</v>
      </c>
      <c r="F972" s="10">
        <v>4</v>
      </c>
      <c r="G972" s="10">
        <v>5410</v>
      </c>
      <c r="H972" s="10">
        <v>18.7</v>
      </c>
      <c r="I972" s="10">
        <v>17593.32</v>
      </c>
      <c r="J972" s="8" t="s">
        <v>41</v>
      </c>
      <c r="K972" s="8" t="s">
        <v>178</v>
      </c>
      <c r="L972" s="18" t="str">
        <f>VLOOKUP(D972,Products!$A:$C,3,FALSE)</f>
        <v>Sports</v>
      </c>
      <c r="N972" s="18" t="str">
        <f>VLOOKUP(C972,Customers!$A:$E,5,FALSE)</f>
        <v>Retail</v>
      </c>
      <c r="O972" s="18">
        <f>VLOOKUP(C972,Customers!$A:$C,3,FALSE)</f>
        <v>60</v>
      </c>
    </row>
    <row r="973" spans="1:19" ht="14.25" customHeight="1" x14ac:dyDescent="0.3">
      <c r="A973" s="8" t="s">
        <v>2027</v>
      </c>
      <c r="B973" s="21">
        <v>45573</v>
      </c>
      <c r="C973" s="8" t="s">
        <v>346</v>
      </c>
      <c r="D973" s="8" t="s">
        <v>926</v>
      </c>
      <c r="E973" s="8" t="s">
        <v>196</v>
      </c>
      <c r="F973" s="10">
        <v>7</v>
      </c>
      <c r="G973" s="10">
        <v>5080</v>
      </c>
      <c r="H973" s="10">
        <v>6.5</v>
      </c>
      <c r="I973" s="10">
        <v>33248.6</v>
      </c>
      <c r="J973" s="8" t="s">
        <v>41</v>
      </c>
      <c r="K973" s="8" t="s">
        <v>98</v>
      </c>
      <c r="L973" s="18" t="str">
        <f>VLOOKUP(D973,Products!$A:$C,3,FALSE)</f>
        <v>Home</v>
      </c>
      <c r="N973" s="18" t="str">
        <f>VLOOKUP(C973,Customers!$A:$E,5,FALSE)</f>
        <v>Retail</v>
      </c>
      <c r="O973" s="18">
        <f>VLOOKUP(C973,Customers!$A:$C,3,FALSE)</f>
        <v>28</v>
      </c>
      <c r="P973" s="18" t="str">
        <f>VLOOKUP(E972,Sales_Reps!$A:$C,3,FALSE)</f>
        <v>North</v>
      </c>
      <c r="Q973" s="18" t="str">
        <f t="shared" ref="Q973:Q976" si="196">TEXT(B972,"MMM-YY")</f>
        <v>May-24</v>
      </c>
      <c r="R973">
        <f>VLOOKUP(D973, Products!A:D, 4, FALSE)</f>
        <v>2459</v>
      </c>
      <c r="S973">
        <f t="shared" ref="S973:S976" si="197">(G973-R973)/G973</f>
        <v>0.51594488188976373</v>
      </c>
    </row>
    <row r="974" spans="1:19" ht="14.25" customHeight="1" x14ac:dyDescent="0.3">
      <c r="A974" s="8" t="s">
        <v>2028</v>
      </c>
      <c r="B974" s="21">
        <v>45339</v>
      </c>
      <c r="C974" s="8" t="s">
        <v>393</v>
      </c>
      <c r="D974" s="8" t="s">
        <v>140</v>
      </c>
      <c r="E974" s="8" t="s">
        <v>145</v>
      </c>
      <c r="F974" s="10">
        <v>5</v>
      </c>
      <c r="G974" s="10">
        <v>1430</v>
      </c>
      <c r="H974" s="10">
        <v>19.8</v>
      </c>
      <c r="I974" s="10">
        <v>5734.3</v>
      </c>
      <c r="J974" s="8" t="s">
        <v>41</v>
      </c>
      <c r="K974" s="8" t="s">
        <v>42</v>
      </c>
      <c r="L974" s="18" t="str">
        <f>VLOOKUP(D974,Products!$A:$C,3,FALSE)</f>
        <v>Electronics</v>
      </c>
      <c r="N974" s="18" t="str">
        <f>VLOOKUP(C974,Customers!$A:$E,5,FALSE)</f>
        <v>Retail</v>
      </c>
      <c r="O974" s="18">
        <f>VLOOKUP(C974,Customers!$A:$C,3,FALSE)</f>
        <v>39</v>
      </c>
      <c r="P974" s="18" t="str">
        <f>VLOOKUP(E973,Sales_Reps!$A:$C,3,FALSE)</f>
        <v>East</v>
      </c>
      <c r="Q974" s="18" t="str">
        <f t="shared" si="196"/>
        <v>Oct-24</v>
      </c>
      <c r="R974">
        <f>VLOOKUP(D974, Products!A:D, 4, FALSE)</f>
        <v>861</v>
      </c>
      <c r="S974">
        <f t="shared" si="197"/>
        <v>0.39790209790209791</v>
      </c>
    </row>
    <row r="975" spans="1:19" ht="14.25" customHeight="1" x14ac:dyDescent="0.3">
      <c r="A975" s="8" t="s">
        <v>2029</v>
      </c>
      <c r="B975" s="21">
        <v>45611</v>
      </c>
      <c r="C975" s="8" t="s">
        <v>290</v>
      </c>
      <c r="D975" s="8" t="s">
        <v>389</v>
      </c>
      <c r="E975" s="8" t="s">
        <v>865</v>
      </c>
      <c r="F975" s="10">
        <v>7</v>
      </c>
      <c r="G975" s="10">
        <v>660</v>
      </c>
      <c r="H975" s="10">
        <v>17.3</v>
      </c>
      <c r="I975" s="10">
        <v>3820.74</v>
      </c>
      <c r="J975" s="8" t="s">
        <v>41</v>
      </c>
      <c r="K975" s="8" t="s">
        <v>119</v>
      </c>
      <c r="L975" s="18" t="str">
        <f>VLOOKUP(D975,Products!$A:$C,3,FALSE)</f>
        <v>Home</v>
      </c>
      <c r="N975" s="18" t="str">
        <f>VLOOKUP(C975,Customers!$A:$E,5,FALSE)</f>
        <v>SMB</v>
      </c>
      <c r="O975" s="18">
        <f>VLOOKUP(C975,Customers!$A:$C,3,FALSE)</f>
        <v>38</v>
      </c>
      <c r="P975" s="18" t="str">
        <f>VLOOKUP(E974,Sales_Reps!$A:$C,3,FALSE)</f>
        <v>West</v>
      </c>
      <c r="Q975" s="18" t="str">
        <f t="shared" si="196"/>
        <v>Feb-24</v>
      </c>
      <c r="R975">
        <f>VLOOKUP(D975, Products!A:D, 4, FALSE)</f>
        <v>329</v>
      </c>
      <c r="S975">
        <f t="shared" si="197"/>
        <v>0.50151515151515147</v>
      </c>
    </row>
    <row r="976" spans="1:19" ht="14.25" customHeight="1" x14ac:dyDescent="0.3">
      <c r="A976" s="8" t="s">
        <v>2030</v>
      </c>
      <c r="B976" s="21">
        <v>45505</v>
      </c>
      <c r="C976" s="8" t="s">
        <v>458</v>
      </c>
      <c r="D976" s="8" t="s">
        <v>789</v>
      </c>
      <c r="E976" s="8" t="s">
        <v>185</v>
      </c>
      <c r="F976" s="10">
        <v>10</v>
      </c>
      <c r="G976" s="10">
        <v>1540</v>
      </c>
      <c r="H976" s="10">
        <v>17.5</v>
      </c>
      <c r="I976" s="10">
        <v>12705</v>
      </c>
      <c r="J976" s="8" t="s">
        <v>41</v>
      </c>
      <c r="K976" s="8" t="s">
        <v>42</v>
      </c>
      <c r="L976" s="18" t="str">
        <f>VLOOKUP(D976,Products!$A:$C,3,FALSE)</f>
        <v>Beauty</v>
      </c>
      <c r="N976" s="18" t="str">
        <f>VLOOKUP(C976,Customers!$A:$E,5,FALSE)</f>
        <v>Retail</v>
      </c>
      <c r="O976" s="18">
        <f>VLOOKUP(C976,Customers!$A:$C,3,FALSE)</f>
        <v>36</v>
      </c>
      <c r="P976" s="18" t="str">
        <f>VLOOKUP(E975,Sales_Reps!$A:$C,3,FALSE)</f>
        <v>South</v>
      </c>
      <c r="Q976" s="18" t="str">
        <f t="shared" si="196"/>
        <v>Nov-24</v>
      </c>
      <c r="R976">
        <f>VLOOKUP(D976, Products!A:D, 4, FALSE)</f>
        <v>647</v>
      </c>
      <c r="S976">
        <f t="shared" si="197"/>
        <v>0.57987012987012987</v>
      </c>
    </row>
    <row r="977" spans="1:19" ht="14.25" hidden="1" customHeight="1" x14ac:dyDescent="0.3">
      <c r="A977" s="8" t="s">
        <v>2031</v>
      </c>
      <c r="B977" s="9">
        <v>45358</v>
      </c>
      <c r="C977" s="8" t="s">
        <v>408</v>
      </c>
      <c r="D977" s="8" t="s">
        <v>918</v>
      </c>
      <c r="E977" s="8" t="s">
        <v>200</v>
      </c>
      <c r="F977" s="10">
        <v>10</v>
      </c>
      <c r="G977" s="10">
        <v>2210</v>
      </c>
      <c r="H977" s="10">
        <v>24.1</v>
      </c>
      <c r="I977" s="10">
        <v>16773.900000000001</v>
      </c>
      <c r="J977" s="8" t="s">
        <v>97</v>
      </c>
      <c r="K977" s="8" t="s">
        <v>119</v>
      </c>
      <c r="L977" s="18" t="str">
        <f>VLOOKUP(D977,Products!$A:$C,3,FALSE)</f>
        <v>Grocery</v>
      </c>
      <c r="N977" s="18" t="str">
        <f>VLOOKUP(C977,Customers!$A:$E,5,FALSE)</f>
        <v>SMB</v>
      </c>
      <c r="O977" s="18">
        <f>VLOOKUP(C977,Customers!$A:$C,3,FALSE)</f>
        <v>48</v>
      </c>
    </row>
    <row r="978" spans="1:19" ht="14.25" hidden="1" customHeight="1" x14ac:dyDescent="0.3">
      <c r="A978" s="8" t="s">
        <v>2032</v>
      </c>
      <c r="B978" s="9">
        <v>45519</v>
      </c>
      <c r="C978" s="8" t="s">
        <v>776</v>
      </c>
      <c r="D978" s="8" t="s">
        <v>152</v>
      </c>
      <c r="E978" s="8" t="s">
        <v>196</v>
      </c>
      <c r="F978" s="10">
        <v>4</v>
      </c>
      <c r="G978" s="10">
        <v>960</v>
      </c>
      <c r="H978" s="10">
        <v>13.4</v>
      </c>
      <c r="I978" s="10">
        <v>3325.44</v>
      </c>
      <c r="J978" s="8" t="s">
        <v>41</v>
      </c>
      <c r="K978" s="8" t="s">
        <v>146</v>
      </c>
      <c r="L978" s="18" t="str">
        <f>VLOOKUP(D978,Products!$A:$C,3,FALSE)</f>
        <v>Sports</v>
      </c>
      <c r="N978" s="18" t="str">
        <f>VLOOKUP(C978,Customers!$A:$E,5,FALSE)</f>
        <v>Retail</v>
      </c>
      <c r="O978" s="18">
        <f>VLOOKUP(C978,Customers!$A:$C,3,FALSE)</f>
        <v>44</v>
      </c>
    </row>
    <row r="979" spans="1:19" ht="14.25" customHeight="1" x14ac:dyDescent="0.3">
      <c r="A979" s="8" t="s">
        <v>2033</v>
      </c>
      <c r="B979" s="21">
        <v>45628</v>
      </c>
      <c r="C979" s="8" t="s">
        <v>425</v>
      </c>
      <c r="D979" s="8" t="s">
        <v>215</v>
      </c>
      <c r="E979" s="8" t="s">
        <v>196</v>
      </c>
      <c r="F979" s="10">
        <v>8</v>
      </c>
      <c r="G979" s="10">
        <v>3450</v>
      </c>
      <c r="H979" s="10">
        <v>3.7</v>
      </c>
      <c r="I979" s="10">
        <v>26578.799999999999</v>
      </c>
      <c r="J979" s="8" t="s">
        <v>41</v>
      </c>
      <c r="K979" s="8" t="s">
        <v>146</v>
      </c>
      <c r="L979" s="18" t="str">
        <f>VLOOKUP(D979,Products!$A:$C,3,FALSE)</f>
        <v>Beauty</v>
      </c>
      <c r="N979" s="18" t="str">
        <f>VLOOKUP(C979,Customers!$A:$E,5,FALSE)</f>
        <v>Retail</v>
      </c>
      <c r="O979" s="18">
        <f>VLOOKUP(C979,Customers!$A:$C,3,FALSE)</f>
        <v>38</v>
      </c>
      <c r="P979" s="18" t="str">
        <f>VLOOKUP(E978,Sales_Reps!$A:$C,3,FALSE)</f>
        <v>East</v>
      </c>
      <c r="Q979" s="18" t="str">
        <f>TEXT(B978,"MMM-YY")</f>
        <v>Aug-24</v>
      </c>
      <c r="R979">
        <f>VLOOKUP(D979, Products!A:D, 4, FALSE)</f>
        <v>2420</v>
      </c>
      <c r="S979">
        <f>(G979-R979)/G979</f>
        <v>0.29855072463768118</v>
      </c>
    </row>
    <row r="980" spans="1:19" ht="14.25" hidden="1" customHeight="1" x14ac:dyDescent="0.3">
      <c r="A980" s="8" t="s">
        <v>2034</v>
      </c>
      <c r="B980" s="9">
        <v>45481</v>
      </c>
      <c r="C980" s="8" t="s">
        <v>2035</v>
      </c>
      <c r="D980" s="8" t="s">
        <v>924</v>
      </c>
      <c r="E980" s="8" t="s">
        <v>96</v>
      </c>
      <c r="F980" s="10">
        <v>6</v>
      </c>
      <c r="G980" s="10">
        <v>2030</v>
      </c>
      <c r="H980" s="10">
        <v>9.5</v>
      </c>
      <c r="I980" s="10">
        <v>11022.9</v>
      </c>
      <c r="J980" s="8" t="s">
        <v>41</v>
      </c>
      <c r="K980" s="8" t="s">
        <v>146</v>
      </c>
      <c r="L980" s="18" t="str">
        <f>VLOOKUP(D980,Products!$A:$C,3,FALSE)</f>
        <v>Home</v>
      </c>
      <c r="N980" s="18" t="e">
        <f>VLOOKUP(C980,Customers!$A:$E,5,FALSE)</f>
        <v>#N/A</v>
      </c>
      <c r="O980" s="18" t="e">
        <f>VLOOKUP(C980,Customers!$A:$C,3,FALSE)</f>
        <v>#N/A</v>
      </c>
    </row>
    <row r="981" spans="1:19" ht="14.25" customHeight="1" x14ac:dyDescent="0.3">
      <c r="A981" s="8" t="s">
        <v>2036</v>
      </c>
      <c r="B981" s="21">
        <v>45399</v>
      </c>
      <c r="C981" s="8" t="s">
        <v>118</v>
      </c>
      <c r="D981" s="8" t="s">
        <v>889</v>
      </c>
      <c r="E981" s="8" t="s">
        <v>214</v>
      </c>
      <c r="F981" s="10">
        <v>7</v>
      </c>
      <c r="G981" s="10">
        <v>3450</v>
      </c>
      <c r="H981" s="10">
        <v>28.2</v>
      </c>
      <c r="I981" s="10">
        <v>17339.7</v>
      </c>
      <c r="J981" s="8" t="s">
        <v>41</v>
      </c>
      <c r="K981" s="8" t="s">
        <v>42</v>
      </c>
      <c r="L981" s="18" t="str">
        <f>VLOOKUP(D981,Products!$A:$C,3,FALSE)</f>
        <v>Apparel</v>
      </c>
      <c r="N981" s="18" t="str">
        <f>VLOOKUP(C981,Customers!$A:$E,5,FALSE)</f>
        <v>SMB</v>
      </c>
      <c r="O981" s="18">
        <f>VLOOKUP(C981,Customers!$A:$C,3,FALSE)</f>
        <v>24</v>
      </c>
      <c r="P981" s="18" t="str">
        <f>VLOOKUP(E980,Sales_Reps!$A:$C,3,FALSE)</f>
        <v>North</v>
      </c>
      <c r="Q981" s="18" t="str">
        <f>TEXT(B980,"MMM-YY")</f>
        <v>Jul-24</v>
      </c>
      <c r="R981">
        <f>VLOOKUP(D981, Products!A:D, 4, FALSE)</f>
        <v>1748</v>
      </c>
      <c r="S981">
        <f>(G981-R981)/G981</f>
        <v>0.49333333333333335</v>
      </c>
    </row>
    <row r="982" spans="1:19" ht="14.25" hidden="1" customHeight="1" x14ac:dyDescent="0.3">
      <c r="A982" s="8" t="s">
        <v>2037</v>
      </c>
      <c r="B982" s="9">
        <v>45531</v>
      </c>
      <c r="C982" s="8" t="s">
        <v>610</v>
      </c>
      <c r="D982" s="8" t="s">
        <v>624</v>
      </c>
      <c r="E982" s="8" t="s">
        <v>865</v>
      </c>
      <c r="F982" s="10">
        <v>7</v>
      </c>
      <c r="G982" s="10">
        <v>3780</v>
      </c>
      <c r="H982" s="10">
        <v>15.1</v>
      </c>
      <c r="I982" s="10">
        <v>22464.54</v>
      </c>
      <c r="J982" s="8" t="s">
        <v>41</v>
      </c>
      <c r="K982" s="8" t="s">
        <v>42</v>
      </c>
      <c r="L982" s="18" t="str">
        <f>VLOOKUP(D982,Products!$A:$C,3,FALSE)</f>
        <v>Grocery</v>
      </c>
      <c r="N982" s="18" t="str">
        <f>VLOOKUP(C982,Customers!$A:$E,5,FALSE)</f>
        <v>Retail</v>
      </c>
      <c r="O982" s="18">
        <f>VLOOKUP(C982,Customers!$A:$C,3,FALSE)</f>
        <v>49</v>
      </c>
    </row>
    <row r="983" spans="1:19" ht="14.25" hidden="1" customHeight="1" x14ac:dyDescent="0.3">
      <c r="A983" s="8" t="s">
        <v>2001</v>
      </c>
      <c r="B983" s="9">
        <v>45417</v>
      </c>
      <c r="C983" s="8" t="s">
        <v>238</v>
      </c>
      <c r="D983" s="8" t="s">
        <v>374</v>
      </c>
      <c r="E983" s="8" t="s">
        <v>261</v>
      </c>
      <c r="F983" s="10">
        <v>4</v>
      </c>
      <c r="G983" s="10">
        <v>2760</v>
      </c>
      <c r="H983" s="10">
        <v>14.8</v>
      </c>
      <c r="I983" s="10">
        <v>9406.08</v>
      </c>
      <c r="J983" s="8" t="s">
        <v>41</v>
      </c>
      <c r="K983" s="8" t="s">
        <v>42</v>
      </c>
      <c r="L983" s="18" t="str">
        <f>VLOOKUP(D983,Products!$A:$C,3,FALSE)</f>
        <v>Grocery</v>
      </c>
      <c r="N983" s="18" t="str">
        <f>VLOOKUP(C983,Customers!$A:$E,5,FALSE)</f>
        <v>Retail</v>
      </c>
      <c r="O983" s="18">
        <f>VLOOKUP(C983,Customers!$A:$C,3,FALSE)</f>
        <v>50</v>
      </c>
    </row>
    <row r="984" spans="1:19" ht="14.25" customHeight="1" x14ac:dyDescent="0.3">
      <c r="A984" s="8" t="s">
        <v>2038</v>
      </c>
      <c r="B984" s="21">
        <v>45327</v>
      </c>
      <c r="C984" s="8" t="s">
        <v>700</v>
      </c>
      <c r="D984" s="8" t="s">
        <v>789</v>
      </c>
      <c r="E984" s="8" t="s">
        <v>236</v>
      </c>
      <c r="F984" s="10">
        <v>4</v>
      </c>
      <c r="G984" s="10">
        <v>1540</v>
      </c>
      <c r="H984" s="10">
        <v>13.9</v>
      </c>
      <c r="I984" s="10">
        <v>5303.76</v>
      </c>
      <c r="J984" s="8" t="s">
        <v>41</v>
      </c>
      <c r="K984" s="8" t="s">
        <v>42</v>
      </c>
      <c r="L984" s="18" t="str">
        <f>VLOOKUP(D984,Products!$A:$C,3,FALSE)</f>
        <v>Beauty</v>
      </c>
      <c r="N984" s="18" t="str">
        <f>VLOOKUP(C984,Customers!$A:$E,5,FALSE)</f>
        <v>Retail</v>
      </c>
      <c r="O984" s="18">
        <f>VLOOKUP(C984,Customers!$A:$C,3,FALSE)</f>
        <v>31</v>
      </c>
      <c r="P984" s="18" t="str">
        <f>VLOOKUP(E983,Sales_Reps!$A:$C,3,FALSE)</f>
        <v>North</v>
      </c>
      <c r="Q984" s="18" t="str">
        <f t="shared" ref="Q984:Q985" si="198">TEXT(B983,"MMM-YY")</f>
        <v>May-24</v>
      </c>
      <c r="R984">
        <f>VLOOKUP(D984, Products!A:D, 4, FALSE)</f>
        <v>647</v>
      </c>
      <c r="S984">
        <f t="shared" ref="S984:S985" si="199">(G984-R984)/G984</f>
        <v>0.57987012987012987</v>
      </c>
    </row>
    <row r="985" spans="1:19" ht="14.25" customHeight="1" x14ac:dyDescent="0.3">
      <c r="A985" s="8" t="s">
        <v>2039</v>
      </c>
      <c r="B985" s="21">
        <v>45438</v>
      </c>
      <c r="C985" s="8" t="s">
        <v>130</v>
      </c>
      <c r="D985" s="8" t="s">
        <v>569</v>
      </c>
      <c r="E985" s="8" t="s">
        <v>38</v>
      </c>
      <c r="F985" s="10">
        <v>2</v>
      </c>
      <c r="G985" s="10">
        <v>3730</v>
      </c>
      <c r="H985" s="10">
        <v>15.7</v>
      </c>
      <c r="I985" s="10">
        <v>6288.78</v>
      </c>
      <c r="J985" s="8" t="s">
        <v>147</v>
      </c>
      <c r="K985" s="8" t="s">
        <v>136</v>
      </c>
      <c r="L985" s="18" t="str">
        <f>VLOOKUP(D985,Products!$A:$C,3,FALSE)</f>
        <v>Home</v>
      </c>
      <c r="N985" s="18" t="str">
        <f>VLOOKUP(C985,Customers!$A:$E,5,FALSE)</f>
        <v>Retail</v>
      </c>
      <c r="O985" s="18">
        <f>VLOOKUP(C985,Customers!$A:$C,3,FALSE)</f>
        <v>27</v>
      </c>
      <c r="P985" s="18" t="str">
        <f>VLOOKUP(E984,Sales_Reps!$A:$C,3,FALSE)</f>
        <v>West</v>
      </c>
      <c r="Q985" s="18" t="str">
        <f t="shared" si="198"/>
        <v>Feb-24</v>
      </c>
      <c r="R985">
        <f>VLOOKUP(D985, Products!A:D, 4, FALSE)</f>
        <v>2135</v>
      </c>
      <c r="S985">
        <f t="shared" si="199"/>
        <v>0.42761394101876676</v>
      </c>
    </row>
    <row r="986" spans="1:19" ht="14.25" hidden="1" customHeight="1" x14ac:dyDescent="0.3">
      <c r="A986" s="8" t="s">
        <v>2040</v>
      </c>
      <c r="B986" s="9">
        <v>45577</v>
      </c>
      <c r="C986" s="8" t="s">
        <v>340</v>
      </c>
      <c r="D986" s="8" t="s">
        <v>569</v>
      </c>
      <c r="E986" s="8" t="s">
        <v>619</v>
      </c>
      <c r="F986" s="10">
        <v>4</v>
      </c>
      <c r="G986" s="10">
        <v>3730</v>
      </c>
      <c r="H986" s="10">
        <v>2.1</v>
      </c>
      <c r="I986" s="10">
        <v>14606.68</v>
      </c>
      <c r="J986" s="8" t="s">
        <v>41</v>
      </c>
      <c r="K986" s="8" t="s">
        <v>136</v>
      </c>
      <c r="L986" s="18" t="str">
        <f>VLOOKUP(D986,Products!$A:$C,3,FALSE)</f>
        <v>Home</v>
      </c>
      <c r="N986" s="18" t="str">
        <f>VLOOKUP(C986,Customers!$A:$E,5,FALSE)</f>
        <v>Retail</v>
      </c>
      <c r="O986" s="18">
        <f>VLOOKUP(C986,Customers!$A:$C,3,FALSE)</f>
        <v>52</v>
      </c>
    </row>
    <row r="987" spans="1:19" ht="14.25" hidden="1" customHeight="1" x14ac:dyDescent="0.3">
      <c r="A987" s="8" t="s">
        <v>2041</v>
      </c>
      <c r="B987" s="9">
        <v>45457</v>
      </c>
      <c r="C987" s="8" t="s">
        <v>312</v>
      </c>
      <c r="D987" s="8" t="s">
        <v>134</v>
      </c>
      <c r="E987" s="8" t="s">
        <v>745</v>
      </c>
      <c r="F987" s="10">
        <v>1</v>
      </c>
      <c r="G987" s="10">
        <v>3160</v>
      </c>
      <c r="H987" s="10">
        <v>29.8</v>
      </c>
      <c r="I987" s="10">
        <v>2218.3200000000002</v>
      </c>
      <c r="J987" s="8" t="s">
        <v>41</v>
      </c>
      <c r="K987" s="8" t="s">
        <v>42</v>
      </c>
      <c r="L987" s="18" t="str">
        <f>VLOOKUP(D987,Products!$A:$C,3,FALSE)</f>
        <v>Apparel</v>
      </c>
      <c r="N987" s="18" t="str">
        <f>VLOOKUP(C987,Customers!$A:$E,5,FALSE)</f>
        <v>Retail</v>
      </c>
      <c r="O987" s="18">
        <f>VLOOKUP(C987,Customers!$A:$C,3,FALSE)</f>
        <v>62</v>
      </c>
    </row>
    <row r="988" spans="1:19" ht="14.25" hidden="1" customHeight="1" x14ac:dyDescent="0.3">
      <c r="A988" s="8" t="s">
        <v>2042</v>
      </c>
      <c r="B988" s="9">
        <v>45544</v>
      </c>
      <c r="C988" s="8" t="s">
        <v>584</v>
      </c>
      <c r="D988" s="8" t="s">
        <v>939</v>
      </c>
      <c r="E988" s="8" t="s">
        <v>196</v>
      </c>
      <c r="F988" s="10">
        <v>9</v>
      </c>
      <c r="G988" s="10">
        <v>2290</v>
      </c>
      <c r="H988" s="10">
        <v>8.3000000000000007</v>
      </c>
      <c r="I988" s="10">
        <v>18899.37</v>
      </c>
      <c r="J988" s="8" t="s">
        <v>97</v>
      </c>
      <c r="K988" s="8" t="s">
        <v>146</v>
      </c>
      <c r="L988" s="18" t="str">
        <f>VLOOKUP(D988,Products!$A:$C,3,FALSE)</f>
        <v>Beauty</v>
      </c>
      <c r="N988" s="18" t="str">
        <f>VLOOKUP(C988,Customers!$A:$E,5,FALSE)</f>
        <v>Retail</v>
      </c>
      <c r="O988" s="18">
        <f>VLOOKUP(C988,Customers!$A:$C,3,FALSE)</f>
        <v>53</v>
      </c>
    </row>
    <row r="989" spans="1:19" ht="14.25" hidden="1" customHeight="1" x14ac:dyDescent="0.3">
      <c r="A989" s="8" t="s">
        <v>2043</v>
      </c>
      <c r="B989" s="9">
        <v>45632</v>
      </c>
      <c r="C989" s="8" t="s">
        <v>702</v>
      </c>
      <c r="D989" s="8" t="s">
        <v>188</v>
      </c>
      <c r="E989" s="8" t="s">
        <v>745</v>
      </c>
      <c r="F989" s="10">
        <v>2</v>
      </c>
      <c r="G989" s="10">
        <v>3870</v>
      </c>
      <c r="H989" s="10">
        <v>5.2</v>
      </c>
      <c r="I989" s="10">
        <v>7337.52</v>
      </c>
      <c r="J989" s="8" t="s">
        <v>41</v>
      </c>
      <c r="K989" s="8" t="s">
        <v>42</v>
      </c>
      <c r="L989" s="18" t="str">
        <f>VLOOKUP(D989,Products!$A:$C,3,FALSE)</f>
        <v>Electronics</v>
      </c>
      <c r="N989" s="18" t="str">
        <f>VLOOKUP(C989,Customers!$A:$E,5,FALSE)</f>
        <v>Corporate</v>
      </c>
      <c r="O989" s="18">
        <f>VLOOKUP(C989,Customers!$A:$C,3,FALSE)</f>
        <v>48</v>
      </c>
    </row>
    <row r="990" spans="1:19" ht="14.25" hidden="1" customHeight="1" x14ac:dyDescent="0.3">
      <c r="A990" s="8" t="s">
        <v>2044</v>
      </c>
      <c r="B990" s="9">
        <v>45465</v>
      </c>
      <c r="C990" s="8" t="s">
        <v>667</v>
      </c>
      <c r="D990" s="8" t="s">
        <v>211</v>
      </c>
      <c r="E990" s="8" t="s">
        <v>38</v>
      </c>
      <c r="F990" s="10">
        <v>5</v>
      </c>
      <c r="G990" s="10">
        <v>3570</v>
      </c>
      <c r="H990" s="10">
        <v>19.899999999999999</v>
      </c>
      <c r="I990" s="10">
        <v>14297.85</v>
      </c>
      <c r="J990" s="8" t="s">
        <v>41</v>
      </c>
      <c r="K990" s="8" t="s">
        <v>136</v>
      </c>
      <c r="L990" s="18" t="str">
        <f>VLOOKUP(D990,Products!$A:$C,3,FALSE)</f>
        <v>Electronics</v>
      </c>
      <c r="N990" s="18" t="str">
        <f>VLOOKUP(C990,Customers!$A:$E,5,FALSE)</f>
        <v>Retail</v>
      </c>
      <c r="O990" s="18">
        <f>VLOOKUP(C990,Customers!$A:$C,3,FALSE)</f>
        <v>55</v>
      </c>
    </row>
    <row r="991" spans="1:19" ht="14.25" customHeight="1" x14ac:dyDescent="0.3">
      <c r="A991" s="8" t="s">
        <v>2045</v>
      </c>
      <c r="B991" s="21">
        <v>45342</v>
      </c>
      <c r="C991" s="8" t="s">
        <v>605</v>
      </c>
      <c r="D991" s="8" t="s">
        <v>260</v>
      </c>
      <c r="E991" s="8" t="s">
        <v>231</v>
      </c>
      <c r="F991" s="10">
        <v>5</v>
      </c>
      <c r="G991" s="10">
        <v>1010</v>
      </c>
      <c r="H991" s="10">
        <v>2.2000000000000002</v>
      </c>
      <c r="I991" s="10">
        <v>4938.8999999999996</v>
      </c>
      <c r="J991" s="8" t="s">
        <v>41</v>
      </c>
      <c r="K991" s="8" t="s">
        <v>98</v>
      </c>
      <c r="L991" s="18" t="str">
        <f>VLOOKUP(D991,Products!$A:$C,3,FALSE)</f>
        <v>Sports</v>
      </c>
      <c r="N991" s="18" t="str">
        <f>VLOOKUP(C991,Customers!$A:$E,5,FALSE)</f>
        <v>Retail</v>
      </c>
      <c r="O991" s="18">
        <f>VLOOKUP(C991,Customers!$A:$C,3,FALSE)</f>
        <v>38</v>
      </c>
      <c r="P991" s="18" t="str">
        <f>VLOOKUP(E990,Sales_Reps!$A:$C,3,FALSE)</f>
        <v>North</v>
      </c>
      <c r="Q991" s="18" t="str">
        <f>TEXT(B990,"MMM-YY")</f>
        <v>Jun-24</v>
      </c>
      <c r="R991">
        <f>VLOOKUP(D991, Products!A:D, 4, FALSE)</f>
        <v>516</v>
      </c>
      <c r="S991">
        <f>(G991-R991)/G991</f>
        <v>0.4891089108910891</v>
      </c>
    </row>
    <row r="992" spans="1:19" ht="14.25" hidden="1" customHeight="1" x14ac:dyDescent="0.3">
      <c r="A992" s="8" t="s">
        <v>2046</v>
      </c>
      <c r="B992" s="9">
        <v>45309</v>
      </c>
      <c r="C992" s="8" t="s">
        <v>783</v>
      </c>
      <c r="D992" s="8" t="s">
        <v>939</v>
      </c>
      <c r="E992" s="8" t="s">
        <v>185</v>
      </c>
      <c r="F992" s="10">
        <v>10</v>
      </c>
      <c r="G992" s="10">
        <v>2290</v>
      </c>
      <c r="H992" s="10">
        <v>16.8</v>
      </c>
      <c r="I992" s="10">
        <v>19052.8</v>
      </c>
      <c r="J992" s="8" t="s">
        <v>147</v>
      </c>
      <c r="K992" s="8" t="s">
        <v>98</v>
      </c>
      <c r="L992" s="18" t="str">
        <f>VLOOKUP(D992,Products!$A:$C,3,FALSE)</f>
        <v>Beauty</v>
      </c>
      <c r="N992" s="18" t="str">
        <f>VLOOKUP(C992,Customers!$A:$E,5,FALSE)</f>
        <v>Corporate</v>
      </c>
      <c r="O992" s="18">
        <f>VLOOKUP(C992,Customers!$A:$C,3,FALSE)</f>
        <v>51</v>
      </c>
    </row>
    <row r="993" spans="1:19" ht="14.25" hidden="1" customHeight="1" x14ac:dyDescent="0.3">
      <c r="A993" s="8" t="s">
        <v>2047</v>
      </c>
      <c r="B993" s="9">
        <v>45493</v>
      </c>
      <c r="C993" s="8" t="s">
        <v>314</v>
      </c>
      <c r="D993" s="8" t="s">
        <v>839</v>
      </c>
      <c r="E993" s="8" t="s">
        <v>158</v>
      </c>
      <c r="F993" s="10">
        <v>3</v>
      </c>
      <c r="G993" s="10">
        <v>4610</v>
      </c>
      <c r="H993" s="10">
        <v>13.2</v>
      </c>
      <c r="I993" s="10">
        <v>12004.44</v>
      </c>
      <c r="J993" s="8" t="s">
        <v>97</v>
      </c>
      <c r="K993" s="8" t="s">
        <v>178</v>
      </c>
      <c r="L993" s="18" t="str">
        <f>VLOOKUP(D993,Products!$A:$C,3,FALSE)</f>
        <v>Home</v>
      </c>
      <c r="N993" s="18" t="str">
        <f>VLOOKUP(C993,Customers!$A:$E,5,FALSE)</f>
        <v>Corporate</v>
      </c>
      <c r="O993" s="18">
        <f>VLOOKUP(C993,Customers!$A:$C,3,FALSE)</f>
        <v>52</v>
      </c>
    </row>
    <row r="994" spans="1:19" ht="14.25" customHeight="1" x14ac:dyDescent="0.3">
      <c r="A994" s="8" t="s">
        <v>2048</v>
      </c>
      <c r="B994" s="21">
        <v>45356</v>
      </c>
      <c r="C994" s="8" t="s">
        <v>734</v>
      </c>
      <c r="D994" s="8" t="s">
        <v>898</v>
      </c>
      <c r="E994" s="8" t="s">
        <v>200</v>
      </c>
      <c r="F994" s="10">
        <v>1</v>
      </c>
      <c r="G994" s="10">
        <v>2510</v>
      </c>
      <c r="H994" s="10">
        <v>16.899999999999999</v>
      </c>
      <c r="I994" s="10">
        <v>2085.81</v>
      </c>
      <c r="J994" s="8" t="s">
        <v>41</v>
      </c>
      <c r="K994" s="8" t="s">
        <v>42</v>
      </c>
      <c r="L994" s="18" t="str">
        <f>VLOOKUP(D994,Products!$A:$C,3,FALSE)</f>
        <v>Apparel</v>
      </c>
      <c r="N994" s="18" t="str">
        <f>VLOOKUP(C994,Customers!$A:$E,5,FALSE)</f>
        <v>Corporate</v>
      </c>
      <c r="O994" s="18">
        <f>VLOOKUP(C994,Customers!$A:$C,3,FALSE)</f>
        <v>37</v>
      </c>
      <c r="P994" s="18" t="str">
        <f>VLOOKUP(E993,Sales_Reps!$A:$C,3,FALSE)</f>
        <v>East</v>
      </c>
      <c r="Q994" s="18" t="str">
        <f t="shared" ref="Q994:Q995" si="200">TEXT(B993,"MMM-YY")</f>
        <v>Jul-24</v>
      </c>
      <c r="R994">
        <f>VLOOKUP(D994, Products!A:D, 4, FALSE)</f>
        <v>1075</v>
      </c>
      <c r="S994">
        <f t="shared" ref="S994:S995" si="201">(G994-R994)/G994</f>
        <v>0.57171314741035861</v>
      </c>
    </row>
    <row r="995" spans="1:19" ht="14.25" customHeight="1" x14ac:dyDescent="0.3">
      <c r="A995" s="8" t="s">
        <v>2049</v>
      </c>
      <c r="B995" s="21">
        <v>45367</v>
      </c>
      <c r="C995" s="8" t="s">
        <v>649</v>
      </c>
      <c r="D995" s="8" t="s">
        <v>867</v>
      </c>
      <c r="E995" s="8" t="s">
        <v>214</v>
      </c>
      <c r="F995" s="10">
        <v>1</v>
      </c>
      <c r="G995" s="10">
        <v>3020</v>
      </c>
      <c r="H995" s="10">
        <v>26.7</v>
      </c>
      <c r="I995" s="10">
        <v>2213.66</v>
      </c>
      <c r="J995" s="8" t="s">
        <v>41</v>
      </c>
      <c r="K995" s="8" t="s">
        <v>146</v>
      </c>
      <c r="L995" s="18" t="str">
        <f>VLOOKUP(D995,Products!$A:$C,3,FALSE)</f>
        <v>Beauty</v>
      </c>
      <c r="N995" s="18" t="str">
        <f>VLOOKUP(C995,Customers!$A:$E,5,FALSE)</f>
        <v>SMB</v>
      </c>
      <c r="O995" s="18">
        <f>VLOOKUP(C995,Customers!$A:$C,3,FALSE)</f>
        <v>27</v>
      </c>
      <c r="P995" s="18" t="str">
        <f>VLOOKUP(E994,Sales_Reps!$A:$C,3,FALSE)</f>
        <v>North</v>
      </c>
      <c r="Q995" s="18" t="str">
        <f t="shared" si="200"/>
        <v>Mar-24</v>
      </c>
      <c r="R995">
        <f>VLOOKUP(D995, Products!A:D, 4, FALSE)</f>
        <v>1626</v>
      </c>
      <c r="S995">
        <f t="shared" si="201"/>
        <v>0.46158940397350995</v>
      </c>
    </row>
    <row r="996" spans="1:19" ht="14.25" hidden="1" customHeight="1" x14ac:dyDescent="0.3">
      <c r="A996" s="8" t="s">
        <v>2050</v>
      </c>
      <c r="B996" s="9">
        <v>45313</v>
      </c>
      <c r="C996" s="8" t="s">
        <v>312</v>
      </c>
      <c r="D996" s="8" t="s">
        <v>199</v>
      </c>
      <c r="E996" s="8" t="s">
        <v>189</v>
      </c>
      <c r="F996" s="10">
        <v>6</v>
      </c>
      <c r="G996" s="10">
        <v>190</v>
      </c>
      <c r="H996" s="10">
        <v>7.1</v>
      </c>
      <c r="I996" s="10">
        <v>1059.06</v>
      </c>
      <c r="J996" s="8" t="s">
        <v>41</v>
      </c>
      <c r="K996" s="8" t="s">
        <v>42</v>
      </c>
      <c r="L996" s="18" t="str">
        <f>VLOOKUP(D996,Products!$A:$C,3,FALSE)</f>
        <v>Sports</v>
      </c>
      <c r="N996" s="18" t="str">
        <f>VLOOKUP(C996,Customers!$A:$E,5,FALSE)</f>
        <v>Retail</v>
      </c>
      <c r="O996" s="18">
        <f>VLOOKUP(C996,Customers!$A:$C,3,FALSE)</f>
        <v>62</v>
      </c>
    </row>
    <row r="997" spans="1:19" ht="14.25" customHeight="1" x14ac:dyDescent="0.3">
      <c r="A997" s="8" t="s">
        <v>2051</v>
      </c>
      <c r="B997" s="21">
        <v>45529</v>
      </c>
      <c r="C997" s="8" t="s">
        <v>696</v>
      </c>
      <c r="D997" s="8" t="s">
        <v>924</v>
      </c>
      <c r="E997" s="8" t="s">
        <v>261</v>
      </c>
      <c r="F997" s="10">
        <v>6</v>
      </c>
      <c r="G997" s="10">
        <v>2030</v>
      </c>
      <c r="H997" s="10">
        <v>13.5</v>
      </c>
      <c r="I997" s="10">
        <v>10535.7</v>
      </c>
      <c r="J997" s="8" t="s">
        <v>147</v>
      </c>
      <c r="K997" s="8" t="s">
        <v>136</v>
      </c>
      <c r="L997" s="18" t="str">
        <f>VLOOKUP(D997,Products!$A:$C,3,FALSE)</f>
        <v>Home</v>
      </c>
      <c r="N997" s="18" t="str">
        <f>VLOOKUP(C997,Customers!$A:$E,5,FALSE)</f>
        <v>Retail</v>
      </c>
      <c r="O997" s="18">
        <f>VLOOKUP(C997,Customers!$A:$C,3,FALSE)</f>
        <v>36</v>
      </c>
      <c r="P997" s="18" t="str">
        <f>VLOOKUP(E996,Sales_Reps!$A:$C,3,FALSE)</f>
        <v>South</v>
      </c>
      <c r="Q997" s="18" t="str">
        <f>TEXT(B996,"MMM-YY")</f>
        <v>Jan-24</v>
      </c>
      <c r="R997">
        <f>VLOOKUP(D997, Products!A:D, 4, FALSE)</f>
        <v>1143</v>
      </c>
      <c r="S997">
        <f>(G997-R997)/G997</f>
        <v>0.43694581280788175</v>
      </c>
    </row>
    <row r="998" spans="1:19" ht="14.25" hidden="1" customHeight="1" x14ac:dyDescent="0.3">
      <c r="A998" s="8" t="s">
        <v>2052</v>
      </c>
      <c r="B998" s="9">
        <v>45547</v>
      </c>
      <c r="C998" s="8" t="s">
        <v>663</v>
      </c>
      <c r="D998" s="8" t="s">
        <v>192</v>
      </c>
      <c r="E998" s="8" t="s">
        <v>189</v>
      </c>
      <c r="F998" s="10">
        <v>10</v>
      </c>
      <c r="G998" s="10">
        <v>3250</v>
      </c>
      <c r="H998" s="10">
        <v>8.6999999999999993</v>
      </c>
      <c r="I998" s="10">
        <v>29672.5</v>
      </c>
      <c r="J998" s="8" t="s">
        <v>41</v>
      </c>
      <c r="K998" s="8" t="s">
        <v>178</v>
      </c>
      <c r="L998" s="18" t="str">
        <f>VLOOKUP(D998,Products!$A:$C,3,FALSE)</f>
        <v>Home</v>
      </c>
      <c r="N998" s="18" t="str">
        <f>VLOOKUP(C998,Customers!$A:$E,5,FALSE)</f>
        <v>Retail</v>
      </c>
      <c r="O998" s="18">
        <f>VLOOKUP(C998,Customers!$A:$C,3,FALSE)</f>
        <v>52</v>
      </c>
    </row>
    <row r="999" spans="1:19" ht="14.25" hidden="1" customHeight="1" x14ac:dyDescent="0.3">
      <c r="A999" s="8" t="s">
        <v>2053</v>
      </c>
      <c r="B999" s="9">
        <v>45299</v>
      </c>
      <c r="C999" s="8" t="s">
        <v>627</v>
      </c>
      <c r="D999" s="8" t="s">
        <v>924</v>
      </c>
      <c r="E999" s="8" t="s">
        <v>236</v>
      </c>
      <c r="F999" s="10">
        <v>9</v>
      </c>
      <c r="G999" s="10">
        <v>2030</v>
      </c>
      <c r="H999" s="10">
        <v>29.3</v>
      </c>
      <c r="I999" s="10">
        <v>12916.89</v>
      </c>
      <c r="J999" s="8" t="s">
        <v>41</v>
      </c>
      <c r="K999" s="8" t="s">
        <v>42</v>
      </c>
      <c r="L999" s="18" t="str">
        <f>VLOOKUP(D999,Products!$A:$C,3,FALSE)</f>
        <v>Home</v>
      </c>
      <c r="N999" s="18" t="str">
        <f>VLOOKUP(C999,Customers!$A:$E,5,FALSE)</f>
        <v>Retail</v>
      </c>
      <c r="O999" s="18">
        <f>VLOOKUP(C999,Customers!$A:$C,3,FALSE)</f>
        <v>65</v>
      </c>
    </row>
    <row r="1000" spans="1:19" ht="14.25" hidden="1" customHeight="1" x14ac:dyDescent="0.3">
      <c r="A1000" s="8" t="s">
        <v>2054</v>
      </c>
      <c r="B1000" s="9">
        <v>45380</v>
      </c>
      <c r="C1000" s="8" t="s">
        <v>816</v>
      </c>
      <c r="D1000" s="8" t="s">
        <v>909</v>
      </c>
      <c r="E1000" s="8" t="s">
        <v>145</v>
      </c>
      <c r="F1000" s="10">
        <v>1</v>
      </c>
      <c r="G1000" s="10">
        <v>2380</v>
      </c>
      <c r="H1000" s="10">
        <v>12.9</v>
      </c>
      <c r="I1000" s="10">
        <v>2072.98</v>
      </c>
      <c r="J1000" s="8" t="s">
        <v>41</v>
      </c>
      <c r="K1000" s="8" t="s">
        <v>146</v>
      </c>
      <c r="L1000" s="18" t="str">
        <f>VLOOKUP(D1000,Products!$A:$C,3,FALSE)</f>
        <v>Grocery</v>
      </c>
      <c r="N1000" s="18" t="str">
        <f>VLOOKUP(C1000,Customers!$A:$E,5,FALSE)</f>
        <v>SMB</v>
      </c>
      <c r="O1000" s="18">
        <f>VLOOKUP(C1000,Customers!$A:$C,3,FALSE)</f>
        <v>47</v>
      </c>
    </row>
    <row r="1001" spans="1:19" ht="14.25" customHeight="1" x14ac:dyDescent="0.3">
      <c r="A1001" s="8" t="s">
        <v>2055</v>
      </c>
      <c r="B1001" s="21">
        <v>45521</v>
      </c>
      <c r="C1001" s="8" t="s">
        <v>742</v>
      </c>
      <c r="D1001" s="8" t="s">
        <v>889</v>
      </c>
      <c r="E1001" s="8" t="s">
        <v>153</v>
      </c>
      <c r="F1001" s="10">
        <v>10</v>
      </c>
      <c r="G1001" s="10">
        <v>3450</v>
      </c>
      <c r="H1001" s="10">
        <v>18.5</v>
      </c>
      <c r="I1001" s="10">
        <v>28117.5</v>
      </c>
      <c r="J1001" s="8" t="s">
        <v>41</v>
      </c>
      <c r="K1001" s="8" t="s">
        <v>178</v>
      </c>
      <c r="L1001" s="18" t="str">
        <f>VLOOKUP(D1001,Products!$A:$C,3,FALSE)</f>
        <v>Apparel</v>
      </c>
      <c r="N1001" s="18" t="str">
        <f>VLOOKUP(C1001,Customers!$A:$E,5,FALSE)</f>
        <v>Retail</v>
      </c>
      <c r="O1001" s="18">
        <f>VLOOKUP(C1001,Customers!$A:$C,3,FALSE)</f>
        <v>38</v>
      </c>
      <c r="P1001" s="18" t="str">
        <f>VLOOKUP(E1000,Sales_Reps!$A:$C,3,FALSE)</f>
        <v>West</v>
      </c>
      <c r="Q1001" s="18" t="str">
        <f t="shared" ref="Q1001:Q1002" si="202">TEXT(B1000,"MMM-YY")</f>
        <v>Mar-24</v>
      </c>
      <c r="R1001">
        <f>VLOOKUP(D1001, Products!A:D, 4, FALSE)</f>
        <v>1748</v>
      </c>
      <c r="S1001">
        <f t="shared" ref="S1001:S1002" si="203">(G1001-R1001)/G1001</f>
        <v>0.49333333333333335</v>
      </c>
    </row>
    <row r="1002" spans="1:19" ht="14.25" customHeight="1" x14ac:dyDescent="0.3">
      <c r="A1002" s="8" t="s">
        <v>2056</v>
      </c>
      <c r="B1002" s="21">
        <v>45500</v>
      </c>
      <c r="C1002" s="8" t="s">
        <v>829</v>
      </c>
      <c r="D1002" s="8" t="s">
        <v>134</v>
      </c>
      <c r="E1002" s="8" t="s">
        <v>261</v>
      </c>
      <c r="F1002" s="10">
        <v>10</v>
      </c>
      <c r="G1002" s="10">
        <v>3160</v>
      </c>
      <c r="H1002" s="10">
        <v>26.3</v>
      </c>
      <c r="I1002" s="10">
        <v>23289.200000000001</v>
      </c>
      <c r="J1002" s="8" t="s">
        <v>41</v>
      </c>
      <c r="K1002" s="8" t="s">
        <v>178</v>
      </c>
      <c r="L1002" s="18" t="str">
        <f>VLOOKUP(D1002,Products!$A:$C,3,FALSE)</f>
        <v>Apparel</v>
      </c>
      <c r="N1002" s="18" t="str">
        <f>VLOOKUP(C1002,Customers!$A:$E,5,FALSE)</f>
        <v>Corporate</v>
      </c>
      <c r="O1002" s="18">
        <f>VLOOKUP(C1002,Customers!$A:$C,3,FALSE)</f>
        <v>29</v>
      </c>
      <c r="P1002" s="18" t="str">
        <f>VLOOKUP(E1001,Sales_Reps!$A:$C,3,FALSE)</f>
        <v>West</v>
      </c>
      <c r="Q1002" s="18" t="str">
        <f t="shared" si="202"/>
        <v>Aug-24</v>
      </c>
      <c r="R1002">
        <f>VLOOKUP(D1002, Products!A:D, 4, FALSE)</f>
        <v>1886</v>
      </c>
      <c r="S1002">
        <f t="shared" si="203"/>
        <v>0.4031645569620253</v>
      </c>
    </row>
    <row r="1003" spans="1:19" ht="14.25" hidden="1" customHeight="1" x14ac:dyDescent="0.3">
      <c r="A1003" s="8" t="s">
        <v>2057</v>
      </c>
      <c r="B1003" s="9">
        <v>45531</v>
      </c>
      <c r="C1003" s="8" t="s">
        <v>611</v>
      </c>
      <c r="D1003" s="8" t="s">
        <v>163</v>
      </c>
      <c r="E1003" s="8" t="s">
        <v>376</v>
      </c>
      <c r="F1003" s="10">
        <v>10</v>
      </c>
      <c r="G1003" s="10">
        <v>5490</v>
      </c>
      <c r="H1003" s="10">
        <v>22.7</v>
      </c>
      <c r="I1003" s="10">
        <v>42437.7</v>
      </c>
      <c r="J1003" s="8" t="s">
        <v>41</v>
      </c>
      <c r="K1003" s="8" t="s">
        <v>98</v>
      </c>
      <c r="L1003" s="18" t="str">
        <f>VLOOKUP(D1003,Products!$A:$C,3,FALSE)</f>
        <v>Home</v>
      </c>
      <c r="N1003" s="18" t="str">
        <f>VLOOKUP(C1003,Customers!$A:$E,5,FALSE)</f>
        <v>Retail</v>
      </c>
      <c r="O1003" s="18">
        <f>VLOOKUP(C1003,Customers!$A:$C,3,FALSE)</f>
        <v>60</v>
      </c>
    </row>
    <row r="1004" spans="1:19" ht="14.25" hidden="1" customHeight="1" x14ac:dyDescent="0.3">
      <c r="A1004" s="8" t="s">
        <v>2058</v>
      </c>
      <c r="B1004" s="9">
        <v>45563</v>
      </c>
      <c r="C1004" s="8" t="s">
        <v>706</v>
      </c>
      <c r="D1004" s="8" t="s">
        <v>338</v>
      </c>
      <c r="E1004" s="8" t="s">
        <v>125</v>
      </c>
      <c r="F1004" s="10">
        <v>8</v>
      </c>
      <c r="G1004" s="10">
        <v>2860</v>
      </c>
      <c r="H1004" s="10">
        <v>14.3</v>
      </c>
      <c r="I1004" s="10">
        <v>19608.16</v>
      </c>
      <c r="J1004" s="8" t="s">
        <v>41</v>
      </c>
      <c r="K1004" s="8" t="s">
        <v>98</v>
      </c>
      <c r="L1004" s="18" t="str">
        <f>VLOOKUP(D1004,Products!$A:$C,3,FALSE)</f>
        <v>Sports</v>
      </c>
      <c r="N1004" s="18" t="str">
        <f>VLOOKUP(C1004,Customers!$A:$E,5,FALSE)</f>
        <v>SMB</v>
      </c>
      <c r="O1004" s="18">
        <f>VLOOKUP(C1004,Customers!$A:$C,3,FALSE)</f>
        <v>46</v>
      </c>
    </row>
    <row r="1005" spans="1:19" ht="14.25" customHeight="1" x14ac:dyDescent="0.3">
      <c r="A1005" s="8" t="s">
        <v>2059</v>
      </c>
      <c r="B1005" s="21">
        <v>45416</v>
      </c>
      <c r="C1005" s="8" t="s">
        <v>647</v>
      </c>
      <c r="D1005" s="8" t="s">
        <v>949</v>
      </c>
      <c r="E1005" s="8" t="s">
        <v>865</v>
      </c>
      <c r="F1005" s="10">
        <v>1</v>
      </c>
      <c r="G1005" s="10">
        <v>960</v>
      </c>
      <c r="H1005" s="10">
        <v>11.9</v>
      </c>
      <c r="I1005" s="10">
        <v>845.76</v>
      </c>
      <c r="J1005" s="8" t="s">
        <v>41</v>
      </c>
      <c r="K1005" s="8" t="s">
        <v>136</v>
      </c>
      <c r="L1005" s="18" t="str">
        <f>VLOOKUP(D1005,Products!$A:$C,3,FALSE)</f>
        <v>Beauty</v>
      </c>
      <c r="N1005" s="18" t="str">
        <f>VLOOKUP(C1005,Customers!$A:$E,5,FALSE)</f>
        <v>Retail</v>
      </c>
      <c r="O1005" s="18">
        <f>VLOOKUP(C1005,Customers!$A:$C,3,FALSE)</f>
        <v>34</v>
      </c>
      <c r="P1005" s="18" t="str">
        <f>VLOOKUP(E1004,Sales_Reps!$A:$C,3,FALSE)</f>
        <v>North</v>
      </c>
      <c r="Q1005" s="18" t="str">
        <f t="shared" ref="Q1005:Q1006" si="204">TEXT(B1004,"MMM-YY")</f>
        <v>Sep-24</v>
      </c>
      <c r="R1005">
        <f>VLOOKUP(D1005, Products!A:D, 4, FALSE)</f>
        <v>675</v>
      </c>
      <c r="S1005">
        <f t="shared" ref="S1005:S1006" si="205">(G1005-R1005)/G1005</f>
        <v>0.296875</v>
      </c>
    </row>
    <row r="1006" spans="1:19" ht="14.25" customHeight="1" x14ac:dyDescent="0.3">
      <c r="A1006" s="8" t="s">
        <v>2060</v>
      </c>
      <c r="B1006" s="21">
        <v>45430</v>
      </c>
      <c r="C1006" s="8" t="s">
        <v>849</v>
      </c>
      <c r="D1006" s="8" t="s">
        <v>224</v>
      </c>
      <c r="E1006" s="8" t="s">
        <v>38</v>
      </c>
      <c r="F1006" s="10">
        <v>3</v>
      </c>
      <c r="G1006" s="10">
        <v>1080</v>
      </c>
      <c r="H1006" s="10">
        <v>26</v>
      </c>
      <c r="I1006" s="10">
        <v>2397.6</v>
      </c>
      <c r="J1006" s="8" t="s">
        <v>41</v>
      </c>
      <c r="K1006" s="8" t="s">
        <v>136</v>
      </c>
      <c r="L1006" s="18" t="str">
        <f>VLOOKUP(D1006,Products!$A:$C,3,FALSE)</f>
        <v>Home</v>
      </c>
      <c r="N1006" s="18" t="str">
        <f>VLOOKUP(C1006,Customers!$A:$E,5,FALSE)</f>
        <v>Retail</v>
      </c>
      <c r="O1006" s="18">
        <f>VLOOKUP(C1006,Customers!$A:$C,3,FALSE)</f>
        <v>32</v>
      </c>
      <c r="P1006" s="18" t="str">
        <f>VLOOKUP(E1005,Sales_Reps!$A:$C,3,FALSE)</f>
        <v>South</v>
      </c>
      <c r="Q1006" s="18" t="str">
        <f t="shared" si="204"/>
        <v>May-24</v>
      </c>
      <c r="R1006">
        <f>VLOOKUP(D1006, Products!A:D, 4, FALSE)</f>
        <v>519</v>
      </c>
      <c r="S1006">
        <f t="shared" si="205"/>
        <v>0.51944444444444449</v>
      </c>
    </row>
    <row r="1007" spans="1:19" ht="14.25" hidden="1" customHeight="1" x14ac:dyDescent="0.3">
      <c r="A1007" s="8" t="s">
        <v>2061</v>
      </c>
      <c r="B1007" s="9">
        <v>45585</v>
      </c>
      <c r="C1007" s="8" t="s">
        <v>292</v>
      </c>
      <c r="D1007" s="8" t="s">
        <v>338</v>
      </c>
      <c r="E1007" s="8" t="s">
        <v>231</v>
      </c>
      <c r="F1007" s="10">
        <v>10</v>
      </c>
      <c r="G1007" s="10">
        <v>2860</v>
      </c>
      <c r="H1007" s="10">
        <v>13.1</v>
      </c>
      <c r="I1007" s="10">
        <v>24853.4</v>
      </c>
      <c r="J1007" s="8" t="s">
        <v>193</v>
      </c>
      <c r="K1007" s="8" t="s">
        <v>42</v>
      </c>
      <c r="L1007" s="18" t="str">
        <f>VLOOKUP(D1007,Products!$A:$C,3,FALSE)</f>
        <v>Sports</v>
      </c>
      <c r="N1007" s="18" t="str">
        <f>VLOOKUP(C1007,Customers!$A:$E,5,FALSE)</f>
        <v>SMB</v>
      </c>
      <c r="O1007" s="18">
        <f>VLOOKUP(C1007,Customers!$A:$C,3,FALSE)</f>
        <v>54</v>
      </c>
    </row>
    <row r="1008" spans="1:19" ht="14.25" customHeight="1" x14ac:dyDescent="0.3">
      <c r="A1008" s="8" t="s">
        <v>2062</v>
      </c>
      <c r="B1008" s="21">
        <v>45630</v>
      </c>
      <c r="C1008" s="8" t="s">
        <v>722</v>
      </c>
      <c r="D1008" s="8" t="s">
        <v>644</v>
      </c>
      <c r="E1008" s="8" t="s">
        <v>231</v>
      </c>
      <c r="F1008" s="10">
        <v>3</v>
      </c>
      <c r="G1008" s="10">
        <v>3640</v>
      </c>
      <c r="H1008" s="10">
        <v>18.2</v>
      </c>
      <c r="I1008" s="10">
        <v>8932.56</v>
      </c>
      <c r="J1008" s="8" t="s">
        <v>41</v>
      </c>
      <c r="K1008" s="8" t="s">
        <v>98</v>
      </c>
      <c r="L1008" s="18" t="str">
        <f>VLOOKUP(D1008,Products!$A:$C,3,FALSE)</f>
        <v>Apparel</v>
      </c>
      <c r="N1008" s="18" t="str">
        <f>VLOOKUP(C1008,Customers!$A:$E,5,FALSE)</f>
        <v>Retail</v>
      </c>
      <c r="O1008" s="18">
        <f>VLOOKUP(C1008,Customers!$A:$C,3,FALSE)</f>
        <v>34</v>
      </c>
      <c r="P1008" s="18" t="str">
        <f>VLOOKUP(E1007,Sales_Reps!$A:$C,3,FALSE)</f>
        <v>North</v>
      </c>
      <c r="Q1008" s="18" t="str">
        <f t="shared" ref="Q1008:Q1009" si="206">TEXT(B1007,"MMM-YY")</f>
        <v>Oct-24</v>
      </c>
      <c r="R1008">
        <f>VLOOKUP(D1008, Products!A:D, 4, FALSE)</f>
        <v>2611</v>
      </c>
      <c r="S1008">
        <f t="shared" ref="S1008:S1009" si="207">(G1008-R1008)/G1008</f>
        <v>0.28269230769230769</v>
      </c>
    </row>
    <row r="1009" spans="1:19" ht="14.25" customHeight="1" x14ac:dyDescent="0.3">
      <c r="A1009" s="8" t="s">
        <v>2063</v>
      </c>
      <c r="B1009" s="21">
        <v>45405</v>
      </c>
      <c r="C1009" s="8" t="s">
        <v>401</v>
      </c>
      <c r="D1009" s="8" t="s">
        <v>239</v>
      </c>
      <c r="E1009" s="8" t="s">
        <v>167</v>
      </c>
      <c r="F1009" s="10">
        <v>3</v>
      </c>
      <c r="G1009" s="10">
        <v>2720</v>
      </c>
      <c r="H1009" s="10">
        <v>3.6</v>
      </c>
      <c r="I1009" s="10">
        <v>7866.24</v>
      </c>
      <c r="J1009" s="8" t="s">
        <v>41</v>
      </c>
      <c r="K1009" s="8" t="s">
        <v>178</v>
      </c>
      <c r="L1009" s="18" t="str">
        <f>VLOOKUP(D1009,Products!$A:$C,3,FALSE)</f>
        <v>Apparel</v>
      </c>
      <c r="N1009" s="18" t="str">
        <f>VLOOKUP(C1009,Customers!$A:$E,5,FALSE)</f>
        <v>SMB</v>
      </c>
      <c r="O1009" s="18">
        <f>VLOOKUP(C1009,Customers!$A:$C,3,FALSE)</f>
        <v>40</v>
      </c>
      <c r="P1009" s="18" t="str">
        <f>VLOOKUP(E1008,Sales_Reps!$A:$C,3,FALSE)</f>
        <v>North</v>
      </c>
      <c r="Q1009" s="18" t="str">
        <f t="shared" si="206"/>
        <v>Dec-24</v>
      </c>
      <c r="R1009">
        <f>VLOOKUP(D1009, Products!A:D, 4, FALSE)</f>
        <v>1962</v>
      </c>
      <c r="S1009">
        <f t="shared" si="207"/>
        <v>0.2786764705882353</v>
      </c>
    </row>
    <row r="1010" spans="1:19" ht="14.25" hidden="1" customHeight="1" x14ac:dyDescent="0.3">
      <c r="A1010" s="8" t="s">
        <v>2064</v>
      </c>
      <c r="B1010" s="9">
        <v>45630</v>
      </c>
      <c r="C1010" s="8" t="s">
        <v>428</v>
      </c>
      <c r="D1010" s="8" t="s">
        <v>176</v>
      </c>
      <c r="E1010" s="8" t="s">
        <v>135</v>
      </c>
      <c r="F1010" s="10">
        <v>4</v>
      </c>
      <c r="G1010" s="10">
        <v>2270</v>
      </c>
      <c r="H1010" s="10">
        <v>18.399999999999999</v>
      </c>
      <c r="I1010" s="10">
        <v>7409.28</v>
      </c>
      <c r="J1010" s="8" t="s">
        <v>41</v>
      </c>
      <c r="K1010" s="8" t="s">
        <v>178</v>
      </c>
      <c r="L1010" s="18" t="str">
        <f>VLOOKUP(D1010,Products!$A:$C,3,FALSE)</f>
        <v>Grocery</v>
      </c>
      <c r="N1010" s="18" t="str">
        <f>VLOOKUP(C1010,Customers!$A:$E,5,FALSE)</f>
        <v>SMB</v>
      </c>
      <c r="O1010" s="18">
        <f>VLOOKUP(C1010,Customers!$A:$C,3,FALSE)</f>
        <v>48</v>
      </c>
    </row>
    <row r="1011" spans="1:19" ht="14.25" customHeight="1" x14ac:dyDescent="0.3">
      <c r="A1011" s="8" t="s">
        <v>2065</v>
      </c>
      <c r="B1011" s="21">
        <v>45483</v>
      </c>
      <c r="C1011" s="8" t="s">
        <v>736</v>
      </c>
      <c r="D1011" s="8" t="s">
        <v>160</v>
      </c>
      <c r="E1011" s="8" t="s">
        <v>236</v>
      </c>
      <c r="F1011" s="10">
        <v>5</v>
      </c>
      <c r="G1011" s="10">
        <v>1220</v>
      </c>
      <c r="H1011" s="10">
        <v>13.9</v>
      </c>
      <c r="I1011" s="10">
        <v>5252.1</v>
      </c>
      <c r="J1011" s="8" t="s">
        <v>41</v>
      </c>
      <c r="K1011" s="8" t="s">
        <v>178</v>
      </c>
      <c r="L1011" s="18" t="str">
        <f>VLOOKUP(D1011,Products!$A:$C,3,FALSE)</f>
        <v>Electronics</v>
      </c>
      <c r="N1011" s="18" t="str">
        <f>VLOOKUP(C1011,Customers!$A:$E,5,FALSE)</f>
        <v>SMB</v>
      </c>
      <c r="O1011" s="18">
        <f>VLOOKUP(C1011,Customers!$A:$C,3,FALSE)</f>
        <v>25</v>
      </c>
      <c r="P1011" s="18" t="str">
        <f>VLOOKUP(E1010,Sales_Reps!$A:$C,3,FALSE)</f>
        <v>North</v>
      </c>
      <c r="Q1011" s="18" t="str">
        <f t="shared" ref="Q1011:Q1012" si="208">TEXT(B1010,"MMM-YY")</f>
        <v>Dec-24</v>
      </c>
      <c r="R1011">
        <f>VLOOKUP(D1011, Products!A:D, 4, FALSE)</f>
        <v>517</v>
      </c>
      <c r="S1011">
        <f t="shared" ref="S1011:S1012" si="209">(G1011-R1011)/G1011</f>
        <v>0.57622950819672136</v>
      </c>
    </row>
    <row r="1012" spans="1:19" ht="14.25" customHeight="1" x14ac:dyDescent="0.3">
      <c r="A1012" s="8" t="s">
        <v>2066</v>
      </c>
      <c r="B1012" s="21">
        <v>45530</v>
      </c>
      <c r="C1012" s="8" t="s">
        <v>538</v>
      </c>
      <c r="D1012" s="8" t="s">
        <v>181</v>
      </c>
      <c r="E1012" s="8" t="s">
        <v>301</v>
      </c>
      <c r="F1012" s="10">
        <v>8</v>
      </c>
      <c r="G1012" s="10">
        <v>2640</v>
      </c>
      <c r="H1012" s="10">
        <v>17.3</v>
      </c>
      <c r="I1012" s="10">
        <v>17466.240000000002</v>
      </c>
      <c r="J1012" s="8" t="s">
        <v>41</v>
      </c>
      <c r="K1012" s="8" t="s">
        <v>178</v>
      </c>
      <c r="L1012" s="18" t="str">
        <f>VLOOKUP(D1012,Products!$A:$C,3,FALSE)</f>
        <v>Electronics</v>
      </c>
      <c r="N1012" s="18" t="str">
        <f>VLOOKUP(C1012,Customers!$A:$E,5,FALSE)</f>
        <v>Retail</v>
      </c>
      <c r="O1012" s="18">
        <f>VLOOKUP(C1012,Customers!$A:$C,3,FALSE)</f>
        <v>29</v>
      </c>
      <c r="P1012" s="18" t="str">
        <f>VLOOKUP(E1011,Sales_Reps!$A:$C,3,FALSE)</f>
        <v>West</v>
      </c>
      <c r="Q1012" s="18" t="str">
        <f t="shared" si="208"/>
        <v>Jul-24</v>
      </c>
      <c r="R1012">
        <f>VLOOKUP(D1012, Products!A:D, 4, FALSE)</f>
        <v>1149</v>
      </c>
      <c r="S1012">
        <f t="shared" si="209"/>
        <v>0.56477272727272732</v>
      </c>
    </row>
    <row r="1013" spans="1:19" ht="14.25" hidden="1" customHeight="1" x14ac:dyDescent="0.3">
      <c r="A1013" s="8" t="s">
        <v>2067</v>
      </c>
      <c r="B1013" s="9">
        <v>45500</v>
      </c>
      <c r="C1013" s="8" t="s">
        <v>573</v>
      </c>
      <c r="D1013" s="8" t="s">
        <v>171</v>
      </c>
      <c r="E1013" s="8" t="s">
        <v>301</v>
      </c>
      <c r="F1013" s="10">
        <v>1</v>
      </c>
      <c r="G1013" s="10">
        <v>970</v>
      </c>
      <c r="H1013" s="10">
        <v>28</v>
      </c>
      <c r="I1013" s="10">
        <v>698.4</v>
      </c>
      <c r="J1013" s="8" t="s">
        <v>147</v>
      </c>
      <c r="K1013" s="8" t="s">
        <v>136</v>
      </c>
      <c r="L1013" s="18" t="str">
        <f>VLOOKUP(D1013,Products!$A:$C,3,FALSE)</f>
        <v>Grocery</v>
      </c>
      <c r="N1013" s="18" t="str">
        <f>VLOOKUP(C1013,Customers!$A:$E,5,FALSE)</f>
        <v>SMB</v>
      </c>
      <c r="O1013" s="18">
        <f>VLOOKUP(C1013,Customers!$A:$C,3,FALSE)</f>
        <v>44</v>
      </c>
    </row>
    <row r="1014" spans="1:19" ht="14.25" hidden="1" customHeight="1" x14ac:dyDescent="0.3">
      <c r="A1014" s="8" t="s">
        <v>2068</v>
      </c>
      <c r="B1014" s="9">
        <v>45358</v>
      </c>
      <c r="C1014" s="8" t="s">
        <v>790</v>
      </c>
      <c r="D1014" s="8" t="s">
        <v>569</v>
      </c>
      <c r="E1014" s="8" t="s">
        <v>145</v>
      </c>
      <c r="F1014" s="10">
        <v>8</v>
      </c>
      <c r="G1014" s="10">
        <v>3730</v>
      </c>
      <c r="H1014" s="10">
        <v>2.1</v>
      </c>
      <c r="I1014" s="10">
        <v>29213.360000000001</v>
      </c>
      <c r="J1014" s="8" t="s">
        <v>193</v>
      </c>
      <c r="K1014" s="8" t="s">
        <v>42</v>
      </c>
      <c r="L1014" s="18" t="str">
        <f>VLOOKUP(D1014,Products!$A:$C,3,FALSE)</f>
        <v>Home</v>
      </c>
      <c r="N1014" s="18" t="str">
        <f>VLOOKUP(C1014,Customers!$A:$E,5,FALSE)</f>
        <v>Retail</v>
      </c>
      <c r="O1014" s="18">
        <f>VLOOKUP(C1014,Customers!$A:$C,3,FALSE)</f>
        <v>44</v>
      </c>
    </row>
    <row r="1015" spans="1:19" ht="14.25" customHeight="1" x14ac:dyDescent="0.3">
      <c r="A1015" s="8" t="s">
        <v>2069</v>
      </c>
      <c r="B1015" s="21">
        <v>45598</v>
      </c>
      <c r="C1015" s="8" t="s">
        <v>700</v>
      </c>
      <c r="D1015" s="8" t="s">
        <v>171</v>
      </c>
      <c r="E1015" s="8" t="s">
        <v>153</v>
      </c>
      <c r="F1015" s="10">
        <v>7</v>
      </c>
      <c r="G1015" s="10">
        <v>970</v>
      </c>
      <c r="H1015" s="10">
        <v>25.5</v>
      </c>
      <c r="I1015" s="10">
        <v>5058.55</v>
      </c>
      <c r="J1015" s="8" t="s">
        <v>41</v>
      </c>
      <c r="K1015" s="8" t="s">
        <v>42</v>
      </c>
      <c r="L1015" s="18" t="str">
        <f>VLOOKUP(D1015,Products!$A:$C,3,FALSE)</f>
        <v>Grocery</v>
      </c>
      <c r="N1015" s="18" t="str">
        <f>VLOOKUP(C1015,Customers!$A:$E,5,FALSE)</f>
        <v>Retail</v>
      </c>
      <c r="O1015" s="18">
        <f>VLOOKUP(C1015,Customers!$A:$C,3,FALSE)</f>
        <v>31</v>
      </c>
      <c r="P1015" s="18" t="str">
        <f>VLOOKUP(E1014,Sales_Reps!$A:$C,3,FALSE)</f>
        <v>West</v>
      </c>
      <c r="Q1015" s="18" t="str">
        <f t="shared" ref="Q1015:Q1017" si="210">TEXT(B1014,"MMM-YY")</f>
        <v>Mar-24</v>
      </c>
      <c r="R1015">
        <f>VLOOKUP(D1015, Products!A:D, 4, FALSE)</f>
        <v>434</v>
      </c>
      <c r="S1015">
        <f t="shared" ref="S1015:S1017" si="211">(G1015-R1015)/G1015</f>
        <v>0.5525773195876289</v>
      </c>
    </row>
    <row r="1016" spans="1:19" ht="14.25" customHeight="1" x14ac:dyDescent="0.3">
      <c r="A1016" s="8" t="s">
        <v>2070</v>
      </c>
      <c r="B1016" s="21">
        <v>45318</v>
      </c>
      <c r="C1016" s="8" t="s">
        <v>543</v>
      </c>
      <c r="D1016" s="8" t="s">
        <v>211</v>
      </c>
      <c r="E1016" s="8" t="s">
        <v>196</v>
      </c>
      <c r="F1016" s="10">
        <v>6</v>
      </c>
      <c r="G1016" s="10">
        <v>3570</v>
      </c>
      <c r="H1016" s="10">
        <v>9.9</v>
      </c>
      <c r="I1016" s="10">
        <v>19299.419999999998</v>
      </c>
      <c r="J1016" s="8" t="s">
        <v>41</v>
      </c>
      <c r="K1016" s="8" t="s">
        <v>119</v>
      </c>
      <c r="L1016" s="18" t="str">
        <f>VLOOKUP(D1016,Products!$A:$C,3,FALSE)</f>
        <v>Electronics</v>
      </c>
      <c r="N1016" s="18" t="str">
        <f>VLOOKUP(C1016,Customers!$A:$E,5,FALSE)</f>
        <v>SMB</v>
      </c>
      <c r="O1016" s="18">
        <f>VLOOKUP(C1016,Customers!$A:$C,3,FALSE)</f>
        <v>28</v>
      </c>
      <c r="P1016" s="18" t="str">
        <f>VLOOKUP(E1015,Sales_Reps!$A:$C,3,FALSE)</f>
        <v>West</v>
      </c>
      <c r="Q1016" s="18" t="str">
        <f t="shared" si="210"/>
        <v>Nov-24</v>
      </c>
      <c r="R1016">
        <f>VLOOKUP(D1016, Products!A:D, 4, FALSE)</f>
        <v>1665</v>
      </c>
      <c r="S1016">
        <f t="shared" si="211"/>
        <v>0.53361344537815125</v>
      </c>
    </row>
    <row r="1017" spans="1:19" ht="14.25" customHeight="1" x14ac:dyDescent="0.3">
      <c r="A1017" s="8" t="s">
        <v>2071</v>
      </c>
      <c r="B1017" s="21">
        <v>45524</v>
      </c>
      <c r="C1017" s="8" t="s">
        <v>822</v>
      </c>
      <c r="D1017" s="8" t="s">
        <v>171</v>
      </c>
      <c r="E1017" s="8" t="s">
        <v>221</v>
      </c>
      <c r="F1017" s="10">
        <v>6</v>
      </c>
      <c r="G1017" s="10">
        <v>970</v>
      </c>
      <c r="H1017" s="10">
        <v>19.600000000000001</v>
      </c>
      <c r="I1017" s="10">
        <v>4679.28</v>
      </c>
      <c r="J1017" s="8" t="s">
        <v>41</v>
      </c>
      <c r="K1017" s="8" t="s">
        <v>98</v>
      </c>
      <c r="L1017" s="18" t="str">
        <f>VLOOKUP(D1017,Products!$A:$C,3,FALSE)</f>
        <v>Grocery</v>
      </c>
      <c r="N1017" s="18" t="str">
        <f>VLOOKUP(C1017,Customers!$A:$E,5,FALSE)</f>
        <v>Retail</v>
      </c>
      <c r="O1017" s="18">
        <f>VLOOKUP(C1017,Customers!$A:$C,3,FALSE)</f>
        <v>26</v>
      </c>
      <c r="P1017" s="18" t="str">
        <f>VLOOKUP(E1016,Sales_Reps!$A:$C,3,FALSE)</f>
        <v>East</v>
      </c>
      <c r="Q1017" s="18" t="str">
        <f t="shared" si="210"/>
        <v>Jan-24</v>
      </c>
      <c r="R1017">
        <f>VLOOKUP(D1017, Products!A:D, 4, FALSE)</f>
        <v>434</v>
      </c>
      <c r="S1017">
        <f t="shared" si="211"/>
        <v>0.5525773195876289</v>
      </c>
    </row>
    <row r="1018" spans="1:19" ht="14.25" hidden="1" customHeight="1" x14ac:dyDescent="0.3">
      <c r="A1018" s="8" t="s">
        <v>2072</v>
      </c>
      <c r="B1018" s="9">
        <v>45554</v>
      </c>
      <c r="C1018" s="8" t="s">
        <v>519</v>
      </c>
      <c r="D1018" s="8" t="s">
        <v>964</v>
      </c>
      <c r="E1018" s="8" t="s">
        <v>865</v>
      </c>
      <c r="F1018" s="10">
        <v>8</v>
      </c>
      <c r="G1018" s="10">
        <v>3780</v>
      </c>
      <c r="H1018" s="10">
        <v>26.5</v>
      </c>
      <c r="I1018" s="10">
        <v>22226.400000000001</v>
      </c>
      <c r="J1018" s="8" t="s">
        <v>41</v>
      </c>
      <c r="K1018" s="8" t="s">
        <v>119</v>
      </c>
      <c r="L1018" s="18" t="str">
        <f>VLOOKUP(D1018,Products!$A:$C,3,FALSE)</f>
        <v>Sports</v>
      </c>
      <c r="N1018" s="18" t="str">
        <f>VLOOKUP(C1018,Customers!$A:$E,5,FALSE)</f>
        <v>SMB</v>
      </c>
      <c r="O1018" s="18">
        <f>VLOOKUP(C1018,Customers!$A:$C,3,FALSE)</f>
        <v>50</v>
      </c>
    </row>
    <row r="1019" spans="1:19" ht="14.25" customHeight="1" x14ac:dyDescent="0.3">
      <c r="A1019" s="8" t="s">
        <v>2073</v>
      </c>
      <c r="B1019" s="21">
        <v>45528</v>
      </c>
      <c r="C1019" s="8" t="s">
        <v>673</v>
      </c>
      <c r="D1019" s="8" t="s">
        <v>205</v>
      </c>
      <c r="E1019" s="8" t="s">
        <v>865</v>
      </c>
      <c r="F1019" s="10">
        <v>6</v>
      </c>
      <c r="G1019" s="10">
        <v>2400</v>
      </c>
      <c r="H1019" s="10">
        <v>1.4</v>
      </c>
      <c r="I1019" s="10">
        <v>14198.4</v>
      </c>
      <c r="J1019" s="8" t="s">
        <v>41</v>
      </c>
      <c r="K1019" s="8" t="s">
        <v>136</v>
      </c>
      <c r="L1019" s="18" t="str">
        <f>VLOOKUP(D1019,Products!$A:$C,3,FALSE)</f>
        <v>Sports</v>
      </c>
      <c r="N1019" s="18" t="str">
        <f>VLOOKUP(C1019,Customers!$A:$E,5,FALSE)</f>
        <v>Retail</v>
      </c>
      <c r="O1019" s="18">
        <f>VLOOKUP(C1019,Customers!$A:$C,3,FALSE)</f>
        <v>28</v>
      </c>
      <c r="P1019" s="18" t="str">
        <f>VLOOKUP(E1018,Sales_Reps!$A:$C,3,FALSE)</f>
        <v>South</v>
      </c>
      <c r="Q1019" s="18" t="str">
        <f t="shared" ref="Q1019:Q1020" si="212">TEXT(B1018,"MMM-YY")</f>
        <v>Sep-24</v>
      </c>
      <c r="R1019">
        <f>VLOOKUP(D1019, Products!A:D, 4, FALSE)</f>
        <v>974</v>
      </c>
      <c r="S1019">
        <f t="shared" ref="S1019:S1020" si="213">(G1019-R1019)/G1019</f>
        <v>0.59416666666666662</v>
      </c>
    </row>
    <row r="1020" spans="1:19" ht="14.25" customHeight="1" x14ac:dyDescent="0.3">
      <c r="A1020" s="8" t="s">
        <v>2074</v>
      </c>
      <c r="B1020" s="21">
        <v>45486</v>
      </c>
      <c r="C1020" s="8" t="s">
        <v>645</v>
      </c>
      <c r="D1020" s="8" t="s">
        <v>192</v>
      </c>
      <c r="E1020" s="8" t="s">
        <v>216</v>
      </c>
      <c r="F1020" s="10">
        <v>10</v>
      </c>
      <c r="G1020" s="10">
        <v>3250</v>
      </c>
      <c r="H1020" s="10">
        <v>19.3</v>
      </c>
      <c r="I1020" s="10">
        <v>26227.5</v>
      </c>
      <c r="J1020" s="8" t="s">
        <v>41</v>
      </c>
      <c r="K1020" s="8" t="s">
        <v>119</v>
      </c>
      <c r="L1020" s="18" t="str">
        <f>VLOOKUP(D1020,Products!$A:$C,3,FALSE)</f>
        <v>Home</v>
      </c>
      <c r="N1020" s="18" t="str">
        <f>VLOOKUP(C1020,Customers!$A:$E,5,FALSE)</f>
        <v>SMB</v>
      </c>
      <c r="O1020" s="18">
        <f>VLOOKUP(C1020,Customers!$A:$C,3,FALSE)</f>
        <v>38</v>
      </c>
      <c r="P1020" s="18" t="str">
        <f>VLOOKUP(E1019,Sales_Reps!$A:$C,3,FALSE)</f>
        <v>South</v>
      </c>
      <c r="Q1020" s="18" t="str">
        <f t="shared" si="212"/>
        <v>Aug-24</v>
      </c>
      <c r="R1020">
        <f>VLOOKUP(D1020, Products!A:D, 4, FALSE)</f>
        <v>1556</v>
      </c>
      <c r="S1020">
        <f t="shared" si="213"/>
        <v>0.52123076923076928</v>
      </c>
    </row>
    <row r="1021" spans="1:19" ht="14.25" hidden="1" customHeight="1" x14ac:dyDescent="0.3">
      <c r="A1021" s="8" t="s">
        <v>2075</v>
      </c>
      <c r="B1021" s="9">
        <v>45336</v>
      </c>
      <c r="C1021" s="8" t="s">
        <v>580</v>
      </c>
      <c r="D1021" s="8" t="s">
        <v>374</v>
      </c>
      <c r="E1021" s="8" t="s">
        <v>117</v>
      </c>
      <c r="F1021" s="10">
        <v>7</v>
      </c>
      <c r="G1021" s="10">
        <v>2760</v>
      </c>
      <c r="H1021" s="10">
        <v>23.6</v>
      </c>
      <c r="I1021" s="10">
        <v>14760.48</v>
      </c>
      <c r="J1021" s="8" t="s">
        <v>97</v>
      </c>
      <c r="K1021" s="8" t="s">
        <v>178</v>
      </c>
      <c r="L1021" s="18" t="str">
        <f>VLOOKUP(D1021,Products!$A:$C,3,FALSE)</f>
        <v>Grocery</v>
      </c>
      <c r="N1021" s="18" t="str">
        <f>VLOOKUP(C1021,Customers!$A:$E,5,FALSE)</f>
        <v>Retail</v>
      </c>
      <c r="O1021" s="18">
        <f>VLOOKUP(C1021,Customers!$A:$C,3,FALSE)</f>
        <v>44</v>
      </c>
    </row>
    <row r="1022" spans="1:19" ht="14.25" hidden="1" customHeight="1" x14ac:dyDescent="0.3">
      <c r="A1022" s="8" t="s">
        <v>2076</v>
      </c>
      <c r="B1022" s="9">
        <v>45463</v>
      </c>
      <c r="C1022" s="8" t="s">
        <v>587</v>
      </c>
      <c r="D1022" s="8" t="s">
        <v>211</v>
      </c>
      <c r="E1022" s="8" t="s">
        <v>231</v>
      </c>
      <c r="F1022" s="10">
        <v>3</v>
      </c>
      <c r="G1022" s="10">
        <v>3570</v>
      </c>
      <c r="H1022" s="10">
        <v>26.3</v>
      </c>
      <c r="I1022" s="10">
        <v>7893.27</v>
      </c>
      <c r="J1022" s="8" t="s">
        <v>41</v>
      </c>
      <c r="K1022" s="8" t="s">
        <v>136</v>
      </c>
      <c r="L1022" s="18" t="str">
        <f>VLOOKUP(D1022,Products!$A:$C,3,FALSE)</f>
        <v>Electronics</v>
      </c>
      <c r="N1022" s="18" t="str">
        <f>VLOOKUP(C1022,Customers!$A:$E,5,FALSE)</f>
        <v>SMB</v>
      </c>
      <c r="O1022" s="18">
        <f>VLOOKUP(C1022,Customers!$A:$C,3,FALSE)</f>
        <v>64</v>
      </c>
    </row>
    <row r="1023" spans="1:19" ht="14.25" customHeight="1" x14ac:dyDescent="0.3">
      <c r="A1023" s="8" t="s">
        <v>2077</v>
      </c>
      <c r="B1023" s="21">
        <v>45392</v>
      </c>
      <c r="C1023" s="8" t="s">
        <v>442</v>
      </c>
      <c r="D1023" s="8" t="s">
        <v>624</v>
      </c>
      <c r="E1023" s="8" t="s">
        <v>301</v>
      </c>
      <c r="F1023" s="10">
        <v>4</v>
      </c>
      <c r="G1023" s="10">
        <v>3780</v>
      </c>
      <c r="H1023" s="10">
        <v>10.1</v>
      </c>
      <c r="I1023" s="10">
        <v>13592.88</v>
      </c>
      <c r="J1023" s="8" t="s">
        <v>41</v>
      </c>
      <c r="K1023" s="8" t="s">
        <v>98</v>
      </c>
      <c r="L1023" s="18" t="str">
        <f>VLOOKUP(D1023,Products!$A:$C,3,FALSE)</f>
        <v>Grocery</v>
      </c>
      <c r="N1023" s="18" t="str">
        <f>VLOOKUP(C1023,Customers!$A:$E,5,FALSE)</f>
        <v>Retail</v>
      </c>
      <c r="O1023" s="18">
        <f>VLOOKUP(C1023,Customers!$A:$C,3,FALSE)</f>
        <v>26</v>
      </c>
      <c r="P1023" s="18" t="str">
        <f>VLOOKUP(E1022,Sales_Reps!$A:$C,3,FALSE)</f>
        <v>North</v>
      </c>
      <c r="Q1023" s="18" t="str">
        <f>TEXT(B1022,"MMM-YY")</f>
        <v>Jun-24</v>
      </c>
      <c r="R1023">
        <f>VLOOKUP(D1023, Products!A:D, 4, FALSE)</f>
        <v>2436</v>
      </c>
      <c r="S1023">
        <f>(G1023-R1023)/G1023</f>
        <v>0.35555555555555557</v>
      </c>
    </row>
    <row r="1024" spans="1:19" ht="14.25" hidden="1" customHeight="1" x14ac:dyDescent="0.3">
      <c r="A1024" s="8" t="s">
        <v>2078</v>
      </c>
      <c r="B1024" s="9">
        <v>45600</v>
      </c>
      <c r="C1024" s="8" t="s">
        <v>740</v>
      </c>
      <c r="D1024" s="8" t="s">
        <v>140</v>
      </c>
      <c r="E1024" s="8" t="s">
        <v>158</v>
      </c>
      <c r="F1024" s="10">
        <v>10</v>
      </c>
      <c r="G1024" s="10">
        <v>1430</v>
      </c>
      <c r="H1024" s="10">
        <v>3.7</v>
      </c>
      <c r="I1024" s="10">
        <v>13770.9</v>
      </c>
      <c r="J1024" s="8" t="s">
        <v>41</v>
      </c>
      <c r="K1024" s="8" t="s">
        <v>98</v>
      </c>
      <c r="L1024" s="18" t="str">
        <f>VLOOKUP(D1024,Products!$A:$C,3,FALSE)</f>
        <v>Electronics</v>
      </c>
      <c r="N1024" s="18" t="str">
        <f>VLOOKUP(C1024,Customers!$A:$E,5,FALSE)</f>
        <v>Retail</v>
      </c>
      <c r="O1024" s="18">
        <f>VLOOKUP(C1024,Customers!$A:$C,3,FALSE)</f>
        <v>61</v>
      </c>
    </row>
    <row r="1025" spans="1:19" ht="14.25" customHeight="1" x14ac:dyDescent="0.3">
      <c r="A1025" s="8" t="s">
        <v>2079</v>
      </c>
      <c r="B1025" s="21">
        <v>45411</v>
      </c>
      <c r="C1025" s="8" t="s">
        <v>235</v>
      </c>
      <c r="D1025" s="8" t="s">
        <v>691</v>
      </c>
      <c r="E1025" s="8" t="s">
        <v>865</v>
      </c>
      <c r="F1025" s="10">
        <v>6</v>
      </c>
      <c r="G1025" s="10">
        <v>2270</v>
      </c>
      <c r="H1025" s="10">
        <v>7.9</v>
      </c>
      <c r="I1025" s="10">
        <v>12544.02</v>
      </c>
      <c r="J1025" s="8" t="s">
        <v>193</v>
      </c>
      <c r="K1025" s="8" t="s">
        <v>178</v>
      </c>
      <c r="L1025" s="18" t="str">
        <f>VLOOKUP(D1025,Products!$A:$C,3,FALSE)</f>
        <v>Grocery</v>
      </c>
      <c r="N1025" s="18" t="str">
        <f>VLOOKUP(C1025,Customers!$A:$E,5,FALSE)</f>
        <v>SMB</v>
      </c>
      <c r="O1025" s="18">
        <f>VLOOKUP(C1025,Customers!$A:$C,3,FALSE)</f>
        <v>29</v>
      </c>
      <c r="P1025" s="18" t="str">
        <f>VLOOKUP(E1024,Sales_Reps!$A:$C,3,FALSE)</f>
        <v>East</v>
      </c>
      <c r="Q1025" s="18" t="str">
        <f>TEXT(B1024,"MMM-YY")</f>
        <v>Nov-24</v>
      </c>
      <c r="R1025">
        <f>VLOOKUP(D1025, Products!A:D, 4, FALSE)</f>
        <v>1412</v>
      </c>
      <c r="S1025">
        <f>(G1025-R1025)/G1025</f>
        <v>0.37797356828193834</v>
      </c>
    </row>
    <row r="1026" spans="1:19" ht="14.25" hidden="1" customHeight="1" x14ac:dyDescent="0.3">
      <c r="A1026" s="8" t="s">
        <v>2080</v>
      </c>
      <c r="B1026" s="9">
        <v>45406</v>
      </c>
      <c r="C1026" s="8" t="s">
        <v>314</v>
      </c>
      <c r="D1026" s="8" t="s">
        <v>260</v>
      </c>
      <c r="E1026" s="8" t="s">
        <v>745</v>
      </c>
      <c r="F1026" s="10">
        <v>1</v>
      </c>
      <c r="G1026" s="10">
        <v>1010</v>
      </c>
      <c r="H1026" s="10">
        <v>6.9</v>
      </c>
      <c r="I1026" s="10">
        <v>940.31</v>
      </c>
      <c r="J1026" s="8" t="s">
        <v>97</v>
      </c>
      <c r="K1026" s="8" t="s">
        <v>178</v>
      </c>
      <c r="L1026" s="18" t="str">
        <f>VLOOKUP(D1026,Products!$A:$C,3,FALSE)</f>
        <v>Sports</v>
      </c>
      <c r="N1026" s="18" t="str">
        <f>VLOOKUP(C1026,Customers!$A:$E,5,FALSE)</f>
        <v>Corporate</v>
      </c>
      <c r="O1026" s="18">
        <f>VLOOKUP(C1026,Customers!$A:$C,3,FALSE)</f>
        <v>52</v>
      </c>
    </row>
    <row r="1027" spans="1:19" ht="14.25" customHeight="1" x14ac:dyDescent="0.3">
      <c r="A1027" s="8" t="s">
        <v>2081</v>
      </c>
      <c r="B1027" s="21">
        <v>45411</v>
      </c>
      <c r="C1027" s="8" t="s">
        <v>241</v>
      </c>
      <c r="D1027" s="8" t="s">
        <v>338</v>
      </c>
      <c r="E1027" s="8" t="s">
        <v>117</v>
      </c>
      <c r="F1027" s="10">
        <v>2</v>
      </c>
      <c r="G1027" s="10">
        <v>2860</v>
      </c>
      <c r="H1027" s="10">
        <v>20.100000000000001</v>
      </c>
      <c r="I1027" s="10">
        <v>4570.28</v>
      </c>
      <c r="J1027" s="8" t="s">
        <v>41</v>
      </c>
      <c r="K1027" s="8" t="s">
        <v>178</v>
      </c>
      <c r="L1027" s="18" t="str">
        <f>VLOOKUP(D1027,Products!$A:$C,3,FALSE)</f>
        <v>Sports</v>
      </c>
      <c r="N1027" s="18" t="str">
        <f>VLOOKUP(C1027,Customers!$A:$E,5,FALSE)</f>
        <v>SMB</v>
      </c>
      <c r="O1027" s="18">
        <f>VLOOKUP(C1027,Customers!$A:$C,3,FALSE)</f>
        <v>40</v>
      </c>
      <c r="P1027" s="18" t="str">
        <f>VLOOKUP(E1026,Sales_Reps!$A:$C,3,FALSE)</f>
        <v>South</v>
      </c>
      <c r="Q1027" s="18" t="str">
        <f>TEXT(B1026,"MMM-YY")</f>
        <v>Apr-24</v>
      </c>
      <c r="R1027">
        <f>VLOOKUP(D1027, Products!A:D, 4, FALSE)</f>
        <v>2028</v>
      </c>
      <c r="S1027">
        <f>(G1027-R1027)/G1027</f>
        <v>0.29090909090909089</v>
      </c>
    </row>
    <row r="1028" spans="1:19" ht="14.25" hidden="1" customHeight="1" x14ac:dyDescent="0.3">
      <c r="A1028" s="8" t="s">
        <v>2082</v>
      </c>
      <c r="B1028" s="9">
        <v>45461</v>
      </c>
      <c r="C1028" s="8" t="s">
        <v>523</v>
      </c>
      <c r="D1028" s="8" t="s">
        <v>184</v>
      </c>
      <c r="E1028" s="8" t="s">
        <v>158</v>
      </c>
      <c r="F1028" s="10">
        <v>9</v>
      </c>
      <c r="G1028" s="10">
        <v>2600</v>
      </c>
      <c r="H1028" s="10">
        <v>15.9</v>
      </c>
      <c r="I1028" s="10">
        <v>19679.400000000001</v>
      </c>
      <c r="J1028" s="8" t="s">
        <v>147</v>
      </c>
      <c r="K1028" s="8" t="s">
        <v>98</v>
      </c>
      <c r="L1028" s="18" t="str">
        <f>VLOOKUP(D1028,Products!$A:$C,3,FALSE)</f>
        <v>Electronics</v>
      </c>
      <c r="N1028" s="18" t="str">
        <f>VLOOKUP(C1028,Customers!$A:$E,5,FALSE)</f>
        <v>Corporate</v>
      </c>
      <c r="O1028" s="18">
        <f>VLOOKUP(C1028,Customers!$A:$C,3,FALSE)</f>
        <v>44</v>
      </c>
    </row>
    <row r="1029" spans="1:19" ht="14.25" hidden="1" customHeight="1" x14ac:dyDescent="0.3">
      <c r="A1029" s="8" t="s">
        <v>2083</v>
      </c>
      <c r="B1029" s="9">
        <v>45409</v>
      </c>
      <c r="C1029" s="8" t="s">
        <v>525</v>
      </c>
      <c r="D1029" s="8" t="s">
        <v>116</v>
      </c>
      <c r="E1029" s="8" t="s">
        <v>153</v>
      </c>
      <c r="F1029" s="10">
        <v>10</v>
      </c>
      <c r="G1029" s="10">
        <v>470</v>
      </c>
      <c r="H1029" s="10">
        <v>23.1</v>
      </c>
      <c r="I1029" s="10">
        <v>3614.3</v>
      </c>
      <c r="J1029" s="8" t="s">
        <v>97</v>
      </c>
      <c r="K1029" s="8" t="s">
        <v>42</v>
      </c>
      <c r="L1029" s="18" t="str">
        <f>VLOOKUP(D1029,Products!$A:$C,3,FALSE)</f>
        <v>Sports</v>
      </c>
      <c r="N1029" s="18" t="str">
        <f>VLOOKUP(C1029,Customers!$A:$E,5,FALSE)</f>
        <v>Retail</v>
      </c>
      <c r="O1029" s="18">
        <f>VLOOKUP(C1029,Customers!$A:$C,3,FALSE)</f>
        <v>57</v>
      </c>
    </row>
    <row r="1030" spans="1:19" ht="14.25" customHeight="1" x14ac:dyDescent="0.3">
      <c r="A1030" s="8" t="s">
        <v>2084</v>
      </c>
      <c r="B1030" s="21">
        <v>45495</v>
      </c>
      <c r="C1030" s="8" t="s">
        <v>226</v>
      </c>
      <c r="D1030" s="8" t="s">
        <v>389</v>
      </c>
      <c r="E1030" s="8" t="s">
        <v>745</v>
      </c>
      <c r="F1030" s="10">
        <v>10</v>
      </c>
      <c r="G1030" s="10">
        <v>660</v>
      </c>
      <c r="H1030" s="10">
        <v>9.4</v>
      </c>
      <c r="I1030" s="10">
        <v>5979.6</v>
      </c>
      <c r="J1030" s="8" t="s">
        <v>41</v>
      </c>
      <c r="K1030" s="8" t="s">
        <v>178</v>
      </c>
      <c r="L1030" s="18" t="str">
        <f>VLOOKUP(D1030,Products!$A:$C,3,FALSE)</f>
        <v>Home</v>
      </c>
      <c r="N1030" s="18" t="str">
        <f>VLOOKUP(C1030,Customers!$A:$E,5,FALSE)</f>
        <v>Retail</v>
      </c>
      <c r="O1030" s="18">
        <f>VLOOKUP(C1030,Customers!$A:$C,3,FALSE)</f>
        <v>32</v>
      </c>
      <c r="P1030" s="18" t="str">
        <f>VLOOKUP(E1029,Sales_Reps!$A:$C,3,FALSE)</f>
        <v>West</v>
      </c>
      <c r="Q1030" s="18" t="str">
        <f>TEXT(B1029,"MMM-YY")</f>
        <v>Apr-24</v>
      </c>
      <c r="R1030">
        <f>VLOOKUP(D1030, Products!A:D, 4, FALSE)</f>
        <v>329</v>
      </c>
      <c r="S1030">
        <f>(G1030-R1030)/G1030</f>
        <v>0.50151515151515147</v>
      </c>
    </row>
    <row r="1031" spans="1:19" ht="14.25" hidden="1" customHeight="1" x14ac:dyDescent="0.3">
      <c r="A1031" s="8" t="s">
        <v>2085</v>
      </c>
      <c r="B1031" s="9">
        <v>45307</v>
      </c>
      <c r="C1031" s="8" t="s">
        <v>446</v>
      </c>
      <c r="D1031" s="8" t="s">
        <v>160</v>
      </c>
      <c r="E1031" s="8" t="s">
        <v>208</v>
      </c>
      <c r="F1031" s="10">
        <v>5</v>
      </c>
      <c r="G1031" s="10">
        <v>1220</v>
      </c>
      <c r="H1031" s="10">
        <v>23.3</v>
      </c>
      <c r="I1031" s="10">
        <v>4678.7</v>
      </c>
      <c r="J1031" s="8" t="s">
        <v>41</v>
      </c>
      <c r="K1031" s="8" t="s">
        <v>42</v>
      </c>
      <c r="L1031" s="18" t="str">
        <f>VLOOKUP(D1031,Products!$A:$C,3,FALSE)</f>
        <v>Electronics</v>
      </c>
      <c r="N1031" s="18" t="str">
        <f>VLOOKUP(C1031,Customers!$A:$E,5,FALSE)</f>
        <v>SMB</v>
      </c>
      <c r="O1031" s="18">
        <f>VLOOKUP(C1031,Customers!$A:$C,3,FALSE)</f>
        <v>49</v>
      </c>
    </row>
    <row r="1032" spans="1:19" ht="14.25" hidden="1" customHeight="1" x14ac:dyDescent="0.3">
      <c r="A1032" s="8" t="s">
        <v>2086</v>
      </c>
      <c r="B1032" s="9">
        <v>45294</v>
      </c>
      <c r="C1032" s="8" t="s">
        <v>852</v>
      </c>
      <c r="D1032" s="8" t="s">
        <v>192</v>
      </c>
      <c r="E1032" s="8" t="s">
        <v>865</v>
      </c>
      <c r="F1032" s="10">
        <v>9</v>
      </c>
      <c r="G1032" s="10">
        <v>3250</v>
      </c>
      <c r="H1032" s="10">
        <v>19.600000000000001</v>
      </c>
      <c r="I1032" s="10">
        <v>23517</v>
      </c>
      <c r="J1032" s="8" t="s">
        <v>97</v>
      </c>
      <c r="K1032" s="8" t="s">
        <v>119</v>
      </c>
      <c r="L1032" s="18" t="str">
        <f>VLOOKUP(D1032,Products!$A:$C,3,FALSE)</f>
        <v>Home</v>
      </c>
      <c r="N1032" s="18" t="str">
        <f>VLOOKUP(C1032,Customers!$A:$E,5,FALSE)</f>
        <v>SMB</v>
      </c>
      <c r="O1032" s="18">
        <f>VLOOKUP(C1032,Customers!$A:$C,3,FALSE)</f>
        <v>48</v>
      </c>
    </row>
    <row r="1033" spans="1:19" ht="14.25" customHeight="1" x14ac:dyDescent="0.3">
      <c r="A1033" s="8" t="s">
        <v>2087</v>
      </c>
      <c r="B1033" s="21">
        <v>45542</v>
      </c>
      <c r="C1033" s="8" t="s">
        <v>696</v>
      </c>
      <c r="D1033" s="8" t="s">
        <v>896</v>
      </c>
      <c r="E1033" s="8" t="s">
        <v>167</v>
      </c>
      <c r="F1033" s="10">
        <v>7</v>
      </c>
      <c r="G1033" s="10">
        <v>620</v>
      </c>
      <c r="H1033" s="10">
        <v>29</v>
      </c>
      <c r="I1033" s="10">
        <v>3081.4</v>
      </c>
      <c r="J1033" s="8" t="s">
        <v>41</v>
      </c>
      <c r="K1033" s="8" t="s">
        <v>136</v>
      </c>
      <c r="L1033" s="18" t="str">
        <f>VLOOKUP(D1033,Products!$A:$C,3,FALSE)</f>
        <v>Apparel</v>
      </c>
      <c r="N1033" s="18" t="str">
        <f>VLOOKUP(C1033,Customers!$A:$E,5,FALSE)</f>
        <v>Retail</v>
      </c>
      <c r="O1033" s="18">
        <f>VLOOKUP(C1033,Customers!$A:$C,3,FALSE)</f>
        <v>36</v>
      </c>
      <c r="P1033" s="18" t="str">
        <f>VLOOKUP(E1032,Sales_Reps!$A:$C,3,FALSE)</f>
        <v>South</v>
      </c>
      <c r="Q1033" s="18" t="str">
        <f>TEXT(B1032,"MMM-YY")</f>
        <v>Jan-24</v>
      </c>
      <c r="R1033">
        <f>VLOOKUP(D1033, Products!A:D, 4, FALSE)</f>
        <v>396</v>
      </c>
      <c r="S1033">
        <f>(G1033-R1033)/G1033</f>
        <v>0.36129032258064514</v>
      </c>
    </row>
    <row r="1034" spans="1:19" ht="14.25" hidden="1" customHeight="1" x14ac:dyDescent="0.3">
      <c r="A1034" s="8" t="s">
        <v>2088</v>
      </c>
      <c r="B1034" s="9">
        <v>45453</v>
      </c>
      <c r="C1034" s="8" t="s">
        <v>223</v>
      </c>
      <c r="D1034" s="8" t="s">
        <v>818</v>
      </c>
      <c r="E1034" s="8" t="s">
        <v>125</v>
      </c>
      <c r="F1034" s="10">
        <v>9</v>
      </c>
      <c r="G1034" s="10">
        <v>4070</v>
      </c>
      <c r="H1034" s="10">
        <v>16.2</v>
      </c>
      <c r="I1034" s="10">
        <v>30695.94</v>
      </c>
      <c r="J1034" s="8" t="s">
        <v>41</v>
      </c>
      <c r="K1034" s="8" t="s">
        <v>98</v>
      </c>
      <c r="L1034" s="18" t="str">
        <f>VLOOKUP(D1034,Products!$A:$C,3,FALSE)</f>
        <v>Grocery</v>
      </c>
      <c r="N1034" s="18" t="str">
        <f>VLOOKUP(C1034,Customers!$A:$E,5,FALSE)</f>
        <v>Retail</v>
      </c>
      <c r="O1034" s="18">
        <f>VLOOKUP(C1034,Customers!$A:$C,3,FALSE)</f>
        <v>49</v>
      </c>
    </row>
    <row r="1035" spans="1:19" ht="14.25" customHeight="1" x14ac:dyDescent="0.3">
      <c r="A1035" s="8" t="s">
        <v>2089</v>
      </c>
      <c r="B1035" s="21">
        <v>45351</v>
      </c>
      <c r="C1035" s="8" t="s">
        <v>778</v>
      </c>
      <c r="D1035" s="8" t="s">
        <v>134</v>
      </c>
      <c r="E1035" s="8" t="s">
        <v>38</v>
      </c>
      <c r="F1035" s="10">
        <v>8</v>
      </c>
      <c r="G1035" s="10">
        <v>3160</v>
      </c>
      <c r="H1035" s="10">
        <v>23.8</v>
      </c>
      <c r="I1035" s="10">
        <v>19263.36</v>
      </c>
      <c r="J1035" s="8" t="s">
        <v>41</v>
      </c>
      <c r="K1035" s="8" t="s">
        <v>136</v>
      </c>
      <c r="L1035" s="18" t="str">
        <f>VLOOKUP(D1035,Products!$A:$C,3,FALSE)</f>
        <v>Apparel</v>
      </c>
      <c r="N1035" s="18" t="str">
        <f>VLOOKUP(C1035,Customers!$A:$E,5,FALSE)</f>
        <v>Retail</v>
      </c>
      <c r="O1035" s="18">
        <f>VLOOKUP(C1035,Customers!$A:$C,3,FALSE)</f>
        <v>27</v>
      </c>
      <c r="P1035" s="18" t="str">
        <f>VLOOKUP(E1034,Sales_Reps!$A:$C,3,FALSE)</f>
        <v>North</v>
      </c>
      <c r="Q1035" s="18" t="str">
        <f t="shared" ref="Q1035:Q1036" si="214">TEXT(B1034,"MMM-YY")</f>
        <v>Jun-24</v>
      </c>
      <c r="R1035">
        <f>VLOOKUP(D1035, Products!A:D, 4, FALSE)</f>
        <v>1886</v>
      </c>
      <c r="S1035">
        <f t="shared" ref="S1035:S1036" si="215">(G1035-R1035)/G1035</f>
        <v>0.4031645569620253</v>
      </c>
    </row>
    <row r="1036" spans="1:19" ht="14.25" customHeight="1" x14ac:dyDescent="0.3">
      <c r="A1036" s="8" t="s">
        <v>2090</v>
      </c>
      <c r="B1036" s="21">
        <v>45422</v>
      </c>
      <c r="C1036" s="8" t="s">
        <v>133</v>
      </c>
      <c r="D1036" s="8" t="s">
        <v>918</v>
      </c>
      <c r="E1036" s="8" t="s">
        <v>196</v>
      </c>
      <c r="F1036" s="10">
        <v>3</v>
      </c>
      <c r="G1036" s="10">
        <v>2210</v>
      </c>
      <c r="H1036" s="10">
        <v>29.7</v>
      </c>
      <c r="I1036" s="10">
        <v>4660.8900000000003</v>
      </c>
      <c r="J1036" s="8" t="s">
        <v>41</v>
      </c>
      <c r="K1036" s="8" t="s">
        <v>98</v>
      </c>
      <c r="L1036" s="18" t="str">
        <f>VLOOKUP(D1036,Products!$A:$C,3,FALSE)</f>
        <v>Grocery</v>
      </c>
      <c r="N1036" s="18" t="str">
        <f>VLOOKUP(C1036,Customers!$A:$E,5,FALSE)</f>
        <v>Retail</v>
      </c>
      <c r="O1036" s="18">
        <f>VLOOKUP(C1036,Customers!$A:$C,3,FALSE)</f>
        <v>36</v>
      </c>
      <c r="P1036" s="18" t="str">
        <f>VLOOKUP(E1035,Sales_Reps!$A:$C,3,FALSE)</f>
        <v>North</v>
      </c>
      <c r="Q1036" s="18" t="str">
        <f t="shared" si="214"/>
        <v>Feb-24</v>
      </c>
      <c r="R1036">
        <f>VLOOKUP(D1036, Products!A:D, 4, FALSE)</f>
        <v>1010</v>
      </c>
      <c r="S1036">
        <f t="shared" si="215"/>
        <v>0.54298642533936647</v>
      </c>
    </row>
    <row r="1037" spans="1:19" ht="14.25" hidden="1" customHeight="1" x14ac:dyDescent="0.3">
      <c r="A1037" s="8" t="s">
        <v>2091</v>
      </c>
      <c r="B1037" s="9">
        <v>45361</v>
      </c>
      <c r="C1037" s="8" t="s">
        <v>740</v>
      </c>
      <c r="D1037" s="8" t="s">
        <v>116</v>
      </c>
      <c r="E1037" s="8" t="s">
        <v>145</v>
      </c>
      <c r="F1037" s="10">
        <v>9</v>
      </c>
      <c r="G1037" s="10">
        <v>470</v>
      </c>
      <c r="H1037" s="10">
        <v>27.1</v>
      </c>
      <c r="I1037" s="10">
        <v>3083.67</v>
      </c>
      <c r="J1037" s="8" t="s">
        <v>41</v>
      </c>
      <c r="K1037" s="8" t="s">
        <v>98</v>
      </c>
      <c r="L1037" s="18" t="str">
        <f>VLOOKUP(D1037,Products!$A:$C,3,FALSE)</f>
        <v>Sports</v>
      </c>
      <c r="N1037" s="18" t="str">
        <f>VLOOKUP(C1037,Customers!$A:$E,5,FALSE)</f>
        <v>Retail</v>
      </c>
      <c r="O1037" s="18">
        <f>VLOOKUP(C1037,Customers!$A:$C,3,FALSE)</f>
        <v>61</v>
      </c>
    </row>
    <row r="1038" spans="1:19" ht="14.25" customHeight="1" x14ac:dyDescent="0.3">
      <c r="A1038" s="8" t="s">
        <v>2092</v>
      </c>
      <c r="B1038" s="21">
        <v>45622</v>
      </c>
      <c r="C1038" s="8" t="s">
        <v>605</v>
      </c>
      <c r="D1038" s="8" t="s">
        <v>144</v>
      </c>
      <c r="E1038" s="8" t="s">
        <v>321</v>
      </c>
      <c r="F1038" s="10">
        <v>6</v>
      </c>
      <c r="G1038" s="10">
        <v>370</v>
      </c>
      <c r="H1038" s="10">
        <v>5.4</v>
      </c>
      <c r="I1038" s="10">
        <v>2100.12</v>
      </c>
      <c r="J1038" s="8" t="s">
        <v>41</v>
      </c>
      <c r="K1038" s="8" t="s">
        <v>98</v>
      </c>
      <c r="L1038" s="18" t="str">
        <f>VLOOKUP(D1038,Products!$A:$C,3,FALSE)</f>
        <v>Home</v>
      </c>
      <c r="N1038" s="18" t="str">
        <f>VLOOKUP(C1038,Customers!$A:$E,5,FALSE)</f>
        <v>Retail</v>
      </c>
      <c r="O1038" s="18">
        <f>VLOOKUP(C1038,Customers!$A:$C,3,FALSE)</f>
        <v>38</v>
      </c>
      <c r="P1038" s="18" t="str">
        <f>VLOOKUP(E1037,Sales_Reps!$A:$C,3,FALSE)</f>
        <v>West</v>
      </c>
      <c r="Q1038" s="18" t="str">
        <f>TEXT(B1037,"MMM-YY")</f>
        <v>Mar-24</v>
      </c>
      <c r="R1038">
        <f>VLOOKUP(D1038, Products!A:D, 4, FALSE)</f>
        <v>288</v>
      </c>
      <c r="S1038">
        <f>(G1038-R1038)/G1038</f>
        <v>0.22162162162162163</v>
      </c>
    </row>
    <row r="1039" spans="1:19" ht="14.25" hidden="1" customHeight="1" x14ac:dyDescent="0.3">
      <c r="A1039" s="8" t="s">
        <v>2093</v>
      </c>
      <c r="B1039" s="9">
        <v>45496</v>
      </c>
      <c r="C1039" s="8" t="s">
        <v>772</v>
      </c>
      <c r="D1039" s="8" t="s">
        <v>964</v>
      </c>
      <c r="E1039" s="8" t="s">
        <v>167</v>
      </c>
      <c r="F1039" s="10">
        <v>10</v>
      </c>
      <c r="G1039" s="10">
        <v>3780</v>
      </c>
      <c r="H1039" s="10">
        <v>21.5</v>
      </c>
      <c r="I1039" s="10">
        <v>29673</v>
      </c>
      <c r="J1039" s="8" t="s">
        <v>97</v>
      </c>
      <c r="K1039" s="8" t="s">
        <v>146</v>
      </c>
      <c r="L1039" s="18" t="str">
        <f>VLOOKUP(D1039,Products!$A:$C,3,FALSE)</f>
        <v>Sports</v>
      </c>
      <c r="N1039" s="18" t="str">
        <f>VLOOKUP(C1039,Customers!$A:$E,5,FALSE)</f>
        <v>Retail</v>
      </c>
      <c r="O1039" s="18">
        <f>VLOOKUP(C1039,Customers!$A:$C,3,FALSE)</f>
        <v>44</v>
      </c>
    </row>
    <row r="1040" spans="1:19" ht="14.25" hidden="1" customHeight="1" x14ac:dyDescent="0.3">
      <c r="A1040" s="8" t="s">
        <v>2094</v>
      </c>
      <c r="B1040" s="9">
        <v>45578</v>
      </c>
      <c r="C1040" s="8" t="s">
        <v>365</v>
      </c>
      <c r="D1040" s="8" t="s">
        <v>959</v>
      </c>
      <c r="E1040" s="8" t="s">
        <v>214</v>
      </c>
      <c r="F1040" s="10">
        <v>4</v>
      </c>
      <c r="G1040" s="10">
        <v>6940</v>
      </c>
      <c r="H1040" s="10">
        <v>3.9</v>
      </c>
      <c r="I1040" s="10">
        <v>26677.360000000001</v>
      </c>
      <c r="J1040" s="8" t="s">
        <v>147</v>
      </c>
      <c r="K1040" s="8" t="s">
        <v>119</v>
      </c>
      <c r="L1040" s="18" t="str">
        <f>VLOOKUP(D1040,Products!$A:$C,3,FALSE)</f>
        <v>Sports</v>
      </c>
      <c r="N1040" s="18" t="str">
        <f>VLOOKUP(C1040,Customers!$A:$E,5,FALSE)</f>
        <v>Retail</v>
      </c>
      <c r="O1040" s="18">
        <f>VLOOKUP(C1040,Customers!$A:$C,3,FALSE)</f>
        <v>59</v>
      </c>
    </row>
    <row r="1041" spans="1:19" ht="14.25" hidden="1" customHeight="1" x14ac:dyDescent="0.3">
      <c r="A1041" s="8" t="s">
        <v>2095</v>
      </c>
      <c r="B1041" s="9">
        <v>45476</v>
      </c>
      <c r="C1041" s="8" t="s">
        <v>408</v>
      </c>
      <c r="D1041" s="8" t="s">
        <v>569</v>
      </c>
      <c r="E1041" s="8" t="s">
        <v>196</v>
      </c>
      <c r="F1041" s="10">
        <v>3</v>
      </c>
      <c r="G1041" s="10">
        <v>3730</v>
      </c>
      <c r="H1041" s="10">
        <v>20.7</v>
      </c>
      <c r="I1041" s="10">
        <v>8873.67</v>
      </c>
      <c r="J1041" s="8" t="s">
        <v>41</v>
      </c>
      <c r="K1041" s="8" t="s">
        <v>119</v>
      </c>
      <c r="L1041" s="18" t="str">
        <f>VLOOKUP(D1041,Products!$A:$C,3,FALSE)</f>
        <v>Home</v>
      </c>
      <c r="N1041" s="18" t="str">
        <f>VLOOKUP(C1041,Customers!$A:$E,5,FALSE)</f>
        <v>SMB</v>
      </c>
      <c r="O1041" s="18">
        <f>VLOOKUP(C1041,Customers!$A:$C,3,FALSE)</f>
        <v>48</v>
      </c>
    </row>
    <row r="1042" spans="1:19" ht="14.25" customHeight="1" x14ac:dyDescent="0.3">
      <c r="A1042" s="8" t="s">
        <v>2096</v>
      </c>
      <c r="B1042" s="21">
        <v>45300</v>
      </c>
      <c r="C1042" s="8" t="s">
        <v>708</v>
      </c>
      <c r="D1042" s="8" t="s">
        <v>926</v>
      </c>
      <c r="E1042" s="8" t="s">
        <v>145</v>
      </c>
      <c r="F1042" s="10">
        <v>8</v>
      </c>
      <c r="G1042" s="10">
        <v>5080</v>
      </c>
      <c r="H1042" s="10">
        <v>6.2</v>
      </c>
      <c r="I1042" s="10">
        <v>38120.32</v>
      </c>
      <c r="J1042" s="8" t="s">
        <v>41</v>
      </c>
      <c r="K1042" s="8" t="s">
        <v>146</v>
      </c>
      <c r="L1042" s="18" t="str">
        <f>VLOOKUP(D1042,Products!$A:$C,3,FALSE)</f>
        <v>Home</v>
      </c>
      <c r="N1042" s="18" t="str">
        <f>VLOOKUP(C1042,Customers!$A:$E,5,FALSE)</f>
        <v>Retail</v>
      </c>
      <c r="O1042" s="18">
        <f>VLOOKUP(C1042,Customers!$A:$C,3,FALSE)</f>
        <v>37</v>
      </c>
      <c r="P1042" s="18" t="str">
        <f>VLOOKUP(E1041,Sales_Reps!$A:$C,3,FALSE)</f>
        <v>East</v>
      </c>
      <c r="Q1042" s="18" t="str">
        <f t="shared" ref="Q1042:Q1043" si="216">TEXT(B1041,"MMM-YY")</f>
        <v>Jul-24</v>
      </c>
      <c r="R1042">
        <f>VLOOKUP(D1042, Products!A:D, 4, FALSE)</f>
        <v>2459</v>
      </c>
      <c r="S1042">
        <f t="shared" ref="S1042:S1043" si="217">(G1042-R1042)/G1042</f>
        <v>0.51594488188976373</v>
      </c>
    </row>
    <row r="1043" spans="1:19" ht="14.25" customHeight="1" x14ac:dyDescent="0.3">
      <c r="A1043" s="8" t="s">
        <v>2097</v>
      </c>
      <c r="B1043" s="21">
        <v>45455</v>
      </c>
      <c r="C1043" s="8" t="s">
        <v>226</v>
      </c>
      <c r="D1043" s="8" t="s">
        <v>954</v>
      </c>
      <c r="E1043" s="8" t="s">
        <v>231</v>
      </c>
      <c r="F1043" s="10">
        <v>5</v>
      </c>
      <c r="G1043" s="10">
        <v>5410</v>
      </c>
      <c r="H1043" s="10">
        <v>5.2</v>
      </c>
      <c r="I1043" s="10">
        <v>25643.4</v>
      </c>
      <c r="J1043" s="8" t="s">
        <v>41</v>
      </c>
      <c r="K1043" s="8" t="s">
        <v>178</v>
      </c>
      <c r="L1043" s="18" t="str">
        <f>VLOOKUP(D1043,Products!$A:$C,3,FALSE)</f>
        <v>Sports</v>
      </c>
      <c r="N1043" s="18" t="str">
        <f>VLOOKUP(C1043,Customers!$A:$E,5,FALSE)</f>
        <v>Retail</v>
      </c>
      <c r="O1043" s="18">
        <f>VLOOKUP(C1043,Customers!$A:$C,3,FALSE)</f>
        <v>32</v>
      </c>
      <c r="P1043" s="18" t="str">
        <f>VLOOKUP(E1042,Sales_Reps!$A:$C,3,FALSE)</f>
        <v>West</v>
      </c>
      <c r="Q1043" s="18" t="str">
        <f t="shared" si="216"/>
        <v>Jan-24</v>
      </c>
      <c r="R1043">
        <f>VLOOKUP(D1043, Products!A:D, 4, FALSE)</f>
        <v>2265</v>
      </c>
      <c r="S1043">
        <f t="shared" si="217"/>
        <v>0.58133086876155271</v>
      </c>
    </row>
    <row r="1044" spans="1:19" ht="14.25" hidden="1" customHeight="1" x14ac:dyDescent="0.3">
      <c r="A1044" s="8" t="s">
        <v>2098</v>
      </c>
      <c r="B1044" s="9">
        <v>45404</v>
      </c>
      <c r="C1044" s="8" t="s">
        <v>858</v>
      </c>
      <c r="D1044" s="8" t="s">
        <v>239</v>
      </c>
      <c r="E1044" s="8" t="s">
        <v>376</v>
      </c>
      <c r="F1044" s="10">
        <v>6</v>
      </c>
      <c r="G1044" s="10">
        <v>2720</v>
      </c>
      <c r="H1044" s="10">
        <v>29.8</v>
      </c>
      <c r="I1044" s="10">
        <v>11456.64</v>
      </c>
      <c r="J1044" s="8" t="s">
        <v>97</v>
      </c>
      <c r="K1044" s="8" t="s">
        <v>119</v>
      </c>
      <c r="L1044" s="18" t="str">
        <f>VLOOKUP(D1044,Products!$A:$C,3,FALSE)</f>
        <v>Apparel</v>
      </c>
      <c r="N1044" s="18" t="str">
        <f>VLOOKUP(C1044,Customers!$A:$E,5,FALSE)</f>
        <v>Retail</v>
      </c>
      <c r="O1044" s="18">
        <f>VLOOKUP(C1044,Customers!$A:$C,3,FALSE)</f>
        <v>44</v>
      </c>
    </row>
    <row r="1045" spans="1:19" ht="14.25" hidden="1" customHeight="1" x14ac:dyDescent="0.3">
      <c r="A1045" s="8" t="s">
        <v>2099</v>
      </c>
      <c r="B1045" s="9">
        <v>45468</v>
      </c>
      <c r="C1045" s="8" t="s">
        <v>573</v>
      </c>
      <c r="D1045" s="8" t="s">
        <v>160</v>
      </c>
      <c r="E1045" s="8" t="s">
        <v>177</v>
      </c>
      <c r="F1045" s="10">
        <v>1</v>
      </c>
      <c r="G1045" s="10">
        <v>1220</v>
      </c>
      <c r="H1045" s="10">
        <v>22.6</v>
      </c>
      <c r="I1045" s="10">
        <v>944.28</v>
      </c>
      <c r="J1045" s="8" t="s">
        <v>41</v>
      </c>
      <c r="K1045" s="8" t="s">
        <v>136</v>
      </c>
      <c r="L1045" s="18" t="str">
        <f>VLOOKUP(D1045,Products!$A:$C,3,FALSE)</f>
        <v>Electronics</v>
      </c>
      <c r="N1045" s="18" t="str">
        <f>VLOOKUP(C1045,Customers!$A:$E,5,FALSE)</f>
        <v>SMB</v>
      </c>
      <c r="O1045" s="18">
        <f>VLOOKUP(C1045,Customers!$A:$C,3,FALSE)</f>
        <v>44</v>
      </c>
    </row>
    <row r="1046" spans="1:19" ht="14.25" customHeight="1" x14ac:dyDescent="0.3">
      <c r="A1046" s="8" t="s">
        <v>2100</v>
      </c>
      <c r="B1046" s="21">
        <v>45640</v>
      </c>
      <c r="C1046" s="8" t="s">
        <v>286</v>
      </c>
      <c r="D1046" s="8" t="s">
        <v>283</v>
      </c>
      <c r="E1046" s="8" t="s">
        <v>135</v>
      </c>
      <c r="F1046" s="10">
        <v>10</v>
      </c>
      <c r="G1046" s="10">
        <v>4880</v>
      </c>
      <c r="H1046" s="10">
        <v>7.3</v>
      </c>
      <c r="I1046" s="10">
        <v>45237.599999999999</v>
      </c>
      <c r="J1046" s="8" t="s">
        <v>41</v>
      </c>
      <c r="K1046" s="8" t="s">
        <v>98</v>
      </c>
      <c r="L1046" s="18" t="str">
        <f>VLOOKUP(D1046,Products!$A:$C,3,FALSE)</f>
        <v>Beauty</v>
      </c>
      <c r="N1046" s="18" t="str">
        <f>VLOOKUP(C1046,Customers!$A:$E,5,FALSE)</f>
        <v>Retail</v>
      </c>
      <c r="O1046" s="18">
        <f>VLOOKUP(C1046,Customers!$A:$C,3,FALSE)</f>
        <v>31</v>
      </c>
      <c r="P1046" s="18" t="str">
        <f>VLOOKUP(E1045,Sales_Reps!$A:$C,3,FALSE)</f>
        <v>South</v>
      </c>
      <c r="Q1046" s="18" t="str">
        <f>TEXT(B1045,"MMM-YY")</f>
        <v>Jun-24</v>
      </c>
      <c r="R1046">
        <f>VLOOKUP(D1046, Products!A:D, 4, FALSE)</f>
        <v>2768</v>
      </c>
      <c r="S1046">
        <f>(G1046-R1046)/G1046</f>
        <v>0.43278688524590164</v>
      </c>
    </row>
    <row r="1047" spans="1:19" ht="14.25" hidden="1" customHeight="1" x14ac:dyDescent="0.3">
      <c r="A1047" s="8" t="s">
        <v>2101</v>
      </c>
      <c r="B1047" s="9">
        <v>45450</v>
      </c>
      <c r="C1047" s="8" t="s">
        <v>379</v>
      </c>
      <c r="D1047" s="8" t="s">
        <v>691</v>
      </c>
      <c r="E1047" s="8" t="s">
        <v>216</v>
      </c>
      <c r="F1047" s="10">
        <v>10</v>
      </c>
      <c r="G1047" s="10">
        <v>2270</v>
      </c>
      <c r="H1047" s="10">
        <v>1.6</v>
      </c>
      <c r="I1047" s="10">
        <v>22336.799999999999</v>
      </c>
      <c r="J1047" s="8" t="s">
        <v>41</v>
      </c>
      <c r="K1047" s="8" t="s">
        <v>146</v>
      </c>
      <c r="L1047" s="18" t="str">
        <f>VLOOKUP(D1047,Products!$A:$C,3,FALSE)</f>
        <v>Grocery</v>
      </c>
      <c r="N1047" s="18" t="str">
        <f>VLOOKUP(C1047,Customers!$A:$E,5,FALSE)</f>
        <v>Corporate</v>
      </c>
      <c r="O1047" s="18">
        <f>VLOOKUP(C1047,Customers!$A:$C,3,FALSE)</f>
        <v>62</v>
      </c>
    </row>
    <row r="1048" spans="1:19" ht="14.25" hidden="1" customHeight="1" x14ac:dyDescent="0.3">
      <c r="A1048" s="8" t="s">
        <v>2102</v>
      </c>
      <c r="B1048" s="9">
        <v>45589</v>
      </c>
      <c r="C1048" s="8" t="s">
        <v>583</v>
      </c>
      <c r="D1048" s="8" t="s">
        <v>171</v>
      </c>
      <c r="E1048" s="8" t="s">
        <v>200</v>
      </c>
      <c r="F1048" s="10">
        <v>8</v>
      </c>
      <c r="G1048" s="10">
        <v>970</v>
      </c>
      <c r="H1048" s="10">
        <v>13.1</v>
      </c>
      <c r="I1048" s="10">
        <v>6743.44</v>
      </c>
      <c r="J1048" s="8" t="s">
        <v>41</v>
      </c>
      <c r="K1048" s="8" t="s">
        <v>42</v>
      </c>
      <c r="L1048" s="18" t="str">
        <f>VLOOKUP(D1048,Products!$A:$C,3,FALSE)</f>
        <v>Grocery</v>
      </c>
      <c r="N1048" s="18" t="str">
        <f>VLOOKUP(C1048,Customers!$A:$E,5,FALSE)</f>
        <v>SMB</v>
      </c>
      <c r="O1048" s="18">
        <f>VLOOKUP(C1048,Customers!$A:$C,3,FALSE)</f>
        <v>53</v>
      </c>
    </row>
    <row r="1049" spans="1:19" ht="14.25" customHeight="1" x14ac:dyDescent="0.3">
      <c r="A1049" s="8" t="s">
        <v>2103</v>
      </c>
      <c r="B1049" s="21">
        <v>45646</v>
      </c>
      <c r="C1049" s="8" t="s">
        <v>466</v>
      </c>
      <c r="D1049" s="8" t="s">
        <v>909</v>
      </c>
      <c r="E1049" s="8" t="s">
        <v>189</v>
      </c>
      <c r="F1049" s="10">
        <v>7</v>
      </c>
      <c r="G1049" s="10">
        <v>2380</v>
      </c>
      <c r="H1049" s="10">
        <v>10.6</v>
      </c>
      <c r="I1049" s="10">
        <v>14894.04</v>
      </c>
      <c r="J1049" s="8" t="s">
        <v>147</v>
      </c>
      <c r="K1049" s="8" t="s">
        <v>119</v>
      </c>
      <c r="L1049" s="18" t="str">
        <f>VLOOKUP(D1049,Products!$A:$C,3,FALSE)</f>
        <v>Grocery</v>
      </c>
      <c r="N1049" s="18" t="str">
        <f>VLOOKUP(C1049,Customers!$A:$E,5,FALSE)</f>
        <v>Corporate</v>
      </c>
      <c r="O1049" s="18">
        <f>VLOOKUP(C1049,Customers!$A:$C,3,FALSE)</f>
        <v>27</v>
      </c>
      <c r="P1049" s="18" t="str">
        <f>VLOOKUP(E1048,Sales_Reps!$A:$C,3,FALSE)</f>
        <v>North</v>
      </c>
      <c r="Q1049" s="18" t="str">
        <f t="shared" ref="Q1049:Q1050" si="218">TEXT(B1048,"MMM-YY")</f>
        <v>Oct-24</v>
      </c>
      <c r="R1049">
        <f>VLOOKUP(D1049, Products!A:D, 4, FALSE)</f>
        <v>1182</v>
      </c>
      <c r="S1049">
        <f t="shared" ref="S1049:S1050" si="219">(G1049-R1049)/G1049</f>
        <v>0.50336134453781511</v>
      </c>
    </row>
    <row r="1050" spans="1:19" ht="14.25" customHeight="1" x14ac:dyDescent="0.3">
      <c r="A1050" s="8" t="s">
        <v>2104</v>
      </c>
      <c r="B1050" s="21">
        <v>45488</v>
      </c>
      <c r="C1050" s="8" t="s">
        <v>842</v>
      </c>
      <c r="D1050" s="8" t="s">
        <v>37</v>
      </c>
      <c r="E1050" s="8" t="s">
        <v>221</v>
      </c>
      <c r="F1050" s="10">
        <v>6</v>
      </c>
      <c r="G1050" s="10">
        <v>3620</v>
      </c>
      <c r="H1050" s="10">
        <v>21.3</v>
      </c>
      <c r="I1050" s="10">
        <v>17093.64</v>
      </c>
      <c r="J1050" s="8" t="s">
        <v>147</v>
      </c>
      <c r="K1050" s="8" t="s">
        <v>178</v>
      </c>
      <c r="L1050" s="18" t="str">
        <f>VLOOKUP(D1050,Products!$A:$C,3,FALSE)</f>
        <v>Apparel</v>
      </c>
      <c r="N1050" s="18" t="str">
        <f>VLOOKUP(C1050,Customers!$A:$E,5,FALSE)</f>
        <v>Corporate</v>
      </c>
      <c r="O1050" s="18">
        <f>VLOOKUP(C1050,Customers!$A:$C,3,FALSE)</f>
        <v>25</v>
      </c>
      <c r="P1050" s="18" t="str">
        <f>VLOOKUP(E1049,Sales_Reps!$A:$C,3,FALSE)</f>
        <v>South</v>
      </c>
      <c r="Q1050" s="18" t="str">
        <f t="shared" si="218"/>
        <v>Dec-24</v>
      </c>
      <c r="R1050">
        <f>VLOOKUP(D1050, Products!A:D, 4, FALSE)</f>
        <v>2509</v>
      </c>
      <c r="S1050">
        <f t="shared" si="219"/>
        <v>0.3069060773480663</v>
      </c>
    </row>
    <row r="1051" spans="1:19" ht="14.25" hidden="1" customHeight="1" x14ac:dyDescent="0.3">
      <c r="A1051" s="8" t="s">
        <v>2105</v>
      </c>
      <c r="B1051" s="9">
        <v>45555</v>
      </c>
      <c r="C1051" s="8" t="s">
        <v>365</v>
      </c>
      <c r="D1051" s="8" t="s">
        <v>818</v>
      </c>
      <c r="E1051" s="8" t="s">
        <v>619</v>
      </c>
      <c r="F1051" s="10">
        <v>3</v>
      </c>
      <c r="G1051" s="10">
        <v>4070</v>
      </c>
      <c r="H1051" s="10">
        <v>8.1999999999999993</v>
      </c>
      <c r="I1051" s="10">
        <v>11208.78</v>
      </c>
      <c r="J1051" s="8" t="s">
        <v>147</v>
      </c>
      <c r="K1051" s="8" t="s">
        <v>119</v>
      </c>
      <c r="L1051" s="18" t="str">
        <f>VLOOKUP(D1051,Products!$A:$C,3,FALSE)</f>
        <v>Grocery</v>
      </c>
      <c r="N1051" s="18" t="str">
        <f>VLOOKUP(C1051,Customers!$A:$E,5,FALSE)</f>
        <v>Retail</v>
      </c>
      <c r="O1051" s="18">
        <f>VLOOKUP(C1051,Customers!$A:$C,3,FALSE)</f>
        <v>59</v>
      </c>
    </row>
    <row r="1052" spans="1:19" ht="14.25" hidden="1" customHeight="1" x14ac:dyDescent="0.3">
      <c r="A1052" s="8" t="s">
        <v>2106</v>
      </c>
      <c r="B1052" s="9">
        <v>45578</v>
      </c>
      <c r="C1052" s="8" t="s">
        <v>481</v>
      </c>
      <c r="D1052" s="8" t="s">
        <v>320</v>
      </c>
      <c r="E1052" s="8" t="s">
        <v>376</v>
      </c>
      <c r="F1052" s="10">
        <v>8</v>
      </c>
      <c r="G1052" s="10">
        <v>5100</v>
      </c>
      <c r="H1052" s="10">
        <v>26.9</v>
      </c>
      <c r="I1052" s="10">
        <v>29824.799999999999</v>
      </c>
      <c r="J1052" s="8" t="s">
        <v>41</v>
      </c>
      <c r="K1052" s="8" t="s">
        <v>178</v>
      </c>
      <c r="L1052" s="18" t="str">
        <f>VLOOKUP(D1052,Products!$A:$C,3,FALSE)</f>
        <v>Beauty</v>
      </c>
      <c r="N1052" s="18" t="str">
        <f>VLOOKUP(C1052,Customers!$A:$E,5,FALSE)</f>
        <v>Corporate</v>
      </c>
      <c r="O1052" s="18">
        <f>VLOOKUP(C1052,Customers!$A:$C,3,FALSE)</f>
        <v>43</v>
      </c>
    </row>
    <row r="1053" spans="1:19" ht="14.25" hidden="1" customHeight="1" x14ac:dyDescent="0.3">
      <c r="A1053" s="8" t="s">
        <v>1870</v>
      </c>
      <c r="B1053" s="9">
        <v>45296</v>
      </c>
      <c r="C1053" s="8" t="s">
        <v>379</v>
      </c>
      <c r="D1053" s="8" t="s">
        <v>867</v>
      </c>
      <c r="E1053" s="8" t="s">
        <v>121</v>
      </c>
      <c r="F1053" s="10">
        <v>3</v>
      </c>
      <c r="G1053" s="10">
        <v>3020</v>
      </c>
      <c r="H1053" s="10">
        <v>18.5</v>
      </c>
      <c r="I1053" s="10">
        <v>7383.9</v>
      </c>
      <c r="J1053" s="8" t="s">
        <v>147</v>
      </c>
      <c r="K1053" s="8" t="s">
        <v>146</v>
      </c>
      <c r="L1053" s="18" t="str">
        <f>VLOOKUP(D1053,Products!$A:$C,3,FALSE)</f>
        <v>Beauty</v>
      </c>
      <c r="N1053" s="18" t="str">
        <f>VLOOKUP(C1053,Customers!$A:$E,5,FALSE)</f>
        <v>Corporate</v>
      </c>
      <c r="O1053" s="18">
        <f>VLOOKUP(C1053,Customers!$A:$C,3,FALSE)</f>
        <v>62</v>
      </c>
    </row>
    <row r="1054" spans="1:19" ht="14.25" hidden="1" customHeight="1" x14ac:dyDescent="0.3">
      <c r="A1054" s="8" t="s">
        <v>2107</v>
      </c>
      <c r="B1054" s="9">
        <v>45564</v>
      </c>
      <c r="C1054" s="8" t="s">
        <v>600</v>
      </c>
      <c r="D1054" s="8" t="s">
        <v>949</v>
      </c>
      <c r="E1054" s="8" t="s">
        <v>261</v>
      </c>
      <c r="F1054" s="10">
        <v>8</v>
      </c>
      <c r="G1054" s="10">
        <v>960</v>
      </c>
      <c r="H1054" s="10">
        <v>7.1</v>
      </c>
      <c r="I1054" s="10">
        <v>7134.72</v>
      </c>
      <c r="J1054" s="8" t="s">
        <v>41</v>
      </c>
      <c r="K1054" s="8" t="s">
        <v>42</v>
      </c>
      <c r="L1054" s="18" t="str">
        <f>VLOOKUP(D1054,Products!$A:$C,3,FALSE)</f>
        <v>Beauty</v>
      </c>
      <c r="N1054" s="18" t="str">
        <f>VLOOKUP(C1054,Customers!$A:$E,5,FALSE)</f>
        <v>Corporate</v>
      </c>
      <c r="O1054" s="18">
        <f>VLOOKUP(C1054,Customers!$A:$C,3,FALSE)</f>
        <v>42</v>
      </c>
    </row>
    <row r="1055" spans="1:19" ht="14.25" hidden="1" customHeight="1" x14ac:dyDescent="0.3">
      <c r="A1055" s="8" t="s">
        <v>2108</v>
      </c>
      <c r="B1055" s="9">
        <v>45383</v>
      </c>
      <c r="C1055" s="8" t="s">
        <v>740</v>
      </c>
      <c r="D1055" s="8" t="s">
        <v>926</v>
      </c>
      <c r="E1055" s="8" t="s">
        <v>301</v>
      </c>
      <c r="F1055" s="10">
        <v>8</v>
      </c>
      <c r="G1055" s="10">
        <v>5080</v>
      </c>
      <c r="H1055" s="10">
        <v>6.2</v>
      </c>
      <c r="I1055" s="10">
        <v>38120.32</v>
      </c>
      <c r="J1055" s="8" t="s">
        <v>41</v>
      </c>
      <c r="K1055" s="8" t="s">
        <v>98</v>
      </c>
      <c r="L1055" s="18" t="str">
        <f>VLOOKUP(D1055,Products!$A:$C,3,FALSE)</f>
        <v>Home</v>
      </c>
      <c r="N1055" s="18" t="str">
        <f>VLOOKUP(C1055,Customers!$A:$E,5,FALSE)</f>
        <v>Retail</v>
      </c>
      <c r="O1055" s="18">
        <f>VLOOKUP(C1055,Customers!$A:$C,3,FALSE)</f>
        <v>61</v>
      </c>
    </row>
    <row r="1056" spans="1:19" ht="14.25" customHeight="1" x14ac:dyDescent="0.3">
      <c r="A1056" s="8" t="s">
        <v>2109</v>
      </c>
      <c r="B1056" s="21">
        <v>45436</v>
      </c>
      <c r="C1056" s="8" t="s">
        <v>159</v>
      </c>
      <c r="D1056" s="8" t="s">
        <v>662</v>
      </c>
      <c r="E1056" s="8" t="s">
        <v>177</v>
      </c>
      <c r="F1056" s="10">
        <v>6</v>
      </c>
      <c r="G1056" s="10">
        <v>6080</v>
      </c>
      <c r="H1056" s="10">
        <v>25.8</v>
      </c>
      <c r="I1056" s="10">
        <v>27068.16</v>
      </c>
      <c r="J1056" s="8" t="s">
        <v>41</v>
      </c>
      <c r="K1056" s="8" t="s">
        <v>98</v>
      </c>
      <c r="L1056" s="18" t="str">
        <f>VLOOKUP(D1056,Products!$A:$C,3,FALSE)</f>
        <v>Beauty</v>
      </c>
      <c r="N1056" s="18" t="str">
        <f>VLOOKUP(C1056,Customers!$A:$E,5,FALSE)</f>
        <v>Corporate</v>
      </c>
      <c r="O1056" s="18">
        <f>VLOOKUP(C1056,Customers!$A:$C,3,FALSE)</f>
        <v>34</v>
      </c>
      <c r="P1056" s="18" t="str">
        <f>VLOOKUP(E1055,Sales_Reps!$A:$C,3,FALSE)</f>
        <v>South</v>
      </c>
      <c r="Q1056" s="18" t="str">
        <f t="shared" ref="Q1056:Q1058" si="220">TEXT(B1055,"MMM-YY")</f>
        <v>Apr-24</v>
      </c>
      <c r="R1056">
        <f>VLOOKUP(D1056, Products!A:D, 4, FALSE)</f>
        <v>2617</v>
      </c>
      <c r="S1056">
        <f t="shared" ref="S1056:S1058" si="221">(G1056-R1056)/G1056</f>
        <v>0.56957236842105263</v>
      </c>
    </row>
    <row r="1057" spans="1:19" ht="14.25" customHeight="1" x14ac:dyDescent="0.3">
      <c r="A1057" s="8" t="s">
        <v>2110</v>
      </c>
      <c r="B1057" s="21">
        <v>45544</v>
      </c>
      <c r="C1057" s="8" t="s">
        <v>742</v>
      </c>
      <c r="D1057" s="8" t="s">
        <v>789</v>
      </c>
      <c r="E1057" s="8" t="s">
        <v>177</v>
      </c>
      <c r="F1057" s="10">
        <v>5</v>
      </c>
      <c r="G1057" s="10">
        <v>1540</v>
      </c>
      <c r="H1057" s="10">
        <v>24.6</v>
      </c>
      <c r="I1057" s="10">
        <v>5805.8</v>
      </c>
      <c r="J1057" s="8" t="s">
        <v>41</v>
      </c>
      <c r="K1057" s="8" t="s">
        <v>178</v>
      </c>
      <c r="L1057" s="18" t="str">
        <f>VLOOKUP(D1057,Products!$A:$C,3,FALSE)</f>
        <v>Beauty</v>
      </c>
      <c r="N1057" s="18" t="str">
        <f>VLOOKUP(C1057,Customers!$A:$E,5,FALSE)</f>
        <v>Retail</v>
      </c>
      <c r="O1057" s="18">
        <f>VLOOKUP(C1057,Customers!$A:$C,3,FALSE)</f>
        <v>38</v>
      </c>
      <c r="P1057" s="18" t="str">
        <f>VLOOKUP(E1056,Sales_Reps!$A:$C,3,FALSE)</f>
        <v>South</v>
      </c>
      <c r="Q1057" s="18" t="str">
        <f t="shared" si="220"/>
        <v>May-24</v>
      </c>
      <c r="R1057">
        <f>VLOOKUP(D1057, Products!A:D, 4, FALSE)</f>
        <v>647</v>
      </c>
      <c r="S1057">
        <f t="shared" si="221"/>
        <v>0.57987012987012987</v>
      </c>
    </row>
    <row r="1058" spans="1:19" ht="14.25" customHeight="1" x14ac:dyDescent="0.3">
      <c r="A1058" s="8" t="s">
        <v>2111</v>
      </c>
      <c r="B1058" s="21">
        <v>45404</v>
      </c>
      <c r="C1058" s="8" t="s">
        <v>130</v>
      </c>
      <c r="D1058" s="8" t="s">
        <v>260</v>
      </c>
      <c r="E1058" s="8" t="s">
        <v>153</v>
      </c>
      <c r="F1058" s="10">
        <v>4</v>
      </c>
      <c r="G1058" s="10">
        <v>1010</v>
      </c>
      <c r="H1058" s="10">
        <v>2.9</v>
      </c>
      <c r="I1058" s="10">
        <v>3922.84</v>
      </c>
      <c r="J1058" s="8" t="s">
        <v>97</v>
      </c>
      <c r="K1058" s="8" t="s">
        <v>136</v>
      </c>
      <c r="L1058" s="18" t="str">
        <f>VLOOKUP(D1058,Products!$A:$C,3,FALSE)</f>
        <v>Sports</v>
      </c>
      <c r="N1058" s="18" t="str">
        <f>VLOOKUP(C1058,Customers!$A:$E,5,FALSE)</f>
        <v>Retail</v>
      </c>
      <c r="O1058" s="18">
        <f>VLOOKUP(C1058,Customers!$A:$C,3,FALSE)</f>
        <v>27</v>
      </c>
      <c r="P1058" s="18" t="str">
        <f>VLOOKUP(E1057,Sales_Reps!$A:$C,3,FALSE)</f>
        <v>South</v>
      </c>
      <c r="Q1058" s="18" t="str">
        <f t="shared" si="220"/>
        <v>Sep-24</v>
      </c>
      <c r="R1058">
        <f>VLOOKUP(D1058, Products!A:D, 4, FALSE)</f>
        <v>516</v>
      </c>
      <c r="S1058">
        <f t="shared" si="221"/>
        <v>0.4891089108910891</v>
      </c>
    </row>
    <row r="1059" spans="1:19" ht="14.25" hidden="1" customHeight="1" x14ac:dyDescent="0.3">
      <c r="A1059" s="8" t="s">
        <v>2112</v>
      </c>
      <c r="B1059" s="9">
        <v>45586</v>
      </c>
      <c r="C1059" s="8" t="s">
        <v>408</v>
      </c>
      <c r="D1059" s="8" t="s">
        <v>949</v>
      </c>
      <c r="E1059" s="8" t="s">
        <v>376</v>
      </c>
      <c r="F1059" s="10">
        <v>5</v>
      </c>
      <c r="G1059" s="10">
        <v>960</v>
      </c>
      <c r="H1059" s="10">
        <v>11.4</v>
      </c>
      <c r="I1059" s="10">
        <v>4252.8</v>
      </c>
      <c r="J1059" s="8" t="s">
        <v>41</v>
      </c>
      <c r="K1059" s="8" t="s">
        <v>119</v>
      </c>
      <c r="L1059" s="18" t="str">
        <f>VLOOKUP(D1059,Products!$A:$C,3,FALSE)</f>
        <v>Beauty</v>
      </c>
      <c r="N1059" s="18" t="str">
        <f>VLOOKUP(C1059,Customers!$A:$E,5,FALSE)</f>
        <v>SMB</v>
      </c>
      <c r="O1059" s="18">
        <f>VLOOKUP(C1059,Customers!$A:$C,3,FALSE)</f>
        <v>48</v>
      </c>
    </row>
    <row r="1060" spans="1:19" ht="14.25" hidden="1" customHeight="1" x14ac:dyDescent="0.3">
      <c r="A1060" s="8" t="s">
        <v>2113</v>
      </c>
      <c r="B1060" s="9">
        <v>45524</v>
      </c>
      <c r="C1060" s="8" t="s">
        <v>587</v>
      </c>
      <c r="D1060" s="8" t="s">
        <v>789</v>
      </c>
      <c r="E1060" s="8" t="s">
        <v>177</v>
      </c>
      <c r="F1060" s="10">
        <v>1</v>
      </c>
      <c r="G1060" s="10">
        <v>1540</v>
      </c>
      <c r="H1060" s="10">
        <v>5.6</v>
      </c>
      <c r="I1060" s="10">
        <v>1453.76</v>
      </c>
      <c r="J1060" s="8" t="s">
        <v>41</v>
      </c>
      <c r="K1060" s="8" t="s">
        <v>136</v>
      </c>
      <c r="L1060" s="18" t="str">
        <f>VLOOKUP(D1060,Products!$A:$C,3,FALSE)</f>
        <v>Beauty</v>
      </c>
      <c r="N1060" s="18" t="str">
        <f>VLOOKUP(C1060,Customers!$A:$E,5,FALSE)</f>
        <v>SMB</v>
      </c>
      <c r="O1060" s="18">
        <f>VLOOKUP(C1060,Customers!$A:$C,3,FALSE)</f>
        <v>64</v>
      </c>
    </row>
    <row r="1061" spans="1:19" ht="14.25" hidden="1" customHeight="1" x14ac:dyDescent="0.3">
      <c r="A1061" s="8" t="s">
        <v>2114</v>
      </c>
      <c r="B1061" s="9">
        <v>45397</v>
      </c>
      <c r="C1061" s="8" t="s">
        <v>361</v>
      </c>
      <c r="D1061" s="8" t="s">
        <v>247</v>
      </c>
      <c r="E1061" s="8" t="s">
        <v>158</v>
      </c>
      <c r="F1061" s="10">
        <v>9</v>
      </c>
      <c r="G1061" s="10">
        <v>3350</v>
      </c>
      <c r="H1061" s="10">
        <v>2.1</v>
      </c>
      <c r="I1061" s="10">
        <v>29516.85</v>
      </c>
      <c r="J1061" s="8" t="s">
        <v>41</v>
      </c>
      <c r="K1061" s="8" t="s">
        <v>119</v>
      </c>
      <c r="L1061" s="18" t="str">
        <f>VLOOKUP(D1061,Products!$A:$C,3,FALSE)</f>
        <v>Beauty</v>
      </c>
      <c r="N1061" s="18" t="str">
        <f>VLOOKUP(C1061,Customers!$A:$E,5,FALSE)</f>
        <v>SMB</v>
      </c>
      <c r="O1061" s="18">
        <f>VLOOKUP(C1061,Customers!$A:$C,3,FALSE)</f>
        <v>45</v>
      </c>
    </row>
    <row r="1062" spans="1:19" ht="14.25" customHeight="1" x14ac:dyDescent="0.3">
      <c r="A1062" s="8" t="s">
        <v>2115</v>
      </c>
      <c r="B1062" s="21">
        <v>45336</v>
      </c>
      <c r="C1062" s="8" t="s">
        <v>229</v>
      </c>
      <c r="D1062" s="8" t="s">
        <v>219</v>
      </c>
      <c r="E1062" s="8" t="s">
        <v>216</v>
      </c>
      <c r="F1062" s="10">
        <v>7</v>
      </c>
      <c r="G1062" s="10">
        <v>3450</v>
      </c>
      <c r="H1062" s="10">
        <v>4.7</v>
      </c>
      <c r="I1062" s="10">
        <v>23014.95</v>
      </c>
      <c r="J1062" s="8" t="s">
        <v>41</v>
      </c>
      <c r="K1062" s="8" t="s">
        <v>178</v>
      </c>
      <c r="L1062" s="18" t="str">
        <f>VLOOKUP(D1062,Products!$A:$C,3,FALSE)</f>
        <v>Sports</v>
      </c>
      <c r="N1062" s="18" t="str">
        <f>VLOOKUP(C1062,Customers!$A:$E,5,FALSE)</f>
        <v>Retail</v>
      </c>
      <c r="O1062" s="18">
        <f>VLOOKUP(C1062,Customers!$A:$C,3,FALSE)</f>
        <v>31</v>
      </c>
      <c r="P1062" s="18" t="str">
        <f>VLOOKUP(E1061,Sales_Reps!$A:$C,3,FALSE)</f>
        <v>East</v>
      </c>
      <c r="Q1062" s="18" t="str">
        <f>TEXT(B1061,"MMM-YY")</f>
        <v>Apr-24</v>
      </c>
      <c r="R1062">
        <f>VLOOKUP(D1062, Products!A:D, 4, FALSE)</f>
        <v>2467</v>
      </c>
      <c r="S1062">
        <f>(G1062-R1062)/G1062</f>
        <v>0.28492753623188405</v>
      </c>
    </row>
    <row r="1063" spans="1:19" ht="14.25" hidden="1" customHeight="1" x14ac:dyDescent="0.3">
      <c r="A1063" s="8" t="s">
        <v>2116</v>
      </c>
      <c r="B1063" s="9">
        <v>45594</v>
      </c>
      <c r="C1063" s="8" t="s">
        <v>665</v>
      </c>
      <c r="D1063" s="8" t="s">
        <v>152</v>
      </c>
      <c r="E1063" s="8" t="s">
        <v>158</v>
      </c>
      <c r="F1063" s="10">
        <v>10</v>
      </c>
      <c r="G1063" s="10">
        <v>960</v>
      </c>
      <c r="H1063" s="10">
        <v>17.899999999999999</v>
      </c>
      <c r="I1063" s="10">
        <v>7881.6</v>
      </c>
      <c r="J1063" s="8" t="s">
        <v>41</v>
      </c>
      <c r="K1063" s="8" t="s">
        <v>178</v>
      </c>
      <c r="L1063" s="18" t="str">
        <f>VLOOKUP(D1063,Products!$A:$C,3,FALSE)</f>
        <v>Sports</v>
      </c>
      <c r="N1063" s="18" t="str">
        <f>VLOOKUP(C1063,Customers!$A:$E,5,FALSE)</f>
        <v>SMB</v>
      </c>
      <c r="O1063" s="18">
        <f>VLOOKUP(C1063,Customers!$A:$C,3,FALSE)</f>
        <v>43</v>
      </c>
    </row>
    <row r="1064" spans="1:19" ht="14.25" hidden="1" customHeight="1" x14ac:dyDescent="0.3">
      <c r="A1064" s="8" t="s">
        <v>2117</v>
      </c>
      <c r="B1064" s="9">
        <v>45617</v>
      </c>
      <c r="C1064" s="8" t="s">
        <v>667</v>
      </c>
      <c r="D1064" s="8" t="s">
        <v>644</v>
      </c>
      <c r="E1064" s="8" t="s">
        <v>117</v>
      </c>
      <c r="F1064" s="10">
        <v>1</v>
      </c>
      <c r="G1064" s="10">
        <v>3640</v>
      </c>
      <c r="H1064" s="10">
        <v>8.8000000000000007</v>
      </c>
      <c r="I1064" s="10">
        <v>3319.68</v>
      </c>
      <c r="J1064" s="8" t="s">
        <v>41</v>
      </c>
      <c r="K1064" s="8" t="s">
        <v>136</v>
      </c>
      <c r="L1064" s="18" t="str">
        <f>VLOOKUP(D1064,Products!$A:$C,3,FALSE)</f>
        <v>Apparel</v>
      </c>
      <c r="N1064" s="18" t="str">
        <f>VLOOKUP(C1064,Customers!$A:$E,5,FALSE)</f>
        <v>Retail</v>
      </c>
      <c r="O1064" s="18">
        <f>VLOOKUP(C1064,Customers!$A:$C,3,FALSE)</f>
        <v>55</v>
      </c>
    </row>
    <row r="1065" spans="1:19" ht="14.25" customHeight="1" x14ac:dyDescent="0.3">
      <c r="A1065" s="8" t="s">
        <v>2118</v>
      </c>
      <c r="B1065" s="21">
        <v>45378</v>
      </c>
      <c r="C1065" s="8" t="s">
        <v>130</v>
      </c>
      <c r="D1065" s="8" t="s">
        <v>918</v>
      </c>
      <c r="E1065" s="8" t="s">
        <v>121</v>
      </c>
      <c r="F1065" s="10">
        <v>1</v>
      </c>
      <c r="G1065" s="10">
        <v>2210</v>
      </c>
      <c r="H1065" s="10">
        <v>10.7</v>
      </c>
      <c r="I1065" s="10">
        <v>1973.53</v>
      </c>
      <c r="J1065" s="8" t="s">
        <v>41</v>
      </c>
      <c r="K1065" s="8" t="s">
        <v>136</v>
      </c>
      <c r="L1065" s="18" t="str">
        <f>VLOOKUP(D1065,Products!$A:$C,3,FALSE)</f>
        <v>Grocery</v>
      </c>
      <c r="N1065" s="18" t="str">
        <f>VLOOKUP(C1065,Customers!$A:$E,5,FALSE)</f>
        <v>Retail</v>
      </c>
      <c r="O1065" s="18">
        <f>VLOOKUP(C1065,Customers!$A:$C,3,FALSE)</f>
        <v>27</v>
      </c>
      <c r="P1065" s="18" t="str">
        <f>VLOOKUP(E1064,Sales_Reps!$A:$C,3,FALSE)</f>
        <v>South</v>
      </c>
      <c r="Q1065" s="18" t="str">
        <f>TEXT(B1064,"MMM-YY")</f>
        <v>Nov-24</v>
      </c>
      <c r="R1065">
        <f>VLOOKUP(D1065, Products!A:D, 4, FALSE)</f>
        <v>1010</v>
      </c>
      <c r="S1065">
        <f>(G1065-R1065)/G1065</f>
        <v>0.54298642533936647</v>
      </c>
    </row>
    <row r="1066" spans="1:19" ht="14.25" hidden="1" customHeight="1" x14ac:dyDescent="0.3">
      <c r="A1066" s="8" t="s">
        <v>2119</v>
      </c>
      <c r="B1066" s="9">
        <v>45318</v>
      </c>
      <c r="C1066" s="8" t="s">
        <v>123</v>
      </c>
      <c r="D1066" s="8" t="s">
        <v>569</v>
      </c>
      <c r="E1066" s="8" t="s">
        <v>96</v>
      </c>
      <c r="F1066" s="10">
        <v>2</v>
      </c>
      <c r="G1066" s="10">
        <v>3730</v>
      </c>
      <c r="H1066" s="10">
        <v>13.9</v>
      </c>
      <c r="I1066" s="10">
        <v>6423.06</v>
      </c>
      <c r="J1066" s="8" t="s">
        <v>41</v>
      </c>
      <c r="K1066" s="8" t="s">
        <v>119</v>
      </c>
      <c r="L1066" s="18" t="str">
        <f>VLOOKUP(D1066,Products!$A:$C,3,FALSE)</f>
        <v>Home</v>
      </c>
      <c r="N1066" s="18" t="str">
        <f>VLOOKUP(C1066,Customers!$A:$E,5,FALSE)</f>
        <v>Corporate</v>
      </c>
      <c r="O1066" s="18">
        <f>VLOOKUP(C1066,Customers!$A:$C,3,FALSE)</f>
        <v>46</v>
      </c>
    </row>
    <row r="1067" spans="1:19" ht="14.25" hidden="1" customHeight="1" x14ac:dyDescent="0.3">
      <c r="A1067" s="8" t="s">
        <v>2120</v>
      </c>
      <c r="B1067" s="9">
        <v>45542</v>
      </c>
      <c r="C1067" s="8" t="s">
        <v>702</v>
      </c>
      <c r="D1067" s="8" t="s">
        <v>954</v>
      </c>
      <c r="E1067" s="8" t="s">
        <v>177</v>
      </c>
      <c r="F1067" s="10">
        <v>7</v>
      </c>
      <c r="G1067" s="10">
        <v>5410</v>
      </c>
      <c r="H1067" s="10">
        <v>23.6</v>
      </c>
      <c r="I1067" s="10">
        <v>28932.68</v>
      </c>
      <c r="J1067" s="8" t="s">
        <v>41</v>
      </c>
      <c r="K1067" s="8" t="s">
        <v>42</v>
      </c>
      <c r="L1067" s="18" t="str">
        <f>VLOOKUP(D1067,Products!$A:$C,3,FALSE)</f>
        <v>Sports</v>
      </c>
      <c r="N1067" s="18" t="str">
        <f>VLOOKUP(C1067,Customers!$A:$E,5,FALSE)</f>
        <v>Corporate</v>
      </c>
      <c r="O1067" s="18">
        <f>VLOOKUP(C1067,Customers!$A:$C,3,FALSE)</f>
        <v>48</v>
      </c>
    </row>
    <row r="1068" spans="1:19" ht="14.25" hidden="1" customHeight="1" x14ac:dyDescent="0.3">
      <c r="A1068" s="8" t="s">
        <v>2121</v>
      </c>
      <c r="B1068" s="9">
        <v>45618</v>
      </c>
      <c r="C1068" s="8" t="s">
        <v>379</v>
      </c>
      <c r="D1068" s="8" t="s">
        <v>624</v>
      </c>
      <c r="E1068" s="8" t="s">
        <v>167</v>
      </c>
      <c r="F1068" s="10">
        <v>7</v>
      </c>
      <c r="G1068" s="10">
        <v>3780</v>
      </c>
      <c r="H1068" s="10">
        <v>8.5</v>
      </c>
      <c r="I1068" s="10">
        <v>24210.9</v>
      </c>
      <c r="J1068" s="8" t="s">
        <v>147</v>
      </c>
      <c r="K1068" s="8" t="s">
        <v>146</v>
      </c>
      <c r="L1068" s="18" t="str">
        <f>VLOOKUP(D1068,Products!$A:$C,3,FALSE)</f>
        <v>Grocery</v>
      </c>
      <c r="N1068" s="18" t="str">
        <f>VLOOKUP(C1068,Customers!$A:$E,5,FALSE)</f>
        <v>Corporate</v>
      </c>
      <c r="O1068" s="18">
        <f>VLOOKUP(C1068,Customers!$A:$C,3,FALSE)</f>
        <v>62</v>
      </c>
    </row>
    <row r="1069" spans="1:19" ht="14.25" hidden="1" customHeight="1" x14ac:dyDescent="0.3">
      <c r="A1069" s="8" t="s">
        <v>2122</v>
      </c>
      <c r="B1069" s="9">
        <v>45555</v>
      </c>
      <c r="C1069" s="8" t="s">
        <v>672</v>
      </c>
      <c r="D1069" s="8" t="s">
        <v>839</v>
      </c>
      <c r="E1069" s="8" t="s">
        <v>221</v>
      </c>
      <c r="F1069" s="10">
        <v>9</v>
      </c>
      <c r="G1069" s="10">
        <v>4610</v>
      </c>
      <c r="H1069" s="10">
        <v>26.6</v>
      </c>
      <c r="I1069" s="10">
        <v>30453.66</v>
      </c>
      <c r="J1069" s="8" t="s">
        <v>41</v>
      </c>
      <c r="K1069" s="8" t="s">
        <v>119</v>
      </c>
      <c r="L1069" s="18" t="str">
        <f>VLOOKUP(D1069,Products!$A:$C,3,FALSE)</f>
        <v>Home</v>
      </c>
      <c r="N1069" s="18" t="str">
        <f>VLOOKUP(C1069,Customers!$A:$E,5,FALSE)</f>
        <v>SMB</v>
      </c>
      <c r="O1069" s="18">
        <f>VLOOKUP(C1069,Customers!$A:$C,3,FALSE)</f>
        <v>55</v>
      </c>
    </row>
    <row r="1070" spans="1:19" ht="14.25" hidden="1" customHeight="1" x14ac:dyDescent="0.3">
      <c r="A1070" s="8" t="s">
        <v>2123</v>
      </c>
      <c r="B1070" s="9">
        <v>45373</v>
      </c>
      <c r="C1070" s="8" t="s">
        <v>740</v>
      </c>
      <c r="D1070" s="8" t="s">
        <v>181</v>
      </c>
      <c r="E1070" s="8" t="s">
        <v>145</v>
      </c>
      <c r="F1070" s="10">
        <v>5</v>
      </c>
      <c r="G1070" s="10">
        <v>2640</v>
      </c>
      <c r="H1070" s="10">
        <v>1.5</v>
      </c>
      <c r="I1070" s="10">
        <v>13002</v>
      </c>
      <c r="J1070" s="8" t="s">
        <v>41</v>
      </c>
      <c r="K1070" s="8" t="s">
        <v>98</v>
      </c>
      <c r="L1070" s="18" t="str">
        <f>VLOOKUP(D1070,Products!$A:$C,3,FALSE)</f>
        <v>Electronics</v>
      </c>
      <c r="N1070" s="18" t="str">
        <f>VLOOKUP(C1070,Customers!$A:$E,5,FALSE)</f>
        <v>Retail</v>
      </c>
      <c r="O1070" s="18">
        <f>VLOOKUP(C1070,Customers!$A:$C,3,FALSE)</f>
        <v>61</v>
      </c>
    </row>
    <row r="1071" spans="1:19" ht="14.25" hidden="1" customHeight="1" x14ac:dyDescent="0.3">
      <c r="A1071" s="8" t="s">
        <v>2124</v>
      </c>
      <c r="B1071" s="9">
        <v>45515</v>
      </c>
      <c r="C1071" s="8" t="s">
        <v>377</v>
      </c>
      <c r="D1071" s="8" t="s">
        <v>37</v>
      </c>
      <c r="E1071" s="8" t="s">
        <v>177</v>
      </c>
      <c r="F1071" s="10">
        <v>3</v>
      </c>
      <c r="G1071" s="10">
        <v>3620</v>
      </c>
      <c r="H1071" s="10">
        <v>3.1</v>
      </c>
      <c r="I1071" s="10">
        <v>10523.34</v>
      </c>
      <c r="J1071" s="8" t="s">
        <v>41</v>
      </c>
      <c r="K1071" s="8" t="s">
        <v>119</v>
      </c>
      <c r="L1071" s="18" t="str">
        <f>VLOOKUP(D1071,Products!$A:$C,3,FALSE)</f>
        <v>Apparel</v>
      </c>
      <c r="N1071" s="18" t="str">
        <f>VLOOKUP(C1071,Customers!$A:$E,5,FALSE)</f>
        <v>Retail</v>
      </c>
      <c r="O1071" s="18">
        <f>VLOOKUP(C1071,Customers!$A:$C,3,FALSE)</f>
        <v>53</v>
      </c>
    </row>
    <row r="1072" spans="1:19" ht="14.25" hidden="1" customHeight="1" x14ac:dyDescent="0.3">
      <c r="A1072" s="8" t="s">
        <v>2125</v>
      </c>
      <c r="B1072" s="9">
        <v>45530</v>
      </c>
      <c r="C1072" s="8" t="s">
        <v>846</v>
      </c>
      <c r="D1072" s="8" t="s">
        <v>116</v>
      </c>
      <c r="E1072" s="8" t="s">
        <v>167</v>
      </c>
      <c r="F1072" s="10">
        <v>5</v>
      </c>
      <c r="G1072" s="10">
        <v>470</v>
      </c>
      <c r="H1072" s="10">
        <v>10.6</v>
      </c>
      <c r="I1072" s="10">
        <v>2100.9</v>
      </c>
      <c r="J1072" s="8" t="s">
        <v>147</v>
      </c>
      <c r="K1072" s="8" t="s">
        <v>119</v>
      </c>
      <c r="L1072" s="18" t="str">
        <f>VLOOKUP(D1072,Products!$A:$C,3,FALSE)</f>
        <v>Sports</v>
      </c>
      <c r="N1072" s="18" t="str">
        <f>VLOOKUP(C1072,Customers!$A:$E,5,FALSE)</f>
        <v>Retail</v>
      </c>
      <c r="O1072" s="18">
        <f>VLOOKUP(C1072,Customers!$A:$C,3,FALSE)</f>
        <v>63</v>
      </c>
    </row>
    <row r="1073" spans="1:19" ht="14.25" hidden="1" customHeight="1" x14ac:dyDescent="0.3">
      <c r="A1073" s="8" t="s">
        <v>2126</v>
      </c>
      <c r="B1073" s="9">
        <v>45463</v>
      </c>
      <c r="C1073" s="8" t="s">
        <v>794</v>
      </c>
      <c r="D1073" s="8" t="s">
        <v>230</v>
      </c>
      <c r="E1073" s="8" t="s">
        <v>214</v>
      </c>
      <c r="F1073" s="10">
        <v>7</v>
      </c>
      <c r="G1073" s="10">
        <v>5330</v>
      </c>
      <c r="H1073" s="10">
        <v>25</v>
      </c>
      <c r="I1073" s="10">
        <v>27982.5</v>
      </c>
      <c r="J1073" s="8" t="s">
        <v>147</v>
      </c>
      <c r="K1073" s="8" t="s">
        <v>119</v>
      </c>
      <c r="L1073" s="18" t="str">
        <f>VLOOKUP(D1073,Products!$A:$C,3,FALSE)</f>
        <v>Electronics</v>
      </c>
      <c r="N1073" s="18" t="str">
        <f>VLOOKUP(C1073,Customers!$A:$E,5,FALSE)</f>
        <v>Retail</v>
      </c>
      <c r="O1073" s="18">
        <f>VLOOKUP(C1073,Customers!$A:$C,3,FALSE)</f>
        <v>54</v>
      </c>
    </row>
    <row r="1074" spans="1:19" ht="14.25" customHeight="1" x14ac:dyDescent="0.3">
      <c r="A1074" s="8" t="s">
        <v>2127</v>
      </c>
      <c r="B1074" s="21">
        <v>45292</v>
      </c>
      <c r="C1074" s="8" t="s">
        <v>359</v>
      </c>
      <c r="D1074" s="8" t="s">
        <v>662</v>
      </c>
      <c r="E1074" s="8" t="s">
        <v>117</v>
      </c>
      <c r="F1074" s="10">
        <v>1</v>
      </c>
      <c r="G1074" s="10">
        <v>6080</v>
      </c>
      <c r="H1074" s="10">
        <v>27.8</v>
      </c>
      <c r="I1074" s="10">
        <v>4389.76</v>
      </c>
      <c r="J1074" s="8" t="s">
        <v>41</v>
      </c>
      <c r="K1074" s="8" t="s">
        <v>98</v>
      </c>
      <c r="L1074" s="18" t="str">
        <f>VLOOKUP(D1074,Products!$A:$C,3,FALSE)</f>
        <v>Beauty</v>
      </c>
      <c r="N1074" s="18" t="str">
        <f>VLOOKUP(C1074,Customers!$A:$E,5,FALSE)</f>
        <v>SMB</v>
      </c>
      <c r="O1074" s="18">
        <f>VLOOKUP(C1074,Customers!$A:$C,3,FALSE)</f>
        <v>39</v>
      </c>
      <c r="P1074" s="18" t="str">
        <f>VLOOKUP(E1073,Sales_Reps!$A:$C,3,FALSE)</f>
        <v>South</v>
      </c>
      <c r="Q1074" s="18" t="str">
        <f t="shared" ref="Q1074:Q1075" si="222">TEXT(B1073,"MMM-YY")</f>
        <v>Jun-24</v>
      </c>
      <c r="R1074">
        <f>VLOOKUP(D1074, Products!A:D, 4, FALSE)</f>
        <v>2617</v>
      </c>
      <c r="S1074">
        <f t="shared" ref="S1074:S1075" si="223">(G1074-R1074)/G1074</f>
        <v>0.56957236842105263</v>
      </c>
    </row>
    <row r="1075" spans="1:19" ht="14.25" customHeight="1" x14ac:dyDescent="0.3">
      <c r="A1075" s="8" t="s">
        <v>2128</v>
      </c>
      <c r="B1075" s="21">
        <v>45347</v>
      </c>
      <c r="C1075" s="8" t="s">
        <v>401</v>
      </c>
      <c r="D1075" s="8" t="s">
        <v>247</v>
      </c>
      <c r="E1075" s="8" t="s">
        <v>153</v>
      </c>
      <c r="F1075" s="10">
        <v>6</v>
      </c>
      <c r="G1075" s="10">
        <v>3350</v>
      </c>
      <c r="H1075" s="10">
        <v>12</v>
      </c>
      <c r="I1075" s="10">
        <v>17688</v>
      </c>
      <c r="J1075" s="8" t="s">
        <v>41</v>
      </c>
      <c r="K1075" s="8" t="s">
        <v>178</v>
      </c>
      <c r="L1075" s="18" t="str">
        <f>VLOOKUP(D1075,Products!$A:$C,3,FALSE)</f>
        <v>Beauty</v>
      </c>
      <c r="N1075" s="18" t="str">
        <f>VLOOKUP(C1075,Customers!$A:$E,5,FALSE)</f>
        <v>SMB</v>
      </c>
      <c r="O1075" s="18">
        <f>VLOOKUP(C1075,Customers!$A:$C,3,FALSE)</f>
        <v>40</v>
      </c>
      <c r="P1075" s="18" t="str">
        <f>VLOOKUP(E1074,Sales_Reps!$A:$C,3,FALSE)</f>
        <v>South</v>
      </c>
      <c r="Q1075" s="18" t="str">
        <f t="shared" si="222"/>
        <v>Jan-24</v>
      </c>
      <c r="R1075">
        <f>VLOOKUP(D1075, Products!A:D, 4, FALSE)</f>
        <v>1728</v>
      </c>
      <c r="S1075">
        <f t="shared" si="223"/>
        <v>0.48417910447761192</v>
      </c>
    </row>
    <row r="1076" spans="1:19" ht="14.25" hidden="1" customHeight="1" x14ac:dyDescent="0.3">
      <c r="A1076" s="8" t="s">
        <v>2129</v>
      </c>
      <c r="B1076" s="9">
        <v>45592</v>
      </c>
      <c r="C1076" s="8" t="s">
        <v>2130</v>
      </c>
      <c r="D1076" s="8" t="s">
        <v>959</v>
      </c>
      <c r="E1076" s="8" t="s">
        <v>619</v>
      </c>
      <c r="F1076" s="10">
        <v>6</v>
      </c>
      <c r="G1076" s="10">
        <v>6940</v>
      </c>
      <c r="H1076" s="10">
        <v>20</v>
      </c>
      <c r="I1076" s="10">
        <v>33312</v>
      </c>
      <c r="J1076" s="8" t="s">
        <v>41</v>
      </c>
      <c r="K1076" s="8" t="s">
        <v>98</v>
      </c>
      <c r="L1076" s="18" t="str">
        <f>VLOOKUP(D1076,Products!$A:$C,3,FALSE)</f>
        <v>Sports</v>
      </c>
      <c r="N1076" s="18" t="e">
        <f>VLOOKUP(C1076,Customers!$A:$E,5,FALSE)</f>
        <v>#N/A</v>
      </c>
      <c r="O1076" s="18" t="e">
        <f>VLOOKUP(C1076,Customers!$A:$C,3,FALSE)</f>
        <v>#N/A</v>
      </c>
    </row>
    <row r="1077" spans="1:19" ht="14.25" hidden="1" customHeight="1" x14ac:dyDescent="0.3">
      <c r="A1077" s="8" t="s">
        <v>2131</v>
      </c>
      <c r="B1077" s="9">
        <v>45636</v>
      </c>
      <c r="C1077" s="8" t="s">
        <v>683</v>
      </c>
      <c r="D1077" s="8" t="s">
        <v>144</v>
      </c>
      <c r="E1077" s="8" t="s">
        <v>38</v>
      </c>
      <c r="F1077" s="10">
        <v>1</v>
      </c>
      <c r="G1077" s="10">
        <v>370</v>
      </c>
      <c r="H1077" s="10">
        <v>10</v>
      </c>
      <c r="I1077" s="10">
        <v>333</v>
      </c>
      <c r="J1077" s="8" t="s">
        <v>41</v>
      </c>
      <c r="K1077" s="8" t="s">
        <v>178</v>
      </c>
      <c r="L1077" s="18" t="str">
        <f>VLOOKUP(D1077,Products!$A:$C,3,FALSE)</f>
        <v>Home</v>
      </c>
      <c r="N1077" s="18" t="str">
        <f>VLOOKUP(C1077,Customers!$A:$E,5,FALSE)</f>
        <v>Corporate</v>
      </c>
      <c r="O1077" s="18">
        <f>VLOOKUP(C1077,Customers!$A:$C,3,FALSE)</f>
        <v>46</v>
      </c>
    </row>
    <row r="1078" spans="1:19" ht="14.25" hidden="1" customHeight="1" x14ac:dyDescent="0.3">
      <c r="A1078" s="8" t="s">
        <v>2132</v>
      </c>
      <c r="B1078" s="9">
        <v>45432</v>
      </c>
      <c r="C1078" s="8" t="s">
        <v>388</v>
      </c>
      <c r="D1078" s="8" t="s">
        <v>163</v>
      </c>
      <c r="E1078" s="8" t="s">
        <v>321</v>
      </c>
      <c r="F1078" s="10">
        <v>2</v>
      </c>
      <c r="G1078" s="10">
        <v>5490</v>
      </c>
      <c r="H1078" s="10">
        <v>27.9</v>
      </c>
      <c r="I1078" s="10">
        <v>7916.58</v>
      </c>
      <c r="J1078" s="8" t="s">
        <v>41</v>
      </c>
      <c r="K1078" s="8" t="s">
        <v>136</v>
      </c>
      <c r="L1078" s="18" t="str">
        <f>VLOOKUP(D1078,Products!$A:$C,3,FALSE)</f>
        <v>Home</v>
      </c>
      <c r="N1078" s="18" t="str">
        <f>VLOOKUP(C1078,Customers!$A:$E,5,FALSE)</f>
        <v>SMB</v>
      </c>
      <c r="O1078" s="18">
        <f>VLOOKUP(C1078,Customers!$A:$C,3,FALSE)</f>
        <v>49</v>
      </c>
    </row>
    <row r="1079" spans="1:19" ht="14.25" customHeight="1" x14ac:dyDescent="0.3">
      <c r="A1079" s="8" t="s">
        <v>2133</v>
      </c>
      <c r="B1079" s="21">
        <v>45479</v>
      </c>
      <c r="C1079" s="8" t="s">
        <v>596</v>
      </c>
      <c r="D1079" s="8" t="s">
        <v>124</v>
      </c>
      <c r="E1079" s="8" t="s">
        <v>214</v>
      </c>
      <c r="F1079" s="10">
        <v>5</v>
      </c>
      <c r="G1079" s="10">
        <v>3660</v>
      </c>
      <c r="H1079" s="10">
        <v>4.5999999999999996</v>
      </c>
      <c r="I1079" s="10">
        <v>17458.2</v>
      </c>
      <c r="J1079" s="8" t="s">
        <v>41</v>
      </c>
      <c r="K1079" s="8" t="s">
        <v>146</v>
      </c>
      <c r="L1079" s="18" t="str">
        <f>VLOOKUP(D1079,Products!$A:$C,3,FALSE)</f>
        <v>Grocery</v>
      </c>
      <c r="N1079" s="18" t="str">
        <f>VLOOKUP(C1079,Customers!$A:$E,5,FALSE)</f>
        <v>Retail</v>
      </c>
      <c r="O1079" s="18">
        <f>VLOOKUP(C1079,Customers!$A:$C,3,FALSE)</f>
        <v>33</v>
      </c>
      <c r="P1079" s="18" t="str">
        <f>VLOOKUP(E1078,Sales_Reps!$A:$C,3,FALSE)</f>
        <v>East</v>
      </c>
      <c r="Q1079" s="18" t="str">
        <f>TEXT(B1078,"MMM-YY")</f>
        <v>May-24</v>
      </c>
      <c r="R1079">
        <f>VLOOKUP(D1079, Products!A:D, 4, FALSE)</f>
        <v>2214</v>
      </c>
      <c r="S1079">
        <f>(G1079-R1079)/G1079</f>
        <v>0.39508196721311473</v>
      </c>
    </row>
    <row r="1080" spans="1:19" ht="14.25" hidden="1" customHeight="1" x14ac:dyDescent="0.3">
      <c r="A1080" s="8" t="s">
        <v>2134</v>
      </c>
      <c r="B1080" s="9">
        <v>45563</v>
      </c>
      <c r="C1080" s="8" t="s">
        <v>238</v>
      </c>
      <c r="D1080" s="8" t="s">
        <v>154</v>
      </c>
      <c r="E1080" s="8" t="s">
        <v>236</v>
      </c>
      <c r="F1080" s="10">
        <v>6</v>
      </c>
      <c r="G1080" s="10">
        <v>300</v>
      </c>
      <c r="H1080" s="10">
        <v>9</v>
      </c>
      <c r="I1080" s="10">
        <v>1638</v>
      </c>
      <c r="J1080" s="8" t="s">
        <v>41</v>
      </c>
      <c r="K1080" s="8" t="s">
        <v>42</v>
      </c>
      <c r="L1080" s="18" t="str">
        <f>VLOOKUP(D1080,Products!$A:$C,3,FALSE)</f>
        <v>Electronics</v>
      </c>
      <c r="N1080" s="18" t="str">
        <f>VLOOKUP(C1080,Customers!$A:$E,5,FALSE)</f>
        <v>Retail</v>
      </c>
      <c r="O1080" s="18">
        <f>VLOOKUP(C1080,Customers!$A:$C,3,FALSE)</f>
        <v>50</v>
      </c>
    </row>
    <row r="1081" spans="1:19" ht="14.25" hidden="1" customHeight="1" x14ac:dyDescent="0.3">
      <c r="A1081" s="8" t="s">
        <v>2135</v>
      </c>
      <c r="B1081" s="9">
        <v>45523</v>
      </c>
      <c r="C1081" s="8" t="s">
        <v>204</v>
      </c>
      <c r="D1081" s="8" t="s">
        <v>154</v>
      </c>
      <c r="E1081" s="8" t="s">
        <v>189</v>
      </c>
      <c r="F1081" s="10">
        <v>3</v>
      </c>
      <c r="G1081" s="10">
        <v>300</v>
      </c>
      <c r="H1081" s="10">
        <v>19.2</v>
      </c>
      <c r="I1081" s="10">
        <v>727.2</v>
      </c>
      <c r="J1081" s="8" t="s">
        <v>41</v>
      </c>
      <c r="K1081" s="8" t="s">
        <v>42</v>
      </c>
      <c r="L1081" s="18" t="str">
        <f>VLOOKUP(D1081,Products!$A:$C,3,FALSE)</f>
        <v>Electronics</v>
      </c>
      <c r="N1081" s="18" t="str">
        <f>VLOOKUP(C1081,Customers!$A:$E,5,FALSE)</f>
        <v>Retail</v>
      </c>
      <c r="O1081" s="18">
        <f>VLOOKUP(C1081,Customers!$A:$C,3,FALSE)</f>
        <v>63</v>
      </c>
    </row>
    <row r="1082" spans="1:19" ht="14.25" customHeight="1" x14ac:dyDescent="0.3">
      <c r="A1082" s="8" t="s">
        <v>2136</v>
      </c>
      <c r="B1082" s="21">
        <v>45537</v>
      </c>
      <c r="C1082" s="8" t="s">
        <v>94</v>
      </c>
      <c r="D1082" s="8" t="s">
        <v>949</v>
      </c>
      <c r="E1082" s="8" t="s">
        <v>117</v>
      </c>
      <c r="F1082" s="10">
        <v>6</v>
      </c>
      <c r="G1082" s="10">
        <v>960</v>
      </c>
      <c r="H1082" s="10">
        <v>29.3</v>
      </c>
      <c r="I1082" s="10">
        <v>4072.32</v>
      </c>
      <c r="J1082" s="8" t="s">
        <v>147</v>
      </c>
      <c r="K1082" s="8" t="s">
        <v>98</v>
      </c>
      <c r="L1082" s="18" t="str">
        <f>VLOOKUP(D1082,Products!$A:$C,3,FALSE)</f>
        <v>Beauty</v>
      </c>
      <c r="N1082" s="18" t="str">
        <f>VLOOKUP(C1082,Customers!$A:$E,5,FALSE)</f>
        <v>Retail</v>
      </c>
      <c r="O1082" s="18">
        <f>VLOOKUP(C1082,Customers!$A:$C,3,FALSE)</f>
        <v>39</v>
      </c>
      <c r="P1082" s="18" t="str">
        <f>VLOOKUP(E1081,Sales_Reps!$A:$C,3,FALSE)</f>
        <v>South</v>
      </c>
      <c r="Q1082" s="18" t="str">
        <f>TEXT(B1081,"MMM-YY")</f>
        <v>Aug-24</v>
      </c>
      <c r="R1082">
        <f>VLOOKUP(D1082, Products!A:D, 4, FALSE)</f>
        <v>675</v>
      </c>
      <c r="S1082">
        <f>(G1082-R1082)/G1082</f>
        <v>0.296875</v>
      </c>
    </row>
    <row r="1083" spans="1:19" ht="14.25" hidden="1" customHeight="1" x14ac:dyDescent="0.3">
      <c r="A1083" s="8" t="s">
        <v>2137</v>
      </c>
      <c r="B1083" s="9">
        <v>45383</v>
      </c>
      <c r="C1083" s="8" t="s">
        <v>555</v>
      </c>
      <c r="D1083" s="8" t="s">
        <v>691</v>
      </c>
      <c r="E1083" s="8" t="s">
        <v>145</v>
      </c>
      <c r="F1083" s="10">
        <v>1</v>
      </c>
      <c r="G1083" s="10">
        <v>2270</v>
      </c>
      <c r="H1083" s="10">
        <v>12.4</v>
      </c>
      <c r="I1083" s="10">
        <v>1988.52</v>
      </c>
      <c r="J1083" s="8" t="s">
        <v>41</v>
      </c>
      <c r="K1083" s="8" t="s">
        <v>146</v>
      </c>
      <c r="L1083" s="18" t="str">
        <f>VLOOKUP(D1083,Products!$A:$C,3,FALSE)</f>
        <v>Grocery</v>
      </c>
      <c r="N1083" s="18" t="str">
        <f>VLOOKUP(C1083,Customers!$A:$E,5,FALSE)</f>
        <v>Retail</v>
      </c>
      <c r="O1083" s="18">
        <f>VLOOKUP(C1083,Customers!$A:$C,3,FALSE)</f>
        <v>41</v>
      </c>
    </row>
    <row r="1084" spans="1:19" ht="14.25" hidden="1" customHeight="1" x14ac:dyDescent="0.3">
      <c r="A1084" s="8" t="s">
        <v>2138</v>
      </c>
      <c r="B1084" s="9">
        <v>45541</v>
      </c>
      <c r="C1084" s="8" t="s">
        <v>490</v>
      </c>
      <c r="D1084" s="8" t="s">
        <v>924</v>
      </c>
      <c r="E1084" s="8" t="s">
        <v>619</v>
      </c>
      <c r="F1084" s="10">
        <v>10</v>
      </c>
      <c r="G1084" s="10">
        <v>2030</v>
      </c>
      <c r="H1084" s="10">
        <v>4</v>
      </c>
      <c r="I1084" s="10">
        <v>19488</v>
      </c>
      <c r="J1084" s="8" t="s">
        <v>41</v>
      </c>
      <c r="K1084" s="8" t="s">
        <v>136</v>
      </c>
      <c r="L1084" s="18" t="str">
        <f>VLOOKUP(D1084,Products!$A:$C,3,FALSE)</f>
        <v>Home</v>
      </c>
      <c r="N1084" s="18" t="str">
        <f>VLOOKUP(C1084,Customers!$A:$E,5,FALSE)</f>
        <v>Corporate</v>
      </c>
      <c r="O1084" s="18">
        <f>VLOOKUP(C1084,Customers!$A:$C,3,FALSE)</f>
        <v>59</v>
      </c>
    </row>
    <row r="1085" spans="1:19" ht="14.25" customHeight="1" x14ac:dyDescent="0.3">
      <c r="A1085" s="8" t="s">
        <v>2139</v>
      </c>
      <c r="B1085" s="21">
        <v>45609</v>
      </c>
      <c r="C1085" s="8" t="s">
        <v>530</v>
      </c>
      <c r="D1085" s="8" t="s">
        <v>224</v>
      </c>
      <c r="E1085" s="8" t="s">
        <v>216</v>
      </c>
      <c r="F1085" s="10">
        <v>9</v>
      </c>
      <c r="G1085" s="10">
        <v>1080</v>
      </c>
      <c r="H1085" s="10">
        <v>19.2</v>
      </c>
      <c r="I1085" s="10">
        <v>7853.76</v>
      </c>
      <c r="J1085" s="8" t="s">
        <v>97</v>
      </c>
      <c r="K1085" s="8" t="s">
        <v>146</v>
      </c>
      <c r="L1085" s="18" t="str">
        <f>VLOOKUP(D1085,Products!$A:$C,3,FALSE)</f>
        <v>Home</v>
      </c>
      <c r="N1085" s="18" t="str">
        <f>VLOOKUP(C1085,Customers!$A:$E,5,FALSE)</f>
        <v>Retail</v>
      </c>
      <c r="O1085" s="18">
        <f>VLOOKUP(C1085,Customers!$A:$C,3,FALSE)</f>
        <v>37</v>
      </c>
      <c r="P1085" s="18" t="str">
        <f>VLOOKUP(E1084,Sales_Reps!$A:$C,3,FALSE)</f>
        <v>West</v>
      </c>
      <c r="Q1085" s="18" t="str">
        <f>TEXT(B1084,"MMM-YY")</f>
        <v>Sep-24</v>
      </c>
      <c r="R1085">
        <f>VLOOKUP(D1085, Products!A:D, 4, FALSE)</f>
        <v>519</v>
      </c>
      <c r="S1085">
        <f>(G1085-R1085)/G1085</f>
        <v>0.51944444444444449</v>
      </c>
    </row>
    <row r="1086" spans="1:19" ht="14.25" hidden="1" customHeight="1" x14ac:dyDescent="0.3">
      <c r="A1086" s="8" t="s">
        <v>2140</v>
      </c>
      <c r="B1086" s="9">
        <v>45463</v>
      </c>
      <c r="C1086" s="8" t="s">
        <v>238</v>
      </c>
      <c r="D1086" s="8" t="s">
        <v>338</v>
      </c>
      <c r="E1086" s="8" t="s">
        <v>145</v>
      </c>
      <c r="F1086" s="10">
        <v>5</v>
      </c>
      <c r="G1086" s="10">
        <v>2860</v>
      </c>
      <c r="H1086" s="10">
        <v>25</v>
      </c>
      <c r="I1086" s="10">
        <v>10725</v>
      </c>
      <c r="J1086" s="8" t="s">
        <v>97</v>
      </c>
      <c r="K1086" s="8" t="s">
        <v>42</v>
      </c>
      <c r="L1086" s="18" t="str">
        <f>VLOOKUP(D1086,Products!$A:$C,3,FALSE)</f>
        <v>Sports</v>
      </c>
      <c r="N1086" s="18" t="str">
        <f>VLOOKUP(C1086,Customers!$A:$E,5,FALSE)</f>
        <v>Retail</v>
      </c>
      <c r="O1086" s="18">
        <f>VLOOKUP(C1086,Customers!$A:$C,3,FALSE)</f>
        <v>50</v>
      </c>
    </row>
    <row r="1087" spans="1:19" ht="14.25" hidden="1" customHeight="1" x14ac:dyDescent="0.3">
      <c r="A1087" s="8" t="s">
        <v>2141</v>
      </c>
      <c r="B1087" s="9">
        <v>45588</v>
      </c>
      <c r="C1087" s="8" t="s">
        <v>123</v>
      </c>
      <c r="D1087" s="8" t="s">
        <v>176</v>
      </c>
      <c r="E1087" s="8" t="s">
        <v>189</v>
      </c>
      <c r="F1087" s="10">
        <v>6</v>
      </c>
      <c r="G1087" s="10">
        <v>2270</v>
      </c>
      <c r="H1087" s="10">
        <v>9.3000000000000007</v>
      </c>
      <c r="I1087" s="10">
        <v>12353.34</v>
      </c>
      <c r="J1087" s="8" t="s">
        <v>41</v>
      </c>
      <c r="K1087" s="8" t="s">
        <v>119</v>
      </c>
      <c r="L1087" s="18" t="str">
        <f>VLOOKUP(D1087,Products!$A:$C,3,FALSE)</f>
        <v>Grocery</v>
      </c>
      <c r="N1087" s="18" t="str">
        <f>VLOOKUP(C1087,Customers!$A:$E,5,FALSE)</f>
        <v>Corporate</v>
      </c>
      <c r="O1087" s="18">
        <f>VLOOKUP(C1087,Customers!$A:$C,3,FALSE)</f>
        <v>46</v>
      </c>
    </row>
    <row r="1088" spans="1:19" ht="14.25" hidden="1" customHeight="1" x14ac:dyDescent="0.3">
      <c r="A1088" s="8" t="s">
        <v>2142</v>
      </c>
      <c r="B1088" s="9">
        <v>45328</v>
      </c>
      <c r="C1088" s="8" t="s">
        <v>754</v>
      </c>
      <c r="D1088" s="8" t="s">
        <v>239</v>
      </c>
      <c r="E1088" s="8" t="s">
        <v>153</v>
      </c>
      <c r="F1088" s="10">
        <v>1</v>
      </c>
      <c r="G1088" s="10">
        <v>2720</v>
      </c>
      <c r="H1088" s="10">
        <v>15.2</v>
      </c>
      <c r="I1088" s="10">
        <v>2306.56</v>
      </c>
      <c r="J1088" s="8" t="s">
        <v>41</v>
      </c>
      <c r="K1088" s="8" t="s">
        <v>119</v>
      </c>
      <c r="L1088" s="18" t="str">
        <f>VLOOKUP(D1088,Products!$A:$C,3,FALSE)</f>
        <v>Apparel</v>
      </c>
      <c r="N1088" s="18" t="str">
        <f>VLOOKUP(C1088,Customers!$A:$E,5,FALSE)</f>
        <v>Retail</v>
      </c>
      <c r="O1088" s="18">
        <f>VLOOKUP(C1088,Customers!$A:$C,3,FALSE)</f>
        <v>49</v>
      </c>
    </row>
    <row r="1089" spans="1:19" ht="14.25" hidden="1" customHeight="1" x14ac:dyDescent="0.3">
      <c r="A1089" s="8" t="s">
        <v>2143</v>
      </c>
      <c r="B1089" s="9">
        <v>45638</v>
      </c>
      <c r="C1089" s="8" t="s">
        <v>302</v>
      </c>
      <c r="D1089" s="8" t="s">
        <v>188</v>
      </c>
      <c r="E1089" s="8" t="s">
        <v>96</v>
      </c>
      <c r="F1089" s="10">
        <v>10</v>
      </c>
      <c r="G1089" s="10">
        <v>3870</v>
      </c>
      <c r="H1089" s="10">
        <v>4.9000000000000004</v>
      </c>
      <c r="I1089" s="10">
        <v>36803.699999999997</v>
      </c>
      <c r="J1089" s="8" t="s">
        <v>147</v>
      </c>
      <c r="K1089" s="8" t="s">
        <v>136</v>
      </c>
      <c r="L1089" s="18" t="str">
        <f>VLOOKUP(D1089,Products!$A:$C,3,FALSE)</f>
        <v>Electronics</v>
      </c>
      <c r="N1089" s="18" t="str">
        <f>VLOOKUP(C1089,Customers!$A:$E,5,FALSE)</f>
        <v>Corporate</v>
      </c>
      <c r="O1089" s="18">
        <f>VLOOKUP(C1089,Customers!$A:$C,3,FALSE)</f>
        <v>55</v>
      </c>
    </row>
    <row r="1090" spans="1:19" ht="14.25" hidden="1" customHeight="1" x14ac:dyDescent="0.3">
      <c r="A1090" s="8" t="s">
        <v>2144</v>
      </c>
      <c r="B1090" s="9">
        <v>45332</v>
      </c>
      <c r="C1090" s="8" t="s">
        <v>474</v>
      </c>
      <c r="D1090" s="8" t="s">
        <v>889</v>
      </c>
      <c r="E1090" s="8" t="s">
        <v>158</v>
      </c>
      <c r="F1090" s="10">
        <v>8</v>
      </c>
      <c r="G1090" s="10">
        <v>3450</v>
      </c>
      <c r="H1090" s="10">
        <v>20.6</v>
      </c>
      <c r="I1090" s="10">
        <v>21914.400000000001</v>
      </c>
      <c r="J1090" s="8" t="s">
        <v>41</v>
      </c>
      <c r="K1090" s="8" t="s">
        <v>178</v>
      </c>
      <c r="L1090" s="18" t="str">
        <f>VLOOKUP(D1090,Products!$A:$C,3,FALSE)</f>
        <v>Apparel</v>
      </c>
      <c r="N1090" s="18" t="str">
        <f>VLOOKUP(C1090,Customers!$A:$E,5,FALSE)</f>
        <v>Corporate</v>
      </c>
      <c r="O1090" s="18">
        <f>VLOOKUP(C1090,Customers!$A:$C,3,FALSE)</f>
        <v>60</v>
      </c>
    </row>
    <row r="1091" spans="1:19" ht="14.25" customHeight="1" x14ac:dyDescent="0.3">
      <c r="A1091" s="8" t="s">
        <v>2145</v>
      </c>
      <c r="B1091" s="21">
        <v>45406</v>
      </c>
      <c r="C1091" s="8" t="s">
        <v>799</v>
      </c>
      <c r="D1091" s="8" t="s">
        <v>116</v>
      </c>
      <c r="E1091" s="8" t="s">
        <v>261</v>
      </c>
      <c r="F1091" s="10">
        <v>1</v>
      </c>
      <c r="G1091" s="10">
        <v>470</v>
      </c>
      <c r="H1091" s="10">
        <v>5.4</v>
      </c>
      <c r="I1091" s="10">
        <v>444.62</v>
      </c>
      <c r="J1091" s="8" t="s">
        <v>193</v>
      </c>
      <c r="K1091" s="8" t="s">
        <v>146</v>
      </c>
      <c r="L1091" s="18" t="str">
        <f>VLOOKUP(D1091,Products!$A:$C,3,FALSE)</f>
        <v>Sports</v>
      </c>
      <c r="N1091" s="18" t="str">
        <f>VLOOKUP(C1091,Customers!$A:$E,5,FALSE)</f>
        <v>Retail</v>
      </c>
      <c r="O1091" s="18">
        <f>VLOOKUP(C1091,Customers!$A:$C,3,FALSE)</f>
        <v>40</v>
      </c>
      <c r="P1091" s="18" t="str">
        <f>VLOOKUP(E1090,Sales_Reps!$A:$C,3,FALSE)</f>
        <v>East</v>
      </c>
      <c r="Q1091" s="18" t="str">
        <f t="shared" ref="Q1091:Q1092" si="224">TEXT(B1090,"MMM-YY")</f>
        <v>Feb-24</v>
      </c>
      <c r="R1091">
        <f>VLOOKUP(D1091, Products!A:D, 4, FALSE)</f>
        <v>302</v>
      </c>
      <c r="S1091">
        <f t="shared" ref="S1091:S1092" si="225">(G1091-R1091)/G1091</f>
        <v>0.35744680851063831</v>
      </c>
    </row>
    <row r="1092" spans="1:19" ht="14.25" customHeight="1" x14ac:dyDescent="0.3">
      <c r="A1092" s="8" t="s">
        <v>2146</v>
      </c>
      <c r="B1092" s="21">
        <v>45405</v>
      </c>
      <c r="C1092" s="8" t="s">
        <v>328</v>
      </c>
      <c r="D1092" s="8" t="s">
        <v>120</v>
      </c>
      <c r="E1092" s="8" t="s">
        <v>214</v>
      </c>
      <c r="F1092" s="10">
        <v>5</v>
      </c>
      <c r="G1092" s="10">
        <v>3970</v>
      </c>
      <c r="H1092" s="10">
        <v>5.8</v>
      </c>
      <c r="I1092" s="10">
        <v>18698.7</v>
      </c>
      <c r="J1092" s="8" t="s">
        <v>41</v>
      </c>
      <c r="K1092" s="8" t="s">
        <v>178</v>
      </c>
      <c r="L1092" s="18" t="str">
        <f>VLOOKUP(D1092,Products!$A:$C,3,FALSE)</f>
        <v>Electronics</v>
      </c>
      <c r="N1092" s="18" t="str">
        <f>VLOOKUP(C1092,Customers!$A:$E,5,FALSE)</f>
        <v>Retail</v>
      </c>
      <c r="O1092" s="18">
        <f>VLOOKUP(C1092,Customers!$A:$C,3,FALSE)</f>
        <v>28</v>
      </c>
      <c r="P1092" s="18" t="str">
        <f>VLOOKUP(E1091,Sales_Reps!$A:$C,3,FALSE)</f>
        <v>North</v>
      </c>
      <c r="Q1092" s="18" t="str">
        <f t="shared" si="224"/>
        <v>Apr-24</v>
      </c>
      <c r="R1092">
        <f>VLOOKUP(D1092, Products!A:D, 4, FALSE)</f>
        <v>2865</v>
      </c>
      <c r="S1092">
        <f t="shared" si="225"/>
        <v>0.27833753148614609</v>
      </c>
    </row>
    <row r="1093" spans="1:19" ht="14.25" hidden="1" customHeight="1" x14ac:dyDescent="0.3">
      <c r="A1093" s="8" t="s">
        <v>2147</v>
      </c>
      <c r="B1093" s="9">
        <v>45469</v>
      </c>
      <c r="C1093" s="8" t="s">
        <v>733</v>
      </c>
      <c r="D1093" s="8" t="s">
        <v>320</v>
      </c>
      <c r="E1093" s="8" t="s">
        <v>189</v>
      </c>
      <c r="F1093" s="10">
        <v>2</v>
      </c>
      <c r="G1093" s="10">
        <v>5100</v>
      </c>
      <c r="H1093" s="10">
        <v>19.899999999999999</v>
      </c>
      <c r="I1093" s="10">
        <v>8170.2</v>
      </c>
      <c r="J1093" s="8" t="s">
        <v>41</v>
      </c>
      <c r="K1093" s="8" t="s">
        <v>136</v>
      </c>
      <c r="L1093" s="18" t="str">
        <f>VLOOKUP(D1093,Products!$A:$C,3,FALSE)</f>
        <v>Beauty</v>
      </c>
      <c r="N1093" s="18" t="str">
        <f>VLOOKUP(C1093,Customers!$A:$E,5,FALSE)</f>
        <v>SMB</v>
      </c>
      <c r="O1093" s="18">
        <f>VLOOKUP(C1093,Customers!$A:$C,3,FALSE)</f>
        <v>44</v>
      </c>
    </row>
    <row r="1094" spans="1:19" ht="14.25" hidden="1" customHeight="1" x14ac:dyDescent="0.3">
      <c r="A1094" s="8" t="s">
        <v>2148</v>
      </c>
      <c r="B1094" s="9">
        <v>45656</v>
      </c>
      <c r="C1094" s="8" t="s">
        <v>525</v>
      </c>
      <c r="D1094" s="8" t="s">
        <v>215</v>
      </c>
      <c r="E1094" s="8" t="s">
        <v>231</v>
      </c>
      <c r="F1094" s="10">
        <v>6</v>
      </c>
      <c r="G1094" s="10">
        <v>3450</v>
      </c>
      <c r="H1094" s="10">
        <v>13</v>
      </c>
      <c r="I1094" s="10">
        <v>18009</v>
      </c>
      <c r="J1094" s="8" t="s">
        <v>41</v>
      </c>
      <c r="K1094" s="8" t="s">
        <v>42</v>
      </c>
      <c r="L1094" s="18" t="str">
        <f>VLOOKUP(D1094,Products!$A:$C,3,FALSE)</f>
        <v>Beauty</v>
      </c>
      <c r="N1094" s="18" t="str">
        <f>VLOOKUP(C1094,Customers!$A:$E,5,FALSE)</f>
        <v>Retail</v>
      </c>
      <c r="O1094" s="18">
        <f>VLOOKUP(C1094,Customers!$A:$C,3,FALSE)</f>
        <v>57</v>
      </c>
    </row>
    <row r="1095" spans="1:19" ht="14.25" customHeight="1" x14ac:dyDescent="0.3">
      <c r="A1095" s="8" t="s">
        <v>2149</v>
      </c>
      <c r="B1095" s="21">
        <v>45653</v>
      </c>
      <c r="C1095" s="8" t="s">
        <v>822</v>
      </c>
      <c r="D1095" s="8" t="s">
        <v>569</v>
      </c>
      <c r="E1095" s="8" t="s">
        <v>189</v>
      </c>
      <c r="F1095" s="10">
        <v>9</v>
      </c>
      <c r="G1095" s="10">
        <v>3730</v>
      </c>
      <c r="H1095" s="10">
        <v>15.5</v>
      </c>
      <c r="I1095" s="10">
        <v>28366.65</v>
      </c>
      <c r="J1095" s="8" t="s">
        <v>41</v>
      </c>
      <c r="K1095" s="8" t="s">
        <v>98</v>
      </c>
      <c r="L1095" s="18" t="str">
        <f>VLOOKUP(D1095,Products!$A:$C,3,FALSE)</f>
        <v>Home</v>
      </c>
      <c r="N1095" s="18" t="str">
        <f>VLOOKUP(C1095,Customers!$A:$E,5,FALSE)</f>
        <v>Retail</v>
      </c>
      <c r="O1095" s="18">
        <f>VLOOKUP(C1095,Customers!$A:$C,3,FALSE)</f>
        <v>26</v>
      </c>
      <c r="P1095" s="18" t="str">
        <f>VLOOKUP(E1094,Sales_Reps!$A:$C,3,FALSE)</f>
        <v>North</v>
      </c>
      <c r="Q1095" s="18" t="str">
        <f>TEXT(B1094,"MMM-YY")</f>
        <v>Dec-24</v>
      </c>
      <c r="R1095">
        <f>VLOOKUP(D1095, Products!A:D, 4, FALSE)</f>
        <v>2135</v>
      </c>
      <c r="S1095">
        <f>(G1095-R1095)/G1095</f>
        <v>0.42761394101876676</v>
      </c>
    </row>
    <row r="1096" spans="1:19" ht="14.25" hidden="1" customHeight="1" x14ac:dyDescent="0.3">
      <c r="A1096" s="8" t="s">
        <v>2150</v>
      </c>
      <c r="B1096" s="9">
        <v>45440</v>
      </c>
      <c r="C1096" s="8" t="s">
        <v>474</v>
      </c>
      <c r="D1096" s="8" t="s">
        <v>949</v>
      </c>
      <c r="E1096" s="8" t="s">
        <v>321</v>
      </c>
      <c r="F1096" s="10">
        <v>5</v>
      </c>
      <c r="G1096" s="10">
        <v>960</v>
      </c>
      <c r="H1096" s="10">
        <v>9.3000000000000007</v>
      </c>
      <c r="I1096" s="10">
        <v>4353.6000000000004</v>
      </c>
      <c r="J1096" s="8" t="s">
        <v>41</v>
      </c>
      <c r="K1096" s="8" t="s">
        <v>178</v>
      </c>
      <c r="L1096" s="18" t="str">
        <f>VLOOKUP(D1096,Products!$A:$C,3,FALSE)</f>
        <v>Beauty</v>
      </c>
      <c r="N1096" s="18" t="str">
        <f>VLOOKUP(C1096,Customers!$A:$E,5,FALSE)</f>
        <v>Corporate</v>
      </c>
      <c r="O1096" s="18">
        <f>VLOOKUP(C1096,Customers!$A:$C,3,FALSE)</f>
        <v>60</v>
      </c>
    </row>
    <row r="1097" spans="1:19" ht="14.25" customHeight="1" x14ac:dyDescent="0.3">
      <c r="A1097" s="8" t="s">
        <v>2151</v>
      </c>
      <c r="B1097" s="21">
        <v>45511</v>
      </c>
      <c r="C1097" s="8" t="s">
        <v>724</v>
      </c>
      <c r="D1097" s="8" t="s">
        <v>926</v>
      </c>
      <c r="E1097" s="8" t="s">
        <v>135</v>
      </c>
      <c r="F1097" s="10">
        <v>3</v>
      </c>
      <c r="G1097" s="10">
        <v>5080</v>
      </c>
      <c r="H1097" s="10">
        <v>17.399999999999999</v>
      </c>
      <c r="I1097" s="10">
        <v>12588.24</v>
      </c>
      <c r="J1097" s="8" t="s">
        <v>147</v>
      </c>
      <c r="K1097" s="8" t="s">
        <v>119</v>
      </c>
      <c r="L1097" s="18" t="str">
        <f>VLOOKUP(D1097,Products!$A:$C,3,FALSE)</f>
        <v>Home</v>
      </c>
      <c r="N1097" s="18" t="str">
        <f>VLOOKUP(C1097,Customers!$A:$E,5,FALSE)</f>
        <v>SMB</v>
      </c>
      <c r="O1097" s="18">
        <f>VLOOKUP(C1097,Customers!$A:$C,3,FALSE)</f>
        <v>29</v>
      </c>
      <c r="P1097" s="18" t="str">
        <f>VLOOKUP(E1096,Sales_Reps!$A:$C,3,FALSE)</f>
        <v>East</v>
      </c>
      <c r="Q1097" s="18" t="str">
        <f>TEXT(B1096,"MMM-YY")</f>
        <v>May-24</v>
      </c>
      <c r="R1097">
        <f>VLOOKUP(D1097, Products!A:D, 4, FALSE)</f>
        <v>2459</v>
      </c>
      <c r="S1097">
        <f>(G1097-R1097)/G1097</f>
        <v>0.51594488188976373</v>
      </c>
    </row>
    <row r="1098" spans="1:19" ht="14.25" hidden="1" customHeight="1" x14ac:dyDescent="0.3">
      <c r="A1098" s="8" t="s">
        <v>2152</v>
      </c>
      <c r="B1098" s="9">
        <v>45300</v>
      </c>
      <c r="C1098" s="8" t="s">
        <v>805</v>
      </c>
      <c r="D1098" s="8" t="s">
        <v>188</v>
      </c>
      <c r="E1098" s="8" t="s">
        <v>200</v>
      </c>
      <c r="F1098" s="10">
        <v>4</v>
      </c>
      <c r="G1098" s="10">
        <v>3870</v>
      </c>
      <c r="H1098" s="10">
        <v>20.5</v>
      </c>
      <c r="I1098" s="10">
        <v>12306.6</v>
      </c>
      <c r="J1098" s="8" t="s">
        <v>97</v>
      </c>
      <c r="K1098" s="8" t="s">
        <v>1395</v>
      </c>
      <c r="L1098" s="18" t="str">
        <f>VLOOKUP(D1098,Products!$A:$C,3,FALSE)</f>
        <v>Electronics</v>
      </c>
      <c r="N1098" s="18" t="str">
        <f>VLOOKUP(C1098,Customers!$A:$E,5,FALSE)</f>
        <v>Retail</v>
      </c>
      <c r="O1098" s="18">
        <f>VLOOKUP(C1098,Customers!$A:$C,3,FALSE)</f>
        <v>65</v>
      </c>
    </row>
    <row r="1099" spans="1:19" ht="14.25" hidden="1" customHeight="1" x14ac:dyDescent="0.3">
      <c r="A1099" s="8" t="s">
        <v>2153</v>
      </c>
      <c r="B1099" s="9">
        <v>45528</v>
      </c>
      <c r="C1099" s="8" t="s">
        <v>702</v>
      </c>
      <c r="D1099" s="8" t="s">
        <v>964</v>
      </c>
      <c r="E1099" s="8" t="s">
        <v>153</v>
      </c>
      <c r="F1099" s="10">
        <v>1</v>
      </c>
      <c r="G1099" s="10">
        <v>3780</v>
      </c>
      <c r="H1099" s="10">
        <v>21.5</v>
      </c>
      <c r="I1099" s="10">
        <v>2967.3</v>
      </c>
      <c r="J1099" s="8" t="s">
        <v>41</v>
      </c>
      <c r="K1099" s="8" t="s">
        <v>42</v>
      </c>
      <c r="L1099" s="18" t="str">
        <f>VLOOKUP(D1099,Products!$A:$C,3,FALSE)</f>
        <v>Sports</v>
      </c>
      <c r="N1099" s="18" t="str">
        <f>VLOOKUP(C1099,Customers!$A:$E,5,FALSE)</f>
        <v>Corporate</v>
      </c>
      <c r="O1099" s="18">
        <f>VLOOKUP(C1099,Customers!$A:$C,3,FALSE)</f>
        <v>48</v>
      </c>
    </row>
    <row r="1100" spans="1:19" ht="14.25" customHeight="1" x14ac:dyDescent="0.3">
      <c r="A1100" s="8" t="s">
        <v>2154</v>
      </c>
      <c r="B1100" s="21">
        <v>45622</v>
      </c>
      <c r="C1100" s="8" t="s">
        <v>151</v>
      </c>
      <c r="D1100" s="8" t="s">
        <v>188</v>
      </c>
      <c r="E1100" s="8" t="s">
        <v>121</v>
      </c>
      <c r="F1100" s="10">
        <v>3</v>
      </c>
      <c r="G1100" s="10">
        <v>3870</v>
      </c>
      <c r="H1100" s="10">
        <v>21.9</v>
      </c>
      <c r="I1100" s="10">
        <v>9067.41</v>
      </c>
      <c r="J1100" s="8" t="s">
        <v>97</v>
      </c>
      <c r="K1100" s="8" t="s">
        <v>136</v>
      </c>
      <c r="L1100" s="18" t="str">
        <f>VLOOKUP(D1100,Products!$A:$C,3,FALSE)</f>
        <v>Electronics</v>
      </c>
      <c r="N1100" s="18" t="str">
        <f>VLOOKUP(C1100,Customers!$A:$E,5,FALSE)</f>
        <v>Retail</v>
      </c>
      <c r="O1100" s="18">
        <f>VLOOKUP(C1100,Customers!$A:$C,3,FALSE)</f>
        <v>27</v>
      </c>
      <c r="P1100" s="18" t="str">
        <f>VLOOKUP(E1099,Sales_Reps!$A:$C,3,FALSE)</f>
        <v>West</v>
      </c>
      <c r="Q1100" s="18" t="str">
        <f t="shared" ref="Q1100:Q1101" si="226">TEXT(B1099,"MMM-YY")</f>
        <v>Aug-24</v>
      </c>
      <c r="R1100">
        <f>VLOOKUP(D1100, Products!A:D, 4, FALSE)</f>
        <v>1559</v>
      </c>
      <c r="S1100">
        <f t="shared" ref="S1100:S1101" si="227">(G1100-R1100)/G1100</f>
        <v>0.59715762273901807</v>
      </c>
    </row>
    <row r="1101" spans="1:19" ht="14.25" customHeight="1" x14ac:dyDescent="0.3">
      <c r="A1101" s="8" t="s">
        <v>2155</v>
      </c>
      <c r="B1101" s="21">
        <v>45463</v>
      </c>
      <c r="C1101" s="8" t="s">
        <v>623</v>
      </c>
      <c r="D1101" s="8" t="s">
        <v>924</v>
      </c>
      <c r="E1101" s="8" t="s">
        <v>214</v>
      </c>
      <c r="F1101" s="10">
        <v>4</v>
      </c>
      <c r="G1101" s="10">
        <v>2030</v>
      </c>
      <c r="H1101" s="10">
        <v>23.4</v>
      </c>
      <c r="I1101" s="10">
        <v>6219.92</v>
      </c>
      <c r="J1101" s="8" t="s">
        <v>41</v>
      </c>
      <c r="K1101" s="8" t="s">
        <v>42</v>
      </c>
      <c r="L1101" s="18" t="str">
        <f>VLOOKUP(D1101,Products!$A:$C,3,FALSE)</f>
        <v>Home</v>
      </c>
      <c r="N1101" s="18" t="str">
        <f>VLOOKUP(C1101,Customers!$A:$E,5,FALSE)</f>
        <v>SMB</v>
      </c>
      <c r="O1101" s="18">
        <f>VLOOKUP(C1101,Customers!$A:$C,3,FALSE)</f>
        <v>29</v>
      </c>
      <c r="P1101" s="18" t="str">
        <f>VLOOKUP(E1100,Sales_Reps!$A:$C,3,FALSE)</f>
        <v>East</v>
      </c>
      <c r="Q1101" s="18" t="str">
        <f t="shared" si="226"/>
        <v>Nov-24</v>
      </c>
      <c r="R1101">
        <f>VLOOKUP(D1101, Products!A:D, 4, FALSE)</f>
        <v>1143</v>
      </c>
      <c r="S1101">
        <f t="shared" si="227"/>
        <v>0.43694581280788175</v>
      </c>
    </row>
    <row r="1102" spans="1:19" ht="14.25" hidden="1" customHeight="1" x14ac:dyDescent="0.3">
      <c r="A1102" s="8" t="s">
        <v>2156</v>
      </c>
      <c r="B1102" s="9">
        <v>45407</v>
      </c>
      <c r="C1102" s="8" t="s">
        <v>852</v>
      </c>
      <c r="D1102" s="8" t="s">
        <v>918</v>
      </c>
      <c r="E1102" s="8" t="s">
        <v>200</v>
      </c>
      <c r="F1102" s="10">
        <v>6</v>
      </c>
      <c r="G1102" s="10">
        <v>2210</v>
      </c>
      <c r="H1102" s="10">
        <v>9.1</v>
      </c>
      <c r="I1102" s="10">
        <v>12053.34</v>
      </c>
      <c r="J1102" s="8" t="s">
        <v>41</v>
      </c>
      <c r="K1102" s="8" t="s">
        <v>119</v>
      </c>
      <c r="L1102" s="18" t="str">
        <f>VLOOKUP(D1102,Products!$A:$C,3,FALSE)</f>
        <v>Grocery</v>
      </c>
      <c r="N1102" s="18" t="str">
        <f>VLOOKUP(C1102,Customers!$A:$E,5,FALSE)</f>
        <v>SMB</v>
      </c>
      <c r="O1102" s="18">
        <f>VLOOKUP(C1102,Customers!$A:$C,3,FALSE)</f>
        <v>48</v>
      </c>
    </row>
    <row r="1103" spans="1:19" ht="14.25" hidden="1" customHeight="1" x14ac:dyDescent="0.3">
      <c r="A1103" s="8" t="s">
        <v>2157</v>
      </c>
      <c r="B1103" s="9">
        <v>45627</v>
      </c>
      <c r="C1103" s="8" t="s">
        <v>523</v>
      </c>
      <c r="D1103" s="8" t="s">
        <v>789</v>
      </c>
      <c r="E1103" s="8" t="s">
        <v>121</v>
      </c>
      <c r="F1103" s="10">
        <v>5</v>
      </c>
      <c r="G1103" s="10">
        <v>1540</v>
      </c>
      <c r="H1103" s="10">
        <v>18.100000000000001</v>
      </c>
      <c r="I1103" s="10">
        <v>6306.3</v>
      </c>
      <c r="J1103" s="8" t="s">
        <v>41</v>
      </c>
      <c r="K1103" s="8" t="s">
        <v>98</v>
      </c>
      <c r="L1103" s="18" t="str">
        <f>VLOOKUP(D1103,Products!$A:$C,3,FALSE)</f>
        <v>Beauty</v>
      </c>
      <c r="N1103" s="18" t="str">
        <f>VLOOKUP(C1103,Customers!$A:$E,5,FALSE)</f>
        <v>Corporate</v>
      </c>
      <c r="O1103" s="18">
        <f>VLOOKUP(C1103,Customers!$A:$C,3,FALSE)</f>
        <v>44</v>
      </c>
    </row>
    <row r="1104" spans="1:19" ht="14.25" hidden="1" customHeight="1" x14ac:dyDescent="0.3">
      <c r="A1104" s="8" t="s">
        <v>2158</v>
      </c>
      <c r="B1104" s="9">
        <v>45393</v>
      </c>
      <c r="C1104" s="8" t="s">
        <v>616</v>
      </c>
      <c r="D1104" s="8" t="s">
        <v>260</v>
      </c>
      <c r="E1104" s="8" t="s">
        <v>865</v>
      </c>
      <c r="F1104" s="10">
        <v>1</v>
      </c>
      <c r="G1104" s="10">
        <v>1010</v>
      </c>
      <c r="H1104" s="10">
        <v>7.3</v>
      </c>
      <c r="I1104" s="10">
        <v>936.27</v>
      </c>
      <c r="J1104" s="8" t="s">
        <v>41</v>
      </c>
      <c r="K1104" s="8" t="s">
        <v>119</v>
      </c>
      <c r="L1104" s="18" t="str">
        <f>VLOOKUP(D1104,Products!$A:$C,3,FALSE)</f>
        <v>Sports</v>
      </c>
      <c r="N1104" s="18" t="str">
        <f>VLOOKUP(C1104,Customers!$A:$E,5,FALSE)</f>
        <v>Retail</v>
      </c>
      <c r="O1104" s="18">
        <f>VLOOKUP(C1104,Customers!$A:$C,3,FALSE)</f>
        <v>43</v>
      </c>
    </row>
    <row r="1105" spans="1:19" ht="14.25" customHeight="1" x14ac:dyDescent="0.3">
      <c r="A1105" s="8" t="s">
        <v>586</v>
      </c>
      <c r="B1105" s="21">
        <v>45360</v>
      </c>
      <c r="C1105" s="8" t="s">
        <v>592</v>
      </c>
      <c r="D1105" s="8" t="s">
        <v>230</v>
      </c>
      <c r="E1105" s="8" t="s">
        <v>301</v>
      </c>
      <c r="F1105" s="10">
        <v>10</v>
      </c>
      <c r="G1105" s="10">
        <v>5330</v>
      </c>
      <c r="H1105" s="10">
        <v>27.3</v>
      </c>
      <c r="I1105" s="10">
        <v>38749.1</v>
      </c>
      <c r="J1105" s="8" t="s">
        <v>41</v>
      </c>
      <c r="K1105" s="8" t="s">
        <v>42</v>
      </c>
      <c r="L1105" s="18" t="str">
        <f>VLOOKUP(D1105,Products!$A:$C,3,FALSE)</f>
        <v>Electronics</v>
      </c>
      <c r="N1105" s="18" t="str">
        <f>VLOOKUP(C1105,Customers!$A:$E,5,FALSE)</f>
        <v>SMB</v>
      </c>
      <c r="O1105" s="18">
        <f>VLOOKUP(C1105,Customers!$A:$C,3,FALSE)</f>
        <v>35</v>
      </c>
      <c r="P1105" s="18" t="str">
        <f>VLOOKUP(E1104,Sales_Reps!$A:$C,3,FALSE)</f>
        <v>South</v>
      </c>
      <c r="Q1105" s="18" t="str">
        <f t="shared" ref="Q1105:Q1106" si="228">TEXT(B1104,"MMM-YY")</f>
        <v>Apr-24</v>
      </c>
      <c r="R1105">
        <f>VLOOKUP(D1105, Products!A:D, 4, FALSE)</f>
        <v>2405</v>
      </c>
      <c r="S1105">
        <f t="shared" ref="S1105:S1106" si="229">(G1105-R1105)/G1105</f>
        <v>0.54878048780487809</v>
      </c>
    </row>
    <row r="1106" spans="1:19" ht="14.25" customHeight="1" x14ac:dyDescent="0.3">
      <c r="A1106" s="8" t="s">
        <v>559</v>
      </c>
      <c r="B1106" s="21">
        <v>45548</v>
      </c>
      <c r="C1106" s="8" t="s">
        <v>563</v>
      </c>
      <c r="D1106" s="8" t="s">
        <v>211</v>
      </c>
      <c r="E1106" s="8" t="s">
        <v>196</v>
      </c>
      <c r="F1106" s="10">
        <v>7</v>
      </c>
      <c r="G1106" s="10">
        <v>3570</v>
      </c>
      <c r="H1106" s="10">
        <v>24.3</v>
      </c>
      <c r="I1106" s="10">
        <v>18917.43</v>
      </c>
      <c r="J1106" s="8" t="s">
        <v>41</v>
      </c>
      <c r="K1106" s="8" t="s">
        <v>98</v>
      </c>
      <c r="L1106" s="18" t="str">
        <f>VLOOKUP(D1106,Products!$A:$C,3,FALSE)</f>
        <v>Electronics</v>
      </c>
      <c r="N1106" s="18" t="str">
        <f>VLOOKUP(C1106,Customers!$A:$E,5,FALSE)</f>
        <v>Corporate</v>
      </c>
      <c r="O1106" s="18">
        <f>VLOOKUP(C1106,Customers!$A:$C,3,FALSE)</f>
        <v>24</v>
      </c>
      <c r="P1106" s="18" t="str">
        <f>VLOOKUP(E1105,Sales_Reps!$A:$C,3,FALSE)</f>
        <v>South</v>
      </c>
      <c r="Q1106" s="18" t="str">
        <f t="shared" si="228"/>
        <v>Mar-24</v>
      </c>
      <c r="R1106">
        <f>VLOOKUP(D1106, Products!A:D, 4, FALSE)</f>
        <v>1665</v>
      </c>
      <c r="S1106">
        <f t="shared" si="229"/>
        <v>0.53361344537815125</v>
      </c>
    </row>
    <row r="1107" spans="1:19" ht="14.25" hidden="1" customHeight="1" x14ac:dyDescent="0.3">
      <c r="A1107" s="8" t="s">
        <v>2159</v>
      </c>
      <c r="B1107" s="9">
        <v>45569</v>
      </c>
      <c r="C1107" s="8" t="s">
        <v>477</v>
      </c>
      <c r="D1107" s="8" t="s">
        <v>247</v>
      </c>
      <c r="E1107" s="8" t="s">
        <v>121</v>
      </c>
      <c r="F1107" s="10">
        <v>1</v>
      </c>
      <c r="G1107" s="10">
        <v>3350</v>
      </c>
      <c r="H1107" s="10">
        <v>14.9</v>
      </c>
      <c r="I1107" s="10">
        <v>2850.85</v>
      </c>
      <c r="J1107" s="8" t="s">
        <v>41</v>
      </c>
      <c r="K1107" s="8" t="s">
        <v>98</v>
      </c>
      <c r="L1107" s="18" t="str">
        <f>VLOOKUP(D1107,Products!$A:$C,3,FALSE)</f>
        <v>Beauty</v>
      </c>
      <c r="N1107" s="18" t="str">
        <f>VLOOKUP(C1107,Customers!$A:$E,5,FALSE)</f>
        <v>SMB</v>
      </c>
      <c r="O1107" s="18">
        <f>VLOOKUP(C1107,Customers!$A:$C,3,FALSE)</f>
        <v>62</v>
      </c>
    </row>
    <row r="1108" spans="1:19" ht="14.25" hidden="1" customHeight="1" x14ac:dyDescent="0.3">
      <c r="A1108" s="8" t="s">
        <v>2160</v>
      </c>
      <c r="B1108" s="9">
        <v>45541</v>
      </c>
      <c r="C1108" s="8" t="s">
        <v>584</v>
      </c>
      <c r="D1108" s="8" t="s">
        <v>898</v>
      </c>
      <c r="E1108" s="8" t="s">
        <v>208</v>
      </c>
      <c r="F1108" s="10">
        <v>2</v>
      </c>
      <c r="G1108" s="10">
        <v>2510</v>
      </c>
      <c r="H1108" s="10">
        <v>10.6</v>
      </c>
      <c r="I1108" s="10">
        <v>4487.88</v>
      </c>
      <c r="J1108" s="8" t="s">
        <v>41</v>
      </c>
      <c r="K1108" s="8" t="s">
        <v>146</v>
      </c>
      <c r="L1108" s="18" t="str">
        <f>VLOOKUP(D1108,Products!$A:$C,3,FALSE)</f>
        <v>Apparel</v>
      </c>
      <c r="N1108" s="18" t="str">
        <f>VLOOKUP(C1108,Customers!$A:$E,5,FALSE)</f>
        <v>Retail</v>
      </c>
      <c r="O1108" s="18">
        <f>VLOOKUP(C1108,Customers!$A:$C,3,FALSE)</f>
        <v>53</v>
      </c>
    </row>
    <row r="1109" spans="1:19" ht="14.25" hidden="1" customHeight="1" x14ac:dyDescent="0.3">
      <c r="A1109" s="8" t="s">
        <v>2161</v>
      </c>
      <c r="B1109" s="9">
        <v>45369</v>
      </c>
      <c r="C1109" s="8" t="s">
        <v>218</v>
      </c>
      <c r="D1109" s="8" t="s">
        <v>171</v>
      </c>
      <c r="E1109" s="8" t="s">
        <v>145</v>
      </c>
      <c r="F1109" s="10">
        <v>5</v>
      </c>
      <c r="G1109" s="10">
        <v>970</v>
      </c>
      <c r="H1109" s="10">
        <v>6.8</v>
      </c>
      <c r="I1109" s="10">
        <v>4520.2</v>
      </c>
      <c r="J1109" s="8" t="s">
        <v>97</v>
      </c>
      <c r="K1109" s="8" t="s">
        <v>146</v>
      </c>
      <c r="L1109" s="18" t="str">
        <f>VLOOKUP(D1109,Products!$A:$C,3,FALSE)</f>
        <v>Grocery</v>
      </c>
      <c r="N1109" s="18" t="str">
        <f>VLOOKUP(C1109,Customers!$A:$E,5,FALSE)</f>
        <v>Retail</v>
      </c>
      <c r="O1109" s="18">
        <f>VLOOKUP(C1109,Customers!$A:$C,3,FALSE)</f>
        <v>54</v>
      </c>
    </row>
    <row r="1110" spans="1:19" ht="14.25" hidden="1" customHeight="1" x14ac:dyDescent="0.3">
      <c r="A1110" s="8" t="s">
        <v>2162</v>
      </c>
      <c r="B1110" s="9">
        <v>45519</v>
      </c>
      <c r="C1110" s="8" t="s">
        <v>587</v>
      </c>
      <c r="D1110" s="8" t="s">
        <v>624</v>
      </c>
      <c r="E1110" s="8" t="s">
        <v>261</v>
      </c>
      <c r="F1110" s="10">
        <v>5</v>
      </c>
      <c r="G1110" s="10">
        <v>3780</v>
      </c>
      <c r="H1110" s="10">
        <v>16.600000000000001</v>
      </c>
      <c r="I1110" s="10">
        <v>15762.6</v>
      </c>
      <c r="J1110" s="8" t="s">
        <v>41</v>
      </c>
      <c r="K1110" s="8" t="s">
        <v>136</v>
      </c>
      <c r="L1110" s="18" t="str">
        <f>VLOOKUP(D1110,Products!$A:$C,3,FALSE)</f>
        <v>Grocery</v>
      </c>
      <c r="N1110" s="18" t="str">
        <f>VLOOKUP(C1110,Customers!$A:$E,5,FALSE)</f>
        <v>SMB</v>
      </c>
      <c r="O1110" s="18">
        <f>VLOOKUP(C1110,Customers!$A:$C,3,FALSE)</f>
        <v>64</v>
      </c>
    </row>
    <row r="1111" spans="1:19" ht="14.25" customHeight="1" x14ac:dyDescent="0.3">
      <c r="A1111" s="8" t="s">
        <v>2163</v>
      </c>
      <c r="B1111" s="21">
        <v>45379</v>
      </c>
      <c r="C1111" s="8" t="s">
        <v>592</v>
      </c>
      <c r="D1111" s="8" t="s">
        <v>898</v>
      </c>
      <c r="E1111" s="8" t="s">
        <v>38</v>
      </c>
      <c r="F1111" s="10">
        <v>3</v>
      </c>
      <c r="G1111" s="10">
        <v>2510</v>
      </c>
      <c r="H1111" s="10">
        <v>24.9</v>
      </c>
      <c r="I1111" s="10">
        <v>5655.03</v>
      </c>
      <c r="J1111" s="8" t="s">
        <v>147</v>
      </c>
      <c r="K1111" s="8" t="s">
        <v>42</v>
      </c>
      <c r="L1111" s="18" t="str">
        <f>VLOOKUP(D1111,Products!$A:$C,3,FALSE)</f>
        <v>Apparel</v>
      </c>
      <c r="N1111" s="18" t="str">
        <f>VLOOKUP(C1111,Customers!$A:$E,5,FALSE)</f>
        <v>SMB</v>
      </c>
      <c r="O1111" s="18">
        <f>VLOOKUP(C1111,Customers!$A:$C,3,FALSE)</f>
        <v>35</v>
      </c>
      <c r="P1111" s="18" t="str">
        <f>VLOOKUP(E1110,Sales_Reps!$A:$C,3,FALSE)</f>
        <v>North</v>
      </c>
      <c r="Q1111" s="18" t="str">
        <f t="shared" ref="Q1111:Q1114" si="230">TEXT(B1110,"MMM-YY")</f>
        <v>Aug-24</v>
      </c>
      <c r="R1111">
        <f>VLOOKUP(D1111, Products!A:D, 4, FALSE)</f>
        <v>1075</v>
      </c>
      <c r="S1111">
        <f t="shared" ref="S1111:S1114" si="231">(G1111-R1111)/G1111</f>
        <v>0.57171314741035861</v>
      </c>
    </row>
    <row r="1112" spans="1:19" ht="14.25" customHeight="1" x14ac:dyDescent="0.3">
      <c r="A1112" s="8" t="s">
        <v>2164</v>
      </c>
      <c r="B1112" s="21">
        <v>45548</v>
      </c>
      <c r="C1112" s="8" t="s">
        <v>722</v>
      </c>
      <c r="D1112" s="8" t="s">
        <v>924</v>
      </c>
      <c r="E1112" s="8" t="s">
        <v>135</v>
      </c>
      <c r="F1112" s="10">
        <v>3</v>
      </c>
      <c r="G1112" s="10">
        <v>2030</v>
      </c>
      <c r="H1112" s="10">
        <v>3.8</v>
      </c>
      <c r="I1112" s="10">
        <v>5858.58</v>
      </c>
      <c r="J1112" s="8" t="s">
        <v>41</v>
      </c>
      <c r="K1112" s="8" t="s">
        <v>98</v>
      </c>
      <c r="L1112" s="18" t="str">
        <f>VLOOKUP(D1112,Products!$A:$C,3,FALSE)</f>
        <v>Home</v>
      </c>
      <c r="N1112" s="18" t="str">
        <f>VLOOKUP(C1112,Customers!$A:$E,5,FALSE)</f>
        <v>Retail</v>
      </c>
      <c r="O1112" s="18">
        <f>VLOOKUP(C1112,Customers!$A:$C,3,FALSE)</f>
        <v>34</v>
      </c>
      <c r="P1112" s="18" t="str">
        <f>VLOOKUP(E1111,Sales_Reps!$A:$C,3,FALSE)</f>
        <v>North</v>
      </c>
      <c r="Q1112" s="18" t="str">
        <f t="shared" si="230"/>
        <v>Mar-24</v>
      </c>
      <c r="R1112">
        <f>VLOOKUP(D1112, Products!A:D, 4, FALSE)</f>
        <v>1143</v>
      </c>
      <c r="S1112">
        <f t="shared" si="231"/>
        <v>0.43694581280788175</v>
      </c>
    </row>
    <row r="1113" spans="1:19" ht="14.25" customHeight="1" x14ac:dyDescent="0.3">
      <c r="A1113" s="8" t="s">
        <v>2165</v>
      </c>
      <c r="B1113" s="21">
        <v>45478</v>
      </c>
      <c r="C1113" s="8" t="s">
        <v>694</v>
      </c>
      <c r="D1113" s="8" t="s">
        <v>199</v>
      </c>
      <c r="E1113" s="8" t="s">
        <v>117</v>
      </c>
      <c r="F1113" s="10">
        <v>9</v>
      </c>
      <c r="G1113" s="10">
        <v>190</v>
      </c>
      <c r="H1113" s="10">
        <v>5.4</v>
      </c>
      <c r="I1113" s="10">
        <v>1617.66</v>
      </c>
      <c r="J1113" s="8" t="s">
        <v>41</v>
      </c>
      <c r="K1113" s="8" t="s">
        <v>146</v>
      </c>
      <c r="L1113" s="18" t="str">
        <f>VLOOKUP(D1113,Products!$A:$C,3,FALSE)</f>
        <v>Sports</v>
      </c>
      <c r="N1113" s="18" t="str">
        <f>VLOOKUP(C1113,Customers!$A:$E,5,FALSE)</f>
        <v>Retail</v>
      </c>
      <c r="O1113" s="18">
        <f>VLOOKUP(C1113,Customers!$A:$C,3,FALSE)</f>
        <v>40</v>
      </c>
      <c r="P1113" s="18" t="str">
        <f>VLOOKUP(E1112,Sales_Reps!$A:$C,3,FALSE)</f>
        <v>North</v>
      </c>
      <c r="Q1113" s="18" t="str">
        <f t="shared" si="230"/>
        <v>Sep-24</v>
      </c>
      <c r="R1113">
        <f>VLOOKUP(D1113, Products!A:D, 4, FALSE)</f>
        <v>147</v>
      </c>
      <c r="S1113">
        <f t="shared" si="231"/>
        <v>0.22631578947368422</v>
      </c>
    </row>
    <row r="1114" spans="1:19" ht="14.25" customHeight="1" x14ac:dyDescent="0.3">
      <c r="A1114" s="8" t="s">
        <v>2166</v>
      </c>
      <c r="B1114" s="21">
        <v>45338</v>
      </c>
      <c r="C1114" s="8" t="s">
        <v>719</v>
      </c>
      <c r="D1114" s="8" t="s">
        <v>918</v>
      </c>
      <c r="E1114" s="8" t="s">
        <v>321</v>
      </c>
      <c r="F1114" s="10">
        <v>6</v>
      </c>
      <c r="G1114" s="10">
        <v>2210</v>
      </c>
      <c r="H1114" s="10">
        <v>29.4</v>
      </c>
      <c r="I1114" s="10">
        <v>9361.56</v>
      </c>
      <c r="J1114" s="8" t="s">
        <v>41</v>
      </c>
      <c r="K1114" s="8" t="s">
        <v>98</v>
      </c>
      <c r="L1114" s="18" t="str">
        <f>VLOOKUP(D1114,Products!$A:$C,3,FALSE)</f>
        <v>Grocery</v>
      </c>
      <c r="N1114" s="18" t="str">
        <f>VLOOKUP(C1114,Customers!$A:$E,5,FALSE)</f>
        <v>Corporate</v>
      </c>
      <c r="O1114" s="18">
        <f>VLOOKUP(C1114,Customers!$A:$C,3,FALSE)</f>
        <v>38</v>
      </c>
      <c r="P1114" s="18" t="str">
        <f>VLOOKUP(E1113,Sales_Reps!$A:$C,3,FALSE)</f>
        <v>South</v>
      </c>
      <c r="Q1114" s="18" t="str">
        <f t="shared" si="230"/>
        <v>Jul-24</v>
      </c>
      <c r="R1114">
        <f>VLOOKUP(D1114, Products!A:D, 4, FALSE)</f>
        <v>1010</v>
      </c>
      <c r="S1114">
        <f t="shared" si="231"/>
        <v>0.54298642533936647</v>
      </c>
    </row>
    <row r="1115" spans="1:19" ht="14.25" hidden="1" customHeight="1" x14ac:dyDescent="0.3">
      <c r="A1115" s="8" t="s">
        <v>2167</v>
      </c>
      <c r="B1115" s="9">
        <v>45546</v>
      </c>
      <c r="C1115" s="8" t="s">
        <v>858</v>
      </c>
      <c r="D1115" s="8" t="s">
        <v>644</v>
      </c>
      <c r="E1115" s="8" t="s">
        <v>96</v>
      </c>
      <c r="F1115" s="10">
        <v>4</v>
      </c>
      <c r="G1115" s="10">
        <v>3640</v>
      </c>
      <c r="H1115" s="10">
        <v>0.6</v>
      </c>
      <c r="I1115" s="10">
        <v>14472.64</v>
      </c>
      <c r="J1115" s="8" t="s">
        <v>41</v>
      </c>
      <c r="K1115" s="8" t="s">
        <v>119</v>
      </c>
      <c r="L1115" s="18" t="str">
        <f>VLOOKUP(D1115,Products!$A:$C,3,FALSE)</f>
        <v>Apparel</v>
      </c>
      <c r="N1115" s="18" t="str">
        <f>VLOOKUP(C1115,Customers!$A:$E,5,FALSE)</f>
        <v>Retail</v>
      </c>
      <c r="O1115" s="18">
        <f>VLOOKUP(C1115,Customers!$A:$C,3,FALSE)</f>
        <v>44</v>
      </c>
    </row>
    <row r="1116" spans="1:19" ht="14.25" customHeight="1" x14ac:dyDescent="0.3">
      <c r="A1116" s="8" t="s">
        <v>2168</v>
      </c>
      <c r="B1116" s="21">
        <v>45626</v>
      </c>
      <c r="C1116" s="8" t="s">
        <v>424</v>
      </c>
      <c r="D1116" s="8" t="s">
        <v>160</v>
      </c>
      <c r="E1116" s="8" t="s">
        <v>214</v>
      </c>
      <c r="F1116" s="10">
        <v>9</v>
      </c>
      <c r="G1116" s="10">
        <v>1220</v>
      </c>
      <c r="H1116" s="10">
        <v>24.1</v>
      </c>
      <c r="I1116" s="10">
        <v>8333.82</v>
      </c>
      <c r="J1116" s="8" t="s">
        <v>41</v>
      </c>
      <c r="K1116" s="8" t="s">
        <v>136</v>
      </c>
      <c r="L1116" s="18" t="str">
        <f>VLOOKUP(D1116,Products!$A:$C,3,FALSE)</f>
        <v>Electronics</v>
      </c>
      <c r="N1116" s="18" t="str">
        <f>VLOOKUP(C1116,Customers!$A:$E,5,FALSE)</f>
        <v>Retail</v>
      </c>
      <c r="O1116" s="18">
        <f>VLOOKUP(C1116,Customers!$A:$C,3,FALSE)</f>
        <v>35</v>
      </c>
      <c r="P1116" s="18" t="str">
        <f>VLOOKUP(E1115,Sales_Reps!$A:$C,3,FALSE)</f>
        <v>North</v>
      </c>
      <c r="Q1116" s="18" t="str">
        <f t="shared" ref="Q1116:Q1118" si="232">TEXT(B1115,"MMM-YY")</f>
        <v>Sep-24</v>
      </c>
      <c r="R1116">
        <f>VLOOKUP(D1116, Products!A:D, 4, FALSE)</f>
        <v>517</v>
      </c>
      <c r="S1116">
        <f t="shared" ref="S1116:S1118" si="233">(G1116-R1116)/G1116</f>
        <v>0.57622950819672136</v>
      </c>
    </row>
    <row r="1117" spans="1:19" ht="14.25" customHeight="1" x14ac:dyDescent="0.3">
      <c r="A1117" s="8" t="s">
        <v>2169</v>
      </c>
      <c r="B1117" s="21">
        <v>45402</v>
      </c>
      <c r="C1117" s="8" t="s">
        <v>442</v>
      </c>
      <c r="D1117" s="8" t="s">
        <v>959</v>
      </c>
      <c r="E1117" s="8" t="s">
        <v>214</v>
      </c>
      <c r="F1117" s="10">
        <v>2</v>
      </c>
      <c r="G1117" s="10">
        <v>6940</v>
      </c>
      <c r="H1117" s="10">
        <v>27</v>
      </c>
      <c r="I1117" s="10">
        <v>10132.4</v>
      </c>
      <c r="J1117" s="8" t="s">
        <v>41</v>
      </c>
      <c r="K1117" s="8" t="s">
        <v>98</v>
      </c>
      <c r="L1117" s="18" t="str">
        <f>VLOOKUP(D1117,Products!$A:$C,3,FALSE)</f>
        <v>Sports</v>
      </c>
      <c r="N1117" s="18" t="str">
        <f>VLOOKUP(C1117,Customers!$A:$E,5,FALSE)</f>
        <v>Retail</v>
      </c>
      <c r="O1117" s="18">
        <f>VLOOKUP(C1117,Customers!$A:$C,3,FALSE)</f>
        <v>26</v>
      </c>
      <c r="P1117" s="18" t="str">
        <f>VLOOKUP(E1116,Sales_Reps!$A:$C,3,FALSE)</f>
        <v>South</v>
      </c>
      <c r="Q1117" s="18" t="str">
        <f t="shared" si="232"/>
        <v>Nov-24</v>
      </c>
      <c r="R1117">
        <f>VLOOKUP(D1117, Products!A:D, 4, FALSE)</f>
        <v>2827</v>
      </c>
      <c r="S1117">
        <f t="shared" si="233"/>
        <v>0.5926512968299712</v>
      </c>
    </row>
    <row r="1118" spans="1:19" ht="14.25" customHeight="1" x14ac:dyDescent="0.3">
      <c r="A1118" s="8" t="s">
        <v>2170</v>
      </c>
      <c r="B1118" s="21">
        <v>45604</v>
      </c>
      <c r="C1118" s="8" t="s">
        <v>645</v>
      </c>
      <c r="D1118" s="8" t="s">
        <v>338</v>
      </c>
      <c r="E1118" s="8" t="s">
        <v>177</v>
      </c>
      <c r="F1118" s="10">
        <v>6</v>
      </c>
      <c r="G1118" s="10">
        <v>2860</v>
      </c>
      <c r="H1118" s="10">
        <v>6.6</v>
      </c>
      <c r="I1118" s="10">
        <v>16027.44</v>
      </c>
      <c r="J1118" s="8" t="s">
        <v>41</v>
      </c>
      <c r="K1118" s="8" t="s">
        <v>119</v>
      </c>
      <c r="L1118" s="18" t="str">
        <f>VLOOKUP(D1118,Products!$A:$C,3,FALSE)</f>
        <v>Sports</v>
      </c>
      <c r="N1118" s="18" t="str">
        <f>VLOOKUP(C1118,Customers!$A:$E,5,FALSE)</f>
        <v>SMB</v>
      </c>
      <c r="O1118" s="18">
        <f>VLOOKUP(C1118,Customers!$A:$C,3,FALSE)</f>
        <v>38</v>
      </c>
      <c r="P1118" s="18" t="str">
        <f>VLOOKUP(E1117,Sales_Reps!$A:$C,3,FALSE)</f>
        <v>South</v>
      </c>
      <c r="Q1118" s="18" t="str">
        <f t="shared" si="232"/>
        <v>Apr-24</v>
      </c>
      <c r="R1118">
        <f>VLOOKUP(D1118, Products!A:D, 4, FALSE)</f>
        <v>2028</v>
      </c>
      <c r="S1118">
        <f t="shared" si="233"/>
        <v>0.29090909090909089</v>
      </c>
    </row>
    <row r="1119" spans="1:19" ht="14.25" hidden="1" customHeight="1" x14ac:dyDescent="0.3">
      <c r="A1119" s="8" t="s">
        <v>2171</v>
      </c>
      <c r="B1119" s="9">
        <v>45545</v>
      </c>
      <c r="C1119" s="8" t="s">
        <v>299</v>
      </c>
      <c r="D1119" s="8" t="s">
        <v>239</v>
      </c>
      <c r="E1119" s="8" t="s">
        <v>167</v>
      </c>
      <c r="F1119" s="10">
        <v>5</v>
      </c>
      <c r="G1119" s="10">
        <v>2720</v>
      </c>
      <c r="H1119" s="10">
        <v>21.4</v>
      </c>
      <c r="I1119" s="10">
        <v>10689.6</v>
      </c>
      <c r="J1119" s="8" t="s">
        <v>41</v>
      </c>
      <c r="K1119" s="8" t="s">
        <v>98</v>
      </c>
      <c r="L1119" s="18" t="str">
        <f>VLOOKUP(D1119,Products!$A:$C,3,FALSE)</f>
        <v>Apparel</v>
      </c>
      <c r="N1119" s="18" t="str">
        <f>VLOOKUP(C1119,Customers!$A:$E,5,FALSE)</f>
        <v>SMB</v>
      </c>
      <c r="O1119" s="18">
        <f>VLOOKUP(C1119,Customers!$A:$C,3,FALSE)</f>
        <v>52</v>
      </c>
    </row>
    <row r="1120" spans="1:19" ht="14.25" customHeight="1" x14ac:dyDescent="0.3">
      <c r="A1120" s="8" t="s">
        <v>2172</v>
      </c>
      <c r="B1120" s="21">
        <v>45445</v>
      </c>
      <c r="C1120" s="8" t="s">
        <v>799</v>
      </c>
      <c r="D1120" s="8" t="s">
        <v>95</v>
      </c>
      <c r="E1120" s="8" t="s">
        <v>125</v>
      </c>
      <c r="F1120" s="10">
        <v>5</v>
      </c>
      <c r="G1120" s="10">
        <v>820</v>
      </c>
      <c r="H1120" s="10">
        <v>28.6</v>
      </c>
      <c r="I1120" s="10">
        <v>2927.4</v>
      </c>
      <c r="J1120" s="8" t="s">
        <v>41</v>
      </c>
      <c r="K1120" s="8" t="s">
        <v>146</v>
      </c>
      <c r="L1120" s="18" t="str">
        <f>VLOOKUP(D1120,Products!$A:$C,3,FALSE)</f>
        <v>Apparel</v>
      </c>
      <c r="N1120" s="18" t="str">
        <f>VLOOKUP(C1120,Customers!$A:$E,5,FALSE)</f>
        <v>Retail</v>
      </c>
      <c r="O1120" s="18">
        <f>VLOOKUP(C1120,Customers!$A:$C,3,FALSE)</f>
        <v>40</v>
      </c>
      <c r="P1120" s="18" t="str">
        <f>VLOOKUP(E1119,Sales_Reps!$A:$C,3,FALSE)</f>
        <v>East</v>
      </c>
      <c r="Q1120" s="18" t="str">
        <f>TEXT(B1119,"MMM-YY")</f>
        <v>Sep-24</v>
      </c>
      <c r="R1120">
        <f>VLOOKUP(D1120, Products!A:D, 4, FALSE)</f>
        <v>391</v>
      </c>
      <c r="S1120">
        <f>(G1120-R1120)/G1120</f>
        <v>0.52317073170731709</v>
      </c>
    </row>
    <row r="1121" spans="1:19" ht="14.25" hidden="1" customHeight="1" x14ac:dyDescent="0.3">
      <c r="A1121" s="8" t="s">
        <v>2173</v>
      </c>
      <c r="B1121" s="9">
        <v>45489</v>
      </c>
      <c r="C1121" s="8" t="s">
        <v>483</v>
      </c>
      <c r="D1121" s="8" t="s">
        <v>939</v>
      </c>
      <c r="E1121" s="8" t="s">
        <v>196</v>
      </c>
      <c r="F1121" s="10">
        <v>6</v>
      </c>
      <c r="G1121" s="10">
        <v>2290</v>
      </c>
      <c r="H1121" s="10">
        <v>18.8</v>
      </c>
      <c r="I1121" s="10">
        <v>11156.88</v>
      </c>
      <c r="J1121" s="8" t="s">
        <v>41</v>
      </c>
      <c r="K1121" s="8" t="s">
        <v>98</v>
      </c>
      <c r="L1121" s="18" t="str">
        <f>VLOOKUP(D1121,Products!$A:$C,3,FALSE)</f>
        <v>Beauty</v>
      </c>
      <c r="N1121" s="18" t="str">
        <f>VLOOKUP(C1121,Customers!$A:$E,5,FALSE)</f>
        <v>SMB</v>
      </c>
      <c r="O1121" s="18">
        <f>VLOOKUP(C1121,Customers!$A:$C,3,FALSE)</f>
        <v>51</v>
      </c>
    </row>
    <row r="1122" spans="1:19" ht="14.25" customHeight="1" x14ac:dyDescent="0.3">
      <c r="A1122" s="8" t="s">
        <v>2174</v>
      </c>
      <c r="B1122" s="21">
        <v>45394</v>
      </c>
      <c r="C1122" s="8" t="s">
        <v>784</v>
      </c>
      <c r="D1122" s="8" t="s">
        <v>215</v>
      </c>
      <c r="E1122" s="8" t="s">
        <v>216</v>
      </c>
      <c r="F1122" s="10">
        <v>6</v>
      </c>
      <c r="G1122" s="10">
        <v>3450</v>
      </c>
      <c r="H1122" s="10">
        <v>28.4</v>
      </c>
      <c r="I1122" s="10">
        <v>14821.2</v>
      </c>
      <c r="J1122" s="8" t="s">
        <v>41</v>
      </c>
      <c r="K1122" s="8" t="s">
        <v>178</v>
      </c>
      <c r="L1122" s="18" t="str">
        <f>VLOOKUP(D1122,Products!$A:$C,3,FALSE)</f>
        <v>Beauty</v>
      </c>
      <c r="N1122" s="18" t="str">
        <f>VLOOKUP(C1122,Customers!$A:$E,5,FALSE)</f>
        <v>Retail</v>
      </c>
      <c r="O1122" s="18">
        <f>VLOOKUP(C1122,Customers!$A:$C,3,FALSE)</f>
        <v>28</v>
      </c>
      <c r="P1122" s="18" t="str">
        <f>VLOOKUP(E1121,Sales_Reps!$A:$C,3,FALSE)</f>
        <v>East</v>
      </c>
      <c r="Q1122" s="18" t="str">
        <f>TEXT(B1121,"MMM-YY")</f>
        <v>Jul-24</v>
      </c>
      <c r="R1122">
        <f>VLOOKUP(D1122, Products!A:D, 4, FALSE)</f>
        <v>2420</v>
      </c>
      <c r="S1122">
        <f>(G1122-R1122)/G1122</f>
        <v>0.29855072463768118</v>
      </c>
    </row>
    <row r="1123" spans="1:19" ht="14.25" hidden="1" customHeight="1" x14ac:dyDescent="0.3">
      <c r="A1123" s="8" t="s">
        <v>2175</v>
      </c>
      <c r="B1123" s="9">
        <v>45340</v>
      </c>
      <c r="C1123" s="8" t="s">
        <v>162</v>
      </c>
      <c r="D1123" s="8" t="s">
        <v>924</v>
      </c>
      <c r="E1123" s="8" t="s">
        <v>261</v>
      </c>
      <c r="F1123" s="10">
        <v>10</v>
      </c>
      <c r="G1123" s="10">
        <v>2030</v>
      </c>
      <c r="H1123" s="10">
        <v>8</v>
      </c>
      <c r="I1123" s="10">
        <v>18676</v>
      </c>
      <c r="J1123" s="8" t="s">
        <v>41</v>
      </c>
      <c r="K1123" s="8" t="s">
        <v>136</v>
      </c>
      <c r="L1123" s="18" t="str">
        <f>VLOOKUP(D1123,Products!$A:$C,3,FALSE)</f>
        <v>Home</v>
      </c>
      <c r="N1123" s="18" t="str">
        <f>VLOOKUP(C1123,Customers!$A:$E,5,FALSE)</f>
        <v>Retail</v>
      </c>
      <c r="O1123" s="18">
        <f>VLOOKUP(C1123,Customers!$A:$C,3,FALSE)</f>
        <v>42</v>
      </c>
    </row>
    <row r="1124" spans="1:19" ht="14.25" hidden="1" customHeight="1" x14ac:dyDescent="0.3">
      <c r="A1124" s="8" t="s">
        <v>2176</v>
      </c>
      <c r="B1124" s="9">
        <v>45378</v>
      </c>
      <c r="C1124" s="8" t="s">
        <v>746</v>
      </c>
      <c r="D1124" s="8" t="s">
        <v>205</v>
      </c>
      <c r="E1124" s="8" t="s">
        <v>196</v>
      </c>
      <c r="F1124" s="10">
        <v>1</v>
      </c>
      <c r="G1124" s="10">
        <v>2400</v>
      </c>
      <c r="H1124" s="10">
        <v>9.6999999999999993</v>
      </c>
      <c r="I1124" s="10">
        <v>2167.1999999999998</v>
      </c>
      <c r="J1124" s="8" t="s">
        <v>41</v>
      </c>
      <c r="K1124" s="8" t="s">
        <v>146</v>
      </c>
      <c r="L1124" s="18" t="str">
        <f>VLOOKUP(D1124,Products!$A:$C,3,FALSE)</f>
        <v>Sports</v>
      </c>
      <c r="N1124" s="18" t="str">
        <f>VLOOKUP(C1124,Customers!$A:$E,5,FALSE)</f>
        <v>SMB</v>
      </c>
      <c r="O1124" s="18">
        <f>VLOOKUP(C1124,Customers!$A:$C,3,FALSE)</f>
        <v>65</v>
      </c>
    </row>
    <row r="1125" spans="1:19" ht="14.25" customHeight="1" x14ac:dyDescent="0.3">
      <c r="A1125" s="8" t="s">
        <v>2177</v>
      </c>
      <c r="B1125" s="21">
        <v>45369</v>
      </c>
      <c r="C1125" s="8" t="s">
        <v>649</v>
      </c>
      <c r="D1125" s="8" t="s">
        <v>924</v>
      </c>
      <c r="E1125" s="8" t="s">
        <v>117</v>
      </c>
      <c r="F1125" s="10">
        <v>4</v>
      </c>
      <c r="G1125" s="10">
        <v>2030</v>
      </c>
      <c r="H1125" s="10">
        <v>24.8</v>
      </c>
      <c r="I1125" s="10">
        <v>6106.24</v>
      </c>
      <c r="J1125" s="8" t="s">
        <v>97</v>
      </c>
      <c r="K1125" s="8" t="s">
        <v>146</v>
      </c>
      <c r="L1125" s="18" t="str">
        <f>VLOOKUP(D1125,Products!$A:$C,3,FALSE)</f>
        <v>Home</v>
      </c>
      <c r="N1125" s="18" t="str">
        <f>VLOOKUP(C1125,Customers!$A:$E,5,FALSE)</f>
        <v>SMB</v>
      </c>
      <c r="O1125" s="18">
        <f>VLOOKUP(C1125,Customers!$A:$C,3,FALSE)</f>
        <v>27</v>
      </c>
      <c r="P1125" s="18" t="str">
        <f>VLOOKUP(E1124,Sales_Reps!$A:$C,3,FALSE)</f>
        <v>East</v>
      </c>
      <c r="Q1125" s="18" t="str">
        <f>TEXT(B1124,"MMM-YY")</f>
        <v>Mar-24</v>
      </c>
      <c r="R1125">
        <f>VLOOKUP(D1125, Products!A:D, 4, FALSE)</f>
        <v>1143</v>
      </c>
      <c r="S1125">
        <f>(G1125-R1125)/G1125</f>
        <v>0.43694581280788175</v>
      </c>
    </row>
    <row r="1126" spans="1:19" ht="14.25" hidden="1" customHeight="1" x14ac:dyDescent="0.3">
      <c r="A1126" s="8" t="s">
        <v>2178</v>
      </c>
      <c r="B1126" s="9">
        <v>45513</v>
      </c>
      <c r="C1126" s="8" t="s">
        <v>246</v>
      </c>
      <c r="D1126" s="8" t="s">
        <v>912</v>
      </c>
      <c r="E1126" s="8" t="s">
        <v>261</v>
      </c>
      <c r="F1126" s="10">
        <v>5</v>
      </c>
      <c r="G1126" s="10">
        <v>4060</v>
      </c>
      <c r="H1126" s="10">
        <v>9.1</v>
      </c>
      <c r="I1126" s="10">
        <v>18452.7</v>
      </c>
      <c r="J1126" s="8" t="s">
        <v>97</v>
      </c>
      <c r="K1126" s="8" t="s">
        <v>98</v>
      </c>
      <c r="L1126" s="18" t="str">
        <f>VLOOKUP(D1126,Products!$A:$C,3,FALSE)</f>
        <v>Grocery</v>
      </c>
      <c r="N1126" s="18" t="str">
        <f>VLOOKUP(C1126,Customers!$A:$E,5,FALSE)</f>
        <v>Corporate</v>
      </c>
      <c r="O1126" s="18">
        <f>VLOOKUP(C1126,Customers!$A:$C,3,FALSE)</f>
        <v>55</v>
      </c>
    </row>
    <row r="1127" spans="1:19" ht="14.25" hidden="1" customHeight="1" x14ac:dyDescent="0.3">
      <c r="A1127" s="8" t="s">
        <v>2179</v>
      </c>
      <c r="B1127" s="9">
        <v>45438</v>
      </c>
      <c r="C1127" s="8" t="s">
        <v>583</v>
      </c>
      <c r="D1127" s="8" t="s">
        <v>924</v>
      </c>
      <c r="E1127" s="8" t="s">
        <v>745</v>
      </c>
      <c r="F1127" s="10">
        <v>9</v>
      </c>
      <c r="G1127" s="10">
        <v>2030</v>
      </c>
      <c r="H1127" s="10">
        <v>15.9</v>
      </c>
      <c r="I1127" s="10">
        <v>15365.07</v>
      </c>
      <c r="J1127" s="8" t="s">
        <v>97</v>
      </c>
      <c r="K1127" s="8" t="s">
        <v>42</v>
      </c>
      <c r="L1127" s="18" t="str">
        <f>VLOOKUP(D1127,Products!$A:$C,3,FALSE)</f>
        <v>Home</v>
      </c>
      <c r="N1127" s="18" t="str">
        <f>VLOOKUP(C1127,Customers!$A:$E,5,FALSE)</f>
        <v>SMB</v>
      </c>
      <c r="O1127" s="18">
        <f>VLOOKUP(C1127,Customers!$A:$C,3,FALSE)</f>
        <v>53</v>
      </c>
    </row>
    <row r="1128" spans="1:19" ht="14.25" customHeight="1" x14ac:dyDescent="0.3">
      <c r="A1128" s="8" t="s">
        <v>2180</v>
      </c>
      <c r="B1128" s="21">
        <v>45529</v>
      </c>
      <c r="C1128" s="8" t="s">
        <v>251</v>
      </c>
      <c r="D1128" s="8" t="s">
        <v>247</v>
      </c>
      <c r="E1128" s="8" t="s">
        <v>117</v>
      </c>
      <c r="F1128" s="10">
        <v>1</v>
      </c>
      <c r="G1128" s="10">
        <v>3350</v>
      </c>
      <c r="H1128" s="10">
        <v>23.2</v>
      </c>
      <c r="I1128" s="10">
        <v>2572.8000000000002</v>
      </c>
      <c r="J1128" s="8" t="s">
        <v>193</v>
      </c>
      <c r="K1128" s="8" t="s">
        <v>42</v>
      </c>
      <c r="L1128" s="18" t="str">
        <f>VLOOKUP(D1128,Products!$A:$C,3,FALSE)</f>
        <v>Beauty</v>
      </c>
      <c r="N1128" s="18" t="str">
        <f>VLOOKUP(C1128,Customers!$A:$E,5,FALSE)</f>
        <v>Retail</v>
      </c>
      <c r="O1128" s="18">
        <f>VLOOKUP(C1128,Customers!$A:$C,3,FALSE)</f>
        <v>36</v>
      </c>
      <c r="P1128" s="18" t="str">
        <f>VLOOKUP(E1127,Sales_Reps!$A:$C,3,FALSE)</f>
        <v>South</v>
      </c>
      <c r="Q1128" s="18" t="str">
        <f>TEXT(B1127,"MMM-YY")</f>
        <v>May-24</v>
      </c>
      <c r="R1128">
        <f>VLOOKUP(D1128, Products!A:D, 4, FALSE)</f>
        <v>1728</v>
      </c>
      <c r="S1128">
        <f>(G1128-R1128)/G1128</f>
        <v>0.48417910447761192</v>
      </c>
    </row>
    <row r="1129" spans="1:19" ht="14.25" hidden="1" customHeight="1" x14ac:dyDescent="0.3">
      <c r="A1129" s="8" t="s">
        <v>2181</v>
      </c>
      <c r="B1129" s="9">
        <v>45634</v>
      </c>
      <c r="C1129" s="8" t="s">
        <v>481</v>
      </c>
      <c r="D1129" s="8" t="s">
        <v>389</v>
      </c>
      <c r="E1129" s="8" t="s">
        <v>125</v>
      </c>
      <c r="F1129" s="10">
        <v>4</v>
      </c>
      <c r="G1129" s="10">
        <v>660</v>
      </c>
      <c r="H1129" s="10">
        <v>27.1</v>
      </c>
      <c r="I1129" s="10">
        <v>1924.56</v>
      </c>
      <c r="J1129" s="8" t="s">
        <v>41</v>
      </c>
      <c r="K1129" s="8" t="s">
        <v>178</v>
      </c>
      <c r="L1129" s="18" t="str">
        <f>VLOOKUP(D1129,Products!$A:$C,3,FALSE)</f>
        <v>Home</v>
      </c>
      <c r="N1129" s="18" t="str">
        <f>VLOOKUP(C1129,Customers!$A:$E,5,FALSE)</f>
        <v>Corporate</v>
      </c>
      <c r="O1129" s="18">
        <f>VLOOKUP(C1129,Customers!$A:$C,3,FALSE)</f>
        <v>43</v>
      </c>
    </row>
    <row r="1130" spans="1:19" ht="14.25" hidden="1" customHeight="1" x14ac:dyDescent="0.3">
      <c r="A1130" s="8" t="s">
        <v>2182</v>
      </c>
      <c r="B1130" s="9">
        <v>45441</v>
      </c>
      <c r="C1130" s="8" t="s">
        <v>794</v>
      </c>
      <c r="D1130" s="8" t="s">
        <v>867</v>
      </c>
      <c r="E1130" s="8" t="s">
        <v>117</v>
      </c>
      <c r="F1130" s="10">
        <v>3</v>
      </c>
      <c r="G1130" s="10">
        <v>3020</v>
      </c>
      <c r="H1130" s="10">
        <v>7.2</v>
      </c>
      <c r="I1130" s="10">
        <v>8407.68</v>
      </c>
      <c r="J1130" s="8" t="s">
        <v>41</v>
      </c>
      <c r="K1130" s="8" t="s">
        <v>119</v>
      </c>
      <c r="L1130" s="18" t="str">
        <f>VLOOKUP(D1130,Products!$A:$C,3,FALSE)</f>
        <v>Beauty</v>
      </c>
      <c r="N1130" s="18" t="str">
        <f>VLOOKUP(C1130,Customers!$A:$E,5,FALSE)</f>
        <v>Retail</v>
      </c>
      <c r="O1130" s="18">
        <f>VLOOKUP(C1130,Customers!$A:$C,3,FALSE)</f>
        <v>54</v>
      </c>
    </row>
    <row r="1131" spans="1:19" ht="14.25" hidden="1" customHeight="1" x14ac:dyDescent="0.3">
      <c r="A1131" s="8" t="s">
        <v>2183</v>
      </c>
      <c r="B1131" s="9">
        <v>45409</v>
      </c>
      <c r="C1131" s="8" t="s">
        <v>273</v>
      </c>
      <c r="D1131" s="8" t="s">
        <v>131</v>
      </c>
      <c r="E1131" s="8" t="s">
        <v>125</v>
      </c>
      <c r="F1131" s="10">
        <v>3</v>
      </c>
      <c r="G1131" s="10">
        <v>2660</v>
      </c>
      <c r="H1131" s="10">
        <v>0.2</v>
      </c>
      <c r="I1131" s="10">
        <v>7964.04</v>
      </c>
      <c r="J1131" s="8" t="s">
        <v>41</v>
      </c>
      <c r="K1131" s="8" t="s">
        <v>146</v>
      </c>
      <c r="L1131" s="18" t="str">
        <f>VLOOKUP(D1131,Products!$A:$C,3,FALSE)</f>
        <v>Electronics</v>
      </c>
      <c r="N1131" s="18" t="str">
        <f>VLOOKUP(C1131,Customers!$A:$E,5,FALSE)</f>
        <v>SMB</v>
      </c>
      <c r="O1131" s="18">
        <f>VLOOKUP(C1131,Customers!$A:$C,3,FALSE)</f>
        <v>61</v>
      </c>
    </row>
    <row r="1132" spans="1:19" ht="14.25" hidden="1" customHeight="1" x14ac:dyDescent="0.3">
      <c r="A1132" s="8" t="s">
        <v>2184</v>
      </c>
      <c r="B1132" s="9">
        <v>45650</v>
      </c>
      <c r="C1132" s="8" t="s">
        <v>752</v>
      </c>
      <c r="D1132" s="8" t="s">
        <v>260</v>
      </c>
      <c r="E1132" s="8" t="s">
        <v>125</v>
      </c>
      <c r="F1132" s="10">
        <v>4</v>
      </c>
      <c r="G1132" s="10">
        <v>1010</v>
      </c>
      <c r="H1132" s="10">
        <v>3.1</v>
      </c>
      <c r="I1132" s="10">
        <v>3914.76</v>
      </c>
      <c r="J1132" s="8" t="s">
        <v>41</v>
      </c>
      <c r="K1132" s="8" t="s">
        <v>146</v>
      </c>
      <c r="L1132" s="18" t="str">
        <f>VLOOKUP(D1132,Products!$A:$C,3,FALSE)</f>
        <v>Sports</v>
      </c>
      <c r="N1132" s="18" t="str">
        <f>VLOOKUP(C1132,Customers!$A:$E,5,FALSE)</f>
        <v>Retail</v>
      </c>
      <c r="O1132" s="18">
        <f>VLOOKUP(C1132,Customers!$A:$C,3,FALSE)</f>
        <v>49</v>
      </c>
    </row>
    <row r="1133" spans="1:19" ht="14.25" customHeight="1" x14ac:dyDescent="0.3">
      <c r="A1133" s="8" t="s">
        <v>2185</v>
      </c>
      <c r="B1133" s="21">
        <v>45380</v>
      </c>
      <c r="C1133" s="8" t="s">
        <v>536</v>
      </c>
      <c r="D1133" s="8" t="s">
        <v>163</v>
      </c>
      <c r="E1133" s="8" t="s">
        <v>121</v>
      </c>
      <c r="F1133" s="10">
        <v>5</v>
      </c>
      <c r="G1133" s="10">
        <v>5490</v>
      </c>
      <c r="H1133" s="10">
        <v>3.6</v>
      </c>
      <c r="I1133" s="10">
        <v>26461.8</v>
      </c>
      <c r="J1133" s="8" t="s">
        <v>41</v>
      </c>
      <c r="K1133" s="8" t="s">
        <v>178</v>
      </c>
      <c r="L1133" s="18" t="str">
        <f>VLOOKUP(D1133,Products!$A:$C,3,FALSE)</f>
        <v>Home</v>
      </c>
      <c r="N1133" s="18" t="str">
        <f>VLOOKUP(C1133,Customers!$A:$E,5,FALSE)</f>
        <v>Retail</v>
      </c>
      <c r="O1133" s="18">
        <f>VLOOKUP(C1133,Customers!$A:$C,3,FALSE)</f>
        <v>35</v>
      </c>
      <c r="P1133" s="18" t="str">
        <f>VLOOKUP(E1132,Sales_Reps!$A:$C,3,FALSE)</f>
        <v>North</v>
      </c>
      <c r="Q1133" s="18" t="str">
        <f>TEXT(B1132,"MMM-YY")</f>
        <v>Dec-24</v>
      </c>
      <c r="R1133">
        <f>VLOOKUP(D1133, Products!A:D, 4, FALSE)</f>
        <v>2549</v>
      </c>
      <c r="S1133">
        <f>(G1133-R1133)/G1133</f>
        <v>0.53570127504553733</v>
      </c>
    </row>
    <row r="1134" spans="1:19" ht="14.25" hidden="1" customHeight="1" x14ac:dyDescent="0.3">
      <c r="A1134" s="8" t="s">
        <v>2186</v>
      </c>
      <c r="B1134" s="9">
        <v>45322</v>
      </c>
      <c r="C1134" s="8" t="s">
        <v>218</v>
      </c>
      <c r="D1134" s="8" t="s">
        <v>205</v>
      </c>
      <c r="E1134" s="8" t="s">
        <v>158</v>
      </c>
      <c r="F1134" s="10">
        <v>1</v>
      </c>
      <c r="G1134" s="10">
        <v>2400</v>
      </c>
      <c r="H1134" s="10">
        <v>24.3</v>
      </c>
      <c r="I1134" s="10">
        <v>1816.8</v>
      </c>
      <c r="J1134" s="8" t="s">
        <v>41</v>
      </c>
      <c r="K1134" s="8" t="s">
        <v>146</v>
      </c>
      <c r="L1134" s="18" t="str">
        <f>VLOOKUP(D1134,Products!$A:$C,3,FALSE)</f>
        <v>Sports</v>
      </c>
      <c r="N1134" s="18" t="str">
        <f>VLOOKUP(C1134,Customers!$A:$E,5,FALSE)</f>
        <v>Retail</v>
      </c>
      <c r="O1134" s="18">
        <f>VLOOKUP(C1134,Customers!$A:$C,3,FALSE)</f>
        <v>54</v>
      </c>
    </row>
    <row r="1135" spans="1:19" ht="14.25" customHeight="1" x14ac:dyDescent="0.3">
      <c r="A1135" s="8" t="s">
        <v>2187</v>
      </c>
      <c r="B1135" s="21">
        <v>45532</v>
      </c>
      <c r="C1135" s="8" t="s">
        <v>543</v>
      </c>
      <c r="D1135" s="8" t="s">
        <v>389</v>
      </c>
      <c r="E1135" s="8" t="s">
        <v>214</v>
      </c>
      <c r="F1135" s="10">
        <v>8</v>
      </c>
      <c r="G1135" s="10">
        <v>660</v>
      </c>
      <c r="H1135" s="10">
        <v>19.8</v>
      </c>
      <c r="I1135" s="10">
        <v>4234.5600000000004</v>
      </c>
      <c r="J1135" s="8" t="s">
        <v>41</v>
      </c>
      <c r="K1135" s="8" t="s">
        <v>119</v>
      </c>
      <c r="L1135" s="18" t="str">
        <f>VLOOKUP(D1135,Products!$A:$C,3,FALSE)</f>
        <v>Home</v>
      </c>
      <c r="N1135" s="18" t="str">
        <f>VLOOKUP(C1135,Customers!$A:$E,5,FALSE)</f>
        <v>SMB</v>
      </c>
      <c r="O1135" s="18">
        <f>VLOOKUP(C1135,Customers!$A:$C,3,FALSE)</f>
        <v>28</v>
      </c>
      <c r="P1135" s="18" t="str">
        <f>VLOOKUP(E1134,Sales_Reps!$A:$C,3,FALSE)</f>
        <v>East</v>
      </c>
      <c r="Q1135" s="18" t="str">
        <f>TEXT(B1134,"MMM-YY")</f>
        <v>Jan-24</v>
      </c>
      <c r="R1135">
        <f>VLOOKUP(D1135, Products!A:D, 4, FALSE)</f>
        <v>329</v>
      </c>
      <c r="S1135">
        <f>(G1135-R1135)/G1135</f>
        <v>0.50151515151515147</v>
      </c>
    </row>
    <row r="1136" spans="1:19" ht="14.25" hidden="1" customHeight="1" x14ac:dyDescent="0.3">
      <c r="A1136" s="8" t="s">
        <v>2188</v>
      </c>
      <c r="B1136" s="9">
        <v>45504</v>
      </c>
      <c r="C1136" s="8" t="s">
        <v>304</v>
      </c>
      <c r="D1136" s="8" t="s">
        <v>230</v>
      </c>
      <c r="E1136" s="8" t="s">
        <v>221</v>
      </c>
      <c r="F1136" s="10">
        <v>9</v>
      </c>
      <c r="G1136" s="10">
        <v>5330</v>
      </c>
      <c r="H1136" s="10">
        <v>16.5</v>
      </c>
      <c r="I1136" s="10">
        <v>40054.949999999997</v>
      </c>
      <c r="J1136" s="8" t="s">
        <v>41</v>
      </c>
      <c r="K1136" s="8" t="s">
        <v>98</v>
      </c>
      <c r="L1136" s="18" t="str">
        <f>VLOOKUP(D1136,Products!$A:$C,3,FALSE)</f>
        <v>Electronics</v>
      </c>
      <c r="N1136" s="18" t="str">
        <f>VLOOKUP(C1136,Customers!$A:$E,5,FALSE)</f>
        <v>SMB</v>
      </c>
      <c r="O1136" s="18">
        <f>VLOOKUP(C1136,Customers!$A:$C,3,FALSE)</f>
        <v>43</v>
      </c>
    </row>
    <row r="1137" spans="1:19" ht="14.25" customHeight="1" x14ac:dyDescent="0.3">
      <c r="A1137" s="8" t="s">
        <v>527</v>
      </c>
      <c r="B1137" s="21">
        <v>45516</v>
      </c>
      <c r="C1137" s="8" t="s">
        <v>532</v>
      </c>
      <c r="D1137" s="8" t="s">
        <v>184</v>
      </c>
      <c r="E1137" s="8" t="s">
        <v>38</v>
      </c>
      <c r="F1137" s="10">
        <v>5</v>
      </c>
      <c r="G1137" s="10">
        <v>2600</v>
      </c>
      <c r="H1137" s="10">
        <v>0.3</v>
      </c>
      <c r="I1137" s="10">
        <v>12961</v>
      </c>
      <c r="J1137" s="8" t="s">
        <v>41</v>
      </c>
      <c r="K1137" s="8" t="s">
        <v>98</v>
      </c>
      <c r="L1137" s="18" t="str">
        <f>VLOOKUP(D1137,Products!$A:$C,3,FALSE)</f>
        <v>Electronics</v>
      </c>
      <c r="N1137" s="18" t="str">
        <f>VLOOKUP(C1137,Customers!$A:$E,5,FALSE)</f>
        <v>Corporate</v>
      </c>
      <c r="O1137" s="18">
        <f>VLOOKUP(C1137,Customers!$A:$C,3,FALSE)</f>
        <v>30</v>
      </c>
      <c r="P1137" s="18" t="str">
        <f>VLOOKUP(E1136,Sales_Reps!$A:$C,3,FALSE)</f>
        <v>South</v>
      </c>
      <c r="Q1137" s="18" t="str">
        <f>TEXT(B1136,"MMM-YY")</f>
        <v>Jul-24</v>
      </c>
      <c r="R1137">
        <f>VLOOKUP(D1137, Products!A:D, 4, FALSE)</f>
        <v>1052</v>
      </c>
      <c r="S1137">
        <f>(G1137-R1137)/G1137</f>
        <v>0.5953846153846154</v>
      </c>
    </row>
    <row r="1138" spans="1:19" ht="14.25" hidden="1" customHeight="1" x14ac:dyDescent="0.3">
      <c r="A1138" s="8" t="s">
        <v>2189</v>
      </c>
      <c r="B1138" s="9">
        <v>45462</v>
      </c>
      <c r="C1138" s="8" t="s">
        <v>507</v>
      </c>
      <c r="D1138" s="8" t="s">
        <v>926</v>
      </c>
      <c r="E1138" s="8" t="s">
        <v>167</v>
      </c>
      <c r="F1138" s="10">
        <v>4</v>
      </c>
      <c r="G1138" s="10">
        <v>5080</v>
      </c>
      <c r="H1138" s="10">
        <v>13.8</v>
      </c>
      <c r="I1138" s="10">
        <v>17515.84</v>
      </c>
      <c r="J1138" s="8" t="s">
        <v>97</v>
      </c>
      <c r="K1138" s="8" t="s">
        <v>136</v>
      </c>
      <c r="L1138" s="18" t="str">
        <f>VLOOKUP(D1138,Products!$A:$C,3,FALSE)</f>
        <v>Home</v>
      </c>
      <c r="N1138" s="18" t="str">
        <f>VLOOKUP(C1138,Customers!$A:$E,5,FALSE)</f>
        <v>Retail</v>
      </c>
      <c r="O1138" s="18">
        <f>VLOOKUP(C1138,Customers!$A:$C,3,FALSE)</f>
        <v>53</v>
      </c>
    </row>
    <row r="1139" spans="1:19" ht="14.25" hidden="1" customHeight="1" x14ac:dyDescent="0.3">
      <c r="A1139" s="8" t="s">
        <v>2190</v>
      </c>
      <c r="B1139" s="9">
        <v>45597</v>
      </c>
      <c r="C1139" s="8" t="s">
        <v>300</v>
      </c>
      <c r="D1139" s="8" t="s">
        <v>909</v>
      </c>
      <c r="E1139" s="8" t="s">
        <v>261</v>
      </c>
      <c r="F1139" s="10">
        <v>7</v>
      </c>
      <c r="G1139" s="10">
        <v>2380</v>
      </c>
      <c r="H1139" s="10">
        <v>15.5</v>
      </c>
      <c r="I1139" s="10">
        <v>14077.7</v>
      </c>
      <c r="J1139" s="8" t="s">
        <v>41</v>
      </c>
      <c r="K1139" s="8" t="s">
        <v>42</v>
      </c>
      <c r="L1139" s="18" t="str">
        <f>VLOOKUP(D1139,Products!$A:$C,3,FALSE)</f>
        <v>Grocery</v>
      </c>
      <c r="N1139" s="18" t="str">
        <f>VLOOKUP(C1139,Customers!$A:$E,5,FALSE)</f>
        <v>Retail</v>
      </c>
      <c r="O1139" s="18">
        <f>VLOOKUP(C1139,Customers!$A:$C,3,FALSE)</f>
        <v>44</v>
      </c>
    </row>
    <row r="1140" spans="1:19" ht="14.25" customHeight="1" x14ac:dyDescent="0.3">
      <c r="A1140" s="8" t="s">
        <v>2191</v>
      </c>
      <c r="B1140" s="21">
        <v>45648</v>
      </c>
      <c r="C1140" s="8" t="s">
        <v>647</v>
      </c>
      <c r="D1140" s="8" t="s">
        <v>283</v>
      </c>
      <c r="E1140" s="8" t="s">
        <v>125</v>
      </c>
      <c r="F1140" s="10">
        <v>3</v>
      </c>
      <c r="G1140" s="10">
        <v>4880</v>
      </c>
      <c r="H1140" s="10">
        <v>6.1</v>
      </c>
      <c r="I1140" s="10">
        <v>13746.96</v>
      </c>
      <c r="J1140" s="8" t="s">
        <v>41</v>
      </c>
      <c r="K1140" s="8" t="s">
        <v>136</v>
      </c>
      <c r="L1140" s="18" t="str">
        <f>VLOOKUP(D1140,Products!$A:$C,3,FALSE)</f>
        <v>Beauty</v>
      </c>
      <c r="N1140" s="18" t="str">
        <f>VLOOKUP(C1140,Customers!$A:$E,5,FALSE)</f>
        <v>Retail</v>
      </c>
      <c r="O1140" s="18">
        <f>VLOOKUP(C1140,Customers!$A:$C,3,FALSE)</f>
        <v>34</v>
      </c>
      <c r="P1140" s="18" t="str">
        <f>VLOOKUP(E1139,Sales_Reps!$A:$C,3,FALSE)</f>
        <v>North</v>
      </c>
      <c r="Q1140" s="18" t="str">
        <f t="shared" ref="Q1140:Q1142" si="234">TEXT(B1139,"MMM-YY")</f>
        <v>Nov-24</v>
      </c>
      <c r="R1140">
        <f>VLOOKUP(D1140, Products!A:D, 4, FALSE)</f>
        <v>2768</v>
      </c>
      <c r="S1140">
        <f t="shared" ref="S1140:S1142" si="235">(G1140-R1140)/G1140</f>
        <v>0.43278688524590164</v>
      </c>
    </row>
    <row r="1141" spans="1:19" ht="14.25" customHeight="1" x14ac:dyDescent="0.3">
      <c r="A1141" s="8" t="s">
        <v>2192</v>
      </c>
      <c r="B1141" s="21">
        <v>45355</v>
      </c>
      <c r="C1141" s="8" t="s">
        <v>731</v>
      </c>
      <c r="D1141" s="8" t="s">
        <v>247</v>
      </c>
      <c r="E1141" s="8" t="s">
        <v>214</v>
      </c>
      <c r="F1141" s="10">
        <v>2</v>
      </c>
      <c r="G1141" s="10">
        <v>3350</v>
      </c>
      <c r="H1141" s="10">
        <v>17.2</v>
      </c>
      <c r="I1141" s="10">
        <v>5547.6</v>
      </c>
      <c r="J1141" s="8" t="s">
        <v>41</v>
      </c>
      <c r="K1141" s="8" t="s">
        <v>98</v>
      </c>
      <c r="L1141" s="18" t="str">
        <f>VLOOKUP(D1141,Products!$A:$C,3,FALSE)</f>
        <v>Beauty</v>
      </c>
      <c r="N1141" s="18" t="str">
        <f>VLOOKUP(C1141,Customers!$A:$E,5,FALSE)</f>
        <v>SMB</v>
      </c>
      <c r="O1141" s="18">
        <f>VLOOKUP(C1141,Customers!$A:$C,3,FALSE)</f>
        <v>26</v>
      </c>
      <c r="P1141" s="18" t="str">
        <f>VLOOKUP(E1140,Sales_Reps!$A:$C,3,FALSE)</f>
        <v>North</v>
      </c>
      <c r="Q1141" s="18" t="str">
        <f t="shared" si="234"/>
        <v>Dec-24</v>
      </c>
      <c r="R1141">
        <f>VLOOKUP(D1141, Products!A:D, 4, FALSE)</f>
        <v>1728</v>
      </c>
      <c r="S1141">
        <f t="shared" si="235"/>
        <v>0.48417910447761192</v>
      </c>
    </row>
    <row r="1142" spans="1:19" ht="14.25" customHeight="1" x14ac:dyDescent="0.3">
      <c r="A1142" s="8" t="s">
        <v>2193</v>
      </c>
      <c r="B1142" s="21">
        <v>45331</v>
      </c>
      <c r="C1142" s="8" t="s">
        <v>808</v>
      </c>
      <c r="D1142" s="8" t="s">
        <v>171</v>
      </c>
      <c r="E1142" s="8" t="s">
        <v>153</v>
      </c>
      <c r="F1142" s="10">
        <v>5</v>
      </c>
      <c r="G1142" s="10">
        <v>970</v>
      </c>
      <c r="H1142" s="10">
        <v>23.6</v>
      </c>
      <c r="I1142" s="10">
        <v>3705.4</v>
      </c>
      <c r="J1142" s="8" t="s">
        <v>41</v>
      </c>
      <c r="K1142" s="8" t="s">
        <v>98</v>
      </c>
      <c r="L1142" s="18" t="str">
        <f>VLOOKUP(D1142,Products!$A:$C,3,FALSE)</f>
        <v>Grocery</v>
      </c>
      <c r="N1142" s="18" t="str">
        <f>VLOOKUP(C1142,Customers!$A:$E,5,FALSE)</f>
        <v>Retail</v>
      </c>
      <c r="O1142" s="18">
        <f>VLOOKUP(C1142,Customers!$A:$C,3,FALSE)</f>
        <v>35</v>
      </c>
      <c r="P1142" s="18" t="str">
        <f>VLOOKUP(E1141,Sales_Reps!$A:$C,3,FALSE)</f>
        <v>South</v>
      </c>
      <c r="Q1142" s="18" t="str">
        <f t="shared" si="234"/>
        <v>Mar-24</v>
      </c>
      <c r="R1142">
        <f>VLOOKUP(D1142, Products!A:D, 4, FALSE)</f>
        <v>434</v>
      </c>
      <c r="S1142">
        <f t="shared" si="235"/>
        <v>0.5525773195876289</v>
      </c>
    </row>
    <row r="1143" spans="1:19" ht="14.25" hidden="1" customHeight="1" x14ac:dyDescent="0.3">
      <c r="A1143" s="8" t="s">
        <v>2194</v>
      </c>
      <c r="B1143" s="9">
        <v>45632</v>
      </c>
      <c r="C1143" s="8" t="s">
        <v>768</v>
      </c>
      <c r="D1143" s="8" t="s">
        <v>154</v>
      </c>
      <c r="E1143" s="8" t="s">
        <v>196</v>
      </c>
      <c r="F1143" s="10">
        <v>5</v>
      </c>
      <c r="G1143" s="10">
        <v>300</v>
      </c>
      <c r="H1143" s="10">
        <v>3.8</v>
      </c>
      <c r="I1143" s="10">
        <v>1443</v>
      </c>
      <c r="J1143" s="8" t="s">
        <v>41</v>
      </c>
      <c r="K1143" s="8" t="s">
        <v>98</v>
      </c>
      <c r="L1143" s="18" t="str">
        <f>VLOOKUP(D1143,Products!$A:$C,3,FALSE)</f>
        <v>Electronics</v>
      </c>
      <c r="N1143" s="18" t="str">
        <f>VLOOKUP(C1143,Customers!$A:$E,5,FALSE)</f>
        <v>SMB</v>
      </c>
      <c r="O1143" s="18">
        <f>VLOOKUP(C1143,Customers!$A:$C,3,FALSE)</f>
        <v>57</v>
      </c>
    </row>
    <row r="1144" spans="1:19" ht="14.25" hidden="1" customHeight="1" x14ac:dyDescent="0.3">
      <c r="A1144" s="8" t="s">
        <v>2195</v>
      </c>
      <c r="B1144" s="9">
        <v>45358</v>
      </c>
      <c r="C1144" s="8" t="s">
        <v>312</v>
      </c>
      <c r="D1144" s="8" t="s">
        <v>120</v>
      </c>
      <c r="E1144" s="8" t="s">
        <v>96</v>
      </c>
      <c r="F1144" s="10">
        <v>9</v>
      </c>
      <c r="G1144" s="10">
        <v>3970</v>
      </c>
      <c r="H1144" s="10">
        <v>0.8</v>
      </c>
      <c r="I1144" s="10">
        <v>35444.160000000003</v>
      </c>
      <c r="J1144" s="8" t="s">
        <v>41</v>
      </c>
      <c r="K1144" s="8" t="s">
        <v>42</v>
      </c>
      <c r="L1144" s="18" t="str">
        <f>VLOOKUP(D1144,Products!$A:$C,3,FALSE)</f>
        <v>Electronics</v>
      </c>
      <c r="N1144" s="18" t="str">
        <f>VLOOKUP(C1144,Customers!$A:$E,5,FALSE)</f>
        <v>Retail</v>
      </c>
      <c r="O1144" s="18">
        <f>VLOOKUP(C1144,Customers!$A:$C,3,FALSE)</f>
        <v>62</v>
      </c>
    </row>
    <row r="1145" spans="1:19" ht="14.25" hidden="1" customHeight="1" x14ac:dyDescent="0.3">
      <c r="A1145" s="8" t="s">
        <v>2196</v>
      </c>
      <c r="B1145" s="9">
        <v>45440</v>
      </c>
      <c r="C1145" s="8" t="s">
        <v>786</v>
      </c>
      <c r="D1145" s="8" t="s">
        <v>239</v>
      </c>
      <c r="E1145" s="8" t="s">
        <v>745</v>
      </c>
      <c r="F1145" s="10">
        <v>4</v>
      </c>
      <c r="G1145" s="10">
        <v>2720</v>
      </c>
      <c r="H1145" s="10">
        <v>12.7</v>
      </c>
      <c r="I1145" s="10">
        <v>9498.24</v>
      </c>
      <c r="J1145" s="8" t="s">
        <v>41</v>
      </c>
      <c r="K1145" s="8" t="s">
        <v>146</v>
      </c>
      <c r="L1145" s="18" t="str">
        <f>VLOOKUP(D1145,Products!$A:$C,3,FALSE)</f>
        <v>Apparel</v>
      </c>
      <c r="N1145" s="18" t="str">
        <f>VLOOKUP(C1145,Customers!$A:$E,5,FALSE)</f>
        <v>Corporate</v>
      </c>
      <c r="O1145" s="18">
        <f>VLOOKUP(C1145,Customers!$A:$C,3,FALSE)</f>
        <v>46</v>
      </c>
    </row>
    <row r="1146" spans="1:19" ht="14.25" hidden="1" customHeight="1" x14ac:dyDescent="0.3">
      <c r="A1146" s="8" t="s">
        <v>2197</v>
      </c>
      <c r="B1146" s="9">
        <v>45412</v>
      </c>
      <c r="C1146" s="8" t="s">
        <v>790</v>
      </c>
      <c r="D1146" s="8" t="s">
        <v>896</v>
      </c>
      <c r="E1146" s="8" t="s">
        <v>216</v>
      </c>
      <c r="F1146" s="10">
        <v>3</v>
      </c>
      <c r="G1146" s="10">
        <v>620</v>
      </c>
      <c r="H1146" s="10">
        <v>5.5</v>
      </c>
      <c r="I1146" s="10">
        <v>1757.7</v>
      </c>
      <c r="J1146" s="8" t="s">
        <v>41</v>
      </c>
      <c r="K1146" s="8" t="s">
        <v>42</v>
      </c>
      <c r="L1146" s="18" t="str">
        <f>VLOOKUP(D1146,Products!$A:$C,3,FALSE)</f>
        <v>Apparel</v>
      </c>
      <c r="N1146" s="18" t="str">
        <f>VLOOKUP(C1146,Customers!$A:$E,5,FALSE)</f>
        <v>Retail</v>
      </c>
      <c r="O1146" s="18">
        <f>VLOOKUP(C1146,Customers!$A:$C,3,FALSE)</f>
        <v>44</v>
      </c>
    </row>
    <row r="1147" spans="1:19" ht="14.25" hidden="1" customHeight="1" x14ac:dyDescent="0.3">
      <c r="A1147" s="8" t="s">
        <v>2198</v>
      </c>
      <c r="B1147" s="9">
        <v>45479</v>
      </c>
      <c r="C1147" s="8" t="s">
        <v>246</v>
      </c>
      <c r="D1147" s="8" t="s">
        <v>789</v>
      </c>
      <c r="E1147" s="8" t="s">
        <v>153</v>
      </c>
      <c r="F1147" s="10">
        <v>2</v>
      </c>
      <c r="G1147" s="10">
        <v>1540</v>
      </c>
      <c r="H1147" s="10">
        <v>2.2000000000000002</v>
      </c>
      <c r="I1147" s="10">
        <v>3012.24</v>
      </c>
      <c r="J1147" s="8" t="s">
        <v>97</v>
      </c>
      <c r="K1147" s="8" t="s">
        <v>98</v>
      </c>
      <c r="L1147" s="18" t="str">
        <f>VLOOKUP(D1147,Products!$A:$C,3,FALSE)</f>
        <v>Beauty</v>
      </c>
      <c r="N1147" s="18" t="str">
        <f>VLOOKUP(C1147,Customers!$A:$E,5,FALSE)</f>
        <v>Corporate</v>
      </c>
      <c r="O1147" s="18">
        <f>VLOOKUP(C1147,Customers!$A:$C,3,FALSE)</f>
        <v>55</v>
      </c>
    </row>
    <row r="1148" spans="1:19" ht="14.25" hidden="1" customHeight="1" x14ac:dyDescent="0.3">
      <c r="A1148" s="8" t="s">
        <v>2199</v>
      </c>
      <c r="B1148" s="9">
        <v>45534</v>
      </c>
      <c r="C1148" s="8" t="s">
        <v>296</v>
      </c>
      <c r="D1148" s="8" t="s">
        <v>939</v>
      </c>
      <c r="E1148" s="8" t="s">
        <v>376</v>
      </c>
      <c r="F1148" s="10">
        <v>1</v>
      </c>
      <c r="G1148" s="10">
        <v>2290</v>
      </c>
      <c r="H1148" s="10">
        <v>24.4</v>
      </c>
      <c r="I1148" s="10">
        <v>1731.24</v>
      </c>
      <c r="J1148" s="8" t="s">
        <v>147</v>
      </c>
      <c r="K1148" s="8" t="s">
        <v>178</v>
      </c>
      <c r="L1148" s="18" t="str">
        <f>VLOOKUP(D1148,Products!$A:$C,3,FALSE)</f>
        <v>Beauty</v>
      </c>
      <c r="N1148" s="18" t="str">
        <f>VLOOKUP(C1148,Customers!$A:$E,5,FALSE)</f>
        <v>Retail</v>
      </c>
      <c r="O1148" s="18">
        <f>VLOOKUP(C1148,Customers!$A:$C,3,FALSE)</f>
        <v>46</v>
      </c>
    </row>
    <row r="1149" spans="1:19" ht="14.25" customHeight="1" x14ac:dyDescent="0.3">
      <c r="A1149" s="8" t="s">
        <v>2200</v>
      </c>
      <c r="B1149" s="21">
        <v>45313</v>
      </c>
      <c r="C1149" s="8" t="s">
        <v>288</v>
      </c>
      <c r="D1149" s="8" t="s">
        <v>239</v>
      </c>
      <c r="E1149" s="8" t="s">
        <v>167</v>
      </c>
      <c r="F1149" s="10">
        <v>8</v>
      </c>
      <c r="G1149" s="10">
        <v>2720</v>
      </c>
      <c r="H1149" s="10">
        <v>1.7</v>
      </c>
      <c r="I1149" s="10">
        <v>21390.080000000002</v>
      </c>
      <c r="J1149" s="8" t="s">
        <v>41</v>
      </c>
      <c r="K1149" s="8" t="s">
        <v>119</v>
      </c>
      <c r="L1149" s="18" t="str">
        <f>VLOOKUP(D1149,Products!$A:$C,3,FALSE)</f>
        <v>Apparel</v>
      </c>
      <c r="N1149" s="18" t="str">
        <f>VLOOKUP(C1149,Customers!$A:$E,5,FALSE)</f>
        <v>SMB</v>
      </c>
      <c r="O1149" s="18">
        <f>VLOOKUP(C1149,Customers!$A:$C,3,FALSE)</f>
        <v>26</v>
      </c>
      <c r="P1149" s="18" t="str">
        <f>VLOOKUP(E1148,Sales_Reps!$A:$C,3,FALSE)</f>
        <v>West</v>
      </c>
      <c r="Q1149" s="18" t="str">
        <f t="shared" ref="Q1149:Q1151" si="236">TEXT(B1148,"MMM-YY")</f>
        <v>Aug-24</v>
      </c>
      <c r="R1149">
        <f>VLOOKUP(D1149, Products!A:D, 4, FALSE)</f>
        <v>1962</v>
      </c>
      <c r="S1149">
        <f t="shared" ref="S1149:S1151" si="237">(G1149-R1149)/G1149</f>
        <v>0.2786764705882353</v>
      </c>
    </row>
    <row r="1150" spans="1:19" ht="14.25" customHeight="1" x14ac:dyDescent="0.3">
      <c r="A1150" s="8" t="s">
        <v>2201</v>
      </c>
      <c r="B1150" s="21">
        <v>45390</v>
      </c>
      <c r="C1150" s="8" t="s">
        <v>842</v>
      </c>
      <c r="D1150" s="8" t="s">
        <v>912</v>
      </c>
      <c r="E1150" s="8" t="s">
        <v>208</v>
      </c>
      <c r="F1150" s="10">
        <v>4</v>
      </c>
      <c r="G1150" s="10">
        <v>4060</v>
      </c>
      <c r="H1150" s="10">
        <v>19.600000000000001</v>
      </c>
      <c r="I1150" s="10">
        <v>13056.96</v>
      </c>
      <c r="J1150" s="8" t="s">
        <v>147</v>
      </c>
      <c r="K1150" s="8" t="s">
        <v>178</v>
      </c>
      <c r="L1150" s="18" t="str">
        <f>VLOOKUP(D1150,Products!$A:$C,3,FALSE)</f>
        <v>Grocery</v>
      </c>
      <c r="N1150" s="18" t="str">
        <f>VLOOKUP(C1150,Customers!$A:$E,5,FALSE)</f>
        <v>Corporate</v>
      </c>
      <c r="O1150" s="18">
        <f>VLOOKUP(C1150,Customers!$A:$C,3,FALSE)</f>
        <v>25</v>
      </c>
      <c r="P1150" s="18" t="str">
        <f>VLOOKUP(E1149,Sales_Reps!$A:$C,3,FALSE)</f>
        <v>East</v>
      </c>
      <c r="Q1150" s="18" t="str">
        <f t="shared" si="236"/>
        <v>Jan-24</v>
      </c>
      <c r="R1150">
        <f>VLOOKUP(D1150, Products!A:D, 4, FALSE)</f>
        <v>2911</v>
      </c>
      <c r="S1150">
        <f t="shared" si="237"/>
        <v>0.28300492610837441</v>
      </c>
    </row>
    <row r="1151" spans="1:19" ht="14.25" customHeight="1" x14ac:dyDescent="0.3">
      <c r="A1151" s="8" t="s">
        <v>2202</v>
      </c>
      <c r="B1151" s="21">
        <v>45370</v>
      </c>
      <c r="C1151" s="8" t="s">
        <v>547</v>
      </c>
      <c r="D1151" s="8" t="s">
        <v>211</v>
      </c>
      <c r="E1151" s="8" t="s">
        <v>221</v>
      </c>
      <c r="F1151" s="10">
        <v>8</v>
      </c>
      <c r="G1151" s="10">
        <v>3570</v>
      </c>
      <c r="H1151" s="10">
        <v>10.8</v>
      </c>
      <c r="I1151" s="10">
        <v>25475.52</v>
      </c>
      <c r="J1151" s="8" t="s">
        <v>41</v>
      </c>
      <c r="K1151" s="8" t="s">
        <v>98</v>
      </c>
      <c r="L1151" s="18" t="str">
        <f>VLOOKUP(D1151,Products!$A:$C,3,FALSE)</f>
        <v>Electronics</v>
      </c>
      <c r="N1151" s="18" t="str">
        <f>VLOOKUP(C1151,Customers!$A:$E,5,FALSE)</f>
        <v>Retail</v>
      </c>
      <c r="O1151" s="18">
        <f>VLOOKUP(C1151,Customers!$A:$C,3,FALSE)</f>
        <v>26</v>
      </c>
      <c r="P1151" s="18" t="str">
        <f>VLOOKUP(E1150,Sales_Reps!$A:$C,3,FALSE)</f>
        <v>East</v>
      </c>
      <c r="Q1151" s="18" t="str">
        <f t="shared" si="236"/>
        <v>Apr-24</v>
      </c>
      <c r="R1151">
        <f>VLOOKUP(D1151, Products!A:D, 4, FALSE)</f>
        <v>1665</v>
      </c>
      <c r="S1151">
        <f t="shared" si="237"/>
        <v>0.53361344537815125</v>
      </c>
    </row>
    <row r="1152" spans="1:19" ht="14.25" hidden="1" customHeight="1" x14ac:dyDescent="0.3">
      <c r="A1152" s="8" t="s">
        <v>2203</v>
      </c>
      <c r="B1152" s="9">
        <v>45324</v>
      </c>
      <c r="C1152" s="8" t="s">
        <v>667</v>
      </c>
      <c r="D1152" s="8" t="s">
        <v>219</v>
      </c>
      <c r="E1152" s="8" t="s">
        <v>185</v>
      </c>
      <c r="F1152" s="10">
        <v>10</v>
      </c>
      <c r="G1152" s="10">
        <v>3450</v>
      </c>
      <c r="H1152" s="10">
        <v>13.5</v>
      </c>
      <c r="I1152" s="10">
        <v>29842.5</v>
      </c>
      <c r="J1152" s="8" t="s">
        <v>97</v>
      </c>
      <c r="K1152" s="8" t="s">
        <v>136</v>
      </c>
      <c r="L1152" s="18" t="str">
        <f>VLOOKUP(D1152,Products!$A:$C,3,FALSE)</f>
        <v>Sports</v>
      </c>
      <c r="N1152" s="18" t="str">
        <f>VLOOKUP(C1152,Customers!$A:$E,5,FALSE)</f>
        <v>Retail</v>
      </c>
      <c r="O1152" s="18">
        <f>VLOOKUP(C1152,Customers!$A:$C,3,FALSE)</f>
        <v>55</v>
      </c>
    </row>
    <row r="1153" spans="1:19" ht="14.25" hidden="1" customHeight="1" x14ac:dyDescent="0.3">
      <c r="A1153" s="8" t="s">
        <v>2204</v>
      </c>
      <c r="B1153" s="9">
        <v>45469</v>
      </c>
      <c r="C1153" s="8" t="s">
        <v>858</v>
      </c>
      <c r="D1153" s="8" t="s">
        <v>181</v>
      </c>
      <c r="E1153" s="8" t="s">
        <v>38</v>
      </c>
      <c r="F1153" s="10">
        <v>10</v>
      </c>
      <c r="G1153" s="10">
        <v>2640</v>
      </c>
      <c r="H1153" s="10">
        <v>29.8</v>
      </c>
      <c r="I1153" s="10">
        <v>18532.8</v>
      </c>
      <c r="J1153" s="8" t="s">
        <v>41</v>
      </c>
      <c r="K1153" s="8" t="s">
        <v>119</v>
      </c>
      <c r="L1153" s="18" t="str">
        <f>VLOOKUP(D1153,Products!$A:$C,3,FALSE)</f>
        <v>Electronics</v>
      </c>
      <c r="N1153" s="18" t="str">
        <f>VLOOKUP(C1153,Customers!$A:$E,5,FALSE)</f>
        <v>Retail</v>
      </c>
      <c r="O1153" s="18">
        <f>VLOOKUP(C1153,Customers!$A:$C,3,FALSE)</f>
        <v>44</v>
      </c>
    </row>
    <row r="1154" spans="1:19" ht="14.25" customHeight="1" x14ac:dyDescent="0.3">
      <c r="A1154" s="8" t="s">
        <v>2205</v>
      </c>
      <c r="B1154" s="21">
        <v>45619</v>
      </c>
      <c r="C1154" s="8" t="s">
        <v>449</v>
      </c>
      <c r="D1154" s="8" t="s">
        <v>144</v>
      </c>
      <c r="E1154" s="8" t="s">
        <v>214</v>
      </c>
      <c r="F1154" s="10">
        <v>3</v>
      </c>
      <c r="G1154" s="10">
        <v>370</v>
      </c>
      <c r="H1154" s="10">
        <v>25.5</v>
      </c>
      <c r="I1154" s="10">
        <v>826.95</v>
      </c>
      <c r="J1154" s="8" t="s">
        <v>41</v>
      </c>
      <c r="K1154" s="8" t="s">
        <v>98</v>
      </c>
      <c r="L1154" s="18" t="str">
        <f>VLOOKUP(D1154,Products!$A:$C,3,FALSE)</f>
        <v>Home</v>
      </c>
      <c r="N1154" s="18" t="str">
        <f>VLOOKUP(C1154,Customers!$A:$E,5,FALSE)</f>
        <v>Retail</v>
      </c>
      <c r="O1154" s="18">
        <f>VLOOKUP(C1154,Customers!$A:$C,3,FALSE)</f>
        <v>24</v>
      </c>
      <c r="P1154" s="18" t="str">
        <f>VLOOKUP(E1153,Sales_Reps!$A:$C,3,FALSE)</f>
        <v>North</v>
      </c>
      <c r="Q1154" s="18" t="str">
        <f t="shared" ref="Q1154:Q1159" si="238">TEXT(B1153,"MMM-YY")</f>
        <v>Jun-24</v>
      </c>
      <c r="R1154">
        <f>VLOOKUP(D1154, Products!A:D, 4, FALSE)</f>
        <v>288</v>
      </c>
      <c r="S1154">
        <f t="shared" ref="S1154:S1159" si="239">(G1154-R1154)/G1154</f>
        <v>0.22162162162162163</v>
      </c>
    </row>
    <row r="1155" spans="1:19" ht="14.25" customHeight="1" x14ac:dyDescent="0.3">
      <c r="A1155" s="8" t="s">
        <v>497</v>
      </c>
      <c r="B1155" s="21">
        <v>45627</v>
      </c>
      <c r="C1155" s="8" t="s">
        <v>503</v>
      </c>
      <c r="D1155" s="8" t="s">
        <v>160</v>
      </c>
      <c r="E1155" s="8" t="s">
        <v>143</v>
      </c>
      <c r="F1155" s="10">
        <v>3</v>
      </c>
      <c r="G1155" s="10">
        <v>1220</v>
      </c>
      <c r="H1155" s="10">
        <v>7.7</v>
      </c>
      <c r="I1155" s="10">
        <v>3378.18</v>
      </c>
      <c r="J1155" s="8" t="s">
        <v>97</v>
      </c>
      <c r="K1155" s="8" t="s">
        <v>136</v>
      </c>
      <c r="L1155" s="18" t="str">
        <f>VLOOKUP(D1155,Products!$A:$C,3,FALSE)</f>
        <v>Electronics</v>
      </c>
      <c r="N1155" s="18" t="str">
        <f>VLOOKUP(C1155,Customers!$A:$E,5,FALSE)</f>
        <v>Corporate</v>
      </c>
      <c r="O1155" s="18">
        <f>VLOOKUP(C1155,Customers!$A:$C,3,FALSE)</f>
        <v>36</v>
      </c>
      <c r="P1155" s="18" t="str">
        <f>VLOOKUP(E1154,Sales_Reps!$A:$C,3,FALSE)</f>
        <v>South</v>
      </c>
      <c r="Q1155" s="18" t="str">
        <f t="shared" si="238"/>
        <v>Nov-24</v>
      </c>
      <c r="R1155">
        <f>VLOOKUP(D1155, Products!A:D, 4, FALSE)</f>
        <v>517</v>
      </c>
      <c r="S1155">
        <f t="shared" si="239"/>
        <v>0.57622950819672136</v>
      </c>
    </row>
    <row r="1156" spans="1:19" ht="14.25" customHeight="1" x14ac:dyDescent="0.3">
      <c r="A1156" s="8" t="s">
        <v>2206</v>
      </c>
      <c r="B1156" s="21">
        <v>45499</v>
      </c>
      <c r="C1156" s="8" t="s">
        <v>613</v>
      </c>
      <c r="D1156" s="8" t="s">
        <v>181</v>
      </c>
      <c r="E1156" s="8" t="s">
        <v>196</v>
      </c>
      <c r="F1156" s="10">
        <v>1</v>
      </c>
      <c r="G1156" s="10">
        <v>2640</v>
      </c>
      <c r="H1156" s="10">
        <v>23.6</v>
      </c>
      <c r="I1156" s="10">
        <v>2016.96</v>
      </c>
      <c r="J1156" s="8" t="s">
        <v>41</v>
      </c>
      <c r="K1156" s="8" t="s">
        <v>42</v>
      </c>
      <c r="L1156" s="18" t="str">
        <f>VLOOKUP(D1156,Products!$A:$C,3,FALSE)</f>
        <v>Electronics</v>
      </c>
      <c r="N1156" s="18" t="str">
        <f>VLOOKUP(C1156,Customers!$A:$E,5,FALSE)</f>
        <v>Retail</v>
      </c>
      <c r="O1156" s="18">
        <f>VLOOKUP(C1156,Customers!$A:$C,3,FALSE)</f>
        <v>29</v>
      </c>
      <c r="P1156" s="18" t="str">
        <f>VLOOKUP(E1155,Sales_Reps!$A:$C,3,FALSE)</f>
        <v>West</v>
      </c>
      <c r="Q1156" s="18" t="str">
        <f t="shared" si="238"/>
        <v>Dec-24</v>
      </c>
      <c r="R1156">
        <f>VLOOKUP(D1156, Products!A:D, 4, FALSE)</f>
        <v>1149</v>
      </c>
      <c r="S1156">
        <f t="shared" si="239"/>
        <v>0.56477272727272732</v>
      </c>
    </row>
    <row r="1157" spans="1:19" ht="14.25" customHeight="1" x14ac:dyDescent="0.3">
      <c r="A1157" s="8" t="s">
        <v>2207</v>
      </c>
      <c r="B1157" s="21">
        <v>45563</v>
      </c>
      <c r="C1157" s="8" t="s">
        <v>142</v>
      </c>
      <c r="D1157" s="8" t="s">
        <v>320</v>
      </c>
      <c r="E1157" s="8" t="s">
        <v>865</v>
      </c>
      <c r="F1157" s="10">
        <v>9</v>
      </c>
      <c r="G1157" s="10">
        <v>5100</v>
      </c>
      <c r="H1157" s="10">
        <v>9.5</v>
      </c>
      <c r="I1157" s="10">
        <v>41539.5</v>
      </c>
      <c r="J1157" s="8" t="s">
        <v>41</v>
      </c>
      <c r="K1157" s="8" t="s">
        <v>146</v>
      </c>
      <c r="L1157" s="18" t="str">
        <f>VLOOKUP(D1157,Products!$A:$C,3,FALSE)</f>
        <v>Beauty</v>
      </c>
      <c r="N1157" s="18" t="str">
        <f>VLOOKUP(C1157,Customers!$A:$E,5,FALSE)</f>
        <v>Retail</v>
      </c>
      <c r="O1157" s="18">
        <f>VLOOKUP(C1157,Customers!$A:$C,3,FALSE)</f>
        <v>36</v>
      </c>
      <c r="P1157" s="18" t="str">
        <f>VLOOKUP(E1156,Sales_Reps!$A:$C,3,FALSE)</f>
        <v>East</v>
      </c>
      <c r="Q1157" s="18" t="str">
        <f t="shared" si="238"/>
        <v>Jul-24</v>
      </c>
      <c r="R1157">
        <f>VLOOKUP(D1157, Products!A:D, 4, FALSE)</f>
        <v>2237</v>
      </c>
      <c r="S1157">
        <f t="shared" si="239"/>
        <v>0.56137254901960787</v>
      </c>
    </row>
    <row r="1158" spans="1:19" ht="14.25" customHeight="1" x14ac:dyDescent="0.3">
      <c r="A1158" s="8" t="s">
        <v>2208</v>
      </c>
      <c r="B1158" s="21">
        <v>45435</v>
      </c>
      <c r="C1158" s="8" t="s">
        <v>731</v>
      </c>
      <c r="D1158" s="8" t="s">
        <v>662</v>
      </c>
      <c r="E1158" s="8" t="s">
        <v>135</v>
      </c>
      <c r="F1158" s="10">
        <v>7</v>
      </c>
      <c r="G1158" s="10">
        <v>6080</v>
      </c>
      <c r="H1158" s="10">
        <v>17.5</v>
      </c>
      <c r="I1158" s="10">
        <v>35112</v>
      </c>
      <c r="J1158" s="8" t="s">
        <v>41</v>
      </c>
      <c r="K1158" s="8" t="s">
        <v>98</v>
      </c>
      <c r="L1158" s="18" t="str">
        <f>VLOOKUP(D1158,Products!$A:$C,3,FALSE)</f>
        <v>Beauty</v>
      </c>
      <c r="N1158" s="18" t="str">
        <f>VLOOKUP(C1158,Customers!$A:$E,5,FALSE)</f>
        <v>SMB</v>
      </c>
      <c r="O1158" s="18">
        <f>VLOOKUP(C1158,Customers!$A:$C,3,FALSE)</f>
        <v>26</v>
      </c>
      <c r="P1158" s="18" t="str">
        <f>VLOOKUP(E1157,Sales_Reps!$A:$C,3,FALSE)</f>
        <v>South</v>
      </c>
      <c r="Q1158" s="18" t="str">
        <f t="shared" si="238"/>
        <v>Sep-24</v>
      </c>
      <c r="R1158">
        <f>VLOOKUP(D1158, Products!A:D, 4, FALSE)</f>
        <v>2617</v>
      </c>
      <c r="S1158">
        <f t="shared" si="239"/>
        <v>0.56957236842105263</v>
      </c>
    </row>
    <row r="1159" spans="1:19" ht="14.25" customHeight="1" x14ac:dyDescent="0.3">
      <c r="A1159" s="8" t="s">
        <v>2209</v>
      </c>
      <c r="B1159" s="21">
        <v>45602</v>
      </c>
      <c r="C1159" s="8" t="s">
        <v>391</v>
      </c>
      <c r="D1159" s="8" t="s">
        <v>154</v>
      </c>
      <c r="E1159" s="8" t="s">
        <v>376</v>
      </c>
      <c r="F1159" s="10">
        <v>1</v>
      </c>
      <c r="G1159" s="10">
        <v>300</v>
      </c>
      <c r="H1159" s="10">
        <v>26.9</v>
      </c>
      <c r="I1159" s="10">
        <v>219.3</v>
      </c>
      <c r="J1159" s="8" t="s">
        <v>41</v>
      </c>
      <c r="K1159" s="8" t="s">
        <v>42</v>
      </c>
      <c r="L1159" s="18" t="str">
        <f>VLOOKUP(D1159,Products!$A:$C,3,FALSE)</f>
        <v>Electronics</v>
      </c>
      <c r="N1159" s="18" t="str">
        <f>VLOOKUP(C1159,Customers!$A:$E,5,FALSE)</f>
        <v>Corporate</v>
      </c>
      <c r="O1159" s="18">
        <f>VLOOKUP(C1159,Customers!$A:$C,3,FALSE)</f>
        <v>29</v>
      </c>
      <c r="P1159" s="18" t="str">
        <f>VLOOKUP(E1158,Sales_Reps!$A:$C,3,FALSE)</f>
        <v>North</v>
      </c>
      <c r="Q1159" s="18" t="str">
        <f t="shared" si="238"/>
        <v>May-24</v>
      </c>
      <c r="R1159">
        <f>VLOOKUP(D1159, Products!A:D, 4, FALSE)</f>
        <v>128</v>
      </c>
      <c r="S1159">
        <f t="shared" si="239"/>
        <v>0.57333333333333336</v>
      </c>
    </row>
    <row r="1160" spans="1:19" ht="14.25" hidden="1" customHeight="1" x14ac:dyDescent="0.3">
      <c r="A1160" s="8" t="s">
        <v>2210</v>
      </c>
      <c r="B1160" s="9">
        <v>45650</v>
      </c>
      <c r="C1160" s="8" t="s">
        <v>580</v>
      </c>
      <c r="D1160" s="8" t="s">
        <v>867</v>
      </c>
      <c r="E1160" s="8" t="s">
        <v>321</v>
      </c>
      <c r="F1160" s="10">
        <v>6</v>
      </c>
      <c r="G1160" s="10">
        <v>3020</v>
      </c>
      <c r="H1160" s="10">
        <v>28.5</v>
      </c>
      <c r="I1160" s="10">
        <v>12955.8</v>
      </c>
      <c r="J1160" s="8" t="s">
        <v>41</v>
      </c>
      <c r="K1160" s="8" t="s">
        <v>178</v>
      </c>
      <c r="L1160" s="18" t="str">
        <f>VLOOKUP(D1160,Products!$A:$C,3,FALSE)</f>
        <v>Beauty</v>
      </c>
      <c r="N1160" s="18" t="str">
        <f>VLOOKUP(C1160,Customers!$A:$E,5,FALSE)</f>
        <v>Retail</v>
      </c>
      <c r="O1160" s="18">
        <f>VLOOKUP(C1160,Customers!$A:$C,3,FALSE)</f>
        <v>44</v>
      </c>
    </row>
    <row r="1161" spans="1:19" ht="14.25" hidden="1" customHeight="1" x14ac:dyDescent="0.3">
      <c r="A1161" s="8" t="s">
        <v>2211</v>
      </c>
      <c r="B1161" s="9">
        <v>45294</v>
      </c>
      <c r="C1161" s="8" t="s">
        <v>519</v>
      </c>
      <c r="D1161" s="8" t="s">
        <v>154</v>
      </c>
      <c r="E1161" s="8" t="s">
        <v>167</v>
      </c>
      <c r="F1161" s="10">
        <v>8</v>
      </c>
      <c r="G1161" s="10">
        <v>300</v>
      </c>
      <c r="H1161" s="10">
        <v>1.2</v>
      </c>
      <c r="I1161" s="10">
        <v>2371.1999999999998</v>
      </c>
      <c r="J1161" s="8" t="s">
        <v>41</v>
      </c>
      <c r="K1161" s="8" t="s">
        <v>119</v>
      </c>
      <c r="L1161" s="18" t="str">
        <f>VLOOKUP(D1161,Products!$A:$C,3,FALSE)</f>
        <v>Electronics</v>
      </c>
      <c r="N1161" s="18" t="str">
        <f>VLOOKUP(C1161,Customers!$A:$E,5,FALSE)</f>
        <v>SMB</v>
      </c>
      <c r="O1161" s="18">
        <f>VLOOKUP(C1161,Customers!$A:$C,3,FALSE)</f>
        <v>50</v>
      </c>
    </row>
    <row r="1162" spans="1:19" ht="14.25" customHeight="1" x14ac:dyDescent="0.3">
      <c r="A1162" s="8" t="s">
        <v>2212</v>
      </c>
      <c r="B1162" s="21">
        <v>45523</v>
      </c>
      <c r="C1162" s="8" t="s">
        <v>344</v>
      </c>
      <c r="D1162" s="8" t="s">
        <v>247</v>
      </c>
      <c r="E1162" s="8" t="s">
        <v>865</v>
      </c>
      <c r="F1162" s="10">
        <v>9</v>
      </c>
      <c r="G1162" s="10">
        <v>3350</v>
      </c>
      <c r="H1162" s="10">
        <v>0.6</v>
      </c>
      <c r="I1162" s="10">
        <v>29969.1</v>
      </c>
      <c r="J1162" s="8" t="s">
        <v>193</v>
      </c>
      <c r="K1162" s="8" t="s">
        <v>136</v>
      </c>
      <c r="L1162" s="18" t="str">
        <f>VLOOKUP(D1162,Products!$A:$C,3,FALSE)</f>
        <v>Beauty</v>
      </c>
      <c r="N1162" s="18" t="str">
        <f>VLOOKUP(C1162,Customers!$A:$E,5,FALSE)</f>
        <v>Retail</v>
      </c>
      <c r="O1162" s="18">
        <f>VLOOKUP(C1162,Customers!$A:$C,3,FALSE)</f>
        <v>37</v>
      </c>
      <c r="P1162" s="18" t="str">
        <f>VLOOKUP(E1161,Sales_Reps!$A:$C,3,FALSE)</f>
        <v>East</v>
      </c>
      <c r="Q1162" s="18" t="str">
        <f>TEXT(B1161,"MMM-YY")</f>
        <v>Jan-24</v>
      </c>
      <c r="R1162">
        <f>VLOOKUP(D1162, Products!A:D, 4, FALSE)</f>
        <v>1728</v>
      </c>
      <c r="S1162">
        <f>(G1162-R1162)/G1162</f>
        <v>0.48417910447761192</v>
      </c>
    </row>
    <row r="1163" spans="1:19" ht="14.25" hidden="1" customHeight="1" x14ac:dyDescent="0.3">
      <c r="A1163" s="8" t="s">
        <v>2213</v>
      </c>
      <c r="B1163" s="9">
        <v>45479</v>
      </c>
      <c r="C1163" s="8" t="s">
        <v>361</v>
      </c>
      <c r="D1163" s="8" t="s">
        <v>818</v>
      </c>
      <c r="E1163" s="8" t="s">
        <v>153</v>
      </c>
      <c r="F1163" s="10">
        <v>4</v>
      </c>
      <c r="G1163" s="10">
        <v>4070</v>
      </c>
      <c r="H1163" s="10">
        <v>10.1</v>
      </c>
      <c r="I1163" s="10">
        <v>14635.72</v>
      </c>
      <c r="J1163" s="8" t="s">
        <v>41</v>
      </c>
      <c r="K1163" s="8" t="s">
        <v>119</v>
      </c>
      <c r="L1163" s="18" t="str">
        <f>VLOOKUP(D1163,Products!$A:$C,3,FALSE)</f>
        <v>Grocery</v>
      </c>
      <c r="N1163" s="18" t="str">
        <f>VLOOKUP(C1163,Customers!$A:$E,5,FALSE)</f>
        <v>SMB</v>
      </c>
      <c r="O1163" s="18">
        <f>VLOOKUP(C1163,Customers!$A:$C,3,FALSE)</f>
        <v>45</v>
      </c>
    </row>
    <row r="1164" spans="1:19" ht="14.25" hidden="1" customHeight="1" x14ac:dyDescent="0.3">
      <c r="A1164" s="8" t="s">
        <v>2214</v>
      </c>
      <c r="B1164" s="9">
        <v>45614</v>
      </c>
      <c r="C1164" s="8" t="s">
        <v>483</v>
      </c>
      <c r="D1164" s="8" t="s">
        <v>964</v>
      </c>
      <c r="E1164" s="8" t="s">
        <v>153</v>
      </c>
      <c r="F1164" s="10">
        <v>9</v>
      </c>
      <c r="G1164" s="10">
        <v>3780</v>
      </c>
      <c r="H1164" s="10">
        <v>27.8</v>
      </c>
      <c r="I1164" s="10">
        <v>24562.44</v>
      </c>
      <c r="J1164" s="8" t="s">
        <v>147</v>
      </c>
      <c r="K1164" s="8" t="s">
        <v>98</v>
      </c>
      <c r="L1164" s="18" t="str">
        <f>VLOOKUP(D1164,Products!$A:$C,3,FALSE)</f>
        <v>Sports</v>
      </c>
      <c r="N1164" s="18" t="str">
        <f>VLOOKUP(C1164,Customers!$A:$E,5,FALSE)</f>
        <v>SMB</v>
      </c>
      <c r="O1164" s="18">
        <f>VLOOKUP(C1164,Customers!$A:$C,3,FALSE)</f>
        <v>51</v>
      </c>
    </row>
    <row r="1165" spans="1:19" ht="14.25" hidden="1" customHeight="1" x14ac:dyDescent="0.3">
      <c r="A1165" s="8" t="s">
        <v>2215</v>
      </c>
      <c r="B1165" s="9">
        <v>45407</v>
      </c>
      <c r="C1165" s="8" t="s">
        <v>266</v>
      </c>
      <c r="D1165" s="8" t="s">
        <v>224</v>
      </c>
      <c r="E1165" s="8" t="s">
        <v>143</v>
      </c>
      <c r="F1165" s="10">
        <v>6</v>
      </c>
      <c r="G1165" s="10">
        <v>1080</v>
      </c>
      <c r="H1165" s="10">
        <v>17.5</v>
      </c>
      <c r="I1165" s="10">
        <v>5346</v>
      </c>
      <c r="J1165" s="8" t="s">
        <v>41</v>
      </c>
      <c r="K1165" s="8" t="s">
        <v>42</v>
      </c>
      <c r="L1165" s="18" t="str">
        <f>VLOOKUP(D1165,Products!$A:$C,3,FALSE)</f>
        <v>Home</v>
      </c>
      <c r="N1165" s="18" t="str">
        <f>VLOOKUP(C1165,Customers!$A:$E,5,FALSE)</f>
        <v>SMB</v>
      </c>
      <c r="O1165" s="18">
        <f>VLOOKUP(C1165,Customers!$A:$C,3,FALSE)</f>
        <v>44</v>
      </c>
    </row>
    <row r="1166" spans="1:19" ht="14.25" hidden="1" customHeight="1" x14ac:dyDescent="0.3">
      <c r="A1166" s="8" t="s">
        <v>2216</v>
      </c>
      <c r="B1166" s="9">
        <v>45603</v>
      </c>
      <c r="C1166" s="8" t="s">
        <v>667</v>
      </c>
      <c r="D1166" s="8" t="s">
        <v>184</v>
      </c>
      <c r="E1166" s="8" t="s">
        <v>208</v>
      </c>
      <c r="F1166" s="10">
        <v>3</v>
      </c>
      <c r="G1166" s="10">
        <v>2600</v>
      </c>
      <c r="H1166" s="10">
        <v>1.9</v>
      </c>
      <c r="I1166" s="10">
        <v>7651.8</v>
      </c>
      <c r="J1166" s="8" t="s">
        <v>41</v>
      </c>
      <c r="K1166" s="8" t="s">
        <v>136</v>
      </c>
      <c r="L1166" s="18" t="str">
        <f>VLOOKUP(D1166,Products!$A:$C,3,FALSE)</f>
        <v>Electronics</v>
      </c>
      <c r="N1166" s="18" t="str">
        <f>VLOOKUP(C1166,Customers!$A:$E,5,FALSE)</f>
        <v>Retail</v>
      </c>
      <c r="O1166" s="18">
        <f>VLOOKUP(C1166,Customers!$A:$C,3,FALSE)</f>
        <v>55</v>
      </c>
    </row>
    <row r="1167" spans="1:19" ht="14.25" hidden="1" customHeight="1" x14ac:dyDescent="0.3">
      <c r="A1167" s="8" t="s">
        <v>2217</v>
      </c>
      <c r="B1167" s="9">
        <v>45375</v>
      </c>
      <c r="C1167" s="8" t="s">
        <v>846</v>
      </c>
      <c r="D1167" s="8" t="s">
        <v>239</v>
      </c>
      <c r="E1167" s="8" t="s">
        <v>135</v>
      </c>
      <c r="F1167" s="10">
        <v>5</v>
      </c>
      <c r="G1167" s="10">
        <v>2720</v>
      </c>
      <c r="H1167" s="10">
        <v>1.8</v>
      </c>
      <c r="I1167" s="10">
        <v>13355.2</v>
      </c>
      <c r="J1167" s="8" t="s">
        <v>147</v>
      </c>
      <c r="K1167" s="8" t="s">
        <v>119</v>
      </c>
      <c r="L1167" s="18" t="str">
        <f>VLOOKUP(D1167,Products!$A:$C,3,FALSE)</f>
        <v>Apparel</v>
      </c>
      <c r="N1167" s="18" t="str">
        <f>VLOOKUP(C1167,Customers!$A:$E,5,FALSE)</f>
        <v>Retail</v>
      </c>
      <c r="O1167" s="18">
        <f>VLOOKUP(C1167,Customers!$A:$C,3,FALSE)</f>
        <v>63</v>
      </c>
    </row>
    <row r="1168" spans="1:19" ht="14.25" hidden="1" customHeight="1" x14ac:dyDescent="0.3">
      <c r="A1168" s="8" t="s">
        <v>2218</v>
      </c>
      <c r="B1168" s="9">
        <v>45485</v>
      </c>
      <c r="C1168" s="8" t="s">
        <v>840</v>
      </c>
      <c r="D1168" s="8" t="s">
        <v>124</v>
      </c>
      <c r="E1168" s="8" t="s">
        <v>189</v>
      </c>
      <c r="F1168" s="10">
        <v>8</v>
      </c>
      <c r="G1168" s="10">
        <v>3660</v>
      </c>
      <c r="H1168" s="10">
        <v>29.5</v>
      </c>
      <c r="I1168" s="10">
        <v>20642.400000000001</v>
      </c>
      <c r="J1168" s="8" t="s">
        <v>41</v>
      </c>
      <c r="K1168" s="8" t="s">
        <v>98</v>
      </c>
      <c r="L1168" s="18" t="str">
        <f>VLOOKUP(D1168,Products!$A:$C,3,FALSE)</f>
        <v>Grocery</v>
      </c>
      <c r="N1168" s="18" t="str">
        <f>VLOOKUP(C1168,Customers!$A:$E,5,FALSE)</f>
        <v>SMB</v>
      </c>
      <c r="O1168" s="18">
        <f>VLOOKUP(C1168,Customers!$A:$C,3,FALSE)</f>
        <v>53</v>
      </c>
    </row>
    <row r="1169" spans="1:19" ht="14.25" customHeight="1" x14ac:dyDescent="0.3">
      <c r="A1169" s="8" t="s">
        <v>2219</v>
      </c>
      <c r="B1169" s="21">
        <v>45567</v>
      </c>
      <c r="C1169" s="8" t="s">
        <v>309</v>
      </c>
      <c r="D1169" s="8" t="s">
        <v>242</v>
      </c>
      <c r="E1169" s="8" t="s">
        <v>96</v>
      </c>
      <c r="F1169" s="10">
        <v>9</v>
      </c>
      <c r="G1169" s="10">
        <v>1650</v>
      </c>
      <c r="H1169" s="10">
        <v>19.8</v>
      </c>
      <c r="I1169" s="10">
        <v>11909.7</v>
      </c>
      <c r="J1169" s="8" t="s">
        <v>193</v>
      </c>
      <c r="K1169" s="8" t="s">
        <v>136</v>
      </c>
      <c r="L1169" s="18" t="str">
        <f>VLOOKUP(D1169,Products!$A:$C,3,FALSE)</f>
        <v>Beauty</v>
      </c>
      <c r="N1169" s="18" t="str">
        <f>VLOOKUP(C1169,Customers!$A:$E,5,FALSE)</f>
        <v>Retail</v>
      </c>
      <c r="O1169" s="18">
        <f>VLOOKUP(C1169,Customers!$A:$C,3,FALSE)</f>
        <v>23</v>
      </c>
      <c r="P1169" s="18" t="str">
        <f>VLOOKUP(E1168,Sales_Reps!$A:$C,3,FALSE)</f>
        <v>South</v>
      </c>
      <c r="Q1169" s="18" t="str">
        <f>TEXT(B1168,"MMM-YY")</f>
        <v>Jul-24</v>
      </c>
      <c r="R1169">
        <f>VLOOKUP(D1169, Products!A:D, 4, FALSE)</f>
        <v>1222</v>
      </c>
      <c r="S1169">
        <f>(G1169-R1169)/G1169</f>
        <v>0.2593939393939394</v>
      </c>
    </row>
    <row r="1170" spans="1:19" ht="14.25" hidden="1" customHeight="1" x14ac:dyDescent="0.3">
      <c r="A1170" s="8" t="s">
        <v>2220</v>
      </c>
      <c r="B1170" s="9">
        <v>45502</v>
      </c>
      <c r="C1170" s="8" t="s">
        <v>558</v>
      </c>
      <c r="D1170" s="8" t="s">
        <v>338</v>
      </c>
      <c r="E1170" s="8" t="s">
        <v>158</v>
      </c>
      <c r="F1170" s="10">
        <v>3</v>
      </c>
      <c r="G1170" s="10">
        <v>2860</v>
      </c>
      <c r="H1170" s="10">
        <v>22.7</v>
      </c>
      <c r="I1170" s="10">
        <v>6632.34</v>
      </c>
      <c r="J1170" s="8" t="s">
        <v>41</v>
      </c>
      <c r="K1170" s="8" t="s">
        <v>178</v>
      </c>
      <c r="L1170" s="18" t="str">
        <f>VLOOKUP(D1170,Products!$A:$C,3,FALSE)</f>
        <v>Sports</v>
      </c>
      <c r="N1170" s="18" t="str">
        <f>VLOOKUP(C1170,Customers!$A:$E,5,FALSE)</f>
        <v>SMB</v>
      </c>
      <c r="O1170" s="18">
        <f>VLOOKUP(C1170,Customers!$A:$C,3,FALSE)</f>
        <v>65</v>
      </c>
    </row>
    <row r="1171" spans="1:19" ht="14.25" hidden="1" customHeight="1" x14ac:dyDescent="0.3">
      <c r="A1171" s="8" t="s">
        <v>2221</v>
      </c>
      <c r="B1171" s="9">
        <v>45429</v>
      </c>
      <c r="C1171" s="8" t="s">
        <v>823</v>
      </c>
      <c r="D1171" s="8" t="s">
        <v>219</v>
      </c>
      <c r="E1171" s="8" t="s">
        <v>145</v>
      </c>
      <c r="F1171" s="10">
        <v>4</v>
      </c>
      <c r="G1171" s="10">
        <v>3450</v>
      </c>
      <c r="H1171" s="10">
        <v>9.1999999999999993</v>
      </c>
      <c r="I1171" s="10">
        <v>12530.4</v>
      </c>
      <c r="J1171" s="8" t="s">
        <v>41</v>
      </c>
      <c r="K1171" s="8" t="s">
        <v>178</v>
      </c>
      <c r="L1171" s="18" t="str">
        <f>VLOOKUP(D1171,Products!$A:$C,3,FALSE)</f>
        <v>Sports</v>
      </c>
      <c r="N1171" s="18" t="str">
        <f>VLOOKUP(C1171,Customers!$A:$E,5,FALSE)</f>
        <v>Retail</v>
      </c>
      <c r="O1171" s="18">
        <f>VLOOKUP(C1171,Customers!$A:$C,3,FALSE)</f>
        <v>41</v>
      </c>
    </row>
    <row r="1172" spans="1:19" ht="14.25" hidden="1" customHeight="1" x14ac:dyDescent="0.3">
      <c r="A1172" s="8" t="s">
        <v>2222</v>
      </c>
      <c r="B1172" s="9">
        <v>45405</v>
      </c>
      <c r="C1172" s="8" t="s">
        <v>790</v>
      </c>
      <c r="D1172" s="8" t="s">
        <v>924</v>
      </c>
      <c r="E1172" s="8" t="s">
        <v>200</v>
      </c>
      <c r="F1172" s="10">
        <v>4</v>
      </c>
      <c r="G1172" s="10">
        <v>2030</v>
      </c>
      <c r="H1172" s="10">
        <v>17.100000000000001</v>
      </c>
      <c r="I1172" s="10">
        <v>6731.48</v>
      </c>
      <c r="J1172" s="8" t="s">
        <v>41</v>
      </c>
      <c r="K1172" s="8" t="s">
        <v>42</v>
      </c>
      <c r="L1172" s="18" t="str">
        <f>VLOOKUP(D1172,Products!$A:$C,3,FALSE)</f>
        <v>Home</v>
      </c>
      <c r="N1172" s="18" t="str">
        <f>VLOOKUP(C1172,Customers!$A:$E,5,FALSE)</f>
        <v>Retail</v>
      </c>
      <c r="O1172" s="18">
        <f>VLOOKUP(C1172,Customers!$A:$C,3,FALSE)</f>
        <v>44</v>
      </c>
    </row>
    <row r="1173" spans="1:19" ht="14.25" customHeight="1" x14ac:dyDescent="0.3">
      <c r="A1173" s="8" t="s">
        <v>2223</v>
      </c>
      <c r="B1173" s="21">
        <v>45401</v>
      </c>
      <c r="C1173" s="8" t="s">
        <v>487</v>
      </c>
      <c r="D1173" s="8" t="s">
        <v>691</v>
      </c>
      <c r="E1173" s="8" t="s">
        <v>221</v>
      </c>
      <c r="F1173" s="10">
        <v>4</v>
      </c>
      <c r="G1173" s="10">
        <v>2270</v>
      </c>
      <c r="H1173" s="10">
        <v>27.3</v>
      </c>
      <c r="I1173" s="10">
        <v>6601.16</v>
      </c>
      <c r="J1173" s="8" t="s">
        <v>41</v>
      </c>
      <c r="K1173" s="8" t="s">
        <v>42</v>
      </c>
      <c r="L1173" s="18" t="str">
        <f>VLOOKUP(D1173,Products!$A:$C,3,FALSE)</f>
        <v>Grocery</v>
      </c>
      <c r="N1173" s="18" t="str">
        <f>VLOOKUP(C1173,Customers!$A:$E,5,FALSE)</f>
        <v>Retail</v>
      </c>
      <c r="O1173" s="18">
        <f>VLOOKUP(C1173,Customers!$A:$C,3,FALSE)</f>
        <v>22</v>
      </c>
      <c r="P1173" s="18" t="str">
        <f>VLOOKUP(E1172,Sales_Reps!$A:$C,3,FALSE)</f>
        <v>North</v>
      </c>
      <c r="Q1173" s="18" t="str">
        <f>TEXT(B1172,"MMM-YY")</f>
        <v>Apr-24</v>
      </c>
      <c r="R1173">
        <f>VLOOKUP(D1173, Products!A:D, 4, FALSE)</f>
        <v>1412</v>
      </c>
      <c r="S1173">
        <f>(G1173-R1173)/G1173</f>
        <v>0.37797356828193834</v>
      </c>
    </row>
    <row r="1174" spans="1:19" ht="14.25" hidden="1" customHeight="1" x14ac:dyDescent="0.3">
      <c r="A1174" s="8" t="s">
        <v>2224</v>
      </c>
      <c r="B1174" s="9">
        <v>45373</v>
      </c>
      <c r="C1174" s="8" t="s">
        <v>271</v>
      </c>
      <c r="D1174" s="8" t="s">
        <v>926</v>
      </c>
      <c r="E1174" s="8" t="s">
        <v>745</v>
      </c>
      <c r="F1174" s="10">
        <v>9</v>
      </c>
      <c r="G1174" s="10">
        <v>5080</v>
      </c>
      <c r="H1174" s="10">
        <v>10.9</v>
      </c>
      <c r="I1174" s="10">
        <v>40736.519999999997</v>
      </c>
      <c r="J1174" s="8" t="s">
        <v>41</v>
      </c>
      <c r="K1174" s="8" t="s">
        <v>146</v>
      </c>
      <c r="L1174" s="18" t="str">
        <f>VLOOKUP(D1174,Products!$A:$C,3,FALSE)</f>
        <v>Home</v>
      </c>
      <c r="N1174" s="18" t="str">
        <f>VLOOKUP(C1174,Customers!$A:$E,5,FALSE)</f>
        <v>Retail</v>
      </c>
      <c r="O1174" s="18">
        <f>VLOOKUP(C1174,Customers!$A:$C,3,FALSE)</f>
        <v>61</v>
      </c>
    </row>
    <row r="1175" spans="1:19" ht="14.25" customHeight="1" x14ac:dyDescent="0.3">
      <c r="A1175" s="8" t="s">
        <v>2225</v>
      </c>
      <c r="B1175" s="21">
        <v>45602</v>
      </c>
      <c r="C1175" s="8" t="s">
        <v>700</v>
      </c>
      <c r="D1175" s="8" t="s">
        <v>818</v>
      </c>
      <c r="E1175" s="8" t="s">
        <v>236</v>
      </c>
      <c r="F1175" s="10">
        <v>8</v>
      </c>
      <c r="G1175" s="10">
        <v>4070</v>
      </c>
      <c r="H1175" s="10">
        <v>17.7</v>
      </c>
      <c r="I1175" s="10">
        <v>26796.880000000001</v>
      </c>
      <c r="J1175" s="8" t="s">
        <v>41</v>
      </c>
      <c r="K1175" s="8" t="s">
        <v>42</v>
      </c>
      <c r="L1175" s="18" t="str">
        <f>VLOOKUP(D1175,Products!$A:$C,3,FALSE)</f>
        <v>Grocery</v>
      </c>
      <c r="N1175" s="18" t="str">
        <f>VLOOKUP(C1175,Customers!$A:$E,5,FALSE)</f>
        <v>Retail</v>
      </c>
      <c r="O1175" s="18">
        <f>VLOOKUP(C1175,Customers!$A:$C,3,FALSE)</f>
        <v>31</v>
      </c>
      <c r="P1175" s="18" t="str">
        <f>VLOOKUP(E1174,Sales_Reps!$A:$C,3,FALSE)</f>
        <v>South</v>
      </c>
      <c r="Q1175" s="18" t="str">
        <f>TEXT(B1174,"MMM-YY")</f>
        <v>Mar-24</v>
      </c>
      <c r="R1175">
        <f>VLOOKUP(D1175, Products!A:D, 4, FALSE)</f>
        <v>2027</v>
      </c>
      <c r="S1175">
        <f>(G1175-R1175)/G1175</f>
        <v>0.50196560196560192</v>
      </c>
    </row>
    <row r="1176" spans="1:19" ht="14.25" hidden="1" customHeight="1" x14ac:dyDescent="0.3">
      <c r="A1176" s="8" t="s">
        <v>2226</v>
      </c>
      <c r="B1176" s="9">
        <v>45372</v>
      </c>
      <c r="C1176" s="8" t="s">
        <v>495</v>
      </c>
      <c r="D1176" s="8" t="s">
        <v>789</v>
      </c>
      <c r="E1176" s="8" t="s">
        <v>96</v>
      </c>
      <c r="F1176" s="10">
        <v>1</v>
      </c>
      <c r="G1176" s="10">
        <v>1540</v>
      </c>
      <c r="H1176" s="10">
        <v>0.9</v>
      </c>
      <c r="I1176" s="10">
        <v>1526.14</v>
      </c>
      <c r="J1176" s="8" t="s">
        <v>41</v>
      </c>
      <c r="K1176" s="8" t="s">
        <v>98</v>
      </c>
      <c r="L1176" s="18" t="str">
        <f>VLOOKUP(D1176,Products!$A:$C,3,FALSE)</f>
        <v>Beauty</v>
      </c>
      <c r="N1176" s="18" t="str">
        <f>VLOOKUP(C1176,Customers!$A:$E,5,FALSE)</f>
        <v>SMB</v>
      </c>
      <c r="O1176" s="18">
        <f>VLOOKUP(C1176,Customers!$A:$C,3,FALSE)</f>
        <v>64</v>
      </c>
    </row>
    <row r="1177" spans="1:19" ht="14.25" hidden="1" customHeight="1" x14ac:dyDescent="0.3">
      <c r="A1177" s="8" t="s">
        <v>2227</v>
      </c>
      <c r="B1177" s="9">
        <v>45416</v>
      </c>
      <c r="C1177" s="8" t="s">
        <v>284</v>
      </c>
      <c r="D1177" s="8" t="s">
        <v>320</v>
      </c>
      <c r="E1177" s="8" t="s">
        <v>153</v>
      </c>
      <c r="F1177" s="10">
        <v>10</v>
      </c>
      <c r="G1177" s="10">
        <v>5100</v>
      </c>
      <c r="H1177" s="10">
        <v>3</v>
      </c>
      <c r="I1177" s="10">
        <v>49470</v>
      </c>
      <c r="J1177" s="8" t="s">
        <v>41</v>
      </c>
      <c r="K1177" s="8" t="s">
        <v>136</v>
      </c>
      <c r="L1177" s="18" t="str">
        <f>VLOOKUP(D1177,Products!$A:$C,3,FALSE)</f>
        <v>Beauty</v>
      </c>
      <c r="N1177" s="18" t="str">
        <f>VLOOKUP(C1177,Customers!$A:$E,5,FALSE)</f>
        <v>Retail</v>
      </c>
      <c r="O1177" s="18">
        <f>VLOOKUP(C1177,Customers!$A:$C,3,FALSE)</f>
        <v>48</v>
      </c>
    </row>
    <row r="1178" spans="1:19" ht="14.25" customHeight="1" x14ac:dyDescent="0.3">
      <c r="A1178" s="8" t="s">
        <v>2228</v>
      </c>
      <c r="B1178" s="21">
        <v>45656</v>
      </c>
      <c r="C1178" s="8" t="s">
        <v>418</v>
      </c>
      <c r="D1178" s="8" t="s">
        <v>37</v>
      </c>
      <c r="E1178" s="8" t="s">
        <v>125</v>
      </c>
      <c r="F1178" s="10">
        <v>6</v>
      </c>
      <c r="G1178" s="10">
        <v>3620</v>
      </c>
      <c r="H1178" s="10">
        <v>20.2</v>
      </c>
      <c r="I1178" s="10">
        <v>17332.560000000001</v>
      </c>
      <c r="J1178" s="8" t="s">
        <v>41</v>
      </c>
      <c r="K1178" s="8" t="s">
        <v>42</v>
      </c>
      <c r="L1178" s="18" t="str">
        <f>VLOOKUP(D1178,Products!$A:$C,3,FALSE)</f>
        <v>Apparel</v>
      </c>
      <c r="N1178" s="18" t="str">
        <f>VLOOKUP(C1178,Customers!$A:$E,5,FALSE)</f>
        <v>Corporate</v>
      </c>
      <c r="O1178" s="18">
        <f>VLOOKUP(C1178,Customers!$A:$C,3,FALSE)</f>
        <v>40</v>
      </c>
      <c r="P1178" s="18" t="str">
        <f>VLOOKUP(E1177,Sales_Reps!$A:$C,3,FALSE)</f>
        <v>West</v>
      </c>
      <c r="Q1178" s="18" t="str">
        <f>TEXT(B1177,"MMM-YY")</f>
        <v>May-24</v>
      </c>
      <c r="R1178">
        <f>VLOOKUP(D1178, Products!A:D, 4, FALSE)</f>
        <v>2509</v>
      </c>
      <c r="S1178">
        <f>(G1178-R1178)/G1178</f>
        <v>0.3069060773480663</v>
      </c>
    </row>
    <row r="1179" spans="1:19" ht="14.25" hidden="1" customHeight="1" x14ac:dyDescent="0.3">
      <c r="A1179" s="8" t="s">
        <v>2229</v>
      </c>
      <c r="B1179" s="9">
        <v>45324</v>
      </c>
      <c r="C1179" s="8" t="s">
        <v>170</v>
      </c>
      <c r="D1179" s="8" t="s">
        <v>283</v>
      </c>
      <c r="E1179" s="8" t="s">
        <v>200</v>
      </c>
      <c r="F1179" s="10">
        <v>7</v>
      </c>
      <c r="G1179" s="10">
        <v>4880</v>
      </c>
      <c r="H1179" s="10">
        <v>5</v>
      </c>
      <c r="I1179" s="10">
        <v>32452</v>
      </c>
      <c r="J1179" s="8" t="s">
        <v>41</v>
      </c>
      <c r="K1179" s="8" t="s">
        <v>42</v>
      </c>
      <c r="L1179" s="18" t="str">
        <f>VLOOKUP(D1179,Products!$A:$C,3,FALSE)</f>
        <v>Beauty</v>
      </c>
      <c r="N1179" s="18" t="str">
        <f>VLOOKUP(C1179,Customers!$A:$E,5,FALSE)</f>
        <v>Retail</v>
      </c>
      <c r="O1179" s="18">
        <f>VLOOKUP(C1179,Customers!$A:$C,3,FALSE)</f>
        <v>56</v>
      </c>
    </row>
    <row r="1180" spans="1:19" ht="14.25" hidden="1" customHeight="1" x14ac:dyDescent="0.3">
      <c r="A1180" s="8" t="s">
        <v>2230</v>
      </c>
      <c r="B1180" s="9">
        <v>45472</v>
      </c>
      <c r="C1180" s="8" t="s">
        <v>266</v>
      </c>
      <c r="D1180" s="8" t="s">
        <v>181</v>
      </c>
      <c r="E1180" s="8" t="s">
        <v>153</v>
      </c>
      <c r="F1180" s="10">
        <v>1</v>
      </c>
      <c r="G1180" s="10">
        <v>2640</v>
      </c>
      <c r="H1180" s="10">
        <v>4.0999999999999996</v>
      </c>
      <c r="I1180" s="10">
        <v>2531.7600000000002</v>
      </c>
      <c r="J1180" s="8" t="s">
        <v>41</v>
      </c>
      <c r="K1180" s="8" t="s">
        <v>42</v>
      </c>
      <c r="L1180" s="18" t="str">
        <f>VLOOKUP(D1180,Products!$A:$C,3,FALSE)</f>
        <v>Electronics</v>
      </c>
      <c r="N1180" s="18" t="str">
        <f>VLOOKUP(C1180,Customers!$A:$E,5,FALSE)</f>
        <v>SMB</v>
      </c>
      <c r="O1180" s="18">
        <f>VLOOKUP(C1180,Customers!$A:$C,3,FALSE)</f>
        <v>44</v>
      </c>
    </row>
    <row r="1181" spans="1:19" ht="14.25" hidden="1" customHeight="1" x14ac:dyDescent="0.3">
      <c r="A1181" s="8" t="s">
        <v>2231</v>
      </c>
      <c r="B1181" s="9">
        <v>45508</v>
      </c>
      <c r="C1181" s="8" t="s">
        <v>326</v>
      </c>
      <c r="D1181" s="8" t="s">
        <v>818</v>
      </c>
      <c r="E1181" s="8" t="s">
        <v>321</v>
      </c>
      <c r="F1181" s="10">
        <v>9</v>
      </c>
      <c r="G1181" s="10">
        <v>4070</v>
      </c>
      <c r="H1181" s="10">
        <v>4.4000000000000004</v>
      </c>
      <c r="I1181" s="10">
        <v>35018.28</v>
      </c>
      <c r="J1181" s="8" t="s">
        <v>41</v>
      </c>
      <c r="K1181" s="8" t="s">
        <v>178</v>
      </c>
      <c r="L1181" s="18" t="str">
        <f>VLOOKUP(D1181,Products!$A:$C,3,FALSE)</f>
        <v>Grocery</v>
      </c>
      <c r="N1181" s="18" t="str">
        <f>VLOOKUP(C1181,Customers!$A:$E,5,FALSE)</f>
        <v>Retail</v>
      </c>
      <c r="O1181" s="18">
        <f>VLOOKUP(C1181,Customers!$A:$C,3,FALSE)</f>
        <v>53</v>
      </c>
    </row>
    <row r="1182" spans="1:19" ht="14.25" customHeight="1" x14ac:dyDescent="0.3">
      <c r="A1182" s="8" t="s">
        <v>2232</v>
      </c>
      <c r="B1182" s="21">
        <v>45617</v>
      </c>
      <c r="C1182" s="8" t="s">
        <v>440</v>
      </c>
      <c r="D1182" s="8" t="s">
        <v>211</v>
      </c>
      <c r="E1182" s="8" t="s">
        <v>145</v>
      </c>
      <c r="F1182" s="10">
        <v>9</v>
      </c>
      <c r="G1182" s="10">
        <v>3570</v>
      </c>
      <c r="H1182" s="10">
        <v>24.8</v>
      </c>
      <c r="I1182" s="10">
        <v>24161.759999999998</v>
      </c>
      <c r="J1182" s="8" t="s">
        <v>41</v>
      </c>
      <c r="K1182" s="8" t="s">
        <v>98</v>
      </c>
      <c r="L1182" s="18" t="str">
        <f>VLOOKUP(D1182,Products!$A:$C,3,FALSE)</f>
        <v>Electronics</v>
      </c>
      <c r="N1182" s="18" t="str">
        <f>VLOOKUP(C1182,Customers!$A:$E,5,FALSE)</f>
        <v>Retail</v>
      </c>
      <c r="O1182" s="18">
        <f>VLOOKUP(C1182,Customers!$A:$C,3,FALSE)</f>
        <v>28</v>
      </c>
      <c r="P1182" s="18" t="str">
        <f>VLOOKUP(E1181,Sales_Reps!$A:$C,3,FALSE)</f>
        <v>East</v>
      </c>
      <c r="Q1182" s="18" t="str">
        <f>TEXT(B1181,"MMM-YY")</f>
        <v>Aug-24</v>
      </c>
      <c r="R1182">
        <f>VLOOKUP(D1182, Products!A:D, 4, FALSE)</f>
        <v>1665</v>
      </c>
      <c r="S1182">
        <f>(G1182-R1182)/G1182</f>
        <v>0.53361344537815125</v>
      </c>
    </row>
    <row r="1183" spans="1:19" ht="14.25" hidden="1" customHeight="1" x14ac:dyDescent="0.3">
      <c r="A1183" s="8" t="s">
        <v>2233</v>
      </c>
      <c r="B1183" s="9">
        <v>45470</v>
      </c>
      <c r="C1183" s="8" t="s">
        <v>686</v>
      </c>
      <c r="D1183" s="8" t="s">
        <v>247</v>
      </c>
      <c r="E1183" s="8" t="s">
        <v>96</v>
      </c>
      <c r="F1183" s="10">
        <v>10</v>
      </c>
      <c r="G1183" s="10">
        <v>3350</v>
      </c>
      <c r="H1183" s="10">
        <v>25.1</v>
      </c>
      <c r="I1183" s="10">
        <v>25091.5</v>
      </c>
      <c r="J1183" s="8" t="s">
        <v>147</v>
      </c>
      <c r="K1183" s="8" t="s">
        <v>98</v>
      </c>
      <c r="L1183" s="18" t="str">
        <f>VLOOKUP(D1183,Products!$A:$C,3,FALSE)</f>
        <v>Beauty</v>
      </c>
      <c r="N1183" s="18" t="str">
        <f>VLOOKUP(C1183,Customers!$A:$E,5,FALSE)</f>
        <v>SMB</v>
      </c>
      <c r="O1183" s="18">
        <f>VLOOKUP(C1183,Customers!$A:$C,3,FALSE)</f>
        <v>55</v>
      </c>
    </row>
    <row r="1184" spans="1:19" ht="14.25" customHeight="1" x14ac:dyDescent="0.3">
      <c r="A1184" s="8" t="s">
        <v>2234</v>
      </c>
      <c r="B1184" s="21">
        <v>45307</v>
      </c>
      <c r="C1184" s="8" t="s">
        <v>556</v>
      </c>
      <c r="D1184" s="8" t="s">
        <v>964</v>
      </c>
      <c r="E1184" s="8" t="s">
        <v>145</v>
      </c>
      <c r="F1184" s="10">
        <v>3</v>
      </c>
      <c r="G1184" s="10">
        <v>3780</v>
      </c>
      <c r="H1184" s="10">
        <v>3.8</v>
      </c>
      <c r="I1184" s="10">
        <v>10909.08</v>
      </c>
      <c r="J1184" s="8" t="s">
        <v>41</v>
      </c>
      <c r="K1184" s="8" t="s">
        <v>98</v>
      </c>
      <c r="L1184" s="18" t="str">
        <f>VLOOKUP(D1184,Products!$A:$C,3,FALSE)</f>
        <v>Sports</v>
      </c>
      <c r="N1184" s="18" t="str">
        <f>VLOOKUP(C1184,Customers!$A:$E,5,FALSE)</f>
        <v>Retail</v>
      </c>
      <c r="O1184" s="18">
        <f>VLOOKUP(C1184,Customers!$A:$C,3,FALSE)</f>
        <v>24</v>
      </c>
      <c r="P1184" s="18" t="str">
        <f>VLOOKUP(E1183,Sales_Reps!$A:$C,3,FALSE)</f>
        <v>North</v>
      </c>
      <c r="Q1184" s="18" t="str">
        <f>TEXT(B1183,"MMM-YY")</f>
        <v>Jun-24</v>
      </c>
      <c r="R1184">
        <f>VLOOKUP(D1184, Products!A:D, 4, FALSE)</f>
        <v>1860</v>
      </c>
      <c r="S1184">
        <f>(G1184-R1184)/G1184</f>
        <v>0.50793650793650791</v>
      </c>
    </row>
    <row r="1185" spans="1:19" ht="14.25" hidden="1" customHeight="1" x14ac:dyDescent="0.3">
      <c r="A1185" s="8" t="s">
        <v>2235</v>
      </c>
      <c r="B1185" s="9">
        <v>45651</v>
      </c>
      <c r="C1185" s="8" t="s">
        <v>598</v>
      </c>
      <c r="D1185" s="8" t="s">
        <v>211</v>
      </c>
      <c r="E1185" s="8" t="s">
        <v>135</v>
      </c>
      <c r="F1185" s="10">
        <v>4</v>
      </c>
      <c r="G1185" s="10">
        <v>3570</v>
      </c>
      <c r="H1185" s="10">
        <v>0.9</v>
      </c>
      <c r="I1185" s="10">
        <v>14151.48</v>
      </c>
      <c r="J1185" s="8" t="s">
        <v>97</v>
      </c>
      <c r="K1185" s="8" t="s">
        <v>42</v>
      </c>
      <c r="L1185" s="18" t="str">
        <f>VLOOKUP(D1185,Products!$A:$C,3,FALSE)</f>
        <v>Electronics</v>
      </c>
      <c r="N1185" s="18" t="str">
        <f>VLOOKUP(C1185,Customers!$A:$E,5,FALSE)</f>
        <v>Corporate</v>
      </c>
      <c r="O1185" s="18">
        <f>VLOOKUP(C1185,Customers!$A:$C,3,FALSE)</f>
        <v>52</v>
      </c>
    </row>
    <row r="1186" spans="1:19" ht="14.25" hidden="1" customHeight="1" x14ac:dyDescent="0.3">
      <c r="A1186" s="8" t="s">
        <v>1757</v>
      </c>
      <c r="B1186" s="9">
        <v>45436</v>
      </c>
      <c r="C1186" s="8" t="s">
        <v>858</v>
      </c>
      <c r="D1186" s="8" t="s">
        <v>338</v>
      </c>
      <c r="E1186" s="8" t="s">
        <v>153</v>
      </c>
      <c r="F1186" s="10">
        <v>5</v>
      </c>
      <c r="G1186" s="10">
        <v>2860</v>
      </c>
      <c r="H1186" s="10">
        <v>20.100000000000001</v>
      </c>
      <c r="I1186" s="10">
        <v>11425.7</v>
      </c>
      <c r="J1186" s="8" t="s">
        <v>41</v>
      </c>
      <c r="K1186" s="8" t="s">
        <v>119</v>
      </c>
      <c r="L1186" s="18" t="str">
        <f>VLOOKUP(D1186,Products!$A:$C,3,FALSE)</f>
        <v>Sports</v>
      </c>
      <c r="N1186" s="18" t="str">
        <f>VLOOKUP(C1186,Customers!$A:$E,5,FALSE)</f>
        <v>Retail</v>
      </c>
      <c r="O1186" s="18">
        <f>VLOOKUP(C1186,Customers!$A:$C,3,FALSE)</f>
        <v>44</v>
      </c>
    </row>
    <row r="1187" spans="1:19" ht="14.25" hidden="1" customHeight="1" x14ac:dyDescent="0.3">
      <c r="A1187" s="8" t="s">
        <v>2236</v>
      </c>
      <c r="B1187" s="9">
        <v>45518</v>
      </c>
      <c r="C1187" s="8" t="s">
        <v>545</v>
      </c>
      <c r="D1187" s="8" t="s">
        <v>896</v>
      </c>
      <c r="E1187" s="8" t="s">
        <v>200</v>
      </c>
      <c r="F1187" s="10">
        <v>1</v>
      </c>
      <c r="G1187" s="10">
        <v>620</v>
      </c>
      <c r="H1187" s="10">
        <v>1.1000000000000001</v>
      </c>
      <c r="I1187" s="10">
        <v>613.17999999999995</v>
      </c>
      <c r="J1187" s="8" t="s">
        <v>147</v>
      </c>
      <c r="K1187" s="8" t="s">
        <v>119</v>
      </c>
      <c r="L1187" s="18" t="str">
        <f>VLOOKUP(D1187,Products!$A:$C,3,FALSE)</f>
        <v>Apparel</v>
      </c>
      <c r="N1187" s="18" t="str">
        <f>VLOOKUP(C1187,Customers!$A:$E,5,FALSE)</f>
        <v>Retail</v>
      </c>
      <c r="O1187" s="18">
        <f>VLOOKUP(C1187,Customers!$A:$C,3,FALSE)</f>
        <v>41</v>
      </c>
    </row>
    <row r="1188" spans="1:19" ht="14.25" hidden="1" customHeight="1" x14ac:dyDescent="0.3">
      <c r="A1188" s="8" t="s">
        <v>2237</v>
      </c>
      <c r="B1188" s="9">
        <v>45432</v>
      </c>
      <c r="C1188" s="8" t="s">
        <v>266</v>
      </c>
      <c r="D1188" s="8" t="s">
        <v>211</v>
      </c>
      <c r="E1188" s="8" t="s">
        <v>189</v>
      </c>
      <c r="F1188" s="10">
        <v>1</v>
      </c>
      <c r="G1188" s="10">
        <v>3570</v>
      </c>
      <c r="H1188" s="10">
        <v>11.1</v>
      </c>
      <c r="I1188" s="10">
        <v>3173.73</v>
      </c>
      <c r="J1188" s="8" t="s">
        <v>147</v>
      </c>
      <c r="K1188" s="8" t="s">
        <v>42</v>
      </c>
      <c r="L1188" s="18" t="str">
        <f>VLOOKUP(D1188,Products!$A:$C,3,FALSE)</f>
        <v>Electronics</v>
      </c>
      <c r="N1188" s="18" t="str">
        <f>VLOOKUP(C1188,Customers!$A:$E,5,FALSE)</f>
        <v>SMB</v>
      </c>
      <c r="O1188" s="18">
        <f>VLOOKUP(C1188,Customers!$A:$C,3,FALSE)</f>
        <v>44</v>
      </c>
    </row>
    <row r="1189" spans="1:19" ht="14.25" hidden="1" customHeight="1" x14ac:dyDescent="0.3">
      <c r="A1189" s="8" t="s">
        <v>2238</v>
      </c>
      <c r="B1189" s="9">
        <v>45551</v>
      </c>
      <c r="C1189" s="8" t="s">
        <v>275</v>
      </c>
      <c r="D1189" s="8" t="s">
        <v>230</v>
      </c>
      <c r="E1189" s="8" t="s">
        <v>189</v>
      </c>
      <c r="F1189" s="10">
        <v>1</v>
      </c>
      <c r="G1189" s="10">
        <v>5330</v>
      </c>
      <c r="H1189" s="10">
        <v>3.5</v>
      </c>
      <c r="I1189" s="10">
        <v>5143.45</v>
      </c>
      <c r="J1189" s="8" t="s">
        <v>41</v>
      </c>
      <c r="K1189" s="8" t="s">
        <v>98</v>
      </c>
      <c r="L1189" s="18" t="str">
        <f>VLOOKUP(D1189,Products!$A:$C,3,FALSE)</f>
        <v>Electronics</v>
      </c>
      <c r="N1189" s="18" t="str">
        <f>VLOOKUP(C1189,Customers!$A:$E,5,FALSE)</f>
        <v>Corporate</v>
      </c>
      <c r="O1189" s="18">
        <f>VLOOKUP(C1189,Customers!$A:$C,3,FALSE)</f>
        <v>41</v>
      </c>
    </row>
    <row r="1190" spans="1:19" ht="14.25" customHeight="1" x14ac:dyDescent="0.3">
      <c r="A1190" s="8" t="s">
        <v>2239</v>
      </c>
      <c r="B1190" s="21">
        <v>45348</v>
      </c>
      <c r="C1190" s="8" t="s">
        <v>166</v>
      </c>
      <c r="D1190" s="8" t="s">
        <v>954</v>
      </c>
      <c r="E1190" s="8" t="s">
        <v>167</v>
      </c>
      <c r="F1190" s="10">
        <v>7</v>
      </c>
      <c r="G1190" s="10">
        <v>5410</v>
      </c>
      <c r="H1190" s="10">
        <v>26.2</v>
      </c>
      <c r="I1190" s="10">
        <v>27948.06</v>
      </c>
      <c r="J1190" s="8" t="s">
        <v>41</v>
      </c>
      <c r="K1190" s="8" t="s">
        <v>146</v>
      </c>
      <c r="L1190" s="18" t="str">
        <f>VLOOKUP(D1190,Products!$A:$C,3,FALSE)</f>
        <v>Sports</v>
      </c>
      <c r="N1190" s="18" t="str">
        <f>VLOOKUP(C1190,Customers!$A:$E,5,FALSE)</f>
        <v>SMB</v>
      </c>
      <c r="O1190" s="18">
        <f>VLOOKUP(C1190,Customers!$A:$C,3,FALSE)</f>
        <v>22</v>
      </c>
      <c r="P1190" s="18" t="str">
        <f>VLOOKUP(E1189,Sales_Reps!$A:$C,3,FALSE)</f>
        <v>South</v>
      </c>
      <c r="Q1190" s="18" t="str">
        <f>TEXT(B1189,"MMM-YY")</f>
        <v>Sep-24</v>
      </c>
      <c r="R1190">
        <f>VLOOKUP(D1190, Products!A:D, 4, FALSE)</f>
        <v>2265</v>
      </c>
      <c r="S1190">
        <f>(G1190-R1190)/G1190</f>
        <v>0.58133086876155271</v>
      </c>
    </row>
    <row r="1191" spans="1:19" ht="14.25" hidden="1" customHeight="1" x14ac:dyDescent="0.3">
      <c r="A1191" s="8" t="s">
        <v>2240</v>
      </c>
      <c r="B1191" s="9">
        <v>45374</v>
      </c>
      <c r="C1191" s="8" t="s">
        <v>492</v>
      </c>
      <c r="D1191" s="8" t="s">
        <v>926</v>
      </c>
      <c r="E1191" s="8" t="s">
        <v>221</v>
      </c>
      <c r="F1191" s="10">
        <v>10</v>
      </c>
      <c r="G1191" s="10">
        <v>5080</v>
      </c>
      <c r="H1191" s="10">
        <v>3.7</v>
      </c>
      <c r="I1191" s="10">
        <v>48920.4</v>
      </c>
      <c r="J1191" s="8" t="s">
        <v>97</v>
      </c>
      <c r="K1191" s="8" t="s">
        <v>42</v>
      </c>
      <c r="L1191" s="18" t="str">
        <f>VLOOKUP(D1191,Products!$A:$C,3,FALSE)</f>
        <v>Home</v>
      </c>
      <c r="N1191" s="18" t="str">
        <f>VLOOKUP(C1191,Customers!$A:$E,5,FALSE)</f>
        <v>Retail</v>
      </c>
      <c r="O1191" s="18">
        <f>VLOOKUP(C1191,Customers!$A:$C,3,FALSE)</f>
        <v>42</v>
      </c>
    </row>
    <row r="1192" spans="1:19" ht="14.25" customHeight="1" x14ac:dyDescent="0.3">
      <c r="A1192" s="8" t="s">
        <v>473</v>
      </c>
      <c r="B1192" s="21">
        <v>45370</v>
      </c>
      <c r="C1192" s="8" t="s">
        <v>244</v>
      </c>
      <c r="D1192" s="8" t="s">
        <v>211</v>
      </c>
      <c r="E1192" s="8" t="s">
        <v>96</v>
      </c>
      <c r="F1192" s="10">
        <v>9</v>
      </c>
      <c r="G1192" s="10">
        <v>3570</v>
      </c>
      <c r="H1192" s="10">
        <v>5.6</v>
      </c>
      <c r="I1192" s="10">
        <v>30330.720000000001</v>
      </c>
      <c r="J1192" s="8" t="s">
        <v>41</v>
      </c>
      <c r="K1192" s="8" t="s">
        <v>119</v>
      </c>
      <c r="L1192" s="18" t="str">
        <f>VLOOKUP(D1192,Products!$A:$C,3,FALSE)</f>
        <v>Electronics</v>
      </c>
      <c r="N1192" s="18" t="str">
        <f>VLOOKUP(C1192,Customers!$A:$E,5,FALSE)</f>
        <v>Retail</v>
      </c>
      <c r="O1192" s="18">
        <f>VLOOKUP(C1192,Customers!$A:$C,3,FALSE)</f>
        <v>24</v>
      </c>
      <c r="P1192" s="18" t="str">
        <f>VLOOKUP(E1191,Sales_Reps!$A:$C,3,FALSE)</f>
        <v>South</v>
      </c>
      <c r="Q1192" s="18" t="str">
        <f t="shared" ref="Q1192:Q1193" si="240">TEXT(B1191,"MMM-YY")</f>
        <v>Mar-24</v>
      </c>
      <c r="R1192">
        <f>VLOOKUP(D1192, Products!A:D, 4, FALSE)</f>
        <v>1665</v>
      </c>
      <c r="S1192">
        <f t="shared" ref="S1192:S1193" si="241">(G1192-R1192)/G1192</f>
        <v>0.53361344537815125</v>
      </c>
    </row>
    <row r="1193" spans="1:19" ht="14.25" customHeight="1" x14ac:dyDescent="0.3">
      <c r="A1193" s="8" t="s">
        <v>2241</v>
      </c>
      <c r="B1193" s="21">
        <v>45656</v>
      </c>
      <c r="C1193" s="8" t="s">
        <v>382</v>
      </c>
      <c r="D1193" s="8" t="s">
        <v>171</v>
      </c>
      <c r="E1193" s="8" t="s">
        <v>196</v>
      </c>
      <c r="F1193" s="10">
        <v>9</v>
      </c>
      <c r="G1193" s="10">
        <v>970</v>
      </c>
      <c r="H1193" s="10">
        <v>19.5</v>
      </c>
      <c r="I1193" s="10">
        <v>7027.65</v>
      </c>
      <c r="J1193" s="8" t="s">
        <v>41</v>
      </c>
      <c r="K1193" s="8" t="s">
        <v>136</v>
      </c>
      <c r="L1193" s="18" t="str">
        <f>VLOOKUP(D1193,Products!$A:$C,3,FALSE)</f>
        <v>Grocery</v>
      </c>
      <c r="N1193" s="18" t="str">
        <f>VLOOKUP(C1193,Customers!$A:$E,5,FALSE)</f>
        <v>Retail</v>
      </c>
      <c r="O1193" s="18">
        <f>VLOOKUP(C1193,Customers!$A:$C,3,FALSE)</f>
        <v>34</v>
      </c>
      <c r="P1193" s="18" t="str">
        <f>VLOOKUP(E1192,Sales_Reps!$A:$C,3,FALSE)</f>
        <v>North</v>
      </c>
      <c r="Q1193" s="18" t="str">
        <f t="shared" si="240"/>
        <v>Mar-24</v>
      </c>
      <c r="R1193">
        <f>VLOOKUP(D1193, Products!A:D, 4, FALSE)</f>
        <v>434</v>
      </c>
      <c r="S1193">
        <f t="shared" si="241"/>
        <v>0.5525773195876289</v>
      </c>
    </row>
    <row r="1194" spans="1:19" ht="14.25" hidden="1" customHeight="1" x14ac:dyDescent="0.3">
      <c r="A1194" s="8" t="s">
        <v>2242</v>
      </c>
      <c r="B1194" s="9">
        <v>45357</v>
      </c>
      <c r="C1194" s="8" t="s">
        <v>858</v>
      </c>
      <c r="D1194" s="8" t="s">
        <v>154</v>
      </c>
      <c r="E1194" s="8" t="s">
        <v>214</v>
      </c>
      <c r="F1194" s="10">
        <v>10</v>
      </c>
      <c r="G1194" s="10">
        <v>300</v>
      </c>
      <c r="H1194" s="10">
        <v>23</v>
      </c>
      <c r="I1194" s="10">
        <v>2310</v>
      </c>
      <c r="J1194" s="8" t="s">
        <v>147</v>
      </c>
      <c r="K1194" s="8" t="s">
        <v>119</v>
      </c>
      <c r="L1194" s="18" t="str">
        <f>VLOOKUP(D1194,Products!$A:$C,3,FALSE)</f>
        <v>Electronics</v>
      </c>
      <c r="N1194" s="18" t="str">
        <f>VLOOKUP(C1194,Customers!$A:$E,5,FALSE)</f>
        <v>Retail</v>
      </c>
      <c r="O1194" s="18">
        <f>VLOOKUP(C1194,Customers!$A:$C,3,FALSE)</f>
        <v>44</v>
      </c>
    </row>
    <row r="1195" spans="1:19" ht="14.25" hidden="1" customHeight="1" x14ac:dyDescent="0.3">
      <c r="A1195" s="8" t="s">
        <v>2243</v>
      </c>
      <c r="B1195" s="9">
        <v>45479</v>
      </c>
      <c r="C1195" s="8" t="s">
        <v>306</v>
      </c>
      <c r="D1195" s="8" t="s">
        <v>662</v>
      </c>
      <c r="E1195" s="8" t="s">
        <v>200</v>
      </c>
      <c r="F1195" s="10">
        <v>10</v>
      </c>
      <c r="G1195" s="10">
        <v>6080</v>
      </c>
      <c r="H1195" s="10">
        <v>3.9</v>
      </c>
      <c r="I1195" s="10">
        <v>58428.800000000003</v>
      </c>
      <c r="J1195" s="8" t="s">
        <v>41</v>
      </c>
      <c r="K1195" s="8" t="s">
        <v>98</v>
      </c>
      <c r="L1195" s="18" t="str">
        <f>VLOOKUP(D1195,Products!$A:$C,3,FALSE)</f>
        <v>Beauty</v>
      </c>
      <c r="N1195" s="18" t="str">
        <f>VLOOKUP(C1195,Customers!$A:$E,5,FALSE)</f>
        <v>SMB</v>
      </c>
      <c r="O1195" s="18">
        <f>VLOOKUP(C1195,Customers!$A:$C,3,FALSE)</f>
        <v>64</v>
      </c>
    </row>
    <row r="1196" spans="1:19" ht="14.25" customHeight="1" x14ac:dyDescent="0.3">
      <c r="A1196" s="8" t="s">
        <v>1537</v>
      </c>
      <c r="B1196" s="21">
        <v>45539</v>
      </c>
      <c r="C1196" s="8" t="s">
        <v>191</v>
      </c>
      <c r="D1196" s="8" t="s">
        <v>320</v>
      </c>
      <c r="E1196" s="8" t="s">
        <v>865</v>
      </c>
      <c r="F1196" s="10">
        <v>2</v>
      </c>
      <c r="G1196" s="10">
        <v>5100</v>
      </c>
      <c r="H1196" s="10">
        <v>11</v>
      </c>
      <c r="I1196" s="10">
        <v>9078</v>
      </c>
      <c r="J1196" s="8" t="s">
        <v>41</v>
      </c>
      <c r="K1196" s="8" t="s">
        <v>42</v>
      </c>
      <c r="L1196" s="18" t="str">
        <f>VLOOKUP(D1196,Products!$A:$C,3,FALSE)</f>
        <v>Beauty</v>
      </c>
      <c r="N1196" s="18" t="str">
        <f>VLOOKUP(C1196,Customers!$A:$E,5,FALSE)</f>
        <v>SMB</v>
      </c>
      <c r="O1196" s="18">
        <f>VLOOKUP(C1196,Customers!$A:$C,3,FALSE)</f>
        <v>39</v>
      </c>
      <c r="P1196" s="18" t="str">
        <f>VLOOKUP(E1195,Sales_Reps!$A:$C,3,FALSE)</f>
        <v>North</v>
      </c>
      <c r="Q1196" s="18" t="str">
        <f>TEXT(B1195,"MMM-YY")</f>
        <v>Jul-24</v>
      </c>
      <c r="R1196">
        <f>VLOOKUP(D1196, Products!A:D, 4, FALSE)</f>
        <v>2237</v>
      </c>
      <c r="S1196">
        <f>(G1196-R1196)/G1196</f>
        <v>0.56137254901960787</v>
      </c>
    </row>
    <row r="1197" spans="1:19" ht="14.25" hidden="1" customHeight="1" x14ac:dyDescent="0.3">
      <c r="A1197" s="8" t="s">
        <v>2244</v>
      </c>
      <c r="B1197" s="9">
        <v>45394</v>
      </c>
      <c r="C1197" s="8" t="s">
        <v>413</v>
      </c>
      <c r="D1197" s="8" t="s">
        <v>889</v>
      </c>
      <c r="E1197" s="8" t="s">
        <v>158</v>
      </c>
      <c r="F1197" s="10">
        <v>9</v>
      </c>
      <c r="G1197" s="10">
        <v>3450</v>
      </c>
      <c r="H1197" s="10">
        <v>23.7</v>
      </c>
      <c r="I1197" s="10">
        <v>23691.15</v>
      </c>
      <c r="J1197" s="8" t="s">
        <v>41</v>
      </c>
      <c r="K1197" s="8" t="s">
        <v>146</v>
      </c>
      <c r="L1197" s="18" t="str">
        <f>VLOOKUP(D1197,Products!$A:$C,3,FALSE)</f>
        <v>Apparel</v>
      </c>
      <c r="N1197" s="18" t="str">
        <f>VLOOKUP(C1197,Customers!$A:$E,5,FALSE)</f>
        <v>Retail</v>
      </c>
      <c r="O1197" s="18">
        <f>VLOOKUP(C1197,Customers!$A:$C,3,FALSE)</f>
        <v>42</v>
      </c>
    </row>
    <row r="1198" spans="1:19" ht="14.25" customHeight="1" x14ac:dyDescent="0.3">
      <c r="A1198" s="8" t="s">
        <v>2245</v>
      </c>
      <c r="B1198" s="21">
        <v>45335</v>
      </c>
      <c r="C1198" s="8" t="s">
        <v>812</v>
      </c>
      <c r="D1198" s="8" t="s">
        <v>227</v>
      </c>
      <c r="E1198" s="8" t="s">
        <v>865</v>
      </c>
      <c r="F1198" s="10">
        <v>5</v>
      </c>
      <c r="G1198" s="10">
        <v>2480</v>
      </c>
      <c r="H1198" s="10">
        <v>20.399999999999999</v>
      </c>
      <c r="I1198" s="10">
        <v>9870.4</v>
      </c>
      <c r="J1198" s="8" t="s">
        <v>41</v>
      </c>
      <c r="K1198" s="8" t="s">
        <v>136</v>
      </c>
      <c r="L1198" s="18" t="str">
        <f>VLOOKUP(D1198,Products!$A:$C,3,FALSE)</f>
        <v>Apparel</v>
      </c>
      <c r="N1198" s="18" t="str">
        <f>VLOOKUP(C1198,Customers!$A:$E,5,FALSE)</f>
        <v>Retail</v>
      </c>
      <c r="O1198" s="18">
        <f>VLOOKUP(C1198,Customers!$A:$C,3,FALSE)</f>
        <v>29</v>
      </c>
      <c r="P1198" s="18" t="str">
        <f>VLOOKUP(E1197,Sales_Reps!$A:$C,3,FALSE)</f>
        <v>East</v>
      </c>
      <c r="Q1198" s="18" t="str">
        <f>TEXT(B1197,"MMM-YY")</f>
        <v>Apr-24</v>
      </c>
      <c r="R1198">
        <f>VLOOKUP(D1198, Products!A:D, 4, FALSE)</f>
        <v>1173</v>
      </c>
      <c r="S1198">
        <f>(G1198-R1198)/G1198</f>
        <v>0.52701612903225803</v>
      </c>
    </row>
    <row r="1199" spans="1:19" ht="14.25" hidden="1" customHeight="1" x14ac:dyDescent="0.3">
      <c r="A1199" s="8" t="s">
        <v>2246</v>
      </c>
      <c r="B1199" s="9">
        <v>45334</v>
      </c>
      <c r="C1199" s="8" t="s">
        <v>633</v>
      </c>
      <c r="D1199" s="8" t="s">
        <v>199</v>
      </c>
      <c r="E1199" s="8" t="s">
        <v>177</v>
      </c>
      <c r="F1199" s="10">
        <v>4</v>
      </c>
      <c r="G1199" s="10">
        <v>190</v>
      </c>
      <c r="H1199" s="10">
        <v>2.6</v>
      </c>
      <c r="I1199" s="10">
        <v>740.24</v>
      </c>
      <c r="J1199" s="8" t="s">
        <v>41</v>
      </c>
      <c r="K1199" s="8" t="s">
        <v>119</v>
      </c>
      <c r="L1199" s="18" t="str">
        <f>VLOOKUP(D1199,Products!$A:$C,3,FALSE)</f>
        <v>Sports</v>
      </c>
      <c r="N1199" s="18" t="str">
        <f>VLOOKUP(C1199,Customers!$A:$E,5,FALSE)</f>
        <v>Corporate</v>
      </c>
      <c r="O1199" s="18">
        <f>VLOOKUP(C1199,Customers!$A:$C,3,FALSE)</f>
        <v>55</v>
      </c>
    </row>
    <row r="1200" spans="1:19" ht="14.25" hidden="1" customHeight="1" x14ac:dyDescent="0.3">
      <c r="A1200" s="8" t="s">
        <v>2247</v>
      </c>
      <c r="B1200" s="9">
        <v>45300</v>
      </c>
      <c r="C1200" s="8" t="s">
        <v>733</v>
      </c>
      <c r="D1200" s="8" t="s">
        <v>691</v>
      </c>
      <c r="E1200" s="8" t="s">
        <v>321</v>
      </c>
      <c r="F1200" s="10">
        <v>4</v>
      </c>
      <c r="G1200" s="10">
        <v>2270</v>
      </c>
      <c r="H1200" s="10">
        <v>8.1</v>
      </c>
      <c r="I1200" s="10">
        <v>8344.52</v>
      </c>
      <c r="J1200" s="8" t="s">
        <v>97</v>
      </c>
      <c r="K1200" s="8" t="s">
        <v>136</v>
      </c>
      <c r="L1200" s="18" t="str">
        <f>VLOOKUP(D1200,Products!$A:$C,3,FALSE)</f>
        <v>Grocery</v>
      </c>
      <c r="N1200" s="18" t="str">
        <f>VLOOKUP(C1200,Customers!$A:$E,5,FALSE)</f>
        <v>SMB</v>
      </c>
      <c r="O1200" s="18">
        <f>VLOOKUP(C1200,Customers!$A:$C,3,FALSE)</f>
        <v>44</v>
      </c>
    </row>
    <row r="1201" spans="1:19" ht="14.25" customHeight="1" x14ac:dyDescent="0.3">
      <c r="A1201" s="8" t="s">
        <v>2248</v>
      </c>
      <c r="B1201" s="21">
        <v>45400</v>
      </c>
      <c r="C1201" s="8" t="s">
        <v>349</v>
      </c>
      <c r="D1201" s="8" t="s">
        <v>898</v>
      </c>
      <c r="E1201" s="8" t="s">
        <v>172</v>
      </c>
      <c r="F1201" s="10">
        <v>7</v>
      </c>
      <c r="G1201" s="10">
        <v>2510</v>
      </c>
      <c r="H1201" s="10">
        <v>25.5</v>
      </c>
      <c r="I1201" s="10">
        <v>13089.65</v>
      </c>
      <c r="J1201" s="8" t="s">
        <v>41</v>
      </c>
      <c r="K1201" s="8" t="s">
        <v>136</v>
      </c>
      <c r="L1201" s="18" t="str">
        <f>VLOOKUP(D1201,Products!$A:$C,3,FALSE)</f>
        <v>Apparel</v>
      </c>
      <c r="N1201" s="18" t="str">
        <f>VLOOKUP(C1201,Customers!$A:$E,5,FALSE)</f>
        <v>SMB</v>
      </c>
      <c r="O1201" s="18">
        <f>VLOOKUP(C1201,Customers!$A:$C,3,FALSE)</f>
        <v>26</v>
      </c>
      <c r="P1201" s="18" t="str">
        <f>VLOOKUP(E1200,Sales_Reps!$A:$C,3,FALSE)</f>
        <v>East</v>
      </c>
      <c r="Q1201" s="18" t="str">
        <f>TEXT(B1200,"MMM-YY")</f>
        <v>Jan-24</v>
      </c>
      <c r="R1201">
        <f>VLOOKUP(D1201, Products!A:D, 4, FALSE)</f>
        <v>1075</v>
      </c>
      <c r="S1201">
        <f>(G1201-R1201)/G1201</f>
        <v>0.57171314741035861</v>
      </c>
    </row>
    <row r="1202" spans="1:19" ht="14.25" hidden="1" customHeight="1" x14ac:dyDescent="0.3">
      <c r="A1202" s="8" t="s">
        <v>2249</v>
      </c>
      <c r="B1202" s="9">
        <v>45423</v>
      </c>
      <c r="C1202" s="8" t="s">
        <v>170</v>
      </c>
      <c r="D1202" s="8" t="s">
        <v>964</v>
      </c>
      <c r="E1202" s="8" t="s">
        <v>185</v>
      </c>
      <c r="F1202" s="10">
        <v>3</v>
      </c>
      <c r="G1202" s="10">
        <v>3780</v>
      </c>
      <c r="H1202" s="10">
        <v>16.8</v>
      </c>
      <c r="I1202" s="10">
        <v>9434.8799999999992</v>
      </c>
      <c r="J1202" s="8" t="s">
        <v>41</v>
      </c>
      <c r="K1202" s="8" t="s">
        <v>42</v>
      </c>
      <c r="L1202" s="18" t="str">
        <f>VLOOKUP(D1202,Products!$A:$C,3,FALSE)</f>
        <v>Sports</v>
      </c>
      <c r="N1202" s="18" t="str">
        <f>VLOOKUP(C1202,Customers!$A:$E,5,FALSE)</f>
        <v>Retail</v>
      </c>
      <c r="O1202" s="18">
        <f>VLOOKUP(C1202,Customers!$A:$C,3,FALSE)</f>
        <v>56</v>
      </c>
    </row>
    <row r="1203" spans="1:19" ht="14.25" hidden="1" customHeight="1" x14ac:dyDescent="0.3">
      <c r="A1203" s="8" t="s">
        <v>2250</v>
      </c>
      <c r="B1203" s="9">
        <v>45518</v>
      </c>
      <c r="C1203" s="8" t="s">
        <v>652</v>
      </c>
      <c r="D1203" s="8" t="s">
        <v>211</v>
      </c>
      <c r="E1203" s="8" t="s">
        <v>177</v>
      </c>
      <c r="F1203" s="10">
        <v>7</v>
      </c>
      <c r="G1203" s="10">
        <v>3570</v>
      </c>
      <c r="H1203" s="10">
        <v>23.7</v>
      </c>
      <c r="I1203" s="10">
        <v>19067.37</v>
      </c>
      <c r="J1203" s="8" t="s">
        <v>41</v>
      </c>
      <c r="K1203" s="8" t="s">
        <v>178</v>
      </c>
      <c r="L1203" s="18" t="str">
        <f>VLOOKUP(D1203,Products!$A:$C,3,FALSE)</f>
        <v>Electronics</v>
      </c>
      <c r="N1203" s="18" t="str">
        <f>VLOOKUP(C1203,Customers!$A:$E,5,FALSE)</f>
        <v>SMB</v>
      </c>
      <c r="O1203" s="18">
        <f>VLOOKUP(C1203,Customers!$A:$C,3,FALSE)</f>
        <v>43</v>
      </c>
    </row>
    <row r="1204" spans="1:19" ht="14.25" hidden="1" customHeight="1" x14ac:dyDescent="0.3">
      <c r="A1204" s="8" t="s">
        <v>2251</v>
      </c>
      <c r="B1204" s="9">
        <v>45559</v>
      </c>
      <c r="C1204" s="8" t="s">
        <v>702</v>
      </c>
      <c r="D1204" s="8" t="s">
        <v>389</v>
      </c>
      <c r="E1204" s="8" t="s">
        <v>865</v>
      </c>
      <c r="F1204" s="10">
        <v>4</v>
      </c>
      <c r="G1204" s="10">
        <v>660</v>
      </c>
      <c r="H1204" s="10">
        <v>3.6</v>
      </c>
      <c r="I1204" s="10">
        <v>2544.96</v>
      </c>
      <c r="J1204" s="8" t="s">
        <v>41</v>
      </c>
      <c r="K1204" s="8" t="s">
        <v>42</v>
      </c>
      <c r="L1204" s="18" t="str">
        <f>VLOOKUP(D1204,Products!$A:$C,3,FALSE)</f>
        <v>Home</v>
      </c>
      <c r="N1204" s="18" t="str">
        <f>VLOOKUP(C1204,Customers!$A:$E,5,FALSE)</f>
        <v>Corporate</v>
      </c>
      <c r="O1204" s="18">
        <f>VLOOKUP(C1204,Customers!$A:$C,3,FALSE)</f>
        <v>48</v>
      </c>
    </row>
    <row r="1205" spans="1:19" ht="14.25" hidden="1" customHeight="1" x14ac:dyDescent="0.3">
      <c r="A1205" s="8" t="s">
        <v>2252</v>
      </c>
      <c r="B1205" s="9">
        <v>45501</v>
      </c>
      <c r="C1205" s="8" t="s">
        <v>844</v>
      </c>
      <c r="D1205" s="8" t="s">
        <v>171</v>
      </c>
      <c r="E1205" s="8" t="s">
        <v>177</v>
      </c>
      <c r="F1205" s="10">
        <v>7</v>
      </c>
      <c r="G1205" s="10">
        <v>970</v>
      </c>
      <c r="H1205" s="10">
        <v>23.7</v>
      </c>
      <c r="I1205" s="10">
        <v>5180.7700000000004</v>
      </c>
      <c r="J1205" s="8" t="s">
        <v>41</v>
      </c>
      <c r="K1205" s="8" t="s">
        <v>146</v>
      </c>
      <c r="L1205" s="18" t="str">
        <f>VLOOKUP(D1205,Products!$A:$C,3,FALSE)</f>
        <v>Grocery</v>
      </c>
      <c r="N1205" s="18" t="str">
        <f>VLOOKUP(C1205,Customers!$A:$E,5,FALSE)</f>
        <v>Retail</v>
      </c>
      <c r="O1205" s="18">
        <f>VLOOKUP(C1205,Customers!$A:$C,3,FALSE)</f>
        <v>54</v>
      </c>
    </row>
    <row r="1206" spans="1:19" ht="14.25" customHeight="1" x14ac:dyDescent="0.3">
      <c r="A1206" s="8" t="s">
        <v>2253</v>
      </c>
      <c r="B1206" s="21">
        <v>45338</v>
      </c>
      <c r="C1206" s="8" t="s">
        <v>290</v>
      </c>
      <c r="D1206" s="8" t="s">
        <v>176</v>
      </c>
      <c r="E1206" s="8" t="s">
        <v>125</v>
      </c>
      <c r="F1206" s="10">
        <v>8</v>
      </c>
      <c r="G1206" s="10">
        <v>2270</v>
      </c>
      <c r="H1206" s="10">
        <v>6.8</v>
      </c>
      <c r="I1206" s="10">
        <v>16925.12</v>
      </c>
      <c r="J1206" s="8" t="s">
        <v>41</v>
      </c>
      <c r="K1206" s="8" t="s">
        <v>119</v>
      </c>
      <c r="L1206" s="18" t="str">
        <f>VLOOKUP(D1206,Products!$A:$C,3,FALSE)</f>
        <v>Grocery</v>
      </c>
      <c r="N1206" s="18" t="str">
        <f>VLOOKUP(C1206,Customers!$A:$E,5,FALSE)</f>
        <v>SMB</v>
      </c>
      <c r="O1206" s="18">
        <f>VLOOKUP(C1206,Customers!$A:$C,3,FALSE)</f>
        <v>38</v>
      </c>
      <c r="P1206" s="18" t="str">
        <f>VLOOKUP(E1205,Sales_Reps!$A:$C,3,FALSE)</f>
        <v>South</v>
      </c>
      <c r="Q1206" s="18" t="str">
        <f>TEXT(B1205,"MMM-YY")</f>
        <v>Jul-24</v>
      </c>
      <c r="R1206">
        <f>VLOOKUP(D1206, Products!A:D, 4, FALSE)</f>
        <v>1203</v>
      </c>
      <c r="S1206">
        <f>(G1206-R1206)/G1206</f>
        <v>0.47004405286343615</v>
      </c>
    </row>
    <row r="1207" spans="1:19" ht="14.25" hidden="1" customHeight="1" x14ac:dyDescent="0.3">
      <c r="A1207" s="8" t="s">
        <v>2254</v>
      </c>
      <c r="B1207" s="9">
        <v>45585</v>
      </c>
      <c r="C1207" s="8" t="s">
        <v>506</v>
      </c>
      <c r="D1207" s="8" t="s">
        <v>205</v>
      </c>
      <c r="E1207" s="8" t="s">
        <v>189</v>
      </c>
      <c r="F1207" s="10">
        <v>1</v>
      </c>
      <c r="G1207" s="10">
        <v>2400</v>
      </c>
      <c r="H1207" s="10">
        <v>26.5</v>
      </c>
      <c r="I1207" s="10">
        <v>1764</v>
      </c>
      <c r="J1207" s="8" t="s">
        <v>41</v>
      </c>
      <c r="K1207" s="8" t="s">
        <v>146</v>
      </c>
      <c r="L1207" s="18" t="str">
        <f>VLOOKUP(D1207,Products!$A:$C,3,FALSE)</f>
        <v>Sports</v>
      </c>
      <c r="N1207" s="18" t="str">
        <f>VLOOKUP(C1207,Customers!$A:$E,5,FALSE)</f>
        <v>SMB</v>
      </c>
      <c r="O1207" s="18">
        <f>VLOOKUP(C1207,Customers!$A:$C,3,FALSE)</f>
        <v>65</v>
      </c>
    </row>
    <row r="1208" spans="1:19" ht="14.25" customHeight="1" x14ac:dyDescent="0.3">
      <c r="A1208" s="8" t="s">
        <v>2255</v>
      </c>
      <c r="B1208" s="21">
        <v>45525</v>
      </c>
      <c r="C1208" s="8" t="s">
        <v>649</v>
      </c>
      <c r="D1208" s="8" t="s">
        <v>926</v>
      </c>
      <c r="E1208" s="8" t="s">
        <v>177</v>
      </c>
      <c r="F1208" s="10">
        <v>5</v>
      </c>
      <c r="G1208" s="10">
        <v>5080</v>
      </c>
      <c r="H1208" s="10">
        <v>29.6</v>
      </c>
      <c r="I1208" s="10">
        <v>17881.599999999999</v>
      </c>
      <c r="J1208" s="8" t="s">
        <v>41</v>
      </c>
      <c r="K1208" s="8" t="s">
        <v>146</v>
      </c>
      <c r="L1208" s="18" t="str">
        <f>VLOOKUP(D1208,Products!$A:$C,3,FALSE)</f>
        <v>Home</v>
      </c>
      <c r="N1208" s="18" t="str">
        <f>VLOOKUP(C1208,Customers!$A:$E,5,FALSE)</f>
        <v>SMB</v>
      </c>
      <c r="O1208" s="18">
        <f>VLOOKUP(C1208,Customers!$A:$C,3,FALSE)</f>
        <v>27</v>
      </c>
      <c r="P1208" s="18" t="str">
        <f>VLOOKUP(E1207,Sales_Reps!$A:$C,3,FALSE)</f>
        <v>South</v>
      </c>
      <c r="Q1208" s="18" t="str">
        <f>TEXT(B1207,"MMM-YY")</f>
        <v>Oct-24</v>
      </c>
      <c r="R1208">
        <f>VLOOKUP(D1208, Products!A:D, 4, FALSE)</f>
        <v>2459</v>
      </c>
      <c r="S1208">
        <f>(G1208-R1208)/G1208</f>
        <v>0.51594488188976373</v>
      </c>
    </row>
    <row r="1209" spans="1:19" ht="14.25" hidden="1" customHeight="1" x14ac:dyDescent="0.3">
      <c r="A1209" s="8" t="s">
        <v>2256</v>
      </c>
      <c r="B1209" s="9">
        <v>45351</v>
      </c>
      <c r="C1209" s="8" t="s">
        <v>670</v>
      </c>
      <c r="D1209" s="8" t="s">
        <v>247</v>
      </c>
      <c r="E1209" s="8" t="s">
        <v>117</v>
      </c>
      <c r="F1209" s="10">
        <v>9</v>
      </c>
      <c r="G1209" s="10">
        <v>3350</v>
      </c>
      <c r="H1209" s="10">
        <v>6.2</v>
      </c>
      <c r="I1209" s="10">
        <v>28280.7</v>
      </c>
      <c r="J1209" s="8" t="s">
        <v>41</v>
      </c>
      <c r="K1209" s="8" t="s">
        <v>136</v>
      </c>
      <c r="L1209" s="18" t="str">
        <f>VLOOKUP(D1209,Products!$A:$C,3,FALSE)</f>
        <v>Beauty</v>
      </c>
      <c r="N1209" s="18" t="str">
        <f>VLOOKUP(C1209,Customers!$A:$E,5,FALSE)</f>
        <v>Retail</v>
      </c>
      <c r="O1209" s="18">
        <f>VLOOKUP(C1209,Customers!$A:$C,3,FALSE)</f>
        <v>42</v>
      </c>
    </row>
    <row r="1210" spans="1:19" ht="14.25" customHeight="1" x14ac:dyDescent="0.3">
      <c r="A1210" s="8" t="s">
        <v>2257</v>
      </c>
      <c r="B1210" s="21">
        <v>45560</v>
      </c>
      <c r="C1210" s="8" t="s">
        <v>294</v>
      </c>
      <c r="D1210" s="8" t="s">
        <v>789</v>
      </c>
      <c r="E1210" s="8" t="s">
        <v>231</v>
      </c>
      <c r="F1210" s="10">
        <v>4</v>
      </c>
      <c r="G1210" s="10">
        <v>1540</v>
      </c>
      <c r="H1210" s="10">
        <v>22.2</v>
      </c>
      <c r="I1210" s="10">
        <v>4792.4799999999996</v>
      </c>
      <c r="J1210" s="8" t="s">
        <v>41</v>
      </c>
      <c r="K1210" s="8" t="s">
        <v>98</v>
      </c>
      <c r="L1210" s="18" t="str">
        <f>VLOOKUP(D1210,Products!$A:$C,3,FALSE)</f>
        <v>Beauty</v>
      </c>
      <c r="N1210" s="18" t="str">
        <f>VLOOKUP(C1210,Customers!$A:$E,5,FALSE)</f>
        <v>Retail</v>
      </c>
      <c r="O1210" s="18">
        <f>VLOOKUP(C1210,Customers!$A:$C,3,FALSE)</f>
        <v>22</v>
      </c>
      <c r="P1210" s="18" t="str">
        <f>VLOOKUP(E1209,Sales_Reps!$A:$C,3,FALSE)</f>
        <v>South</v>
      </c>
      <c r="Q1210" s="18" t="str">
        <f>TEXT(B1209,"MMM-YY")</f>
        <v>Feb-24</v>
      </c>
      <c r="R1210">
        <f>VLOOKUP(D1210, Products!A:D, 4, FALSE)</f>
        <v>647</v>
      </c>
      <c r="S1210">
        <f>(G1210-R1210)/G1210</f>
        <v>0.57987012987012987</v>
      </c>
    </row>
    <row r="1211" spans="1:19" ht="14.25" hidden="1" customHeight="1" x14ac:dyDescent="0.3">
      <c r="A1211" s="8" t="s">
        <v>2258</v>
      </c>
      <c r="B1211" s="9">
        <v>45431</v>
      </c>
      <c r="C1211" s="8" t="s">
        <v>468</v>
      </c>
      <c r="D1211" s="8" t="s">
        <v>926</v>
      </c>
      <c r="E1211" s="8" t="s">
        <v>261</v>
      </c>
      <c r="F1211" s="10">
        <v>10</v>
      </c>
      <c r="G1211" s="10">
        <v>5080</v>
      </c>
      <c r="H1211" s="10">
        <v>11.8</v>
      </c>
      <c r="I1211" s="10">
        <v>44805.599999999999</v>
      </c>
      <c r="J1211" s="8" t="s">
        <v>41</v>
      </c>
      <c r="K1211" s="8" t="s">
        <v>146</v>
      </c>
      <c r="L1211" s="18" t="str">
        <f>VLOOKUP(D1211,Products!$A:$C,3,FALSE)</f>
        <v>Home</v>
      </c>
      <c r="N1211" s="18" t="str">
        <f>VLOOKUP(C1211,Customers!$A:$E,5,FALSE)</f>
        <v>Retail</v>
      </c>
      <c r="O1211" s="18">
        <f>VLOOKUP(C1211,Customers!$A:$C,3,FALSE)</f>
        <v>65</v>
      </c>
    </row>
    <row r="1212" spans="1:19" ht="14.25" hidden="1" customHeight="1" x14ac:dyDescent="0.3">
      <c r="A1212" s="8" t="s">
        <v>2259</v>
      </c>
      <c r="B1212" s="9">
        <v>45296</v>
      </c>
      <c r="C1212" s="8" t="s">
        <v>752</v>
      </c>
      <c r="D1212" s="8" t="s">
        <v>901</v>
      </c>
      <c r="E1212" s="8" t="s">
        <v>189</v>
      </c>
      <c r="F1212" s="10">
        <v>9</v>
      </c>
      <c r="G1212" s="10">
        <v>3560</v>
      </c>
      <c r="H1212" s="10">
        <v>15.9</v>
      </c>
      <c r="I1212" s="10">
        <v>26945.64</v>
      </c>
      <c r="J1212" s="8" t="s">
        <v>41</v>
      </c>
      <c r="K1212" s="8" t="s">
        <v>146</v>
      </c>
      <c r="L1212" s="18" t="str">
        <f>VLOOKUP(D1212,Products!$A:$C,3,FALSE)</f>
        <v>Apparel</v>
      </c>
      <c r="N1212" s="18" t="str">
        <f>VLOOKUP(C1212,Customers!$A:$E,5,FALSE)</f>
        <v>Retail</v>
      </c>
      <c r="O1212" s="18">
        <f>VLOOKUP(C1212,Customers!$A:$C,3,FALSE)</f>
        <v>49</v>
      </c>
    </row>
    <row r="1213" spans="1:19" ht="14.25" customHeight="1" x14ac:dyDescent="0.3">
      <c r="A1213" s="8" t="s">
        <v>2260</v>
      </c>
      <c r="B1213" s="21">
        <v>45629</v>
      </c>
      <c r="C1213" s="8" t="s">
        <v>778</v>
      </c>
      <c r="D1213" s="8" t="s">
        <v>224</v>
      </c>
      <c r="E1213" s="8" t="s">
        <v>214</v>
      </c>
      <c r="F1213" s="10">
        <v>2</v>
      </c>
      <c r="G1213" s="10">
        <v>1080</v>
      </c>
      <c r="H1213" s="10">
        <v>21.1</v>
      </c>
      <c r="I1213" s="10">
        <v>1704.24</v>
      </c>
      <c r="J1213" s="8" t="s">
        <v>41</v>
      </c>
      <c r="K1213" s="8" t="s">
        <v>136</v>
      </c>
      <c r="L1213" s="18" t="str">
        <f>VLOOKUP(D1213,Products!$A:$C,3,FALSE)</f>
        <v>Home</v>
      </c>
      <c r="N1213" s="18" t="str">
        <f>VLOOKUP(C1213,Customers!$A:$E,5,FALSE)</f>
        <v>Retail</v>
      </c>
      <c r="O1213" s="18">
        <f>VLOOKUP(C1213,Customers!$A:$C,3,FALSE)</f>
        <v>27</v>
      </c>
      <c r="P1213" s="18" t="str">
        <f>VLOOKUP(E1212,Sales_Reps!$A:$C,3,FALSE)</f>
        <v>South</v>
      </c>
      <c r="Q1213" s="18" t="str">
        <f>TEXT(B1212,"MMM-YY")</f>
        <v>Jan-24</v>
      </c>
      <c r="R1213">
        <f>VLOOKUP(D1213, Products!A:D, 4, FALSE)</f>
        <v>519</v>
      </c>
      <c r="S1213">
        <f>(G1213-R1213)/G1213</f>
        <v>0.51944444444444449</v>
      </c>
    </row>
    <row r="1214" spans="1:19" ht="14.25" hidden="1" customHeight="1" x14ac:dyDescent="0.3">
      <c r="A1214" s="8" t="s">
        <v>2261</v>
      </c>
      <c r="B1214" s="9">
        <v>45310</v>
      </c>
      <c r="C1214" s="8" t="s">
        <v>713</v>
      </c>
      <c r="D1214" s="8" t="s">
        <v>909</v>
      </c>
      <c r="E1214" s="8" t="s">
        <v>167</v>
      </c>
      <c r="F1214" s="10">
        <v>5</v>
      </c>
      <c r="G1214" s="10">
        <v>2380</v>
      </c>
      <c r="H1214" s="10">
        <v>20.5</v>
      </c>
      <c r="I1214" s="10">
        <v>9460.5</v>
      </c>
      <c r="J1214" s="8" t="s">
        <v>41</v>
      </c>
      <c r="K1214" s="8" t="s">
        <v>146</v>
      </c>
      <c r="L1214" s="18" t="str">
        <f>VLOOKUP(D1214,Products!$A:$C,3,FALSE)</f>
        <v>Grocery</v>
      </c>
      <c r="N1214" s="18" t="str">
        <f>VLOOKUP(C1214,Customers!$A:$E,5,FALSE)</f>
        <v>Retail</v>
      </c>
      <c r="O1214" s="18">
        <f>VLOOKUP(C1214,Customers!$A:$C,3,FALSE)</f>
        <v>50</v>
      </c>
    </row>
    <row r="1215" spans="1:19" ht="14.25" hidden="1" customHeight="1" x14ac:dyDescent="0.3">
      <c r="A1215" s="8" t="s">
        <v>2262</v>
      </c>
      <c r="B1215" s="9">
        <v>45498</v>
      </c>
      <c r="C1215" s="8" t="s">
        <v>768</v>
      </c>
      <c r="D1215" s="8" t="s">
        <v>227</v>
      </c>
      <c r="E1215" s="8" t="s">
        <v>145</v>
      </c>
      <c r="F1215" s="10">
        <v>9</v>
      </c>
      <c r="G1215" s="10">
        <v>2480</v>
      </c>
      <c r="H1215" s="10">
        <v>1.2</v>
      </c>
      <c r="I1215" s="10">
        <v>22052.16</v>
      </c>
      <c r="J1215" s="8" t="s">
        <v>41</v>
      </c>
      <c r="K1215" s="8" t="s">
        <v>98</v>
      </c>
      <c r="L1215" s="18" t="str">
        <f>VLOOKUP(D1215,Products!$A:$C,3,FALSE)</f>
        <v>Apparel</v>
      </c>
      <c r="N1215" s="18" t="str">
        <f>VLOOKUP(C1215,Customers!$A:$E,5,FALSE)</f>
        <v>SMB</v>
      </c>
      <c r="O1215" s="18">
        <f>VLOOKUP(C1215,Customers!$A:$C,3,FALSE)</f>
        <v>57</v>
      </c>
    </row>
    <row r="1216" spans="1:19" ht="14.25" customHeight="1" x14ac:dyDescent="0.3">
      <c r="A1216" s="8" t="s">
        <v>2263</v>
      </c>
      <c r="B1216" s="21">
        <v>45348</v>
      </c>
      <c r="C1216" s="8" t="s">
        <v>235</v>
      </c>
      <c r="D1216" s="8" t="s">
        <v>939</v>
      </c>
      <c r="E1216" s="8" t="s">
        <v>189</v>
      </c>
      <c r="F1216" s="10">
        <v>9</v>
      </c>
      <c r="G1216" s="10">
        <v>2290</v>
      </c>
      <c r="H1216" s="10">
        <v>0.9</v>
      </c>
      <c r="I1216" s="10">
        <v>20424.509999999998</v>
      </c>
      <c r="J1216" s="8" t="s">
        <v>41</v>
      </c>
      <c r="K1216" s="8" t="s">
        <v>178</v>
      </c>
      <c r="L1216" s="18" t="str">
        <f>VLOOKUP(D1216,Products!$A:$C,3,FALSE)</f>
        <v>Beauty</v>
      </c>
      <c r="N1216" s="18" t="str">
        <f>VLOOKUP(C1216,Customers!$A:$E,5,FALSE)</f>
        <v>SMB</v>
      </c>
      <c r="O1216" s="18">
        <f>VLOOKUP(C1216,Customers!$A:$C,3,FALSE)</f>
        <v>29</v>
      </c>
      <c r="P1216" s="18" t="str">
        <f>VLOOKUP(E1215,Sales_Reps!$A:$C,3,FALSE)</f>
        <v>West</v>
      </c>
      <c r="Q1216" s="18" t="str">
        <f>TEXT(B1215,"MMM-YY")</f>
        <v>Jul-24</v>
      </c>
      <c r="R1216">
        <f>VLOOKUP(D1216, Products!A:D, 4, FALSE)</f>
        <v>1219</v>
      </c>
      <c r="S1216">
        <f>(G1216-R1216)/G1216</f>
        <v>0.46768558951965067</v>
      </c>
    </row>
    <row r="1217" spans="1:19" ht="14.25" hidden="1" customHeight="1" x14ac:dyDescent="0.3">
      <c r="A1217" s="8" t="s">
        <v>2264</v>
      </c>
      <c r="B1217" s="9">
        <v>45382</v>
      </c>
      <c r="C1217" s="8" t="s">
        <v>776</v>
      </c>
      <c r="D1217" s="8" t="s">
        <v>889</v>
      </c>
      <c r="E1217" s="8" t="s">
        <v>865</v>
      </c>
      <c r="F1217" s="10">
        <v>3</v>
      </c>
      <c r="G1217" s="10">
        <v>3450</v>
      </c>
      <c r="H1217" s="10">
        <v>29.5</v>
      </c>
      <c r="I1217" s="10">
        <v>7296.75</v>
      </c>
      <c r="J1217" s="8" t="s">
        <v>41</v>
      </c>
      <c r="K1217" s="8" t="s">
        <v>146</v>
      </c>
      <c r="L1217" s="18" t="str">
        <f>VLOOKUP(D1217,Products!$A:$C,3,FALSE)</f>
        <v>Apparel</v>
      </c>
      <c r="N1217" s="18" t="str">
        <f>VLOOKUP(C1217,Customers!$A:$E,5,FALSE)</f>
        <v>Retail</v>
      </c>
      <c r="O1217" s="18">
        <f>VLOOKUP(C1217,Customers!$A:$C,3,FALSE)</f>
        <v>44</v>
      </c>
    </row>
    <row r="1218" spans="1:19" ht="14.25" customHeight="1" x14ac:dyDescent="0.3">
      <c r="A1218" s="8" t="s">
        <v>2265</v>
      </c>
      <c r="B1218" s="21">
        <v>45569</v>
      </c>
      <c r="C1218" s="8" t="s">
        <v>183</v>
      </c>
      <c r="D1218" s="8" t="s">
        <v>215</v>
      </c>
      <c r="E1218" s="8" t="s">
        <v>153</v>
      </c>
      <c r="F1218" s="10">
        <v>9</v>
      </c>
      <c r="G1218" s="10">
        <v>3450</v>
      </c>
      <c r="H1218" s="10">
        <v>19.399999999999999</v>
      </c>
      <c r="I1218" s="10">
        <v>25026.3</v>
      </c>
      <c r="J1218" s="8" t="s">
        <v>41</v>
      </c>
      <c r="K1218" s="8" t="s">
        <v>119</v>
      </c>
      <c r="L1218" s="18" t="str">
        <f>VLOOKUP(D1218,Products!$A:$C,3,FALSE)</f>
        <v>Beauty</v>
      </c>
      <c r="N1218" s="18" t="str">
        <f>VLOOKUP(C1218,Customers!$A:$E,5,FALSE)</f>
        <v>SMB</v>
      </c>
      <c r="O1218" s="18">
        <f>VLOOKUP(C1218,Customers!$A:$C,3,FALSE)</f>
        <v>27</v>
      </c>
      <c r="P1218" s="18" t="str">
        <f>VLOOKUP(E1217,Sales_Reps!$A:$C,3,FALSE)</f>
        <v>South</v>
      </c>
      <c r="Q1218" s="18" t="str">
        <f>TEXT(B1217,"MMM-YY")</f>
        <v>Mar-24</v>
      </c>
      <c r="R1218">
        <f>VLOOKUP(D1218, Products!A:D, 4, FALSE)</f>
        <v>2420</v>
      </c>
      <c r="S1218">
        <f>(G1218-R1218)/G1218</f>
        <v>0.29855072463768118</v>
      </c>
    </row>
    <row r="1219" spans="1:19" ht="14.25" hidden="1" customHeight="1" x14ac:dyDescent="0.3">
      <c r="A1219" s="8" t="s">
        <v>2266</v>
      </c>
      <c r="B1219" s="9">
        <v>45516</v>
      </c>
      <c r="C1219" s="8" t="s">
        <v>490</v>
      </c>
      <c r="D1219" s="8" t="s">
        <v>184</v>
      </c>
      <c r="E1219" s="8" t="s">
        <v>143</v>
      </c>
      <c r="F1219" s="10">
        <v>2</v>
      </c>
      <c r="G1219" s="10">
        <v>2600</v>
      </c>
      <c r="H1219" s="10">
        <v>20.2</v>
      </c>
      <c r="I1219" s="10">
        <v>4149.6000000000004</v>
      </c>
      <c r="J1219" s="8" t="s">
        <v>147</v>
      </c>
      <c r="K1219" s="8" t="s">
        <v>136</v>
      </c>
      <c r="L1219" s="18" t="str">
        <f>VLOOKUP(D1219,Products!$A:$C,3,FALSE)</f>
        <v>Electronics</v>
      </c>
      <c r="N1219" s="18" t="str">
        <f>VLOOKUP(C1219,Customers!$A:$E,5,FALSE)</f>
        <v>Corporate</v>
      </c>
      <c r="O1219" s="18">
        <f>VLOOKUP(C1219,Customers!$A:$C,3,FALSE)</f>
        <v>59</v>
      </c>
    </row>
    <row r="1220" spans="1:19" ht="14.25" hidden="1" customHeight="1" x14ac:dyDescent="0.3">
      <c r="A1220" s="8" t="s">
        <v>2267</v>
      </c>
      <c r="B1220" s="9">
        <v>45519</v>
      </c>
      <c r="C1220" s="8" t="s">
        <v>388</v>
      </c>
      <c r="D1220" s="8" t="s">
        <v>374</v>
      </c>
      <c r="E1220" s="8" t="s">
        <v>145</v>
      </c>
      <c r="F1220" s="10">
        <v>1</v>
      </c>
      <c r="G1220" s="10">
        <v>2760</v>
      </c>
      <c r="H1220" s="10">
        <v>9.5</v>
      </c>
      <c r="I1220" s="10">
        <v>2497.8000000000002</v>
      </c>
      <c r="J1220" s="8" t="s">
        <v>41</v>
      </c>
      <c r="K1220" s="8" t="s">
        <v>136</v>
      </c>
      <c r="L1220" s="18" t="str">
        <f>VLOOKUP(D1220,Products!$A:$C,3,FALSE)</f>
        <v>Grocery</v>
      </c>
      <c r="N1220" s="18" t="str">
        <f>VLOOKUP(C1220,Customers!$A:$E,5,FALSE)</f>
        <v>SMB</v>
      </c>
      <c r="O1220" s="18">
        <f>VLOOKUP(C1220,Customers!$A:$C,3,FALSE)</f>
        <v>49</v>
      </c>
    </row>
    <row r="1221" spans="1:19" ht="14.25" customHeight="1" x14ac:dyDescent="0.3">
      <c r="A1221" s="8" t="s">
        <v>2268</v>
      </c>
      <c r="B1221" s="21">
        <v>45593</v>
      </c>
      <c r="C1221" s="8" t="s">
        <v>384</v>
      </c>
      <c r="D1221" s="8" t="s">
        <v>839</v>
      </c>
      <c r="E1221" s="8" t="s">
        <v>200</v>
      </c>
      <c r="F1221" s="10">
        <v>4</v>
      </c>
      <c r="G1221" s="10">
        <v>4610</v>
      </c>
      <c r="H1221" s="10">
        <v>14.8</v>
      </c>
      <c r="I1221" s="10">
        <v>15710.88</v>
      </c>
      <c r="J1221" s="8" t="s">
        <v>41</v>
      </c>
      <c r="K1221" s="8" t="s">
        <v>136</v>
      </c>
      <c r="L1221" s="18" t="str">
        <f>VLOOKUP(D1221,Products!$A:$C,3,FALSE)</f>
        <v>Home</v>
      </c>
      <c r="N1221" s="18" t="str">
        <f>VLOOKUP(C1221,Customers!$A:$E,5,FALSE)</f>
        <v>Corporate</v>
      </c>
      <c r="O1221" s="18">
        <f>VLOOKUP(C1221,Customers!$A:$C,3,FALSE)</f>
        <v>26</v>
      </c>
      <c r="P1221" s="18" t="str">
        <f>VLOOKUP(E1220,Sales_Reps!$A:$C,3,FALSE)</f>
        <v>West</v>
      </c>
      <c r="Q1221" s="18" t="str">
        <f>TEXT(B1220,"MMM-YY")</f>
        <v>Aug-24</v>
      </c>
      <c r="R1221">
        <f>VLOOKUP(D1221, Products!A:D, 4, FALSE)</f>
        <v>1850</v>
      </c>
      <c r="S1221">
        <f>(G1221-R1221)/G1221</f>
        <v>0.59869848156182215</v>
      </c>
    </row>
    <row r="1222" spans="1:19" ht="14.25" hidden="1" customHeight="1" x14ac:dyDescent="0.3">
      <c r="A1222" s="8" t="s">
        <v>2269</v>
      </c>
      <c r="B1222" s="9">
        <v>45532</v>
      </c>
      <c r="C1222" s="8" t="s">
        <v>175</v>
      </c>
      <c r="D1222" s="8" t="s">
        <v>227</v>
      </c>
      <c r="E1222" s="8" t="s">
        <v>153</v>
      </c>
      <c r="F1222" s="10">
        <v>3</v>
      </c>
      <c r="G1222" s="10">
        <v>2480</v>
      </c>
      <c r="H1222" s="10">
        <v>3.7</v>
      </c>
      <c r="I1222" s="10">
        <v>7164.72</v>
      </c>
      <c r="J1222" s="8" t="s">
        <v>41</v>
      </c>
      <c r="K1222" s="8" t="s">
        <v>178</v>
      </c>
      <c r="L1222" s="18" t="str">
        <f>VLOOKUP(D1222,Products!$A:$C,3,FALSE)</f>
        <v>Apparel</v>
      </c>
      <c r="N1222" s="18" t="str">
        <f>VLOOKUP(C1222,Customers!$A:$E,5,FALSE)</f>
        <v>Retail</v>
      </c>
      <c r="O1222" s="18">
        <f>VLOOKUP(C1222,Customers!$A:$C,3,FALSE)</f>
        <v>60</v>
      </c>
    </row>
    <row r="1223" spans="1:19" ht="14.25" customHeight="1" x14ac:dyDescent="0.3">
      <c r="A1223" s="8" t="s">
        <v>2270</v>
      </c>
      <c r="B1223" s="21">
        <v>45610</v>
      </c>
      <c r="C1223" s="8" t="s">
        <v>235</v>
      </c>
      <c r="D1223" s="8" t="s">
        <v>959</v>
      </c>
      <c r="E1223" s="8" t="s">
        <v>865</v>
      </c>
      <c r="F1223" s="10">
        <v>5</v>
      </c>
      <c r="G1223" s="10">
        <v>6940</v>
      </c>
      <c r="H1223" s="10">
        <v>0.3</v>
      </c>
      <c r="I1223" s="10">
        <v>34595.9</v>
      </c>
      <c r="J1223" s="8" t="s">
        <v>41</v>
      </c>
      <c r="K1223" s="8" t="s">
        <v>178</v>
      </c>
      <c r="L1223" s="18" t="str">
        <f>VLOOKUP(D1223,Products!$A:$C,3,FALSE)</f>
        <v>Sports</v>
      </c>
      <c r="N1223" s="18" t="str">
        <f>VLOOKUP(C1223,Customers!$A:$E,5,FALSE)</f>
        <v>SMB</v>
      </c>
      <c r="O1223" s="18">
        <f>VLOOKUP(C1223,Customers!$A:$C,3,FALSE)</f>
        <v>29</v>
      </c>
      <c r="P1223" s="18" t="str">
        <f>VLOOKUP(E1222,Sales_Reps!$A:$C,3,FALSE)</f>
        <v>West</v>
      </c>
      <c r="Q1223" s="18" t="str">
        <f>TEXT(B1222,"MMM-YY")</f>
        <v>Aug-24</v>
      </c>
      <c r="R1223">
        <f>VLOOKUP(D1223, Products!A:D, 4, FALSE)</f>
        <v>2827</v>
      </c>
      <c r="S1223">
        <f>(G1223-R1223)/G1223</f>
        <v>0.5926512968299712</v>
      </c>
    </row>
    <row r="1224" spans="1:19" ht="14.25" hidden="1" customHeight="1" x14ac:dyDescent="0.3">
      <c r="A1224" s="8" t="s">
        <v>2271</v>
      </c>
      <c r="B1224" s="9">
        <v>45560</v>
      </c>
      <c r="C1224" s="8" t="s">
        <v>408</v>
      </c>
      <c r="D1224" s="8" t="s">
        <v>691</v>
      </c>
      <c r="E1224" s="8" t="s">
        <v>208</v>
      </c>
      <c r="F1224" s="10">
        <v>8</v>
      </c>
      <c r="G1224" s="10">
        <v>2270</v>
      </c>
      <c r="H1224" s="10">
        <v>15.6</v>
      </c>
      <c r="I1224" s="10">
        <v>15327.04</v>
      </c>
      <c r="J1224" s="8" t="s">
        <v>97</v>
      </c>
      <c r="K1224" s="8" t="s">
        <v>119</v>
      </c>
      <c r="L1224" s="18" t="str">
        <f>VLOOKUP(D1224,Products!$A:$C,3,FALSE)</f>
        <v>Grocery</v>
      </c>
      <c r="N1224" s="18" t="str">
        <f>VLOOKUP(C1224,Customers!$A:$E,5,FALSE)</f>
        <v>SMB</v>
      </c>
      <c r="O1224" s="18">
        <f>VLOOKUP(C1224,Customers!$A:$C,3,FALSE)</f>
        <v>48</v>
      </c>
    </row>
    <row r="1225" spans="1:19" ht="14.25" customHeight="1" x14ac:dyDescent="0.3">
      <c r="A1225" s="8" t="s">
        <v>2272</v>
      </c>
      <c r="B1225" s="21">
        <v>45431</v>
      </c>
      <c r="C1225" s="8" t="s">
        <v>533</v>
      </c>
      <c r="D1225" s="8" t="s">
        <v>320</v>
      </c>
      <c r="E1225" s="8" t="s">
        <v>143</v>
      </c>
      <c r="F1225" s="10">
        <v>5</v>
      </c>
      <c r="G1225" s="10">
        <v>5100</v>
      </c>
      <c r="H1225" s="10">
        <v>9.5</v>
      </c>
      <c r="I1225" s="10">
        <v>23077.5</v>
      </c>
      <c r="J1225" s="8" t="s">
        <v>41</v>
      </c>
      <c r="K1225" s="8" t="s">
        <v>136</v>
      </c>
      <c r="L1225" s="18" t="str">
        <f>VLOOKUP(D1225,Products!$A:$C,3,FALSE)</f>
        <v>Beauty</v>
      </c>
      <c r="N1225" s="18" t="str">
        <f>VLOOKUP(C1225,Customers!$A:$E,5,FALSE)</f>
        <v>SMB</v>
      </c>
      <c r="O1225" s="18">
        <f>VLOOKUP(C1225,Customers!$A:$C,3,FALSE)</f>
        <v>36</v>
      </c>
      <c r="P1225" s="18" t="str">
        <f>VLOOKUP(E1224,Sales_Reps!$A:$C,3,FALSE)</f>
        <v>East</v>
      </c>
      <c r="Q1225" s="18" t="str">
        <f>TEXT(B1224,"MMM-YY")</f>
        <v>Sep-24</v>
      </c>
      <c r="R1225">
        <f>VLOOKUP(D1225, Products!A:D, 4, FALSE)</f>
        <v>2237</v>
      </c>
      <c r="S1225">
        <f>(G1225-R1225)/G1225</f>
        <v>0.56137254901960787</v>
      </c>
    </row>
    <row r="1226" spans="1:19" ht="14.25" hidden="1" customHeight="1" x14ac:dyDescent="0.3">
      <c r="A1226" s="8" t="s">
        <v>2273</v>
      </c>
      <c r="B1226" s="9">
        <v>45594</v>
      </c>
      <c r="C1226" s="8" t="s">
        <v>665</v>
      </c>
      <c r="D1226" s="8" t="s">
        <v>192</v>
      </c>
      <c r="E1226" s="8" t="s">
        <v>865</v>
      </c>
      <c r="F1226" s="10">
        <v>5</v>
      </c>
      <c r="G1226" s="10">
        <v>3250</v>
      </c>
      <c r="H1226" s="10">
        <v>8.1</v>
      </c>
      <c r="I1226" s="10">
        <v>14933.75</v>
      </c>
      <c r="J1226" s="8" t="s">
        <v>41</v>
      </c>
      <c r="K1226" s="8" t="s">
        <v>178</v>
      </c>
      <c r="L1226" s="18" t="str">
        <f>VLOOKUP(D1226,Products!$A:$C,3,FALSE)</f>
        <v>Home</v>
      </c>
      <c r="N1226" s="18" t="str">
        <f>VLOOKUP(C1226,Customers!$A:$E,5,FALSE)</f>
        <v>SMB</v>
      </c>
      <c r="O1226" s="18">
        <f>VLOOKUP(C1226,Customers!$A:$C,3,FALSE)</f>
        <v>43</v>
      </c>
    </row>
    <row r="1227" spans="1:19" ht="14.25" hidden="1" customHeight="1" x14ac:dyDescent="0.3">
      <c r="A1227" s="8" t="s">
        <v>2274</v>
      </c>
      <c r="B1227" s="9">
        <v>45609</v>
      </c>
      <c r="C1227" s="8" t="s">
        <v>317</v>
      </c>
      <c r="D1227" s="8" t="s">
        <v>120</v>
      </c>
      <c r="E1227" s="8" t="s">
        <v>200</v>
      </c>
      <c r="F1227" s="10">
        <v>6</v>
      </c>
      <c r="G1227" s="10">
        <v>3970</v>
      </c>
      <c r="H1227" s="10">
        <v>18.8</v>
      </c>
      <c r="I1227" s="10">
        <v>19341.84</v>
      </c>
      <c r="J1227" s="8" t="s">
        <v>97</v>
      </c>
      <c r="K1227" s="8" t="s">
        <v>136</v>
      </c>
      <c r="L1227" s="18" t="str">
        <f>VLOOKUP(D1227,Products!$A:$C,3,FALSE)</f>
        <v>Electronics</v>
      </c>
      <c r="N1227" s="18" t="str">
        <f>VLOOKUP(C1227,Customers!$A:$E,5,FALSE)</f>
        <v>Retail</v>
      </c>
      <c r="O1227" s="18">
        <f>VLOOKUP(C1227,Customers!$A:$C,3,FALSE)</f>
        <v>59</v>
      </c>
    </row>
    <row r="1228" spans="1:19" ht="14.25" hidden="1" customHeight="1" x14ac:dyDescent="0.3">
      <c r="A1228" s="8" t="s">
        <v>2275</v>
      </c>
      <c r="B1228" s="9">
        <v>45546</v>
      </c>
      <c r="C1228" s="8" t="s">
        <v>314</v>
      </c>
      <c r="D1228" s="8" t="s">
        <v>230</v>
      </c>
      <c r="E1228" s="8" t="s">
        <v>145</v>
      </c>
      <c r="F1228" s="10">
        <v>4</v>
      </c>
      <c r="G1228" s="10">
        <v>5330</v>
      </c>
      <c r="H1228" s="10">
        <v>19.7</v>
      </c>
      <c r="I1228" s="10">
        <v>17119.96</v>
      </c>
      <c r="J1228" s="8" t="s">
        <v>41</v>
      </c>
      <c r="K1228" s="8" t="s">
        <v>178</v>
      </c>
      <c r="L1228" s="18" t="str">
        <f>VLOOKUP(D1228,Products!$A:$C,3,FALSE)</f>
        <v>Electronics</v>
      </c>
      <c r="N1228" s="18" t="str">
        <f>VLOOKUP(C1228,Customers!$A:$E,5,FALSE)</f>
        <v>Corporate</v>
      </c>
      <c r="O1228" s="18">
        <f>VLOOKUP(C1228,Customers!$A:$C,3,FALSE)</f>
        <v>52</v>
      </c>
    </row>
    <row r="1229" spans="1:19" ht="14.25" hidden="1" customHeight="1" x14ac:dyDescent="0.3">
      <c r="A1229" s="8" t="s">
        <v>2276</v>
      </c>
      <c r="B1229" s="9">
        <v>45607</v>
      </c>
      <c r="C1229" s="8" t="s">
        <v>670</v>
      </c>
      <c r="D1229" s="8" t="s">
        <v>131</v>
      </c>
      <c r="E1229" s="8" t="s">
        <v>185</v>
      </c>
      <c r="F1229" s="10">
        <v>7</v>
      </c>
      <c r="G1229" s="10">
        <v>2660</v>
      </c>
      <c r="H1229" s="10">
        <v>8.5</v>
      </c>
      <c r="I1229" s="10">
        <v>17037.3</v>
      </c>
      <c r="J1229" s="8" t="s">
        <v>41</v>
      </c>
      <c r="K1229" s="8" t="s">
        <v>136</v>
      </c>
      <c r="L1229" s="18" t="str">
        <f>VLOOKUP(D1229,Products!$A:$C,3,FALSE)</f>
        <v>Electronics</v>
      </c>
      <c r="N1229" s="18" t="str">
        <f>VLOOKUP(C1229,Customers!$A:$E,5,FALSE)</f>
        <v>Retail</v>
      </c>
      <c r="O1229" s="18">
        <f>VLOOKUP(C1229,Customers!$A:$C,3,FALSE)</f>
        <v>42</v>
      </c>
    </row>
    <row r="1230" spans="1:19" ht="14.25" customHeight="1" x14ac:dyDescent="0.3">
      <c r="A1230" s="8" t="s">
        <v>2277</v>
      </c>
      <c r="B1230" s="21">
        <v>45422</v>
      </c>
      <c r="C1230" s="8" t="s">
        <v>94</v>
      </c>
      <c r="D1230" s="8" t="s">
        <v>134</v>
      </c>
      <c r="E1230" s="8" t="s">
        <v>236</v>
      </c>
      <c r="F1230" s="10">
        <v>5</v>
      </c>
      <c r="G1230" s="10">
        <v>3160</v>
      </c>
      <c r="H1230" s="10">
        <v>13.4</v>
      </c>
      <c r="I1230" s="10">
        <v>13682.8</v>
      </c>
      <c r="J1230" s="8" t="s">
        <v>97</v>
      </c>
      <c r="K1230" s="8" t="s">
        <v>98</v>
      </c>
      <c r="L1230" s="18" t="str">
        <f>VLOOKUP(D1230,Products!$A:$C,3,FALSE)</f>
        <v>Apparel</v>
      </c>
      <c r="N1230" s="18" t="str">
        <f>VLOOKUP(C1230,Customers!$A:$E,5,FALSE)</f>
        <v>Retail</v>
      </c>
      <c r="O1230" s="18">
        <f>VLOOKUP(C1230,Customers!$A:$C,3,FALSE)</f>
        <v>39</v>
      </c>
      <c r="P1230" s="18" t="str">
        <f>VLOOKUP(E1229,Sales_Reps!$A:$C,3,FALSE)</f>
        <v>North</v>
      </c>
      <c r="Q1230" s="18" t="str">
        <f t="shared" ref="Q1230:Q1237" si="242">TEXT(B1229,"MMM-YY")</f>
        <v>Nov-24</v>
      </c>
      <c r="R1230">
        <f>VLOOKUP(D1230, Products!A:D, 4, FALSE)</f>
        <v>1886</v>
      </c>
      <c r="S1230">
        <f t="shared" ref="S1230:S1237" si="243">(G1230-R1230)/G1230</f>
        <v>0.4031645569620253</v>
      </c>
    </row>
    <row r="1231" spans="1:19" ht="14.25" customHeight="1" x14ac:dyDescent="0.3">
      <c r="A1231" s="8" t="s">
        <v>2278</v>
      </c>
      <c r="B1231" s="21">
        <v>45634</v>
      </c>
      <c r="C1231" s="8" t="s">
        <v>738</v>
      </c>
      <c r="D1231" s="8" t="s">
        <v>260</v>
      </c>
      <c r="E1231" s="8" t="s">
        <v>158</v>
      </c>
      <c r="F1231" s="10">
        <v>10</v>
      </c>
      <c r="G1231" s="10">
        <v>1010</v>
      </c>
      <c r="H1231" s="10">
        <v>14</v>
      </c>
      <c r="I1231" s="10">
        <v>8686</v>
      </c>
      <c r="J1231" s="8" t="s">
        <v>41</v>
      </c>
      <c r="K1231" s="8" t="s">
        <v>42</v>
      </c>
      <c r="L1231" s="18" t="str">
        <f>VLOOKUP(D1231,Products!$A:$C,3,FALSE)</f>
        <v>Sports</v>
      </c>
      <c r="N1231" s="18" t="str">
        <f>VLOOKUP(C1231,Customers!$A:$E,5,FALSE)</f>
        <v>Corporate</v>
      </c>
      <c r="O1231" s="18">
        <f>VLOOKUP(C1231,Customers!$A:$C,3,FALSE)</f>
        <v>33</v>
      </c>
      <c r="P1231" s="18" t="str">
        <f>VLOOKUP(E1230,Sales_Reps!$A:$C,3,FALSE)</f>
        <v>West</v>
      </c>
      <c r="Q1231" s="18" t="str">
        <f t="shared" si="242"/>
        <v>May-24</v>
      </c>
      <c r="R1231">
        <f>VLOOKUP(D1231, Products!A:D, 4, FALSE)</f>
        <v>516</v>
      </c>
      <c r="S1231">
        <f t="shared" si="243"/>
        <v>0.4891089108910891</v>
      </c>
    </row>
    <row r="1232" spans="1:19" ht="14.25" customHeight="1" x14ac:dyDescent="0.3">
      <c r="A1232" s="8" t="s">
        <v>2279</v>
      </c>
      <c r="B1232" s="21">
        <v>45376</v>
      </c>
      <c r="C1232" s="8" t="s">
        <v>183</v>
      </c>
      <c r="D1232" s="8" t="s">
        <v>789</v>
      </c>
      <c r="E1232" s="8" t="s">
        <v>200</v>
      </c>
      <c r="F1232" s="10">
        <v>3</v>
      </c>
      <c r="G1232" s="10">
        <v>1540</v>
      </c>
      <c r="H1232" s="10">
        <v>13.7</v>
      </c>
      <c r="I1232" s="10">
        <v>3987.06</v>
      </c>
      <c r="J1232" s="8" t="s">
        <v>97</v>
      </c>
      <c r="K1232" s="8" t="s">
        <v>119</v>
      </c>
      <c r="L1232" s="18" t="str">
        <f>VLOOKUP(D1232,Products!$A:$C,3,FALSE)</f>
        <v>Beauty</v>
      </c>
      <c r="N1232" s="18" t="str">
        <f>VLOOKUP(C1232,Customers!$A:$E,5,FALSE)</f>
        <v>SMB</v>
      </c>
      <c r="O1232" s="18">
        <f>VLOOKUP(C1232,Customers!$A:$C,3,FALSE)</f>
        <v>27</v>
      </c>
      <c r="P1232" s="18" t="str">
        <f>VLOOKUP(E1231,Sales_Reps!$A:$C,3,FALSE)</f>
        <v>East</v>
      </c>
      <c r="Q1232" s="18" t="str">
        <f t="shared" si="242"/>
        <v>Dec-24</v>
      </c>
      <c r="R1232">
        <f>VLOOKUP(D1232, Products!A:D, 4, FALSE)</f>
        <v>647</v>
      </c>
      <c r="S1232">
        <f t="shared" si="243"/>
        <v>0.57987012987012987</v>
      </c>
    </row>
    <row r="1233" spans="1:19" ht="14.25" customHeight="1" x14ac:dyDescent="0.3">
      <c r="A1233" s="8" t="s">
        <v>2280</v>
      </c>
      <c r="B1233" s="21">
        <v>45313</v>
      </c>
      <c r="C1233" s="8" t="s">
        <v>210</v>
      </c>
      <c r="D1233" s="8" t="s">
        <v>320</v>
      </c>
      <c r="E1233" s="8" t="s">
        <v>214</v>
      </c>
      <c r="F1233" s="10">
        <v>10</v>
      </c>
      <c r="G1233" s="10">
        <v>5100</v>
      </c>
      <c r="H1233" s="10">
        <v>13.8</v>
      </c>
      <c r="I1233" s="10">
        <v>43962</v>
      </c>
      <c r="J1233" s="8" t="s">
        <v>41</v>
      </c>
      <c r="K1233" s="8" t="s">
        <v>98</v>
      </c>
      <c r="L1233" s="18" t="str">
        <f>VLOOKUP(D1233,Products!$A:$C,3,FALSE)</f>
        <v>Beauty</v>
      </c>
      <c r="N1233" s="18" t="str">
        <f>VLOOKUP(C1233,Customers!$A:$E,5,FALSE)</f>
        <v>Retail</v>
      </c>
      <c r="O1233" s="18">
        <f>VLOOKUP(C1233,Customers!$A:$C,3,FALSE)</f>
        <v>26</v>
      </c>
      <c r="P1233" s="18" t="str">
        <f>VLOOKUP(E1232,Sales_Reps!$A:$C,3,FALSE)</f>
        <v>North</v>
      </c>
      <c r="Q1233" s="18" t="str">
        <f t="shared" si="242"/>
        <v>Mar-24</v>
      </c>
      <c r="R1233">
        <f>VLOOKUP(D1233, Products!A:D, 4, FALSE)</f>
        <v>2237</v>
      </c>
      <c r="S1233">
        <f t="shared" si="243"/>
        <v>0.56137254901960787</v>
      </c>
    </row>
    <row r="1234" spans="1:19" ht="14.25" customHeight="1" x14ac:dyDescent="0.3">
      <c r="A1234" s="8" t="s">
        <v>445</v>
      </c>
      <c r="B1234" s="21">
        <v>45457</v>
      </c>
      <c r="C1234" s="8" t="s">
        <v>294</v>
      </c>
      <c r="D1234" s="8" t="s">
        <v>140</v>
      </c>
      <c r="E1234" s="8" t="s">
        <v>143</v>
      </c>
      <c r="F1234" s="10">
        <v>3</v>
      </c>
      <c r="G1234" s="10">
        <v>1430</v>
      </c>
      <c r="H1234" s="10">
        <v>1.5</v>
      </c>
      <c r="I1234" s="10">
        <v>4225.6499999999996</v>
      </c>
      <c r="J1234" s="8" t="s">
        <v>41</v>
      </c>
      <c r="K1234" s="8" t="s">
        <v>98</v>
      </c>
      <c r="L1234" s="18" t="str">
        <f>VLOOKUP(D1234,Products!$A:$C,3,FALSE)</f>
        <v>Electronics</v>
      </c>
      <c r="N1234" s="18" t="str">
        <f>VLOOKUP(C1234,Customers!$A:$E,5,FALSE)</f>
        <v>Retail</v>
      </c>
      <c r="O1234" s="18">
        <f>VLOOKUP(C1234,Customers!$A:$C,3,FALSE)</f>
        <v>22</v>
      </c>
      <c r="P1234" s="18" t="str">
        <f>VLOOKUP(E1233,Sales_Reps!$A:$C,3,FALSE)</f>
        <v>South</v>
      </c>
      <c r="Q1234" s="18" t="str">
        <f t="shared" si="242"/>
        <v>Jan-24</v>
      </c>
      <c r="R1234">
        <f>VLOOKUP(D1234, Products!A:D, 4, FALSE)</f>
        <v>861</v>
      </c>
      <c r="S1234">
        <f t="shared" si="243"/>
        <v>0.39790209790209791</v>
      </c>
    </row>
    <row r="1235" spans="1:19" ht="14.25" customHeight="1" x14ac:dyDescent="0.3">
      <c r="A1235" s="8" t="s">
        <v>2281</v>
      </c>
      <c r="B1235" s="21">
        <v>45620</v>
      </c>
      <c r="C1235" s="8" t="s">
        <v>229</v>
      </c>
      <c r="D1235" s="8" t="s">
        <v>163</v>
      </c>
      <c r="E1235" s="8" t="s">
        <v>745</v>
      </c>
      <c r="F1235" s="10">
        <v>8</v>
      </c>
      <c r="G1235" s="10">
        <v>5490</v>
      </c>
      <c r="H1235" s="10">
        <v>23.2</v>
      </c>
      <c r="I1235" s="10">
        <v>33730.559999999998</v>
      </c>
      <c r="J1235" s="8" t="s">
        <v>41</v>
      </c>
      <c r="K1235" s="8" t="s">
        <v>178</v>
      </c>
      <c r="L1235" s="18" t="str">
        <f>VLOOKUP(D1235,Products!$A:$C,3,FALSE)</f>
        <v>Home</v>
      </c>
      <c r="N1235" s="18" t="str">
        <f>VLOOKUP(C1235,Customers!$A:$E,5,FALSE)</f>
        <v>Retail</v>
      </c>
      <c r="O1235" s="18">
        <f>VLOOKUP(C1235,Customers!$A:$C,3,FALSE)</f>
        <v>31</v>
      </c>
      <c r="P1235" s="18" t="str">
        <f>VLOOKUP(E1234,Sales_Reps!$A:$C,3,FALSE)</f>
        <v>West</v>
      </c>
      <c r="Q1235" s="18" t="str">
        <f t="shared" si="242"/>
        <v>Jun-24</v>
      </c>
      <c r="R1235">
        <f>VLOOKUP(D1235, Products!A:D, 4, FALSE)</f>
        <v>2549</v>
      </c>
      <c r="S1235">
        <f t="shared" si="243"/>
        <v>0.53570127504553733</v>
      </c>
    </row>
    <row r="1236" spans="1:19" ht="14.25" customHeight="1" x14ac:dyDescent="0.3">
      <c r="A1236" s="8" t="s">
        <v>2282</v>
      </c>
      <c r="B1236" s="21">
        <v>45495</v>
      </c>
      <c r="C1236" s="8" t="s">
        <v>575</v>
      </c>
      <c r="D1236" s="8" t="s">
        <v>242</v>
      </c>
      <c r="E1236" s="8" t="s">
        <v>135</v>
      </c>
      <c r="F1236" s="10">
        <v>6</v>
      </c>
      <c r="G1236" s="10">
        <v>1650</v>
      </c>
      <c r="H1236" s="10">
        <v>16.8</v>
      </c>
      <c r="I1236" s="10">
        <v>8236.7999999999993</v>
      </c>
      <c r="J1236" s="8" t="s">
        <v>41</v>
      </c>
      <c r="K1236" s="8" t="s">
        <v>178</v>
      </c>
      <c r="L1236" s="18" t="str">
        <f>VLOOKUP(D1236,Products!$A:$C,3,FALSE)</f>
        <v>Beauty</v>
      </c>
      <c r="N1236" s="18" t="str">
        <f>VLOOKUP(C1236,Customers!$A:$E,5,FALSE)</f>
        <v>Retail</v>
      </c>
      <c r="O1236" s="18">
        <f>VLOOKUP(C1236,Customers!$A:$C,3,FALSE)</f>
        <v>22</v>
      </c>
      <c r="P1236" s="18" t="str">
        <f>VLOOKUP(E1235,Sales_Reps!$A:$C,3,FALSE)</f>
        <v>South</v>
      </c>
      <c r="Q1236" s="18" t="str">
        <f t="shared" si="242"/>
        <v>Nov-24</v>
      </c>
      <c r="R1236">
        <f>VLOOKUP(D1236, Products!A:D, 4, FALSE)</f>
        <v>1222</v>
      </c>
      <c r="S1236">
        <f t="shared" si="243"/>
        <v>0.2593939393939394</v>
      </c>
    </row>
    <row r="1237" spans="1:19" ht="14.25" customHeight="1" x14ac:dyDescent="0.3">
      <c r="A1237" s="8" t="s">
        <v>2283</v>
      </c>
      <c r="B1237" s="21">
        <v>45460</v>
      </c>
      <c r="C1237" s="8" t="s">
        <v>681</v>
      </c>
      <c r="D1237" s="8" t="s">
        <v>867</v>
      </c>
      <c r="E1237" s="8" t="s">
        <v>167</v>
      </c>
      <c r="F1237" s="10">
        <v>3</v>
      </c>
      <c r="G1237" s="10">
        <v>3020</v>
      </c>
      <c r="H1237" s="10">
        <v>14.5</v>
      </c>
      <c r="I1237" s="10">
        <v>7746.3</v>
      </c>
      <c r="J1237" s="8" t="s">
        <v>41</v>
      </c>
      <c r="K1237" s="8" t="s">
        <v>178</v>
      </c>
      <c r="L1237" s="18" t="str">
        <f>VLOOKUP(D1237,Products!$A:$C,3,FALSE)</f>
        <v>Beauty</v>
      </c>
      <c r="N1237" s="18" t="str">
        <f>VLOOKUP(C1237,Customers!$A:$E,5,FALSE)</f>
        <v>SMB</v>
      </c>
      <c r="O1237" s="18">
        <f>VLOOKUP(C1237,Customers!$A:$C,3,FALSE)</f>
        <v>31</v>
      </c>
      <c r="P1237" s="18" t="str">
        <f>VLOOKUP(E1236,Sales_Reps!$A:$C,3,FALSE)</f>
        <v>North</v>
      </c>
      <c r="Q1237" s="18" t="str">
        <f t="shared" si="242"/>
        <v>Jul-24</v>
      </c>
      <c r="R1237">
        <f>VLOOKUP(D1237, Products!A:D, 4, FALSE)</f>
        <v>1626</v>
      </c>
      <c r="S1237">
        <f t="shared" si="243"/>
        <v>0.46158940397350995</v>
      </c>
    </row>
    <row r="1238" spans="1:19" ht="14.25" hidden="1" customHeight="1" x14ac:dyDescent="0.3">
      <c r="A1238" s="8" t="s">
        <v>2284</v>
      </c>
      <c r="B1238" s="9">
        <v>45438</v>
      </c>
      <c r="C1238" s="8" t="s">
        <v>471</v>
      </c>
      <c r="D1238" s="8" t="s">
        <v>789</v>
      </c>
      <c r="E1238" s="8" t="s">
        <v>200</v>
      </c>
      <c r="F1238" s="10">
        <v>5</v>
      </c>
      <c r="G1238" s="10">
        <v>1540</v>
      </c>
      <c r="H1238" s="10">
        <v>27.2</v>
      </c>
      <c r="I1238" s="10">
        <v>5605.6</v>
      </c>
      <c r="J1238" s="8" t="s">
        <v>41</v>
      </c>
      <c r="K1238" s="8" t="s">
        <v>136</v>
      </c>
      <c r="L1238" s="18" t="str">
        <f>VLOOKUP(D1238,Products!$A:$C,3,FALSE)</f>
        <v>Beauty</v>
      </c>
      <c r="N1238" s="18" t="str">
        <f>VLOOKUP(C1238,Customers!$A:$E,5,FALSE)</f>
        <v>SMB</v>
      </c>
      <c r="O1238" s="18">
        <f>VLOOKUP(C1238,Customers!$A:$C,3,FALSE)</f>
        <v>54</v>
      </c>
    </row>
    <row r="1239" spans="1:19" ht="14.25" hidden="1" customHeight="1" x14ac:dyDescent="0.3">
      <c r="A1239" s="8" t="s">
        <v>1432</v>
      </c>
      <c r="B1239" s="9">
        <v>45307</v>
      </c>
      <c r="C1239" s="8" t="s">
        <v>460</v>
      </c>
      <c r="D1239" s="8" t="s">
        <v>959</v>
      </c>
      <c r="E1239" s="8" t="s">
        <v>208</v>
      </c>
      <c r="F1239" s="10">
        <v>4</v>
      </c>
      <c r="G1239" s="10">
        <v>6940</v>
      </c>
      <c r="H1239" s="10">
        <v>3.2</v>
      </c>
      <c r="I1239" s="10">
        <v>26871.68</v>
      </c>
      <c r="J1239" s="8" t="s">
        <v>41</v>
      </c>
      <c r="K1239" s="8" t="s">
        <v>42</v>
      </c>
      <c r="L1239" s="18" t="str">
        <f>VLOOKUP(D1239,Products!$A:$C,3,FALSE)</f>
        <v>Sports</v>
      </c>
      <c r="N1239" s="18" t="str">
        <f>VLOOKUP(C1239,Customers!$A:$E,5,FALSE)</f>
        <v>SMB</v>
      </c>
      <c r="O1239" s="18">
        <f>VLOOKUP(C1239,Customers!$A:$C,3,FALSE)</f>
        <v>60</v>
      </c>
    </row>
    <row r="1240" spans="1:19" ht="14.25" customHeight="1" x14ac:dyDescent="0.3">
      <c r="A1240" s="8" t="s">
        <v>2285</v>
      </c>
      <c r="B1240" s="21">
        <v>45517</v>
      </c>
      <c r="C1240" s="8" t="s">
        <v>142</v>
      </c>
      <c r="D1240" s="8" t="s">
        <v>320</v>
      </c>
      <c r="E1240" s="8" t="s">
        <v>121</v>
      </c>
      <c r="F1240" s="10">
        <v>2</v>
      </c>
      <c r="G1240" s="10">
        <v>5100</v>
      </c>
      <c r="H1240" s="10">
        <v>18.100000000000001</v>
      </c>
      <c r="I1240" s="10">
        <v>8353.7999999999993</v>
      </c>
      <c r="J1240" s="8" t="s">
        <v>41</v>
      </c>
      <c r="K1240" s="8" t="s">
        <v>146</v>
      </c>
      <c r="L1240" s="18" t="str">
        <f>VLOOKUP(D1240,Products!$A:$C,3,FALSE)</f>
        <v>Beauty</v>
      </c>
      <c r="N1240" s="18" t="str">
        <f>VLOOKUP(C1240,Customers!$A:$E,5,FALSE)</f>
        <v>Retail</v>
      </c>
      <c r="O1240" s="18">
        <f>VLOOKUP(C1240,Customers!$A:$C,3,FALSE)</f>
        <v>36</v>
      </c>
      <c r="P1240" s="18" t="str">
        <f>VLOOKUP(E1239,Sales_Reps!$A:$C,3,FALSE)</f>
        <v>East</v>
      </c>
      <c r="Q1240" s="18" t="str">
        <f t="shared" ref="Q1240:Q1241" si="244">TEXT(B1239,"MMM-YY")</f>
        <v>Jan-24</v>
      </c>
      <c r="R1240">
        <f>VLOOKUP(D1240, Products!A:D, 4, FALSE)</f>
        <v>2237</v>
      </c>
      <c r="S1240">
        <f t="shared" ref="S1240:S1241" si="245">(G1240-R1240)/G1240</f>
        <v>0.56137254901960787</v>
      </c>
    </row>
    <row r="1241" spans="1:19" ht="14.25" customHeight="1" x14ac:dyDescent="0.3">
      <c r="A1241" s="8" t="s">
        <v>2286</v>
      </c>
      <c r="B1241" s="21">
        <v>45575</v>
      </c>
      <c r="C1241" s="8" t="s">
        <v>738</v>
      </c>
      <c r="D1241" s="8" t="s">
        <v>230</v>
      </c>
      <c r="E1241" s="8" t="s">
        <v>221</v>
      </c>
      <c r="F1241" s="10">
        <v>6</v>
      </c>
      <c r="G1241" s="10">
        <v>5330</v>
      </c>
      <c r="H1241" s="10">
        <v>0.3</v>
      </c>
      <c r="I1241" s="10">
        <v>31884.06</v>
      </c>
      <c r="J1241" s="8" t="s">
        <v>97</v>
      </c>
      <c r="K1241" s="8" t="s">
        <v>42</v>
      </c>
      <c r="L1241" s="18" t="str">
        <f>VLOOKUP(D1241,Products!$A:$C,3,FALSE)</f>
        <v>Electronics</v>
      </c>
      <c r="N1241" s="18" t="str">
        <f>VLOOKUP(C1241,Customers!$A:$E,5,FALSE)</f>
        <v>Corporate</v>
      </c>
      <c r="O1241" s="18">
        <f>VLOOKUP(C1241,Customers!$A:$C,3,FALSE)</f>
        <v>33</v>
      </c>
      <c r="P1241" s="18" t="str">
        <f>VLOOKUP(E1240,Sales_Reps!$A:$C,3,FALSE)</f>
        <v>East</v>
      </c>
      <c r="Q1241" s="18" t="str">
        <f t="shared" si="244"/>
        <v>Aug-24</v>
      </c>
      <c r="R1241">
        <f>VLOOKUP(D1241, Products!A:D, 4, FALSE)</f>
        <v>2405</v>
      </c>
      <c r="S1241">
        <f t="shared" si="245"/>
        <v>0.54878048780487809</v>
      </c>
    </row>
    <row r="1242" spans="1:19" ht="14.25" hidden="1" customHeight="1" x14ac:dyDescent="0.3">
      <c r="A1242" s="8" t="s">
        <v>2287</v>
      </c>
      <c r="B1242" s="9">
        <v>45449</v>
      </c>
      <c r="C1242" s="8" t="s">
        <v>733</v>
      </c>
      <c r="D1242" s="8" t="s">
        <v>152</v>
      </c>
      <c r="E1242" s="8" t="s">
        <v>236</v>
      </c>
      <c r="F1242" s="10">
        <v>5</v>
      </c>
      <c r="G1242" s="10">
        <v>960</v>
      </c>
      <c r="H1242" s="10">
        <v>16.600000000000001</v>
      </c>
      <c r="I1242" s="10">
        <v>4003.2</v>
      </c>
      <c r="J1242" s="8" t="s">
        <v>41</v>
      </c>
      <c r="K1242" s="8" t="s">
        <v>136</v>
      </c>
      <c r="L1242" s="18" t="str">
        <f>VLOOKUP(D1242,Products!$A:$C,3,FALSE)</f>
        <v>Sports</v>
      </c>
      <c r="N1242" s="18" t="str">
        <f>VLOOKUP(C1242,Customers!$A:$E,5,FALSE)</f>
        <v>SMB</v>
      </c>
      <c r="O1242" s="18">
        <f>VLOOKUP(C1242,Customers!$A:$C,3,FALSE)</f>
        <v>44</v>
      </c>
    </row>
    <row r="1243" spans="1:19" ht="14.25" hidden="1" customHeight="1" x14ac:dyDescent="0.3">
      <c r="A1243" s="8" t="s">
        <v>2288</v>
      </c>
      <c r="B1243" s="9">
        <v>45481</v>
      </c>
      <c r="C1243" s="8" t="s">
        <v>683</v>
      </c>
      <c r="D1243" s="8" t="s">
        <v>37</v>
      </c>
      <c r="E1243" s="8" t="s">
        <v>196</v>
      </c>
      <c r="F1243" s="10">
        <v>7</v>
      </c>
      <c r="G1243" s="10">
        <v>3620</v>
      </c>
      <c r="H1243" s="10">
        <v>5.4</v>
      </c>
      <c r="I1243" s="10">
        <v>23971.64</v>
      </c>
      <c r="J1243" s="8" t="s">
        <v>41</v>
      </c>
      <c r="K1243" s="8" t="s">
        <v>178</v>
      </c>
      <c r="L1243" s="18" t="str">
        <f>VLOOKUP(D1243,Products!$A:$C,3,FALSE)</f>
        <v>Apparel</v>
      </c>
      <c r="N1243" s="18" t="str">
        <f>VLOOKUP(C1243,Customers!$A:$E,5,FALSE)</f>
        <v>Corporate</v>
      </c>
      <c r="O1243" s="18">
        <f>VLOOKUP(C1243,Customers!$A:$C,3,FALSE)</f>
        <v>46</v>
      </c>
    </row>
    <row r="1244" spans="1:19" ht="14.25" customHeight="1" x14ac:dyDescent="0.3">
      <c r="A1244" s="8" t="s">
        <v>2289</v>
      </c>
      <c r="B1244" s="21">
        <v>45368</v>
      </c>
      <c r="C1244" s="8" t="s">
        <v>808</v>
      </c>
      <c r="D1244" s="8" t="s">
        <v>184</v>
      </c>
      <c r="E1244" s="8" t="s">
        <v>125</v>
      </c>
      <c r="F1244" s="10">
        <v>6</v>
      </c>
      <c r="G1244" s="10">
        <v>2600</v>
      </c>
      <c r="H1244" s="10">
        <v>25.9</v>
      </c>
      <c r="I1244" s="10">
        <v>11559.6</v>
      </c>
      <c r="J1244" s="8" t="s">
        <v>41</v>
      </c>
      <c r="K1244" s="8" t="s">
        <v>98</v>
      </c>
      <c r="L1244" s="18" t="str">
        <f>VLOOKUP(D1244,Products!$A:$C,3,FALSE)</f>
        <v>Electronics</v>
      </c>
      <c r="N1244" s="18" t="str">
        <f>VLOOKUP(C1244,Customers!$A:$E,5,FALSE)</f>
        <v>Retail</v>
      </c>
      <c r="O1244" s="18">
        <f>VLOOKUP(C1244,Customers!$A:$C,3,FALSE)</f>
        <v>35</v>
      </c>
      <c r="P1244" s="18" t="str">
        <f>VLOOKUP(E1243,Sales_Reps!$A:$C,3,FALSE)</f>
        <v>East</v>
      </c>
      <c r="Q1244" s="18" t="str">
        <f>TEXT(B1243,"MMM-YY")</f>
        <v>Jul-24</v>
      </c>
      <c r="R1244">
        <f>VLOOKUP(D1244, Products!A:D, 4, FALSE)</f>
        <v>1052</v>
      </c>
      <c r="S1244">
        <f>(G1244-R1244)/G1244</f>
        <v>0.5953846153846154</v>
      </c>
    </row>
    <row r="1245" spans="1:19" ht="14.25" hidden="1" customHeight="1" x14ac:dyDescent="0.3">
      <c r="A1245" s="8" t="s">
        <v>2290</v>
      </c>
      <c r="B1245" s="9">
        <v>45298</v>
      </c>
      <c r="C1245" s="8" t="s">
        <v>610</v>
      </c>
      <c r="D1245" s="8" t="s">
        <v>131</v>
      </c>
      <c r="E1245" s="8" t="s">
        <v>745</v>
      </c>
      <c r="F1245" s="10">
        <v>7</v>
      </c>
      <c r="G1245" s="10">
        <v>2660</v>
      </c>
      <c r="H1245" s="10">
        <v>20.2</v>
      </c>
      <c r="I1245" s="10">
        <v>14858.76</v>
      </c>
      <c r="J1245" s="8" t="s">
        <v>41</v>
      </c>
      <c r="K1245" s="8" t="s">
        <v>42</v>
      </c>
      <c r="L1245" s="18" t="str">
        <f>VLOOKUP(D1245,Products!$A:$C,3,FALSE)</f>
        <v>Electronics</v>
      </c>
      <c r="N1245" s="18" t="str">
        <f>VLOOKUP(C1245,Customers!$A:$E,5,FALSE)</f>
        <v>Retail</v>
      </c>
      <c r="O1245" s="18">
        <f>VLOOKUP(C1245,Customers!$A:$C,3,FALSE)</f>
        <v>49</v>
      </c>
    </row>
    <row r="1246" spans="1:19" ht="14.25" hidden="1" customHeight="1" x14ac:dyDescent="0.3">
      <c r="A1246" s="8" t="s">
        <v>2291</v>
      </c>
      <c r="B1246" s="9">
        <v>45472</v>
      </c>
      <c r="C1246" s="8" t="s">
        <v>746</v>
      </c>
      <c r="D1246" s="8" t="s">
        <v>227</v>
      </c>
      <c r="E1246" s="8" t="s">
        <v>196</v>
      </c>
      <c r="F1246" s="10">
        <v>9</v>
      </c>
      <c r="G1246" s="10">
        <v>2480</v>
      </c>
      <c r="H1246" s="10">
        <v>14.7</v>
      </c>
      <c r="I1246" s="10">
        <v>19038.96</v>
      </c>
      <c r="J1246" s="8" t="s">
        <v>41</v>
      </c>
      <c r="K1246" s="8" t="s">
        <v>146</v>
      </c>
      <c r="L1246" s="18" t="str">
        <f>VLOOKUP(D1246,Products!$A:$C,3,FALSE)</f>
        <v>Apparel</v>
      </c>
      <c r="N1246" s="18" t="str">
        <f>VLOOKUP(C1246,Customers!$A:$E,5,FALSE)</f>
        <v>SMB</v>
      </c>
      <c r="O1246" s="18">
        <f>VLOOKUP(C1246,Customers!$A:$C,3,FALSE)</f>
        <v>65</v>
      </c>
    </row>
    <row r="1247" spans="1:19" ht="14.25" customHeight="1" x14ac:dyDescent="0.3">
      <c r="A1247" s="8" t="s">
        <v>2292</v>
      </c>
      <c r="B1247" s="21">
        <v>45568</v>
      </c>
      <c r="C1247" s="8" t="s">
        <v>645</v>
      </c>
      <c r="D1247" s="8" t="s">
        <v>131</v>
      </c>
      <c r="E1247" s="8" t="s">
        <v>301</v>
      </c>
      <c r="F1247" s="10">
        <v>4</v>
      </c>
      <c r="G1247" s="10">
        <v>2660</v>
      </c>
      <c r="H1247" s="10">
        <v>8.9</v>
      </c>
      <c r="I1247" s="10">
        <v>9693.0400000000009</v>
      </c>
      <c r="J1247" s="8" t="s">
        <v>41</v>
      </c>
      <c r="K1247" s="8" t="s">
        <v>119</v>
      </c>
      <c r="L1247" s="18" t="str">
        <f>VLOOKUP(D1247,Products!$A:$C,3,FALSE)</f>
        <v>Electronics</v>
      </c>
      <c r="N1247" s="18" t="str">
        <f>VLOOKUP(C1247,Customers!$A:$E,5,FALSE)</f>
        <v>SMB</v>
      </c>
      <c r="O1247" s="18">
        <f>VLOOKUP(C1247,Customers!$A:$C,3,FALSE)</f>
        <v>38</v>
      </c>
      <c r="P1247" s="18" t="str">
        <f>VLOOKUP(E1246,Sales_Reps!$A:$C,3,FALSE)</f>
        <v>East</v>
      </c>
      <c r="Q1247" s="18" t="str">
        <f t="shared" ref="Q1247:Q1248" si="246">TEXT(B1246,"MMM-YY")</f>
        <v>Jun-24</v>
      </c>
      <c r="R1247">
        <f>VLOOKUP(D1247, Products!A:D, 4, FALSE)</f>
        <v>1259</v>
      </c>
      <c r="S1247">
        <f t="shared" ref="S1247:S1248" si="247">(G1247-R1247)/G1247</f>
        <v>0.52669172932330832</v>
      </c>
    </row>
    <row r="1248" spans="1:19" ht="14.25" customHeight="1" x14ac:dyDescent="0.3">
      <c r="A1248" s="8" t="s">
        <v>420</v>
      </c>
      <c r="B1248" s="21">
        <v>45540</v>
      </c>
      <c r="C1248" s="8" t="s">
        <v>424</v>
      </c>
      <c r="D1248" s="8" t="s">
        <v>230</v>
      </c>
      <c r="E1248" s="8" t="s">
        <v>177</v>
      </c>
      <c r="F1248" s="10">
        <v>1</v>
      </c>
      <c r="G1248" s="10">
        <v>5330</v>
      </c>
      <c r="H1248" s="10">
        <v>26.8</v>
      </c>
      <c r="I1248" s="10">
        <v>3901.56</v>
      </c>
      <c r="J1248" s="8" t="s">
        <v>41</v>
      </c>
      <c r="K1248" s="8" t="s">
        <v>136</v>
      </c>
      <c r="L1248" s="18" t="str">
        <f>VLOOKUP(D1248,Products!$A:$C,3,FALSE)</f>
        <v>Electronics</v>
      </c>
      <c r="N1248" s="18" t="str">
        <f>VLOOKUP(C1248,Customers!$A:$E,5,FALSE)</f>
        <v>Retail</v>
      </c>
      <c r="O1248" s="18">
        <f>VLOOKUP(C1248,Customers!$A:$C,3,FALSE)</f>
        <v>35</v>
      </c>
      <c r="P1248" s="18" t="str">
        <f>VLOOKUP(E1247,Sales_Reps!$A:$C,3,FALSE)</f>
        <v>South</v>
      </c>
      <c r="Q1248" s="18" t="str">
        <f t="shared" si="246"/>
        <v>Oct-24</v>
      </c>
      <c r="R1248">
        <f>VLOOKUP(D1248, Products!A:D, 4, FALSE)</f>
        <v>2405</v>
      </c>
      <c r="S1248">
        <f t="shared" si="247"/>
        <v>0.54878048780487809</v>
      </c>
    </row>
    <row r="1249" spans="1:19" ht="14.25" hidden="1" customHeight="1" x14ac:dyDescent="0.3">
      <c r="A1249" s="8" t="s">
        <v>2293</v>
      </c>
      <c r="B1249" s="9">
        <v>45544</v>
      </c>
      <c r="C1249" s="8" t="s">
        <v>507</v>
      </c>
      <c r="D1249" s="8" t="s">
        <v>219</v>
      </c>
      <c r="E1249" s="8" t="s">
        <v>619</v>
      </c>
      <c r="F1249" s="10">
        <v>6</v>
      </c>
      <c r="G1249" s="10">
        <v>3450</v>
      </c>
      <c r="H1249" s="10">
        <v>19.2</v>
      </c>
      <c r="I1249" s="10">
        <v>16725.599999999999</v>
      </c>
      <c r="J1249" s="8" t="s">
        <v>97</v>
      </c>
      <c r="K1249" s="8" t="s">
        <v>136</v>
      </c>
      <c r="L1249" s="18" t="str">
        <f>VLOOKUP(D1249,Products!$A:$C,3,FALSE)</f>
        <v>Sports</v>
      </c>
      <c r="N1249" s="18" t="str">
        <f>VLOOKUP(C1249,Customers!$A:$E,5,FALSE)</f>
        <v>Retail</v>
      </c>
      <c r="O1249" s="18">
        <f>VLOOKUP(C1249,Customers!$A:$C,3,FALSE)</f>
        <v>53</v>
      </c>
    </row>
    <row r="1250" spans="1:19" ht="14.25" customHeight="1" x14ac:dyDescent="0.3">
      <c r="A1250" s="8" t="s">
        <v>2294</v>
      </c>
      <c r="B1250" s="21">
        <v>45334</v>
      </c>
      <c r="C1250" s="8" t="s">
        <v>233</v>
      </c>
      <c r="D1250" s="8" t="s">
        <v>199</v>
      </c>
      <c r="E1250" s="8" t="s">
        <v>145</v>
      </c>
      <c r="F1250" s="10">
        <v>10</v>
      </c>
      <c r="G1250" s="10">
        <v>190</v>
      </c>
      <c r="H1250" s="10">
        <v>18.100000000000001</v>
      </c>
      <c r="I1250" s="10">
        <v>1556.1</v>
      </c>
      <c r="J1250" s="8" t="s">
        <v>41</v>
      </c>
      <c r="K1250" s="8" t="s">
        <v>146</v>
      </c>
      <c r="L1250" s="18" t="str">
        <f>VLOOKUP(D1250,Products!$A:$C,3,FALSE)</f>
        <v>Sports</v>
      </c>
      <c r="N1250" s="18" t="str">
        <f>VLOOKUP(C1250,Customers!$A:$E,5,FALSE)</f>
        <v>Retail</v>
      </c>
      <c r="O1250" s="18">
        <f>VLOOKUP(C1250,Customers!$A:$C,3,FALSE)</f>
        <v>34</v>
      </c>
      <c r="P1250" s="18" t="str">
        <f>VLOOKUP(E1249,Sales_Reps!$A:$C,3,FALSE)</f>
        <v>West</v>
      </c>
      <c r="Q1250" s="18" t="str">
        <f t="shared" ref="Q1250:Q1251" si="248">TEXT(B1249,"MMM-YY")</f>
        <v>Sep-24</v>
      </c>
      <c r="R1250">
        <f>VLOOKUP(D1250, Products!A:D, 4, FALSE)</f>
        <v>147</v>
      </c>
      <c r="S1250">
        <f t="shared" ref="S1250:S1251" si="249">(G1250-R1250)/G1250</f>
        <v>0.22631578947368422</v>
      </c>
    </row>
    <row r="1251" spans="1:19" ht="14.25" customHeight="1" x14ac:dyDescent="0.3">
      <c r="A1251" s="8" t="s">
        <v>2295</v>
      </c>
      <c r="B1251" s="21">
        <v>45584</v>
      </c>
      <c r="C1251" s="8" t="s">
        <v>679</v>
      </c>
      <c r="D1251" s="8" t="s">
        <v>120</v>
      </c>
      <c r="E1251" s="8" t="s">
        <v>214</v>
      </c>
      <c r="F1251" s="10">
        <v>9</v>
      </c>
      <c r="G1251" s="10">
        <v>3970</v>
      </c>
      <c r="H1251" s="10">
        <v>18.2</v>
      </c>
      <c r="I1251" s="10">
        <v>29227.14</v>
      </c>
      <c r="J1251" s="8" t="s">
        <v>97</v>
      </c>
      <c r="K1251" s="8" t="s">
        <v>98</v>
      </c>
      <c r="L1251" s="18" t="str">
        <f>VLOOKUP(D1251,Products!$A:$C,3,FALSE)</f>
        <v>Electronics</v>
      </c>
      <c r="N1251" s="18" t="str">
        <f>VLOOKUP(C1251,Customers!$A:$E,5,FALSE)</f>
        <v>Corporate</v>
      </c>
      <c r="O1251" s="18">
        <f>VLOOKUP(C1251,Customers!$A:$C,3,FALSE)</f>
        <v>22</v>
      </c>
      <c r="P1251" s="18" t="str">
        <f>VLOOKUP(E1250,Sales_Reps!$A:$C,3,FALSE)</f>
        <v>West</v>
      </c>
      <c r="Q1251" s="18" t="str">
        <f t="shared" si="248"/>
        <v>Feb-24</v>
      </c>
      <c r="R1251">
        <f>VLOOKUP(D1251, Products!A:D, 4, FALSE)</f>
        <v>2865</v>
      </c>
      <c r="S1251">
        <f t="shared" si="249"/>
        <v>0.27833753148614609</v>
      </c>
    </row>
    <row r="1252" spans="1:19" ht="14.25" hidden="1" customHeight="1" x14ac:dyDescent="0.3">
      <c r="A1252" s="8" t="s">
        <v>2296</v>
      </c>
      <c r="B1252" s="9">
        <v>45404</v>
      </c>
      <c r="C1252" s="8" t="s">
        <v>175</v>
      </c>
      <c r="D1252" s="8" t="s">
        <v>839</v>
      </c>
      <c r="E1252" s="8" t="s">
        <v>261</v>
      </c>
      <c r="F1252" s="10">
        <v>4</v>
      </c>
      <c r="G1252" s="10">
        <v>4610</v>
      </c>
      <c r="H1252" s="10">
        <v>15.1</v>
      </c>
      <c r="I1252" s="10">
        <v>15655.56</v>
      </c>
      <c r="J1252" s="8" t="s">
        <v>147</v>
      </c>
      <c r="K1252" s="8" t="s">
        <v>178</v>
      </c>
      <c r="L1252" s="18" t="str">
        <f>VLOOKUP(D1252,Products!$A:$C,3,FALSE)</f>
        <v>Home</v>
      </c>
      <c r="N1252" s="18" t="str">
        <f>VLOOKUP(C1252,Customers!$A:$E,5,FALSE)</f>
        <v>Retail</v>
      </c>
      <c r="O1252" s="18">
        <f>VLOOKUP(C1252,Customers!$A:$C,3,FALSE)</f>
        <v>60</v>
      </c>
    </row>
    <row r="1253" spans="1:19" ht="14.25" hidden="1" customHeight="1" x14ac:dyDescent="0.3">
      <c r="A1253" s="8" t="s">
        <v>2297</v>
      </c>
      <c r="B1253" s="9">
        <v>45476</v>
      </c>
      <c r="C1253" s="8" t="s">
        <v>713</v>
      </c>
      <c r="D1253" s="8" t="s">
        <v>896</v>
      </c>
      <c r="E1253" s="8" t="s">
        <v>145</v>
      </c>
      <c r="F1253" s="10">
        <v>2</v>
      </c>
      <c r="G1253" s="10">
        <v>620</v>
      </c>
      <c r="H1253" s="10">
        <v>3.3</v>
      </c>
      <c r="I1253" s="10">
        <v>1199.08</v>
      </c>
      <c r="J1253" s="8" t="s">
        <v>41</v>
      </c>
      <c r="K1253" s="8" t="s">
        <v>146</v>
      </c>
      <c r="L1253" s="18" t="str">
        <f>VLOOKUP(D1253,Products!$A:$C,3,FALSE)</f>
        <v>Apparel</v>
      </c>
      <c r="N1253" s="18" t="str">
        <f>VLOOKUP(C1253,Customers!$A:$E,5,FALSE)</f>
        <v>Retail</v>
      </c>
      <c r="O1253" s="18">
        <f>VLOOKUP(C1253,Customers!$A:$C,3,FALSE)</f>
        <v>50</v>
      </c>
    </row>
    <row r="1254" spans="1:19" ht="14.25" hidden="1" customHeight="1" x14ac:dyDescent="0.3">
      <c r="A1254" s="8" t="s">
        <v>2298</v>
      </c>
      <c r="B1254" s="9">
        <v>45481</v>
      </c>
      <c r="C1254" s="8" t="s">
        <v>324</v>
      </c>
      <c r="D1254" s="8" t="s">
        <v>789</v>
      </c>
      <c r="E1254" s="8" t="s">
        <v>145</v>
      </c>
      <c r="F1254" s="10">
        <v>7</v>
      </c>
      <c r="G1254" s="10">
        <v>1540</v>
      </c>
      <c r="H1254" s="10">
        <v>27.5</v>
      </c>
      <c r="I1254" s="10">
        <v>7815.5</v>
      </c>
      <c r="J1254" s="8" t="s">
        <v>41</v>
      </c>
      <c r="K1254" s="8" t="s">
        <v>136</v>
      </c>
      <c r="L1254" s="18" t="str">
        <f>VLOOKUP(D1254,Products!$A:$C,3,FALSE)</f>
        <v>Beauty</v>
      </c>
      <c r="N1254" s="18" t="str">
        <f>VLOOKUP(C1254,Customers!$A:$E,5,FALSE)</f>
        <v>Corporate</v>
      </c>
      <c r="O1254" s="18">
        <f>VLOOKUP(C1254,Customers!$A:$C,3,FALSE)</f>
        <v>43</v>
      </c>
    </row>
    <row r="1255" spans="1:19" ht="14.25" customHeight="1" x14ac:dyDescent="0.3">
      <c r="A1255" s="8" t="s">
        <v>2299</v>
      </c>
      <c r="B1255" s="21">
        <v>45480</v>
      </c>
      <c r="C1255" s="8" t="s">
        <v>294</v>
      </c>
      <c r="D1255" s="8" t="s">
        <v>116</v>
      </c>
      <c r="E1255" s="8" t="s">
        <v>121</v>
      </c>
      <c r="F1255" s="10">
        <v>10</v>
      </c>
      <c r="G1255" s="10">
        <v>470</v>
      </c>
      <c r="H1255" s="10">
        <v>3.9</v>
      </c>
      <c r="I1255" s="10">
        <v>4516.7</v>
      </c>
      <c r="J1255" s="8" t="s">
        <v>41</v>
      </c>
      <c r="K1255" s="8" t="s">
        <v>98</v>
      </c>
      <c r="L1255" s="18" t="str">
        <f>VLOOKUP(D1255,Products!$A:$C,3,FALSE)</f>
        <v>Sports</v>
      </c>
      <c r="N1255" s="18" t="str">
        <f>VLOOKUP(C1255,Customers!$A:$E,5,FALSE)</f>
        <v>Retail</v>
      </c>
      <c r="O1255" s="18">
        <f>VLOOKUP(C1255,Customers!$A:$C,3,FALSE)</f>
        <v>22</v>
      </c>
      <c r="P1255" s="18" t="str">
        <f>VLOOKUP(E1254,Sales_Reps!$A:$C,3,FALSE)</f>
        <v>West</v>
      </c>
      <c r="Q1255" s="18" t="str">
        <f>TEXT(B1254,"MMM-YY")</f>
        <v>Jul-24</v>
      </c>
      <c r="R1255">
        <f>VLOOKUP(D1255, Products!A:D, 4, FALSE)</f>
        <v>302</v>
      </c>
      <c r="S1255">
        <f>(G1255-R1255)/G1255</f>
        <v>0.35744680851063831</v>
      </c>
    </row>
    <row r="1256" spans="1:19" ht="14.25" hidden="1" customHeight="1" x14ac:dyDescent="0.3">
      <c r="A1256" s="8" t="s">
        <v>2300</v>
      </c>
      <c r="B1256" s="9">
        <v>45603</v>
      </c>
      <c r="C1256" s="8" t="s">
        <v>332</v>
      </c>
      <c r="D1256" s="8" t="s">
        <v>283</v>
      </c>
      <c r="E1256" s="8" t="s">
        <v>261</v>
      </c>
      <c r="F1256" s="10">
        <v>5</v>
      </c>
      <c r="G1256" s="10">
        <v>4880</v>
      </c>
      <c r="H1256" s="10">
        <v>27.4</v>
      </c>
      <c r="I1256" s="10">
        <v>17714.400000000001</v>
      </c>
      <c r="J1256" s="8" t="s">
        <v>41</v>
      </c>
      <c r="K1256" s="8" t="s">
        <v>119</v>
      </c>
      <c r="L1256" s="18" t="str">
        <f>VLOOKUP(D1256,Products!$A:$C,3,FALSE)</f>
        <v>Beauty</v>
      </c>
      <c r="N1256" s="18" t="str">
        <f>VLOOKUP(C1256,Customers!$A:$E,5,FALSE)</f>
        <v>Retail</v>
      </c>
      <c r="O1256" s="18">
        <f>VLOOKUP(C1256,Customers!$A:$C,3,FALSE)</f>
        <v>47</v>
      </c>
    </row>
    <row r="1257" spans="1:19" ht="14.25" hidden="1" customHeight="1" x14ac:dyDescent="0.3">
      <c r="A1257" s="8" t="s">
        <v>2301</v>
      </c>
      <c r="B1257" s="9">
        <v>45548</v>
      </c>
      <c r="C1257" s="8" t="s">
        <v>399</v>
      </c>
      <c r="D1257" s="8" t="s">
        <v>954</v>
      </c>
      <c r="E1257" s="8" t="s">
        <v>236</v>
      </c>
      <c r="F1257" s="10">
        <v>1</v>
      </c>
      <c r="G1257" s="10">
        <v>5410</v>
      </c>
      <c r="H1257" s="10">
        <v>8.3000000000000007</v>
      </c>
      <c r="I1257" s="10">
        <v>4960.97</v>
      </c>
      <c r="J1257" s="8" t="s">
        <v>41</v>
      </c>
      <c r="K1257" s="8" t="s">
        <v>146</v>
      </c>
      <c r="L1257" s="18" t="str">
        <f>VLOOKUP(D1257,Products!$A:$C,3,FALSE)</f>
        <v>Sports</v>
      </c>
      <c r="N1257" s="18" t="str">
        <f>VLOOKUP(C1257,Customers!$A:$E,5,FALSE)</f>
        <v>SMB</v>
      </c>
      <c r="O1257" s="18">
        <f>VLOOKUP(C1257,Customers!$A:$C,3,FALSE)</f>
        <v>53</v>
      </c>
    </row>
    <row r="1258" spans="1:19" ht="14.25" hidden="1" customHeight="1" x14ac:dyDescent="0.3">
      <c r="A1258" s="8" t="s">
        <v>2302</v>
      </c>
      <c r="B1258" s="9">
        <v>45482</v>
      </c>
      <c r="C1258" s="8" t="s">
        <v>686</v>
      </c>
      <c r="D1258" s="8" t="s">
        <v>188</v>
      </c>
      <c r="E1258" s="8" t="s">
        <v>196</v>
      </c>
      <c r="F1258" s="10">
        <v>8</v>
      </c>
      <c r="G1258" s="10">
        <v>3870</v>
      </c>
      <c r="H1258" s="10">
        <v>9.3000000000000007</v>
      </c>
      <c r="I1258" s="10">
        <v>28080.720000000001</v>
      </c>
      <c r="J1258" s="8" t="s">
        <v>97</v>
      </c>
      <c r="K1258" s="8" t="s">
        <v>98</v>
      </c>
      <c r="L1258" s="18" t="str">
        <f>VLOOKUP(D1258,Products!$A:$C,3,FALSE)</f>
        <v>Electronics</v>
      </c>
      <c r="N1258" s="18" t="str">
        <f>VLOOKUP(C1258,Customers!$A:$E,5,FALSE)</f>
        <v>SMB</v>
      </c>
      <c r="O1258" s="18">
        <f>VLOOKUP(C1258,Customers!$A:$C,3,FALSE)</f>
        <v>55</v>
      </c>
    </row>
    <row r="1259" spans="1:19" ht="14.25" customHeight="1" x14ac:dyDescent="0.3">
      <c r="A1259" s="8" t="s">
        <v>2303</v>
      </c>
      <c r="B1259" s="21">
        <v>45457</v>
      </c>
      <c r="C1259" s="8" t="s">
        <v>288</v>
      </c>
      <c r="D1259" s="8" t="s">
        <v>181</v>
      </c>
      <c r="E1259" s="8" t="s">
        <v>121</v>
      </c>
      <c r="F1259" s="10">
        <v>10</v>
      </c>
      <c r="G1259" s="10">
        <v>2640</v>
      </c>
      <c r="H1259" s="10">
        <v>19.899999999999999</v>
      </c>
      <c r="I1259" s="10">
        <v>21146.400000000001</v>
      </c>
      <c r="J1259" s="8" t="s">
        <v>41</v>
      </c>
      <c r="K1259" s="8" t="s">
        <v>119</v>
      </c>
      <c r="L1259" s="18" t="str">
        <f>VLOOKUP(D1259,Products!$A:$C,3,FALSE)</f>
        <v>Electronics</v>
      </c>
      <c r="N1259" s="18" t="str">
        <f>VLOOKUP(C1259,Customers!$A:$E,5,FALSE)</f>
        <v>SMB</v>
      </c>
      <c r="O1259" s="18">
        <f>VLOOKUP(C1259,Customers!$A:$C,3,FALSE)</f>
        <v>26</v>
      </c>
      <c r="P1259" s="18" t="str">
        <f>VLOOKUP(E1258,Sales_Reps!$A:$C,3,FALSE)</f>
        <v>East</v>
      </c>
      <c r="Q1259" s="18" t="str">
        <f t="shared" ref="Q1259:Q1260" si="250">TEXT(B1258,"MMM-YY")</f>
        <v>Jul-24</v>
      </c>
      <c r="R1259">
        <f>VLOOKUP(D1259, Products!A:D, 4, FALSE)</f>
        <v>1149</v>
      </c>
      <c r="S1259">
        <f t="shared" ref="S1259:S1260" si="251">(G1259-R1259)/G1259</f>
        <v>0.56477272727272732</v>
      </c>
    </row>
    <row r="1260" spans="1:19" ht="14.25" customHeight="1" x14ac:dyDescent="0.3">
      <c r="A1260" s="8" t="s">
        <v>2304</v>
      </c>
      <c r="B1260" s="21">
        <v>45508</v>
      </c>
      <c r="C1260" s="8" t="s">
        <v>679</v>
      </c>
      <c r="D1260" s="8" t="s">
        <v>926</v>
      </c>
      <c r="E1260" s="8" t="s">
        <v>38</v>
      </c>
      <c r="F1260" s="10">
        <v>1</v>
      </c>
      <c r="G1260" s="10">
        <v>5080</v>
      </c>
      <c r="H1260" s="10">
        <v>8.6</v>
      </c>
      <c r="I1260" s="10">
        <v>4643.12</v>
      </c>
      <c r="J1260" s="8" t="s">
        <v>41</v>
      </c>
      <c r="K1260" s="8" t="s">
        <v>98</v>
      </c>
      <c r="L1260" s="18" t="str">
        <f>VLOOKUP(D1260,Products!$A:$C,3,FALSE)</f>
        <v>Home</v>
      </c>
      <c r="N1260" s="18" t="str">
        <f>VLOOKUP(C1260,Customers!$A:$E,5,FALSE)</f>
        <v>Corporate</v>
      </c>
      <c r="O1260" s="18">
        <f>VLOOKUP(C1260,Customers!$A:$C,3,FALSE)</f>
        <v>22</v>
      </c>
      <c r="P1260" s="18" t="str">
        <f>VLOOKUP(E1259,Sales_Reps!$A:$C,3,FALSE)</f>
        <v>East</v>
      </c>
      <c r="Q1260" s="18" t="str">
        <f t="shared" si="250"/>
        <v>Jun-24</v>
      </c>
      <c r="R1260">
        <f>VLOOKUP(D1260, Products!A:D, 4, FALSE)</f>
        <v>2459</v>
      </c>
      <c r="S1260">
        <f t="shared" si="251"/>
        <v>0.51594488188976373</v>
      </c>
    </row>
    <row r="1261" spans="1:19" ht="14.25" hidden="1" customHeight="1" x14ac:dyDescent="0.3">
      <c r="A1261" s="8" t="s">
        <v>2305</v>
      </c>
      <c r="B1261" s="9">
        <v>45399</v>
      </c>
      <c r="C1261" s="8" t="s">
        <v>706</v>
      </c>
      <c r="D1261" s="8" t="s">
        <v>192</v>
      </c>
      <c r="E1261" s="8" t="s">
        <v>167</v>
      </c>
      <c r="F1261" s="10">
        <v>9</v>
      </c>
      <c r="G1261" s="10">
        <v>3250</v>
      </c>
      <c r="H1261" s="10">
        <v>18.2</v>
      </c>
      <c r="I1261" s="10">
        <v>23926.5</v>
      </c>
      <c r="J1261" s="8" t="s">
        <v>97</v>
      </c>
      <c r="K1261" s="8" t="s">
        <v>98</v>
      </c>
      <c r="L1261" s="18" t="str">
        <f>VLOOKUP(D1261,Products!$A:$C,3,FALSE)</f>
        <v>Home</v>
      </c>
      <c r="N1261" s="18" t="str">
        <f>VLOOKUP(C1261,Customers!$A:$E,5,FALSE)</f>
        <v>SMB</v>
      </c>
      <c r="O1261" s="18">
        <f>VLOOKUP(C1261,Customers!$A:$C,3,FALSE)</f>
        <v>46</v>
      </c>
    </row>
    <row r="1262" spans="1:19" ht="14.25" hidden="1" customHeight="1" x14ac:dyDescent="0.3">
      <c r="A1262" s="8" t="s">
        <v>2306</v>
      </c>
      <c r="B1262" s="9">
        <v>45607</v>
      </c>
      <c r="C1262" s="8" t="s">
        <v>223</v>
      </c>
      <c r="D1262" s="8" t="s">
        <v>120</v>
      </c>
      <c r="E1262" s="8" t="s">
        <v>261</v>
      </c>
      <c r="F1262" s="10">
        <v>8</v>
      </c>
      <c r="G1262" s="10">
        <v>3970</v>
      </c>
      <c r="H1262" s="10">
        <v>22.4</v>
      </c>
      <c r="I1262" s="10">
        <v>24645.759999999998</v>
      </c>
      <c r="J1262" s="8" t="s">
        <v>41</v>
      </c>
      <c r="K1262" s="8" t="s">
        <v>98</v>
      </c>
      <c r="L1262" s="18" t="str">
        <f>VLOOKUP(D1262,Products!$A:$C,3,FALSE)</f>
        <v>Electronics</v>
      </c>
      <c r="N1262" s="18" t="str">
        <f>VLOOKUP(C1262,Customers!$A:$E,5,FALSE)</f>
        <v>Retail</v>
      </c>
      <c r="O1262" s="18">
        <f>VLOOKUP(C1262,Customers!$A:$C,3,FALSE)</f>
        <v>49</v>
      </c>
    </row>
    <row r="1263" spans="1:19" ht="14.25" customHeight="1" x14ac:dyDescent="0.3">
      <c r="A1263" s="8" t="s">
        <v>2307</v>
      </c>
      <c r="B1263" s="21">
        <v>45407</v>
      </c>
      <c r="C1263" s="8" t="s">
        <v>613</v>
      </c>
      <c r="D1263" s="8" t="s">
        <v>389</v>
      </c>
      <c r="E1263" s="8" t="s">
        <v>121</v>
      </c>
      <c r="F1263" s="10">
        <v>3</v>
      </c>
      <c r="G1263" s="10">
        <v>660</v>
      </c>
      <c r="H1263" s="10">
        <v>3.1</v>
      </c>
      <c r="I1263" s="10">
        <v>1918.62</v>
      </c>
      <c r="J1263" s="8" t="s">
        <v>41</v>
      </c>
      <c r="K1263" s="8" t="s">
        <v>42</v>
      </c>
      <c r="L1263" s="18" t="str">
        <f>VLOOKUP(D1263,Products!$A:$C,3,FALSE)</f>
        <v>Home</v>
      </c>
      <c r="N1263" s="18" t="str">
        <f>VLOOKUP(C1263,Customers!$A:$E,5,FALSE)</f>
        <v>Retail</v>
      </c>
      <c r="O1263" s="18">
        <f>VLOOKUP(C1263,Customers!$A:$C,3,FALSE)</f>
        <v>29</v>
      </c>
      <c r="P1263" s="18" t="str">
        <f>VLOOKUP(E1262,Sales_Reps!$A:$C,3,FALSE)</f>
        <v>North</v>
      </c>
      <c r="Q1263" s="18" t="str">
        <f>TEXT(B1262,"MMM-YY")</f>
        <v>Nov-24</v>
      </c>
      <c r="R1263">
        <f>VLOOKUP(D1263, Products!A:D, 4, FALSE)</f>
        <v>329</v>
      </c>
      <c r="S1263">
        <f>(G1263-R1263)/G1263</f>
        <v>0.50151515151515147</v>
      </c>
    </row>
    <row r="1264" spans="1:19" ht="14.25" hidden="1" customHeight="1" x14ac:dyDescent="0.3">
      <c r="A1264" s="8" t="s">
        <v>2308</v>
      </c>
      <c r="B1264" s="9">
        <v>45357</v>
      </c>
      <c r="C1264" s="8" t="s">
        <v>492</v>
      </c>
      <c r="D1264" s="8" t="s">
        <v>184</v>
      </c>
      <c r="E1264" s="8" t="s">
        <v>196</v>
      </c>
      <c r="F1264" s="10">
        <v>7</v>
      </c>
      <c r="G1264" s="10">
        <v>2600</v>
      </c>
      <c r="H1264" s="10">
        <v>15.4</v>
      </c>
      <c r="I1264" s="10">
        <v>15397.2</v>
      </c>
      <c r="J1264" s="8" t="s">
        <v>41</v>
      </c>
      <c r="K1264" s="8" t="s">
        <v>42</v>
      </c>
      <c r="L1264" s="18" t="str">
        <f>VLOOKUP(D1264,Products!$A:$C,3,FALSE)</f>
        <v>Electronics</v>
      </c>
      <c r="N1264" s="18" t="str">
        <f>VLOOKUP(C1264,Customers!$A:$E,5,FALSE)</f>
        <v>Retail</v>
      </c>
      <c r="O1264" s="18">
        <f>VLOOKUP(C1264,Customers!$A:$C,3,FALSE)</f>
        <v>42</v>
      </c>
    </row>
    <row r="1265" spans="1:19" ht="14.25" customHeight="1" x14ac:dyDescent="0.3">
      <c r="A1265" s="8" t="s">
        <v>2309</v>
      </c>
      <c r="B1265" s="21">
        <v>45565</v>
      </c>
      <c r="C1265" s="8" t="s">
        <v>195</v>
      </c>
      <c r="D1265" s="8" t="s">
        <v>389</v>
      </c>
      <c r="E1265" s="8" t="s">
        <v>301</v>
      </c>
      <c r="F1265" s="10">
        <v>9</v>
      </c>
      <c r="G1265" s="10">
        <v>660</v>
      </c>
      <c r="H1265" s="10">
        <v>23.7</v>
      </c>
      <c r="I1265" s="10">
        <v>4532.22</v>
      </c>
      <c r="J1265" s="8" t="s">
        <v>41</v>
      </c>
      <c r="K1265" s="8" t="s">
        <v>42</v>
      </c>
      <c r="L1265" s="18" t="str">
        <f>VLOOKUP(D1265,Products!$A:$C,3,FALSE)</f>
        <v>Home</v>
      </c>
      <c r="N1265" s="18" t="str">
        <f>VLOOKUP(C1265,Customers!$A:$E,5,FALSE)</f>
        <v>Corporate</v>
      </c>
      <c r="O1265" s="18">
        <f>VLOOKUP(C1265,Customers!$A:$C,3,FALSE)</f>
        <v>40</v>
      </c>
      <c r="P1265" s="18" t="str">
        <f>VLOOKUP(E1264,Sales_Reps!$A:$C,3,FALSE)</f>
        <v>East</v>
      </c>
      <c r="Q1265" s="18" t="str">
        <f>TEXT(B1264,"MMM-YY")</f>
        <v>Mar-24</v>
      </c>
      <c r="R1265">
        <f>VLOOKUP(D1265, Products!A:D, 4, FALSE)</f>
        <v>329</v>
      </c>
      <c r="S1265">
        <f>(G1265-R1265)/G1265</f>
        <v>0.50151515151515147</v>
      </c>
    </row>
    <row r="1266" spans="1:19" ht="14.25" hidden="1" customHeight="1" x14ac:dyDescent="0.3">
      <c r="A1266" s="8" t="s">
        <v>2310</v>
      </c>
      <c r="B1266" s="9">
        <v>45395</v>
      </c>
      <c r="C1266" s="8" t="s">
        <v>672</v>
      </c>
      <c r="D1266" s="8" t="s">
        <v>909</v>
      </c>
      <c r="E1266" s="8" t="s">
        <v>216</v>
      </c>
      <c r="F1266" s="10">
        <v>3</v>
      </c>
      <c r="G1266" s="10">
        <v>2380</v>
      </c>
      <c r="H1266" s="10">
        <v>19.5</v>
      </c>
      <c r="I1266" s="10">
        <v>5747.7</v>
      </c>
      <c r="J1266" s="8" t="s">
        <v>147</v>
      </c>
      <c r="K1266" s="8" t="s">
        <v>119</v>
      </c>
      <c r="L1266" s="18" t="str">
        <f>VLOOKUP(D1266,Products!$A:$C,3,FALSE)</f>
        <v>Grocery</v>
      </c>
      <c r="N1266" s="18" t="str">
        <f>VLOOKUP(C1266,Customers!$A:$E,5,FALSE)</f>
        <v>SMB</v>
      </c>
      <c r="O1266" s="18">
        <f>VLOOKUP(C1266,Customers!$A:$C,3,FALSE)</f>
        <v>55</v>
      </c>
    </row>
    <row r="1267" spans="1:19" ht="14.25" customHeight="1" x14ac:dyDescent="0.3">
      <c r="A1267" s="8" t="s">
        <v>2311</v>
      </c>
      <c r="B1267" s="21">
        <v>45624</v>
      </c>
      <c r="C1267" s="8" t="s">
        <v>440</v>
      </c>
      <c r="D1267" s="8" t="s">
        <v>242</v>
      </c>
      <c r="E1267" s="8" t="s">
        <v>177</v>
      </c>
      <c r="F1267" s="10">
        <v>9</v>
      </c>
      <c r="G1267" s="10">
        <v>1650</v>
      </c>
      <c r="H1267" s="10">
        <v>2.5</v>
      </c>
      <c r="I1267" s="10">
        <v>14478.75</v>
      </c>
      <c r="J1267" s="8" t="s">
        <v>41</v>
      </c>
      <c r="K1267" s="8" t="s">
        <v>98</v>
      </c>
      <c r="L1267" s="18" t="str">
        <f>VLOOKUP(D1267,Products!$A:$C,3,FALSE)</f>
        <v>Beauty</v>
      </c>
      <c r="N1267" s="18" t="str">
        <f>VLOOKUP(C1267,Customers!$A:$E,5,FALSE)</f>
        <v>Retail</v>
      </c>
      <c r="O1267" s="18">
        <f>VLOOKUP(C1267,Customers!$A:$C,3,FALSE)</f>
        <v>28</v>
      </c>
      <c r="P1267" s="18" t="str">
        <f>VLOOKUP(E1266,Sales_Reps!$A:$C,3,FALSE)</f>
        <v>East</v>
      </c>
      <c r="Q1267" s="18" t="str">
        <f>TEXT(B1266,"MMM-YY")</f>
        <v>Apr-24</v>
      </c>
      <c r="R1267">
        <f>VLOOKUP(D1267, Products!A:D, 4, FALSE)</f>
        <v>1222</v>
      </c>
      <c r="S1267">
        <f>(G1267-R1267)/G1267</f>
        <v>0.2593939393939394</v>
      </c>
    </row>
    <row r="1268" spans="1:19" ht="14.25" hidden="1" customHeight="1" x14ac:dyDescent="0.3">
      <c r="A1268" s="8" t="s">
        <v>2312</v>
      </c>
      <c r="B1268" s="9">
        <v>45650</v>
      </c>
      <c r="C1268" s="8" t="s">
        <v>2313</v>
      </c>
      <c r="D1268" s="8" t="s">
        <v>181</v>
      </c>
      <c r="E1268" s="8" t="s">
        <v>125</v>
      </c>
      <c r="F1268" s="10">
        <v>8</v>
      </c>
      <c r="G1268" s="10">
        <v>2640</v>
      </c>
      <c r="H1268" s="10">
        <v>24.4</v>
      </c>
      <c r="I1268" s="10">
        <v>15966.72</v>
      </c>
      <c r="J1268" s="8" t="s">
        <v>41</v>
      </c>
      <c r="K1268" s="8" t="s">
        <v>146</v>
      </c>
      <c r="L1268" s="18" t="str">
        <f>VLOOKUP(D1268,Products!$A:$C,3,FALSE)</f>
        <v>Electronics</v>
      </c>
      <c r="N1268" s="18" t="e">
        <f>VLOOKUP(C1268,Customers!$A:$E,5,FALSE)</f>
        <v>#N/A</v>
      </c>
      <c r="O1268" s="18" t="e">
        <f>VLOOKUP(C1268,Customers!$A:$C,3,FALSE)</f>
        <v>#N/A</v>
      </c>
    </row>
    <row r="1269" spans="1:19" ht="14.25" customHeight="1" x14ac:dyDescent="0.3">
      <c r="A1269" s="8" t="s">
        <v>2314</v>
      </c>
      <c r="B1269" s="21">
        <v>45370</v>
      </c>
      <c r="C1269" s="8" t="s">
        <v>717</v>
      </c>
      <c r="D1269" s="8" t="s">
        <v>909</v>
      </c>
      <c r="E1269" s="8" t="s">
        <v>745</v>
      </c>
      <c r="F1269" s="10">
        <v>8</v>
      </c>
      <c r="G1269" s="10">
        <v>2380</v>
      </c>
      <c r="H1269" s="10">
        <v>24.2</v>
      </c>
      <c r="I1269" s="10">
        <v>14432.32</v>
      </c>
      <c r="J1269" s="8" t="s">
        <v>41</v>
      </c>
      <c r="K1269" s="8" t="s">
        <v>146</v>
      </c>
      <c r="L1269" s="18" t="str">
        <f>VLOOKUP(D1269,Products!$A:$C,3,FALSE)</f>
        <v>Grocery</v>
      </c>
      <c r="N1269" s="18" t="str">
        <f>VLOOKUP(C1269,Customers!$A:$E,5,FALSE)</f>
        <v>Retail</v>
      </c>
      <c r="O1269" s="18">
        <f>VLOOKUP(C1269,Customers!$A:$C,3,FALSE)</f>
        <v>39</v>
      </c>
      <c r="P1269" s="18" t="str">
        <f>VLOOKUP(E1268,Sales_Reps!$A:$C,3,FALSE)</f>
        <v>North</v>
      </c>
      <c r="Q1269" s="18" t="str">
        <f>TEXT(B1268,"MMM-YY")</f>
        <v>Dec-24</v>
      </c>
      <c r="R1269">
        <f>VLOOKUP(D1269, Products!A:D, 4, FALSE)</f>
        <v>1182</v>
      </c>
      <c r="S1269">
        <f>(G1269-R1269)/G1269</f>
        <v>0.50336134453781511</v>
      </c>
    </row>
    <row r="1270" spans="1:19" ht="14.25" hidden="1" customHeight="1" x14ac:dyDescent="0.3">
      <c r="A1270" s="8" t="s">
        <v>2315</v>
      </c>
      <c r="B1270" s="9">
        <v>45373</v>
      </c>
      <c r="C1270" s="8" t="s">
        <v>672</v>
      </c>
      <c r="D1270" s="8" t="s">
        <v>918</v>
      </c>
      <c r="E1270" s="8" t="s">
        <v>38</v>
      </c>
      <c r="F1270" s="10">
        <v>10</v>
      </c>
      <c r="G1270" s="10">
        <v>2210</v>
      </c>
      <c r="H1270" s="10">
        <v>3.6</v>
      </c>
      <c r="I1270" s="10">
        <v>21304.400000000001</v>
      </c>
      <c r="J1270" s="8" t="s">
        <v>41</v>
      </c>
      <c r="K1270" s="8" t="s">
        <v>119</v>
      </c>
      <c r="L1270" s="18" t="str">
        <f>VLOOKUP(D1270,Products!$A:$C,3,FALSE)</f>
        <v>Grocery</v>
      </c>
      <c r="N1270" s="18" t="str">
        <f>VLOOKUP(C1270,Customers!$A:$E,5,FALSE)</f>
        <v>SMB</v>
      </c>
      <c r="O1270" s="18">
        <f>VLOOKUP(C1270,Customers!$A:$C,3,FALSE)</f>
        <v>55</v>
      </c>
    </row>
    <row r="1271" spans="1:19" ht="14.25" hidden="1" customHeight="1" x14ac:dyDescent="0.3">
      <c r="A1271" s="8" t="s">
        <v>2316</v>
      </c>
      <c r="B1271" s="9">
        <v>45391</v>
      </c>
      <c r="C1271" s="8" t="s">
        <v>340</v>
      </c>
      <c r="D1271" s="8" t="s">
        <v>662</v>
      </c>
      <c r="E1271" s="8" t="s">
        <v>167</v>
      </c>
      <c r="F1271" s="10">
        <v>9</v>
      </c>
      <c r="G1271" s="10">
        <v>6080</v>
      </c>
      <c r="H1271" s="10">
        <v>17.2</v>
      </c>
      <c r="I1271" s="10">
        <v>45308.160000000003</v>
      </c>
      <c r="J1271" s="8" t="s">
        <v>97</v>
      </c>
      <c r="K1271" s="8" t="s">
        <v>136</v>
      </c>
      <c r="L1271" s="18" t="str">
        <f>VLOOKUP(D1271,Products!$A:$C,3,FALSE)</f>
        <v>Beauty</v>
      </c>
      <c r="N1271" s="18" t="str">
        <f>VLOOKUP(C1271,Customers!$A:$E,5,FALSE)</f>
        <v>Retail</v>
      </c>
      <c r="O1271" s="18">
        <f>VLOOKUP(C1271,Customers!$A:$C,3,FALSE)</f>
        <v>52</v>
      </c>
    </row>
    <row r="1272" spans="1:19" ht="14.25" hidden="1" customHeight="1" x14ac:dyDescent="0.3">
      <c r="A1272" s="8" t="s">
        <v>2317</v>
      </c>
      <c r="B1272" s="9">
        <v>45332</v>
      </c>
      <c r="C1272" s="8" t="s">
        <v>763</v>
      </c>
      <c r="D1272" s="8" t="s">
        <v>260</v>
      </c>
      <c r="E1272" s="8" t="s">
        <v>196</v>
      </c>
      <c r="F1272" s="10">
        <v>8</v>
      </c>
      <c r="G1272" s="10">
        <v>1010</v>
      </c>
      <c r="H1272" s="10">
        <v>12.3</v>
      </c>
      <c r="I1272" s="10">
        <v>7086.16</v>
      </c>
      <c r="J1272" s="8" t="s">
        <v>41</v>
      </c>
      <c r="K1272" s="8" t="s">
        <v>178</v>
      </c>
      <c r="L1272" s="18" t="str">
        <f>VLOOKUP(D1272,Products!$A:$C,3,FALSE)</f>
        <v>Sports</v>
      </c>
      <c r="N1272" s="18" t="str">
        <f>VLOOKUP(C1272,Customers!$A:$E,5,FALSE)</f>
        <v>Retail</v>
      </c>
      <c r="O1272" s="18">
        <f>VLOOKUP(C1272,Customers!$A:$C,3,FALSE)</f>
        <v>65</v>
      </c>
    </row>
    <row r="1273" spans="1:19" ht="14.25" hidden="1" customHeight="1" x14ac:dyDescent="0.3">
      <c r="A1273" s="8" t="s">
        <v>2318</v>
      </c>
      <c r="B1273" s="9">
        <v>45582</v>
      </c>
      <c r="C1273" s="8" t="s">
        <v>805</v>
      </c>
      <c r="D1273" s="8" t="s">
        <v>124</v>
      </c>
      <c r="E1273" s="8" t="s">
        <v>865</v>
      </c>
      <c r="F1273" s="10">
        <v>8</v>
      </c>
      <c r="G1273" s="10">
        <v>3660</v>
      </c>
      <c r="H1273" s="10">
        <v>8.4</v>
      </c>
      <c r="I1273" s="10">
        <v>26820.48</v>
      </c>
      <c r="J1273" s="8" t="s">
        <v>41</v>
      </c>
      <c r="K1273" s="8" t="s">
        <v>42</v>
      </c>
      <c r="L1273" s="18" t="str">
        <f>VLOOKUP(D1273,Products!$A:$C,3,FALSE)</f>
        <v>Grocery</v>
      </c>
      <c r="N1273" s="18" t="str">
        <f>VLOOKUP(C1273,Customers!$A:$E,5,FALSE)</f>
        <v>Retail</v>
      </c>
      <c r="O1273" s="18">
        <f>VLOOKUP(C1273,Customers!$A:$C,3,FALSE)</f>
        <v>65</v>
      </c>
    </row>
    <row r="1274" spans="1:19" ht="14.25" hidden="1" customHeight="1" x14ac:dyDescent="0.3">
      <c r="A1274" s="8" t="s">
        <v>2319</v>
      </c>
      <c r="B1274" s="9">
        <v>45443</v>
      </c>
      <c r="C1274" s="8" t="s">
        <v>388</v>
      </c>
      <c r="D1274" s="8" t="s">
        <v>839</v>
      </c>
      <c r="E1274" s="8" t="s">
        <v>236</v>
      </c>
      <c r="F1274" s="10">
        <v>8</v>
      </c>
      <c r="G1274" s="10">
        <v>4610</v>
      </c>
      <c r="H1274" s="10">
        <v>15.4</v>
      </c>
      <c r="I1274" s="10">
        <v>31200.48</v>
      </c>
      <c r="J1274" s="8" t="s">
        <v>147</v>
      </c>
      <c r="K1274" s="8" t="s">
        <v>136</v>
      </c>
      <c r="L1274" s="18" t="str">
        <f>VLOOKUP(D1274,Products!$A:$C,3,FALSE)</f>
        <v>Home</v>
      </c>
      <c r="N1274" s="18" t="str">
        <f>VLOOKUP(C1274,Customers!$A:$E,5,FALSE)</f>
        <v>SMB</v>
      </c>
      <c r="O1274" s="18">
        <f>VLOOKUP(C1274,Customers!$A:$C,3,FALSE)</f>
        <v>49</v>
      </c>
    </row>
    <row r="1275" spans="1:19" ht="14.25" hidden="1" customHeight="1" x14ac:dyDescent="0.3">
      <c r="A1275" s="8" t="s">
        <v>2320</v>
      </c>
      <c r="B1275" s="9">
        <v>45525</v>
      </c>
      <c r="C1275" s="8" t="s">
        <v>388</v>
      </c>
      <c r="D1275" s="8" t="s">
        <v>320</v>
      </c>
      <c r="E1275" s="8" t="s">
        <v>125</v>
      </c>
      <c r="F1275" s="10">
        <v>9</v>
      </c>
      <c r="G1275" s="10">
        <v>5100</v>
      </c>
      <c r="H1275" s="10">
        <v>25.2</v>
      </c>
      <c r="I1275" s="10">
        <v>34333.199999999997</v>
      </c>
      <c r="J1275" s="8" t="s">
        <v>147</v>
      </c>
      <c r="K1275" s="8" t="s">
        <v>136</v>
      </c>
      <c r="L1275" s="18" t="str">
        <f>VLOOKUP(D1275,Products!$A:$C,3,FALSE)</f>
        <v>Beauty</v>
      </c>
      <c r="N1275" s="18" t="str">
        <f>VLOOKUP(C1275,Customers!$A:$E,5,FALSE)</f>
        <v>SMB</v>
      </c>
      <c r="O1275" s="18">
        <f>VLOOKUP(C1275,Customers!$A:$C,3,FALSE)</f>
        <v>49</v>
      </c>
    </row>
    <row r="1276" spans="1:19" ht="14.25" hidden="1" customHeight="1" x14ac:dyDescent="0.3">
      <c r="A1276" s="8" t="s">
        <v>2321</v>
      </c>
      <c r="B1276" s="9">
        <v>45377</v>
      </c>
      <c r="C1276" s="8" t="s">
        <v>317</v>
      </c>
      <c r="D1276" s="8" t="s">
        <v>867</v>
      </c>
      <c r="E1276" s="8" t="s">
        <v>158</v>
      </c>
      <c r="F1276" s="10">
        <v>5</v>
      </c>
      <c r="G1276" s="10">
        <v>3020</v>
      </c>
      <c r="H1276" s="10">
        <v>23</v>
      </c>
      <c r="I1276" s="10">
        <v>11627</v>
      </c>
      <c r="J1276" s="8" t="s">
        <v>41</v>
      </c>
      <c r="K1276" s="8" t="s">
        <v>136</v>
      </c>
      <c r="L1276" s="18" t="str">
        <f>VLOOKUP(D1276,Products!$A:$C,3,FALSE)</f>
        <v>Beauty</v>
      </c>
      <c r="N1276" s="18" t="str">
        <f>VLOOKUP(C1276,Customers!$A:$E,5,FALSE)</f>
        <v>Retail</v>
      </c>
      <c r="O1276" s="18">
        <f>VLOOKUP(C1276,Customers!$A:$C,3,FALSE)</f>
        <v>59</v>
      </c>
    </row>
    <row r="1277" spans="1:19" ht="14.25" hidden="1" customHeight="1" x14ac:dyDescent="0.3">
      <c r="A1277" s="8" t="s">
        <v>2322</v>
      </c>
      <c r="B1277" s="9">
        <v>45413</v>
      </c>
      <c r="C1277" s="8" t="s">
        <v>796</v>
      </c>
      <c r="D1277" s="8" t="s">
        <v>964</v>
      </c>
      <c r="E1277" s="8" t="s">
        <v>301</v>
      </c>
      <c r="F1277" s="10">
        <v>8</v>
      </c>
      <c r="G1277" s="10">
        <v>3780</v>
      </c>
      <c r="H1277" s="10">
        <v>17.100000000000001</v>
      </c>
      <c r="I1277" s="10">
        <v>25068.959999999999</v>
      </c>
      <c r="J1277" s="8" t="s">
        <v>41</v>
      </c>
      <c r="K1277" s="8" t="s">
        <v>146</v>
      </c>
      <c r="L1277" s="18" t="str">
        <f>VLOOKUP(D1277,Products!$A:$C,3,FALSE)</f>
        <v>Sports</v>
      </c>
      <c r="N1277" s="18" t="str">
        <f>VLOOKUP(C1277,Customers!$A:$E,5,FALSE)</f>
        <v>Retail</v>
      </c>
      <c r="O1277" s="18">
        <f>VLOOKUP(C1277,Customers!$A:$C,3,FALSE)</f>
        <v>52</v>
      </c>
    </row>
    <row r="1278" spans="1:19" ht="14.25" hidden="1" customHeight="1" x14ac:dyDescent="0.3">
      <c r="A1278" s="8" t="s">
        <v>2323</v>
      </c>
      <c r="B1278" s="9">
        <v>45437</v>
      </c>
      <c r="C1278" s="8" t="s">
        <v>357</v>
      </c>
      <c r="D1278" s="8" t="s">
        <v>918</v>
      </c>
      <c r="E1278" s="8" t="s">
        <v>231</v>
      </c>
      <c r="F1278" s="10">
        <v>10</v>
      </c>
      <c r="G1278" s="10">
        <v>2210</v>
      </c>
      <c r="H1278" s="10">
        <v>8.5</v>
      </c>
      <c r="I1278" s="10">
        <v>20221.5</v>
      </c>
      <c r="J1278" s="8" t="s">
        <v>41</v>
      </c>
      <c r="K1278" s="8" t="s">
        <v>42</v>
      </c>
      <c r="L1278" s="18" t="str">
        <f>VLOOKUP(D1278,Products!$A:$C,3,FALSE)</f>
        <v>Grocery</v>
      </c>
      <c r="N1278" s="18" t="str">
        <f>VLOOKUP(C1278,Customers!$A:$E,5,FALSE)</f>
        <v>Corporate</v>
      </c>
      <c r="O1278" s="18">
        <f>VLOOKUP(C1278,Customers!$A:$C,3,FALSE)</f>
        <v>47</v>
      </c>
    </row>
    <row r="1279" spans="1:19" ht="14.25" hidden="1" customHeight="1" x14ac:dyDescent="0.3">
      <c r="A1279" s="8" t="s">
        <v>2324</v>
      </c>
      <c r="B1279" s="9">
        <v>45604</v>
      </c>
      <c r="C1279" s="8" t="s">
        <v>492</v>
      </c>
      <c r="D1279" s="8" t="s">
        <v>918</v>
      </c>
      <c r="E1279" s="8" t="s">
        <v>301</v>
      </c>
      <c r="F1279" s="10">
        <v>4</v>
      </c>
      <c r="G1279" s="10">
        <v>2210</v>
      </c>
      <c r="H1279" s="10">
        <v>3.1</v>
      </c>
      <c r="I1279" s="10">
        <v>8565.9599999999991</v>
      </c>
      <c r="J1279" s="8" t="s">
        <v>41</v>
      </c>
      <c r="K1279" s="8" t="s">
        <v>42</v>
      </c>
      <c r="L1279" s="18" t="str">
        <f>VLOOKUP(D1279,Products!$A:$C,3,FALSE)</f>
        <v>Grocery</v>
      </c>
      <c r="N1279" s="18" t="str">
        <f>VLOOKUP(C1279,Customers!$A:$E,5,FALSE)</f>
        <v>Retail</v>
      </c>
      <c r="O1279" s="18">
        <f>VLOOKUP(C1279,Customers!$A:$C,3,FALSE)</f>
        <v>42</v>
      </c>
    </row>
    <row r="1280" spans="1:19" ht="14.25" customHeight="1" x14ac:dyDescent="0.3">
      <c r="A1280" s="8" t="s">
        <v>2325</v>
      </c>
      <c r="B1280" s="21">
        <v>45540</v>
      </c>
      <c r="C1280" s="8" t="s">
        <v>734</v>
      </c>
      <c r="D1280" s="8" t="s">
        <v>242</v>
      </c>
      <c r="E1280" s="8" t="s">
        <v>301</v>
      </c>
      <c r="F1280" s="10">
        <v>1</v>
      </c>
      <c r="G1280" s="10">
        <v>1650</v>
      </c>
      <c r="H1280" s="10">
        <v>10</v>
      </c>
      <c r="I1280" s="10">
        <v>1485</v>
      </c>
      <c r="J1280" s="8" t="s">
        <v>41</v>
      </c>
      <c r="K1280" s="8" t="s">
        <v>42</v>
      </c>
      <c r="L1280" s="18" t="str">
        <f>VLOOKUP(D1280,Products!$A:$C,3,FALSE)</f>
        <v>Beauty</v>
      </c>
      <c r="N1280" s="18" t="str">
        <f>VLOOKUP(C1280,Customers!$A:$E,5,FALSE)</f>
        <v>Corporate</v>
      </c>
      <c r="O1280" s="18">
        <f>VLOOKUP(C1280,Customers!$A:$C,3,FALSE)</f>
        <v>37</v>
      </c>
      <c r="P1280" s="18" t="str">
        <f>VLOOKUP(E1279,Sales_Reps!$A:$C,3,FALSE)</f>
        <v>South</v>
      </c>
      <c r="Q1280" s="18" t="str">
        <f>TEXT(B1279,"MMM-YY")</f>
        <v>Nov-24</v>
      </c>
      <c r="R1280">
        <f>VLOOKUP(D1280, Products!A:D, 4, FALSE)</f>
        <v>1222</v>
      </c>
      <c r="S1280">
        <f>(G1280-R1280)/G1280</f>
        <v>0.2593939393939394</v>
      </c>
    </row>
    <row r="1281" spans="1:19" ht="14.25" hidden="1" customHeight="1" x14ac:dyDescent="0.3">
      <c r="A1281" s="8" t="s">
        <v>2326</v>
      </c>
      <c r="B1281" s="9">
        <v>45597</v>
      </c>
      <c r="C1281" s="8" t="s">
        <v>755</v>
      </c>
      <c r="D1281" s="8" t="s">
        <v>199</v>
      </c>
      <c r="E1281" s="8" t="s">
        <v>96</v>
      </c>
      <c r="F1281" s="10">
        <v>6</v>
      </c>
      <c r="G1281" s="10">
        <v>190</v>
      </c>
      <c r="H1281" s="10">
        <v>3.5</v>
      </c>
      <c r="I1281" s="10">
        <v>1100.0999999999999</v>
      </c>
      <c r="J1281" s="8" t="s">
        <v>147</v>
      </c>
      <c r="K1281" s="8" t="s">
        <v>146</v>
      </c>
      <c r="L1281" s="18" t="str">
        <f>VLOOKUP(D1281,Products!$A:$C,3,FALSE)</f>
        <v>Sports</v>
      </c>
      <c r="N1281" s="18" t="str">
        <f>VLOOKUP(C1281,Customers!$A:$E,5,FALSE)</f>
        <v>Retail</v>
      </c>
      <c r="O1281" s="18">
        <f>VLOOKUP(C1281,Customers!$A:$C,3,FALSE)</f>
        <v>61</v>
      </c>
    </row>
    <row r="1282" spans="1:19" ht="14.25" customHeight="1" x14ac:dyDescent="0.3">
      <c r="A1282" s="8" t="s">
        <v>2327</v>
      </c>
      <c r="B1282" s="21">
        <v>45589</v>
      </c>
      <c r="C1282" s="8" t="s">
        <v>456</v>
      </c>
      <c r="D1282" s="8" t="s">
        <v>338</v>
      </c>
      <c r="E1282" s="8" t="s">
        <v>619</v>
      </c>
      <c r="F1282" s="10">
        <v>8</v>
      </c>
      <c r="G1282" s="10">
        <v>2860</v>
      </c>
      <c r="H1282" s="10">
        <v>14.7</v>
      </c>
      <c r="I1282" s="10">
        <v>19516.64</v>
      </c>
      <c r="J1282" s="8" t="s">
        <v>41</v>
      </c>
      <c r="K1282" s="8" t="s">
        <v>136</v>
      </c>
      <c r="L1282" s="18" t="str">
        <f>VLOOKUP(D1282,Products!$A:$C,3,FALSE)</f>
        <v>Sports</v>
      </c>
      <c r="N1282" s="18" t="str">
        <f>VLOOKUP(C1282,Customers!$A:$E,5,FALSE)</f>
        <v>SMB</v>
      </c>
      <c r="O1282" s="18">
        <f>VLOOKUP(C1282,Customers!$A:$C,3,FALSE)</f>
        <v>28</v>
      </c>
      <c r="P1282" s="18" t="str">
        <f>VLOOKUP(E1281,Sales_Reps!$A:$C,3,FALSE)</f>
        <v>North</v>
      </c>
      <c r="Q1282" s="18" t="str">
        <f>TEXT(B1281,"MMM-YY")</f>
        <v>Nov-24</v>
      </c>
      <c r="R1282">
        <f>VLOOKUP(D1282, Products!A:D, 4, FALSE)</f>
        <v>2028</v>
      </c>
      <c r="S1282">
        <f>(G1282-R1282)/G1282</f>
        <v>0.29090909090909089</v>
      </c>
    </row>
    <row r="1283" spans="1:19" ht="14.25" hidden="1" customHeight="1" x14ac:dyDescent="0.3">
      <c r="A1283" s="8" t="s">
        <v>2328</v>
      </c>
      <c r="B1283" s="9">
        <v>45448</v>
      </c>
      <c r="C1283" s="8" t="s">
        <v>519</v>
      </c>
      <c r="D1283" s="8" t="s">
        <v>154</v>
      </c>
      <c r="E1283" s="8" t="s">
        <v>143</v>
      </c>
      <c r="F1283" s="10">
        <v>9</v>
      </c>
      <c r="G1283" s="10">
        <v>300</v>
      </c>
      <c r="H1283" s="10">
        <v>19.5</v>
      </c>
      <c r="I1283" s="10">
        <v>2173.5</v>
      </c>
      <c r="J1283" s="8" t="s">
        <v>41</v>
      </c>
      <c r="K1283" s="8" t="s">
        <v>119</v>
      </c>
      <c r="L1283" s="18" t="str">
        <f>VLOOKUP(D1283,Products!$A:$C,3,FALSE)</f>
        <v>Electronics</v>
      </c>
      <c r="N1283" s="18" t="str">
        <f>VLOOKUP(C1283,Customers!$A:$E,5,FALSE)</f>
        <v>SMB</v>
      </c>
      <c r="O1283" s="18">
        <f>VLOOKUP(C1283,Customers!$A:$C,3,FALSE)</f>
        <v>50</v>
      </c>
    </row>
    <row r="1284" spans="1:19" ht="14.25" customHeight="1" x14ac:dyDescent="0.3">
      <c r="A1284" s="8" t="s">
        <v>2329</v>
      </c>
      <c r="B1284" s="21">
        <v>45608</v>
      </c>
      <c r="C1284" s="8" t="s">
        <v>694</v>
      </c>
      <c r="D1284" s="8" t="s">
        <v>949</v>
      </c>
      <c r="E1284" s="8" t="s">
        <v>38</v>
      </c>
      <c r="F1284" s="10">
        <v>10</v>
      </c>
      <c r="G1284" s="10">
        <v>960</v>
      </c>
      <c r="H1284" s="10">
        <v>9.6999999999999993</v>
      </c>
      <c r="I1284" s="10">
        <v>8668.7999999999993</v>
      </c>
      <c r="J1284" s="8" t="s">
        <v>41</v>
      </c>
      <c r="K1284" s="8" t="s">
        <v>146</v>
      </c>
      <c r="L1284" s="18" t="str">
        <f>VLOOKUP(D1284,Products!$A:$C,3,FALSE)</f>
        <v>Beauty</v>
      </c>
      <c r="N1284" s="18" t="str">
        <f>VLOOKUP(C1284,Customers!$A:$E,5,FALSE)</f>
        <v>Retail</v>
      </c>
      <c r="O1284" s="18">
        <f>VLOOKUP(C1284,Customers!$A:$C,3,FALSE)</f>
        <v>40</v>
      </c>
      <c r="P1284" s="18" t="str">
        <f>VLOOKUP(E1283,Sales_Reps!$A:$C,3,FALSE)</f>
        <v>West</v>
      </c>
      <c r="Q1284" s="18" t="str">
        <f>TEXT(B1283,"MMM-YY")</f>
        <v>Jun-24</v>
      </c>
      <c r="R1284">
        <f>VLOOKUP(D1284, Products!A:D, 4, FALSE)</f>
        <v>675</v>
      </c>
      <c r="S1284">
        <f>(G1284-R1284)/G1284</f>
        <v>0.296875</v>
      </c>
    </row>
    <row r="1285" spans="1:19" ht="14.25" hidden="1" customHeight="1" x14ac:dyDescent="0.3">
      <c r="A1285" s="8" t="s">
        <v>2330</v>
      </c>
      <c r="B1285" s="9">
        <v>45421</v>
      </c>
      <c r="C1285" s="8" t="s">
        <v>631</v>
      </c>
      <c r="D1285" s="8" t="s">
        <v>95</v>
      </c>
      <c r="E1285" s="8" t="s">
        <v>745</v>
      </c>
      <c r="F1285" s="10">
        <v>5</v>
      </c>
      <c r="G1285" s="10">
        <v>820</v>
      </c>
      <c r="H1285" s="10">
        <v>0.5</v>
      </c>
      <c r="I1285" s="10">
        <v>4079.5</v>
      </c>
      <c r="J1285" s="8" t="s">
        <v>41</v>
      </c>
      <c r="K1285" s="8" t="s">
        <v>42</v>
      </c>
      <c r="L1285" s="18" t="str">
        <f>VLOOKUP(D1285,Products!$A:$C,3,FALSE)</f>
        <v>Apparel</v>
      </c>
      <c r="N1285" s="18" t="str">
        <f>VLOOKUP(C1285,Customers!$A:$E,5,FALSE)</f>
        <v>Retail</v>
      </c>
      <c r="O1285" s="18">
        <f>VLOOKUP(C1285,Customers!$A:$C,3,FALSE)</f>
        <v>54</v>
      </c>
    </row>
    <row r="1286" spans="1:19" ht="14.25" customHeight="1" x14ac:dyDescent="0.3">
      <c r="A1286" s="8" t="s">
        <v>2331</v>
      </c>
      <c r="B1286" s="21">
        <v>45383</v>
      </c>
      <c r="C1286" s="8" t="s">
        <v>346</v>
      </c>
      <c r="D1286" s="8" t="s">
        <v>144</v>
      </c>
      <c r="E1286" s="8" t="s">
        <v>185</v>
      </c>
      <c r="F1286" s="10">
        <v>2</v>
      </c>
      <c r="G1286" s="10">
        <v>370</v>
      </c>
      <c r="H1286" s="10">
        <v>10.5</v>
      </c>
      <c r="I1286" s="10">
        <v>662.3</v>
      </c>
      <c r="J1286" s="8" t="s">
        <v>97</v>
      </c>
      <c r="K1286" s="8" t="s">
        <v>98</v>
      </c>
      <c r="L1286" s="18" t="str">
        <f>VLOOKUP(D1286,Products!$A:$C,3,FALSE)</f>
        <v>Home</v>
      </c>
      <c r="N1286" s="18" t="str">
        <f>VLOOKUP(C1286,Customers!$A:$E,5,FALSE)</f>
        <v>Retail</v>
      </c>
      <c r="O1286" s="18">
        <f>VLOOKUP(C1286,Customers!$A:$C,3,FALSE)</f>
        <v>28</v>
      </c>
      <c r="P1286" s="18" t="str">
        <f>VLOOKUP(E1285,Sales_Reps!$A:$C,3,FALSE)</f>
        <v>South</v>
      </c>
      <c r="Q1286" s="18" t="str">
        <f t="shared" ref="Q1286:Q1288" si="252">TEXT(B1285,"MMM-YY")</f>
        <v>May-24</v>
      </c>
      <c r="R1286">
        <f>VLOOKUP(D1286, Products!A:D, 4, FALSE)</f>
        <v>288</v>
      </c>
      <c r="S1286">
        <f t="shared" ref="S1286:S1288" si="253">(G1286-R1286)/G1286</f>
        <v>0.22162162162162163</v>
      </c>
    </row>
    <row r="1287" spans="1:19" ht="14.25" customHeight="1" x14ac:dyDescent="0.3">
      <c r="A1287" s="8" t="s">
        <v>2332</v>
      </c>
      <c r="B1287" s="21">
        <v>45453</v>
      </c>
      <c r="C1287" s="8" t="s">
        <v>589</v>
      </c>
      <c r="D1287" s="8" t="s">
        <v>163</v>
      </c>
      <c r="E1287" s="8" t="s">
        <v>208</v>
      </c>
      <c r="F1287" s="10">
        <v>9</v>
      </c>
      <c r="G1287" s="10">
        <v>5490</v>
      </c>
      <c r="H1287" s="10">
        <v>14.2</v>
      </c>
      <c r="I1287" s="10">
        <v>42393.78</v>
      </c>
      <c r="J1287" s="8" t="s">
        <v>147</v>
      </c>
      <c r="K1287" s="8" t="s">
        <v>146</v>
      </c>
      <c r="L1287" s="18" t="str">
        <f>VLOOKUP(D1287,Products!$A:$C,3,FALSE)</f>
        <v>Home</v>
      </c>
      <c r="N1287" s="18" t="str">
        <f>VLOOKUP(C1287,Customers!$A:$E,5,FALSE)</f>
        <v>Retail</v>
      </c>
      <c r="O1287" s="18">
        <f>VLOOKUP(C1287,Customers!$A:$C,3,FALSE)</f>
        <v>35</v>
      </c>
      <c r="P1287" s="18" t="str">
        <f>VLOOKUP(E1286,Sales_Reps!$A:$C,3,FALSE)</f>
        <v>North</v>
      </c>
      <c r="Q1287" s="18" t="str">
        <f t="shared" si="252"/>
        <v>Apr-24</v>
      </c>
      <c r="R1287">
        <f>VLOOKUP(D1287, Products!A:D, 4, FALSE)</f>
        <v>2549</v>
      </c>
      <c r="S1287">
        <f t="shared" si="253"/>
        <v>0.53570127504553733</v>
      </c>
    </row>
    <row r="1288" spans="1:19" ht="14.25" customHeight="1" x14ac:dyDescent="0.3">
      <c r="A1288" s="8" t="s">
        <v>2333</v>
      </c>
      <c r="B1288" s="21">
        <v>45398</v>
      </c>
      <c r="C1288" s="8" t="s">
        <v>750</v>
      </c>
      <c r="D1288" s="8" t="s">
        <v>144</v>
      </c>
      <c r="E1288" s="8" t="s">
        <v>167</v>
      </c>
      <c r="F1288" s="10">
        <v>3</v>
      </c>
      <c r="G1288" s="10">
        <v>370</v>
      </c>
      <c r="H1288" s="10">
        <v>18.399999999999999</v>
      </c>
      <c r="I1288" s="10">
        <v>905.76</v>
      </c>
      <c r="J1288" s="8" t="s">
        <v>41</v>
      </c>
      <c r="K1288" s="8" t="s">
        <v>178</v>
      </c>
      <c r="L1288" s="18" t="str">
        <f>VLOOKUP(D1288,Products!$A:$C,3,FALSE)</f>
        <v>Home</v>
      </c>
      <c r="N1288" s="18" t="str">
        <f>VLOOKUP(C1288,Customers!$A:$E,5,FALSE)</f>
        <v>SMB</v>
      </c>
      <c r="O1288" s="18">
        <f>VLOOKUP(C1288,Customers!$A:$C,3,FALSE)</f>
        <v>28</v>
      </c>
      <c r="P1288" s="18" t="str">
        <f>VLOOKUP(E1287,Sales_Reps!$A:$C,3,FALSE)</f>
        <v>East</v>
      </c>
      <c r="Q1288" s="18" t="str">
        <f t="shared" si="252"/>
        <v>Jun-24</v>
      </c>
      <c r="R1288">
        <f>VLOOKUP(D1288, Products!A:D, 4, FALSE)</f>
        <v>288</v>
      </c>
      <c r="S1288">
        <f t="shared" si="253"/>
        <v>0.22162162162162163</v>
      </c>
    </row>
    <row r="1289" spans="1:19" ht="14.25" hidden="1" customHeight="1" x14ac:dyDescent="0.3">
      <c r="A1289" s="8" t="s">
        <v>2334</v>
      </c>
      <c r="B1289" s="9">
        <v>45584</v>
      </c>
      <c r="C1289" s="8" t="s">
        <v>852</v>
      </c>
      <c r="D1289" s="8" t="s">
        <v>199</v>
      </c>
      <c r="E1289" s="8" t="s">
        <v>167</v>
      </c>
      <c r="F1289" s="10">
        <v>6</v>
      </c>
      <c r="G1289" s="10">
        <v>190</v>
      </c>
      <c r="H1289" s="10">
        <v>12.9</v>
      </c>
      <c r="I1289" s="10">
        <v>992.94</v>
      </c>
      <c r="J1289" s="8" t="s">
        <v>41</v>
      </c>
      <c r="K1289" s="8" t="s">
        <v>119</v>
      </c>
      <c r="L1289" s="18" t="str">
        <f>VLOOKUP(D1289,Products!$A:$C,3,FALSE)</f>
        <v>Sports</v>
      </c>
      <c r="N1289" s="18" t="str">
        <f>VLOOKUP(C1289,Customers!$A:$E,5,FALSE)</f>
        <v>SMB</v>
      </c>
      <c r="O1289" s="18">
        <f>VLOOKUP(C1289,Customers!$A:$C,3,FALSE)</f>
        <v>48</v>
      </c>
    </row>
    <row r="1290" spans="1:19" ht="14.25" hidden="1" customHeight="1" x14ac:dyDescent="0.3">
      <c r="A1290" s="8" t="s">
        <v>2335</v>
      </c>
      <c r="B1290" s="9">
        <v>45397</v>
      </c>
      <c r="C1290" s="8" t="s">
        <v>573</v>
      </c>
      <c r="D1290" s="8" t="s">
        <v>918</v>
      </c>
      <c r="E1290" s="8" t="s">
        <v>208</v>
      </c>
      <c r="F1290" s="10">
        <v>8</v>
      </c>
      <c r="G1290" s="10">
        <v>2210</v>
      </c>
      <c r="H1290" s="10">
        <v>9.8000000000000007</v>
      </c>
      <c r="I1290" s="10">
        <v>15947.36</v>
      </c>
      <c r="J1290" s="8" t="s">
        <v>41</v>
      </c>
      <c r="K1290" s="8" t="s">
        <v>136</v>
      </c>
      <c r="L1290" s="18" t="str">
        <f>VLOOKUP(D1290,Products!$A:$C,3,FALSE)</f>
        <v>Grocery</v>
      </c>
      <c r="N1290" s="18" t="str">
        <f>VLOOKUP(C1290,Customers!$A:$E,5,FALSE)</f>
        <v>SMB</v>
      </c>
      <c r="O1290" s="18">
        <f>VLOOKUP(C1290,Customers!$A:$C,3,FALSE)</f>
        <v>44</v>
      </c>
    </row>
    <row r="1291" spans="1:19" ht="14.25" hidden="1" customHeight="1" x14ac:dyDescent="0.3">
      <c r="A1291" s="8" t="s">
        <v>2336</v>
      </c>
      <c r="B1291" s="9">
        <v>45453</v>
      </c>
      <c r="C1291" s="8" t="s">
        <v>667</v>
      </c>
      <c r="D1291" s="8" t="s">
        <v>242</v>
      </c>
      <c r="E1291" s="8" t="s">
        <v>214</v>
      </c>
      <c r="F1291" s="10">
        <v>7</v>
      </c>
      <c r="G1291" s="10">
        <v>1650</v>
      </c>
      <c r="H1291" s="10">
        <v>8.4</v>
      </c>
      <c r="I1291" s="10">
        <v>10579.8</v>
      </c>
      <c r="J1291" s="8" t="s">
        <v>41</v>
      </c>
      <c r="K1291" s="8" t="s">
        <v>136</v>
      </c>
      <c r="L1291" s="18" t="str">
        <f>VLOOKUP(D1291,Products!$A:$C,3,FALSE)</f>
        <v>Beauty</v>
      </c>
      <c r="N1291" s="18" t="str">
        <f>VLOOKUP(C1291,Customers!$A:$E,5,FALSE)</f>
        <v>Retail</v>
      </c>
      <c r="O1291" s="18">
        <f>VLOOKUP(C1291,Customers!$A:$C,3,FALSE)</f>
        <v>55</v>
      </c>
    </row>
    <row r="1292" spans="1:19" ht="14.25" customHeight="1" x14ac:dyDescent="0.3">
      <c r="A1292" s="8" t="s">
        <v>2337</v>
      </c>
      <c r="B1292" s="21">
        <v>45359</v>
      </c>
      <c r="C1292" s="8" t="s">
        <v>578</v>
      </c>
      <c r="D1292" s="8" t="s">
        <v>389</v>
      </c>
      <c r="E1292" s="8" t="s">
        <v>745</v>
      </c>
      <c r="F1292" s="10">
        <v>8</v>
      </c>
      <c r="G1292" s="10">
        <v>660</v>
      </c>
      <c r="H1292" s="10">
        <v>7.5</v>
      </c>
      <c r="I1292" s="10">
        <v>4884</v>
      </c>
      <c r="J1292" s="8" t="s">
        <v>41</v>
      </c>
      <c r="K1292" s="8" t="s">
        <v>98</v>
      </c>
      <c r="L1292" s="18" t="str">
        <f>VLOOKUP(D1292,Products!$A:$C,3,FALSE)</f>
        <v>Home</v>
      </c>
      <c r="N1292" s="18" t="str">
        <f>VLOOKUP(C1292,Customers!$A:$E,5,FALSE)</f>
        <v>Retail</v>
      </c>
      <c r="O1292" s="18">
        <f>VLOOKUP(C1292,Customers!$A:$C,3,FALSE)</f>
        <v>32</v>
      </c>
      <c r="P1292" s="18" t="str">
        <f>VLOOKUP(E1291,Sales_Reps!$A:$C,3,FALSE)</f>
        <v>South</v>
      </c>
      <c r="Q1292" s="18" t="str">
        <f>TEXT(B1291,"MMM-YY")</f>
        <v>Jun-24</v>
      </c>
      <c r="R1292">
        <f>VLOOKUP(D1292, Products!A:D, 4, FALSE)</f>
        <v>329</v>
      </c>
      <c r="S1292">
        <f>(G1292-R1292)/G1292</f>
        <v>0.50151515151515147</v>
      </c>
    </row>
    <row r="1293" spans="1:19" ht="14.25" hidden="1" customHeight="1" x14ac:dyDescent="0.3">
      <c r="A1293" s="8" t="s">
        <v>2338</v>
      </c>
      <c r="B1293" s="9">
        <v>45644</v>
      </c>
      <c r="C1293" s="8" t="s">
        <v>733</v>
      </c>
      <c r="D1293" s="8" t="s">
        <v>839</v>
      </c>
      <c r="E1293" s="8" t="s">
        <v>185</v>
      </c>
      <c r="F1293" s="10">
        <v>3</v>
      </c>
      <c r="G1293" s="10">
        <v>4610</v>
      </c>
      <c r="H1293" s="10">
        <v>29.6</v>
      </c>
      <c r="I1293" s="10">
        <v>9736.32</v>
      </c>
      <c r="J1293" s="8" t="s">
        <v>41</v>
      </c>
      <c r="K1293" s="8" t="s">
        <v>136</v>
      </c>
      <c r="L1293" s="18" t="str">
        <f>VLOOKUP(D1293,Products!$A:$C,3,FALSE)</f>
        <v>Home</v>
      </c>
      <c r="N1293" s="18" t="str">
        <f>VLOOKUP(C1293,Customers!$A:$E,5,FALSE)</f>
        <v>SMB</v>
      </c>
      <c r="O1293" s="18">
        <f>VLOOKUP(C1293,Customers!$A:$C,3,FALSE)</f>
        <v>44</v>
      </c>
    </row>
    <row r="1294" spans="1:19" ht="14.25" customHeight="1" x14ac:dyDescent="0.3">
      <c r="A1294" s="8" t="s">
        <v>2339</v>
      </c>
      <c r="B1294" s="21">
        <v>45325</v>
      </c>
      <c r="C1294" s="8" t="s">
        <v>166</v>
      </c>
      <c r="D1294" s="8" t="s">
        <v>918</v>
      </c>
      <c r="E1294" s="8" t="s">
        <v>145</v>
      </c>
      <c r="F1294" s="10">
        <v>6</v>
      </c>
      <c r="G1294" s="10">
        <v>2210</v>
      </c>
      <c r="H1294" s="10">
        <v>9.5</v>
      </c>
      <c r="I1294" s="10">
        <v>12000.3</v>
      </c>
      <c r="J1294" s="8" t="s">
        <v>41</v>
      </c>
      <c r="K1294" s="8" t="s">
        <v>146</v>
      </c>
      <c r="L1294" s="18" t="str">
        <f>VLOOKUP(D1294,Products!$A:$C,3,FALSE)</f>
        <v>Grocery</v>
      </c>
      <c r="N1294" s="18" t="str">
        <f>VLOOKUP(C1294,Customers!$A:$E,5,FALSE)</f>
        <v>SMB</v>
      </c>
      <c r="O1294" s="18">
        <f>VLOOKUP(C1294,Customers!$A:$C,3,FALSE)</f>
        <v>22</v>
      </c>
      <c r="P1294" s="18" t="str">
        <f>VLOOKUP(E1293,Sales_Reps!$A:$C,3,FALSE)</f>
        <v>North</v>
      </c>
      <c r="Q1294" s="18" t="str">
        <f>TEXT(B1293,"MMM-YY")</f>
        <v>Dec-24</v>
      </c>
      <c r="R1294">
        <f>VLOOKUP(D1294, Products!A:D, 4, FALSE)</f>
        <v>1010</v>
      </c>
      <c r="S1294">
        <f>(G1294-R1294)/G1294</f>
        <v>0.54298642533936647</v>
      </c>
    </row>
    <row r="1295" spans="1:19" ht="14.25" hidden="1" customHeight="1" x14ac:dyDescent="0.3">
      <c r="A1295" s="8" t="s">
        <v>2340</v>
      </c>
      <c r="B1295" s="9">
        <v>45533</v>
      </c>
      <c r="C1295" s="8" t="s">
        <v>477</v>
      </c>
      <c r="D1295" s="8" t="s">
        <v>939</v>
      </c>
      <c r="E1295" s="8" t="s">
        <v>121</v>
      </c>
      <c r="F1295" s="10">
        <v>4</v>
      </c>
      <c r="G1295" s="10">
        <v>2290</v>
      </c>
      <c r="H1295" s="10">
        <v>3.3</v>
      </c>
      <c r="I1295" s="10">
        <v>8857.7199999999993</v>
      </c>
      <c r="J1295" s="8" t="s">
        <v>41</v>
      </c>
      <c r="K1295" s="8" t="s">
        <v>98</v>
      </c>
      <c r="L1295" s="18" t="str">
        <f>VLOOKUP(D1295,Products!$A:$C,3,FALSE)</f>
        <v>Beauty</v>
      </c>
      <c r="N1295" s="18" t="str">
        <f>VLOOKUP(C1295,Customers!$A:$E,5,FALSE)</f>
        <v>SMB</v>
      </c>
      <c r="O1295" s="18">
        <f>VLOOKUP(C1295,Customers!$A:$C,3,FALSE)</f>
        <v>62</v>
      </c>
    </row>
    <row r="1296" spans="1:19" ht="14.25" hidden="1" customHeight="1" x14ac:dyDescent="0.3">
      <c r="A1296" s="8" t="s">
        <v>2341</v>
      </c>
      <c r="B1296" s="9">
        <v>45369</v>
      </c>
      <c r="C1296" s="8" t="s">
        <v>123</v>
      </c>
      <c r="D1296" s="8" t="s">
        <v>224</v>
      </c>
      <c r="E1296" s="8" t="s">
        <v>376</v>
      </c>
      <c r="F1296" s="10">
        <v>5</v>
      </c>
      <c r="G1296" s="10">
        <v>1080</v>
      </c>
      <c r="H1296" s="10">
        <v>26.1</v>
      </c>
      <c r="I1296" s="10">
        <v>3990.6</v>
      </c>
      <c r="J1296" s="8" t="s">
        <v>41</v>
      </c>
      <c r="K1296" s="8" t="s">
        <v>119</v>
      </c>
      <c r="L1296" s="18" t="str">
        <f>VLOOKUP(D1296,Products!$A:$C,3,FALSE)</f>
        <v>Home</v>
      </c>
      <c r="N1296" s="18" t="str">
        <f>VLOOKUP(C1296,Customers!$A:$E,5,FALSE)</f>
        <v>Corporate</v>
      </c>
      <c r="O1296" s="18">
        <f>VLOOKUP(C1296,Customers!$A:$C,3,FALSE)</f>
        <v>46</v>
      </c>
    </row>
    <row r="1297" spans="1:19" ht="14.25" customHeight="1" x14ac:dyDescent="0.3">
      <c r="A1297" s="8" t="s">
        <v>2342</v>
      </c>
      <c r="B1297" s="21">
        <v>45312</v>
      </c>
      <c r="C1297" s="8" t="s">
        <v>433</v>
      </c>
      <c r="D1297" s="8" t="s">
        <v>152</v>
      </c>
      <c r="E1297" s="8" t="s">
        <v>177</v>
      </c>
      <c r="F1297" s="10">
        <v>7</v>
      </c>
      <c r="G1297" s="10">
        <v>960</v>
      </c>
      <c r="H1297" s="10">
        <v>17.7</v>
      </c>
      <c r="I1297" s="10">
        <v>5530.56</v>
      </c>
      <c r="J1297" s="8" t="s">
        <v>41</v>
      </c>
      <c r="K1297" s="8" t="s">
        <v>42</v>
      </c>
      <c r="L1297" s="18" t="str">
        <f>VLOOKUP(D1297,Products!$A:$C,3,FALSE)</f>
        <v>Sports</v>
      </c>
      <c r="N1297" s="18" t="str">
        <f>VLOOKUP(C1297,Customers!$A:$E,5,FALSE)</f>
        <v>SMB</v>
      </c>
      <c r="O1297" s="18">
        <f>VLOOKUP(C1297,Customers!$A:$C,3,FALSE)</f>
        <v>30</v>
      </c>
      <c r="P1297" s="18" t="str">
        <f>VLOOKUP(E1296,Sales_Reps!$A:$C,3,FALSE)</f>
        <v>West</v>
      </c>
      <c r="Q1297" s="18" t="str">
        <f>TEXT(B1296,"MMM-YY")</f>
        <v>Mar-24</v>
      </c>
      <c r="R1297">
        <f>VLOOKUP(D1297, Products!A:D, 4, FALSE)</f>
        <v>705</v>
      </c>
      <c r="S1297">
        <f>(G1297-R1297)/G1297</f>
        <v>0.265625</v>
      </c>
    </row>
    <row r="1298" spans="1:19" ht="14.25" hidden="1" customHeight="1" x14ac:dyDescent="0.3">
      <c r="A1298" s="8" t="s">
        <v>2343</v>
      </c>
      <c r="B1298" s="9">
        <v>45445</v>
      </c>
      <c r="C1298" s="8" t="s">
        <v>816</v>
      </c>
      <c r="D1298" s="8" t="s">
        <v>205</v>
      </c>
      <c r="E1298" s="8" t="s">
        <v>135</v>
      </c>
      <c r="F1298" s="10">
        <v>1</v>
      </c>
      <c r="G1298" s="10">
        <v>2400</v>
      </c>
      <c r="H1298" s="10">
        <v>29.9</v>
      </c>
      <c r="I1298" s="10">
        <v>1682.4</v>
      </c>
      <c r="J1298" s="8" t="s">
        <v>41</v>
      </c>
      <c r="K1298" s="8" t="s">
        <v>146</v>
      </c>
      <c r="L1298" s="18" t="str">
        <f>VLOOKUP(D1298,Products!$A:$C,3,FALSE)</f>
        <v>Sports</v>
      </c>
      <c r="N1298" s="18" t="str">
        <f>VLOOKUP(C1298,Customers!$A:$E,5,FALSE)</f>
        <v>SMB</v>
      </c>
      <c r="O1298" s="18">
        <f>VLOOKUP(C1298,Customers!$A:$C,3,FALSE)</f>
        <v>47</v>
      </c>
    </row>
    <row r="1299" spans="1:19" ht="14.25" customHeight="1" x14ac:dyDescent="0.3">
      <c r="A1299" s="8" t="s">
        <v>2344</v>
      </c>
      <c r="B1299" s="21">
        <v>45636</v>
      </c>
      <c r="C1299" s="8" t="s">
        <v>425</v>
      </c>
      <c r="D1299" s="8" t="s">
        <v>939</v>
      </c>
      <c r="E1299" s="8" t="s">
        <v>177</v>
      </c>
      <c r="F1299" s="10">
        <v>9</v>
      </c>
      <c r="G1299" s="10">
        <v>2290</v>
      </c>
      <c r="H1299" s="10">
        <v>28.8</v>
      </c>
      <c r="I1299" s="10">
        <v>14674.32</v>
      </c>
      <c r="J1299" s="8" t="s">
        <v>41</v>
      </c>
      <c r="K1299" s="8" t="s">
        <v>146</v>
      </c>
      <c r="L1299" s="18" t="str">
        <f>VLOOKUP(D1299,Products!$A:$C,3,FALSE)</f>
        <v>Beauty</v>
      </c>
      <c r="N1299" s="18" t="str">
        <f>VLOOKUP(C1299,Customers!$A:$E,5,FALSE)</f>
        <v>Retail</v>
      </c>
      <c r="O1299" s="18">
        <f>VLOOKUP(C1299,Customers!$A:$C,3,FALSE)</f>
        <v>38</v>
      </c>
      <c r="P1299" s="18" t="str">
        <f>VLOOKUP(E1298,Sales_Reps!$A:$C,3,FALSE)</f>
        <v>North</v>
      </c>
      <c r="Q1299" s="18" t="str">
        <f t="shared" ref="Q1299:Q1300" si="254">TEXT(B1298,"MMM-YY")</f>
        <v>Jun-24</v>
      </c>
      <c r="R1299">
        <f>VLOOKUP(D1299, Products!A:D, 4, FALSE)</f>
        <v>1219</v>
      </c>
      <c r="S1299">
        <f t="shared" ref="S1299:S1300" si="255">(G1299-R1299)/G1299</f>
        <v>0.46768558951965067</v>
      </c>
    </row>
    <row r="1300" spans="1:19" ht="14.25" customHeight="1" x14ac:dyDescent="0.3">
      <c r="A1300" s="8" t="s">
        <v>2345</v>
      </c>
      <c r="B1300" s="21">
        <v>45294</v>
      </c>
      <c r="C1300" s="8" t="s">
        <v>568</v>
      </c>
      <c r="D1300" s="8" t="s">
        <v>224</v>
      </c>
      <c r="E1300" s="8" t="s">
        <v>167</v>
      </c>
      <c r="F1300" s="10">
        <v>9</v>
      </c>
      <c r="G1300" s="10">
        <v>1080</v>
      </c>
      <c r="H1300" s="10">
        <v>10.3</v>
      </c>
      <c r="I1300" s="10">
        <v>8718.84</v>
      </c>
      <c r="J1300" s="8" t="s">
        <v>41</v>
      </c>
      <c r="K1300" s="8" t="s">
        <v>98</v>
      </c>
      <c r="L1300" s="18" t="str">
        <f>VLOOKUP(D1300,Products!$A:$C,3,FALSE)</f>
        <v>Home</v>
      </c>
      <c r="N1300" s="18" t="str">
        <f>VLOOKUP(C1300,Customers!$A:$E,5,FALSE)</f>
        <v>Retail</v>
      </c>
      <c r="O1300" s="18">
        <f>VLOOKUP(C1300,Customers!$A:$C,3,FALSE)</f>
        <v>37</v>
      </c>
      <c r="P1300" s="18" t="str">
        <f>VLOOKUP(E1299,Sales_Reps!$A:$C,3,FALSE)</f>
        <v>South</v>
      </c>
      <c r="Q1300" s="18" t="str">
        <f t="shared" si="254"/>
        <v>Dec-24</v>
      </c>
      <c r="R1300">
        <f>VLOOKUP(D1300, Products!A:D, 4, FALSE)</f>
        <v>519</v>
      </c>
      <c r="S1300">
        <f t="shared" si="255"/>
        <v>0.51944444444444449</v>
      </c>
    </row>
    <row r="1301" spans="1:19" ht="14.25" hidden="1" customHeight="1" x14ac:dyDescent="0.3">
      <c r="A1301" s="8" t="s">
        <v>2346</v>
      </c>
      <c r="B1301" s="9">
        <v>45449</v>
      </c>
      <c r="C1301" s="8" t="s">
        <v>454</v>
      </c>
      <c r="D1301" s="8" t="s">
        <v>929</v>
      </c>
      <c r="E1301" s="8" t="s">
        <v>185</v>
      </c>
      <c r="F1301" s="10">
        <v>1</v>
      </c>
      <c r="G1301" s="10">
        <v>1090</v>
      </c>
      <c r="H1301" s="10">
        <v>5.8</v>
      </c>
      <c r="I1301" s="10">
        <v>1026.78</v>
      </c>
      <c r="J1301" s="8" t="s">
        <v>147</v>
      </c>
      <c r="K1301" s="8" t="s">
        <v>119</v>
      </c>
      <c r="L1301" s="18" t="str">
        <f>VLOOKUP(D1301,Products!$A:$C,3,FALSE)</f>
        <v>Home</v>
      </c>
      <c r="N1301" s="18" t="str">
        <f>VLOOKUP(C1301,Customers!$A:$E,5,FALSE)</f>
        <v>Retail</v>
      </c>
      <c r="O1301" s="18">
        <f>VLOOKUP(C1301,Customers!$A:$C,3,FALSE)</f>
        <v>55</v>
      </c>
    </row>
    <row r="1302" spans="1:19" ht="14.25" customHeight="1" x14ac:dyDescent="0.3">
      <c r="A1302" s="8" t="s">
        <v>2347</v>
      </c>
      <c r="B1302" s="21">
        <v>45560</v>
      </c>
      <c r="C1302" s="8" t="s">
        <v>530</v>
      </c>
      <c r="D1302" s="8" t="s">
        <v>918</v>
      </c>
      <c r="E1302" s="8" t="s">
        <v>167</v>
      </c>
      <c r="F1302" s="10">
        <v>3</v>
      </c>
      <c r="G1302" s="10">
        <v>2210</v>
      </c>
      <c r="H1302" s="10">
        <v>18.2</v>
      </c>
      <c r="I1302" s="10">
        <v>5423.34</v>
      </c>
      <c r="J1302" s="8" t="s">
        <v>97</v>
      </c>
      <c r="K1302" s="8" t="s">
        <v>146</v>
      </c>
      <c r="L1302" s="18" t="str">
        <f>VLOOKUP(D1302,Products!$A:$C,3,FALSE)</f>
        <v>Grocery</v>
      </c>
      <c r="N1302" s="18" t="str">
        <f>VLOOKUP(C1302,Customers!$A:$E,5,FALSE)</f>
        <v>Retail</v>
      </c>
      <c r="O1302" s="18">
        <f>VLOOKUP(C1302,Customers!$A:$C,3,FALSE)</f>
        <v>37</v>
      </c>
      <c r="P1302" s="18" t="str">
        <f>VLOOKUP(E1301,Sales_Reps!$A:$C,3,FALSE)</f>
        <v>North</v>
      </c>
      <c r="Q1302" s="18" t="str">
        <f>TEXT(B1301,"MMM-YY")</f>
        <v>Jun-24</v>
      </c>
      <c r="R1302">
        <f>VLOOKUP(D1302, Products!A:D, 4, FALSE)</f>
        <v>1010</v>
      </c>
      <c r="S1302">
        <f>(G1302-R1302)/G1302</f>
        <v>0.54298642533936647</v>
      </c>
    </row>
    <row r="1303" spans="1:19" ht="14.25" hidden="1" customHeight="1" x14ac:dyDescent="0.3">
      <c r="A1303" s="8" t="s">
        <v>2348</v>
      </c>
      <c r="B1303" s="9">
        <v>45588</v>
      </c>
      <c r="C1303" s="8" t="s">
        <v>357</v>
      </c>
      <c r="D1303" s="8" t="s">
        <v>37</v>
      </c>
      <c r="E1303" s="8" t="s">
        <v>301</v>
      </c>
      <c r="F1303" s="10">
        <v>8</v>
      </c>
      <c r="G1303" s="10">
        <v>3620</v>
      </c>
      <c r="H1303" s="10">
        <v>1.4</v>
      </c>
      <c r="I1303" s="10">
        <v>28554.560000000001</v>
      </c>
      <c r="J1303" s="8" t="s">
        <v>41</v>
      </c>
      <c r="K1303" s="8" t="s">
        <v>42</v>
      </c>
      <c r="L1303" s="18" t="str">
        <f>VLOOKUP(D1303,Products!$A:$C,3,FALSE)</f>
        <v>Apparel</v>
      </c>
      <c r="N1303" s="18" t="str">
        <f>VLOOKUP(C1303,Customers!$A:$E,5,FALSE)</f>
        <v>Corporate</v>
      </c>
      <c r="O1303" s="18">
        <f>VLOOKUP(C1303,Customers!$A:$C,3,FALSE)</f>
        <v>47</v>
      </c>
    </row>
    <row r="1304" spans="1:19" ht="14.25" customHeight="1" x14ac:dyDescent="0.3">
      <c r="A1304" s="8" t="s">
        <v>2349</v>
      </c>
      <c r="B1304" s="21">
        <v>45360</v>
      </c>
      <c r="C1304" s="8" t="s">
        <v>173</v>
      </c>
      <c r="D1304" s="8" t="s">
        <v>924</v>
      </c>
      <c r="E1304" s="8" t="s">
        <v>865</v>
      </c>
      <c r="F1304" s="10">
        <v>7</v>
      </c>
      <c r="G1304" s="10">
        <v>2030</v>
      </c>
      <c r="H1304" s="10">
        <v>27.7</v>
      </c>
      <c r="I1304" s="10">
        <v>10273.83</v>
      </c>
      <c r="J1304" s="8" t="s">
        <v>41</v>
      </c>
      <c r="K1304" s="8" t="s">
        <v>178</v>
      </c>
      <c r="L1304" s="18" t="str">
        <f>VLOOKUP(D1304,Products!$A:$C,3,FALSE)</f>
        <v>Home</v>
      </c>
      <c r="N1304" s="18" t="str">
        <f>VLOOKUP(C1304,Customers!$A:$E,5,FALSE)</f>
        <v>Retail</v>
      </c>
      <c r="O1304" s="18">
        <f>VLOOKUP(C1304,Customers!$A:$C,3,FALSE)</f>
        <v>26</v>
      </c>
      <c r="P1304" s="18" t="str">
        <f>VLOOKUP(E1303,Sales_Reps!$A:$C,3,FALSE)</f>
        <v>South</v>
      </c>
      <c r="Q1304" s="18" t="str">
        <f t="shared" ref="Q1304:Q1305" si="256">TEXT(B1303,"MMM-YY")</f>
        <v>Oct-24</v>
      </c>
      <c r="R1304">
        <f>VLOOKUP(D1304, Products!A:D, 4, FALSE)</f>
        <v>1143</v>
      </c>
      <c r="S1304">
        <f t="shared" ref="S1304:S1305" si="257">(G1304-R1304)/G1304</f>
        <v>0.43694581280788175</v>
      </c>
    </row>
    <row r="1305" spans="1:19" ht="14.25" customHeight="1" x14ac:dyDescent="0.3">
      <c r="A1305" s="8" t="s">
        <v>381</v>
      </c>
      <c r="B1305" s="21">
        <v>45316</v>
      </c>
      <c r="C1305" s="8" t="s">
        <v>384</v>
      </c>
      <c r="D1305" s="8" t="s">
        <v>188</v>
      </c>
      <c r="E1305" s="8" t="s">
        <v>208</v>
      </c>
      <c r="F1305" s="10">
        <v>1</v>
      </c>
      <c r="G1305" s="10">
        <v>3870</v>
      </c>
      <c r="H1305" s="10">
        <v>29.6</v>
      </c>
      <c r="I1305" s="10">
        <v>2724.48</v>
      </c>
      <c r="J1305" s="8" t="s">
        <v>41</v>
      </c>
      <c r="K1305" s="8" t="s">
        <v>136</v>
      </c>
      <c r="L1305" s="18" t="str">
        <f>VLOOKUP(D1305,Products!$A:$C,3,FALSE)</f>
        <v>Electronics</v>
      </c>
      <c r="N1305" s="18" t="str">
        <f>VLOOKUP(C1305,Customers!$A:$E,5,FALSE)</f>
        <v>Corporate</v>
      </c>
      <c r="O1305" s="18">
        <f>VLOOKUP(C1305,Customers!$A:$C,3,FALSE)</f>
        <v>26</v>
      </c>
      <c r="P1305" s="18" t="str">
        <f>VLOOKUP(E1304,Sales_Reps!$A:$C,3,FALSE)</f>
        <v>South</v>
      </c>
      <c r="Q1305" s="18" t="str">
        <f t="shared" si="256"/>
        <v>Mar-24</v>
      </c>
      <c r="R1305">
        <f>VLOOKUP(D1305, Products!A:D, 4, FALSE)</f>
        <v>1559</v>
      </c>
      <c r="S1305">
        <f t="shared" si="257"/>
        <v>0.59715762273901807</v>
      </c>
    </row>
    <row r="1306" spans="1:19" ht="14.25" hidden="1" customHeight="1" x14ac:dyDescent="0.3">
      <c r="A1306" s="8" t="s">
        <v>2350</v>
      </c>
      <c r="B1306" s="9">
        <v>45324</v>
      </c>
      <c r="C1306" s="8" t="s">
        <v>340</v>
      </c>
      <c r="D1306" s="8" t="s">
        <v>211</v>
      </c>
      <c r="E1306" s="8" t="s">
        <v>117</v>
      </c>
      <c r="F1306" s="10">
        <v>5</v>
      </c>
      <c r="G1306" s="10">
        <v>3570</v>
      </c>
      <c r="H1306" s="10">
        <v>11.8</v>
      </c>
      <c r="I1306" s="10">
        <v>15743.7</v>
      </c>
      <c r="J1306" s="8" t="s">
        <v>193</v>
      </c>
      <c r="K1306" s="8" t="s">
        <v>136</v>
      </c>
      <c r="L1306" s="18" t="str">
        <f>VLOOKUP(D1306,Products!$A:$C,3,FALSE)</f>
        <v>Electronics</v>
      </c>
      <c r="N1306" s="18" t="str">
        <f>VLOOKUP(C1306,Customers!$A:$E,5,FALSE)</f>
        <v>Retail</v>
      </c>
      <c r="O1306" s="18">
        <f>VLOOKUP(C1306,Customers!$A:$C,3,FALSE)</f>
        <v>52</v>
      </c>
    </row>
    <row r="1307" spans="1:19" ht="14.25" customHeight="1" x14ac:dyDescent="0.3">
      <c r="A1307" s="8" t="s">
        <v>348</v>
      </c>
      <c r="B1307" s="21">
        <v>45650</v>
      </c>
      <c r="C1307" s="8" t="s">
        <v>353</v>
      </c>
      <c r="D1307" s="8" t="s">
        <v>230</v>
      </c>
      <c r="E1307" s="8" t="s">
        <v>158</v>
      </c>
      <c r="F1307" s="10">
        <v>7</v>
      </c>
      <c r="G1307" s="10">
        <v>5330</v>
      </c>
      <c r="H1307" s="10">
        <v>8.1999999999999993</v>
      </c>
      <c r="I1307" s="10">
        <v>34250.58</v>
      </c>
      <c r="J1307" s="8" t="s">
        <v>41</v>
      </c>
      <c r="K1307" s="8" t="s">
        <v>136</v>
      </c>
      <c r="L1307" s="18" t="str">
        <f>VLOOKUP(D1307,Products!$A:$C,3,FALSE)</f>
        <v>Electronics</v>
      </c>
      <c r="N1307" s="18" t="str">
        <f>VLOOKUP(C1307,Customers!$A:$E,5,FALSE)</f>
        <v>Corporate</v>
      </c>
      <c r="O1307" s="18">
        <f>VLOOKUP(C1307,Customers!$A:$C,3,FALSE)</f>
        <v>31</v>
      </c>
      <c r="P1307" s="18" t="str">
        <f>VLOOKUP(E1306,Sales_Reps!$A:$C,3,FALSE)</f>
        <v>South</v>
      </c>
      <c r="Q1307" s="18" t="str">
        <f t="shared" ref="Q1307:Q1308" si="258">TEXT(B1306,"MMM-YY")</f>
        <v>Feb-24</v>
      </c>
      <c r="R1307">
        <f>VLOOKUP(D1307, Products!A:D, 4, FALSE)</f>
        <v>2405</v>
      </c>
      <c r="S1307">
        <f t="shared" ref="S1307:S1308" si="259">(G1307-R1307)/G1307</f>
        <v>0.54878048780487809</v>
      </c>
    </row>
    <row r="1308" spans="1:19" ht="14.25" customHeight="1" x14ac:dyDescent="0.3">
      <c r="A1308" s="8" t="s">
        <v>2351</v>
      </c>
      <c r="B1308" s="21">
        <v>45564</v>
      </c>
      <c r="C1308" s="8" t="s">
        <v>591</v>
      </c>
      <c r="D1308" s="8" t="s">
        <v>160</v>
      </c>
      <c r="E1308" s="8" t="s">
        <v>214</v>
      </c>
      <c r="F1308" s="10">
        <v>5</v>
      </c>
      <c r="G1308" s="10">
        <v>1220</v>
      </c>
      <c r="H1308" s="10">
        <v>17.8</v>
      </c>
      <c r="I1308" s="10">
        <v>5014.2</v>
      </c>
      <c r="J1308" s="8" t="s">
        <v>193</v>
      </c>
      <c r="K1308" s="8" t="s">
        <v>42</v>
      </c>
      <c r="L1308" s="18" t="str">
        <f>VLOOKUP(D1308,Products!$A:$C,3,FALSE)</f>
        <v>Electronics</v>
      </c>
      <c r="N1308" s="18" t="str">
        <f>VLOOKUP(C1308,Customers!$A:$E,5,FALSE)</f>
        <v>Retail</v>
      </c>
      <c r="O1308" s="18">
        <f>VLOOKUP(C1308,Customers!$A:$C,3,FALSE)</f>
        <v>36</v>
      </c>
      <c r="P1308" s="18" t="str">
        <f>VLOOKUP(E1307,Sales_Reps!$A:$C,3,FALSE)</f>
        <v>East</v>
      </c>
      <c r="Q1308" s="18" t="str">
        <f t="shared" si="258"/>
        <v>Dec-24</v>
      </c>
      <c r="R1308">
        <f>VLOOKUP(D1308, Products!A:D, 4, FALSE)</f>
        <v>517</v>
      </c>
      <c r="S1308">
        <f t="shared" si="259"/>
        <v>0.57622950819672136</v>
      </c>
    </row>
    <row r="1309" spans="1:19" ht="14.25" hidden="1" customHeight="1" x14ac:dyDescent="0.3">
      <c r="A1309" s="8" t="s">
        <v>2352</v>
      </c>
      <c r="B1309" s="9">
        <v>45587</v>
      </c>
      <c r="C1309" s="8" t="s">
        <v>223</v>
      </c>
      <c r="D1309" s="8" t="s">
        <v>889</v>
      </c>
      <c r="E1309" s="8" t="s">
        <v>158</v>
      </c>
      <c r="F1309" s="10">
        <v>7</v>
      </c>
      <c r="G1309" s="10">
        <v>3450</v>
      </c>
      <c r="H1309" s="10">
        <v>29.3</v>
      </c>
      <c r="I1309" s="10">
        <v>17074.05</v>
      </c>
      <c r="J1309" s="8" t="s">
        <v>41</v>
      </c>
      <c r="K1309" s="8" t="s">
        <v>98</v>
      </c>
      <c r="L1309" s="18" t="str">
        <f>VLOOKUP(D1309,Products!$A:$C,3,FALSE)</f>
        <v>Apparel</v>
      </c>
      <c r="N1309" s="18" t="str">
        <f>VLOOKUP(C1309,Customers!$A:$E,5,FALSE)</f>
        <v>Retail</v>
      </c>
      <c r="O1309" s="18">
        <f>VLOOKUP(C1309,Customers!$A:$C,3,FALSE)</f>
        <v>49</v>
      </c>
    </row>
    <row r="1310" spans="1:19" ht="14.25" hidden="1" customHeight="1" x14ac:dyDescent="0.3">
      <c r="A1310" s="8" t="s">
        <v>2353</v>
      </c>
      <c r="B1310" s="9">
        <v>45538</v>
      </c>
      <c r="C1310" s="8" t="s">
        <v>506</v>
      </c>
      <c r="D1310" s="8" t="s">
        <v>901</v>
      </c>
      <c r="E1310" s="8" t="s">
        <v>745</v>
      </c>
      <c r="F1310" s="10">
        <v>6</v>
      </c>
      <c r="G1310" s="10">
        <v>3560</v>
      </c>
      <c r="H1310" s="10">
        <v>9.4</v>
      </c>
      <c r="I1310" s="10">
        <v>19352.16</v>
      </c>
      <c r="J1310" s="8" t="s">
        <v>97</v>
      </c>
      <c r="K1310" s="8" t="s">
        <v>146</v>
      </c>
      <c r="L1310" s="18" t="str">
        <f>VLOOKUP(D1310,Products!$A:$C,3,FALSE)</f>
        <v>Apparel</v>
      </c>
      <c r="N1310" s="18" t="str">
        <f>VLOOKUP(C1310,Customers!$A:$E,5,FALSE)</f>
        <v>SMB</v>
      </c>
      <c r="O1310" s="18">
        <f>VLOOKUP(C1310,Customers!$A:$C,3,FALSE)</f>
        <v>65</v>
      </c>
    </row>
    <row r="1311" spans="1:19" ht="14.25" customHeight="1" x14ac:dyDescent="0.3">
      <c r="A1311" s="8" t="s">
        <v>2354</v>
      </c>
      <c r="B1311" s="21">
        <v>45385</v>
      </c>
      <c r="C1311" s="8" t="s">
        <v>503</v>
      </c>
      <c r="D1311" s="8" t="s">
        <v>144</v>
      </c>
      <c r="E1311" s="8" t="s">
        <v>96</v>
      </c>
      <c r="F1311" s="10">
        <v>4</v>
      </c>
      <c r="G1311" s="10">
        <v>370</v>
      </c>
      <c r="H1311" s="10">
        <v>4.9000000000000004</v>
      </c>
      <c r="I1311" s="10">
        <v>1407.48</v>
      </c>
      <c r="J1311" s="8" t="s">
        <v>41</v>
      </c>
      <c r="K1311" s="8" t="s">
        <v>136</v>
      </c>
      <c r="L1311" s="18" t="str">
        <f>VLOOKUP(D1311,Products!$A:$C,3,FALSE)</f>
        <v>Home</v>
      </c>
      <c r="N1311" s="18" t="str">
        <f>VLOOKUP(C1311,Customers!$A:$E,5,FALSE)</f>
        <v>Corporate</v>
      </c>
      <c r="O1311" s="18">
        <f>VLOOKUP(C1311,Customers!$A:$C,3,FALSE)</f>
        <v>36</v>
      </c>
      <c r="P1311" s="18" t="str">
        <f>VLOOKUP(E1310,Sales_Reps!$A:$C,3,FALSE)</f>
        <v>South</v>
      </c>
      <c r="Q1311" s="18" t="str">
        <f>TEXT(B1310,"MMM-YY")</f>
        <v>Sep-24</v>
      </c>
      <c r="R1311">
        <f>VLOOKUP(D1311, Products!A:D, 4, FALSE)</f>
        <v>288</v>
      </c>
      <c r="S1311">
        <f>(G1311-R1311)/G1311</f>
        <v>0.22162162162162163</v>
      </c>
    </row>
    <row r="1312" spans="1:19" ht="14.25" hidden="1" customHeight="1" x14ac:dyDescent="0.3">
      <c r="A1312" s="8" t="s">
        <v>2355</v>
      </c>
      <c r="B1312" s="9">
        <v>45647</v>
      </c>
      <c r="C1312" s="8" t="s">
        <v>810</v>
      </c>
      <c r="D1312" s="8" t="s">
        <v>160</v>
      </c>
      <c r="E1312" s="8" t="s">
        <v>200</v>
      </c>
      <c r="F1312" s="10">
        <v>1</v>
      </c>
      <c r="G1312" s="10">
        <v>1220</v>
      </c>
      <c r="H1312" s="10">
        <v>15.2</v>
      </c>
      <c r="I1312" s="10">
        <v>1034.56</v>
      </c>
      <c r="J1312" s="8" t="s">
        <v>41</v>
      </c>
      <c r="K1312" s="8" t="s">
        <v>42</v>
      </c>
      <c r="L1312" s="18" t="str">
        <f>VLOOKUP(D1312,Products!$A:$C,3,FALSE)</f>
        <v>Electronics</v>
      </c>
      <c r="N1312" s="18" t="str">
        <f>VLOOKUP(C1312,Customers!$A:$E,5,FALSE)</f>
        <v>Retail</v>
      </c>
      <c r="O1312" s="18">
        <f>VLOOKUP(C1312,Customers!$A:$C,3,FALSE)</f>
        <v>48</v>
      </c>
    </row>
    <row r="1313" spans="1:19" ht="14.25" customHeight="1" x14ac:dyDescent="0.3">
      <c r="A1313" s="8" t="s">
        <v>2356</v>
      </c>
      <c r="B1313" s="21">
        <v>45466</v>
      </c>
      <c r="C1313" s="8" t="s">
        <v>359</v>
      </c>
      <c r="D1313" s="8" t="s">
        <v>644</v>
      </c>
      <c r="E1313" s="8" t="s">
        <v>125</v>
      </c>
      <c r="F1313" s="10">
        <v>3</v>
      </c>
      <c r="G1313" s="10">
        <v>3640</v>
      </c>
      <c r="H1313" s="10">
        <v>12.3</v>
      </c>
      <c r="I1313" s="10">
        <v>9576.84</v>
      </c>
      <c r="J1313" s="8" t="s">
        <v>97</v>
      </c>
      <c r="K1313" s="8" t="s">
        <v>98</v>
      </c>
      <c r="L1313" s="18" t="str">
        <f>VLOOKUP(D1313,Products!$A:$C,3,FALSE)</f>
        <v>Apparel</v>
      </c>
      <c r="N1313" s="18" t="str">
        <f>VLOOKUP(C1313,Customers!$A:$E,5,FALSE)</f>
        <v>SMB</v>
      </c>
      <c r="O1313" s="18">
        <f>VLOOKUP(C1313,Customers!$A:$C,3,FALSE)</f>
        <v>39</v>
      </c>
      <c r="P1313" s="18" t="str">
        <f>VLOOKUP(E1312,Sales_Reps!$A:$C,3,FALSE)</f>
        <v>North</v>
      </c>
      <c r="Q1313" s="18" t="str">
        <f>TEXT(B1312,"MMM-YY")</f>
        <v>Dec-24</v>
      </c>
      <c r="R1313">
        <f>VLOOKUP(D1313, Products!A:D, 4, FALSE)</f>
        <v>2611</v>
      </c>
      <c r="S1313">
        <f>(G1313-R1313)/G1313</f>
        <v>0.28269230769230769</v>
      </c>
    </row>
    <row r="1314" spans="1:19" ht="14.25" hidden="1" customHeight="1" x14ac:dyDescent="0.3">
      <c r="A1314" s="8" t="s">
        <v>2357</v>
      </c>
      <c r="B1314" s="9">
        <v>45559</v>
      </c>
      <c r="C1314" s="8" t="s">
        <v>379</v>
      </c>
      <c r="D1314" s="8" t="s">
        <v>867</v>
      </c>
      <c r="E1314" s="8" t="s">
        <v>177</v>
      </c>
      <c r="F1314" s="10">
        <v>8</v>
      </c>
      <c r="G1314" s="10">
        <v>3020</v>
      </c>
      <c r="H1314" s="10">
        <v>28.2</v>
      </c>
      <c r="I1314" s="10">
        <v>17346.88</v>
      </c>
      <c r="J1314" s="8" t="s">
        <v>97</v>
      </c>
      <c r="K1314" s="8" t="s">
        <v>146</v>
      </c>
      <c r="L1314" s="18" t="str">
        <f>VLOOKUP(D1314,Products!$A:$C,3,FALSE)</f>
        <v>Beauty</v>
      </c>
      <c r="N1314" s="18" t="str">
        <f>VLOOKUP(C1314,Customers!$A:$E,5,FALSE)</f>
        <v>Corporate</v>
      </c>
      <c r="O1314" s="18">
        <f>VLOOKUP(C1314,Customers!$A:$C,3,FALSE)</f>
        <v>62</v>
      </c>
    </row>
    <row r="1315" spans="1:19" ht="14.25" customHeight="1" x14ac:dyDescent="0.3">
      <c r="A1315" s="8" t="s">
        <v>2358</v>
      </c>
      <c r="B1315" s="21">
        <v>45469</v>
      </c>
      <c r="C1315" s="8" t="s">
        <v>603</v>
      </c>
      <c r="D1315" s="8" t="s">
        <v>320</v>
      </c>
      <c r="E1315" s="8" t="s">
        <v>135</v>
      </c>
      <c r="F1315" s="10">
        <v>3</v>
      </c>
      <c r="G1315" s="10">
        <v>5100</v>
      </c>
      <c r="H1315" s="10">
        <v>7.8</v>
      </c>
      <c r="I1315" s="10">
        <v>14106.6</v>
      </c>
      <c r="J1315" s="8" t="s">
        <v>41</v>
      </c>
      <c r="K1315" s="8" t="s">
        <v>178</v>
      </c>
      <c r="L1315" s="18" t="str">
        <f>VLOOKUP(D1315,Products!$A:$C,3,FALSE)</f>
        <v>Beauty</v>
      </c>
      <c r="N1315" s="18" t="str">
        <f>VLOOKUP(C1315,Customers!$A:$E,5,FALSE)</f>
        <v>Retail</v>
      </c>
      <c r="O1315" s="18">
        <f>VLOOKUP(C1315,Customers!$A:$C,3,FALSE)</f>
        <v>27</v>
      </c>
      <c r="P1315" s="18" t="str">
        <f>VLOOKUP(E1314,Sales_Reps!$A:$C,3,FALSE)</f>
        <v>South</v>
      </c>
      <c r="Q1315" s="18" t="str">
        <f>TEXT(B1314,"MMM-YY")</f>
        <v>Sep-24</v>
      </c>
      <c r="R1315">
        <f>VLOOKUP(D1315, Products!A:D, 4, FALSE)</f>
        <v>2237</v>
      </c>
      <c r="S1315">
        <f>(G1315-R1315)/G1315</f>
        <v>0.56137254901960787</v>
      </c>
    </row>
    <row r="1316" spans="1:19" ht="14.25" hidden="1" customHeight="1" x14ac:dyDescent="0.3">
      <c r="A1316" s="8" t="s">
        <v>2359</v>
      </c>
      <c r="B1316" s="9">
        <v>45407</v>
      </c>
      <c r="C1316" s="8" t="s">
        <v>610</v>
      </c>
      <c r="D1316" s="8" t="s">
        <v>154</v>
      </c>
      <c r="E1316" s="8" t="s">
        <v>231</v>
      </c>
      <c r="F1316" s="10">
        <v>9</v>
      </c>
      <c r="G1316" s="10">
        <v>300</v>
      </c>
      <c r="H1316" s="10">
        <v>19</v>
      </c>
      <c r="I1316" s="10">
        <v>2187</v>
      </c>
      <c r="J1316" s="8" t="s">
        <v>41</v>
      </c>
      <c r="K1316" s="8" t="s">
        <v>42</v>
      </c>
      <c r="L1316" s="18" t="str">
        <f>VLOOKUP(D1316,Products!$A:$C,3,FALSE)</f>
        <v>Electronics</v>
      </c>
      <c r="N1316" s="18" t="str">
        <f>VLOOKUP(C1316,Customers!$A:$E,5,FALSE)</f>
        <v>Retail</v>
      </c>
      <c r="O1316" s="18">
        <f>VLOOKUP(C1316,Customers!$A:$C,3,FALSE)</f>
        <v>49</v>
      </c>
    </row>
    <row r="1317" spans="1:19" ht="14.25" hidden="1" customHeight="1" x14ac:dyDescent="0.3">
      <c r="A1317" s="8" t="s">
        <v>2360</v>
      </c>
      <c r="B1317" s="9">
        <v>45634</v>
      </c>
      <c r="C1317" s="8" t="s">
        <v>266</v>
      </c>
      <c r="D1317" s="8" t="s">
        <v>939</v>
      </c>
      <c r="E1317" s="8" t="s">
        <v>38</v>
      </c>
      <c r="F1317" s="10">
        <v>10</v>
      </c>
      <c r="G1317" s="10">
        <v>2290</v>
      </c>
      <c r="H1317" s="10">
        <v>27.7</v>
      </c>
      <c r="I1317" s="10">
        <v>16556.7</v>
      </c>
      <c r="J1317" s="8" t="s">
        <v>41</v>
      </c>
      <c r="K1317" s="8" t="s">
        <v>42</v>
      </c>
      <c r="L1317" s="18" t="str">
        <f>VLOOKUP(D1317,Products!$A:$C,3,FALSE)</f>
        <v>Beauty</v>
      </c>
      <c r="N1317" s="18" t="str">
        <f>VLOOKUP(C1317,Customers!$A:$E,5,FALSE)</f>
        <v>SMB</v>
      </c>
      <c r="O1317" s="18">
        <f>VLOOKUP(C1317,Customers!$A:$C,3,FALSE)</f>
        <v>44</v>
      </c>
    </row>
    <row r="1318" spans="1:19" ht="14.25" hidden="1" customHeight="1" x14ac:dyDescent="0.3">
      <c r="A1318" s="8" t="s">
        <v>2361</v>
      </c>
      <c r="B1318" s="9">
        <v>45454</v>
      </c>
      <c r="C1318" s="8" t="s">
        <v>246</v>
      </c>
      <c r="D1318" s="8" t="s">
        <v>644</v>
      </c>
      <c r="E1318" s="8" t="s">
        <v>153</v>
      </c>
      <c r="F1318" s="10">
        <v>9</v>
      </c>
      <c r="G1318" s="10">
        <v>3640</v>
      </c>
      <c r="H1318" s="10">
        <v>20.100000000000001</v>
      </c>
      <c r="I1318" s="10">
        <v>26175.24</v>
      </c>
      <c r="J1318" s="8" t="s">
        <v>41</v>
      </c>
      <c r="K1318" s="8" t="s">
        <v>98</v>
      </c>
      <c r="L1318" s="18" t="str">
        <f>VLOOKUP(D1318,Products!$A:$C,3,FALSE)</f>
        <v>Apparel</v>
      </c>
      <c r="N1318" s="18" t="str">
        <f>VLOOKUP(C1318,Customers!$A:$E,5,FALSE)</f>
        <v>Corporate</v>
      </c>
      <c r="O1318" s="18">
        <f>VLOOKUP(C1318,Customers!$A:$C,3,FALSE)</f>
        <v>55</v>
      </c>
    </row>
    <row r="1319" spans="1:19" ht="14.25" hidden="1" customHeight="1" x14ac:dyDescent="0.3">
      <c r="A1319" s="8" t="s">
        <v>2362</v>
      </c>
      <c r="B1319" s="9">
        <v>45565</v>
      </c>
      <c r="C1319" s="8" t="s">
        <v>796</v>
      </c>
      <c r="D1319" s="8" t="s">
        <v>95</v>
      </c>
      <c r="E1319" s="8" t="s">
        <v>196</v>
      </c>
      <c r="F1319" s="10">
        <v>4</v>
      </c>
      <c r="G1319" s="10">
        <v>820</v>
      </c>
      <c r="H1319" s="10">
        <v>7.6</v>
      </c>
      <c r="I1319" s="10">
        <v>3030.72</v>
      </c>
      <c r="J1319" s="8" t="s">
        <v>41</v>
      </c>
      <c r="K1319" s="8" t="s">
        <v>146</v>
      </c>
      <c r="L1319" s="18" t="str">
        <f>VLOOKUP(D1319,Products!$A:$C,3,FALSE)</f>
        <v>Apparel</v>
      </c>
      <c r="N1319" s="18" t="str">
        <f>VLOOKUP(C1319,Customers!$A:$E,5,FALSE)</f>
        <v>Retail</v>
      </c>
      <c r="O1319" s="18">
        <f>VLOOKUP(C1319,Customers!$A:$C,3,FALSE)</f>
        <v>52</v>
      </c>
    </row>
    <row r="1320" spans="1:19" ht="14.25" hidden="1" customHeight="1" x14ac:dyDescent="0.3">
      <c r="A1320" s="8" t="s">
        <v>2363</v>
      </c>
      <c r="B1320" s="9">
        <v>45443</v>
      </c>
      <c r="C1320" s="8" t="s">
        <v>367</v>
      </c>
      <c r="D1320" s="8" t="s">
        <v>171</v>
      </c>
      <c r="E1320" s="8" t="s">
        <v>117</v>
      </c>
      <c r="F1320" s="10">
        <v>1</v>
      </c>
      <c r="G1320" s="10">
        <v>970</v>
      </c>
      <c r="H1320" s="10">
        <v>1.7</v>
      </c>
      <c r="I1320" s="10">
        <v>953.51</v>
      </c>
      <c r="J1320" s="8" t="s">
        <v>41</v>
      </c>
      <c r="K1320" s="8" t="s">
        <v>146</v>
      </c>
      <c r="L1320" s="18" t="str">
        <f>VLOOKUP(D1320,Products!$A:$C,3,FALSE)</f>
        <v>Grocery</v>
      </c>
      <c r="N1320" s="18" t="str">
        <f>VLOOKUP(C1320,Customers!$A:$E,5,FALSE)</f>
        <v>Corporate</v>
      </c>
      <c r="O1320" s="18">
        <f>VLOOKUP(C1320,Customers!$A:$C,3,FALSE)</f>
        <v>42</v>
      </c>
    </row>
    <row r="1321" spans="1:19" ht="14.25" hidden="1" customHeight="1" x14ac:dyDescent="0.3">
      <c r="A1321" s="8" t="s">
        <v>2364</v>
      </c>
      <c r="B1321" s="9">
        <v>45318</v>
      </c>
      <c r="C1321" s="8" t="s">
        <v>175</v>
      </c>
      <c r="D1321" s="8" t="s">
        <v>901</v>
      </c>
      <c r="E1321" s="8" t="s">
        <v>158</v>
      </c>
      <c r="F1321" s="10">
        <v>5</v>
      </c>
      <c r="G1321" s="10">
        <v>3560</v>
      </c>
      <c r="H1321" s="10">
        <v>10.5</v>
      </c>
      <c r="I1321" s="10">
        <v>15931</v>
      </c>
      <c r="J1321" s="8" t="s">
        <v>41</v>
      </c>
      <c r="K1321" s="8" t="s">
        <v>178</v>
      </c>
      <c r="L1321" s="18" t="str">
        <f>VLOOKUP(D1321,Products!$A:$C,3,FALSE)</f>
        <v>Apparel</v>
      </c>
      <c r="N1321" s="18" t="str">
        <f>VLOOKUP(C1321,Customers!$A:$E,5,FALSE)</f>
        <v>Retail</v>
      </c>
      <c r="O1321" s="18">
        <f>VLOOKUP(C1321,Customers!$A:$C,3,FALSE)</f>
        <v>60</v>
      </c>
    </row>
    <row r="1322" spans="1:19" ht="14.25" hidden="1" customHeight="1" x14ac:dyDescent="0.3">
      <c r="A1322" s="8" t="s">
        <v>2365</v>
      </c>
      <c r="B1322" s="9">
        <v>45308</v>
      </c>
      <c r="C1322" s="8" t="s">
        <v>611</v>
      </c>
      <c r="D1322" s="8" t="s">
        <v>929</v>
      </c>
      <c r="E1322" s="8" t="s">
        <v>214</v>
      </c>
      <c r="F1322" s="10">
        <v>6</v>
      </c>
      <c r="G1322" s="10">
        <v>1090</v>
      </c>
      <c r="H1322" s="10">
        <v>2.4</v>
      </c>
      <c r="I1322" s="10">
        <v>6383.04</v>
      </c>
      <c r="J1322" s="8" t="s">
        <v>97</v>
      </c>
      <c r="K1322" s="8" t="s">
        <v>98</v>
      </c>
      <c r="L1322" s="18" t="str">
        <f>VLOOKUP(D1322,Products!$A:$C,3,FALSE)</f>
        <v>Home</v>
      </c>
      <c r="N1322" s="18" t="str">
        <f>VLOOKUP(C1322,Customers!$A:$E,5,FALSE)</f>
        <v>Retail</v>
      </c>
      <c r="O1322" s="18">
        <f>VLOOKUP(C1322,Customers!$A:$C,3,FALSE)</f>
        <v>60</v>
      </c>
    </row>
    <row r="1323" spans="1:19" ht="14.25" customHeight="1" x14ac:dyDescent="0.3">
      <c r="A1323" s="8" t="s">
        <v>311</v>
      </c>
      <c r="B1323" s="21">
        <v>45306</v>
      </c>
      <c r="C1323" s="8" t="s">
        <v>257</v>
      </c>
      <c r="D1323" s="8" t="s">
        <v>131</v>
      </c>
      <c r="E1323" s="8" t="s">
        <v>121</v>
      </c>
      <c r="F1323" s="10">
        <v>6</v>
      </c>
      <c r="G1323" s="10">
        <v>2660</v>
      </c>
      <c r="H1323" s="10">
        <v>6.4</v>
      </c>
      <c r="I1323" s="10">
        <v>14938.56</v>
      </c>
      <c r="J1323" s="8" t="s">
        <v>41</v>
      </c>
      <c r="K1323" s="8" t="s">
        <v>146</v>
      </c>
      <c r="L1323" s="18" t="str">
        <f>VLOOKUP(D1323,Products!$A:$C,3,FALSE)</f>
        <v>Electronics</v>
      </c>
      <c r="N1323" s="18" t="str">
        <f>VLOOKUP(C1323,Customers!$A:$E,5,FALSE)</f>
        <v>Retail</v>
      </c>
      <c r="O1323" s="18">
        <f>VLOOKUP(C1323,Customers!$A:$C,3,FALSE)</f>
        <v>33</v>
      </c>
      <c r="P1323" s="18" t="str">
        <f>VLOOKUP(E1322,Sales_Reps!$A:$C,3,FALSE)</f>
        <v>South</v>
      </c>
      <c r="Q1323" s="18" t="str">
        <f t="shared" ref="Q1323:Q1324" si="260">TEXT(B1322,"MMM-YY")</f>
        <v>Jan-24</v>
      </c>
      <c r="R1323">
        <f>VLOOKUP(D1323, Products!A:D, 4, FALSE)</f>
        <v>1259</v>
      </c>
      <c r="S1323">
        <f t="shared" ref="S1323:S1324" si="261">(G1323-R1323)/G1323</f>
        <v>0.52669172932330832</v>
      </c>
    </row>
    <row r="1324" spans="1:19" ht="14.25" customHeight="1" x14ac:dyDescent="0.3">
      <c r="A1324" s="8" t="s">
        <v>2366</v>
      </c>
      <c r="B1324" s="21">
        <v>45432</v>
      </c>
      <c r="C1324" s="8" t="s">
        <v>328</v>
      </c>
      <c r="D1324" s="8" t="s">
        <v>120</v>
      </c>
      <c r="E1324" s="8" t="s">
        <v>231</v>
      </c>
      <c r="F1324" s="10">
        <v>5</v>
      </c>
      <c r="G1324" s="10">
        <v>3970</v>
      </c>
      <c r="H1324" s="10">
        <v>18.8</v>
      </c>
      <c r="I1324" s="10">
        <v>16118.2</v>
      </c>
      <c r="J1324" s="8" t="s">
        <v>97</v>
      </c>
      <c r="K1324" s="8" t="s">
        <v>178</v>
      </c>
      <c r="L1324" s="18" t="str">
        <f>VLOOKUP(D1324,Products!$A:$C,3,FALSE)</f>
        <v>Electronics</v>
      </c>
      <c r="N1324" s="18" t="str">
        <f>VLOOKUP(C1324,Customers!$A:$E,5,FALSE)</f>
        <v>Retail</v>
      </c>
      <c r="O1324" s="18">
        <f>VLOOKUP(C1324,Customers!$A:$C,3,FALSE)</f>
        <v>28</v>
      </c>
      <c r="P1324" s="18" t="str">
        <f>VLOOKUP(E1323,Sales_Reps!$A:$C,3,FALSE)</f>
        <v>East</v>
      </c>
      <c r="Q1324" s="18" t="str">
        <f t="shared" si="260"/>
        <v>Jan-24</v>
      </c>
      <c r="R1324">
        <f>VLOOKUP(D1324, Products!A:D, 4, FALSE)</f>
        <v>2865</v>
      </c>
      <c r="S1324">
        <f t="shared" si="261"/>
        <v>0.27833753148614609</v>
      </c>
    </row>
    <row r="1325" spans="1:19" ht="14.25" hidden="1" customHeight="1" x14ac:dyDescent="0.3">
      <c r="A1325" s="8" t="s">
        <v>2367</v>
      </c>
      <c r="B1325" s="9">
        <v>45369</v>
      </c>
      <c r="C1325" s="8" t="s">
        <v>698</v>
      </c>
      <c r="D1325" s="8" t="s">
        <v>959</v>
      </c>
      <c r="E1325" s="8" t="s">
        <v>216</v>
      </c>
      <c r="F1325" s="10">
        <v>7</v>
      </c>
      <c r="G1325" s="10">
        <v>6940</v>
      </c>
      <c r="H1325" s="10">
        <v>23.8</v>
      </c>
      <c r="I1325" s="10">
        <v>37017.96</v>
      </c>
      <c r="J1325" s="8" t="s">
        <v>193</v>
      </c>
      <c r="K1325" s="8" t="s">
        <v>146</v>
      </c>
      <c r="L1325" s="18" t="str">
        <f>VLOOKUP(D1325,Products!$A:$C,3,FALSE)</f>
        <v>Sports</v>
      </c>
      <c r="N1325" s="18" t="str">
        <f>VLOOKUP(C1325,Customers!$A:$E,5,FALSE)</f>
        <v>Retail</v>
      </c>
      <c r="O1325" s="18">
        <f>VLOOKUP(C1325,Customers!$A:$C,3,FALSE)</f>
        <v>49</v>
      </c>
    </row>
    <row r="1326" spans="1:19" ht="14.25" customHeight="1" x14ac:dyDescent="0.3">
      <c r="A1326" s="8" t="s">
        <v>2368</v>
      </c>
      <c r="B1326" s="21">
        <v>45544</v>
      </c>
      <c r="C1326" s="8" t="s">
        <v>649</v>
      </c>
      <c r="D1326" s="8" t="s">
        <v>205</v>
      </c>
      <c r="E1326" s="8" t="s">
        <v>185</v>
      </c>
      <c r="F1326" s="10">
        <v>3</v>
      </c>
      <c r="G1326" s="10">
        <v>2400</v>
      </c>
      <c r="H1326" s="10">
        <v>9.8000000000000007</v>
      </c>
      <c r="I1326" s="10">
        <v>6494.4</v>
      </c>
      <c r="J1326" s="8" t="s">
        <v>41</v>
      </c>
      <c r="K1326" s="8" t="s">
        <v>146</v>
      </c>
      <c r="L1326" s="18" t="str">
        <f>VLOOKUP(D1326,Products!$A:$C,3,FALSE)</f>
        <v>Sports</v>
      </c>
      <c r="N1326" s="18" t="str">
        <f>VLOOKUP(C1326,Customers!$A:$E,5,FALSE)</f>
        <v>SMB</v>
      </c>
      <c r="O1326" s="18">
        <f>VLOOKUP(C1326,Customers!$A:$C,3,FALSE)</f>
        <v>27</v>
      </c>
      <c r="P1326" s="18" t="str">
        <f>VLOOKUP(E1325,Sales_Reps!$A:$C,3,FALSE)</f>
        <v>East</v>
      </c>
      <c r="Q1326" s="18" t="str">
        <f>TEXT(B1325,"MMM-YY")</f>
        <v>Mar-24</v>
      </c>
      <c r="R1326">
        <f>VLOOKUP(D1326, Products!A:D, 4, FALSE)</f>
        <v>974</v>
      </c>
      <c r="S1326">
        <f>(G1326-R1326)/G1326</f>
        <v>0.59416666666666662</v>
      </c>
    </row>
    <row r="1327" spans="1:19" ht="14.25" hidden="1" customHeight="1" x14ac:dyDescent="0.3">
      <c r="A1327" s="8" t="s">
        <v>2369</v>
      </c>
      <c r="B1327" s="9">
        <v>45395</v>
      </c>
      <c r="C1327" s="8" t="s">
        <v>300</v>
      </c>
      <c r="D1327" s="8" t="s">
        <v>219</v>
      </c>
      <c r="E1327" s="8" t="s">
        <v>208</v>
      </c>
      <c r="F1327" s="10">
        <v>8</v>
      </c>
      <c r="G1327" s="10">
        <v>3450</v>
      </c>
      <c r="H1327" s="10">
        <v>26.6</v>
      </c>
      <c r="I1327" s="10">
        <v>20258.400000000001</v>
      </c>
      <c r="J1327" s="8" t="s">
        <v>147</v>
      </c>
      <c r="K1327" s="8" t="s">
        <v>42</v>
      </c>
      <c r="L1327" s="18" t="str">
        <f>VLOOKUP(D1327,Products!$A:$C,3,FALSE)</f>
        <v>Sports</v>
      </c>
      <c r="N1327" s="18" t="str">
        <f>VLOOKUP(C1327,Customers!$A:$E,5,FALSE)</f>
        <v>Retail</v>
      </c>
      <c r="O1327" s="18">
        <f>VLOOKUP(C1327,Customers!$A:$C,3,FALSE)</f>
        <v>44</v>
      </c>
    </row>
    <row r="1328" spans="1:19" ht="14.25" customHeight="1" x14ac:dyDescent="0.3">
      <c r="A1328" s="8" t="s">
        <v>2370</v>
      </c>
      <c r="B1328" s="21">
        <v>45389</v>
      </c>
      <c r="C1328" s="8" t="s">
        <v>433</v>
      </c>
      <c r="D1328" s="8" t="s">
        <v>160</v>
      </c>
      <c r="E1328" s="8" t="s">
        <v>185</v>
      </c>
      <c r="F1328" s="10">
        <v>4</v>
      </c>
      <c r="G1328" s="10">
        <v>1220</v>
      </c>
      <c r="H1328" s="10">
        <v>5.5</v>
      </c>
      <c r="I1328" s="10">
        <v>4611.6000000000004</v>
      </c>
      <c r="J1328" s="8" t="s">
        <v>41</v>
      </c>
      <c r="K1328" s="8" t="s">
        <v>42</v>
      </c>
      <c r="L1328" s="18" t="str">
        <f>VLOOKUP(D1328,Products!$A:$C,3,FALSE)</f>
        <v>Electronics</v>
      </c>
      <c r="N1328" s="18" t="str">
        <f>VLOOKUP(C1328,Customers!$A:$E,5,FALSE)</f>
        <v>SMB</v>
      </c>
      <c r="O1328" s="18">
        <f>VLOOKUP(C1328,Customers!$A:$C,3,FALSE)</f>
        <v>30</v>
      </c>
      <c r="P1328" s="18" t="str">
        <f>VLOOKUP(E1327,Sales_Reps!$A:$C,3,FALSE)</f>
        <v>East</v>
      </c>
      <c r="Q1328" s="18" t="str">
        <f>TEXT(B1327,"MMM-YY")</f>
        <v>Apr-24</v>
      </c>
      <c r="R1328">
        <f>VLOOKUP(D1328, Products!A:D, 4, FALSE)</f>
        <v>517</v>
      </c>
      <c r="S1328">
        <f>(G1328-R1328)/G1328</f>
        <v>0.57622950819672136</v>
      </c>
    </row>
    <row r="1329" spans="1:19" ht="14.25" hidden="1" customHeight="1" x14ac:dyDescent="0.3">
      <c r="A1329" s="8" t="s">
        <v>2371</v>
      </c>
      <c r="B1329" s="9">
        <v>45536</v>
      </c>
      <c r="C1329" s="8" t="s">
        <v>836</v>
      </c>
      <c r="D1329" s="8" t="s">
        <v>896</v>
      </c>
      <c r="E1329" s="8" t="s">
        <v>38</v>
      </c>
      <c r="F1329" s="10">
        <v>1</v>
      </c>
      <c r="G1329" s="10">
        <v>620</v>
      </c>
      <c r="H1329" s="10">
        <v>22.3</v>
      </c>
      <c r="I1329" s="10">
        <v>481.74</v>
      </c>
      <c r="J1329" s="8" t="s">
        <v>97</v>
      </c>
      <c r="K1329" s="8" t="s">
        <v>119</v>
      </c>
      <c r="L1329" s="18" t="str">
        <f>VLOOKUP(D1329,Products!$A:$C,3,FALSE)</f>
        <v>Apparel</v>
      </c>
      <c r="N1329" s="18" t="str">
        <f>VLOOKUP(C1329,Customers!$A:$E,5,FALSE)</f>
        <v>Retail</v>
      </c>
      <c r="O1329" s="18">
        <f>VLOOKUP(C1329,Customers!$A:$C,3,FALSE)</f>
        <v>62</v>
      </c>
    </row>
    <row r="1330" spans="1:19" ht="14.25" hidden="1" customHeight="1" x14ac:dyDescent="0.3">
      <c r="A1330" s="8" t="s">
        <v>2372</v>
      </c>
      <c r="B1330" s="9">
        <v>45348</v>
      </c>
      <c r="C1330" s="8" t="s">
        <v>587</v>
      </c>
      <c r="D1330" s="8" t="s">
        <v>154</v>
      </c>
      <c r="E1330" s="8" t="s">
        <v>208</v>
      </c>
      <c r="F1330" s="10">
        <v>1</v>
      </c>
      <c r="G1330" s="10">
        <v>300</v>
      </c>
      <c r="H1330" s="10">
        <v>12.5</v>
      </c>
      <c r="I1330" s="10">
        <v>262.5</v>
      </c>
      <c r="J1330" s="8" t="s">
        <v>41</v>
      </c>
      <c r="K1330" s="8" t="s">
        <v>136</v>
      </c>
      <c r="L1330" s="18" t="str">
        <f>VLOOKUP(D1330,Products!$A:$C,3,FALSE)</f>
        <v>Electronics</v>
      </c>
      <c r="N1330" s="18" t="str">
        <f>VLOOKUP(C1330,Customers!$A:$E,5,FALSE)</f>
        <v>SMB</v>
      </c>
      <c r="O1330" s="18">
        <f>VLOOKUP(C1330,Customers!$A:$C,3,FALSE)</f>
        <v>64</v>
      </c>
    </row>
    <row r="1331" spans="1:19" ht="14.25" customHeight="1" x14ac:dyDescent="0.3">
      <c r="A1331" s="8" t="s">
        <v>2373</v>
      </c>
      <c r="B1331" s="21">
        <v>45502</v>
      </c>
      <c r="C1331" s="8" t="s">
        <v>424</v>
      </c>
      <c r="D1331" s="8" t="s">
        <v>260</v>
      </c>
      <c r="E1331" s="8" t="s">
        <v>321</v>
      </c>
      <c r="F1331" s="10">
        <v>3</v>
      </c>
      <c r="G1331" s="10">
        <v>1010</v>
      </c>
      <c r="H1331" s="10">
        <v>14.1</v>
      </c>
      <c r="I1331" s="10">
        <v>2602.77</v>
      </c>
      <c r="J1331" s="8" t="s">
        <v>41</v>
      </c>
      <c r="K1331" s="8" t="s">
        <v>136</v>
      </c>
      <c r="L1331" s="18" t="str">
        <f>VLOOKUP(D1331,Products!$A:$C,3,FALSE)</f>
        <v>Sports</v>
      </c>
      <c r="N1331" s="18" t="str">
        <f>VLOOKUP(C1331,Customers!$A:$E,5,FALSE)</f>
        <v>Retail</v>
      </c>
      <c r="O1331" s="18">
        <f>VLOOKUP(C1331,Customers!$A:$C,3,FALSE)</f>
        <v>35</v>
      </c>
      <c r="P1331" s="18" t="str">
        <f>VLOOKUP(E1330,Sales_Reps!$A:$C,3,FALSE)</f>
        <v>East</v>
      </c>
      <c r="Q1331" s="18" t="str">
        <f>TEXT(B1330,"MMM-YY")</f>
        <v>Feb-24</v>
      </c>
      <c r="R1331">
        <f>VLOOKUP(D1331, Products!A:D, 4, FALSE)</f>
        <v>516</v>
      </c>
      <c r="S1331">
        <f>(G1331-R1331)/G1331</f>
        <v>0.4891089108910891</v>
      </c>
    </row>
    <row r="1332" spans="1:19" ht="14.25" hidden="1" customHeight="1" x14ac:dyDescent="0.3">
      <c r="A1332" s="8" t="s">
        <v>2374</v>
      </c>
      <c r="B1332" s="9">
        <v>45600</v>
      </c>
      <c r="C1332" s="8" t="s">
        <v>846</v>
      </c>
      <c r="D1332" s="8" t="s">
        <v>926</v>
      </c>
      <c r="E1332" s="8" t="s">
        <v>619</v>
      </c>
      <c r="F1332" s="10">
        <v>2</v>
      </c>
      <c r="G1332" s="10">
        <v>5080</v>
      </c>
      <c r="H1332" s="10">
        <v>16.8</v>
      </c>
      <c r="I1332" s="10">
        <v>8453.1200000000008</v>
      </c>
      <c r="J1332" s="8" t="s">
        <v>41</v>
      </c>
      <c r="K1332" s="8" t="s">
        <v>119</v>
      </c>
      <c r="L1332" s="18" t="str">
        <f>VLOOKUP(D1332,Products!$A:$C,3,FALSE)</f>
        <v>Home</v>
      </c>
      <c r="N1332" s="18" t="str">
        <f>VLOOKUP(C1332,Customers!$A:$E,5,FALSE)</f>
        <v>Retail</v>
      </c>
      <c r="O1332" s="18">
        <f>VLOOKUP(C1332,Customers!$A:$C,3,FALSE)</f>
        <v>63</v>
      </c>
    </row>
    <row r="1333" spans="1:19" ht="14.25" customHeight="1" x14ac:dyDescent="0.3">
      <c r="A1333" s="8" t="s">
        <v>2375</v>
      </c>
      <c r="B1333" s="21">
        <v>45416</v>
      </c>
      <c r="C1333" s="8" t="s">
        <v>241</v>
      </c>
      <c r="D1333" s="8" t="s">
        <v>134</v>
      </c>
      <c r="E1333" s="8" t="s">
        <v>619</v>
      </c>
      <c r="F1333" s="10">
        <v>2</v>
      </c>
      <c r="G1333" s="10">
        <v>3160</v>
      </c>
      <c r="H1333" s="10">
        <v>21.4</v>
      </c>
      <c r="I1333" s="10">
        <v>4967.5200000000004</v>
      </c>
      <c r="J1333" s="8" t="s">
        <v>41</v>
      </c>
      <c r="K1333" s="8" t="s">
        <v>582</v>
      </c>
      <c r="L1333" s="18" t="str">
        <f>VLOOKUP(D1333,Products!$A:$C,3,FALSE)</f>
        <v>Apparel</v>
      </c>
      <c r="N1333" s="18" t="str">
        <f>VLOOKUP(C1333,Customers!$A:$E,5,FALSE)</f>
        <v>SMB</v>
      </c>
      <c r="O1333" s="18">
        <f>VLOOKUP(C1333,Customers!$A:$C,3,FALSE)</f>
        <v>40</v>
      </c>
      <c r="P1333" s="18" t="str">
        <f>VLOOKUP(E1332,Sales_Reps!$A:$C,3,FALSE)</f>
        <v>West</v>
      </c>
      <c r="Q1333" s="18" t="str">
        <f>TEXT(B1332,"MMM-YY")</f>
        <v>Nov-24</v>
      </c>
      <c r="R1333">
        <f>VLOOKUP(D1333, Products!A:D, 4, FALSE)</f>
        <v>1886</v>
      </c>
      <c r="S1333">
        <f>(G1333-R1333)/G1333</f>
        <v>0.4031645569620253</v>
      </c>
    </row>
    <row r="1334" spans="1:19" ht="14.25" hidden="1" customHeight="1" x14ac:dyDescent="0.3">
      <c r="A1334" s="8" t="s">
        <v>2376</v>
      </c>
      <c r="B1334" s="9">
        <v>45535</v>
      </c>
      <c r="C1334" s="8" t="s">
        <v>388</v>
      </c>
      <c r="D1334" s="8" t="s">
        <v>215</v>
      </c>
      <c r="E1334" s="8" t="s">
        <v>221</v>
      </c>
      <c r="F1334" s="10">
        <v>7</v>
      </c>
      <c r="G1334" s="10">
        <v>3450</v>
      </c>
      <c r="H1334" s="10">
        <v>21.3</v>
      </c>
      <c r="I1334" s="10">
        <v>19006.05</v>
      </c>
      <c r="J1334" s="8" t="s">
        <v>41</v>
      </c>
      <c r="K1334" s="8" t="s">
        <v>136</v>
      </c>
      <c r="L1334" s="18" t="str">
        <f>VLOOKUP(D1334,Products!$A:$C,3,FALSE)</f>
        <v>Beauty</v>
      </c>
      <c r="N1334" s="18" t="str">
        <f>VLOOKUP(C1334,Customers!$A:$E,5,FALSE)</f>
        <v>SMB</v>
      </c>
      <c r="O1334" s="18">
        <f>VLOOKUP(C1334,Customers!$A:$C,3,FALSE)</f>
        <v>49</v>
      </c>
    </row>
    <row r="1335" spans="1:19" ht="14.25" hidden="1" customHeight="1" x14ac:dyDescent="0.3">
      <c r="A1335" s="8" t="s">
        <v>2377</v>
      </c>
      <c r="B1335" s="9">
        <v>45322</v>
      </c>
      <c r="C1335" s="8" t="s">
        <v>854</v>
      </c>
      <c r="D1335" s="8" t="s">
        <v>230</v>
      </c>
      <c r="E1335" s="8" t="s">
        <v>125</v>
      </c>
      <c r="F1335" s="10">
        <v>2</v>
      </c>
      <c r="G1335" s="10">
        <v>5330</v>
      </c>
      <c r="H1335" s="10">
        <v>4.3</v>
      </c>
      <c r="I1335" s="10">
        <v>10201.620000000001</v>
      </c>
      <c r="J1335" s="8" t="s">
        <v>41</v>
      </c>
      <c r="K1335" s="8" t="s">
        <v>119</v>
      </c>
      <c r="L1335" s="18" t="str">
        <f>VLOOKUP(D1335,Products!$A:$C,3,FALSE)</f>
        <v>Electronics</v>
      </c>
      <c r="N1335" s="18" t="str">
        <f>VLOOKUP(C1335,Customers!$A:$E,5,FALSE)</f>
        <v>Corporate</v>
      </c>
      <c r="O1335" s="18">
        <f>VLOOKUP(C1335,Customers!$A:$C,3,FALSE)</f>
        <v>47</v>
      </c>
    </row>
    <row r="1336" spans="1:19" ht="14.25" hidden="1" customHeight="1" x14ac:dyDescent="0.3">
      <c r="A1336" s="8" t="s">
        <v>2378</v>
      </c>
      <c r="B1336" s="9">
        <v>45626</v>
      </c>
      <c r="C1336" s="8" t="s">
        <v>772</v>
      </c>
      <c r="D1336" s="8" t="s">
        <v>959</v>
      </c>
      <c r="E1336" s="8" t="s">
        <v>117</v>
      </c>
      <c r="F1336" s="10">
        <v>5</v>
      </c>
      <c r="G1336" s="10">
        <v>6940</v>
      </c>
      <c r="H1336" s="10">
        <v>2.9</v>
      </c>
      <c r="I1336" s="10">
        <v>33693.699999999997</v>
      </c>
      <c r="J1336" s="8" t="s">
        <v>41</v>
      </c>
      <c r="K1336" s="8" t="s">
        <v>146</v>
      </c>
      <c r="L1336" s="18" t="str">
        <f>VLOOKUP(D1336,Products!$A:$C,3,FALSE)</f>
        <v>Sports</v>
      </c>
      <c r="N1336" s="18" t="str">
        <f>VLOOKUP(C1336,Customers!$A:$E,5,FALSE)</f>
        <v>Retail</v>
      </c>
      <c r="O1336" s="18">
        <f>VLOOKUP(C1336,Customers!$A:$C,3,FALSE)</f>
        <v>44</v>
      </c>
    </row>
    <row r="1337" spans="1:19" ht="14.25" customHeight="1" x14ac:dyDescent="0.3">
      <c r="A1337" s="8" t="s">
        <v>2379</v>
      </c>
      <c r="B1337" s="21">
        <v>45534</v>
      </c>
      <c r="C1337" s="8" t="s">
        <v>382</v>
      </c>
      <c r="D1337" s="8" t="s">
        <v>389</v>
      </c>
      <c r="E1337" s="8" t="s">
        <v>172</v>
      </c>
      <c r="F1337" s="10">
        <v>5</v>
      </c>
      <c r="G1337" s="10">
        <v>660</v>
      </c>
      <c r="H1337" s="10">
        <v>15.8</v>
      </c>
      <c r="I1337" s="10">
        <v>2778.6</v>
      </c>
      <c r="J1337" s="8" t="s">
        <v>41</v>
      </c>
      <c r="K1337" s="8" t="s">
        <v>136</v>
      </c>
      <c r="L1337" s="18" t="str">
        <f>VLOOKUP(D1337,Products!$A:$C,3,FALSE)</f>
        <v>Home</v>
      </c>
      <c r="N1337" s="18" t="str">
        <f>VLOOKUP(C1337,Customers!$A:$E,5,FALSE)</f>
        <v>Retail</v>
      </c>
      <c r="O1337" s="18">
        <f>VLOOKUP(C1337,Customers!$A:$C,3,FALSE)</f>
        <v>34</v>
      </c>
      <c r="P1337" s="18" t="str">
        <f>VLOOKUP(E1336,Sales_Reps!$A:$C,3,FALSE)</f>
        <v>South</v>
      </c>
      <c r="Q1337" s="18" t="str">
        <f>TEXT(B1336,"MMM-YY")</f>
        <v>Nov-24</v>
      </c>
      <c r="R1337">
        <f>VLOOKUP(D1337, Products!A:D, 4, FALSE)</f>
        <v>329</v>
      </c>
      <c r="S1337">
        <f>(G1337-R1337)/G1337</f>
        <v>0.50151515151515147</v>
      </c>
    </row>
    <row r="1338" spans="1:19" ht="14.25" hidden="1" customHeight="1" x14ac:dyDescent="0.3">
      <c r="A1338" s="8" t="s">
        <v>2380</v>
      </c>
      <c r="B1338" s="9">
        <v>45519</v>
      </c>
      <c r="C1338" s="8" t="s">
        <v>264</v>
      </c>
      <c r="D1338" s="8" t="s">
        <v>320</v>
      </c>
      <c r="E1338" s="8" t="s">
        <v>745</v>
      </c>
      <c r="F1338" s="10">
        <v>9</v>
      </c>
      <c r="G1338" s="10">
        <v>5100</v>
      </c>
      <c r="H1338" s="10">
        <v>0.4</v>
      </c>
      <c r="I1338" s="10">
        <v>45716.4</v>
      </c>
      <c r="J1338" s="8" t="s">
        <v>41</v>
      </c>
      <c r="K1338" s="8" t="s">
        <v>98</v>
      </c>
      <c r="L1338" s="18" t="str">
        <f>VLOOKUP(D1338,Products!$A:$C,3,FALSE)</f>
        <v>Beauty</v>
      </c>
      <c r="N1338" s="18" t="str">
        <f>VLOOKUP(C1338,Customers!$A:$E,5,FALSE)</f>
        <v>Corporate</v>
      </c>
      <c r="O1338" s="18">
        <f>VLOOKUP(C1338,Customers!$A:$C,3,FALSE)</f>
        <v>52</v>
      </c>
    </row>
    <row r="1339" spans="1:19" ht="14.25" hidden="1" customHeight="1" x14ac:dyDescent="0.3">
      <c r="A1339" s="8" t="s">
        <v>2381</v>
      </c>
      <c r="B1339" s="9">
        <v>45315</v>
      </c>
      <c r="C1339" s="8" t="s">
        <v>2382</v>
      </c>
      <c r="D1339" s="8" t="s">
        <v>242</v>
      </c>
      <c r="E1339" s="8" t="s">
        <v>117</v>
      </c>
      <c r="F1339" s="10">
        <v>5</v>
      </c>
      <c r="G1339" s="10">
        <v>1650</v>
      </c>
      <c r="H1339" s="10">
        <v>0.8</v>
      </c>
      <c r="I1339" s="10">
        <v>8184</v>
      </c>
      <c r="J1339" s="8" t="s">
        <v>97</v>
      </c>
      <c r="K1339" s="8" t="s">
        <v>98</v>
      </c>
      <c r="L1339" s="18" t="str">
        <f>VLOOKUP(D1339,Products!$A:$C,3,FALSE)</f>
        <v>Beauty</v>
      </c>
      <c r="N1339" s="18" t="e">
        <f>VLOOKUP(C1339,Customers!$A:$E,5,FALSE)</f>
        <v>#N/A</v>
      </c>
      <c r="O1339" s="18" t="e">
        <f>VLOOKUP(C1339,Customers!$A:$C,3,FALSE)</f>
        <v>#N/A</v>
      </c>
    </row>
    <row r="1340" spans="1:19" ht="14.25" customHeight="1" x14ac:dyDescent="0.3">
      <c r="A1340" s="8" t="s">
        <v>2383</v>
      </c>
      <c r="B1340" s="21">
        <v>45566</v>
      </c>
      <c r="C1340" s="8" t="s">
        <v>556</v>
      </c>
      <c r="D1340" s="8" t="s">
        <v>644</v>
      </c>
      <c r="E1340" s="8" t="s">
        <v>167</v>
      </c>
      <c r="F1340" s="10">
        <v>7</v>
      </c>
      <c r="G1340" s="10">
        <v>3640</v>
      </c>
      <c r="H1340" s="10">
        <v>25.5</v>
      </c>
      <c r="I1340" s="10">
        <v>18982.599999999999</v>
      </c>
      <c r="J1340" s="8" t="s">
        <v>41</v>
      </c>
      <c r="K1340" s="8" t="s">
        <v>98</v>
      </c>
      <c r="L1340" s="18" t="str">
        <f>VLOOKUP(D1340,Products!$A:$C,3,FALSE)</f>
        <v>Apparel</v>
      </c>
      <c r="N1340" s="18" t="str">
        <f>VLOOKUP(C1340,Customers!$A:$E,5,FALSE)</f>
        <v>Retail</v>
      </c>
      <c r="O1340" s="18">
        <f>VLOOKUP(C1340,Customers!$A:$C,3,FALSE)</f>
        <v>24</v>
      </c>
      <c r="P1340" s="18" t="str">
        <f>VLOOKUP(E1339,Sales_Reps!$A:$C,3,FALSE)</f>
        <v>South</v>
      </c>
      <c r="Q1340" s="18" t="str">
        <f>TEXT(B1339,"MMM-YY")</f>
        <v>Jan-24</v>
      </c>
      <c r="R1340">
        <f>VLOOKUP(D1340, Products!A:D, 4, FALSE)</f>
        <v>2611</v>
      </c>
      <c r="S1340">
        <f>(G1340-R1340)/G1340</f>
        <v>0.28269230769230769</v>
      </c>
    </row>
    <row r="1341" spans="1:19" ht="14.25" hidden="1" customHeight="1" x14ac:dyDescent="0.3">
      <c r="A1341" s="8" t="s">
        <v>2384</v>
      </c>
      <c r="B1341" s="9">
        <v>45643</v>
      </c>
      <c r="C1341" s="8" t="s">
        <v>498</v>
      </c>
      <c r="D1341" s="8" t="s">
        <v>283</v>
      </c>
      <c r="E1341" s="8" t="s">
        <v>236</v>
      </c>
      <c r="F1341" s="10">
        <v>6</v>
      </c>
      <c r="G1341" s="10">
        <v>4880</v>
      </c>
      <c r="H1341" s="10">
        <v>12.6</v>
      </c>
      <c r="I1341" s="10">
        <v>25590.720000000001</v>
      </c>
      <c r="J1341" s="8" t="s">
        <v>147</v>
      </c>
      <c r="K1341" s="8" t="s">
        <v>178</v>
      </c>
      <c r="L1341" s="18" t="str">
        <f>VLOOKUP(D1341,Products!$A:$C,3,FALSE)</f>
        <v>Beauty</v>
      </c>
      <c r="N1341" s="18" t="str">
        <f>VLOOKUP(C1341,Customers!$A:$E,5,FALSE)</f>
        <v>Retail</v>
      </c>
      <c r="O1341" s="18">
        <f>VLOOKUP(C1341,Customers!$A:$C,3,FALSE)</f>
        <v>64</v>
      </c>
    </row>
    <row r="1342" spans="1:19" ht="14.25" customHeight="1" x14ac:dyDescent="0.3">
      <c r="A1342" s="8" t="s">
        <v>2385</v>
      </c>
      <c r="B1342" s="21">
        <v>45422</v>
      </c>
      <c r="C1342" s="8" t="s">
        <v>424</v>
      </c>
      <c r="D1342" s="8" t="s">
        <v>230</v>
      </c>
      <c r="E1342" s="8" t="s">
        <v>172</v>
      </c>
      <c r="F1342" s="10">
        <v>4</v>
      </c>
      <c r="G1342" s="10">
        <v>5330</v>
      </c>
      <c r="H1342" s="10">
        <v>16.2</v>
      </c>
      <c r="I1342" s="10">
        <v>17866.16</v>
      </c>
      <c r="J1342" s="8" t="s">
        <v>41</v>
      </c>
      <c r="K1342" s="8" t="s">
        <v>136</v>
      </c>
      <c r="L1342" s="18" t="str">
        <f>VLOOKUP(D1342,Products!$A:$C,3,FALSE)</f>
        <v>Electronics</v>
      </c>
      <c r="N1342" s="18" t="str">
        <f>VLOOKUP(C1342,Customers!$A:$E,5,FALSE)</f>
        <v>Retail</v>
      </c>
      <c r="O1342" s="18">
        <f>VLOOKUP(C1342,Customers!$A:$C,3,FALSE)</f>
        <v>35</v>
      </c>
      <c r="P1342" s="18" t="str">
        <f>VLOOKUP(E1341,Sales_Reps!$A:$C,3,FALSE)</f>
        <v>West</v>
      </c>
      <c r="Q1342" s="18" t="str">
        <f>TEXT(B1341,"MMM-YY")</f>
        <v>Dec-24</v>
      </c>
      <c r="R1342">
        <f>VLOOKUP(D1342, Products!A:D, 4, FALSE)</f>
        <v>2405</v>
      </c>
      <c r="S1342">
        <f>(G1342-R1342)/G1342</f>
        <v>0.54878048780487809</v>
      </c>
    </row>
    <row r="1343" spans="1:19" ht="14.25" hidden="1" customHeight="1" x14ac:dyDescent="0.3">
      <c r="A1343" s="8" t="s">
        <v>2386</v>
      </c>
      <c r="B1343" s="9">
        <v>45400</v>
      </c>
      <c r="C1343" s="8" t="s">
        <v>446</v>
      </c>
      <c r="D1343" s="8" t="s">
        <v>163</v>
      </c>
      <c r="E1343" s="8" t="s">
        <v>208</v>
      </c>
      <c r="F1343" s="10">
        <v>3</v>
      </c>
      <c r="G1343" s="10">
        <v>5490</v>
      </c>
      <c r="H1343" s="10">
        <v>26.7</v>
      </c>
      <c r="I1343" s="10">
        <v>12072.51</v>
      </c>
      <c r="J1343" s="8" t="s">
        <v>41</v>
      </c>
      <c r="K1343" s="8" t="s">
        <v>42</v>
      </c>
      <c r="L1343" s="18" t="str">
        <f>VLOOKUP(D1343,Products!$A:$C,3,FALSE)</f>
        <v>Home</v>
      </c>
      <c r="N1343" s="18" t="str">
        <f>VLOOKUP(C1343,Customers!$A:$E,5,FALSE)</f>
        <v>SMB</v>
      </c>
      <c r="O1343" s="18">
        <f>VLOOKUP(C1343,Customers!$A:$C,3,FALSE)</f>
        <v>49</v>
      </c>
    </row>
    <row r="1344" spans="1:19" ht="14.25" hidden="1" customHeight="1" x14ac:dyDescent="0.3">
      <c r="A1344" s="8" t="s">
        <v>2387</v>
      </c>
      <c r="B1344" s="9">
        <v>45564</v>
      </c>
      <c r="C1344" s="8" t="s">
        <v>246</v>
      </c>
      <c r="D1344" s="8" t="s">
        <v>199</v>
      </c>
      <c r="E1344" s="8" t="s">
        <v>261</v>
      </c>
      <c r="F1344" s="10">
        <v>7</v>
      </c>
      <c r="G1344" s="10">
        <v>190</v>
      </c>
      <c r="H1344" s="10">
        <v>11.6</v>
      </c>
      <c r="I1344" s="10">
        <v>1175.72</v>
      </c>
      <c r="J1344" s="8" t="s">
        <v>41</v>
      </c>
      <c r="K1344" s="8" t="s">
        <v>98</v>
      </c>
      <c r="L1344" s="18" t="str">
        <f>VLOOKUP(D1344,Products!$A:$C,3,FALSE)</f>
        <v>Sports</v>
      </c>
      <c r="N1344" s="18" t="str">
        <f>VLOOKUP(C1344,Customers!$A:$E,5,FALSE)</f>
        <v>Corporate</v>
      </c>
      <c r="O1344" s="18">
        <f>VLOOKUP(C1344,Customers!$A:$C,3,FALSE)</f>
        <v>55</v>
      </c>
    </row>
    <row r="1345" spans="1:19" ht="14.25" customHeight="1" x14ac:dyDescent="0.3">
      <c r="A1345" s="8" t="s">
        <v>2388</v>
      </c>
      <c r="B1345" s="21">
        <v>45437</v>
      </c>
      <c r="C1345" s="8" t="s">
        <v>151</v>
      </c>
      <c r="D1345" s="8" t="s">
        <v>134</v>
      </c>
      <c r="E1345" s="8" t="s">
        <v>221</v>
      </c>
      <c r="F1345" s="10">
        <v>5</v>
      </c>
      <c r="G1345" s="10">
        <v>3160</v>
      </c>
      <c r="H1345" s="10">
        <v>24.1</v>
      </c>
      <c r="I1345" s="10">
        <v>11992.2</v>
      </c>
      <c r="J1345" s="8" t="s">
        <v>41</v>
      </c>
      <c r="K1345" s="8" t="s">
        <v>136</v>
      </c>
      <c r="L1345" s="18" t="str">
        <f>VLOOKUP(D1345,Products!$A:$C,3,FALSE)</f>
        <v>Apparel</v>
      </c>
      <c r="N1345" s="18" t="str">
        <f>VLOOKUP(C1345,Customers!$A:$E,5,FALSE)</f>
        <v>Retail</v>
      </c>
      <c r="O1345" s="18">
        <f>VLOOKUP(C1345,Customers!$A:$C,3,FALSE)</f>
        <v>27</v>
      </c>
      <c r="P1345" s="18" t="str">
        <f>VLOOKUP(E1344,Sales_Reps!$A:$C,3,FALSE)</f>
        <v>North</v>
      </c>
      <c r="Q1345" s="18" t="str">
        <f t="shared" ref="Q1345:Q1347" si="262">TEXT(B1344,"MMM-YY")</f>
        <v>Sep-24</v>
      </c>
      <c r="R1345">
        <f>VLOOKUP(D1345, Products!A:D, 4, FALSE)</f>
        <v>1886</v>
      </c>
      <c r="S1345">
        <f t="shared" ref="S1345:S1347" si="263">(G1345-R1345)/G1345</f>
        <v>0.4031645569620253</v>
      </c>
    </row>
    <row r="1346" spans="1:19" ht="14.25" customHeight="1" x14ac:dyDescent="0.3">
      <c r="A1346" s="8" t="s">
        <v>2389</v>
      </c>
      <c r="B1346" s="21">
        <v>45395</v>
      </c>
      <c r="C1346" s="8" t="s">
        <v>309</v>
      </c>
      <c r="D1346" s="8" t="s">
        <v>929</v>
      </c>
      <c r="E1346" s="8" t="s">
        <v>208</v>
      </c>
      <c r="F1346" s="10">
        <v>1</v>
      </c>
      <c r="G1346" s="10">
        <v>1090</v>
      </c>
      <c r="H1346" s="10">
        <v>9.6</v>
      </c>
      <c r="I1346" s="10">
        <v>985.36</v>
      </c>
      <c r="J1346" s="8" t="s">
        <v>193</v>
      </c>
      <c r="K1346" s="8" t="s">
        <v>136</v>
      </c>
      <c r="L1346" s="18" t="str">
        <f>VLOOKUP(D1346,Products!$A:$C,3,FALSE)</f>
        <v>Home</v>
      </c>
      <c r="N1346" s="18" t="str">
        <f>VLOOKUP(C1346,Customers!$A:$E,5,FALSE)</f>
        <v>Retail</v>
      </c>
      <c r="O1346" s="18">
        <f>VLOOKUP(C1346,Customers!$A:$C,3,FALSE)</f>
        <v>23</v>
      </c>
      <c r="P1346" s="18" t="str">
        <f>VLOOKUP(E1345,Sales_Reps!$A:$C,3,FALSE)</f>
        <v>South</v>
      </c>
      <c r="Q1346" s="18" t="str">
        <f t="shared" si="262"/>
        <v>May-24</v>
      </c>
      <c r="R1346">
        <f>VLOOKUP(D1346, Products!A:D, 4, FALSE)</f>
        <v>464</v>
      </c>
      <c r="S1346">
        <f t="shared" si="263"/>
        <v>0.57431192660550456</v>
      </c>
    </row>
    <row r="1347" spans="1:19" ht="14.25" customHeight="1" x14ac:dyDescent="0.3">
      <c r="A1347" s="8" t="s">
        <v>2390</v>
      </c>
      <c r="B1347" s="21">
        <v>45447</v>
      </c>
      <c r="C1347" s="8" t="s">
        <v>466</v>
      </c>
      <c r="D1347" s="8" t="s">
        <v>144</v>
      </c>
      <c r="E1347" s="8" t="s">
        <v>185</v>
      </c>
      <c r="F1347" s="10">
        <v>9</v>
      </c>
      <c r="G1347" s="10">
        <v>370</v>
      </c>
      <c r="H1347" s="10">
        <v>4</v>
      </c>
      <c r="I1347" s="10">
        <v>3196.8</v>
      </c>
      <c r="J1347" s="8" t="s">
        <v>41</v>
      </c>
      <c r="K1347" s="8" t="s">
        <v>119</v>
      </c>
      <c r="L1347" s="18" t="str">
        <f>VLOOKUP(D1347,Products!$A:$C,3,FALSE)</f>
        <v>Home</v>
      </c>
      <c r="N1347" s="18" t="str">
        <f>VLOOKUP(C1347,Customers!$A:$E,5,FALSE)</f>
        <v>Corporate</v>
      </c>
      <c r="O1347" s="18">
        <f>VLOOKUP(C1347,Customers!$A:$C,3,FALSE)</f>
        <v>27</v>
      </c>
      <c r="P1347" s="18" t="str">
        <f>VLOOKUP(E1346,Sales_Reps!$A:$C,3,FALSE)</f>
        <v>East</v>
      </c>
      <c r="Q1347" s="18" t="str">
        <f t="shared" si="262"/>
        <v>Apr-24</v>
      </c>
      <c r="R1347">
        <f>VLOOKUP(D1347, Products!A:D, 4, FALSE)</f>
        <v>288</v>
      </c>
      <c r="S1347">
        <f t="shared" si="263"/>
        <v>0.22162162162162163</v>
      </c>
    </row>
    <row r="1348" spans="1:19" ht="14.25" hidden="1" customHeight="1" x14ac:dyDescent="0.3">
      <c r="A1348" s="8" t="s">
        <v>2391</v>
      </c>
      <c r="B1348" s="9">
        <v>45300</v>
      </c>
      <c r="C1348" s="8" t="s">
        <v>410</v>
      </c>
      <c r="D1348" s="8" t="s">
        <v>131</v>
      </c>
      <c r="E1348" s="8" t="s">
        <v>261</v>
      </c>
      <c r="F1348" s="10">
        <v>5</v>
      </c>
      <c r="G1348" s="10">
        <v>2660</v>
      </c>
      <c r="H1348" s="10">
        <v>24.6</v>
      </c>
      <c r="I1348" s="10">
        <v>10028.200000000001</v>
      </c>
      <c r="J1348" s="8" t="s">
        <v>147</v>
      </c>
      <c r="K1348" s="8" t="s">
        <v>98</v>
      </c>
      <c r="L1348" s="18" t="str">
        <f>VLOOKUP(D1348,Products!$A:$C,3,FALSE)</f>
        <v>Electronics</v>
      </c>
      <c r="N1348" s="18" t="str">
        <f>VLOOKUP(C1348,Customers!$A:$E,5,FALSE)</f>
        <v>Retail</v>
      </c>
      <c r="O1348" s="18">
        <f>VLOOKUP(C1348,Customers!$A:$C,3,FALSE)</f>
        <v>51</v>
      </c>
    </row>
    <row r="1349" spans="1:19" ht="14.25" customHeight="1" x14ac:dyDescent="0.3">
      <c r="A1349" s="8" t="s">
        <v>2392</v>
      </c>
      <c r="B1349" s="21">
        <v>45327</v>
      </c>
      <c r="C1349" s="8" t="s">
        <v>722</v>
      </c>
      <c r="D1349" s="8" t="s">
        <v>901</v>
      </c>
      <c r="E1349" s="8" t="s">
        <v>167</v>
      </c>
      <c r="F1349" s="10">
        <v>4</v>
      </c>
      <c r="G1349" s="10">
        <v>3560</v>
      </c>
      <c r="H1349" s="10">
        <v>25.7</v>
      </c>
      <c r="I1349" s="10">
        <v>10580.32</v>
      </c>
      <c r="J1349" s="8" t="s">
        <v>41</v>
      </c>
      <c r="K1349" s="8" t="s">
        <v>98</v>
      </c>
      <c r="L1349" s="18" t="str">
        <f>VLOOKUP(D1349,Products!$A:$C,3,FALSE)</f>
        <v>Apparel</v>
      </c>
      <c r="N1349" s="18" t="str">
        <f>VLOOKUP(C1349,Customers!$A:$E,5,FALSE)</f>
        <v>Retail</v>
      </c>
      <c r="O1349" s="18">
        <f>VLOOKUP(C1349,Customers!$A:$C,3,FALSE)</f>
        <v>34</v>
      </c>
      <c r="P1349" s="18" t="str">
        <f>VLOOKUP(E1348,Sales_Reps!$A:$C,3,FALSE)</f>
        <v>North</v>
      </c>
      <c r="Q1349" s="18" t="str">
        <f>TEXT(B1348,"MMM-YY")</f>
        <v>Jan-24</v>
      </c>
      <c r="R1349">
        <f>VLOOKUP(D1349, Products!A:D, 4, FALSE)</f>
        <v>2629</v>
      </c>
      <c r="S1349">
        <f>(G1349-R1349)/G1349</f>
        <v>0.26151685393258428</v>
      </c>
    </row>
    <row r="1350" spans="1:19" ht="14.25" hidden="1" customHeight="1" x14ac:dyDescent="0.3">
      <c r="A1350" s="8" t="s">
        <v>2393</v>
      </c>
      <c r="B1350" s="9">
        <v>45410</v>
      </c>
      <c r="C1350" s="8" t="s">
        <v>264</v>
      </c>
      <c r="D1350" s="8" t="s">
        <v>949</v>
      </c>
      <c r="E1350" s="8" t="s">
        <v>96</v>
      </c>
      <c r="F1350" s="10">
        <v>8</v>
      </c>
      <c r="G1350" s="10">
        <v>960</v>
      </c>
      <c r="H1350" s="10">
        <v>0.1</v>
      </c>
      <c r="I1350" s="10">
        <v>7672.32</v>
      </c>
      <c r="J1350" s="8" t="s">
        <v>41</v>
      </c>
      <c r="K1350" s="8" t="s">
        <v>98</v>
      </c>
      <c r="L1350" s="18" t="str">
        <f>VLOOKUP(D1350,Products!$A:$C,3,FALSE)</f>
        <v>Beauty</v>
      </c>
      <c r="N1350" s="18" t="str">
        <f>VLOOKUP(C1350,Customers!$A:$E,5,FALSE)</f>
        <v>Corporate</v>
      </c>
      <c r="O1350" s="18">
        <f>VLOOKUP(C1350,Customers!$A:$C,3,FALSE)</f>
        <v>52</v>
      </c>
    </row>
    <row r="1351" spans="1:19" ht="14.25" customHeight="1" x14ac:dyDescent="0.3">
      <c r="A1351" s="8" t="s">
        <v>2394</v>
      </c>
      <c r="B1351" s="21">
        <v>45644</v>
      </c>
      <c r="C1351" s="8" t="s">
        <v>568</v>
      </c>
      <c r="D1351" s="8" t="s">
        <v>144</v>
      </c>
      <c r="E1351" s="8" t="s">
        <v>153</v>
      </c>
      <c r="F1351" s="10">
        <v>10</v>
      </c>
      <c r="G1351" s="10">
        <v>370</v>
      </c>
      <c r="H1351" s="10">
        <v>16.399999999999999</v>
      </c>
      <c r="I1351" s="10">
        <v>3093.2</v>
      </c>
      <c r="J1351" s="8" t="s">
        <v>147</v>
      </c>
      <c r="K1351" s="8" t="s">
        <v>98</v>
      </c>
      <c r="L1351" s="18" t="str">
        <f>VLOOKUP(D1351,Products!$A:$C,3,FALSE)</f>
        <v>Home</v>
      </c>
      <c r="N1351" s="18" t="str">
        <f>VLOOKUP(C1351,Customers!$A:$E,5,FALSE)</f>
        <v>Retail</v>
      </c>
      <c r="O1351" s="18">
        <f>VLOOKUP(C1351,Customers!$A:$C,3,FALSE)</f>
        <v>37</v>
      </c>
      <c r="P1351" s="18" t="str">
        <f>VLOOKUP(E1350,Sales_Reps!$A:$C,3,FALSE)</f>
        <v>North</v>
      </c>
      <c r="Q1351" s="18" t="str">
        <f t="shared" ref="Q1351:Q1354" si="264">TEXT(B1350,"MMM-YY")</f>
        <v>Apr-24</v>
      </c>
      <c r="R1351">
        <f>VLOOKUP(D1351, Products!A:D, 4, FALSE)</f>
        <v>288</v>
      </c>
      <c r="S1351">
        <f t="shared" ref="S1351:S1354" si="265">(G1351-R1351)/G1351</f>
        <v>0.22162162162162163</v>
      </c>
    </row>
    <row r="1352" spans="1:19" ht="14.25" customHeight="1" x14ac:dyDescent="0.3">
      <c r="A1352" s="8" t="s">
        <v>2395</v>
      </c>
      <c r="B1352" s="21">
        <v>45399</v>
      </c>
      <c r="C1352" s="8" t="s">
        <v>344</v>
      </c>
      <c r="D1352" s="8" t="s">
        <v>239</v>
      </c>
      <c r="E1352" s="8" t="s">
        <v>236</v>
      </c>
      <c r="F1352" s="10">
        <v>4</v>
      </c>
      <c r="G1352" s="10">
        <v>2720</v>
      </c>
      <c r="H1352" s="10">
        <v>3.1</v>
      </c>
      <c r="I1352" s="10">
        <v>10542.72</v>
      </c>
      <c r="J1352" s="8" t="s">
        <v>41</v>
      </c>
      <c r="K1352" s="8" t="s">
        <v>136</v>
      </c>
      <c r="L1352" s="18" t="str">
        <f>VLOOKUP(D1352,Products!$A:$C,3,FALSE)</f>
        <v>Apparel</v>
      </c>
      <c r="N1352" s="18" t="str">
        <f>VLOOKUP(C1352,Customers!$A:$E,5,FALSE)</f>
        <v>Retail</v>
      </c>
      <c r="O1352" s="18">
        <f>VLOOKUP(C1352,Customers!$A:$C,3,FALSE)</f>
        <v>37</v>
      </c>
      <c r="P1352" s="18" t="str">
        <f>VLOOKUP(E1351,Sales_Reps!$A:$C,3,FALSE)</f>
        <v>West</v>
      </c>
      <c r="Q1352" s="18" t="str">
        <f t="shared" si="264"/>
        <v>Dec-24</v>
      </c>
      <c r="R1352">
        <f>VLOOKUP(D1352, Products!A:D, 4, FALSE)</f>
        <v>1962</v>
      </c>
      <c r="S1352">
        <f t="shared" si="265"/>
        <v>0.2786764705882353</v>
      </c>
    </row>
    <row r="1353" spans="1:19" ht="14.25" customHeight="1" x14ac:dyDescent="0.3">
      <c r="A1353" s="8" t="s">
        <v>2396</v>
      </c>
      <c r="B1353" s="21">
        <v>45441</v>
      </c>
      <c r="C1353" s="8" t="s">
        <v>563</v>
      </c>
      <c r="D1353" s="8" t="s">
        <v>926</v>
      </c>
      <c r="E1353" s="8" t="s">
        <v>96</v>
      </c>
      <c r="F1353" s="10">
        <v>10</v>
      </c>
      <c r="G1353" s="10">
        <v>5080</v>
      </c>
      <c r="H1353" s="10">
        <v>6.8</v>
      </c>
      <c r="I1353" s="10">
        <v>47345.599999999999</v>
      </c>
      <c r="J1353" s="8" t="s">
        <v>41</v>
      </c>
      <c r="K1353" s="8" t="s">
        <v>98</v>
      </c>
      <c r="L1353" s="18" t="str">
        <f>VLOOKUP(D1353,Products!$A:$C,3,FALSE)</f>
        <v>Home</v>
      </c>
      <c r="N1353" s="18" t="str">
        <f>VLOOKUP(C1353,Customers!$A:$E,5,FALSE)</f>
        <v>Corporate</v>
      </c>
      <c r="O1353" s="18">
        <f>VLOOKUP(C1353,Customers!$A:$C,3,FALSE)</f>
        <v>24</v>
      </c>
      <c r="P1353" s="18" t="str">
        <f>VLOOKUP(E1352,Sales_Reps!$A:$C,3,FALSE)</f>
        <v>West</v>
      </c>
      <c r="Q1353" s="18" t="str">
        <f t="shared" si="264"/>
        <v>Apr-24</v>
      </c>
      <c r="R1353">
        <f>VLOOKUP(D1353, Products!A:D, 4, FALSE)</f>
        <v>2459</v>
      </c>
      <c r="S1353">
        <f t="shared" si="265"/>
        <v>0.51594488188976373</v>
      </c>
    </row>
    <row r="1354" spans="1:19" ht="14.25" customHeight="1" x14ac:dyDescent="0.3">
      <c r="A1354" s="8" t="s">
        <v>2397</v>
      </c>
      <c r="B1354" s="21">
        <v>45379</v>
      </c>
      <c r="C1354" s="8" t="s">
        <v>842</v>
      </c>
      <c r="D1354" s="8" t="s">
        <v>939</v>
      </c>
      <c r="E1354" s="8" t="s">
        <v>135</v>
      </c>
      <c r="F1354" s="10">
        <v>6</v>
      </c>
      <c r="G1354" s="10">
        <v>2290</v>
      </c>
      <c r="H1354" s="10">
        <v>22.6</v>
      </c>
      <c r="I1354" s="10">
        <v>10634.76</v>
      </c>
      <c r="J1354" s="8" t="s">
        <v>41</v>
      </c>
      <c r="K1354" s="8" t="s">
        <v>178</v>
      </c>
      <c r="L1354" s="18" t="str">
        <f>VLOOKUP(D1354,Products!$A:$C,3,FALSE)</f>
        <v>Beauty</v>
      </c>
      <c r="N1354" s="18" t="str">
        <f>VLOOKUP(C1354,Customers!$A:$E,5,FALSE)</f>
        <v>Corporate</v>
      </c>
      <c r="O1354" s="18">
        <f>VLOOKUP(C1354,Customers!$A:$C,3,FALSE)</f>
        <v>25</v>
      </c>
      <c r="P1354" s="18" t="str">
        <f>VLOOKUP(E1353,Sales_Reps!$A:$C,3,FALSE)</f>
        <v>North</v>
      </c>
      <c r="Q1354" s="18" t="str">
        <f t="shared" si="264"/>
        <v>May-24</v>
      </c>
      <c r="R1354">
        <f>VLOOKUP(D1354, Products!A:D, 4, FALSE)</f>
        <v>1219</v>
      </c>
      <c r="S1354">
        <f t="shared" si="265"/>
        <v>0.46768558951965067</v>
      </c>
    </row>
    <row r="1355" spans="1:19" ht="14.25" hidden="1" customHeight="1" x14ac:dyDescent="0.3">
      <c r="A1355" s="8" t="s">
        <v>2398</v>
      </c>
      <c r="B1355" s="9">
        <v>45502</v>
      </c>
      <c r="C1355" s="8" t="s">
        <v>254</v>
      </c>
      <c r="D1355" s="8" t="s">
        <v>374</v>
      </c>
      <c r="E1355" s="8" t="s">
        <v>125</v>
      </c>
      <c r="F1355" s="10">
        <v>4</v>
      </c>
      <c r="G1355" s="10">
        <v>2760</v>
      </c>
      <c r="H1355" s="10">
        <v>27.2</v>
      </c>
      <c r="I1355" s="10">
        <v>8037.12</v>
      </c>
      <c r="J1355" s="8" t="s">
        <v>193</v>
      </c>
      <c r="K1355" s="8" t="s">
        <v>42</v>
      </c>
      <c r="L1355" s="18" t="str">
        <f>VLOOKUP(D1355,Products!$A:$C,3,FALSE)</f>
        <v>Grocery</v>
      </c>
      <c r="N1355" s="18" t="str">
        <f>VLOOKUP(C1355,Customers!$A:$E,5,FALSE)</f>
        <v>Corporate</v>
      </c>
      <c r="O1355" s="18">
        <f>VLOOKUP(C1355,Customers!$A:$C,3,FALSE)</f>
        <v>42</v>
      </c>
    </row>
    <row r="1356" spans="1:19" ht="14.25" hidden="1" customHeight="1" x14ac:dyDescent="0.3">
      <c r="A1356" s="8" t="s">
        <v>2399</v>
      </c>
      <c r="B1356" s="9">
        <v>45466</v>
      </c>
      <c r="C1356" s="8" t="s">
        <v>627</v>
      </c>
      <c r="D1356" s="8" t="s">
        <v>176</v>
      </c>
      <c r="E1356" s="8" t="s">
        <v>619</v>
      </c>
      <c r="F1356" s="10">
        <v>9</v>
      </c>
      <c r="G1356" s="10">
        <v>2270</v>
      </c>
      <c r="H1356" s="10">
        <v>5.2</v>
      </c>
      <c r="I1356" s="10">
        <v>19367.64</v>
      </c>
      <c r="J1356" s="8" t="s">
        <v>41</v>
      </c>
      <c r="K1356" s="8" t="s">
        <v>42</v>
      </c>
      <c r="L1356" s="18" t="str">
        <f>VLOOKUP(D1356,Products!$A:$C,3,FALSE)</f>
        <v>Grocery</v>
      </c>
      <c r="N1356" s="18" t="str">
        <f>VLOOKUP(C1356,Customers!$A:$E,5,FALSE)</f>
        <v>Retail</v>
      </c>
      <c r="O1356" s="18">
        <f>VLOOKUP(C1356,Customers!$A:$C,3,FALSE)</f>
        <v>65</v>
      </c>
    </row>
    <row r="1357" spans="1:19" ht="14.25" hidden="1" customHeight="1" x14ac:dyDescent="0.3">
      <c r="A1357" s="8" t="s">
        <v>2400</v>
      </c>
      <c r="B1357" s="9">
        <v>45500</v>
      </c>
      <c r="C1357" s="8" t="s">
        <v>840</v>
      </c>
      <c r="D1357" s="8" t="s">
        <v>898</v>
      </c>
      <c r="E1357" s="8" t="s">
        <v>135</v>
      </c>
      <c r="F1357" s="10">
        <v>3</v>
      </c>
      <c r="G1357" s="10">
        <v>2510</v>
      </c>
      <c r="H1357" s="10">
        <v>16.399999999999999</v>
      </c>
      <c r="I1357" s="10">
        <v>6295.08</v>
      </c>
      <c r="J1357" s="8" t="s">
        <v>41</v>
      </c>
      <c r="K1357" s="8" t="s">
        <v>98</v>
      </c>
      <c r="L1357" s="18" t="str">
        <f>VLOOKUP(D1357,Products!$A:$C,3,FALSE)</f>
        <v>Apparel</v>
      </c>
      <c r="N1357" s="18" t="str">
        <f>VLOOKUP(C1357,Customers!$A:$E,5,FALSE)</f>
        <v>SMB</v>
      </c>
      <c r="O1357" s="18">
        <f>VLOOKUP(C1357,Customers!$A:$C,3,FALSE)</f>
        <v>53</v>
      </c>
    </row>
    <row r="1358" spans="1:19" ht="14.25" hidden="1" customHeight="1" x14ac:dyDescent="0.3">
      <c r="A1358" s="8" t="s">
        <v>2401</v>
      </c>
      <c r="B1358" s="9">
        <v>45337</v>
      </c>
      <c r="C1358" s="8" t="s">
        <v>296</v>
      </c>
      <c r="D1358" s="8" t="s">
        <v>909</v>
      </c>
      <c r="E1358" s="8" t="s">
        <v>189</v>
      </c>
      <c r="F1358" s="10">
        <v>1</v>
      </c>
      <c r="G1358" s="10">
        <v>2380</v>
      </c>
      <c r="H1358" s="10">
        <v>23.5</v>
      </c>
      <c r="I1358" s="10">
        <v>1820.7</v>
      </c>
      <c r="J1358" s="8" t="s">
        <v>41</v>
      </c>
      <c r="K1358" s="8" t="s">
        <v>178</v>
      </c>
      <c r="L1358" s="18" t="str">
        <f>VLOOKUP(D1358,Products!$A:$C,3,FALSE)</f>
        <v>Grocery</v>
      </c>
      <c r="N1358" s="18" t="str">
        <f>VLOOKUP(C1358,Customers!$A:$E,5,FALSE)</f>
        <v>Retail</v>
      </c>
      <c r="O1358" s="18">
        <f>VLOOKUP(C1358,Customers!$A:$C,3,FALSE)</f>
        <v>46</v>
      </c>
    </row>
    <row r="1359" spans="1:19" ht="14.25" customHeight="1" x14ac:dyDescent="0.3">
      <c r="A1359" s="8" t="s">
        <v>2402</v>
      </c>
      <c r="B1359" s="21">
        <v>45447</v>
      </c>
      <c r="C1359" s="8" t="s">
        <v>344</v>
      </c>
      <c r="D1359" s="8" t="s">
        <v>964</v>
      </c>
      <c r="E1359" s="8" t="s">
        <v>158</v>
      </c>
      <c r="F1359" s="10">
        <v>2</v>
      </c>
      <c r="G1359" s="10">
        <v>3780</v>
      </c>
      <c r="H1359" s="10">
        <v>29.1</v>
      </c>
      <c r="I1359" s="10">
        <v>5360.04</v>
      </c>
      <c r="J1359" s="8" t="s">
        <v>41</v>
      </c>
      <c r="K1359" s="8" t="s">
        <v>136</v>
      </c>
      <c r="L1359" s="18" t="str">
        <f>VLOOKUP(D1359,Products!$A:$C,3,FALSE)</f>
        <v>Sports</v>
      </c>
      <c r="N1359" s="18" t="str">
        <f>VLOOKUP(C1359,Customers!$A:$E,5,FALSE)</f>
        <v>Retail</v>
      </c>
      <c r="O1359" s="18">
        <f>VLOOKUP(C1359,Customers!$A:$C,3,FALSE)</f>
        <v>37</v>
      </c>
      <c r="P1359" s="18" t="str">
        <f>VLOOKUP(E1358,Sales_Reps!$A:$C,3,FALSE)</f>
        <v>South</v>
      </c>
      <c r="Q1359" s="18" t="str">
        <f t="shared" ref="Q1359:Q1360" si="266">TEXT(B1358,"MMM-YY")</f>
        <v>Feb-24</v>
      </c>
      <c r="R1359">
        <f>VLOOKUP(D1359, Products!A:D, 4, FALSE)</f>
        <v>1860</v>
      </c>
      <c r="S1359">
        <f t="shared" ref="S1359:S1360" si="267">(G1359-R1359)/G1359</f>
        <v>0.50793650793650791</v>
      </c>
    </row>
    <row r="1360" spans="1:19" ht="14.25" customHeight="1" x14ac:dyDescent="0.3">
      <c r="A1360" s="8" t="s">
        <v>2403</v>
      </c>
      <c r="B1360" s="21">
        <v>45546</v>
      </c>
      <c r="C1360" s="8" t="s">
        <v>536</v>
      </c>
      <c r="D1360" s="8" t="s">
        <v>889</v>
      </c>
      <c r="E1360" s="8" t="s">
        <v>376</v>
      </c>
      <c r="F1360" s="10">
        <v>1</v>
      </c>
      <c r="G1360" s="10">
        <v>3450</v>
      </c>
      <c r="H1360" s="10">
        <v>17.8</v>
      </c>
      <c r="I1360" s="10">
        <v>2835.9</v>
      </c>
      <c r="J1360" s="8" t="s">
        <v>41</v>
      </c>
      <c r="K1360" s="8" t="s">
        <v>178</v>
      </c>
      <c r="L1360" s="18" t="str">
        <f>VLOOKUP(D1360,Products!$A:$C,3,FALSE)</f>
        <v>Apparel</v>
      </c>
      <c r="N1360" s="18" t="str">
        <f>VLOOKUP(C1360,Customers!$A:$E,5,FALSE)</f>
        <v>Retail</v>
      </c>
      <c r="O1360" s="18">
        <f>VLOOKUP(C1360,Customers!$A:$C,3,FALSE)</f>
        <v>35</v>
      </c>
      <c r="P1360" s="18" t="str">
        <f>VLOOKUP(E1359,Sales_Reps!$A:$C,3,FALSE)</f>
        <v>East</v>
      </c>
      <c r="Q1360" s="18" t="str">
        <f t="shared" si="266"/>
        <v>Jun-24</v>
      </c>
      <c r="R1360">
        <f>VLOOKUP(D1360, Products!A:D, 4, FALSE)</f>
        <v>1748</v>
      </c>
      <c r="S1360">
        <f t="shared" si="267"/>
        <v>0.49333333333333335</v>
      </c>
    </row>
    <row r="1361" spans="1:19" ht="14.25" hidden="1" customHeight="1" x14ac:dyDescent="0.3">
      <c r="A1361" s="8" t="s">
        <v>2404</v>
      </c>
      <c r="B1361" s="9">
        <v>45451</v>
      </c>
      <c r="C1361" s="8" t="s">
        <v>580</v>
      </c>
      <c r="D1361" s="8" t="s">
        <v>283</v>
      </c>
      <c r="E1361" s="8" t="s">
        <v>125</v>
      </c>
      <c r="F1361" s="10">
        <v>6</v>
      </c>
      <c r="G1361" s="10">
        <v>4880</v>
      </c>
      <c r="H1361" s="10">
        <v>15.6</v>
      </c>
      <c r="I1361" s="10">
        <v>24712.32</v>
      </c>
      <c r="J1361" s="8" t="s">
        <v>97</v>
      </c>
      <c r="K1361" s="8" t="s">
        <v>178</v>
      </c>
      <c r="L1361" s="18" t="str">
        <f>VLOOKUP(D1361,Products!$A:$C,3,FALSE)</f>
        <v>Beauty</v>
      </c>
      <c r="N1361" s="18" t="str">
        <f>VLOOKUP(C1361,Customers!$A:$E,5,FALSE)</f>
        <v>Retail</v>
      </c>
      <c r="O1361" s="18">
        <f>VLOOKUP(C1361,Customers!$A:$C,3,FALSE)</f>
        <v>44</v>
      </c>
    </row>
    <row r="1362" spans="1:19" ht="14.25" customHeight="1" x14ac:dyDescent="0.3">
      <c r="A1362" s="8" t="s">
        <v>2405</v>
      </c>
      <c r="B1362" s="21">
        <v>45427</v>
      </c>
      <c r="C1362" s="8" t="s">
        <v>241</v>
      </c>
      <c r="D1362" s="8" t="s">
        <v>949</v>
      </c>
      <c r="E1362" s="8" t="s">
        <v>221</v>
      </c>
      <c r="F1362" s="10">
        <v>6</v>
      </c>
      <c r="G1362" s="10">
        <v>960</v>
      </c>
      <c r="H1362" s="10">
        <v>7.5</v>
      </c>
      <c r="I1362" s="10">
        <v>5328</v>
      </c>
      <c r="J1362" s="8" t="s">
        <v>97</v>
      </c>
      <c r="K1362" s="8" t="s">
        <v>178</v>
      </c>
      <c r="L1362" s="18" t="str">
        <f>VLOOKUP(D1362,Products!$A:$C,3,FALSE)</f>
        <v>Beauty</v>
      </c>
      <c r="N1362" s="18" t="str">
        <f>VLOOKUP(C1362,Customers!$A:$E,5,FALSE)</f>
        <v>SMB</v>
      </c>
      <c r="O1362" s="18">
        <f>VLOOKUP(C1362,Customers!$A:$C,3,FALSE)</f>
        <v>40</v>
      </c>
      <c r="P1362" s="18" t="str">
        <f>VLOOKUP(E1361,Sales_Reps!$A:$C,3,FALSE)</f>
        <v>North</v>
      </c>
      <c r="Q1362" s="18" t="str">
        <f t="shared" ref="Q1362:Q1364" si="268">TEXT(B1361,"MMM-YY")</f>
        <v>Jun-24</v>
      </c>
      <c r="R1362">
        <f>VLOOKUP(D1362, Products!A:D, 4, FALSE)</f>
        <v>675</v>
      </c>
      <c r="S1362">
        <f t="shared" ref="S1362:S1364" si="269">(G1362-R1362)/G1362</f>
        <v>0.296875</v>
      </c>
    </row>
    <row r="1363" spans="1:19" ht="14.25" customHeight="1" x14ac:dyDescent="0.3">
      <c r="A1363" s="8" t="s">
        <v>2406</v>
      </c>
      <c r="B1363" s="21">
        <v>45532</v>
      </c>
      <c r="C1363" s="8" t="s">
        <v>487</v>
      </c>
      <c r="D1363" s="8" t="s">
        <v>901</v>
      </c>
      <c r="E1363" s="8" t="s">
        <v>208</v>
      </c>
      <c r="F1363" s="10">
        <v>1</v>
      </c>
      <c r="G1363" s="10">
        <v>3560</v>
      </c>
      <c r="H1363" s="10">
        <v>12.9</v>
      </c>
      <c r="I1363" s="10">
        <v>3100.76</v>
      </c>
      <c r="J1363" s="8" t="s">
        <v>41</v>
      </c>
      <c r="K1363" s="8" t="s">
        <v>42</v>
      </c>
      <c r="L1363" s="18" t="str">
        <f>VLOOKUP(D1363,Products!$A:$C,3,FALSE)</f>
        <v>Apparel</v>
      </c>
      <c r="N1363" s="18" t="str">
        <f>VLOOKUP(C1363,Customers!$A:$E,5,FALSE)</f>
        <v>Retail</v>
      </c>
      <c r="O1363" s="18">
        <f>VLOOKUP(C1363,Customers!$A:$C,3,FALSE)</f>
        <v>22</v>
      </c>
      <c r="P1363" s="18" t="str">
        <f>VLOOKUP(E1362,Sales_Reps!$A:$C,3,FALSE)</f>
        <v>South</v>
      </c>
      <c r="Q1363" s="18" t="str">
        <f t="shared" si="268"/>
        <v>May-24</v>
      </c>
      <c r="R1363">
        <f>VLOOKUP(D1363, Products!A:D, 4, FALSE)</f>
        <v>2629</v>
      </c>
      <c r="S1363">
        <f t="shared" si="269"/>
        <v>0.26151685393258428</v>
      </c>
    </row>
    <row r="1364" spans="1:19" ht="14.25" customHeight="1" x14ac:dyDescent="0.3">
      <c r="A1364" s="8" t="s">
        <v>2407</v>
      </c>
      <c r="B1364" s="21">
        <v>45466</v>
      </c>
      <c r="C1364" s="8" t="s">
        <v>442</v>
      </c>
      <c r="D1364" s="8" t="s">
        <v>912</v>
      </c>
      <c r="E1364" s="8" t="s">
        <v>96</v>
      </c>
      <c r="F1364" s="10">
        <v>5</v>
      </c>
      <c r="G1364" s="10">
        <v>4060</v>
      </c>
      <c r="H1364" s="10">
        <v>18.100000000000001</v>
      </c>
      <c r="I1364" s="10">
        <v>16625.7</v>
      </c>
      <c r="J1364" s="8" t="s">
        <v>97</v>
      </c>
      <c r="K1364" s="8" t="s">
        <v>98</v>
      </c>
      <c r="L1364" s="18" t="str">
        <f>VLOOKUP(D1364,Products!$A:$C,3,FALSE)</f>
        <v>Grocery</v>
      </c>
      <c r="N1364" s="18" t="str">
        <f>VLOOKUP(C1364,Customers!$A:$E,5,FALSE)</f>
        <v>Retail</v>
      </c>
      <c r="O1364" s="18">
        <f>VLOOKUP(C1364,Customers!$A:$C,3,FALSE)</f>
        <v>26</v>
      </c>
      <c r="P1364" s="18" t="str">
        <f>VLOOKUP(E1363,Sales_Reps!$A:$C,3,FALSE)</f>
        <v>East</v>
      </c>
      <c r="Q1364" s="18" t="str">
        <f t="shared" si="268"/>
        <v>Aug-24</v>
      </c>
      <c r="R1364">
        <f>VLOOKUP(D1364, Products!A:D, 4, FALSE)</f>
        <v>2911</v>
      </c>
      <c r="S1364">
        <f t="shared" si="269"/>
        <v>0.28300492610837441</v>
      </c>
    </row>
    <row r="1365" spans="1:19" ht="14.25" hidden="1" customHeight="1" x14ac:dyDescent="0.3">
      <c r="A1365" s="8" t="s">
        <v>2408</v>
      </c>
      <c r="B1365" s="9">
        <v>45545</v>
      </c>
      <c r="C1365" s="8" t="s">
        <v>123</v>
      </c>
      <c r="D1365" s="8" t="s">
        <v>239</v>
      </c>
      <c r="E1365" s="8" t="s">
        <v>321</v>
      </c>
      <c r="F1365" s="10">
        <v>10</v>
      </c>
      <c r="G1365" s="10">
        <v>2720</v>
      </c>
      <c r="H1365" s="10">
        <v>23.2</v>
      </c>
      <c r="I1365" s="10">
        <v>20889.599999999999</v>
      </c>
      <c r="J1365" s="8" t="s">
        <v>41</v>
      </c>
      <c r="K1365" s="8" t="s">
        <v>119</v>
      </c>
      <c r="L1365" s="18" t="str">
        <f>VLOOKUP(D1365,Products!$A:$C,3,FALSE)</f>
        <v>Apparel</v>
      </c>
      <c r="N1365" s="18" t="str">
        <f>VLOOKUP(C1365,Customers!$A:$E,5,FALSE)</f>
        <v>Corporate</v>
      </c>
      <c r="O1365" s="18">
        <f>VLOOKUP(C1365,Customers!$A:$C,3,FALSE)</f>
        <v>46</v>
      </c>
    </row>
    <row r="1366" spans="1:19" ht="14.25" hidden="1" customHeight="1" x14ac:dyDescent="0.3">
      <c r="A1366" s="8" t="s">
        <v>2288</v>
      </c>
      <c r="B1366" s="9">
        <v>45547</v>
      </c>
      <c r="C1366" s="8" t="s">
        <v>652</v>
      </c>
      <c r="D1366" s="8" t="s">
        <v>918</v>
      </c>
      <c r="E1366" s="8" t="s">
        <v>196</v>
      </c>
      <c r="F1366" s="10">
        <v>1</v>
      </c>
      <c r="G1366" s="10">
        <v>2210</v>
      </c>
      <c r="H1366" s="10">
        <v>5.8</v>
      </c>
      <c r="I1366" s="10">
        <v>2081.8200000000002</v>
      </c>
      <c r="J1366" s="8" t="s">
        <v>97</v>
      </c>
      <c r="K1366" s="8" t="s">
        <v>178</v>
      </c>
      <c r="L1366" s="18" t="str">
        <f>VLOOKUP(D1366,Products!$A:$C,3,FALSE)</f>
        <v>Grocery</v>
      </c>
      <c r="N1366" s="18" t="str">
        <f>VLOOKUP(C1366,Customers!$A:$E,5,FALSE)</f>
        <v>SMB</v>
      </c>
      <c r="O1366" s="18">
        <f>VLOOKUP(C1366,Customers!$A:$C,3,FALSE)</f>
        <v>43</v>
      </c>
    </row>
    <row r="1367" spans="1:19" ht="14.25" hidden="1" customHeight="1" x14ac:dyDescent="0.3">
      <c r="A1367" s="8" t="s">
        <v>2409</v>
      </c>
      <c r="B1367" s="9">
        <v>45547</v>
      </c>
      <c r="C1367" s="8" t="s">
        <v>218</v>
      </c>
      <c r="D1367" s="8" t="s">
        <v>215</v>
      </c>
      <c r="E1367" s="8" t="s">
        <v>745</v>
      </c>
      <c r="F1367" s="10">
        <v>5</v>
      </c>
      <c r="G1367" s="10">
        <v>3450</v>
      </c>
      <c r="H1367" s="10">
        <v>27.9</v>
      </c>
      <c r="I1367" s="10">
        <v>12437.25</v>
      </c>
      <c r="J1367" s="8" t="s">
        <v>97</v>
      </c>
      <c r="K1367" s="8" t="s">
        <v>146</v>
      </c>
      <c r="L1367" s="18" t="str">
        <f>VLOOKUP(D1367,Products!$A:$C,3,FALSE)</f>
        <v>Beauty</v>
      </c>
      <c r="N1367" s="18" t="str">
        <f>VLOOKUP(C1367,Customers!$A:$E,5,FALSE)</f>
        <v>Retail</v>
      </c>
      <c r="O1367" s="18">
        <f>VLOOKUP(C1367,Customers!$A:$C,3,FALSE)</f>
        <v>54</v>
      </c>
    </row>
    <row r="1368" spans="1:19" ht="14.25" customHeight="1" x14ac:dyDescent="0.3">
      <c r="A1368" s="8" t="s">
        <v>2410</v>
      </c>
      <c r="B1368" s="21">
        <v>45550</v>
      </c>
      <c r="C1368" s="8" t="s">
        <v>464</v>
      </c>
      <c r="D1368" s="8" t="s">
        <v>909</v>
      </c>
      <c r="E1368" s="8" t="s">
        <v>208</v>
      </c>
      <c r="F1368" s="10">
        <v>9</v>
      </c>
      <c r="G1368" s="10">
        <v>2380</v>
      </c>
      <c r="H1368" s="10">
        <v>15.2</v>
      </c>
      <c r="I1368" s="10">
        <v>18164.16</v>
      </c>
      <c r="J1368" s="8" t="s">
        <v>193</v>
      </c>
      <c r="K1368" s="8" t="s">
        <v>146</v>
      </c>
      <c r="L1368" s="18" t="str">
        <f>VLOOKUP(D1368,Products!$A:$C,3,FALSE)</f>
        <v>Grocery</v>
      </c>
      <c r="N1368" s="18" t="str">
        <f>VLOOKUP(C1368,Customers!$A:$E,5,FALSE)</f>
        <v>SMB</v>
      </c>
      <c r="O1368" s="18">
        <f>VLOOKUP(C1368,Customers!$A:$C,3,FALSE)</f>
        <v>36</v>
      </c>
      <c r="P1368" s="18" t="str">
        <f>VLOOKUP(E1367,Sales_Reps!$A:$C,3,FALSE)</f>
        <v>South</v>
      </c>
      <c r="Q1368" s="18" t="str">
        <f>TEXT(B1367,"MMM-YY")</f>
        <v>Sep-24</v>
      </c>
      <c r="R1368">
        <f>VLOOKUP(D1368, Products!A:D, 4, FALSE)</f>
        <v>1182</v>
      </c>
      <c r="S1368">
        <f>(G1368-R1368)/G1368</f>
        <v>0.50336134453781511</v>
      </c>
    </row>
    <row r="1369" spans="1:19" ht="14.25" hidden="1" customHeight="1" x14ac:dyDescent="0.3">
      <c r="A1369" s="8" t="s">
        <v>2411</v>
      </c>
      <c r="B1369" s="9">
        <v>45551</v>
      </c>
      <c r="C1369" s="8" t="s">
        <v>780</v>
      </c>
      <c r="D1369" s="8" t="s">
        <v>909</v>
      </c>
      <c r="E1369" s="8" t="s">
        <v>261</v>
      </c>
      <c r="F1369" s="10">
        <v>2</v>
      </c>
      <c r="G1369" s="10">
        <v>2380</v>
      </c>
      <c r="H1369" s="10">
        <v>24.3</v>
      </c>
      <c r="I1369" s="10">
        <v>3603.32</v>
      </c>
      <c r="J1369" s="8" t="s">
        <v>41</v>
      </c>
      <c r="K1369" s="8" t="s">
        <v>119</v>
      </c>
      <c r="L1369" s="18" t="str">
        <f>VLOOKUP(D1369,Products!$A:$C,3,FALSE)</f>
        <v>Grocery</v>
      </c>
      <c r="N1369" s="18" t="str">
        <f>VLOOKUP(C1369,Customers!$A:$E,5,FALSE)</f>
        <v>SMB</v>
      </c>
      <c r="O1369" s="18">
        <f>VLOOKUP(C1369,Customers!$A:$C,3,FALSE)</f>
        <v>53</v>
      </c>
    </row>
    <row r="1370" spans="1:19" ht="14.25" hidden="1" customHeight="1" x14ac:dyDescent="0.3">
      <c r="A1370" s="8" t="s">
        <v>2412</v>
      </c>
      <c r="B1370" s="9">
        <v>45560</v>
      </c>
      <c r="C1370" s="8" t="s">
        <v>123</v>
      </c>
      <c r="D1370" s="8" t="s">
        <v>901</v>
      </c>
      <c r="E1370" s="8" t="s">
        <v>189</v>
      </c>
      <c r="F1370" s="10">
        <v>9</v>
      </c>
      <c r="G1370" s="10">
        <v>3560</v>
      </c>
      <c r="H1370" s="10">
        <v>6.6</v>
      </c>
      <c r="I1370" s="10">
        <v>29925.360000000001</v>
      </c>
      <c r="J1370" s="8" t="s">
        <v>193</v>
      </c>
      <c r="K1370" s="8" t="s">
        <v>119</v>
      </c>
      <c r="L1370" s="18" t="str">
        <f>VLOOKUP(D1370,Products!$A:$C,3,FALSE)</f>
        <v>Apparel</v>
      </c>
      <c r="N1370" s="18" t="str">
        <f>VLOOKUP(C1370,Customers!$A:$E,5,FALSE)</f>
        <v>Corporate</v>
      </c>
      <c r="O1370" s="18">
        <f>VLOOKUP(C1370,Customers!$A:$C,3,FALSE)</f>
        <v>46</v>
      </c>
    </row>
    <row r="1371" spans="1:19" ht="14.25" customHeight="1" x14ac:dyDescent="0.3">
      <c r="A1371" s="8" t="s">
        <v>281</v>
      </c>
      <c r="B1371" s="21">
        <v>45330</v>
      </c>
      <c r="C1371" s="8" t="s">
        <v>187</v>
      </c>
      <c r="D1371" s="8" t="s">
        <v>160</v>
      </c>
      <c r="E1371" s="8" t="s">
        <v>167</v>
      </c>
      <c r="F1371" s="10">
        <v>7</v>
      </c>
      <c r="G1371" s="10">
        <v>1220</v>
      </c>
      <c r="H1371" s="10">
        <v>29.4</v>
      </c>
      <c r="I1371" s="10">
        <v>6029.24</v>
      </c>
      <c r="J1371" s="8" t="s">
        <v>41</v>
      </c>
      <c r="K1371" s="8" t="s">
        <v>98</v>
      </c>
      <c r="L1371" s="18" t="str">
        <f>VLOOKUP(D1371,Products!$A:$C,3,FALSE)</f>
        <v>Electronics</v>
      </c>
      <c r="N1371" s="18" t="str">
        <f>VLOOKUP(C1371,Customers!$A:$E,5,FALSE)</f>
        <v>Corporate</v>
      </c>
      <c r="O1371" s="18">
        <f>VLOOKUP(C1371,Customers!$A:$C,3,FALSE)</f>
        <v>35</v>
      </c>
      <c r="P1371" s="18" t="str">
        <f>VLOOKUP(E1370,Sales_Reps!$A:$C,3,FALSE)</f>
        <v>South</v>
      </c>
      <c r="Q1371" s="18" t="str">
        <f t="shared" ref="Q1371:Q1372" si="270">TEXT(B1370,"MMM-YY")</f>
        <v>Sep-24</v>
      </c>
      <c r="R1371">
        <f>VLOOKUP(D1371, Products!A:D, 4, FALSE)</f>
        <v>517</v>
      </c>
      <c r="S1371">
        <f t="shared" ref="S1371:S1372" si="271">(G1371-R1371)/G1371</f>
        <v>0.57622950819672136</v>
      </c>
    </row>
    <row r="1372" spans="1:19" ht="14.25" customHeight="1" x14ac:dyDescent="0.3">
      <c r="A1372" s="8" t="s">
        <v>2413</v>
      </c>
      <c r="B1372" s="21">
        <v>45560</v>
      </c>
      <c r="C1372" s="8" t="s">
        <v>369</v>
      </c>
      <c r="D1372" s="8" t="s">
        <v>959</v>
      </c>
      <c r="E1372" s="8" t="s">
        <v>121</v>
      </c>
      <c r="F1372" s="10">
        <v>7</v>
      </c>
      <c r="G1372" s="10">
        <v>6940</v>
      </c>
      <c r="H1372" s="10">
        <v>9.6</v>
      </c>
      <c r="I1372" s="10">
        <v>43916.32</v>
      </c>
      <c r="J1372" s="8" t="s">
        <v>41</v>
      </c>
      <c r="K1372" s="8" t="s">
        <v>146</v>
      </c>
      <c r="L1372" s="18" t="str">
        <f>VLOOKUP(D1372,Products!$A:$C,3,FALSE)</f>
        <v>Sports</v>
      </c>
      <c r="N1372" s="18" t="str">
        <f>VLOOKUP(C1372,Customers!$A:$E,5,FALSE)</f>
        <v>Retail</v>
      </c>
      <c r="O1372" s="18">
        <f>VLOOKUP(C1372,Customers!$A:$C,3,FALSE)</f>
        <v>37</v>
      </c>
      <c r="P1372" s="18" t="str">
        <f>VLOOKUP(E1371,Sales_Reps!$A:$C,3,FALSE)</f>
        <v>East</v>
      </c>
      <c r="Q1372" s="18" t="str">
        <f t="shared" si="270"/>
        <v>Feb-24</v>
      </c>
      <c r="R1372">
        <f>VLOOKUP(D1372, Products!A:D, 4, FALSE)</f>
        <v>2827</v>
      </c>
      <c r="S1372">
        <f t="shared" si="271"/>
        <v>0.5926512968299712</v>
      </c>
    </row>
    <row r="1373" spans="1:19" ht="14.25" hidden="1" customHeight="1" x14ac:dyDescent="0.3">
      <c r="A1373" s="8" t="s">
        <v>2414</v>
      </c>
      <c r="B1373" s="9">
        <v>45395</v>
      </c>
      <c r="C1373" s="8" t="s">
        <v>451</v>
      </c>
      <c r="D1373" s="8" t="s">
        <v>929</v>
      </c>
      <c r="E1373" s="8" t="s">
        <v>196</v>
      </c>
      <c r="F1373" s="10">
        <v>2</v>
      </c>
      <c r="G1373" s="10">
        <v>1090</v>
      </c>
      <c r="H1373" s="10">
        <v>17</v>
      </c>
      <c r="I1373" s="10">
        <v>1809.4</v>
      </c>
      <c r="J1373" s="8" t="s">
        <v>41</v>
      </c>
      <c r="K1373" s="8" t="s">
        <v>146</v>
      </c>
      <c r="L1373" s="18" t="str">
        <f>VLOOKUP(D1373,Products!$A:$C,3,FALSE)</f>
        <v>Home</v>
      </c>
      <c r="N1373" s="18" t="str">
        <f>VLOOKUP(C1373,Customers!$A:$E,5,FALSE)</f>
        <v>SMB</v>
      </c>
      <c r="O1373" s="18">
        <f>VLOOKUP(C1373,Customers!$A:$C,3,FALSE)</f>
        <v>43</v>
      </c>
    </row>
    <row r="1374" spans="1:19" ht="14.25" customHeight="1" x14ac:dyDescent="0.3">
      <c r="A1374" s="8" t="s">
        <v>2415</v>
      </c>
      <c r="B1374" s="21">
        <v>45486</v>
      </c>
      <c r="C1374" s="8" t="s">
        <v>700</v>
      </c>
      <c r="D1374" s="8" t="s">
        <v>909</v>
      </c>
      <c r="E1374" s="8" t="s">
        <v>172</v>
      </c>
      <c r="F1374" s="10">
        <v>4</v>
      </c>
      <c r="G1374" s="10">
        <v>2380</v>
      </c>
      <c r="H1374" s="10">
        <v>18.899999999999999</v>
      </c>
      <c r="I1374" s="10">
        <v>7720.72</v>
      </c>
      <c r="J1374" s="8" t="s">
        <v>97</v>
      </c>
      <c r="K1374" s="8" t="s">
        <v>42</v>
      </c>
      <c r="L1374" s="18" t="str">
        <f>VLOOKUP(D1374,Products!$A:$C,3,FALSE)</f>
        <v>Grocery</v>
      </c>
      <c r="N1374" s="18" t="str">
        <f>VLOOKUP(C1374,Customers!$A:$E,5,FALSE)</f>
        <v>Retail</v>
      </c>
      <c r="O1374" s="18">
        <f>VLOOKUP(C1374,Customers!$A:$C,3,FALSE)</f>
        <v>31</v>
      </c>
      <c r="P1374" s="18" t="str">
        <f>VLOOKUP(E1373,Sales_Reps!$A:$C,3,FALSE)</f>
        <v>East</v>
      </c>
      <c r="Q1374" s="18" t="str">
        <f>TEXT(B1373,"MMM-YY")</f>
        <v>Apr-24</v>
      </c>
      <c r="R1374">
        <f>VLOOKUP(D1374, Products!A:D, 4, FALSE)</f>
        <v>1182</v>
      </c>
      <c r="S1374">
        <f>(G1374-R1374)/G1374</f>
        <v>0.50336134453781511</v>
      </c>
    </row>
    <row r="1375" spans="1:19" ht="14.25" hidden="1" customHeight="1" x14ac:dyDescent="0.3">
      <c r="A1375" s="8" t="s">
        <v>2416</v>
      </c>
      <c r="B1375" s="9">
        <v>45578</v>
      </c>
      <c r="C1375" s="8" t="s">
        <v>451</v>
      </c>
      <c r="D1375" s="8" t="s">
        <v>176</v>
      </c>
      <c r="E1375" s="8" t="s">
        <v>185</v>
      </c>
      <c r="F1375" s="10">
        <v>6</v>
      </c>
      <c r="G1375" s="10">
        <v>2270</v>
      </c>
      <c r="H1375" s="10">
        <v>20.9</v>
      </c>
      <c r="I1375" s="10">
        <v>10773.42</v>
      </c>
      <c r="J1375" s="8" t="s">
        <v>97</v>
      </c>
      <c r="K1375" s="8" t="s">
        <v>146</v>
      </c>
      <c r="L1375" s="18" t="str">
        <f>VLOOKUP(D1375,Products!$A:$C,3,FALSE)</f>
        <v>Grocery</v>
      </c>
      <c r="N1375" s="18" t="str">
        <f>VLOOKUP(C1375,Customers!$A:$E,5,FALSE)</f>
        <v>SMB</v>
      </c>
      <c r="O1375" s="18">
        <f>VLOOKUP(C1375,Customers!$A:$C,3,FALSE)</f>
        <v>43</v>
      </c>
    </row>
    <row r="1376" spans="1:19" ht="14.25" customHeight="1" x14ac:dyDescent="0.3">
      <c r="A1376" s="8" t="s">
        <v>2417</v>
      </c>
      <c r="B1376" s="21">
        <v>45581</v>
      </c>
      <c r="C1376" s="8" t="s">
        <v>458</v>
      </c>
      <c r="D1376" s="8" t="s">
        <v>924</v>
      </c>
      <c r="E1376" s="8" t="s">
        <v>158</v>
      </c>
      <c r="F1376" s="10">
        <v>10</v>
      </c>
      <c r="G1376" s="10">
        <v>2030</v>
      </c>
      <c r="H1376" s="10">
        <v>25</v>
      </c>
      <c r="I1376" s="10">
        <v>15225</v>
      </c>
      <c r="J1376" s="8" t="s">
        <v>41</v>
      </c>
      <c r="K1376" s="8" t="s">
        <v>42</v>
      </c>
      <c r="L1376" s="18" t="str">
        <f>VLOOKUP(D1376,Products!$A:$C,3,FALSE)</f>
        <v>Home</v>
      </c>
      <c r="N1376" s="18" t="str">
        <f>VLOOKUP(C1376,Customers!$A:$E,5,FALSE)</f>
        <v>Retail</v>
      </c>
      <c r="O1376" s="18">
        <f>VLOOKUP(C1376,Customers!$A:$C,3,FALSE)</f>
        <v>36</v>
      </c>
      <c r="P1376" s="18" t="str">
        <f>VLOOKUP(E1375,Sales_Reps!$A:$C,3,FALSE)</f>
        <v>North</v>
      </c>
      <c r="Q1376" s="18" t="str">
        <f>TEXT(B1375,"MMM-YY")</f>
        <v>Oct-24</v>
      </c>
      <c r="R1376">
        <f>VLOOKUP(D1376, Products!A:D, 4, FALSE)</f>
        <v>1143</v>
      </c>
      <c r="S1376">
        <f>(G1376-R1376)/G1376</f>
        <v>0.43694581280788175</v>
      </c>
    </row>
    <row r="1377" spans="1:19" ht="14.25" hidden="1" customHeight="1" x14ac:dyDescent="0.3">
      <c r="A1377" s="8" t="s">
        <v>2418</v>
      </c>
      <c r="B1377" s="9">
        <v>45508</v>
      </c>
      <c r="C1377" s="8" t="s">
        <v>292</v>
      </c>
      <c r="D1377" s="8" t="s">
        <v>929</v>
      </c>
      <c r="E1377" s="8" t="s">
        <v>619</v>
      </c>
      <c r="F1377" s="10">
        <v>3</v>
      </c>
      <c r="G1377" s="10">
        <v>1090</v>
      </c>
      <c r="H1377" s="10">
        <v>12.1</v>
      </c>
      <c r="I1377" s="10">
        <v>2874.33</v>
      </c>
      <c r="J1377" s="8" t="s">
        <v>41</v>
      </c>
      <c r="K1377" s="8" t="s">
        <v>42</v>
      </c>
      <c r="L1377" s="18" t="str">
        <f>VLOOKUP(D1377,Products!$A:$C,3,FALSE)</f>
        <v>Home</v>
      </c>
      <c r="N1377" s="18" t="str">
        <f>VLOOKUP(C1377,Customers!$A:$E,5,FALSE)</f>
        <v>SMB</v>
      </c>
      <c r="O1377" s="18">
        <f>VLOOKUP(C1377,Customers!$A:$C,3,FALSE)</f>
        <v>54</v>
      </c>
    </row>
    <row r="1378" spans="1:19" ht="14.25" hidden="1" customHeight="1" x14ac:dyDescent="0.3">
      <c r="A1378" s="8" t="s">
        <v>2419</v>
      </c>
      <c r="B1378" s="9">
        <v>45303</v>
      </c>
      <c r="C1378" s="8" t="s">
        <v>451</v>
      </c>
      <c r="D1378" s="8" t="s">
        <v>898</v>
      </c>
      <c r="E1378" s="8" t="s">
        <v>121</v>
      </c>
      <c r="F1378" s="10">
        <v>3</v>
      </c>
      <c r="G1378" s="10">
        <v>2510</v>
      </c>
      <c r="H1378" s="10">
        <v>28.7</v>
      </c>
      <c r="I1378" s="10">
        <v>5368.89</v>
      </c>
      <c r="J1378" s="8" t="s">
        <v>41</v>
      </c>
      <c r="K1378" s="8" t="s">
        <v>146</v>
      </c>
      <c r="L1378" s="18" t="str">
        <f>VLOOKUP(D1378,Products!$A:$C,3,FALSE)</f>
        <v>Apparel</v>
      </c>
      <c r="N1378" s="18" t="str">
        <f>VLOOKUP(C1378,Customers!$A:$E,5,FALSE)</f>
        <v>SMB</v>
      </c>
      <c r="O1378" s="18">
        <f>VLOOKUP(C1378,Customers!$A:$C,3,FALSE)</f>
        <v>43</v>
      </c>
    </row>
    <row r="1379" spans="1:19" ht="14.25" hidden="1" customHeight="1" x14ac:dyDescent="0.3">
      <c r="A1379" s="8" t="s">
        <v>2420</v>
      </c>
      <c r="B1379" s="9">
        <v>45412</v>
      </c>
      <c r="C1379" s="8" t="s">
        <v>507</v>
      </c>
      <c r="D1379" s="8" t="s">
        <v>176</v>
      </c>
      <c r="E1379" s="8" t="s">
        <v>376</v>
      </c>
      <c r="F1379" s="10">
        <v>9</v>
      </c>
      <c r="G1379" s="10">
        <v>2270</v>
      </c>
      <c r="H1379" s="10">
        <v>25.4</v>
      </c>
      <c r="I1379" s="10">
        <v>15240.78</v>
      </c>
      <c r="J1379" s="8" t="s">
        <v>97</v>
      </c>
      <c r="K1379" s="8" t="s">
        <v>136</v>
      </c>
      <c r="L1379" s="18" t="str">
        <f>VLOOKUP(D1379,Products!$A:$C,3,FALSE)</f>
        <v>Grocery</v>
      </c>
      <c r="N1379" s="18" t="str">
        <f>VLOOKUP(C1379,Customers!$A:$E,5,FALSE)</f>
        <v>Retail</v>
      </c>
      <c r="O1379" s="18">
        <f>VLOOKUP(C1379,Customers!$A:$C,3,FALSE)</f>
        <v>53</v>
      </c>
    </row>
    <row r="1380" spans="1:19" ht="14.25" hidden="1" customHeight="1" x14ac:dyDescent="0.3">
      <c r="A1380" s="8" t="s">
        <v>2421</v>
      </c>
      <c r="B1380" s="9">
        <v>45400</v>
      </c>
      <c r="C1380" s="8" t="s">
        <v>123</v>
      </c>
      <c r="D1380" s="8" t="s">
        <v>120</v>
      </c>
      <c r="E1380" s="8" t="s">
        <v>236</v>
      </c>
      <c r="F1380" s="10">
        <v>9</v>
      </c>
      <c r="G1380" s="10">
        <v>3970</v>
      </c>
      <c r="H1380" s="10">
        <v>10.1</v>
      </c>
      <c r="I1380" s="10">
        <v>32121.27</v>
      </c>
      <c r="J1380" s="8" t="s">
        <v>147</v>
      </c>
      <c r="K1380" s="8" t="s">
        <v>119</v>
      </c>
      <c r="L1380" s="18" t="str">
        <f>VLOOKUP(D1380,Products!$A:$C,3,FALSE)</f>
        <v>Electronics</v>
      </c>
      <c r="N1380" s="18" t="str">
        <f>VLOOKUP(C1380,Customers!$A:$E,5,FALSE)</f>
        <v>Corporate</v>
      </c>
      <c r="O1380" s="18">
        <f>VLOOKUP(C1380,Customers!$A:$C,3,FALSE)</f>
        <v>46</v>
      </c>
    </row>
    <row r="1381" spans="1:19" ht="14.25" hidden="1" customHeight="1" x14ac:dyDescent="0.3">
      <c r="A1381" s="8" t="s">
        <v>2422</v>
      </c>
      <c r="B1381" s="9">
        <v>45570</v>
      </c>
      <c r="C1381" s="8" t="s">
        <v>506</v>
      </c>
      <c r="D1381" s="8" t="s">
        <v>918</v>
      </c>
      <c r="E1381" s="8" t="s">
        <v>117</v>
      </c>
      <c r="F1381" s="10">
        <v>6</v>
      </c>
      <c r="G1381" s="10">
        <v>2210</v>
      </c>
      <c r="H1381" s="10">
        <v>7.4</v>
      </c>
      <c r="I1381" s="10">
        <v>12278.76</v>
      </c>
      <c r="J1381" s="8" t="s">
        <v>41</v>
      </c>
      <c r="K1381" s="8" t="s">
        <v>146</v>
      </c>
      <c r="L1381" s="18" t="str">
        <f>VLOOKUP(D1381,Products!$A:$C,3,FALSE)</f>
        <v>Grocery</v>
      </c>
      <c r="N1381" s="18" t="str">
        <f>VLOOKUP(C1381,Customers!$A:$E,5,FALSE)</f>
        <v>SMB</v>
      </c>
      <c r="O1381" s="18">
        <f>VLOOKUP(C1381,Customers!$A:$C,3,FALSE)</f>
        <v>65</v>
      </c>
    </row>
    <row r="1382" spans="1:19" ht="14.25" hidden="1" customHeight="1" x14ac:dyDescent="0.3">
      <c r="A1382" s="8" t="s">
        <v>2423</v>
      </c>
      <c r="B1382" s="9">
        <v>45360</v>
      </c>
      <c r="C1382" s="8" t="s">
        <v>790</v>
      </c>
      <c r="D1382" s="8" t="s">
        <v>789</v>
      </c>
      <c r="E1382" s="8" t="s">
        <v>121</v>
      </c>
      <c r="F1382" s="10">
        <v>7</v>
      </c>
      <c r="G1382" s="10">
        <v>1540</v>
      </c>
      <c r="H1382" s="10">
        <v>20.6</v>
      </c>
      <c r="I1382" s="10">
        <v>8559.32</v>
      </c>
      <c r="J1382" s="8" t="s">
        <v>41</v>
      </c>
      <c r="K1382" s="8" t="s">
        <v>42</v>
      </c>
      <c r="L1382" s="18" t="str">
        <f>VLOOKUP(D1382,Products!$A:$C,3,FALSE)</f>
        <v>Beauty</v>
      </c>
      <c r="N1382" s="18" t="str">
        <f>VLOOKUP(C1382,Customers!$A:$E,5,FALSE)</f>
        <v>Retail</v>
      </c>
      <c r="O1382" s="18">
        <f>VLOOKUP(C1382,Customers!$A:$C,3,FALSE)</f>
        <v>44</v>
      </c>
    </row>
    <row r="1383" spans="1:19" ht="14.25" hidden="1" customHeight="1" x14ac:dyDescent="0.3">
      <c r="A1383" s="8" t="s">
        <v>2424</v>
      </c>
      <c r="B1383" s="9">
        <v>45334</v>
      </c>
      <c r="C1383" s="8" t="s">
        <v>846</v>
      </c>
      <c r="D1383" s="8" t="s">
        <v>839</v>
      </c>
      <c r="E1383" s="8" t="s">
        <v>619</v>
      </c>
      <c r="F1383" s="10">
        <v>9</v>
      </c>
      <c r="G1383" s="10">
        <v>4610</v>
      </c>
      <c r="H1383" s="10">
        <v>2.1</v>
      </c>
      <c r="I1383" s="10">
        <v>40618.71</v>
      </c>
      <c r="J1383" s="8" t="s">
        <v>41</v>
      </c>
      <c r="K1383" s="8" t="s">
        <v>119</v>
      </c>
      <c r="L1383" s="18" t="str">
        <f>VLOOKUP(D1383,Products!$A:$C,3,FALSE)</f>
        <v>Home</v>
      </c>
      <c r="N1383" s="18" t="str">
        <f>VLOOKUP(C1383,Customers!$A:$E,5,FALSE)</f>
        <v>Retail</v>
      </c>
      <c r="O1383" s="18">
        <f>VLOOKUP(C1383,Customers!$A:$C,3,FALSE)</f>
        <v>63</v>
      </c>
    </row>
    <row r="1384" spans="1:19" ht="14.25" hidden="1" customHeight="1" x14ac:dyDescent="0.3">
      <c r="A1384" s="8" t="s">
        <v>2425</v>
      </c>
      <c r="B1384" s="9">
        <v>45527</v>
      </c>
      <c r="C1384" s="8" t="s">
        <v>826</v>
      </c>
      <c r="D1384" s="8" t="s">
        <v>120</v>
      </c>
      <c r="E1384" s="8" t="s">
        <v>261</v>
      </c>
      <c r="F1384" s="10">
        <v>10</v>
      </c>
      <c r="G1384" s="10">
        <v>3970</v>
      </c>
      <c r="H1384" s="10">
        <v>13.3</v>
      </c>
      <c r="I1384" s="10">
        <v>34419.9</v>
      </c>
      <c r="J1384" s="8" t="s">
        <v>97</v>
      </c>
      <c r="K1384" s="8" t="s">
        <v>146</v>
      </c>
      <c r="L1384" s="18" t="str">
        <f>VLOOKUP(D1384,Products!$A:$C,3,FALSE)</f>
        <v>Electronics</v>
      </c>
      <c r="N1384" s="18" t="str">
        <f>VLOOKUP(C1384,Customers!$A:$E,5,FALSE)</f>
        <v>Retail</v>
      </c>
      <c r="O1384" s="18">
        <f>VLOOKUP(C1384,Customers!$A:$C,3,FALSE)</f>
        <v>56</v>
      </c>
    </row>
    <row r="1385" spans="1:19" ht="14.25" hidden="1" customHeight="1" x14ac:dyDescent="0.3">
      <c r="A1385" s="8" t="s">
        <v>2426</v>
      </c>
      <c r="B1385" s="9">
        <v>45534</v>
      </c>
      <c r="C1385" s="8" t="s">
        <v>545</v>
      </c>
      <c r="D1385" s="8" t="s">
        <v>131</v>
      </c>
      <c r="E1385" s="8" t="s">
        <v>135</v>
      </c>
      <c r="F1385" s="10">
        <v>8</v>
      </c>
      <c r="G1385" s="10">
        <v>2660</v>
      </c>
      <c r="H1385" s="10">
        <v>16.8</v>
      </c>
      <c r="I1385" s="10">
        <v>17704.96</v>
      </c>
      <c r="J1385" s="8" t="s">
        <v>41</v>
      </c>
      <c r="K1385" s="8" t="s">
        <v>119</v>
      </c>
      <c r="L1385" s="18" t="str">
        <f>VLOOKUP(D1385,Products!$A:$C,3,FALSE)</f>
        <v>Electronics</v>
      </c>
      <c r="N1385" s="18" t="str">
        <f>VLOOKUP(C1385,Customers!$A:$E,5,FALSE)</f>
        <v>Retail</v>
      </c>
      <c r="O1385" s="18">
        <f>VLOOKUP(C1385,Customers!$A:$C,3,FALSE)</f>
        <v>41</v>
      </c>
    </row>
    <row r="1386" spans="1:19" ht="14.25" hidden="1" customHeight="1" x14ac:dyDescent="0.3">
      <c r="A1386" s="8" t="s">
        <v>2427</v>
      </c>
      <c r="B1386" s="9">
        <v>45329</v>
      </c>
      <c r="C1386" s="8" t="s">
        <v>322</v>
      </c>
      <c r="D1386" s="8" t="s">
        <v>215</v>
      </c>
      <c r="E1386" s="8" t="s">
        <v>216</v>
      </c>
      <c r="F1386" s="10">
        <v>6</v>
      </c>
      <c r="G1386" s="10">
        <v>3450</v>
      </c>
      <c r="H1386" s="10">
        <v>23.4</v>
      </c>
      <c r="I1386" s="10">
        <v>15856.2</v>
      </c>
      <c r="J1386" s="8" t="s">
        <v>41</v>
      </c>
      <c r="K1386" s="8" t="s">
        <v>98</v>
      </c>
      <c r="L1386" s="18" t="str">
        <f>VLOOKUP(D1386,Products!$A:$C,3,FALSE)</f>
        <v>Beauty</v>
      </c>
      <c r="N1386" s="18" t="str">
        <f>VLOOKUP(C1386,Customers!$A:$E,5,FALSE)</f>
        <v>Corporate</v>
      </c>
      <c r="O1386" s="18">
        <f>VLOOKUP(C1386,Customers!$A:$C,3,FALSE)</f>
        <v>54</v>
      </c>
    </row>
    <row r="1387" spans="1:19" ht="14.25" hidden="1" customHeight="1" x14ac:dyDescent="0.3">
      <c r="A1387" s="8" t="s">
        <v>2428</v>
      </c>
      <c r="B1387" s="9">
        <v>45621</v>
      </c>
      <c r="C1387" s="8" t="s">
        <v>852</v>
      </c>
      <c r="D1387" s="8" t="s">
        <v>116</v>
      </c>
      <c r="E1387" s="8" t="s">
        <v>38</v>
      </c>
      <c r="F1387" s="10">
        <v>10</v>
      </c>
      <c r="G1387" s="10">
        <v>470</v>
      </c>
      <c r="H1387" s="10">
        <v>21.2</v>
      </c>
      <c r="I1387" s="10">
        <v>3703.6</v>
      </c>
      <c r="J1387" s="8" t="s">
        <v>41</v>
      </c>
      <c r="K1387" s="8" t="s">
        <v>119</v>
      </c>
      <c r="L1387" s="18" t="str">
        <f>VLOOKUP(D1387,Products!$A:$C,3,FALSE)</f>
        <v>Sports</v>
      </c>
      <c r="N1387" s="18" t="str">
        <f>VLOOKUP(C1387,Customers!$A:$E,5,FALSE)</f>
        <v>SMB</v>
      </c>
      <c r="O1387" s="18">
        <f>VLOOKUP(C1387,Customers!$A:$C,3,FALSE)</f>
        <v>48</v>
      </c>
    </row>
    <row r="1388" spans="1:19" ht="14.25" customHeight="1" x14ac:dyDescent="0.3">
      <c r="A1388" s="8" t="s">
        <v>1218</v>
      </c>
      <c r="B1388" s="21">
        <v>45334</v>
      </c>
      <c r="C1388" s="8" t="s">
        <v>487</v>
      </c>
      <c r="D1388" s="8" t="s">
        <v>964</v>
      </c>
      <c r="E1388" s="8" t="s">
        <v>196</v>
      </c>
      <c r="F1388" s="10">
        <v>7</v>
      </c>
      <c r="G1388" s="10">
        <v>3780</v>
      </c>
      <c r="H1388" s="10">
        <v>10.1</v>
      </c>
      <c r="I1388" s="10">
        <v>23787.54</v>
      </c>
      <c r="J1388" s="8" t="s">
        <v>41</v>
      </c>
      <c r="K1388" s="8" t="s">
        <v>42</v>
      </c>
      <c r="L1388" s="18" t="str">
        <f>VLOOKUP(D1388,Products!$A:$C,3,FALSE)</f>
        <v>Sports</v>
      </c>
      <c r="N1388" s="18" t="str">
        <f>VLOOKUP(C1388,Customers!$A:$E,5,FALSE)</f>
        <v>Retail</v>
      </c>
      <c r="O1388" s="18">
        <f>VLOOKUP(C1388,Customers!$A:$C,3,FALSE)</f>
        <v>22</v>
      </c>
      <c r="P1388" s="18" t="str">
        <f>VLOOKUP(E1387,Sales_Reps!$A:$C,3,FALSE)</f>
        <v>North</v>
      </c>
      <c r="Q1388" s="18" t="str">
        <f t="shared" ref="Q1388:Q1389" si="272">TEXT(B1387,"MMM-YY")</f>
        <v>Nov-24</v>
      </c>
      <c r="R1388">
        <f>VLOOKUP(D1388, Products!A:D, 4, FALSE)</f>
        <v>1860</v>
      </c>
      <c r="S1388">
        <f t="shared" ref="S1388:S1389" si="273">(G1388-R1388)/G1388</f>
        <v>0.50793650793650791</v>
      </c>
    </row>
    <row r="1389" spans="1:19" ht="14.25" customHeight="1" x14ac:dyDescent="0.3">
      <c r="A1389" s="8" t="s">
        <v>2429</v>
      </c>
      <c r="B1389" s="21">
        <v>45324</v>
      </c>
      <c r="C1389" s="8" t="s">
        <v>533</v>
      </c>
      <c r="D1389" s="8" t="s">
        <v>37</v>
      </c>
      <c r="E1389" s="8" t="s">
        <v>619</v>
      </c>
      <c r="F1389" s="10">
        <v>3</v>
      </c>
      <c r="G1389" s="10">
        <v>3620</v>
      </c>
      <c r="H1389" s="10">
        <v>4.2</v>
      </c>
      <c r="I1389" s="10">
        <v>10403.879999999999</v>
      </c>
      <c r="J1389" s="8" t="s">
        <v>41</v>
      </c>
      <c r="K1389" s="8" t="s">
        <v>136</v>
      </c>
      <c r="L1389" s="18" t="str">
        <f>VLOOKUP(D1389,Products!$A:$C,3,FALSE)</f>
        <v>Apparel</v>
      </c>
      <c r="N1389" s="18" t="str">
        <f>VLOOKUP(C1389,Customers!$A:$E,5,FALSE)</f>
        <v>SMB</v>
      </c>
      <c r="O1389" s="18">
        <f>VLOOKUP(C1389,Customers!$A:$C,3,FALSE)</f>
        <v>36</v>
      </c>
      <c r="P1389" s="18" t="str">
        <f>VLOOKUP(E1388,Sales_Reps!$A:$C,3,FALSE)</f>
        <v>East</v>
      </c>
      <c r="Q1389" s="18" t="str">
        <f t="shared" si="272"/>
        <v>Feb-24</v>
      </c>
      <c r="R1389">
        <f>VLOOKUP(D1389, Products!A:D, 4, FALSE)</f>
        <v>2509</v>
      </c>
      <c r="S1389">
        <f t="shared" si="273"/>
        <v>0.3069060773480663</v>
      </c>
    </row>
    <row r="1390" spans="1:19" ht="14.25" hidden="1" customHeight="1" x14ac:dyDescent="0.3">
      <c r="A1390" s="8" t="s">
        <v>2430</v>
      </c>
      <c r="B1390" s="9">
        <v>45541</v>
      </c>
      <c r="C1390" s="8" t="s">
        <v>326</v>
      </c>
      <c r="D1390" s="8" t="s">
        <v>949</v>
      </c>
      <c r="E1390" s="8" t="s">
        <v>172</v>
      </c>
      <c r="F1390" s="10">
        <v>7</v>
      </c>
      <c r="G1390" s="10">
        <v>960</v>
      </c>
      <c r="H1390" s="10">
        <v>9</v>
      </c>
      <c r="I1390" s="10">
        <v>6115.2</v>
      </c>
      <c r="J1390" s="8" t="s">
        <v>41</v>
      </c>
      <c r="K1390" s="8" t="s">
        <v>178</v>
      </c>
      <c r="L1390" s="18" t="str">
        <f>VLOOKUP(D1390,Products!$A:$C,3,FALSE)</f>
        <v>Beauty</v>
      </c>
      <c r="N1390" s="18" t="str">
        <f>VLOOKUP(C1390,Customers!$A:$E,5,FALSE)</f>
        <v>Retail</v>
      </c>
      <c r="O1390" s="18">
        <f>VLOOKUP(C1390,Customers!$A:$C,3,FALSE)</f>
        <v>53</v>
      </c>
    </row>
    <row r="1391" spans="1:19" ht="14.25" customHeight="1" x14ac:dyDescent="0.3">
      <c r="A1391" s="8" t="s">
        <v>2431</v>
      </c>
      <c r="B1391" s="21">
        <v>45344</v>
      </c>
      <c r="C1391" s="8" t="s">
        <v>784</v>
      </c>
      <c r="D1391" s="8" t="s">
        <v>247</v>
      </c>
      <c r="E1391" s="8" t="s">
        <v>38</v>
      </c>
      <c r="F1391" s="10">
        <v>10</v>
      </c>
      <c r="G1391" s="10">
        <v>3350</v>
      </c>
      <c r="H1391" s="10">
        <v>1.2</v>
      </c>
      <c r="I1391" s="10">
        <v>33098</v>
      </c>
      <c r="J1391" s="8" t="s">
        <v>147</v>
      </c>
      <c r="K1391" s="8" t="s">
        <v>178</v>
      </c>
      <c r="L1391" s="18" t="str">
        <f>VLOOKUP(D1391,Products!$A:$C,3,FALSE)</f>
        <v>Beauty</v>
      </c>
      <c r="N1391" s="18" t="str">
        <f>VLOOKUP(C1391,Customers!$A:$E,5,FALSE)</f>
        <v>Retail</v>
      </c>
      <c r="O1391" s="18">
        <f>VLOOKUP(C1391,Customers!$A:$C,3,FALSE)</f>
        <v>28</v>
      </c>
      <c r="P1391" s="18" t="str">
        <f>VLOOKUP(E1390,Sales_Reps!$A:$C,3,FALSE)</f>
        <v>West</v>
      </c>
      <c r="Q1391" s="18" t="str">
        <f t="shared" ref="Q1391:Q1393" si="274">TEXT(B1390,"MMM-YY")</f>
        <v>Sep-24</v>
      </c>
      <c r="R1391">
        <f>VLOOKUP(D1391, Products!A:D, 4, FALSE)</f>
        <v>1728</v>
      </c>
      <c r="S1391">
        <f t="shared" ref="S1391:S1393" si="275">(G1391-R1391)/G1391</f>
        <v>0.48417910447761192</v>
      </c>
    </row>
    <row r="1392" spans="1:19" ht="14.25" customHeight="1" x14ac:dyDescent="0.3">
      <c r="A1392" s="8" t="s">
        <v>2432</v>
      </c>
      <c r="B1392" s="21">
        <v>45388</v>
      </c>
      <c r="C1392" s="8" t="s">
        <v>543</v>
      </c>
      <c r="D1392" s="8" t="s">
        <v>205</v>
      </c>
      <c r="E1392" s="8" t="s">
        <v>143</v>
      </c>
      <c r="F1392" s="10">
        <v>3</v>
      </c>
      <c r="G1392" s="10">
        <v>2400</v>
      </c>
      <c r="H1392" s="10">
        <v>15.4</v>
      </c>
      <c r="I1392" s="10">
        <v>6091.2</v>
      </c>
      <c r="J1392" s="8" t="s">
        <v>41</v>
      </c>
      <c r="K1392" s="8" t="s">
        <v>119</v>
      </c>
      <c r="L1392" s="18" t="str">
        <f>VLOOKUP(D1392,Products!$A:$C,3,FALSE)</f>
        <v>Sports</v>
      </c>
      <c r="N1392" s="18" t="str">
        <f>VLOOKUP(C1392,Customers!$A:$E,5,FALSE)</f>
        <v>SMB</v>
      </c>
      <c r="O1392" s="18">
        <f>VLOOKUP(C1392,Customers!$A:$C,3,FALSE)</f>
        <v>28</v>
      </c>
      <c r="P1392" s="18" t="str">
        <f>VLOOKUP(E1391,Sales_Reps!$A:$C,3,FALSE)</f>
        <v>North</v>
      </c>
      <c r="Q1392" s="18" t="str">
        <f t="shared" si="274"/>
        <v>Feb-24</v>
      </c>
      <c r="R1392">
        <f>VLOOKUP(D1392, Products!A:D, 4, FALSE)</f>
        <v>974</v>
      </c>
      <c r="S1392">
        <f t="shared" si="275"/>
        <v>0.59416666666666662</v>
      </c>
    </row>
    <row r="1393" spans="1:19" ht="14.25" customHeight="1" x14ac:dyDescent="0.3">
      <c r="A1393" s="8" t="s">
        <v>2433</v>
      </c>
      <c r="B1393" s="21">
        <v>45407</v>
      </c>
      <c r="C1393" s="8" t="s">
        <v>812</v>
      </c>
      <c r="D1393" s="8" t="s">
        <v>338</v>
      </c>
      <c r="E1393" s="8" t="s">
        <v>261</v>
      </c>
      <c r="F1393" s="10">
        <v>2</v>
      </c>
      <c r="G1393" s="10">
        <v>2860</v>
      </c>
      <c r="H1393" s="10">
        <v>10.5</v>
      </c>
      <c r="I1393" s="10">
        <v>5119.3999999999996</v>
      </c>
      <c r="J1393" s="8" t="s">
        <v>41</v>
      </c>
      <c r="K1393" s="8" t="s">
        <v>136</v>
      </c>
      <c r="L1393" s="18" t="str">
        <f>VLOOKUP(D1393,Products!$A:$C,3,FALSE)</f>
        <v>Sports</v>
      </c>
      <c r="N1393" s="18" t="str">
        <f>VLOOKUP(C1393,Customers!$A:$E,5,FALSE)</f>
        <v>Retail</v>
      </c>
      <c r="O1393" s="18">
        <f>VLOOKUP(C1393,Customers!$A:$C,3,FALSE)</f>
        <v>29</v>
      </c>
      <c r="P1393" s="18" t="str">
        <f>VLOOKUP(E1392,Sales_Reps!$A:$C,3,FALSE)</f>
        <v>West</v>
      </c>
      <c r="Q1393" s="18" t="str">
        <f t="shared" si="274"/>
        <v>Apr-24</v>
      </c>
      <c r="R1393">
        <f>VLOOKUP(D1393, Products!A:D, 4, FALSE)</f>
        <v>2028</v>
      </c>
      <c r="S1393">
        <f t="shared" si="275"/>
        <v>0.29090909090909089</v>
      </c>
    </row>
    <row r="1394" spans="1:19" ht="14.25" hidden="1" customHeight="1" x14ac:dyDescent="0.3">
      <c r="A1394" s="8" t="s">
        <v>2434</v>
      </c>
      <c r="B1394" s="9">
        <v>45620</v>
      </c>
      <c r="C1394" s="8" t="s">
        <v>706</v>
      </c>
      <c r="D1394" s="8" t="s">
        <v>939</v>
      </c>
      <c r="E1394" s="8" t="s">
        <v>135</v>
      </c>
      <c r="F1394" s="10">
        <v>4</v>
      </c>
      <c r="G1394" s="10">
        <v>2290</v>
      </c>
      <c r="H1394" s="10">
        <v>5.9</v>
      </c>
      <c r="I1394" s="10">
        <v>8619.56</v>
      </c>
      <c r="J1394" s="8" t="s">
        <v>41</v>
      </c>
      <c r="K1394" s="8" t="s">
        <v>98</v>
      </c>
      <c r="L1394" s="18" t="str">
        <f>VLOOKUP(D1394,Products!$A:$C,3,FALSE)</f>
        <v>Beauty</v>
      </c>
      <c r="N1394" s="18" t="str">
        <f>VLOOKUP(C1394,Customers!$A:$E,5,FALSE)</f>
        <v>SMB</v>
      </c>
      <c r="O1394" s="18">
        <f>VLOOKUP(C1394,Customers!$A:$C,3,FALSE)</f>
        <v>46</v>
      </c>
    </row>
    <row r="1395" spans="1:19" ht="14.25" hidden="1" customHeight="1" x14ac:dyDescent="0.3">
      <c r="A1395" s="8" t="s">
        <v>2435</v>
      </c>
      <c r="B1395" s="9">
        <v>45499</v>
      </c>
      <c r="C1395" s="8" t="s">
        <v>713</v>
      </c>
      <c r="D1395" s="8" t="s">
        <v>230</v>
      </c>
      <c r="E1395" s="8" t="s">
        <v>208</v>
      </c>
      <c r="F1395" s="10">
        <v>7</v>
      </c>
      <c r="G1395" s="10">
        <v>5330</v>
      </c>
      <c r="H1395" s="10">
        <v>3.5</v>
      </c>
      <c r="I1395" s="10">
        <v>36004.15</v>
      </c>
      <c r="J1395" s="8" t="s">
        <v>147</v>
      </c>
      <c r="K1395" s="8" t="s">
        <v>146</v>
      </c>
      <c r="L1395" s="18" t="str">
        <f>VLOOKUP(D1395,Products!$A:$C,3,FALSE)</f>
        <v>Electronics</v>
      </c>
      <c r="N1395" s="18" t="str">
        <f>VLOOKUP(C1395,Customers!$A:$E,5,FALSE)</f>
        <v>Retail</v>
      </c>
      <c r="O1395" s="18">
        <f>VLOOKUP(C1395,Customers!$A:$C,3,FALSE)</f>
        <v>50</v>
      </c>
    </row>
    <row r="1396" spans="1:19" ht="14.25" hidden="1" customHeight="1" x14ac:dyDescent="0.3">
      <c r="A1396" s="8" t="s">
        <v>2436</v>
      </c>
      <c r="B1396" s="9">
        <v>45585</v>
      </c>
      <c r="C1396" s="8" t="s">
        <v>658</v>
      </c>
      <c r="D1396" s="8" t="s">
        <v>644</v>
      </c>
      <c r="E1396" s="8" t="s">
        <v>167</v>
      </c>
      <c r="F1396" s="10">
        <v>10</v>
      </c>
      <c r="G1396" s="10">
        <v>3640</v>
      </c>
      <c r="H1396" s="10">
        <v>20.100000000000001</v>
      </c>
      <c r="I1396" s="10">
        <v>29083.599999999999</v>
      </c>
      <c r="J1396" s="8" t="s">
        <v>41</v>
      </c>
      <c r="K1396" s="8" t="s">
        <v>98</v>
      </c>
      <c r="L1396" s="18" t="str">
        <f>VLOOKUP(D1396,Products!$A:$C,3,FALSE)</f>
        <v>Apparel</v>
      </c>
      <c r="N1396" s="18" t="str">
        <f>VLOOKUP(C1396,Customers!$A:$E,5,FALSE)</f>
        <v>Retail</v>
      </c>
      <c r="O1396" s="18">
        <f>VLOOKUP(C1396,Customers!$A:$C,3,FALSE)</f>
        <v>41</v>
      </c>
    </row>
    <row r="1397" spans="1:19" ht="14.25" customHeight="1" x14ac:dyDescent="0.3">
      <c r="A1397" s="8" t="s">
        <v>2437</v>
      </c>
      <c r="B1397" s="21">
        <v>45633</v>
      </c>
      <c r="C1397" s="8" t="s">
        <v>401</v>
      </c>
      <c r="D1397" s="8" t="s">
        <v>926</v>
      </c>
      <c r="E1397" s="8" t="s">
        <v>153</v>
      </c>
      <c r="F1397" s="10">
        <v>10</v>
      </c>
      <c r="G1397" s="10">
        <v>5080</v>
      </c>
      <c r="H1397" s="10">
        <v>2.1</v>
      </c>
      <c r="I1397" s="10">
        <v>49733.2</v>
      </c>
      <c r="J1397" s="8" t="s">
        <v>41</v>
      </c>
      <c r="K1397" s="8" t="s">
        <v>178</v>
      </c>
      <c r="L1397" s="18" t="str">
        <f>VLOOKUP(D1397,Products!$A:$C,3,FALSE)</f>
        <v>Home</v>
      </c>
      <c r="N1397" s="18" t="str">
        <f>VLOOKUP(C1397,Customers!$A:$E,5,FALSE)</f>
        <v>SMB</v>
      </c>
      <c r="O1397" s="18">
        <f>VLOOKUP(C1397,Customers!$A:$C,3,FALSE)</f>
        <v>40</v>
      </c>
      <c r="P1397" s="18" t="str">
        <f>VLOOKUP(E1396,Sales_Reps!$A:$C,3,FALSE)</f>
        <v>East</v>
      </c>
      <c r="Q1397" s="18" t="str">
        <f t="shared" ref="Q1397:Q1398" si="276">TEXT(B1396,"MMM-YY")</f>
        <v>Oct-24</v>
      </c>
      <c r="R1397">
        <f>VLOOKUP(D1397, Products!A:D, 4, FALSE)</f>
        <v>2459</v>
      </c>
      <c r="S1397">
        <f t="shared" ref="S1397:S1398" si="277">(G1397-R1397)/G1397</f>
        <v>0.51594488188976373</v>
      </c>
    </row>
    <row r="1398" spans="1:19" ht="14.25" customHeight="1" x14ac:dyDescent="0.3">
      <c r="A1398" s="8" t="s">
        <v>2438</v>
      </c>
      <c r="B1398" s="21">
        <v>45517</v>
      </c>
      <c r="C1398" s="8" t="s">
        <v>288</v>
      </c>
      <c r="D1398" s="8" t="s">
        <v>929</v>
      </c>
      <c r="E1398" s="8" t="s">
        <v>167</v>
      </c>
      <c r="F1398" s="10">
        <v>4</v>
      </c>
      <c r="G1398" s="10">
        <v>1090</v>
      </c>
      <c r="H1398" s="10">
        <v>18.5</v>
      </c>
      <c r="I1398" s="10">
        <v>3553.4</v>
      </c>
      <c r="J1398" s="8" t="s">
        <v>193</v>
      </c>
      <c r="K1398" s="8" t="s">
        <v>119</v>
      </c>
      <c r="L1398" s="18" t="str">
        <f>VLOOKUP(D1398,Products!$A:$C,3,FALSE)</f>
        <v>Home</v>
      </c>
      <c r="N1398" s="18" t="str">
        <f>VLOOKUP(C1398,Customers!$A:$E,5,FALSE)</f>
        <v>SMB</v>
      </c>
      <c r="O1398" s="18">
        <f>VLOOKUP(C1398,Customers!$A:$C,3,FALSE)</f>
        <v>26</v>
      </c>
      <c r="P1398" s="18" t="str">
        <f>VLOOKUP(E1397,Sales_Reps!$A:$C,3,FALSE)</f>
        <v>West</v>
      </c>
      <c r="Q1398" s="18" t="str">
        <f t="shared" si="276"/>
        <v>Dec-24</v>
      </c>
      <c r="R1398">
        <f>VLOOKUP(D1398, Products!A:D, 4, FALSE)</f>
        <v>464</v>
      </c>
      <c r="S1398">
        <f t="shared" si="277"/>
        <v>0.57431192660550456</v>
      </c>
    </row>
    <row r="1399" spans="1:19" ht="14.25" hidden="1" customHeight="1" x14ac:dyDescent="0.3">
      <c r="A1399" s="8" t="s">
        <v>2439</v>
      </c>
      <c r="B1399" s="9">
        <v>45645</v>
      </c>
      <c r="C1399" s="8" t="s">
        <v>854</v>
      </c>
      <c r="D1399" s="8" t="s">
        <v>215</v>
      </c>
      <c r="E1399" s="8" t="s">
        <v>143</v>
      </c>
      <c r="F1399" s="10">
        <v>10</v>
      </c>
      <c r="G1399" s="10">
        <v>3450</v>
      </c>
      <c r="H1399" s="10">
        <v>26.5</v>
      </c>
      <c r="I1399" s="10">
        <v>25357.5</v>
      </c>
      <c r="J1399" s="8" t="s">
        <v>193</v>
      </c>
      <c r="K1399" s="8" t="s">
        <v>119</v>
      </c>
      <c r="L1399" s="18" t="str">
        <f>VLOOKUP(D1399,Products!$A:$C,3,FALSE)</f>
        <v>Beauty</v>
      </c>
      <c r="N1399" s="18" t="str">
        <f>VLOOKUP(C1399,Customers!$A:$E,5,FALSE)</f>
        <v>Corporate</v>
      </c>
      <c r="O1399" s="18">
        <f>VLOOKUP(C1399,Customers!$A:$C,3,FALSE)</f>
        <v>47</v>
      </c>
    </row>
    <row r="1400" spans="1:19" ht="14.25" hidden="1" customHeight="1" x14ac:dyDescent="0.3">
      <c r="A1400" s="8" t="s">
        <v>2440</v>
      </c>
      <c r="B1400" s="9">
        <v>45483</v>
      </c>
      <c r="C1400" s="8" t="s">
        <v>326</v>
      </c>
      <c r="D1400" s="8" t="s">
        <v>954</v>
      </c>
      <c r="E1400" s="8" t="s">
        <v>214</v>
      </c>
      <c r="F1400" s="10">
        <v>9</v>
      </c>
      <c r="G1400" s="10">
        <v>5410</v>
      </c>
      <c r="H1400" s="10">
        <v>11.5</v>
      </c>
      <c r="I1400" s="10">
        <v>43090.65</v>
      </c>
      <c r="J1400" s="8" t="s">
        <v>41</v>
      </c>
      <c r="K1400" s="8" t="s">
        <v>178</v>
      </c>
      <c r="L1400" s="18" t="str">
        <f>VLOOKUP(D1400,Products!$A:$C,3,FALSE)</f>
        <v>Sports</v>
      </c>
      <c r="N1400" s="18" t="str">
        <f>VLOOKUP(C1400,Customers!$A:$E,5,FALSE)</f>
        <v>Retail</v>
      </c>
      <c r="O1400" s="18">
        <f>VLOOKUP(C1400,Customers!$A:$C,3,FALSE)</f>
        <v>53</v>
      </c>
    </row>
    <row r="1401" spans="1:19" ht="14.25" customHeight="1" x14ac:dyDescent="0.3">
      <c r="A1401" s="8" t="s">
        <v>2441</v>
      </c>
      <c r="B1401" s="21">
        <v>45445</v>
      </c>
      <c r="C1401" s="8" t="s">
        <v>695</v>
      </c>
      <c r="D1401" s="8" t="s">
        <v>889</v>
      </c>
      <c r="E1401" s="8" t="s">
        <v>143</v>
      </c>
      <c r="F1401" s="10">
        <v>9</v>
      </c>
      <c r="G1401" s="10">
        <v>3450</v>
      </c>
      <c r="H1401" s="10">
        <v>0.3</v>
      </c>
      <c r="I1401" s="10">
        <v>30956.85</v>
      </c>
      <c r="J1401" s="8" t="s">
        <v>193</v>
      </c>
      <c r="K1401" s="8" t="s">
        <v>178</v>
      </c>
      <c r="L1401" s="18" t="str">
        <f>VLOOKUP(D1401,Products!$A:$C,3,FALSE)</f>
        <v>Apparel</v>
      </c>
      <c r="N1401" s="18" t="str">
        <f>VLOOKUP(C1401,Customers!$A:$E,5,FALSE)</f>
        <v>SMB</v>
      </c>
      <c r="O1401" s="18">
        <f>VLOOKUP(C1401,Customers!$A:$C,3,FALSE)</f>
        <v>34</v>
      </c>
      <c r="P1401" s="18" t="str">
        <f>VLOOKUP(E1400,Sales_Reps!$A:$C,3,FALSE)</f>
        <v>South</v>
      </c>
      <c r="Q1401" s="18" t="str">
        <f t="shared" ref="Q1401:Q1402" si="278">TEXT(B1400,"MMM-YY")</f>
        <v>Jul-24</v>
      </c>
      <c r="R1401">
        <f>VLOOKUP(D1401, Products!A:D, 4, FALSE)</f>
        <v>1748</v>
      </c>
      <c r="S1401">
        <f t="shared" ref="S1401:S1402" si="279">(G1401-R1401)/G1401</f>
        <v>0.49333333333333335</v>
      </c>
    </row>
    <row r="1402" spans="1:19" ht="14.25" customHeight="1" x14ac:dyDescent="0.3">
      <c r="A1402" s="8" t="s">
        <v>2442</v>
      </c>
      <c r="B1402" s="21">
        <v>45614</v>
      </c>
      <c r="C1402" s="8" t="s">
        <v>613</v>
      </c>
      <c r="D1402" s="8" t="s">
        <v>134</v>
      </c>
      <c r="E1402" s="8" t="s">
        <v>145</v>
      </c>
      <c r="F1402" s="10">
        <v>10</v>
      </c>
      <c r="G1402" s="10">
        <v>3160</v>
      </c>
      <c r="H1402" s="10">
        <v>13.6</v>
      </c>
      <c r="I1402" s="10">
        <v>27302.400000000001</v>
      </c>
      <c r="J1402" s="8" t="s">
        <v>41</v>
      </c>
      <c r="K1402" s="8" t="s">
        <v>42</v>
      </c>
      <c r="L1402" s="18" t="str">
        <f>VLOOKUP(D1402,Products!$A:$C,3,FALSE)</f>
        <v>Apparel</v>
      </c>
      <c r="N1402" s="18" t="str">
        <f>VLOOKUP(C1402,Customers!$A:$E,5,FALSE)</f>
        <v>Retail</v>
      </c>
      <c r="O1402" s="18">
        <f>VLOOKUP(C1402,Customers!$A:$C,3,FALSE)</f>
        <v>29</v>
      </c>
      <c r="P1402" s="18" t="str">
        <f>VLOOKUP(E1401,Sales_Reps!$A:$C,3,FALSE)</f>
        <v>West</v>
      </c>
      <c r="Q1402" s="18" t="str">
        <f t="shared" si="278"/>
        <v>Jun-24</v>
      </c>
      <c r="R1402">
        <f>VLOOKUP(D1402, Products!A:D, 4, FALSE)</f>
        <v>1886</v>
      </c>
      <c r="S1402">
        <f t="shared" si="279"/>
        <v>0.4031645569620253</v>
      </c>
    </row>
    <row r="1403" spans="1:19" ht="14.25" hidden="1" customHeight="1" x14ac:dyDescent="0.3">
      <c r="A1403" s="8" t="s">
        <v>2443</v>
      </c>
      <c r="B1403" s="9">
        <v>45433</v>
      </c>
      <c r="C1403" s="8" t="s">
        <v>157</v>
      </c>
      <c r="D1403" s="8" t="s">
        <v>789</v>
      </c>
      <c r="E1403" s="8" t="s">
        <v>376</v>
      </c>
      <c r="F1403" s="10">
        <v>3</v>
      </c>
      <c r="G1403" s="10">
        <v>1540</v>
      </c>
      <c r="H1403" s="10">
        <v>21.2</v>
      </c>
      <c r="I1403" s="10">
        <v>3640.56</v>
      </c>
      <c r="J1403" s="8" t="s">
        <v>41</v>
      </c>
      <c r="K1403" s="8" t="s">
        <v>136</v>
      </c>
      <c r="L1403" s="18" t="str">
        <f>VLOOKUP(D1403,Products!$A:$C,3,FALSE)</f>
        <v>Beauty</v>
      </c>
      <c r="N1403" s="18" t="str">
        <f>VLOOKUP(C1403,Customers!$A:$E,5,FALSE)</f>
        <v>Corporate</v>
      </c>
      <c r="O1403" s="18">
        <f>VLOOKUP(C1403,Customers!$A:$C,3,FALSE)</f>
        <v>57</v>
      </c>
    </row>
    <row r="1404" spans="1:19" ht="14.25" hidden="1" customHeight="1" x14ac:dyDescent="0.3">
      <c r="A1404" s="8" t="s">
        <v>2444</v>
      </c>
      <c r="B1404" s="9">
        <v>45402</v>
      </c>
      <c r="C1404" s="8" t="s">
        <v>292</v>
      </c>
      <c r="D1404" s="8" t="s">
        <v>644</v>
      </c>
      <c r="E1404" s="8" t="s">
        <v>196</v>
      </c>
      <c r="F1404" s="10">
        <v>5</v>
      </c>
      <c r="G1404" s="10">
        <v>3640</v>
      </c>
      <c r="H1404" s="10">
        <v>17.5</v>
      </c>
      <c r="I1404" s="10">
        <v>15015</v>
      </c>
      <c r="J1404" s="8" t="s">
        <v>41</v>
      </c>
      <c r="K1404" s="8" t="s">
        <v>42</v>
      </c>
      <c r="L1404" s="18" t="str">
        <f>VLOOKUP(D1404,Products!$A:$C,3,FALSE)</f>
        <v>Apparel</v>
      </c>
      <c r="N1404" s="18" t="str">
        <f>VLOOKUP(C1404,Customers!$A:$E,5,FALSE)</f>
        <v>SMB</v>
      </c>
      <c r="O1404" s="18">
        <f>VLOOKUP(C1404,Customers!$A:$C,3,FALSE)</f>
        <v>54</v>
      </c>
    </row>
    <row r="1405" spans="1:19" ht="14.25" hidden="1" customHeight="1" x14ac:dyDescent="0.3">
      <c r="A1405" s="8" t="s">
        <v>2445</v>
      </c>
      <c r="B1405" s="9">
        <v>45302</v>
      </c>
      <c r="C1405" s="8" t="s">
        <v>175</v>
      </c>
      <c r="D1405" s="8" t="s">
        <v>964</v>
      </c>
      <c r="E1405" s="8" t="s">
        <v>261</v>
      </c>
      <c r="F1405" s="10">
        <v>4</v>
      </c>
      <c r="G1405" s="10">
        <v>3780</v>
      </c>
      <c r="H1405" s="10">
        <v>9</v>
      </c>
      <c r="I1405" s="10">
        <v>13759.2</v>
      </c>
      <c r="J1405" s="8" t="s">
        <v>97</v>
      </c>
      <c r="K1405" s="8" t="s">
        <v>178</v>
      </c>
      <c r="L1405" s="18" t="str">
        <f>VLOOKUP(D1405,Products!$A:$C,3,FALSE)</f>
        <v>Sports</v>
      </c>
      <c r="N1405" s="18" t="str">
        <f>VLOOKUP(C1405,Customers!$A:$E,5,FALSE)</f>
        <v>Retail</v>
      </c>
      <c r="O1405" s="18">
        <f>VLOOKUP(C1405,Customers!$A:$C,3,FALSE)</f>
        <v>60</v>
      </c>
    </row>
    <row r="1406" spans="1:19" ht="14.25" hidden="1" customHeight="1" x14ac:dyDescent="0.3">
      <c r="A1406" s="8" t="s">
        <v>2446</v>
      </c>
      <c r="B1406" s="9">
        <v>45526</v>
      </c>
      <c r="C1406" s="8" t="s">
        <v>317</v>
      </c>
      <c r="D1406" s="8" t="s">
        <v>239</v>
      </c>
      <c r="E1406" s="8" t="s">
        <v>145</v>
      </c>
      <c r="F1406" s="10">
        <v>9</v>
      </c>
      <c r="G1406" s="10">
        <v>2720</v>
      </c>
      <c r="H1406" s="10">
        <v>8.9</v>
      </c>
      <c r="I1406" s="10">
        <v>22301.279999999999</v>
      </c>
      <c r="J1406" s="8" t="s">
        <v>41</v>
      </c>
      <c r="K1406" s="8" t="s">
        <v>136</v>
      </c>
      <c r="L1406" s="18" t="str">
        <f>VLOOKUP(D1406,Products!$A:$C,3,FALSE)</f>
        <v>Apparel</v>
      </c>
      <c r="N1406" s="18" t="str">
        <f>VLOOKUP(C1406,Customers!$A:$E,5,FALSE)</f>
        <v>Retail</v>
      </c>
      <c r="O1406" s="18">
        <f>VLOOKUP(C1406,Customers!$A:$C,3,FALSE)</f>
        <v>59</v>
      </c>
    </row>
    <row r="1407" spans="1:19" ht="14.25" hidden="1" customHeight="1" x14ac:dyDescent="0.3">
      <c r="A1407" s="8" t="s">
        <v>2447</v>
      </c>
      <c r="B1407" s="9">
        <v>45648</v>
      </c>
      <c r="C1407" s="8" t="s">
        <v>571</v>
      </c>
      <c r="D1407" s="8" t="s">
        <v>37</v>
      </c>
      <c r="E1407" s="8" t="s">
        <v>185</v>
      </c>
      <c r="F1407" s="10">
        <v>4</v>
      </c>
      <c r="G1407" s="10">
        <v>3620</v>
      </c>
      <c r="H1407" s="10">
        <v>8</v>
      </c>
      <c r="I1407" s="10">
        <v>13321.6</v>
      </c>
      <c r="J1407" s="8" t="s">
        <v>97</v>
      </c>
      <c r="K1407" s="8" t="s">
        <v>98</v>
      </c>
      <c r="L1407" s="18" t="str">
        <f>VLOOKUP(D1407,Products!$A:$C,3,FALSE)</f>
        <v>Apparel</v>
      </c>
      <c r="N1407" s="18" t="str">
        <f>VLOOKUP(C1407,Customers!$A:$E,5,FALSE)</f>
        <v>Retail</v>
      </c>
      <c r="O1407" s="18">
        <f>VLOOKUP(C1407,Customers!$A:$C,3,FALSE)</f>
        <v>49</v>
      </c>
    </row>
    <row r="1408" spans="1:19" ht="14.25" hidden="1" customHeight="1" x14ac:dyDescent="0.3">
      <c r="A1408" s="8" t="s">
        <v>2448</v>
      </c>
      <c r="B1408" s="9">
        <v>45325</v>
      </c>
      <c r="C1408" s="8" t="s">
        <v>354</v>
      </c>
      <c r="D1408" s="8" t="s">
        <v>889</v>
      </c>
      <c r="E1408" s="8" t="s">
        <v>185</v>
      </c>
      <c r="F1408" s="10">
        <v>1</v>
      </c>
      <c r="G1408" s="10">
        <v>3450</v>
      </c>
      <c r="H1408" s="10">
        <v>0.2</v>
      </c>
      <c r="I1408" s="10">
        <v>3443.1</v>
      </c>
      <c r="J1408" s="8" t="s">
        <v>41</v>
      </c>
      <c r="K1408" s="8" t="s">
        <v>178</v>
      </c>
      <c r="L1408" s="18" t="str">
        <f>VLOOKUP(D1408,Products!$A:$C,3,FALSE)</f>
        <v>Apparel</v>
      </c>
      <c r="N1408" s="18" t="str">
        <f>VLOOKUP(C1408,Customers!$A:$E,5,FALSE)</f>
        <v>Retail</v>
      </c>
      <c r="O1408" s="18">
        <f>VLOOKUP(C1408,Customers!$A:$C,3,FALSE)</f>
        <v>61</v>
      </c>
    </row>
    <row r="1409" spans="1:19" ht="14.25" customHeight="1" x14ac:dyDescent="0.3">
      <c r="A1409" s="8" t="s">
        <v>2449</v>
      </c>
      <c r="B1409" s="21">
        <v>45640</v>
      </c>
      <c r="C1409" s="8" t="s">
        <v>765</v>
      </c>
      <c r="D1409" s="8" t="s">
        <v>644</v>
      </c>
      <c r="E1409" s="8" t="s">
        <v>117</v>
      </c>
      <c r="F1409" s="10">
        <v>7</v>
      </c>
      <c r="G1409" s="10">
        <v>3640</v>
      </c>
      <c r="H1409" s="10">
        <v>4.5999999999999996</v>
      </c>
      <c r="I1409" s="10">
        <v>24307.919999999998</v>
      </c>
      <c r="J1409" s="8" t="s">
        <v>41</v>
      </c>
      <c r="K1409" s="8" t="s">
        <v>119</v>
      </c>
      <c r="L1409" s="18" t="str">
        <f>VLOOKUP(D1409,Products!$A:$C,3,FALSE)</f>
        <v>Apparel</v>
      </c>
      <c r="N1409" s="18" t="str">
        <f>VLOOKUP(C1409,Customers!$A:$E,5,FALSE)</f>
        <v>SMB</v>
      </c>
      <c r="O1409" s="18">
        <f>VLOOKUP(C1409,Customers!$A:$C,3,FALSE)</f>
        <v>29</v>
      </c>
      <c r="P1409" s="18" t="str">
        <f>VLOOKUP(E1408,Sales_Reps!$A:$C,3,FALSE)</f>
        <v>North</v>
      </c>
      <c r="Q1409" s="18" t="str">
        <f t="shared" ref="Q1409:Q1411" si="280">TEXT(B1408,"MMM-YY")</f>
        <v>Feb-24</v>
      </c>
      <c r="R1409">
        <f>VLOOKUP(D1409, Products!A:D, 4, FALSE)</f>
        <v>2611</v>
      </c>
      <c r="S1409">
        <f t="shared" ref="S1409:S1411" si="281">(G1409-R1409)/G1409</f>
        <v>0.28269230769230769</v>
      </c>
    </row>
    <row r="1410" spans="1:19" ht="14.25" customHeight="1" x14ac:dyDescent="0.3">
      <c r="A1410" s="8" t="s">
        <v>2450</v>
      </c>
      <c r="B1410" s="21">
        <v>45423</v>
      </c>
      <c r="C1410" s="8" t="s">
        <v>596</v>
      </c>
      <c r="D1410" s="8" t="s">
        <v>896</v>
      </c>
      <c r="E1410" s="8" t="s">
        <v>208</v>
      </c>
      <c r="F1410" s="10">
        <v>9</v>
      </c>
      <c r="G1410" s="10">
        <v>620</v>
      </c>
      <c r="H1410" s="10">
        <v>8.5</v>
      </c>
      <c r="I1410" s="10">
        <v>5105.7</v>
      </c>
      <c r="J1410" s="8" t="s">
        <v>41</v>
      </c>
      <c r="K1410" s="8" t="s">
        <v>146</v>
      </c>
      <c r="L1410" s="18" t="str">
        <f>VLOOKUP(D1410,Products!$A:$C,3,FALSE)</f>
        <v>Apparel</v>
      </c>
      <c r="N1410" s="18" t="str">
        <f>VLOOKUP(C1410,Customers!$A:$E,5,FALSE)</f>
        <v>Retail</v>
      </c>
      <c r="O1410" s="18">
        <f>VLOOKUP(C1410,Customers!$A:$C,3,FALSE)</f>
        <v>33</v>
      </c>
      <c r="P1410" s="18" t="str">
        <f>VLOOKUP(E1409,Sales_Reps!$A:$C,3,FALSE)</f>
        <v>South</v>
      </c>
      <c r="Q1410" s="18" t="str">
        <f t="shared" si="280"/>
        <v>Dec-24</v>
      </c>
      <c r="R1410">
        <f>VLOOKUP(D1410, Products!A:D, 4, FALSE)</f>
        <v>396</v>
      </c>
      <c r="S1410">
        <f t="shared" si="281"/>
        <v>0.36129032258064514</v>
      </c>
    </row>
    <row r="1411" spans="1:19" ht="14.25" customHeight="1" x14ac:dyDescent="0.3">
      <c r="A1411" s="8" t="s">
        <v>2451</v>
      </c>
      <c r="B1411" s="21">
        <v>45423</v>
      </c>
      <c r="C1411" s="8" t="s">
        <v>244</v>
      </c>
      <c r="D1411" s="8" t="s">
        <v>964</v>
      </c>
      <c r="E1411" s="8" t="s">
        <v>221</v>
      </c>
      <c r="F1411" s="10">
        <v>10</v>
      </c>
      <c r="G1411" s="10">
        <v>3780</v>
      </c>
      <c r="H1411" s="10">
        <v>5.8</v>
      </c>
      <c r="I1411" s="10">
        <v>35607.599999999999</v>
      </c>
      <c r="J1411" s="8" t="s">
        <v>41</v>
      </c>
      <c r="K1411" s="8" t="s">
        <v>119</v>
      </c>
      <c r="L1411" s="18" t="str">
        <f>VLOOKUP(D1411,Products!$A:$C,3,FALSE)</f>
        <v>Sports</v>
      </c>
      <c r="N1411" s="18" t="str">
        <f>VLOOKUP(C1411,Customers!$A:$E,5,FALSE)</f>
        <v>Retail</v>
      </c>
      <c r="O1411" s="18">
        <f>VLOOKUP(C1411,Customers!$A:$C,3,FALSE)</f>
        <v>24</v>
      </c>
      <c r="P1411" s="18" t="str">
        <f>VLOOKUP(E1410,Sales_Reps!$A:$C,3,FALSE)</f>
        <v>East</v>
      </c>
      <c r="Q1411" s="18" t="str">
        <f t="shared" si="280"/>
        <v>May-24</v>
      </c>
      <c r="R1411">
        <f>VLOOKUP(D1411, Products!A:D, 4, FALSE)</f>
        <v>1860</v>
      </c>
      <c r="S1411">
        <f t="shared" si="281"/>
        <v>0.50793650793650791</v>
      </c>
    </row>
    <row r="1412" spans="1:19" ht="14.25" hidden="1" customHeight="1" x14ac:dyDescent="0.3">
      <c r="A1412" s="8" t="s">
        <v>2452</v>
      </c>
      <c r="B1412" s="9">
        <v>45518</v>
      </c>
      <c r="C1412" s="8" t="s">
        <v>518</v>
      </c>
      <c r="D1412" s="8" t="s">
        <v>211</v>
      </c>
      <c r="E1412" s="8" t="s">
        <v>214</v>
      </c>
      <c r="F1412" s="10">
        <v>7</v>
      </c>
      <c r="G1412" s="10">
        <v>3570</v>
      </c>
      <c r="H1412" s="10">
        <v>26.1</v>
      </c>
      <c r="I1412" s="10">
        <v>18467.61</v>
      </c>
      <c r="J1412" s="8" t="s">
        <v>41</v>
      </c>
      <c r="K1412" s="8" t="s">
        <v>119</v>
      </c>
      <c r="L1412" s="18" t="str">
        <f>VLOOKUP(D1412,Products!$A:$C,3,FALSE)</f>
        <v>Electronics</v>
      </c>
      <c r="N1412" s="18" t="str">
        <f>VLOOKUP(C1412,Customers!$A:$E,5,FALSE)</f>
        <v>SMB</v>
      </c>
      <c r="O1412" s="18">
        <f>VLOOKUP(C1412,Customers!$A:$C,3,FALSE)</f>
        <v>55</v>
      </c>
    </row>
    <row r="1413" spans="1:19" ht="14.25" customHeight="1" x14ac:dyDescent="0.3">
      <c r="A1413" s="8" t="s">
        <v>2453</v>
      </c>
      <c r="B1413" s="21">
        <v>45306</v>
      </c>
      <c r="C1413" s="8" t="s">
        <v>244</v>
      </c>
      <c r="D1413" s="8" t="s">
        <v>242</v>
      </c>
      <c r="E1413" s="8" t="s">
        <v>261</v>
      </c>
      <c r="F1413" s="10">
        <v>2</v>
      </c>
      <c r="G1413" s="10">
        <v>1650</v>
      </c>
      <c r="H1413" s="10">
        <v>3.8</v>
      </c>
      <c r="I1413" s="10">
        <v>3174.6</v>
      </c>
      <c r="J1413" s="8" t="s">
        <v>41</v>
      </c>
      <c r="K1413" s="8" t="s">
        <v>119</v>
      </c>
      <c r="L1413" s="18" t="str">
        <f>VLOOKUP(D1413,Products!$A:$C,3,FALSE)</f>
        <v>Beauty</v>
      </c>
      <c r="N1413" s="18" t="str">
        <f>VLOOKUP(C1413,Customers!$A:$E,5,FALSE)</f>
        <v>Retail</v>
      </c>
      <c r="O1413" s="18">
        <f>VLOOKUP(C1413,Customers!$A:$C,3,FALSE)</f>
        <v>24</v>
      </c>
      <c r="P1413" s="18" t="str">
        <f>VLOOKUP(E1412,Sales_Reps!$A:$C,3,FALSE)</f>
        <v>South</v>
      </c>
      <c r="Q1413" s="18" t="str">
        <f>TEXT(B1412,"MMM-YY")</f>
        <v>Aug-24</v>
      </c>
      <c r="R1413">
        <f>VLOOKUP(D1413, Products!A:D, 4, FALSE)</f>
        <v>1222</v>
      </c>
      <c r="S1413">
        <f>(G1413-R1413)/G1413</f>
        <v>0.2593939393939394</v>
      </c>
    </row>
    <row r="1414" spans="1:19" ht="14.25" hidden="1" customHeight="1" x14ac:dyDescent="0.3">
      <c r="A1414" s="8" t="s">
        <v>2454</v>
      </c>
      <c r="B1414" s="9">
        <v>45346</v>
      </c>
      <c r="C1414" s="8" t="s">
        <v>471</v>
      </c>
      <c r="D1414" s="8" t="s">
        <v>949</v>
      </c>
      <c r="E1414" s="8" t="s">
        <v>189</v>
      </c>
      <c r="F1414" s="10">
        <v>2</v>
      </c>
      <c r="G1414" s="10">
        <v>960</v>
      </c>
      <c r="H1414" s="10">
        <v>6.8</v>
      </c>
      <c r="I1414" s="10">
        <v>1789.44</v>
      </c>
      <c r="J1414" s="8" t="s">
        <v>41</v>
      </c>
      <c r="K1414" s="8" t="s">
        <v>136</v>
      </c>
      <c r="L1414" s="18" t="str">
        <f>VLOOKUP(D1414,Products!$A:$C,3,FALSE)</f>
        <v>Beauty</v>
      </c>
      <c r="N1414" s="18" t="str">
        <f>VLOOKUP(C1414,Customers!$A:$E,5,FALSE)</f>
        <v>SMB</v>
      </c>
      <c r="O1414" s="18">
        <f>VLOOKUP(C1414,Customers!$A:$C,3,FALSE)</f>
        <v>54</v>
      </c>
    </row>
    <row r="1415" spans="1:19" ht="14.25" hidden="1" customHeight="1" x14ac:dyDescent="0.3">
      <c r="A1415" s="8" t="s">
        <v>2455</v>
      </c>
      <c r="B1415" s="9">
        <v>45376</v>
      </c>
      <c r="C1415" s="8" t="s">
        <v>379</v>
      </c>
      <c r="D1415" s="8" t="s">
        <v>154</v>
      </c>
      <c r="E1415" s="8" t="s">
        <v>125</v>
      </c>
      <c r="F1415" s="10">
        <v>2</v>
      </c>
      <c r="G1415" s="10">
        <v>300</v>
      </c>
      <c r="H1415" s="10">
        <v>2.8</v>
      </c>
      <c r="I1415" s="10">
        <v>583.20000000000005</v>
      </c>
      <c r="J1415" s="8" t="s">
        <v>41</v>
      </c>
      <c r="K1415" s="8" t="s">
        <v>146</v>
      </c>
      <c r="L1415" s="18" t="str">
        <f>VLOOKUP(D1415,Products!$A:$C,3,FALSE)</f>
        <v>Electronics</v>
      </c>
      <c r="N1415" s="18" t="str">
        <f>VLOOKUP(C1415,Customers!$A:$E,5,FALSE)</f>
        <v>Corporate</v>
      </c>
      <c r="O1415" s="18">
        <f>VLOOKUP(C1415,Customers!$A:$C,3,FALSE)</f>
        <v>62</v>
      </c>
    </row>
    <row r="1416" spans="1:19" ht="14.25" hidden="1" customHeight="1" x14ac:dyDescent="0.3">
      <c r="A1416" s="8" t="s">
        <v>2456</v>
      </c>
      <c r="B1416" s="9">
        <v>45561</v>
      </c>
      <c r="C1416" s="8" t="s">
        <v>525</v>
      </c>
      <c r="D1416" s="8" t="s">
        <v>912</v>
      </c>
      <c r="E1416" s="8" t="s">
        <v>619</v>
      </c>
      <c r="F1416" s="10">
        <v>10</v>
      </c>
      <c r="G1416" s="10">
        <v>4060</v>
      </c>
      <c r="H1416" s="10">
        <v>15.1</v>
      </c>
      <c r="I1416" s="10">
        <v>34469.4</v>
      </c>
      <c r="J1416" s="8" t="s">
        <v>41</v>
      </c>
      <c r="K1416" s="8" t="s">
        <v>42</v>
      </c>
      <c r="L1416" s="18" t="str">
        <f>VLOOKUP(D1416,Products!$A:$C,3,FALSE)</f>
        <v>Grocery</v>
      </c>
      <c r="N1416" s="18" t="str">
        <f>VLOOKUP(C1416,Customers!$A:$E,5,FALSE)</f>
        <v>Retail</v>
      </c>
      <c r="O1416" s="18">
        <f>VLOOKUP(C1416,Customers!$A:$C,3,FALSE)</f>
        <v>57</v>
      </c>
    </row>
    <row r="1417" spans="1:19" ht="14.25" customHeight="1" x14ac:dyDescent="0.3">
      <c r="A1417" s="8" t="s">
        <v>2457</v>
      </c>
      <c r="B1417" s="21">
        <v>45320</v>
      </c>
      <c r="C1417" s="8" t="s">
        <v>696</v>
      </c>
      <c r="D1417" s="8" t="s">
        <v>230</v>
      </c>
      <c r="E1417" s="8" t="s">
        <v>196</v>
      </c>
      <c r="F1417" s="10">
        <v>6</v>
      </c>
      <c r="G1417" s="10">
        <v>5330</v>
      </c>
      <c r="H1417" s="10">
        <v>2</v>
      </c>
      <c r="I1417" s="10">
        <v>31340.400000000001</v>
      </c>
      <c r="J1417" s="8" t="s">
        <v>41</v>
      </c>
      <c r="K1417" s="8" t="s">
        <v>136</v>
      </c>
      <c r="L1417" s="18" t="str">
        <f>VLOOKUP(D1417,Products!$A:$C,3,FALSE)</f>
        <v>Electronics</v>
      </c>
      <c r="N1417" s="18" t="str">
        <f>VLOOKUP(C1417,Customers!$A:$E,5,FALSE)</f>
        <v>Retail</v>
      </c>
      <c r="O1417" s="18">
        <f>VLOOKUP(C1417,Customers!$A:$C,3,FALSE)</f>
        <v>36</v>
      </c>
      <c r="P1417" s="18" t="str">
        <f>VLOOKUP(E1416,Sales_Reps!$A:$C,3,FALSE)</f>
        <v>West</v>
      </c>
      <c r="Q1417" s="18" t="str">
        <f>TEXT(B1416,"MMM-YY")</f>
        <v>Sep-24</v>
      </c>
      <c r="R1417">
        <f>VLOOKUP(D1417, Products!A:D, 4, FALSE)</f>
        <v>2405</v>
      </c>
      <c r="S1417">
        <f>(G1417-R1417)/G1417</f>
        <v>0.54878048780487809</v>
      </c>
    </row>
    <row r="1418" spans="1:19" ht="14.25" hidden="1" customHeight="1" x14ac:dyDescent="0.3">
      <c r="A1418" s="8" t="s">
        <v>2458</v>
      </c>
      <c r="B1418" s="9">
        <v>45572</v>
      </c>
      <c r="C1418" s="8" t="s">
        <v>858</v>
      </c>
      <c r="D1418" s="8" t="s">
        <v>569</v>
      </c>
      <c r="E1418" s="8" t="s">
        <v>216</v>
      </c>
      <c r="F1418" s="10">
        <v>9</v>
      </c>
      <c r="G1418" s="10">
        <v>3730</v>
      </c>
      <c r="H1418" s="10">
        <v>24.5</v>
      </c>
      <c r="I1418" s="10">
        <v>25345.35</v>
      </c>
      <c r="J1418" s="8" t="s">
        <v>193</v>
      </c>
      <c r="K1418" s="8" t="s">
        <v>119</v>
      </c>
      <c r="L1418" s="18" t="str">
        <f>VLOOKUP(D1418,Products!$A:$C,3,FALSE)</f>
        <v>Home</v>
      </c>
      <c r="N1418" s="18" t="str">
        <f>VLOOKUP(C1418,Customers!$A:$E,5,FALSE)</f>
        <v>Retail</v>
      </c>
      <c r="O1418" s="18">
        <f>VLOOKUP(C1418,Customers!$A:$C,3,FALSE)</f>
        <v>44</v>
      </c>
    </row>
    <row r="1419" spans="1:19" ht="14.25" hidden="1" customHeight="1" x14ac:dyDescent="0.3">
      <c r="A1419" s="8" t="s">
        <v>2459</v>
      </c>
      <c r="B1419" s="9">
        <v>45611</v>
      </c>
      <c r="C1419" s="8" t="s">
        <v>611</v>
      </c>
      <c r="D1419" s="8" t="s">
        <v>662</v>
      </c>
      <c r="E1419" s="8" t="s">
        <v>143</v>
      </c>
      <c r="F1419" s="10">
        <v>1</v>
      </c>
      <c r="G1419" s="10">
        <v>6080</v>
      </c>
      <c r="H1419" s="10">
        <v>4.4000000000000004</v>
      </c>
      <c r="I1419" s="10">
        <v>5812.48</v>
      </c>
      <c r="J1419" s="8" t="s">
        <v>147</v>
      </c>
      <c r="K1419" s="8" t="s">
        <v>98</v>
      </c>
      <c r="L1419" s="18" t="str">
        <f>VLOOKUP(D1419,Products!$A:$C,3,FALSE)</f>
        <v>Beauty</v>
      </c>
      <c r="N1419" s="18" t="str">
        <f>VLOOKUP(C1419,Customers!$A:$E,5,FALSE)</f>
        <v>Retail</v>
      </c>
      <c r="O1419" s="18">
        <f>VLOOKUP(C1419,Customers!$A:$C,3,FALSE)</f>
        <v>60</v>
      </c>
    </row>
    <row r="1420" spans="1:19" ht="14.25" customHeight="1" x14ac:dyDescent="0.3">
      <c r="A1420" s="8" t="s">
        <v>2460</v>
      </c>
      <c r="B1420" s="21">
        <v>45524</v>
      </c>
      <c r="C1420" s="8" t="s">
        <v>257</v>
      </c>
      <c r="D1420" s="8" t="s">
        <v>239</v>
      </c>
      <c r="E1420" s="8" t="s">
        <v>145</v>
      </c>
      <c r="F1420" s="10">
        <v>5</v>
      </c>
      <c r="G1420" s="10">
        <v>2720</v>
      </c>
      <c r="H1420" s="10">
        <v>9.1999999999999993</v>
      </c>
      <c r="I1420" s="10">
        <v>12348.8</v>
      </c>
      <c r="J1420" s="8" t="s">
        <v>41</v>
      </c>
      <c r="K1420" s="8" t="s">
        <v>146</v>
      </c>
      <c r="L1420" s="18" t="str">
        <f>VLOOKUP(D1420,Products!$A:$C,3,FALSE)</f>
        <v>Apparel</v>
      </c>
      <c r="N1420" s="18" t="str">
        <f>VLOOKUP(C1420,Customers!$A:$E,5,FALSE)</f>
        <v>Retail</v>
      </c>
      <c r="O1420" s="18">
        <f>VLOOKUP(C1420,Customers!$A:$C,3,FALSE)</f>
        <v>33</v>
      </c>
      <c r="P1420" s="18" t="str">
        <f>VLOOKUP(E1419,Sales_Reps!$A:$C,3,FALSE)</f>
        <v>West</v>
      </c>
      <c r="Q1420" s="18" t="str">
        <f>TEXT(B1419,"MMM-YY")</f>
        <v>Nov-24</v>
      </c>
      <c r="R1420">
        <f>VLOOKUP(D1420, Products!A:D, 4, FALSE)</f>
        <v>1962</v>
      </c>
      <c r="S1420">
        <f>(G1420-R1420)/G1420</f>
        <v>0.2786764705882353</v>
      </c>
    </row>
    <row r="1421" spans="1:19" ht="14.25" hidden="1" customHeight="1" x14ac:dyDescent="0.3">
      <c r="A1421" s="8" t="s">
        <v>2461</v>
      </c>
      <c r="B1421" s="9">
        <v>45438</v>
      </c>
      <c r="C1421" s="8" t="s">
        <v>755</v>
      </c>
      <c r="D1421" s="8" t="s">
        <v>889</v>
      </c>
      <c r="E1421" s="8" t="s">
        <v>208</v>
      </c>
      <c r="F1421" s="10">
        <v>1</v>
      </c>
      <c r="G1421" s="10">
        <v>3450</v>
      </c>
      <c r="H1421" s="10">
        <v>15.6</v>
      </c>
      <c r="I1421" s="10">
        <v>2911.8</v>
      </c>
      <c r="J1421" s="8" t="s">
        <v>41</v>
      </c>
      <c r="K1421" s="8" t="s">
        <v>146</v>
      </c>
      <c r="L1421" s="18" t="str">
        <f>VLOOKUP(D1421,Products!$A:$C,3,FALSE)</f>
        <v>Apparel</v>
      </c>
      <c r="N1421" s="18" t="str">
        <f>VLOOKUP(C1421,Customers!$A:$E,5,FALSE)</f>
        <v>Retail</v>
      </c>
      <c r="O1421" s="18">
        <f>VLOOKUP(C1421,Customers!$A:$C,3,FALSE)</f>
        <v>61</v>
      </c>
    </row>
    <row r="1422" spans="1:19" ht="14.25" hidden="1" customHeight="1" x14ac:dyDescent="0.3">
      <c r="A1422" s="8" t="s">
        <v>2462</v>
      </c>
      <c r="B1422" s="9">
        <v>45484</v>
      </c>
      <c r="C1422" s="8" t="s">
        <v>507</v>
      </c>
      <c r="D1422" s="8" t="s">
        <v>929</v>
      </c>
      <c r="E1422" s="8" t="s">
        <v>196</v>
      </c>
      <c r="F1422" s="10">
        <v>2</v>
      </c>
      <c r="G1422" s="10">
        <v>1090</v>
      </c>
      <c r="H1422" s="10">
        <v>0.4</v>
      </c>
      <c r="I1422" s="10">
        <v>2171.2800000000002</v>
      </c>
      <c r="J1422" s="8" t="s">
        <v>193</v>
      </c>
      <c r="K1422" s="8" t="s">
        <v>136</v>
      </c>
      <c r="L1422" s="18" t="str">
        <f>VLOOKUP(D1422,Products!$A:$C,3,FALSE)</f>
        <v>Home</v>
      </c>
      <c r="N1422" s="18" t="str">
        <f>VLOOKUP(C1422,Customers!$A:$E,5,FALSE)</f>
        <v>Retail</v>
      </c>
      <c r="O1422" s="18">
        <f>VLOOKUP(C1422,Customers!$A:$C,3,FALSE)</f>
        <v>53</v>
      </c>
    </row>
    <row r="1423" spans="1:19" ht="14.25" customHeight="1" x14ac:dyDescent="0.3">
      <c r="A1423" s="8" t="s">
        <v>2463</v>
      </c>
      <c r="B1423" s="21">
        <v>45643</v>
      </c>
      <c r="C1423" s="8" t="s">
        <v>742</v>
      </c>
      <c r="D1423" s="8" t="s">
        <v>211</v>
      </c>
      <c r="E1423" s="8" t="s">
        <v>121</v>
      </c>
      <c r="F1423" s="10">
        <v>2</v>
      </c>
      <c r="G1423" s="10">
        <v>3570</v>
      </c>
      <c r="H1423" s="10">
        <v>9</v>
      </c>
      <c r="I1423" s="10">
        <v>6497.4</v>
      </c>
      <c r="J1423" s="8" t="s">
        <v>41</v>
      </c>
      <c r="K1423" s="8" t="s">
        <v>178</v>
      </c>
      <c r="L1423" s="18" t="str">
        <f>VLOOKUP(D1423,Products!$A:$C,3,FALSE)</f>
        <v>Electronics</v>
      </c>
      <c r="N1423" s="18" t="str">
        <f>VLOOKUP(C1423,Customers!$A:$E,5,FALSE)</f>
        <v>Retail</v>
      </c>
      <c r="O1423" s="18">
        <f>VLOOKUP(C1423,Customers!$A:$C,3,FALSE)</f>
        <v>38</v>
      </c>
      <c r="P1423" s="18" t="str">
        <f>VLOOKUP(E1422,Sales_Reps!$A:$C,3,FALSE)</f>
        <v>East</v>
      </c>
      <c r="Q1423" s="18" t="str">
        <f>TEXT(B1422,"MMM-YY")</f>
        <v>Jul-24</v>
      </c>
      <c r="R1423">
        <f>VLOOKUP(D1423, Products!A:D, 4, FALSE)</f>
        <v>1665</v>
      </c>
      <c r="S1423">
        <f>(G1423-R1423)/G1423</f>
        <v>0.53361344537815125</v>
      </c>
    </row>
    <row r="1424" spans="1:19" ht="14.25" hidden="1" customHeight="1" x14ac:dyDescent="0.3">
      <c r="A1424" s="8" t="s">
        <v>2464</v>
      </c>
      <c r="B1424" s="9">
        <v>45437</v>
      </c>
      <c r="C1424" s="8" t="s">
        <v>518</v>
      </c>
      <c r="D1424" s="8" t="s">
        <v>227</v>
      </c>
      <c r="E1424" s="8" t="s">
        <v>117</v>
      </c>
      <c r="F1424" s="10">
        <v>9</v>
      </c>
      <c r="G1424" s="10">
        <v>2480</v>
      </c>
      <c r="H1424" s="10">
        <v>3.6</v>
      </c>
      <c r="I1424" s="10">
        <v>21516.48</v>
      </c>
      <c r="J1424" s="8" t="s">
        <v>97</v>
      </c>
      <c r="K1424" s="8" t="s">
        <v>119</v>
      </c>
      <c r="L1424" s="18" t="str">
        <f>VLOOKUP(D1424,Products!$A:$C,3,FALSE)</f>
        <v>Apparel</v>
      </c>
      <c r="N1424" s="18" t="str">
        <f>VLOOKUP(C1424,Customers!$A:$E,5,FALSE)</f>
        <v>SMB</v>
      </c>
      <c r="O1424" s="18">
        <f>VLOOKUP(C1424,Customers!$A:$C,3,FALSE)</f>
        <v>55</v>
      </c>
    </row>
    <row r="1425" spans="1:19" ht="14.25" customHeight="1" x14ac:dyDescent="0.3">
      <c r="A1425" s="8" t="s">
        <v>2465</v>
      </c>
      <c r="B1425" s="21">
        <v>45303</v>
      </c>
      <c r="C1425" s="8" t="s">
        <v>637</v>
      </c>
      <c r="D1425" s="8" t="s">
        <v>624</v>
      </c>
      <c r="E1425" s="8" t="s">
        <v>196</v>
      </c>
      <c r="F1425" s="10">
        <v>9</v>
      </c>
      <c r="G1425" s="10">
        <v>3780</v>
      </c>
      <c r="H1425" s="10">
        <v>4.5</v>
      </c>
      <c r="I1425" s="10">
        <v>32489.1</v>
      </c>
      <c r="J1425" s="8" t="s">
        <v>41</v>
      </c>
      <c r="K1425" s="8" t="s">
        <v>178</v>
      </c>
      <c r="L1425" s="18" t="str">
        <f>VLOOKUP(D1425,Products!$A:$C,3,FALSE)</f>
        <v>Grocery</v>
      </c>
      <c r="N1425" s="18" t="str">
        <f>VLOOKUP(C1425,Customers!$A:$E,5,FALSE)</f>
        <v>Retail</v>
      </c>
      <c r="O1425" s="18">
        <f>VLOOKUP(C1425,Customers!$A:$C,3,FALSE)</f>
        <v>25</v>
      </c>
      <c r="P1425" s="18" t="str">
        <f>VLOOKUP(E1424,Sales_Reps!$A:$C,3,FALSE)</f>
        <v>South</v>
      </c>
      <c r="Q1425" s="18" t="str">
        <f t="shared" ref="Q1425:Q1431" si="282">TEXT(B1424,"MMM-YY")</f>
        <v>May-24</v>
      </c>
      <c r="R1425">
        <f>VLOOKUP(D1425, Products!A:D, 4, FALSE)</f>
        <v>2436</v>
      </c>
      <c r="S1425">
        <f t="shared" ref="S1425:S1431" si="283">(G1425-R1425)/G1425</f>
        <v>0.35555555555555557</v>
      </c>
    </row>
    <row r="1426" spans="1:19" ht="14.25" customHeight="1" x14ac:dyDescent="0.3">
      <c r="A1426" s="8" t="s">
        <v>2466</v>
      </c>
      <c r="B1426" s="21">
        <v>45631</v>
      </c>
      <c r="C1426" s="8" t="s">
        <v>543</v>
      </c>
      <c r="D1426" s="8" t="s">
        <v>912</v>
      </c>
      <c r="E1426" s="8" t="s">
        <v>177</v>
      </c>
      <c r="F1426" s="10">
        <v>5</v>
      </c>
      <c r="G1426" s="10">
        <v>4060</v>
      </c>
      <c r="H1426" s="10">
        <v>2.7</v>
      </c>
      <c r="I1426" s="10">
        <v>19751.900000000001</v>
      </c>
      <c r="J1426" s="8" t="s">
        <v>41</v>
      </c>
      <c r="K1426" s="8" t="s">
        <v>119</v>
      </c>
      <c r="L1426" s="18" t="str">
        <f>VLOOKUP(D1426,Products!$A:$C,3,FALSE)</f>
        <v>Grocery</v>
      </c>
      <c r="N1426" s="18" t="str">
        <f>VLOOKUP(C1426,Customers!$A:$E,5,FALSE)</f>
        <v>SMB</v>
      </c>
      <c r="O1426" s="18">
        <f>VLOOKUP(C1426,Customers!$A:$C,3,FALSE)</f>
        <v>28</v>
      </c>
      <c r="P1426" s="18" t="str">
        <f>VLOOKUP(E1425,Sales_Reps!$A:$C,3,FALSE)</f>
        <v>East</v>
      </c>
      <c r="Q1426" s="18" t="str">
        <f t="shared" si="282"/>
        <v>Jan-24</v>
      </c>
      <c r="R1426">
        <f>VLOOKUP(D1426, Products!A:D, 4, FALSE)</f>
        <v>2911</v>
      </c>
      <c r="S1426">
        <f t="shared" si="283"/>
        <v>0.28300492610837441</v>
      </c>
    </row>
    <row r="1427" spans="1:19" ht="14.25" customHeight="1" x14ac:dyDescent="0.3">
      <c r="A1427" s="8" t="s">
        <v>252</v>
      </c>
      <c r="B1427" s="21">
        <v>45564</v>
      </c>
      <c r="C1427" s="8" t="s">
        <v>195</v>
      </c>
      <c r="D1427" s="8" t="s">
        <v>154</v>
      </c>
      <c r="E1427" s="8" t="s">
        <v>261</v>
      </c>
      <c r="F1427" s="10">
        <v>8</v>
      </c>
      <c r="G1427" s="10">
        <v>300</v>
      </c>
      <c r="H1427" s="10">
        <v>19.8</v>
      </c>
      <c r="I1427" s="10">
        <v>1924.8</v>
      </c>
      <c r="J1427" s="8" t="s">
        <v>147</v>
      </c>
      <c r="K1427" s="8" t="s">
        <v>42</v>
      </c>
      <c r="L1427" s="18" t="str">
        <f>VLOOKUP(D1427,Products!$A:$C,3,FALSE)</f>
        <v>Electronics</v>
      </c>
      <c r="N1427" s="18" t="str">
        <f>VLOOKUP(C1427,Customers!$A:$E,5,FALSE)</f>
        <v>Corporate</v>
      </c>
      <c r="O1427" s="18">
        <f>VLOOKUP(C1427,Customers!$A:$C,3,FALSE)</f>
        <v>40</v>
      </c>
      <c r="P1427" s="18" t="str">
        <f>VLOOKUP(E1426,Sales_Reps!$A:$C,3,FALSE)</f>
        <v>South</v>
      </c>
      <c r="Q1427" s="18" t="str">
        <f t="shared" si="282"/>
        <v>Dec-24</v>
      </c>
      <c r="R1427">
        <f>VLOOKUP(D1427, Products!A:D, 4, FALSE)</f>
        <v>128</v>
      </c>
      <c r="S1427">
        <f t="shared" si="283"/>
        <v>0.57333333333333336</v>
      </c>
    </row>
    <row r="1428" spans="1:19" ht="14.25" customHeight="1" x14ac:dyDescent="0.3">
      <c r="A1428" s="8" t="s">
        <v>2467</v>
      </c>
      <c r="B1428" s="21">
        <v>45454</v>
      </c>
      <c r="C1428" s="8" t="s">
        <v>166</v>
      </c>
      <c r="D1428" s="8" t="s">
        <v>192</v>
      </c>
      <c r="E1428" s="8" t="s">
        <v>261</v>
      </c>
      <c r="F1428" s="10">
        <v>10</v>
      </c>
      <c r="G1428" s="10">
        <v>3250</v>
      </c>
      <c r="H1428" s="10">
        <v>21.3</v>
      </c>
      <c r="I1428" s="10">
        <v>25577.5</v>
      </c>
      <c r="J1428" s="8" t="s">
        <v>147</v>
      </c>
      <c r="K1428" s="8" t="s">
        <v>146</v>
      </c>
      <c r="L1428" s="18" t="str">
        <f>VLOOKUP(D1428,Products!$A:$C,3,FALSE)</f>
        <v>Home</v>
      </c>
      <c r="N1428" s="18" t="str">
        <f>VLOOKUP(C1428,Customers!$A:$E,5,FALSE)</f>
        <v>SMB</v>
      </c>
      <c r="O1428" s="18">
        <f>VLOOKUP(C1428,Customers!$A:$C,3,FALSE)</f>
        <v>22</v>
      </c>
      <c r="P1428" s="18" t="str">
        <f>VLOOKUP(E1427,Sales_Reps!$A:$C,3,FALSE)</f>
        <v>North</v>
      </c>
      <c r="Q1428" s="18" t="str">
        <f t="shared" si="282"/>
        <v>Sep-24</v>
      </c>
      <c r="R1428">
        <f>VLOOKUP(D1428, Products!A:D, 4, FALSE)</f>
        <v>1556</v>
      </c>
      <c r="S1428">
        <f t="shared" si="283"/>
        <v>0.52123076923076928</v>
      </c>
    </row>
    <row r="1429" spans="1:19" ht="14.25" customHeight="1" x14ac:dyDescent="0.3">
      <c r="A1429" s="8" t="s">
        <v>2468</v>
      </c>
      <c r="B1429" s="21">
        <v>45616</v>
      </c>
      <c r="C1429" s="8" t="s">
        <v>133</v>
      </c>
      <c r="D1429" s="8" t="s">
        <v>338</v>
      </c>
      <c r="E1429" s="8" t="s">
        <v>214</v>
      </c>
      <c r="F1429" s="10">
        <v>2</v>
      </c>
      <c r="G1429" s="10">
        <v>2860</v>
      </c>
      <c r="H1429" s="10">
        <v>13.7</v>
      </c>
      <c r="I1429" s="10">
        <v>4936.3599999999997</v>
      </c>
      <c r="J1429" s="8" t="s">
        <v>41</v>
      </c>
      <c r="K1429" s="8" t="s">
        <v>98</v>
      </c>
      <c r="L1429" s="18" t="str">
        <f>VLOOKUP(D1429,Products!$A:$C,3,FALSE)</f>
        <v>Sports</v>
      </c>
      <c r="N1429" s="18" t="str">
        <f>VLOOKUP(C1429,Customers!$A:$E,5,FALSE)</f>
        <v>Retail</v>
      </c>
      <c r="O1429" s="18">
        <f>VLOOKUP(C1429,Customers!$A:$C,3,FALSE)</f>
        <v>36</v>
      </c>
      <c r="P1429" s="18" t="str">
        <f>VLOOKUP(E1428,Sales_Reps!$A:$C,3,FALSE)</f>
        <v>North</v>
      </c>
      <c r="Q1429" s="18" t="str">
        <f t="shared" si="282"/>
        <v>Jun-24</v>
      </c>
      <c r="R1429">
        <f>VLOOKUP(D1429, Products!A:D, 4, FALSE)</f>
        <v>2028</v>
      </c>
      <c r="S1429">
        <f t="shared" si="283"/>
        <v>0.29090909090909089</v>
      </c>
    </row>
    <row r="1430" spans="1:19" ht="14.25" customHeight="1" x14ac:dyDescent="0.3">
      <c r="A1430" s="8" t="s">
        <v>243</v>
      </c>
      <c r="B1430" s="21">
        <v>45523</v>
      </c>
      <c r="C1430" s="8" t="s">
        <v>244</v>
      </c>
      <c r="D1430" s="8" t="s">
        <v>160</v>
      </c>
      <c r="E1430" s="8" t="s">
        <v>121</v>
      </c>
      <c r="F1430" s="10">
        <v>10</v>
      </c>
      <c r="G1430" s="10">
        <v>1220</v>
      </c>
      <c r="H1430" s="10">
        <v>15.4</v>
      </c>
      <c r="I1430" s="10">
        <v>10321.200000000001</v>
      </c>
      <c r="J1430" s="8" t="s">
        <v>41</v>
      </c>
      <c r="K1430" s="8" t="s">
        <v>119</v>
      </c>
      <c r="L1430" s="18" t="str">
        <f>VLOOKUP(D1430,Products!$A:$C,3,FALSE)</f>
        <v>Electronics</v>
      </c>
      <c r="N1430" s="18" t="str">
        <f>VLOOKUP(C1430,Customers!$A:$E,5,FALSE)</f>
        <v>Retail</v>
      </c>
      <c r="O1430" s="18">
        <f>VLOOKUP(C1430,Customers!$A:$C,3,FALSE)</f>
        <v>24</v>
      </c>
      <c r="P1430" s="18" t="str">
        <f>VLOOKUP(E1429,Sales_Reps!$A:$C,3,FALSE)</f>
        <v>South</v>
      </c>
      <c r="Q1430" s="18" t="str">
        <f t="shared" si="282"/>
        <v>Nov-24</v>
      </c>
      <c r="R1430">
        <f>VLOOKUP(D1430, Products!A:D, 4, FALSE)</f>
        <v>517</v>
      </c>
      <c r="S1430">
        <f t="shared" si="283"/>
        <v>0.57622950819672136</v>
      </c>
    </row>
    <row r="1431" spans="1:19" ht="14.25" customHeight="1" x14ac:dyDescent="0.3">
      <c r="A1431" s="8" t="s">
        <v>2469</v>
      </c>
      <c r="B1431" s="21">
        <v>45439</v>
      </c>
      <c r="C1431" s="8" t="s">
        <v>771</v>
      </c>
      <c r="D1431" s="8" t="s">
        <v>624</v>
      </c>
      <c r="E1431" s="8" t="s">
        <v>177</v>
      </c>
      <c r="F1431" s="10">
        <v>3</v>
      </c>
      <c r="G1431" s="10">
        <v>3780</v>
      </c>
      <c r="H1431" s="10">
        <v>1.9</v>
      </c>
      <c r="I1431" s="10">
        <v>11124.54</v>
      </c>
      <c r="J1431" s="8" t="s">
        <v>41</v>
      </c>
      <c r="K1431" s="8" t="s">
        <v>178</v>
      </c>
      <c r="L1431" s="18" t="str">
        <f>VLOOKUP(D1431,Products!$A:$C,3,FALSE)</f>
        <v>Grocery</v>
      </c>
      <c r="N1431" s="18" t="str">
        <f>VLOOKUP(C1431,Customers!$A:$E,5,FALSE)</f>
        <v>Retail</v>
      </c>
      <c r="O1431" s="18">
        <f>VLOOKUP(C1431,Customers!$A:$C,3,FALSE)</f>
        <v>27</v>
      </c>
      <c r="P1431" s="18" t="str">
        <f>VLOOKUP(E1430,Sales_Reps!$A:$C,3,FALSE)</f>
        <v>East</v>
      </c>
      <c r="Q1431" s="18" t="str">
        <f t="shared" si="282"/>
        <v>Aug-24</v>
      </c>
      <c r="R1431">
        <f>VLOOKUP(D1431, Products!A:D, 4, FALSE)</f>
        <v>2436</v>
      </c>
      <c r="S1431">
        <f t="shared" si="283"/>
        <v>0.35555555555555557</v>
      </c>
    </row>
    <row r="1432" spans="1:19" ht="14.25" hidden="1" customHeight="1" x14ac:dyDescent="0.3">
      <c r="A1432" s="8" t="s">
        <v>2470</v>
      </c>
      <c r="B1432" s="9">
        <v>45579</v>
      </c>
      <c r="C1432" s="8" t="s">
        <v>332</v>
      </c>
      <c r="D1432" s="8" t="s">
        <v>163</v>
      </c>
      <c r="E1432" s="8" t="s">
        <v>167</v>
      </c>
      <c r="F1432" s="10">
        <v>6</v>
      </c>
      <c r="G1432" s="10">
        <v>5490</v>
      </c>
      <c r="H1432" s="10">
        <v>0.5</v>
      </c>
      <c r="I1432" s="10">
        <v>32775.300000000003</v>
      </c>
      <c r="J1432" s="8" t="s">
        <v>97</v>
      </c>
      <c r="K1432" s="8" t="s">
        <v>119</v>
      </c>
      <c r="L1432" s="18" t="str">
        <f>VLOOKUP(D1432,Products!$A:$C,3,FALSE)</f>
        <v>Home</v>
      </c>
      <c r="N1432" s="18" t="str">
        <f>VLOOKUP(C1432,Customers!$A:$E,5,FALSE)</f>
        <v>Retail</v>
      </c>
      <c r="O1432" s="18">
        <f>VLOOKUP(C1432,Customers!$A:$C,3,FALSE)</f>
        <v>47</v>
      </c>
    </row>
    <row r="1433" spans="1:19" ht="14.25" hidden="1" customHeight="1" x14ac:dyDescent="0.3">
      <c r="A1433" s="8" t="s">
        <v>2471</v>
      </c>
      <c r="B1433" s="9">
        <v>45495</v>
      </c>
      <c r="C1433" s="8" t="s">
        <v>322</v>
      </c>
      <c r="D1433" s="8" t="s">
        <v>691</v>
      </c>
      <c r="E1433" s="8" t="s">
        <v>236</v>
      </c>
      <c r="F1433" s="10">
        <v>6</v>
      </c>
      <c r="G1433" s="10">
        <v>2270</v>
      </c>
      <c r="H1433" s="10">
        <v>21.5</v>
      </c>
      <c r="I1433" s="10">
        <v>10691.7</v>
      </c>
      <c r="J1433" s="8" t="s">
        <v>41</v>
      </c>
      <c r="K1433" s="8" t="s">
        <v>98</v>
      </c>
      <c r="L1433" s="18" t="str">
        <f>VLOOKUP(D1433,Products!$A:$C,3,FALSE)</f>
        <v>Grocery</v>
      </c>
      <c r="N1433" s="18" t="str">
        <f>VLOOKUP(C1433,Customers!$A:$E,5,FALSE)</f>
        <v>Corporate</v>
      </c>
      <c r="O1433" s="18">
        <f>VLOOKUP(C1433,Customers!$A:$C,3,FALSE)</f>
        <v>54</v>
      </c>
    </row>
    <row r="1434" spans="1:19" ht="14.25" customHeight="1" x14ac:dyDescent="0.3">
      <c r="A1434" s="8" t="s">
        <v>2472</v>
      </c>
      <c r="B1434" s="21">
        <v>45600</v>
      </c>
      <c r="C1434" s="8" t="s">
        <v>563</v>
      </c>
      <c r="D1434" s="8" t="s">
        <v>918</v>
      </c>
      <c r="E1434" s="8" t="s">
        <v>208</v>
      </c>
      <c r="F1434" s="10">
        <v>7</v>
      </c>
      <c r="G1434" s="10">
        <v>2210</v>
      </c>
      <c r="H1434" s="10">
        <v>10.3</v>
      </c>
      <c r="I1434" s="10">
        <v>13876.59</v>
      </c>
      <c r="J1434" s="8" t="s">
        <v>41</v>
      </c>
      <c r="K1434" s="8" t="s">
        <v>98</v>
      </c>
      <c r="L1434" s="18" t="str">
        <f>VLOOKUP(D1434,Products!$A:$C,3,FALSE)</f>
        <v>Grocery</v>
      </c>
      <c r="N1434" s="18" t="str">
        <f>VLOOKUP(C1434,Customers!$A:$E,5,FALSE)</f>
        <v>Corporate</v>
      </c>
      <c r="O1434" s="18">
        <f>VLOOKUP(C1434,Customers!$A:$C,3,FALSE)</f>
        <v>24</v>
      </c>
      <c r="P1434" s="18" t="str">
        <f>VLOOKUP(E1433,Sales_Reps!$A:$C,3,FALSE)</f>
        <v>West</v>
      </c>
      <c r="Q1434" s="18" t="str">
        <f>TEXT(B1433,"MMM-YY")</f>
        <v>Jul-24</v>
      </c>
      <c r="R1434">
        <f>VLOOKUP(D1434, Products!A:D, 4, FALSE)</f>
        <v>1010</v>
      </c>
      <c r="S1434">
        <f>(G1434-R1434)/G1434</f>
        <v>0.54298642533936647</v>
      </c>
    </row>
    <row r="1435" spans="1:19" ht="14.25" hidden="1" customHeight="1" x14ac:dyDescent="0.3">
      <c r="A1435" s="8" t="s">
        <v>2473</v>
      </c>
      <c r="B1435" s="9">
        <v>45605</v>
      </c>
      <c r="C1435" s="8" t="s">
        <v>2474</v>
      </c>
      <c r="D1435" s="8" t="s">
        <v>929</v>
      </c>
      <c r="E1435" s="8" t="s">
        <v>214</v>
      </c>
      <c r="F1435" s="10">
        <v>8</v>
      </c>
      <c r="G1435" s="10">
        <v>1090</v>
      </c>
      <c r="H1435" s="10">
        <v>21.7</v>
      </c>
      <c r="I1435" s="10">
        <v>6827.76</v>
      </c>
      <c r="J1435" s="8" t="s">
        <v>41</v>
      </c>
      <c r="K1435" s="8" t="s">
        <v>42</v>
      </c>
      <c r="L1435" s="18" t="str">
        <f>VLOOKUP(D1435,Products!$A:$C,3,FALSE)</f>
        <v>Home</v>
      </c>
      <c r="N1435" s="18" t="e">
        <f>VLOOKUP(C1435,Customers!$A:$E,5,FALSE)</f>
        <v>#N/A</v>
      </c>
      <c r="O1435" s="18" t="e">
        <f>VLOOKUP(C1435,Customers!$A:$C,3,FALSE)</f>
        <v>#N/A</v>
      </c>
    </row>
    <row r="1436" spans="1:19" ht="14.25" hidden="1" customHeight="1" x14ac:dyDescent="0.3">
      <c r="A1436" s="8" t="s">
        <v>2475</v>
      </c>
      <c r="B1436" s="9">
        <v>45598</v>
      </c>
      <c r="C1436" s="8" t="s">
        <v>541</v>
      </c>
      <c r="D1436" s="8" t="s">
        <v>901</v>
      </c>
      <c r="E1436" s="8" t="s">
        <v>261</v>
      </c>
      <c r="F1436" s="10">
        <v>5</v>
      </c>
      <c r="G1436" s="10">
        <v>3560</v>
      </c>
      <c r="H1436" s="10">
        <v>19.399999999999999</v>
      </c>
      <c r="I1436" s="10">
        <v>14346.8</v>
      </c>
      <c r="J1436" s="8" t="s">
        <v>97</v>
      </c>
      <c r="K1436" s="8" t="s">
        <v>136</v>
      </c>
      <c r="L1436" s="18" t="str">
        <f>VLOOKUP(D1436,Products!$A:$C,3,FALSE)</f>
        <v>Apparel</v>
      </c>
      <c r="N1436" s="18" t="str">
        <f>VLOOKUP(C1436,Customers!$A:$E,5,FALSE)</f>
        <v>Corporate</v>
      </c>
      <c r="O1436" s="18">
        <f>VLOOKUP(C1436,Customers!$A:$C,3,FALSE)</f>
        <v>41</v>
      </c>
    </row>
    <row r="1437" spans="1:19" ht="14.25" customHeight="1" x14ac:dyDescent="0.3">
      <c r="A1437" s="8" t="s">
        <v>2476</v>
      </c>
      <c r="B1437" s="21">
        <v>45452</v>
      </c>
      <c r="C1437" s="8" t="s">
        <v>393</v>
      </c>
      <c r="D1437" s="8" t="s">
        <v>260</v>
      </c>
      <c r="E1437" s="8" t="s">
        <v>172</v>
      </c>
      <c r="F1437" s="10">
        <v>7</v>
      </c>
      <c r="G1437" s="10">
        <v>1010</v>
      </c>
      <c r="H1437" s="10">
        <v>28.2</v>
      </c>
      <c r="I1437" s="10">
        <v>5076.26</v>
      </c>
      <c r="J1437" s="8" t="s">
        <v>41</v>
      </c>
      <c r="K1437" s="8" t="s">
        <v>42</v>
      </c>
      <c r="L1437" s="18" t="str">
        <f>VLOOKUP(D1437,Products!$A:$C,3,FALSE)</f>
        <v>Sports</v>
      </c>
      <c r="N1437" s="18" t="str">
        <f>VLOOKUP(C1437,Customers!$A:$E,5,FALSE)</f>
        <v>Retail</v>
      </c>
      <c r="O1437" s="18">
        <f>VLOOKUP(C1437,Customers!$A:$C,3,FALSE)</f>
        <v>39</v>
      </c>
      <c r="P1437" s="18" t="str">
        <f>VLOOKUP(E1436,Sales_Reps!$A:$C,3,FALSE)</f>
        <v>North</v>
      </c>
      <c r="Q1437" s="18" t="str">
        <f>TEXT(B1436,"MMM-YY")</f>
        <v>Nov-24</v>
      </c>
      <c r="R1437">
        <f>VLOOKUP(D1437, Products!A:D, 4, FALSE)</f>
        <v>516</v>
      </c>
      <c r="S1437">
        <f>(G1437-R1437)/G1437</f>
        <v>0.4891089108910891</v>
      </c>
    </row>
    <row r="1438" spans="1:19" ht="14.25" hidden="1" customHeight="1" x14ac:dyDescent="0.3">
      <c r="A1438" s="8" t="s">
        <v>2477</v>
      </c>
      <c r="B1438" s="9">
        <v>45470</v>
      </c>
      <c r="C1438" s="8" t="s">
        <v>861</v>
      </c>
      <c r="D1438" s="8" t="s">
        <v>924</v>
      </c>
      <c r="E1438" s="8" t="s">
        <v>301</v>
      </c>
      <c r="F1438" s="10">
        <v>2</v>
      </c>
      <c r="G1438" s="10">
        <v>2030</v>
      </c>
      <c r="H1438" s="10">
        <v>27.3</v>
      </c>
      <c r="I1438" s="10">
        <v>2951.62</v>
      </c>
      <c r="J1438" s="8" t="s">
        <v>193</v>
      </c>
      <c r="K1438" s="8" t="s">
        <v>146</v>
      </c>
      <c r="L1438" s="18" t="str">
        <f>VLOOKUP(D1438,Products!$A:$C,3,FALSE)</f>
        <v>Home</v>
      </c>
      <c r="N1438" s="18" t="str">
        <f>VLOOKUP(C1438,Customers!$A:$E,5,FALSE)</f>
        <v>Corporate</v>
      </c>
      <c r="O1438" s="18">
        <f>VLOOKUP(C1438,Customers!$A:$C,3,FALSE)</f>
        <v>51</v>
      </c>
    </row>
    <row r="1439" spans="1:19" ht="14.25" hidden="1" customHeight="1" x14ac:dyDescent="0.3">
      <c r="A1439" s="8" t="s">
        <v>2478</v>
      </c>
      <c r="B1439" s="9">
        <v>45350</v>
      </c>
      <c r="C1439" s="8" t="s">
        <v>279</v>
      </c>
      <c r="D1439" s="8" t="s">
        <v>230</v>
      </c>
      <c r="E1439" s="8" t="s">
        <v>189</v>
      </c>
      <c r="F1439" s="10">
        <v>6</v>
      </c>
      <c r="G1439" s="10">
        <v>5330</v>
      </c>
      <c r="H1439" s="10">
        <v>0.6</v>
      </c>
      <c r="I1439" s="10">
        <v>31788.12</v>
      </c>
      <c r="J1439" s="8" t="s">
        <v>41</v>
      </c>
      <c r="K1439" s="8" t="s">
        <v>119</v>
      </c>
      <c r="L1439" s="18" t="str">
        <f>VLOOKUP(D1439,Products!$A:$C,3,FALSE)</f>
        <v>Electronics</v>
      </c>
      <c r="N1439" s="18" t="str">
        <f>VLOOKUP(C1439,Customers!$A:$E,5,FALSE)</f>
        <v>Retail</v>
      </c>
      <c r="O1439" s="18">
        <f>VLOOKUP(C1439,Customers!$A:$C,3,FALSE)</f>
        <v>41</v>
      </c>
    </row>
    <row r="1440" spans="1:19" ht="14.25" hidden="1" customHeight="1" x14ac:dyDescent="0.3">
      <c r="A1440" s="8" t="s">
        <v>2479</v>
      </c>
      <c r="B1440" s="9">
        <v>45514</v>
      </c>
      <c r="C1440" s="8" t="s">
        <v>670</v>
      </c>
      <c r="D1440" s="8" t="s">
        <v>181</v>
      </c>
      <c r="E1440" s="8" t="s">
        <v>38</v>
      </c>
      <c r="F1440" s="10">
        <v>2</v>
      </c>
      <c r="G1440" s="10">
        <v>2640</v>
      </c>
      <c r="H1440" s="10">
        <v>26</v>
      </c>
      <c r="I1440" s="10">
        <v>3907.2</v>
      </c>
      <c r="J1440" s="8" t="s">
        <v>97</v>
      </c>
      <c r="K1440" s="8" t="s">
        <v>136</v>
      </c>
      <c r="L1440" s="18" t="str">
        <f>VLOOKUP(D1440,Products!$A:$C,3,FALSE)</f>
        <v>Electronics</v>
      </c>
      <c r="N1440" s="18" t="str">
        <f>VLOOKUP(C1440,Customers!$A:$E,5,FALSE)</f>
        <v>Retail</v>
      </c>
      <c r="O1440" s="18">
        <f>VLOOKUP(C1440,Customers!$A:$C,3,FALSE)</f>
        <v>42</v>
      </c>
    </row>
    <row r="1441" spans="1:19" ht="14.25" customHeight="1" x14ac:dyDescent="0.3">
      <c r="A1441" s="8" t="s">
        <v>2480</v>
      </c>
      <c r="B1441" s="21">
        <v>45447</v>
      </c>
      <c r="C1441" s="8" t="s">
        <v>166</v>
      </c>
      <c r="D1441" s="8" t="s">
        <v>131</v>
      </c>
      <c r="E1441" s="8" t="s">
        <v>189</v>
      </c>
      <c r="F1441" s="10">
        <v>8</v>
      </c>
      <c r="G1441" s="10">
        <v>2660</v>
      </c>
      <c r="H1441" s="10">
        <v>2.9</v>
      </c>
      <c r="I1441" s="10">
        <v>20662.88</v>
      </c>
      <c r="J1441" s="8" t="s">
        <v>41</v>
      </c>
      <c r="K1441" s="8" t="s">
        <v>146</v>
      </c>
      <c r="L1441" s="18" t="str">
        <f>VLOOKUP(D1441,Products!$A:$C,3,FALSE)</f>
        <v>Electronics</v>
      </c>
      <c r="N1441" s="18" t="str">
        <f>VLOOKUP(C1441,Customers!$A:$E,5,FALSE)</f>
        <v>SMB</v>
      </c>
      <c r="O1441" s="18">
        <f>VLOOKUP(C1441,Customers!$A:$C,3,FALSE)</f>
        <v>22</v>
      </c>
      <c r="P1441" s="18" t="str">
        <f>VLOOKUP(E1440,Sales_Reps!$A:$C,3,FALSE)</f>
        <v>North</v>
      </c>
      <c r="Q1441" s="18" t="str">
        <f>TEXT(B1440,"MMM-YY")</f>
        <v>Aug-24</v>
      </c>
      <c r="R1441">
        <f>VLOOKUP(D1441, Products!A:D, 4, FALSE)</f>
        <v>1259</v>
      </c>
      <c r="S1441">
        <f>(G1441-R1441)/G1441</f>
        <v>0.52669172932330832</v>
      </c>
    </row>
    <row r="1442" spans="1:19" ht="14.25" hidden="1" customHeight="1" x14ac:dyDescent="0.3">
      <c r="A1442" s="8" t="s">
        <v>2481</v>
      </c>
      <c r="B1442" s="9">
        <v>45390</v>
      </c>
      <c r="C1442" s="8" t="s">
        <v>399</v>
      </c>
      <c r="D1442" s="8" t="s">
        <v>192</v>
      </c>
      <c r="E1442" s="8" t="s">
        <v>208</v>
      </c>
      <c r="F1442" s="10">
        <v>6</v>
      </c>
      <c r="G1442" s="10">
        <v>3250</v>
      </c>
      <c r="H1442" s="10">
        <v>11.1</v>
      </c>
      <c r="I1442" s="10">
        <v>17335.5</v>
      </c>
      <c r="J1442" s="8" t="s">
        <v>41</v>
      </c>
      <c r="K1442" s="8" t="s">
        <v>146</v>
      </c>
      <c r="L1442" s="18" t="str">
        <f>VLOOKUP(D1442,Products!$A:$C,3,FALSE)</f>
        <v>Home</v>
      </c>
      <c r="N1442" s="18" t="str">
        <f>VLOOKUP(C1442,Customers!$A:$E,5,FALSE)</f>
        <v>SMB</v>
      </c>
      <c r="O1442" s="18">
        <f>VLOOKUP(C1442,Customers!$A:$C,3,FALSE)</f>
        <v>53</v>
      </c>
    </row>
    <row r="1443" spans="1:19" ht="14.25" customHeight="1" x14ac:dyDescent="0.3">
      <c r="A1443" s="8" t="s">
        <v>2482</v>
      </c>
      <c r="B1443" s="21">
        <v>45307</v>
      </c>
      <c r="C1443" s="8" t="s">
        <v>150</v>
      </c>
      <c r="D1443" s="8" t="s">
        <v>918</v>
      </c>
      <c r="E1443" s="8" t="s">
        <v>185</v>
      </c>
      <c r="F1443" s="10">
        <v>1</v>
      </c>
      <c r="G1443" s="10">
        <v>2210</v>
      </c>
      <c r="H1443" s="10">
        <v>3.5</v>
      </c>
      <c r="I1443" s="10">
        <v>2132.65</v>
      </c>
      <c r="J1443" s="8" t="s">
        <v>41</v>
      </c>
      <c r="K1443" s="8" t="s">
        <v>42</v>
      </c>
      <c r="L1443" s="18" t="str">
        <f>VLOOKUP(D1443,Products!$A:$C,3,FALSE)</f>
        <v>Grocery</v>
      </c>
      <c r="N1443" s="18" t="str">
        <f>VLOOKUP(C1443,Customers!$A:$E,5,FALSE)</f>
        <v>Retail</v>
      </c>
      <c r="O1443" s="18">
        <f>VLOOKUP(C1443,Customers!$A:$C,3,FALSE)</f>
        <v>25</v>
      </c>
      <c r="P1443" s="18" t="str">
        <f>VLOOKUP(E1442,Sales_Reps!$A:$C,3,FALSE)</f>
        <v>East</v>
      </c>
      <c r="Q1443" s="18" t="str">
        <f>TEXT(B1442,"MMM-YY")</f>
        <v>Apr-24</v>
      </c>
      <c r="R1443">
        <f>VLOOKUP(D1443, Products!A:D, 4, FALSE)</f>
        <v>1010</v>
      </c>
      <c r="S1443">
        <f>(G1443-R1443)/G1443</f>
        <v>0.54298642533936647</v>
      </c>
    </row>
    <row r="1444" spans="1:19" ht="14.25" hidden="1" customHeight="1" x14ac:dyDescent="0.3">
      <c r="A1444" s="8" t="s">
        <v>2483</v>
      </c>
      <c r="B1444" s="9">
        <v>45432</v>
      </c>
      <c r="C1444" s="8" t="s">
        <v>525</v>
      </c>
      <c r="D1444" s="8" t="s">
        <v>144</v>
      </c>
      <c r="E1444" s="8" t="s">
        <v>158</v>
      </c>
      <c r="F1444" s="10">
        <v>9</v>
      </c>
      <c r="G1444" s="10">
        <v>370</v>
      </c>
      <c r="H1444" s="10">
        <v>12.4</v>
      </c>
      <c r="I1444" s="10">
        <v>2917.08</v>
      </c>
      <c r="J1444" s="8" t="s">
        <v>41</v>
      </c>
      <c r="K1444" s="8" t="s">
        <v>42</v>
      </c>
      <c r="L1444" s="18" t="str">
        <f>VLOOKUP(D1444,Products!$A:$C,3,FALSE)</f>
        <v>Home</v>
      </c>
      <c r="N1444" s="18" t="str">
        <f>VLOOKUP(C1444,Customers!$A:$E,5,FALSE)</f>
        <v>Retail</v>
      </c>
      <c r="O1444" s="18">
        <f>VLOOKUP(C1444,Customers!$A:$C,3,FALSE)</f>
        <v>57</v>
      </c>
    </row>
    <row r="1445" spans="1:19" ht="14.25" customHeight="1" x14ac:dyDescent="0.3">
      <c r="A1445" s="8" t="s">
        <v>2484</v>
      </c>
      <c r="B1445" s="21">
        <v>45453</v>
      </c>
      <c r="C1445" s="8" t="s">
        <v>556</v>
      </c>
      <c r="D1445" s="8" t="s">
        <v>964</v>
      </c>
      <c r="E1445" s="8" t="s">
        <v>196</v>
      </c>
      <c r="F1445" s="10">
        <v>3</v>
      </c>
      <c r="G1445" s="10">
        <v>3780</v>
      </c>
      <c r="H1445" s="10">
        <v>8.5</v>
      </c>
      <c r="I1445" s="10">
        <v>10376.1</v>
      </c>
      <c r="J1445" s="8" t="s">
        <v>97</v>
      </c>
      <c r="K1445" s="8" t="s">
        <v>98</v>
      </c>
      <c r="L1445" s="18" t="str">
        <f>VLOOKUP(D1445,Products!$A:$C,3,FALSE)</f>
        <v>Sports</v>
      </c>
      <c r="N1445" s="18" t="str">
        <f>VLOOKUP(C1445,Customers!$A:$E,5,FALSE)</f>
        <v>Retail</v>
      </c>
      <c r="O1445" s="18">
        <f>VLOOKUP(C1445,Customers!$A:$C,3,FALSE)</f>
        <v>24</v>
      </c>
      <c r="P1445" s="18" t="str">
        <f>VLOOKUP(E1444,Sales_Reps!$A:$C,3,FALSE)</f>
        <v>East</v>
      </c>
      <c r="Q1445" s="18" t="str">
        <f t="shared" ref="Q1445:Q1446" si="284">TEXT(B1444,"MMM-YY")</f>
        <v>May-24</v>
      </c>
      <c r="R1445">
        <f>VLOOKUP(D1445, Products!A:D, 4, FALSE)</f>
        <v>1860</v>
      </c>
      <c r="S1445">
        <f t="shared" ref="S1445:S1446" si="285">(G1445-R1445)/G1445</f>
        <v>0.50793650793650791</v>
      </c>
    </row>
    <row r="1446" spans="1:19" ht="14.25" customHeight="1" x14ac:dyDescent="0.3">
      <c r="A1446" s="8" t="s">
        <v>1000</v>
      </c>
      <c r="B1446" s="21">
        <v>45397</v>
      </c>
      <c r="C1446" s="8" t="s">
        <v>575</v>
      </c>
      <c r="D1446" s="8" t="s">
        <v>260</v>
      </c>
      <c r="E1446" s="8" t="s">
        <v>261</v>
      </c>
      <c r="F1446" s="10">
        <v>2</v>
      </c>
      <c r="G1446" s="10">
        <v>1010</v>
      </c>
      <c r="H1446" s="10">
        <v>2.7</v>
      </c>
      <c r="I1446" s="10">
        <v>1965.46</v>
      </c>
      <c r="J1446" s="8" t="s">
        <v>41</v>
      </c>
      <c r="K1446" s="8" t="s">
        <v>178</v>
      </c>
      <c r="L1446" s="18" t="str">
        <f>VLOOKUP(D1446,Products!$A:$C,3,FALSE)</f>
        <v>Sports</v>
      </c>
      <c r="N1446" s="18" t="str">
        <f>VLOOKUP(C1446,Customers!$A:$E,5,FALSE)</f>
        <v>Retail</v>
      </c>
      <c r="O1446" s="18">
        <f>VLOOKUP(C1446,Customers!$A:$C,3,FALSE)</f>
        <v>22</v>
      </c>
      <c r="P1446" s="18" t="str">
        <f>VLOOKUP(E1445,Sales_Reps!$A:$C,3,FALSE)</f>
        <v>East</v>
      </c>
      <c r="Q1446" s="18" t="str">
        <f t="shared" si="284"/>
        <v>Jun-24</v>
      </c>
      <c r="R1446">
        <f>VLOOKUP(D1446, Products!A:D, 4, FALSE)</f>
        <v>516</v>
      </c>
      <c r="S1446">
        <f t="shared" si="285"/>
        <v>0.4891089108910891</v>
      </c>
    </row>
    <row r="1447" spans="1:19" ht="14.25" hidden="1" customHeight="1" x14ac:dyDescent="0.3">
      <c r="A1447" s="8" t="s">
        <v>2485</v>
      </c>
      <c r="B1447" s="9">
        <v>45639</v>
      </c>
      <c r="C1447" s="8" t="s">
        <v>761</v>
      </c>
      <c r="D1447" s="8" t="s">
        <v>95</v>
      </c>
      <c r="E1447" s="8" t="s">
        <v>189</v>
      </c>
      <c r="F1447" s="10">
        <v>2</v>
      </c>
      <c r="G1447" s="10">
        <v>820</v>
      </c>
      <c r="H1447" s="10">
        <v>13.2</v>
      </c>
      <c r="I1447" s="10">
        <v>1423.52</v>
      </c>
      <c r="J1447" s="8" t="s">
        <v>97</v>
      </c>
      <c r="K1447" s="8" t="s">
        <v>136</v>
      </c>
      <c r="L1447" s="18" t="str">
        <f>VLOOKUP(D1447,Products!$A:$C,3,FALSE)</f>
        <v>Apparel</v>
      </c>
      <c r="N1447" s="18" t="str">
        <f>VLOOKUP(C1447,Customers!$A:$E,5,FALSE)</f>
        <v>Retail</v>
      </c>
      <c r="O1447" s="18">
        <f>VLOOKUP(C1447,Customers!$A:$C,3,FALSE)</f>
        <v>61</v>
      </c>
    </row>
    <row r="1448" spans="1:19" ht="14.25" customHeight="1" x14ac:dyDescent="0.3">
      <c r="A1448" s="8" t="s">
        <v>2486</v>
      </c>
      <c r="B1448" s="21">
        <v>45482</v>
      </c>
      <c r="C1448" s="8" t="s">
        <v>623</v>
      </c>
      <c r="D1448" s="8" t="s">
        <v>124</v>
      </c>
      <c r="E1448" s="8" t="s">
        <v>189</v>
      </c>
      <c r="F1448" s="10">
        <v>1</v>
      </c>
      <c r="G1448" s="10">
        <v>3660</v>
      </c>
      <c r="H1448" s="10">
        <v>14</v>
      </c>
      <c r="I1448" s="10">
        <v>3147.6</v>
      </c>
      <c r="J1448" s="8" t="s">
        <v>193</v>
      </c>
      <c r="K1448" s="8" t="s">
        <v>42</v>
      </c>
      <c r="L1448" s="18" t="str">
        <f>VLOOKUP(D1448,Products!$A:$C,3,FALSE)</f>
        <v>Grocery</v>
      </c>
      <c r="N1448" s="18" t="str">
        <f>VLOOKUP(C1448,Customers!$A:$E,5,FALSE)</f>
        <v>SMB</v>
      </c>
      <c r="O1448" s="18">
        <f>VLOOKUP(C1448,Customers!$A:$C,3,FALSE)</f>
        <v>29</v>
      </c>
      <c r="P1448" s="18" t="str">
        <f>VLOOKUP(E1447,Sales_Reps!$A:$C,3,FALSE)</f>
        <v>South</v>
      </c>
      <c r="Q1448" s="18" t="str">
        <f t="shared" ref="Q1448:Q1449" si="286">TEXT(B1447,"MMM-YY")</f>
        <v>Dec-24</v>
      </c>
      <c r="R1448">
        <f>VLOOKUP(D1448, Products!A:D, 4, FALSE)</f>
        <v>2214</v>
      </c>
      <c r="S1448">
        <f t="shared" ref="S1448:S1449" si="287">(G1448-R1448)/G1448</f>
        <v>0.39508196721311473</v>
      </c>
    </row>
    <row r="1449" spans="1:19" ht="14.25" customHeight="1" x14ac:dyDescent="0.3">
      <c r="A1449" s="8" t="s">
        <v>2487</v>
      </c>
      <c r="B1449" s="21">
        <v>45447</v>
      </c>
      <c r="C1449" s="8" t="s">
        <v>568</v>
      </c>
      <c r="D1449" s="8" t="s">
        <v>691</v>
      </c>
      <c r="E1449" s="8" t="s">
        <v>121</v>
      </c>
      <c r="F1449" s="10">
        <v>6</v>
      </c>
      <c r="G1449" s="10">
        <v>2270</v>
      </c>
      <c r="H1449" s="10">
        <v>16</v>
      </c>
      <c r="I1449" s="10">
        <v>11440.8</v>
      </c>
      <c r="J1449" s="8" t="s">
        <v>41</v>
      </c>
      <c r="K1449" s="8" t="s">
        <v>98</v>
      </c>
      <c r="L1449" s="18" t="str">
        <f>VLOOKUP(D1449,Products!$A:$C,3,FALSE)</f>
        <v>Grocery</v>
      </c>
      <c r="N1449" s="18" t="str">
        <f>VLOOKUP(C1449,Customers!$A:$E,5,FALSE)</f>
        <v>Retail</v>
      </c>
      <c r="O1449" s="18">
        <f>VLOOKUP(C1449,Customers!$A:$C,3,FALSE)</f>
        <v>37</v>
      </c>
      <c r="P1449" s="18" t="str">
        <f>VLOOKUP(E1448,Sales_Reps!$A:$C,3,FALSE)</f>
        <v>South</v>
      </c>
      <c r="Q1449" s="18" t="str">
        <f t="shared" si="286"/>
        <v>Jul-24</v>
      </c>
      <c r="R1449">
        <f>VLOOKUP(D1449, Products!A:D, 4, FALSE)</f>
        <v>1412</v>
      </c>
      <c r="S1449">
        <f t="shared" si="287"/>
        <v>0.37797356828193834</v>
      </c>
    </row>
    <row r="1450" spans="1:19" ht="14.25" hidden="1" customHeight="1" x14ac:dyDescent="0.3">
      <c r="A1450" s="8" t="s">
        <v>2488</v>
      </c>
      <c r="B1450" s="9">
        <v>45598</v>
      </c>
      <c r="C1450" s="8" t="s">
        <v>555</v>
      </c>
      <c r="D1450" s="8" t="s">
        <v>949</v>
      </c>
      <c r="E1450" s="8" t="s">
        <v>158</v>
      </c>
      <c r="F1450" s="10">
        <v>7</v>
      </c>
      <c r="G1450" s="10">
        <v>960</v>
      </c>
      <c r="H1450" s="10">
        <v>28.8</v>
      </c>
      <c r="I1450" s="10">
        <v>4784.6400000000003</v>
      </c>
      <c r="J1450" s="8" t="s">
        <v>193</v>
      </c>
      <c r="K1450" s="8" t="s">
        <v>146</v>
      </c>
      <c r="L1450" s="18" t="str">
        <f>VLOOKUP(D1450,Products!$A:$C,3,FALSE)</f>
        <v>Beauty</v>
      </c>
      <c r="N1450" s="18" t="str">
        <f>VLOOKUP(C1450,Customers!$A:$E,5,FALSE)</f>
        <v>Retail</v>
      </c>
      <c r="O1450" s="18">
        <f>VLOOKUP(C1450,Customers!$A:$C,3,FALSE)</f>
        <v>41</v>
      </c>
    </row>
    <row r="1451" spans="1:19" ht="14.25" hidden="1" customHeight="1" x14ac:dyDescent="0.3">
      <c r="A1451" s="8" t="s">
        <v>2489</v>
      </c>
      <c r="B1451" s="9">
        <v>45645</v>
      </c>
      <c r="C1451" s="8" t="s">
        <v>583</v>
      </c>
      <c r="D1451" s="8" t="s">
        <v>924</v>
      </c>
      <c r="E1451" s="8" t="s">
        <v>145</v>
      </c>
      <c r="F1451" s="10">
        <v>9</v>
      </c>
      <c r="G1451" s="10">
        <v>2030</v>
      </c>
      <c r="H1451" s="10">
        <v>3.4</v>
      </c>
      <c r="I1451" s="10">
        <v>17648.82</v>
      </c>
      <c r="J1451" s="8" t="s">
        <v>41</v>
      </c>
      <c r="K1451" s="8" t="s">
        <v>42</v>
      </c>
      <c r="L1451" s="18" t="str">
        <f>VLOOKUP(D1451,Products!$A:$C,3,FALSE)</f>
        <v>Home</v>
      </c>
      <c r="N1451" s="18" t="str">
        <f>VLOOKUP(C1451,Customers!$A:$E,5,FALSE)</f>
        <v>SMB</v>
      </c>
      <c r="O1451" s="18">
        <f>VLOOKUP(C1451,Customers!$A:$C,3,FALSE)</f>
        <v>53</v>
      </c>
    </row>
    <row r="1452" spans="1:19" ht="14.25" hidden="1" customHeight="1" x14ac:dyDescent="0.3">
      <c r="A1452" s="8" t="s">
        <v>2490</v>
      </c>
      <c r="B1452" s="9">
        <v>45299</v>
      </c>
      <c r="C1452" s="8" t="s">
        <v>388</v>
      </c>
      <c r="D1452" s="8" t="s">
        <v>909</v>
      </c>
      <c r="E1452" s="8" t="s">
        <v>96</v>
      </c>
      <c r="F1452" s="10">
        <v>6</v>
      </c>
      <c r="G1452" s="10">
        <v>2380</v>
      </c>
      <c r="H1452" s="10">
        <v>13.2</v>
      </c>
      <c r="I1452" s="10">
        <v>12395.04</v>
      </c>
      <c r="J1452" s="8" t="s">
        <v>41</v>
      </c>
      <c r="K1452" s="8" t="s">
        <v>136</v>
      </c>
      <c r="L1452" s="18" t="str">
        <f>VLOOKUP(D1452,Products!$A:$C,3,FALSE)</f>
        <v>Grocery</v>
      </c>
      <c r="N1452" s="18" t="str">
        <f>VLOOKUP(C1452,Customers!$A:$E,5,FALSE)</f>
        <v>SMB</v>
      </c>
      <c r="O1452" s="18">
        <f>VLOOKUP(C1452,Customers!$A:$C,3,FALSE)</f>
        <v>49</v>
      </c>
    </row>
    <row r="1453" spans="1:19" ht="14.25" hidden="1" customHeight="1" x14ac:dyDescent="0.3">
      <c r="A1453" s="8" t="s">
        <v>2491</v>
      </c>
      <c r="B1453" s="9">
        <v>45308</v>
      </c>
      <c r="C1453" s="8" t="s">
        <v>654</v>
      </c>
      <c r="D1453" s="8" t="s">
        <v>215</v>
      </c>
      <c r="E1453" s="8" t="s">
        <v>214</v>
      </c>
      <c r="F1453" s="10">
        <v>10</v>
      </c>
      <c r="G1453" s="10">
        <v>3450</v>
      </c>
      <c r="H1453" s="10">
        <v>8.6999999999999993</v>
      </c>
      <c r="I1453" s="10">
        <v>31498.5</v>
      </c>
      <c r="J1453" s="8" t="s">
        <v>41</v>
      </c>
      <c r="K1453" s="8" t="s">
        <v>98</v>
      </c>
      <c r="L1453" s="18" t="str">
        <f>VLOOKUP(D1453,Products!$A:$C,3,FALSE)</f>
        <v>Beauty</v>
      </c>
      <c r="N1453" s="18" t="str">
        <f>VLOOKUP(C1453,Customers!$A:$E,5,FALSE)</f>
        <v>SMB</v>
      </c>
      <c r="O1453" s="18">
        <f>VLOOKUP(C1453,Customers!$A:$C,3,FALSE)</f>
        <v>51</v>
      </c>
    </row>
    <row r="1454" spans="1:19" ht="14.25" hidden="1" customHeight="1" x14ac:dyDescent="0.3">
      <c r="A1454" s="8" t="s">
        <v>2492</v>
      </c>
      <c r="B1454" s="9">
        <v>45487</v>
      </c>
      <c r="C1454" s="8" t="s">
        <v>507</v>
      </c>
      <c r="D1454" s="8" t="s">
        <v>949</v>
      </c>
      <c r="E1454" s="8" t="s">
        <v>216</v>
      </c>
      <c r="F1454" s="10">
        <v>6</v>
      </c>
      <c r="G1454" s="10">
        <v>960</v>
      </c>
      <c r="H1454" s="10">
        <v>20.6</v>
      </c>
      <c r="I1454" s="10">
        <v>4573.4399999999996</v>
      </c>
      <c r="J1454" s="8" t="s">
        <v>97</v>
      </c>
      <c r="K1454" s="8" t="s">
        <v>136</v>
      </c>
      <c r="L1454" s="18" t="str">
        <f>VLOOKUP(D1454,Products!$A:$C,3,FALSE)</f>
        <v>Beauty</v>
      </c>
      <c r="N1454" s="18" t="str">
        <f>VLOOKUP(C1454,Customers!$A:$E,5,FALSE)</f>
        <v>Retail</v>
      </c>
      <c r="O1454" s="18">
        <f>VLOOKUP(C1454,Customers!$A:$C,3,FALSE)</f>
        <v>53</v>
      </c>
    </row>
    <row r="1455" spans="1:19" ht="14.25" hidden="1" customHeight="1" x14ac:dyDescent="0.3">
      <c r="A1455" s="8" t="s">
        <v>2493</v>
      </c>
      <c r="B1455" s="9">
        <v>45341</v>
      </c>
      <c r="C1455" s="8" t="s">
        <v>846</v>
      </c>
      <c r="D1455" s="8" t="s">
        <v>901</v>
      </c>
      <c r="E1455" s="8" t="s">
        <v>745</v>
      </c>
      <c r="F1455" s="10">
        <v>10</v>
      </c>
      <c r="G1455" s="10">
        <v>3560</v>
      </c>
      <c r="H1455" s="10">
        <v>1.4</v>
      </c>
      <c r="I1455" s="10">
        <v>35101.599999999999</v>
      </c>
      <c r="J1455" s="8" t="s">
        <v>97</v>
      </c>
      <c r="K1455" s="8" t="s">
        <v>119</v>
      </c>
      <c r="L1455" s="18" t="str">
        <f>VLOOKUP(D1455,Products!$A:$C,3,FALSE)</f>
        <v>Apparel</v>
      </c>
      <c r="N1455" s="18" t="str">
        <f>VLOOKUP(C1455,Customers!$A:$E,5,FALSE)</f>
        <v>Retail</v>
      </c>
      <c r="O1455" s="18">
        <f>VLOOKUP(C1455,Customers!$A:$C,3,FALSE)</f>
        <v>63</v>
      </c>
    </row>
    <row r="1456" spans="1:19" ht="14.25" hidden="1" customHeight="1" x14ac:dyDescent="0.3">
      <c r="A1456" s="8" t="s">
        <v>2494</v>
      </c>
      <c r="B1456" s="9">
        <v>45354</v>
      </c>
      <c r="C1456" s="8" t="s">
        <v>377</v>
      </c>
      <c r="D1456" s="8" t="s">
        <v>239</v>
      </c>
      <c r="E1456" s="8" t="s">
        <v>117</v>
      </c>
      <c r="F1456" s="10">
        <v>4</v>
      </c>
      <c r="G1456" s="10">
        <v>2720</v>
      </c>
      <c r="H1456" s="10">
        <v>19.399999999999999</v>
      </c>
      <c r="I1456" s="10">
        <v>8769.2800000000007</v>
      </c>
      <c r="J1456" s="8" t="s">
        <v>193</v>
      </c>
      <c r="K1456" s="8" t="s">
        <v>119</v>
      </c>
      <c r="L1456" s="18" t="str">
        <f>VLOOKUP(D1456,Products!$A:$C,3,FALSE)</f>
        <v>Apparel</v>
      </c>
      <c r="N1456" s="18" t="str">
        <f>VLOOKUP(C1456,Customers!$A:$E,5,FALSE)</f>
        <v>Retail</v>
      </c>
      <c r="O1456" s="18">
        <f>VLOOKUP(C1456,Customers!$A:$C,3,FALSE)</f>
        <v>53</v>
      </c>
    </row>
    <row r="1457" spans="1:19" ht="14.25" customHeight="1" x14ac:dyDescent="0.3">
      <c r="A1457" s="8" t="s">
        <v>234</v>
      </c>
      <c r="B1457" s="21">
        <v>45458</v>
      </c>
      <c r="C1457" s="8" t="s">
        <v>235</v>
      </c>
      <c r="D1457" s="8" t="s">
        <v>160</v>
      </c>
      <c r="E1457" s="8" t="s">
        <v>236</v>
      </c>
      <c r="F1457" s="10">
        <v>5</v>
      </c>
      <c r="G1457" s="10">
        <v>1220</v>
      </c>
      <c r="H1457" s="10">
        <v>15.6</v>
      </c>
      <c r="I1457" s="10">
        <v>5148.3999999999996</v>
      </c>
      <c r="J1457" s="8" t="s">
        <v>41</v>
      </c>
      <c r="K1457" s="8" t="s">
        <v>178</v>
      </c>
      <c r="L1457" s="18" t="str">
        <f>VLOOKUP(D1457,Products!$A:$C,3,FALSE)</f>
        <v>Electronics</v>
      </c>
      <c r="N1457" s="18" t="str">
        <f>VLOOKUP(C1457,Customers!$A:$E,5,FALSE)</f>
        <v>SMB</v>
      </c>
      <c r="O1457" s="18">
        <f>VLOOKUP(C1457,Customers!$A:$C,3,FALSE)</f>
        <v>29</v>
      </c>
      <c r="P1457" s="18" t="str">
        <f>VLOOKUP(E1456,Sales_Reps!$A:$C,3,FALSE)</f>
        <v>South</v>
      </c>
      <c r="Q1457" s="18" t="str">
        <f t="shared" ref="Q1457:Q1458" si="288">TEXT(B1456,"MMM-YY")</f>
        <v>Mar-24</v>
      </c>
      <c r="R1457">
        <f>VLOOKUP(D1457, Products!A:D, 4, FALSE)</f>
        <v>517</v>
      </c>
      <c r="S1457">
        <f t="shared" ref="S1457:S1458" si="289">(G1457-R1457)/G1457</f>
        <v>0.57622950819672136</v>
      </c>
    </row>
    <row r="1458" spans="1:19" ht="14.25" customHeight="1" x14ac:dyDescent="0.3">
      <c r="A1458" s="8" t="s">
        <v>2495</v>
      </c>
      <c r="B1458" s="21">
        <v>45364</v>
      </c>
      <c r="C1458" s="8" t="s">
        <v>771</v>
      </c>
      <c r="D1458" s="8" t="s">
        <v>929</v>
      </c>
      <c r="E1458" s="8" t="s">
        <v>376</v>
      </c>
      <c r="F1458" s="10">
        <v>5</v>
      </c>
      <c r="G1458" s="10">
        <v>1090</v>
      </c>
      <c r="H1458" s="10">
        <v>15</v>
      </c>
      <c r="I1458" s="10">
        <v>4632.5</v>
      </c>
      <c r="J1458" s="8" t="s">
        <v>41</v>
      </c>
      <c r="K1458" s="8" t="s">
        <v>178</v>
      </c>
      <c r="L1458" s="18" t="str">
        <f>VLOOKUP(D1458,Products!$A:$C,3,FALSE)</f>
        <v>Home</v>
      </c>
      <c r="N1458" s="18" t="str">
        <f>VLOOKUP(C1458,Customers!$A:$E,5,FALSE)</f>
        <v>Retail</v>
      </c>
      <c r="O1458" s="18">
        <f>VLOOKUP(C1458,Customers!$A:$C,3,FALSE)</f>
        <v>27</v>
      </c>
      <c r="P1458" s="18" t="str">
        <f>VLOOKUP(E1457,Sales_Reps!$A:$C,3,FALSE)</f>
        <v>West</v>
      </c>
      <c r="Q1458" s="18" t="str">
        <f t="shared" si="288"/>
        <v>Jun-24</v>
      </c>
      <c r="R1458">
        <f>VLOOKUP(D1458, Products!A:D, 4, FALSE)</f>
        <v>464</v>
      </c>
      <c r="S1458">
        <f t="shared" si="289"/>
        <v>0.57431192660550456</v>
      </c>
    </row>
    <row r="1459" spans="1:19" ht="14.25" hidden="1" customHeight="1" x14ac:dyDescent="0.3">
      <c r="A1459" s="8" t="s">
        <v>2496</v>
      </c>
      <c r="B1459" s="9">
        <v>45618</v>
      </c>
      <c r="C1459" s="8" t="s">
        <v>639</v>
      </c>
      <c r="D1459" s="8" t="s">
        <v>144</v>
      </c>
      <c r="E1459" s="8" t="s">
        <v>236</v>
      </c>
      <c r="F1459" s="10">
        <v>9</v>
      </c>
      <c r="G1459" s="10">
        <v>370</v>
      </c>
      <c r="H1459" s="10">
        <v>25.4</v>
      </c>
      <c r="I1459" s="10">
        <v>2484.1799999999998</v>
      </c>
      <c r="J1459" s="8" t="s">
        <v>41</v>
      </c>
      <c r="K1459" s="8" t="s">
        <v>146</v>
      </c>
      <c r="L1459" s="18" t="str">
        <f>VLOOKUP(D1459,Products!$A:$C,3,FALSE)</f>
        <v>Home</v>
      </c>
      <c r="N1459" s="18" t="str">
        <f>VLOOKUP(C1459,Customers!$A:$E,5,FALSE)</f>
        <v>SMB</v>
      </c>
      <c r="O1459" s="18">
        <f>VLOOKUP(C1459,Customers!$A:$C,3,FALSE)</f>
        <v>54</v>
      </c>
    </row>
    <row r="1460" spans="1:19" ht="14.25" hidden="1" customHeight="1" x14ac:dyDescent="0.3">
      <c r="A1460" s="8" t="s">
        <v>2497</v>
      </c>
      <c r="B1460" s="9">
        <v>45456</v>
      </c>
      <c r="C1460" s="8" t="s">
        <v>451</v>
      </c>
      <c r="D1460" s="8" t="s">
        <v>338</v>
      </c>
      <c r="E1460" s="8" t="s">
        <v>38</v>
      </c>
      <c r="F1460" s="10">
        <v>7</v>
      </c>
      <c r="G1460" s="10">
        <v>2860</v>
      </c>
      <c r="H1460" s="10">
        <v>14</v>
      </c>
      <c r="I1460" s="10">
        <v>17217.2</v>
      </c>
      <c r="J1460" s="8" t="s">
        <v>41</v>
      </c>
      <c r="K1460" s="8" t="s">
        <v>146</v>
      </c>
      <c r="L1460" s="18" t="str">
        <f>VLOOKUP(D1460,Products!$A:$C,3,FALSE)</f>
        <v>Sports</v>
      </c>
      <c r="N1460" s="18" t="str">
        <f>VLOOKUP(C1460,Customers!$A:$E,5,FALSE)</f>
        <v>SMB</v>
      </c>
      <c r="O1460" s="18">
        <f>VLOOKUP(C1460,Customers!$A:$C,3,FALSE)</f>
        <v>43</v>
      </c>
    </row>
    <row r="1461" spans="1:19" ht="14.25" customHeight="1" x14ac:dyDescent="0.3">
      <c r="A1461" s="8" t="s">
        <v>2498</v>
      </c>
      <c r="B1461" s="21">
        <v>45490</v>
      </c>
      <c r="C1461" s="8" t="s">
        <v>384</v>
      </c>
      <c r="D1461" s="8" t="s">
        <v>918</v>
      </c>
      <c r="E1461" s="8" t="s">
        <v>376</v>
      </c>
      <c r="F1461" s="10">
        <v>1</v>
      </c>
      <c r="G1461" s="10">
        <v>2210</v>
      </c>
      <c r="H1461" s="10">
        <v>1.7</v>
      </c>
      <c r="I1461" s="10">
        <v>2172.4299999999998</v>
      </c>
      <c r="J1461" s="8" t="s">
        <v>41</v>
      </c>
      <c r="K1461" s="8" t="s">
        <v>136</v>
      </c>
      <c r="L1461" s="18" t="str">
        <f>VLOOKUP(D1461,Products!$A:$C,3,FALSE)</f>
        <v>Grocery</v>
      </c>
      <c r="N1461" s="18" t="str">
        <f>VLOOKUP(C1461,Customers!$A:$E,5,FALSE)</f>
        <v>Corporate</v>
      </c>
      <c r="O1461" s="18">
        <f>VLOOKUP(C1461,Customers!$A:$C,3,FALSE)</f>
        <v>26</v>
      </c>
      <c r="P1461" s="18" t="str">
        <f>VLOOKUP(E1460,Sales_Reps!$A:$C,3,FALSE)</f>
        <v>North</v>
      </c>
      <c r="Q1461" s="18" t="str">
        <f t="shared" ref="Q1461:Q1463" si="290">TEXT(B1460,"MMM-YY")</f>
        <v>Jun-24</v>
      </c>
      <c r="R1461">
        <f>VLOOKUP(D1461, Products!A:D, 4, FALSE)</f>
        <v>1010</v>
      </c>
      <c r="S1461">
        <f t="shared" ref="S1461:S1463" si="291">(G1461-R1461)/G1461</f>
        <v>0.54298642533936647</v>
      </c>
    </row>
    <row r="1462" spans="1:19" ht="14.25" customHeight="1" x14ac:dyDescent="0.3">
      <c r="A1462" s="8" t="s">
        <v>2499</v>
      </c>
      <c r="B1462" s="21">
        <v>45584</v>
      </c>
      <c r="C1462" s="8" t="s">
        <v>118</v>
      </c>
      <c r="D1462" s="8" t="s">
        <v>171</v>
      </c>
      <c r="E1462" s="8" t="s">
        <v>145</v>
      </c>
      <c r="F1462" s="10">
        <v>3</v>
      </c>
      <c r="G1462" s="10">
        <v>970</v>
      </c>
      <c r="H1462" s="10">
        <v>20.3</v>
      </c>
      <c r="I1462" s="10">
        <v>2319.27</v>
      </c>
      <c r="J1462" s="8" t="s">
        <v>97</v>
      </c>
      <c r="K1462" s="8" t="s">
        <v>42</v>
      </c>
      <c r="L1462" s="18" t="str">
        <f>VLOOKUP(D1462,Products!$A:$C,3,FALSE)</f>
        <v>Grocery</v>
      </c>
      <c r="N1462" s="18" t="str">
        <f>VLOOKUP(C1462,Customers!$A:$E,5,FALSE)</f>
        <v>SMB</v>
      </c>
      <c r="O1462" s="18">
        <f>VLOOKUP(C1462,Customers!$A:$C,3,FALSE)</f>
        <v>24</v>
      </c>
      <c r="P1462" s="18" t="str">
        <f>VLOOKUP(E1461,Sales_Reps!$A:$C,3,FALSE)</f>
        <v>West</v>
      </c>
      <c r="Q1462" s="18" t="str">
        <f t="shared" si="290"/>
        <v>Jul-24</v>
      </c>
      <c r="R1462">
        <f>VLOOKUP(D1462, Products!A:D, 4, FALSE)</f>
        <v>434</v>
      </c>
      <c r="S1462">
        <f t="shared" si="291"/>
        <v>0.5525773195876289</v>
      </c>
    </row>
    <row r="1463" spans="1:19" ht="14.25" customHeight="1" x14ac:dyDescent="0.3">
      <c r="A1463" s="8" t="s">
        <v>2500</v>
      </c>
      <c r="B1463" s="21">
        <v>45476</v>
      </c>
      <c r="C1463" s="8" t="s">
        <v>778</v>
      </c>
      <c r="D1463" s="8" t="s">
        <v>901</v>
      </c>
      <c r="E1463" s="8" t="s">
        <v>216</v>
      </c>
      <c r="F1463" s="10">
        <v>5</v>
      </c>
      <c r="G1463" s="10">
        <v>3560</v>
      </c>
      <c r="H1463" s="10">
        <v>17.100000000000001</v>
      </c>
      <c r="I1463" s="10">
        <v>14756.2</v>
      </c>
      <c r="J1463" s="8" t="s">
        <v>41</v>
      </c>
      <c r="K1463" s="8" t="s">
        <v>136</v>
      </c>
      <c r="L1463" s="18" t="str">
        <f>VLOOKUP(D1463,Products!$A:$C,3,FALSE)</f>
        <v>Apparel</v>
      </c>
      <c r="N1463" s="18" t="str">
        <f>VLOOKUP(C1463,Customers!$A:$E,5,FALSE)</f>
        <v>Retail</v>
      </c>
      <c r="O1463" s="18">
        <f>VLOOKUP(C1463,Customers!$A:$C,3,FALSE)</f>
        <v>27</v>
      </c>
      <c r="P1463" s="18" t="str">
        <f>VLOOKUP(E1462,Sales_Reps!$A:$C,3,FALSE)</f>
        <v>West</v>
      </c>
      <c r="Q1463" s="18" t="str">
        <f t="shared" si="290"/>
        <v>Oct-24</v>
      </c>
      <c r="R1463">
        <f>VLOOKUP(D1463, Products!A:D, 4, FALSE)</f>
        <v>2629</v>
      </c>
      <c r="S1463">
        <f t="shared" si="291"/>
        <v>0.26151685393258428</v>
      </c>
    </row>
    <row r="1464" spans="1:19" ht="14.25" hidden="1" customHeight="1" x14ac:dyDescent="0.3">
      <c r="A1464" s="8" t="s">
        <v>2501</v>
      </c>
      <c r="B1464" s="9">
        <v>45387</v>
      </c>
      <c r="C1464" s="8" t="s">
        <v>319</v>
      </c>
      <c r="D1464" s="8" t="s">
        <v>224</v>
      </c>
      <c r="E1464" s="8" t="s">
        <v>208</v>
      </c>
      <c r="F1464" s="10">
        <v>10</v>
      </c>
      <c r="G1464" s="10">
        <v>1080</v>
      </c>
      <c r="H1464" s="10">
        <v>12.8</v>
      </c>
      <c r="I1464" s="10">
        <v>9417.6</v>
      </c>
      <c r="J1464" s="8" t="s">
        <v>41</v>
      </c>
      <c r="K1464" s="8" t="s">
        <v>178</v>
      </c>
      <c r="L1464" s="18" t="str">
        <f>VLOOKUP(D1464,Products!$A:$C,3,FALSE)</f>
        <v>Home</v>
      </c>
      <c r="N1464" s="18" t="str">
        <f>VLOOKUP(C1464,Customers!$A:$E,5,FALSE)</f>
        <v>Corporate</v>
      </c>
      <c r="O1464" s="18">
        <f>VLOOKUP(C1464,Customers!$A:$C,3,FALSE)</f>
        <v>56</v>
      </c>
    </row>
    <row r="1465" spans="1:19" ht="14.25" hidden="1" customHeight="1" x14ac:dyDescent="0.3">
      <c r="A1465" s="8" t="s">
        <v>2502</v>
      </c>
      <c r="B1465" s="9">
        <v>45324</v>
      </c>
      <c r="C1465" s="8" t="s">
        <v>801</v>
      </c>
      <c r="D1465" s="8" t="s">
        <v>160</v>
      </c>
      <c r="E1465" s="8" t="s">
        <v>865</v>
      </c>
      <c r="F1465" s="10">
        <v>3</v>
      </c>
      <c r="G1465" s="10">
        <v>1220</v>
      </c>
      <c r="H1465" s="10">
        <v>1.9</v>
      </c>
      <c r="I1465" s="10">
        <v>3590.46</v>
      </c>
      <c r="J1465" s="8" t="s">
        <v>41</v>
      </c>
      <c r="K1465" s="8" t="s">
        <v>42</v>
      </c>
      <c r="L1465" s="18" t="str">
        <f>VLOOKUP(D1465,Products!$A:$C,3,FALSE)</f>
        <v>Electronics</v>
      </c>
      <c r="N1465" s="18" t="str">
        <f>VLOOKUP(C1465,Customers!$A:$E,5,FALSE)</f>
        <v>Retail</v>
      </c>
      <c r="O1465" s="18">
        <f>VLOOKUP(C1465,Customers!$A:$C,3,FALSE)</f>
        <v>59</v>
      </c>
    </row>
    <row r="1466" spans="1:19" ht="14.25" hidden="1" customHeight="1" x14ac:dyDescent="0.3">
      <c r="A1466" s="8" t="s">
        <v>2503</v>
      </c>
      <c r="B1466" s="9">
        <v>45479</v>
      </c>
      <c r="C1466" s="8" t="s">
        <v>2504</v>
      </c>
      <c r="D1466" s="8" t="s">
        <v>569</v>
      </c>
      <c r="E1466" s="8" t="s">
        <v>214</v>
      </c>
      <c r="F1466" s="10">
        <v>1</v>
      </c>
      <c r="G1466" s="10">
        <v>3730</v>
      </c>
      <c r="H1466" s="10">
        <v>14.7</v>
      </c>
      <c r="I1466" s="10">
        <v>3181.69</v>
      </c>
      <c r="J1466" s="8" t="s">
        <v>97</v>
      </c>
      <c r="K1466" s="8" t="s">
        <v>42</v>
      </c>
      <c r="L1466" s="18" t="str">
        <f>VLOOKUP(D1466,Products!$A:$C,3,FALSE)</f>
        <v>Home</v>
      </c>
      <c r="N1466" s="18" t="e">
        <f>VLOOKUP(C1466,Customers!$A:$E,5,FALSE)</f>
        <v>#N/A</v>
      </c>
      <c r="O1466" s="18" t="e">
        <f>VLOOKUP(C1466,Customers!$A:$C,3,FALSE)</f>
        <v>#N/A</v>
      </c>
    </row>
    <row r="1467" spans="1:19" ht="14.25" hidden="1" customHeight="1" x14ac:dyDescent="0.3">
      <c r="A1467" s="8" t="s">
        <v>2505</v>
      </c>
      <c r="B1467" s="9">
        <v>45628</v>
      </c>
      <c r="C1467" s="8" t="s">
        <v>299</v>
      </c>
      <c r="D1467" s="8" t="s">
        <v>140</v>
      </c>
      <c r="E1467" s="8" t="s">
        <v>231</v>
      </c>
      <c r="F1467" s="10">
        <v>3</v>
      </c>
      <c r="G1467" s="10">
        <v>1430</v>
      </c>
      <c r="H1467" s="10">
        <v>13.2</v>
      </c>
      <c r="I1467" s="10">
        <v>3723.72</v>
      </c>
      <c r="J1467" s="8" t="s">
        <v>41</v>
      </c>
      <c r="K1467" s="8" t="s">
        <v>98</v>
      </c>
      <c r="L1467" s="18" t="str">
        <f>VLOOKUP(D1467,Products!$A:$C,3,FALSE)</f>
        <v>Electronics</v>
      </c>
      <c r="N1467" s="18" t="str">
        <f>VLOOKUP(C1467,Customers!$A:$E,5,FALSE)</f>
        <v>SMB</v>
      </c>
      <c r="O1467" s="18">
        <f>VLOOKUP(C1467,Customers!$A:$C,3,FALSE)</f>
        <v>52</v>
      </c>
    </row>
    <row r="1468" spans="1:19" ht="14.25" hidden="1" customHeight="1" x14ac:dyDescent="0.3">
      <c r="A1468" s="8" t="s">
        <v>2506</v>
      </c>
      <c r="B1468" s="9">
        <v>45413</v>
      </c>
      <c r="C1468" s="8" t="s">
        <v>319</v>
      </c>
      <c r="D1468" s="8" t="s">
        <v>662</v>
      </c>
      <c r="E1468" s="8" t="s">
        <v>167</v>
      </c>
      <c r="F1468" s="10">
        <v>2</v>
      </c>
      <c r="G1468" s="10">
        <v>6080</v>
      </c>
      <c r="H1468" s="10">
        <v>21.8</v>
      </c>
      <c r="I1468" s="10">
        <v>9509.1200000000008</v>
      </c>
      <c r="J1468" s="8" t="s">
        <v>147</v>
      </c>
      <c r="K1468" s="8" t="s">
        <v>178</v>
      </c>
      <c r="L1468" s="18" t="str">
        <f>VLOOKUP(D1468,Products!$A:$C,3,FALSE)</f>
        <v>Beauty</v>
      </c>
      <c r="N1468" s="18" t="str">
        <f>VLOOKUP(C1468,Customers!$A:$E,5,FALSE)</f>
        <v>Corporate</v>
      </c>
      <c r="O1468" s="18">
        <f>VLOOKUP(C1468,Customers!$A:$C,3,FALSE)</f>
        <v>56</v>
      </c>
    </row>
    <row r="1469" spans="1:19" ht="14.25" customHeight="1" x14ac:dyDescent="0.3">
      <c r="A1469" s="8" t="s">
        <v>2507</v>
      </c>
      <c r="B1469" s="21">
        <v>45343</v>
      </c>
      <c r="C1469" s="8" t="s">
        <v>210</v>
      </c>
      <c r="D1469" s="8" t="s">
        <v>320</v>
      </c>
      <c r="E1469" s="8" t="s">
        <v>301</v>
      </c>
      <c r="F1469" s="10">
        <v>9</v>
      </c>
      <c r="G1469" s="10">
        <v>5100</v>
      </c>
      <c r="H1469" s="10">
        <v>29.3</v>
      </c>
      <c r="I1469" s="10">
        <v>32451.3</v>
      </c>
      <c r="J1469" s="8" t="s">
        <v>41</v>
      </c>
      <c r="K1469" s="8" t="s">
        <v>98</v>
      </c>
      <c r="L1469" s="18" t="str">
        <f>VLOOKUP(D1469,Products!$A:$C,3,FALSE)</f>
        <v>Beauty</v>
      </c>
      <c r="N1469" s="18" t="str">
        <f>VLOOKUP(C1469,Customers!$A:$E,5,FALSE)</f>
        <v>Retail</v>
      </c>
      <c r="O1469" s="18">
        <f>VLOOKUP(C1469,Customers!$A:$C,3,FALSE)</f>
        <v>26</v>
      </c>
      <c r="P1469" s="18" t="str">
        <f>VLOOKUP(E1468,Sales_Reps!$A:$C,3,FALSE)</f>
        <v>East</v>
      </c>
      <c r="Q1469" s="18" t="str">
        <f>TEXT(B1468,"MMM-YY")</f>
        <v>May-24</v>
      </c>
      <c r="R1469">
        <f>VLOOKUP(D1469, Products!A:D, 4, FALSE)</f>
        <v>2237</v>
      </c>
      <c r="S1469">
        <f>(G1469-R1469)/G1469</f>
        <v>0.56137254901960787</v>
      </c>
    </row>
    <row r="1470" spans="1:19" ht="14.25" hidden="1" customHeight="1" x14ac:dyDescent="0.3">
      <c r="A1470" s="8" t="s">
        <v>2508</v>
      </c>
      <c r="B1470" s="9">
        <v>45424</v>
      </c>
      <c r="C1470" s="8" t="s">
        <v>451</v>
      </c>
      <c r="D1470" s="8" t="s">
        <v>889</v>
      </c>
      <c r="E1470" s="8" t="s">
        <v>117</v>
      </c>
      <c r="F1470" s="10">
        <v>5</v>
      </c>
      <c r="G1470" s="10">
        <v>3450</v>
      </c>
      <c r="H1470" s="10">
        <v>5.3</v>
      </c>
      <c r="I1470" s="10">
        <v>16335.75</v>
      </c>
      <c r="J1470" s="8" t="s">
        <v>41</v>
      </c>
      <c r="K1470" s="8" t="s">
        <v>146</v>
      </c>
      <c r="L1470" s="18" t="str">
        <f>VLOOKUP(D1470,Products!$A:$C,3,FALSE)</f>
        <v>Apparel</v>
      </c>
      <c r="N1470" s="18" t="str">
        <f>VLOOKUP(C1470,Customers!$A:$E,5,FALSE)</f>
        <v>SMB</v>
      </c>
      <c r="O1470" s="18">
        <f>VLOOKUP(C1470,Customers!$A:$C,3,FALSE)</f>
        <v>43</v>
      </c>
    </row>
    <row r="1471" spans="1:19" ht="14.25" hidden="1" customHeight="1" x14ac:dyDescent="0.3">
      <c r="A1471" s="8" t="s">
        <v>2509</v>
      </c>
      <c r="B1471" s="9">
        <v>45632</v>
      </c>
      <c r="C1471" s="8" t="s">
        <v>580</v>
      </c>
      <c r="D1471" s="8" t="s">
        <v>211</v>
      </c>
      <c r="E1471" s="8" t="s">
        <v>261</v>
      </c>
      <c r="F1471" s="10">
        <v>6</v>
      </c>
      <c r="G1471" s="10">
        <v>3570</v>
      </c>
      <c r="H1471" s="10">
        <v>17.3</v>
      </c>
      <c r="I1471" s="10">
        <v>17714.34</v>
      </c>
      <c r="J1471" s="8" t="s">
        <v>41</v>
      </c>
      <c r="K1471" s="8" t="s">
        <v>178</v>
      </c>
      <c r="L1471" s="18" t="str">
        <f>VLOOKUP(D1471,Products!$A:$C,3,FALSE)</f>
        <v>Electronics</v>
      </c>
      <c r="N1471" s="18" t="str">
        <f>VLOOKUP(C1471,Customers!$A:$E,5,FALSE)</f>
        <v>Retail</v>
      </c>
      <c r="O1471" s="18">
        <f>VLOOKUP(C1471,Customers!$A:$C,3,FALSE)</f>
        <v>44</v>
      </c>
    </row>
    <row r="1472" spans="1:19" ht="14.25" customHeight="1" x14ac:dyDescent="0.3">
      <c r="A1472" s="8" t="s">
        <v>2510</v>
      </c>
      <c r="B1472" s="21">
        <v>45444</v>
      </c>
      <c r="C1472" s="8" t="s">
        <v>605</v>
      </c>
      <c r="D1472" s="8" t="s">
        <v>569</v>
      </c>
      <c r="E1472" s="8" t="s">
        <v>167</v>
      </c>
      <c r="F1472" s="10">
        <v>6</v>
      </c>
      <c r="G1472" s="10">
        <v>3730</v>
      </c>
      <c r="H1472" s="10">
        <v>1</v>
      </c>
      <c r="I1472" s="10">
        <v>22156.2</v>
      </c>
      <c r="J1472" s="8" t="s">
        <v>41</v>
      </c>
      <c r="K1472" s="8" t="s">
        <v>98</v>
      </c>
      <c r="L1472" s="18" t="str">
        <f>VLOOKUP(D1472,Products!$A:$C,3,FALSE)</f>
        <v>Home</v>
      </c>
      <c r="N1472" s="18" t="str">
        <f>VLOOKUP(C1472,Customers!$A:$E,5,FALSE)</f>
        <v>Retail</v>
      </c>
      <c r="O1472" s="18">
        <f>VLOOKUP(C1472,Customers!$A:$C,3,FALSE)</f>
        <v>38</v>
      </c>
      <c r="P1472" s="18" t="str">
        <f>VLOOKUP(E1471,Sales_Reps!$A:$C,3,FALSE)</f>
        <v>North</v>
      </c>
      <c r="Q1472" s="18" t="str">
        <f>TEXT(B1471,"MMM-YY")</f>
        <v>Dec-24</v>
      </c>
      <c r="R1472">
        <f>VLOOKUP(D1472, Products!A:D, 4, FALSE)</f>
        <v>2135</v>
      </c>
      <c r="S1472">
        <f>(G1472-R1472)/G1472</f>
        <v>0.42761394101876676</v>
      </c>
    </row>
    <row r="1473" spans="1:19" ht="14.25" hidden="1" customHeight="1" x14ac:dyDescent="0.3">
      <c r="A1473" s="8" t="s">
        <v>2511</v>
      </c>
      <c r="B1473" s="9">
        <v>45545</v>
      </c>
      <c r="C1473" s="8" t="s">
        <v>302</v>
      </c>
      <c r="D1473" s="8" t="s">
        <v>964</v>
      </c>
      <c r="E1473" s="8" t="s">
        <v>158</v>
      </c>
      <c r="F1473" s="10">
        <v>4</v>
      </c>
      <c r="G1473" s="10">
        <v>3780</v>
      </c>
      <c r="H1473" s="10">
        <v>13.1</v>
      </c>
      <c r="I1473" s="10">
        <v>13139.28</v>
      </c>
      <c r="J1473" s="8" t="s">
        <v>41</v>
      </c>
      <c r="K1473" s="8" t="s">
        <v>136</v>
      </c>
      <c r="L1473" s="18" t="str">
        <f>VLOOKUP(D1473,Products!$A:$C,3,FALSE)</f>
        <v>Sports</v>
      </c>
      <c r="N1473" s="18" t="str">
        <f>VLOOKUP(C1473,Customers!$A:$E,5,FALSE)</f>
        <v>Corporate</v>
      </c>
      <c r="O1473" s="18">
        <f>VLOOKUP(C1473,Customers!$A:$C,3,FALSE)</f>
        <v>55</v>
      </c>
    </row>
    <row r="1474" spans="1:19" ht="14.25" hidden="1" customHeight="1" x14ac:dyDescent="0.3">
      <c r="A1474" s="8" t="s">
        <v>2512</v>
      </c>
      <c r="B1474" s="9">
        <v>45511</v>
      </c>
      <c r="C1474" s="8" t="s">
        <v>620</v>
      </c>
      <c r="D1474" s="8" t="s">
        <v>898</v>
      </c>
      <c r="E1474" s="8" t="s">
        <v>865</v>
      </c>
      <c r="F1474" s="10">
        <v>1</v>
      </c>
      <c r="G1474" s="10">
        <v>2510</v>
      </c>
      <c r="H1474" s="10">
        <v>27.8</v>
      </c>
      <c r="I1474" s="10">
        <v>1812.22</v>
      </c>
      <c r="J1474" s="8" t="s">
        <v>147</v>
      </c>
      <c r="K1474" s="8" t="s">
        <v>136</v>
      </c>
      <c r="L1474" s="18" t="str">
        <f>VLOOKUP(D1474,Products!$A:$C,3,FALSE)</f>
        <v>Apparel</v>
      </c>
      <c r="N1474" s="18" t="str">
        <f>VLOOKUP(C1474,Customers!$A:$E,5,FALSE)</f>
        <v>SMB</v>
      </c>
      <c r="O1474" s="18">
        <f>VLOOKUP(C1474,Customers!$A:$C,3,FALSE)</f>
        <v>42</v>
      </c>
    </row>
    <row r="1475" spans="1:19" ht="14.25" hidden="1" customHeight="1" x14ac:dyDescent="0.3">
      <c r="A1475" s="8" t="s">
        <v>2513</v>
      </c>
      <c r="B1475" s="9">
        <v>45577</v>
      </c>
      <c r="C1475" s="8" t="s">
        <v>846</v>
      </c>
      <c r="D1475" s="8" t="s">
        <v>389</v>
      </c>
      <c r="E1475" s="8" t="s">
        <v>38</v>
      </c>
      <c r="F1475" s="10">
        <v>9</v>
      </c>
      <c r="G1475" s="10">
        <v>660</v>
      </c>
      <c r="H1475" s="10">
        <v>29.3</v>
      </c>
      <c r="I1475" s="10">
        <v>4199.58</v>
      </c>
      <c r="J1475" s="8" t="s">
        <v>41</v>
      </c>
      <c r="K1475" s="8" t="s">
        <v>119</v>
      </c>
      <c r="L1475" s="18" t="str">
        <f>VLOOKUP(D1475,Products!$A:$C,3,FALSE)</f>
        <v>Home</v>
      </c>
      <c r="N1475" s="18" t="str">
        <f>VLOOKUP(C1475,Customers!$A:$E,5,FALSE)</f>
        <v>Retail</v>
      </c>
      <c r="O1475" s="18">
        <f>VLOOKUP(C1475,Customers!$A:$C,3,FALSE)</f>
        <v>63</v>
      </c>
    </row>
    <row r="1476" spans="1:19" ht="14.25" customHeight="1" x14ac:dyDescent="0.3">
      <c r="A1476" s="8" t="s">
        <v>2514</v>
      </c>
      <c r="B1476" s="21">
        <v>45507</v>
      </c>
      <c r="C1476" s="8" t="s">
        <v>596</v>
      </c>
      <c r="D1476" s="8" t="s">
        <v>644</v>
      </c>
      <c r="E1476" s="8" t="s">
        <v>143</v>
      </c>
      <c r="F1476" s="10">
        <v>7</v>
      </c>
      <c r="G1476" s="10">
        <v>3640</v>
      </c>
      <c r="H1476" s="10">
        <v>11.6</v>
      </c>
      <c r="I1476" s="10">
        <v>22524.32</v>
      </c>
      <c r="J1476" s="8" t="s">
        <v>41</v>
      </c>
      <c r="K1476" s="8" t="s">
        <v>146</v>
      </c>
      <c r="L1476" s="18" t="str">
        <f>VLOOKUP(D1476,Products!$A:$C,3,FALSE)</f>
        <v>Apparel</v>
      </c>
      <c r="N1476" s="18" t="str">
        <f>VLOOKUP(C1476,Customers!$A:$E,5,FALSE)</f>
        <v>Retail</v>
      </c>
      <c r="O1476" s="18">
        <f>VLOOKUP(C1476,Customers!$A:$C,3,FALSE)</f>
        <v>33</v>
      </c>
      <c r="P1476" s="18" t="str">
        <f>VLOOKUP(E1475,Sales_Reps!$A:$C,3,FALSE)</f>
        <v>North</v>
      </c>
      <c r="Q1476" s="18" t="str">
        <f>TEXT(B1475,"MMM-YY")</f>
        <v>Oct-24</v>
      </c>
      <c r="R1476">
        <f>VLOOKUP(D1476, Products!A:D, 4, FALSE)</f>
        <v>2611</v>
      </c>
      <c r="S1476">
        <f>(G1476-R1476)/G1476</f>
        <v>0.28269230769230769</v>
      </c>
    </row>
    <row r="1477" spans="1:19" ht="14.25" hidden="1" customHeight="1" x14ac:dyDescent="0.3">
      <c r="A1477" s="8" t="s">
        <v>2515</v>
      </c>
      <c r="B1477" s="9">
        <v>45415</v>
      </c>
      <c r="C1477" s="8" t="s">
        <v>264</v>
      </c>
      <c r="D1477" s="8" t="s">
        <v>954</v>
      </c>
      <c r="E1477" s="8" t="s">
        <v>158</v>
      </c>
      <c r="F1477" s="10">
        <v>8</v>
      </c>
      <c r="G1477" s="10">
        <v>5410</v>
      </c>
      <c r="H1477" s="10">
        <v>25.6</v>
      </c>
      <c r="I1477" s="10">
        <v>32200.32</v>
      </c>
      <c r="J1477" s="8" t="s">
        <v>41</v>
      </c>
      <c r="K1477" s="8" t="s">
        <v>98</v>
      </c>
      <c r="L1477" s="18" t="str">
        <f>VLOOKUP(D1477,Products!$A:$C,3,FALSE)</f>
        <v>Sports</v>
      </c>
      <c r="N1477" s="18" t="str">
        <f>VLOOKUP(C1477,Customers!$A:$E,5,FALSE)</f>
        <v>Corporate</v>
      </c>
      <c r="O1477" s="18">
        <f>VLOOKUP(C1477,Customers!$A:$C,3,FALSE)</f>
        <v>52</v>
      </c>
    </row>
    <row r="1478" spans="1:19" ht="14.25" customHeight="1" x14ac:dyDescent="0.3">
      <c r="A1478" s="8" t="s">
        <v>2516</v>
      </c>
      <c r="B1478" s="21">
        <v>45342</v>
      </c>
      <c r="C1478" s="8" t="s">
        <v>694</v>
      </c>
      <c r="D1478" s="8" t="s">
        <v>205</v>
      </c>
      <c r="E1478" s="8" t="s">
        <v>135</v>
      </c>
      <c r="F1478" s="10">
        <v>4</v>
      </c>
      <c r="G1478" s="10">
        <v>2400</v>
      </c>
      <c r="H1478" s="10">
        <v>10.4</v>
      </c>
      <c r="I1478" s="10">
        <v>8601.6</v>
      </c>
      <c r="J1478" s="8" t="s">
        <v>41</v>
      </c>
      <c r="K1478" s="8" t="s">
        <v>146</v>
      </c>
      <c r="L1478" s="18" t="str">
        <f>VLOOKUP(D1478,Products!$A:$C,3,FALSE)</f>
        <v>Sports</v>
      </c>
      <c r="N1478" s="18" t="str">
        <f>VLOOKUP(C1478,Customers!$A:$E,5,FALSE)</f>
        <v>Retail</v>
      </c>
      <c r="O1478" s="18">
        <f>VLOOKUP(C1478,Customers!$A:$C,3,FALSE)</f>
        <v>40</v>
      </c>
      <c r="P1478" s="18" t="str">
        <f>VLOOKUP(E1477,Sales_Reps!$A:$C,3,FALSE)</f>
        <v>East</v>
      </c>
      <c r="Q1478" s="18" t="str">
        <f t="shared" ref="Q1478:Q1479" si="292">TEXT(B1477,"MMM-YY")</f>
        <v>May-24</v>
      </c>
      <c r="R1478">
        <f>VLOOKUP(D1478, Products!A:D, 4, FALSE)</f>
        <v>974</v>
      </c>
      <c r="S1478">
        <f t="shared" ref="S1478:S1479" si="293">(G1478-R1478)/G1478</f>
        <v>0.59416666666666662</v>
      </c>
    </row>
    <row r="1479" spans="1:19" ht="14.25" customHeight="1" x14ac:dyDescent="0.3">
      <c r="A1479" s="8" t="s">
        <v>2517</v>
      </c>
      <c r="B1479" s="21">
        <v>45333</v>
      </c>
      <c r="C1479" s="8" t="s">
        <v>187</v>
      </c>
      <c r="D1479" s="8" t="s">
        <v>163</v>
      </c>
      <c r="E1479" s="8" t="s">
        <v>172</v>
      </c>
      <c r="F1479" s="10">
        <v>2</v>
      </c>
      <c r="G1479" s="10">
        <v>5490</v>
      </c>
      <c r="H1479" s="10">
        <v>5.4</v>
      </c>
      <c r="I1479" s="10">
        <v>10387.08</v>
      </c>
      <c r="J1479" s="8" t="s">
        <v>41</v>
      </c>
      <c r="K1479" s="8" t="s">
        <v>98</v>
      </c>
      <c r="L1479" s="18" t="str">
        <f>VLOOKUP(D1479,Products!$A:$C,3,FALSE)</f>
        <v>Home</v>
      </c>
      <c r="N1479" s="18" t="str">
        <f>VLOOKUP(C1479,Customers!$A:$E,5,FALSE)</f>
        <v>Corporate</v>
      </c>
      <c r="O1479" s="18">
        <f>VLOOKUP(C1479,Customers!$A:$C,3,FALSE)</f>
        <v>35</v>
      </c>
      <c r="P1479" s="18" t="str">
        <f>VLOOKUP(E1478,Sales_Reps!$A:$C,3,FALSE)</f>
        <v>North</v>
      </c>
      <c r="Q1479" s="18" t="str">
        <f t="shared" si="292"/>
        <v>Feb-24</v>
      </c>
      <c r="R1479">
        <f>VLOOKUP(D1479, Products!A:D, 4, FALSE)</f>
        <v>2549</v>
      </c>
      <c r="S1479">
        <f t="shared" si="293"/>
        <v>0.53570127504553733</v>
      </c>
    </row>
    <row r="1480" spans="1:19" ht="14.25" hidden="1" customHeight="1" x14ac:dyDescent="0.3">
      <c r="A1480" s="8" t="s">
        <v>2518</v>
      </c>
      <c r="B1480" s="9">
        <v>45516</v>
      </c>
      <c r="C1480" s="8" t="s">
        <v>492</v>
      </c>
      <c r="D1480" s="8" t="s">
        <v>789</v>
      </c>
      <c r="E1480" s="8" t="s">
        <v>221</v>
      </c>
      <c r="F1480" s="10">
        <v>6</v>
      </c>
      <c r="G1480" s="10">
        <v>1540</v>
      </c>
      <c r="H1480" s="10">
        <v>0.6</v>
      </c>
      <c r="I1480" s="10">
        <v>9184.56</v>
      </c>
      <c r="J1480" s="8" t="s">
        <v>41</v>
      </c>
      <c r="K1480" s="8" t="s">
        <v>42</v>
      </c>
      <c r="L1480" s="18" t="str">
        <f>VLOOKUP(D1480,Products!$A:$C,3,FALSE)</f>
        <v>Beauty</v>
      </c>
      <c r="N1480" s="18" t="str">
        <f>VLOOKUP(C1480,Customers!$A:$E,5,FALSE)</f>
        <v>Retail</v>
      </c>
      <c r="O1480" s="18">
        <f>VLOOKUP(C1480,Customers!$A:$C,3,FALSE)</f>
        <v>42</v>
      </c>
    </row>
    <row r="1481" spans="1:19" ht="14.25" customHeight="1" x14ac:dyDescent="0.3">
      <c r="A1481" s="8" t="s">
        <v>228</v>
      </c>
      <c r="B1481" s="21">
        <v>45343</v>
      </c>
      <c r="C1481" s="8" t="s">
        <v>229</v>
      </c>
      <c r="D1481" s="8" t="s">
        <v>230</v>
      </c>
      <c r="E1481" s="8" t="s">
        <v>231</v>
      </c>
      <c r="F1481" s="10">
        <v>3</v>
      </c>
      <c r="G1481" s="10">
        <v>5330</v>
      </c>
      <c r="H1481" s="10">
        <v>1</v>
      </c>
      <c r="I1481" s="10">
        <v>15830.1</v>
      </c>
      <c r="J1481" s="8" t="s">
        <v>97</v>
      </c>
      <c r="K1481" s="8" t="s">
        <v>178</v>
      </c>
      <c r="L1481" s="18" t="str">
        <f>VLOOKUP(D1481,Products!$A:$C,3,FALSE)</f>
        <v>Electronics</v>
      </c>
      <c r="N1481" s="18" t="str">
        <f>VLOOKUP(C1481,Customers!$A:$E,5,FALSE)</f>
        <v>Retail</v>
      </c>
      <c r="O1481" s="18">
        <f>VLOOKUP(C1481,Customers!$A:$C,3,FALSE)</f>
        <v>31</v>
      </c>
      <c r="P1481" s="18" t="str">
        <f>VLOOKUP(E1480,Sales_Reps!$A:$C,3,FALSE)</f>
        <v>South</v>
      </c>
      <c r="Q1481" s="18" t="str">
        <f>TEXT(B1480,"MMM-YY")</f>
        <v>Aug-24</v>
      </c>
      <c r="R1481">
        <f>VLOOKUP(D1481, Products!A:D, 4, FALSE)</f>
        <v>2405</v>
      </c>
      <c r="S1481">
        <f>(G1481-R1481)/G1481</f>
        <v>0.54878048780487809</v>
      </c>
    </row>
    <row r="1482" spans="1:19" ht="14.25" hidden="1" customHeight="1" x14ac:dyDescent="0.3">
      <c r="A1482" s="8" t="s">
        <v>2519</v>
      </c>
      <c r="B1482" s="9">
        <v>45522</v>
      </c>
      <c r="C1482" s="8" t="s">
        <v>474</v>
      </c>
      <c r="D1482" s="8" t="s">
        <v>338</v>
      </c>
      <c r="E1482" s="8" t="s">
        <v>189</v>
      </c>
      <c r="F1482" s="10">
        <v>6</v>
      </c>
      <c r="G1482" s="10">
        <v>2860</v>
      </c>
      <c r="H1482" s="10">
        <v>13.3</v>
      </c>
      <c r="I1482" s="10">
        <v>14877.72</v>
      </c>
      <c r="J1482" s="8" t="s">
        <v>41</v>
      </c>
      <c r="K1482" s="8" t="s">
        <v>178</v>
      </c>
      <c r="L1482" s="18" t="str">
        <f>VLOOKUP(D1482,Products!$A:$C,3,FALSE)</f>
        <v>Sports</v>
      </c>
      <c r="N1482" s="18" t="str">
        <f>VLOOKUP(C1482,Customers!$A:$E,5,FALSE)</f>
        <v>Corporate</v>
      </c>
      <c r="O1482" s="18">
        <f>VLOOKUP(C1482,Customers!$A:$C,3,FALSE)</f>
        <v>60</v>
      </c>
    </row>
    <row r="1483" spans="1:19" ht="14.25" hidden="1" customHeight="1" x14ac:dyDescent="0.3">
      <c r="A1483" s="8" t="s">
        <v>2520</v>
      </c>
      <c r="B1483" s="9">
        <v>45305</v>
      </c>
      <c r="C1483" s="8" t="s">
        <v>796</v>
      </c>
      <c r="D1483" s="8" t="s">
        <v>283</v>
      </c>
      <c r="E1483" s="8" t="s">
        <v>125</v>
      </c>
      <c r="F1483" s="10">
        <v>3</v>
      </c>
      <c r="G1483" s="10">
        <v>4880</v>
      </c>
      <c r="H1483" s="10">
        <v>12.1</v>
      </c>
      <c r="I1483" s="10">
        <v>12868.56</v>
      </c>
      <c r="J1483" s="8" t="s">
        <v>41</v>
      </c>
      <c r="K1483" s="8" t="s">
        <v>146</v>
      </c>
      <c r="L1483" s="18" t="str">
        <f>VLOOKUP(D1483,Products!$A:$C,3,FALSE)</f>
        <v>Beauty</v>
      </c>
      <c r="N1483" s="18" t="str">
        <f>VLOOKUP(C1483,Customers!$A:$E,5,FALSE)</f>
        <v>Retail</v>
      </c>
      <c r="O1483" s="18">
        <f>VLOOKUP(C1483,Customers!$A:$C,3,FALSE)</f>
        <v>52</v>
      </c>
    </row>
    <row r="1484" spans="1:19" ht="14.25" hidden="1" customHeight="1" x14ac:dyDescent="0.3">
      <c r="A1484" s="8" t="s">
        <v>2521</v>
      </c>
      <c r="B1484" s="9">
        <v>45353</v>
      </c>
      <c r="C1484" s="8" t="s">
        <v>406</v>
      </c>
      <c r="D1484" s="8" t="s">
        <v>898</v>
      </c>
      <c r="E1484" s="8" t="s">
        <v>96</v>
      </c>
      <c r="F1484" s="10">
        <v>5</v>
      </c>
      <c r="G1484" s="10">
        <v>2510</v>
      </c>
      <c r="H1484" s="10">
        <v>2.9</v>
      </c>
      <c r="I1484" s="10">
        <v>12186.05</v>
      </c>
      <c r="J1484" s="8" t="s">
        <v>97</v>
      </c>
      <c r="K1484" s="8" t="s">
        <v>119</v>
      </c>
      <c r="L1484" s="18" t="str">
        <f>VLOOKUP(D1484,Products!$A:$C,3,FALSE)</f>
        <v>Apparel</v>
      </c>
      <c r="N1484" s="18" t="str">
        <f>VLOOKUP(C1484,Customers!$A:$E,5,FALSE)</f>
        <v>SMB</v>
      </c>
      <c r="O1484" s="18">
        <f>VLOOKUP(C1484,Customers!$A:$C,3,FALSE)</f>
        <v>59</v>
      </c>
    </row>
    <row r="1485" spans="1:19" ht="14.25" hidden="1" customHeight="1" x14ac:dyDescent="0.3">
      <c r="A1485" s="8" t="s">
        <v>2522</v>
      </c>
      <c r="B1485" s="9">
        <v>45525</v>
      </c>
      <c r="C1485" s="8" t="s">
        <v>2523</v>
      </c>
      <c r="D1485" s="8" t="s">
        <v>120</v>
      </c>
      <c r="E1485" s="8" t="s">
        <v>321</v>
      </c>
      <c r="F1485" s="10">
        <v>9</v>
      </c>
      <c r="G1485" s="10">
        <v>3970</v>
      </c>
      <c r="H1485" s="10">
        <v>28</v>
      </c>
      <c r="I1485" s="10">
        <v>25725.599999999999</v>
      </c>
      <c r="J1485" s="8" t="s">
        <v>41</v>
      </c>
      <c r="K1485" s="8" t="s">
        <v>42</v>
      </c>
      <c r="L1485" s="18" t="str">
        <f>VLOOKUP(D1485,Products!$A:$C,3,FALSE)</f>
        <v>Electronics</v>
      </c>
      <c r="N1485" s="18" t="e">
        <f>VLOOKUP(C1485,Customers!$A:$E,5,FALSE)</f>
        <v>#N/A</v>
      </c>
      <c r="O1485" s="18" t="e">
        <f>VLOOKUP(C1485,Customers!$A:$C,3,FALSE)</f>
        <v>#N/A</v>
      </c>
    </row>
    <row r="1486" spans="1:19" ht="14.25" hidden="1" customHeight="1" x14ac:dyDescent="0.3">
      <c r="A1486" s="8" t="s">
        <v>2524</v>
      </c>
      <c r="B1486" s="9">
        <v>45593</v>
      </c>
      <c r="C1486" s="8" t="s">
        <v>521</v>
      </c>
      <c r="D1486" s="8" t="s">
        <v>116</v>
      </c>
      <c r="E1486" s="8" t="s">
        <v>619</v>
      </c>
      <c r="F1486" s="10">
        <v>4</v>
      </c>
      <c r="G1486" s="10">
        <v>470</v>
      </c>
      <c r="H1486" s="10">
        <v>19.100000000000001</v>
      </c>
      <c r="I1486" s="10">
        <v>1520.92</v>
      </c>
      <c r="J1486" s="8" t="s">
        <v>97</v>
      </c>
      <c r="K1486" s="8" t="s">
        <v>146</v>
      </c>
      <c r="L1486" s="18" t="str">
        <f>VLOOKUP(D1486,Products!$A:$C,3,FALSE)</f>
        <v>Sports</v>
      </c>
      <c r="N1486" s="18" t="str">
        <f>VLOOKUP(C1486,Customers!$A:$E,5,FALSE)</f>
        <v>Retail</v>
      </c>
      <c r="O1486" s="18">
        <f>VLOOKUP(C1486,Customers!$A:$C,3,FALSE)</f>
        <v>44</v>
      </c>
    </row>
    <row r="1487" spans="1:19" ht="14.25" customHeight="1" x14ac:dyDescent="0.3">
      <c r="A1487" s="8" t="s">
        <v>2525</v>
      </c>
      <c r="B1487" s="21">
        <v>45550</v>
      </c>
      <c r="C1487" s="8" t="s">
        <v>538</v>
      </c>
      <c r="D1487" s="8" t="s">
        <v>230</v>
      </c>
      <c r="E1487" s="8" t="s">
        <v>145</v>
      </c>
      <c r="F1487" s="10">
        <v>7</v>
      </c>
      <c r="G1487" s="10">
        <v>5330</v>
      </c>
      <c r="H1487" s="10">
        <v>17.2</v>
      </c>
      <c r="I1487" s="10">
        <v>30892.68</v>
      </c>
      <c r="J1487" s="8" t="s">
        <v>147</v>
      </c>
      <c r="K1487" s="8" t="s">
        <v>178</v>
      </c>
      <c r="L1487" s="18" t="str">
        <f>VLOOKUP(D1487,Products!$A:$C,3,FALSE)</f>
        <v>Electronics</v>
      </c>
      <c r="N1487" s="18" t="str">
        <f>VLOOKUP(C1487,Customers!$A:$E,5,FALSE)</f>
        <v>Retail</v>
      </c>
      <c r="O1487" s="18">
        <f>VLOOKUP(C1487,Customers!$A:$C,3,FALSE)</f>
        <v>29</v>
      </c>
      <c r="P1487" s="18" t="str">
        <f>VLOOKUP(E1486,Sales_Reps!$A:$C,3,FALSE)</f>
        <v>West</v>
      </c>
      <c r="Q1487" s="18" t="str">
        <f>TEXT(B1486,"MMM-YY")</f>
        <v>Oct-24</v>
      </c>
      <c r="R1487">
        <f>VLOOKUP(D1487, Products!A:D, 4, FALSE)</f>
        <v>2405</v>
      </c>
      <c r="S1487">
        <f>(G1487-R1487)/G1487</f>
        <v>0.54878048780487809</v>
      </c>
    </row>
    <row r="1488" spans="1:19" ht="14.25" hidden="1" customHeight="1" x14ac:dyDescent="0.3">
      <c r="A1488" s="8" t="s">
        <v>2526</v>
      </c>
      <c r="B1488" s="9">
        <v>45511</v>
      </c>
      <c r="C1488" s="8" t="s">
        <v>207</v>
      </c>
      <c r="D1488" s="8" t="s">
        <v>929</v>
      </c>
      <c r="E1488" s="8" t="s">
        <v>189</v>
      </c>
      <c r="F1488" s="10">
        <v>4</v>
      </c>
      <c r="G1488" s="10">
        <v>1090</v>
      </c>
      <c r="H1488" s="10">
        <v>4.9000000000000004</v>
      </c>
      <c r="I1488" s="10">
        <v>4146.3599999999997</v>
      </c>
      <c r="J1488" s="8" t="s">
        <v>147</v>
      </c>
      <c r="K1488" s="8" t="s">
        <v>136</v>
      </c>
      <c r="L1488" s="18" t="str">
        <f>VLOOKUP(D1488,Products!$A:$C,3,FALSE)</f>
        <v>Home</v>
      </c>
      <c r="N1488" s="18" t="str">
        <f>VLOOKUP(C1488,Customers!$A:$E,5,FALSE)</f>
        <v>SMB</v>
      </c>
      <c r="O1488" s="18">
        <f>VLOOKUP(C1488,Customers!$A:$C,3,FALSE)</f>
        <v>46</v>
      </c>
    </row>
    <row r="1489" spans="1:19" ht="14.25" customHeight="1" x14ac:dyDescent="0.3">
      <c r="A1489" s="8" t="s">
        <v>2527</v>
      </c>
      <c r="B1489" s="21">
        <v>45456</v>
      </c>
      <c r="C1489" s="8" t="s">
        <v>433</v>
      </c>
      <c r="D1489" s="8" t="s">
        <v>260</v>
      </c>
      <c r="E1489" s="8" t="s">
        <v>214</v>
      </c>
      <c r="F1489" s="10">
        <v>2</v>
      </c>
      <c r="G1489" s="10">
        <v>1010</v>
      </c>
      <c r="H1489" s="10">
        <v>14</v>
      </c>
      <c r="I1489" s="10">
        <v>1737.2</v>
      </c>
      <c r="J1489" s="8" t="s">
        <v>41</v>
      </c>
      <c r="K1489" s="8" t="s">
        <v>42</v>
      </c>
      <c r="L1489" s="18" t="str">
        <f>VLOOKUP(D1489,Products!$A:$C,3,FALSE)</f>
        <v>Sports</v>
      </c>
      <c r="N1489" s="18" t="str">
        <f>VLOOKUP(C1489,Customers!$A:$E,5,FALSE)</f>
        <v>SMB</v>
      </c>
      <c r="O1489" s="18">
        <f>VLOOKUP(C1489,Customers!$A:$C,3,FALSE)</f>
        <v>30</v>
      </c>
      <c r="P1489" s="18" t="str">
        <f>VLOOKUP(E1488,Sales_Reps!$A:$C,3,FALSE)</f>
        <v>South</v>
      </c>
      <c r="Q1489" s="18" t="str">
        <f t="shared" ref="Q1489:Q1490" si="294">TEXT(B1488,"MMM-YY")</f>
        <v>Aug-24</v>
      </c>
      <c r="R1489">
        <f>VLOOKUP(D1489, Products!A:D, 4, FALSE)</f>
        <v>516</v>
      </c>
      <c r="S1489">
        <f t="shared" ref="S1489:S1490" si="295">(G1489-R1489)/G1489</f>
        <v>0.4891089108910891</v>
      </c>
    </row>
    <row r="1490" spans="1:19" ht="14.25" customHeight="1" x14ac:dyDescent="0.3">
      <c r="A1490" s="8" t="s">
        <v>220</v>
      </c>
      <c r="B1490" s="21">
        <v>45343</v>
      </c>
      <c r="C1490" s="8" t="s">
        <v>195</v>
      </c>
      <c r="D1490" s="8" t="s">
        <v>188</v>
      </c>
      <c r="E1490" s="8" t="s">
        <v>221</v>
      </c>
      <c r="F1490" s="10">
        <v>9</v>
      </c>
      <c r="G1490" s="10">
        <v>3870</v>
      </c>
      <c r="H1490" s="10">
        <v>8.1999999999999993</v>
      </c>
      <c r="I1490" s="10">
        <v>31973.94</v>
      </c>
      <c r="J1490" s="8" t="s">
        <v>41</v>
      </c>
      <c r="K1490" s="8" t="s">
        <v>1444</v>
      </c>
      <c r="L1490" s="18" t="str">
        <f>VLOOKUP(D1490,Products!$A:$C,3,FALSE)</f>
        <v>Electronics</v>
      </c>
      <c r="N1490" s="18" t="str">
        <f>VLOOKUP(C1490,Customers!$A:$E,5,FALSE)</f>
        <v>Corporate</v>
      </c>
      <c r="O1490" s="18">
        <f>VLOOKUP(C1490,Customers!$A:$C,3,FALSE)</f>
        <v>40</v>
      </c>
      <c r="P1490" s="18" t="str">
        <f>VLOOKUP(E1489,Sales_Reps!$A:$C,3,FALSE)</f>
        <v>South</v>
      </c>
      <c r="Q1490" s="18" t="str">
        <f t="shared" si="294"/>
        <v>Jun-24</v>
      </c>
      <c r="R1490">
        <f>VLOOKUP(D1490, Products!A:D, 4, FALSE)</f>
        <v>1559</v>
      </c>
      <c r="S1490">
        <f t="shared" si="295"/>
        <v>0.59715762273901807</v>
      </c>
    </row>
    <row r="1491" spans="1:19" ht="14.25" hidden="1" customHeight="1" x14ac:dyDescent="0.3">
      <c r="A1491" s="8" t="s">
        <v>2528</v>
      </c>
      <c r="B1491" s="9">
        <v>45491</v>
      </c>
      <c r="C1491" s="8" t="s">
        <v>823</v>
      </c>
      <c r="D1491" s="8" t="s">
        <v>131</v>
      </c>
      <c r="E1491" s="8" t="s">
        <v>745</v>
      </c>
      <c r="F1491" s="10">
        <v>7</v>
      </c>
      <c r="G1491" s="10">
        <v>2660</v>
      </c>
      <c r="H1491" s="10">
        <v>15.9</v>
      </c>
      <c r="I1491" s="10">
        <v>15659.42</v>
      </c>
      <c r="J1491" s="8" t="s">
        <v>41</v>
      </c>
      <c r="K1491" s="8" t="s">
        <v>178</v>
      </c>
      <c r="L1491" s="18" t="str">
        <f>VLOOKUP(D1491,Products!$A:$C,3,FALSE)</f>
        <v>Electronics</v>
      </c>
      <c r="N1491" s="18" t="str">
        <f>VLOOKUP(C1491,Customers!$A:$E,5,FALSE)</f>
        <v>Retail</v>
      </c>
      <c r="O1491" s="18">
        <f>VLOOKUP(C1491,Customers!$A:$C,3,FALSE)</f>
        <v>41</v>
      </c>
    </row>
    <row r="1492" spans="1:19" ht="14.25" hidden="1" customHeight="1" x14ac:dyDescent="0.3">
      <c r="A1492" s="8" t="s">
        <v>2529</v>
      </c>
      <c r="B1492" s="9">
        <v>45619</v>
      </c>
      <c r="C1492" s="8" t="s">
        <v>422</v>
      </c>
      <c r="D1492" s="8" t="s">
        <v>140</v>
      </c>
      <c r="E1492" s="8" t="s">
        <v>158</v>
      </c>
      <c r="F1492" s="10">
        <v>4</v>
      </c>
      <c r="G1492" s="10">
        <v>1430</v>
      </c>
      <c r="H1492" s="10">
        <v>25.6</v>
      </c>
      <c r="I1492" s="10">
        <v>4255.68</v>
      </c>
      <c r="J1492" s="8" t="s">
        <v>41</v>
      </c>
      <c r="K1492" s="8" t="s">
        <v>146</v>
      </c>
      <c r="L1492" s="18" t="str">
        <f>VLOOKUP(D1492,Products!$A:$C,3,FALSE)</f>
        <v>Electronics</v>
      </c>
      <c r="N1492" s="18" t="str">
        <f>VLOOKUP(C1492,Customers!$A:$E,5,FALSE)</f>
        <v>Corporate</v>
      </c>
      <c r="O1492" s="18">
        <f>VLOOKUP(C1492,Customers!$A:$C,3,FALSE)</f>
        <v>55</v>
      </c>
    </row>
    <row r="1493" spans="1:19" ht="14.25" customHeight="1" x14ac:dyDescent="0.3">
      <c r="A1493" s="8" t="s">
        <v>2530</v>
      </c>
      <c r="B1493" s="21">
        <v>45374</v>
      </c>
      <c r="C1493" s="8" t="s">
        <v>503</v>
      </c>
      <c r="D1493" s="8" t="s">
        <v>283</v>
      </c>
      <c r="E1493" s="8" t="s">
        <v>208</v>
      </c>
      <c r="F1493" s="10">
        <v>4</v>
      </c>
      <c r="G1493" s="10">
        <v>4880</v>
      </c>
      <c r="H1493" s="10">
        <v>19.399999999999999</v>
      </c>
      <c r="I1493" s="10">
        <v>15733.12</v>
      </c>
      <c r="J1493" s="8" t="s">
        <v>147</v>
      </c>
      <c r="K1493" s="8" t="s">
        <v>136</v>
      </c>
      <c r="L1493" s="18" t="str">
        <f>VLOOKUP(D1493,Products!$A:$C,3,FALSE)</f>
        <v>Beauty</v>
      </c>
      <c r="N1493" s="18" t="str">
        <f>VLOOKUP(C1493,Customers!$A:$E,5,FALSE)</f>
        <v>Corporate</v>
      </c>
      <c r="O1493" s="18">
        <f>VLOOKUP(C1493,Customers!$A:$C,3,FALSE)</f>
        <v>36</v>
      </c>
      <c r="P1493" s="18" t="str">
        <f>VLOOKUP(E1492,Sales_Reps!$A:$C,3,FALSE)</f>
        <v>East</v>
      </c>
      <c r="Q1493" s="18" t="str">
        <f>TEXT(B1492,"MMM-YY")</f>
        <v>Nov-24</v>
      </c>
      <c r="R1493">
        <f>VLOOKUP(D1493, Products!A:D, 4, FALSE)</f>
        <v>2768</v>
      </c>
      <c r="S1493">
        <f>(G1493-R1493)/G1493</f>
        <v>0.43278688524590164</v>
      </c>
    </row>
    <row r="1494" spans="1:19" ht="14.25" hidden="1" customHeight="1" x14ac:dyDescent="0.3">
      <c r="A1494" s="8" t="s">
        <v>2531</v>
      </c>
      <c r="B1494" s="9">
        <v>45566</v>
      </c>
      <c r="C1494" s="8" t="s">
        <v>677</v>
      </c>
      <c r="D1494" s="8" t="s">
        <v>199</v>
      </c>
      <c r="E1494" s="8" t="s">
        <v>231</v>
      </c>
      <c r="F1494" s="10">
        <v>2</v>
      </c>
      <c r="G1494" s="10">
        <v>190</v>
      </c>
      <c r="H1494" s="10">
        <v>9</v>
      </c>
      <c r="I1494" s="10">
        <v>345.8</v>
      </c>
      <c r="J1494" s="8" t="s">
        <v>41</v>
      </c>
      <c r="K1494" s="8" t="s">
        <v>136</v>
      </c>
      <c r="L1494" s="18" t="str">
        <f>VLOOKUP(D1494,Products!$A:$C,3,FALSE)</f>
        <v>Sports</v>
      </c>
      <c r="N1494" s="18" t="str">
        <f>VLOOKUP(C1494,Customers!$A:$E,5,FALSE)</f>
        <v>Retail</v>
      </c>
      <c r="O1494" s="18">
        <f>VLOOKUP(C1494,Customers!$A:$C,3,FALSE)</f>
        <v>55</v>
      </c>
    </row>
    <row r="1495" spans="1:19" ht="14.25" customHeight="1" x14ac:dyDescent="0.3">
      <c r="A1495" s="8" t="s">
        <v>2532</v>
      </c>
      <c r="B1495" s="21">
        <v>45415</v>
      </c>
      <c r="C1495" s="8" t="s">
        <v>851</v>
      </c>
      <c r="D1495" s="8" t="s">
        <v>867</v>
      </c>
      <c r="E1495" s="8" t="s">
        <v>158</v>
      </c>
      <c r="F1495" s="10">
        <v>1</v>
      </c>
      <c r="G1495" s="10">
        <v>3020</v>
      </c>
      <c r="H1495" s="10">
        <v>3.6</v>
      </c>
      <c r="I1495" s="10">
        <v>2911.28</v>
      </c>
      <c r="J1495" s="8" t="s">
        <v>193</v>
      </c>
      <c r="K1495" s="8" t="s">
        <v>119</v>
      </c>
      <c r="L1495" s="18" t="str">
        <f>VLOOKUP(D1495,Products!$A:$C,3,FALSE)</f>
        <v>Beauty</v>
      </c>
      <c r="N1495" s="18" t="str">
        <f>VLOOKUP(C1495,Customers!$A:$E,5,FALSE)</f>
        <v>Corporate</v>
      </c>
      <c r="O1495" s="18">
        <f>VLOOKUP(C1495,Customers!$A:$C,3,FALSE)</f>
        <v>31</v>
      </c>
      <c r="P1495" s="18" t="str">
        <f>VLOOKUP(E1494,Sales_Reps!$A:$C,3,FALSE)</f>
        <v>North</v>
      </c>
      <c r="Q1495" s="18" t="str">
        <f>TEXT(B1494,"MMM-YY")</f>
        <v>Oct-24</v>
      </c>
      <c r="R1495">
        <f>VLOOKUP(D1495, Products!A:D, 4, FALSE)</f>
        <v>1626</v>
      </c>
      <c r="S1495">
        <f>(G1495-R1495)/G1495</f>
        <v>0.46158940397350995</v>
      </c>
    </row>
    <row r="1496" spans="1:19" ht="14.25" hidden="1" customHeight="1" x14ac:dyDescent="0.3">
      <c r="A1496" s="8" t="s">
        <v>2533</v>
      </c>
      <c r="B1496" s="9">
        <v>45601</v>
      </c>
      <c r="C1496" s="8" t="s">
        <v>157</v>
      </c>
      <c r="D1496" s="8" t="s">
        <v>283</v>
      </c>
      <c r="E1496" s="8" t="s">
        <v>158</v>
      </c>
      <c r="F1496" s="10">
        <v>2</v>
      </c>
      <c r="G1496" s="10">
        <v>4880</v>
      </c>
      <c r="H1496" s="10">
        <v>2</v>
      </c>
      <c r="I1496" s="10">
        <v>9564.7999999999993</v>
      </c>
      <c r="J1496" s="8" t="s">
        <v>147</v>
      </c>
      <c r="K1496" s="8" t="s">
        <v>136</v>
      </c>
      <c r="L1496" s="18" t="str">
        <f>VLOOKUP(D1496,Products!$A:$C,3,FALSE)</f>
        <v>Beauty</v>
      </c>
      <c r="N1496" s="18" t="str">
        <f>VLOOKUP(C1496,Customers!$A:$E,5,FALSE)</f>
        <v>Corporate</v>
      </c>
      <c r="O1496" s="18">
        <f>VLOOKUP(C1496,Customers!$A:$C,3,FALSE)</f>
        <v>57</v>
      </c>
    </row>
    <row r="1497" spans="1:19" ht="14.25" hidden="1" customHeight="1" x14ac:dyDescent="0.3">
      <c r="A1497" s="8" t="s">
        <v>2534</v>
      </c>
      <c r="B1497" s="9">
        <v>45319</v>
      </c>
      <c r="C1497" s="8" t="s">
        <v>541</v>
      </c>
      <c r="D1497" s="8" t="s">
        <v>205</v>
      </c>
      <c r="E1497" s="8" t="s">
        <v>619</v>
      </c>
      <c r="F1497" s="10">
        <v>4</v>
      </c>
      <c r="G1497" s="10">
        <v>2400</v>
      </c>
      <c r="H1497" s="10">
        <v>11.5</v>
      </c>
      <c r="I1497" s="10">
        <v>8496</v>
      </c>
      <c r="J1497" s="8" t="s">
        <v>41</v>
      </c>
      <c r="K1497" s="8" t="s">
        <v>136</v>
      </c>
      <c r="L1497" s="18" t="str">
        <f>VLOOKUP(D1497,Products!$A:$C,3,FALSE)</f>
        <v>Sports</v>
      </c>
      <c r="N1497" s="18" t="str">
        <f>VLOOKUP(C1497,Customers!$A:$E,5,FALSE)</f>
        <v>Corporate</v>
      </c>
      <c r="O1497" s="18">
        <f>VLOOKUP(C1497,Customers!$A:$C,3,FALSE)</f>
        <v>41</v>
      </c>
    </row>
    <row r="1498" spans="1:19" ht="14.25" hidden="1" customHeight="1" x14ac:dyDescent="0.3">
      <c r="A1498" s="8" t="s">
        <v>2535</v>
      </c>
      <c r="B1498" s="9">
        <v>45357</v>
      </c>
      <c r="C1498" s="8" t="s">
        <v>468</v>
      </c>
      <c r="D1498" s="8" t="s">
        <v>662</v>
      </c>
      <c r="E1498" s="8" t="s">
        <v>261</v>
      </c>
      <c r="F1498" s="10">
        <v>2</v>
      </c>
      <c r="G1498" s="10">
        <v>6080</v>
      </c>
      <c r="H1498" s="10">
        <v>0.5</v>
      </c>
      <c r="I1498" s="10">
        <v>12099.2</v>
      </c>
      <c r="J1498" s="8" t="s">
        <v>147</v>
      </c>
      <c r="K1498" s="8" t="s">
        <v>146</v>
      </c>
      <c r="L1498" s="18" t="str">
        <f>VLOOKUP(D1498,Products!$A:$C,3,FALSE)</f>
        <v>Beauty</v>
      </c>
      <c r="N1498" s="18" t="str">
        <f>VLOOKUP(C1498,Customers!$A:$E,5,FALSE)</f>
        <v>Retail</v>
      </c>
      <c r="O1498" s="18">
        <f>VLOOKUP(C1498,Customers!$A:$C,3,FALSE)</f>
        <v>65</v>
      </c>
    </row>
    <row r="1499" spans="1:19" ht="14.25" customHeight="1" x14ac:dyDescent="0.3">
      <c r="A1499" s="8" t="s">
        <v>2536</v>
      </c>
      <c r="B1499" s="21">
        <v>45384</v>
      </c>
      <c r="C1499" s="8" t="s">
        <v>578</v>
      </c>
      <c r="D1499" s="8" t="s">
        <v>909</v>
      </c>
      <c r="E1499" s="8" t="s">
        <v>208</v>
      </c>
      <c r="F1499" s="10">
        <v>7</v>
      </c>
      <c r="G1499" s="10">
        <v>2380</v>
      </c>
      <c r="H1499" s="10">
        <v>12.3</v>
      </c>
      <c r="I1499" s="10">
        <v>14610.82</v>
      </c>
      <c r="J1499" s="8" t="s">
        <v>41</v>
      </c>
      <c r="K1499" s="8" t="s">
        <v>98</v>
      </c>
      <c r="L1499" s="18" t="str">
        <f>VLOOKUP(D1499,Products!$A:$C,3,FALSE)</f>
        <v>Grocery</v>
      </c>
      <c r="N1499" s="18" t="str">
        <f>VLOOKUP(C1499,Customers!$A:$E,5,FALSE)</f>
        <v>Retail</v>
      </c>
      <c r="O1499" s="18">
        <f>VLOOKUP(C1499,Customers!$A:$C,3,FALSE)</f>
        <v>32</v>
      </c>
      <c r="P1499" s="18" t="str">
        <f>VLOOKUP(E1498,Sales_Reps!$A:$C,3,FALSE)</f>
        <v>North</v>
      </c>
      <c r="Q1499" s="18" t="str">
        <f>TEXT(B1498,"MMM-YY")</f>
        <v>Mar-24</v>
      </c>
      <c r="R1499">
        <f>VLOOKUP(D1499, Products!A:D, 4, FALSE)</f>
        <v>1182</v>
      </c>
      <c r="S1499">
        <f>(G1499-R1499)/G1499</f>
        <v>0.50336134453781511</v>
      </c>
    </row>
    <row r="1500" spans="1:19" ht="14.25" hidden="1" customHeight="1" x14ac:dyDescent="0.3">
      <c r="A1500" s="8" t="s">
        <v>2537</v>
      </c>
      <c r="B1500" s="9">
        <v>45509</v>
      </c>
      <c r="C1500" s="8" t="s">
        <v>477</v>
      </c>
      <c r="D1500" s="8" t="s">
        <v>789</v>
      </c>
      <c r="E1500" s="8" t="s">
        <v>231</v>
      </c>
      <c r="F1500" s="10">
        <v>10</v>
      </c>
      <c r="G1500" s="10">
        <v>1540</v>
      </c>
      <c r="H1500" s="10">
        <v>20.6</v>
      </c>
      <c r="I1500" s="10">
        <v>12227.6</v>
      </c>
      <c r="J1500" s="8" t="s">
        <v>41</v>
      </c>
      <c r="K1500" s="8" t="s">
        <v>98</v>
      </c>
      <c r="L1500" s="18" t="str">
        <f>VLOOKUP(D1500,Products!$A:$C,3,FALSE)</f>
        <v>Beauty</v>
      </c>
      <c r="N1500" s="18" t="str">
        <f>VLOOKUP(C1500,Customers!$A:$E,5,FALSE)</f>
        <v>SMB</v>
      </c>
      <c r="O1500" s="18">
        <f>VLOOKUP(C1500,Customers!$A:$C,3,FALSE)</f>
        <v>62</v>
      </c>
    </row>
    <row r="1501" spans="1:19" ht="14.25" hidden="1" customHeight="1" x14ac:dyDescent="0.3">
      <c r="A1501" s="8" t="s">
        <v>2538</v>
      </c>
      <c r="B1501" s="9">
        <v>45520</v>
      </c>
      <c r="C1501" s="8" t="s">
        <v>223</v>
      </c>
      <c r="D1501" s="8" t="s">
        <v>188</v>
      </c>
      <c r="E1501" s="8" t="s">
        <v>172</v>
      </c>
      <c r="F1501" s="10">
        <v>7</v>
      </c>
      <c r="G1501" s="10">
        <v>3870</v>
      </c>
      <c r="H1501" s="10">
        <v>6.1</v>
      </c>
      <c r="I1501" s="10">
        <v>25437.51</v>
      </c>
      <c r="J1501" s="8" t="s">
        <v>41</v>
      </c>
      <c r="K1501" s="8" t="s">
        <v>98</v>
      </c>
      <c r="L1501" s="18" t="str">
        <f>VLOOKUP(D1501,Products!$A:$C,3,FALSE)</f>
        <v>Electronics</v>
      </c>
      <c r="N1501" s="18" t="str">
        <f>VLOOKUP(C1501,Customers!$A:$E,5,FALSE)</f>
        <v>Retail</v>
      </c>
      <c r="O1501" s="18">
        <f>VLOOKUP(C1501,Customers!$A:$C,3,FALSE)</f>
        <v>49</v>
      </c>
    </row>
    <row r="1502" spans="1:19" ht="14.25" customHeight="1" x14ac:dyDescent="0.3">
      <c r="A1502" s="8" t="s">
        <v>2539</v>
      </c>
      <c r="B1502" s="21">
        <v>45383</v>
      </c>
      <c r="C1502" s="8" t="s">
        <v>418</v>
      </c>
      <c r="D1502" s="8" t="s">
        <v>144</v>
      </c>
      <c r="E1502" s="8" t="s">
        <v>216</v>
      </c>
      <c r="F1502" s="10">
        <v>3</v>
      </c>
      <c r="G1502" s="10">
        <v>370</v>
      </c>
      <c r="H1502" s="10">
        <v>13.7</v>
      </c>
      <c r="I1502" s="10">
        <v>957.93</v>
      </c>
      <c r="J1502" s="8" t="s">
        <v>41</v>
      </c>
      <c r="K1502" s="8" t="s">
        <v>42</v>
      </c>
      <c r="L1502" s="18" t="str">
        <f>VLOOKUP(D1502,Products!$A:$C,3,FALSE)</f>
        <v>Home</v>
      </c>
      <c r="N1502" s="18" t="str">
        <f>VLOOKUP(C1502,Customers!$A:$E,5,FALSE)</f>
        <v>Corporate</v>
      </c>
      <c r="O1502" s="18">
        <f>VLOOKUP(C1502,Customers!$A:$C,3,FALSE)</f>
        <v>40</v>
      </c>
      <c r="P1502" s="18" t="str">
        <f>VLOOKUP(E1501,Sales_Reps!$A:$C,3,FALSE)</f>
        <v>West</v>
      </c>
      <c r="Q1502" s="18" t="str">
        <f>TEXT(B1501,"MMM-YY")</f>
        <v>Aug-24</v>
      </c>
      <c r="R1502">
        <f>VLOOKUP(D1502, Products!A:D, 4, FALSE)</f>
        <v>288</v>
      </c>
      <c r="S1502">
        <f>(G1502-R1502)/G1502</f>
        <v>0.22162162162162163</v>
      </c>
    </row>
    <row r="1503" spans="1:19" ht="14.25" hidden="1" customHeight="1" x14ac:dyDescent="0.3">
      <c r="A1503" s="8" t="s">
        <v>2540</v>
      </c>
      <c r="B1503" s="9">
        <v>45328</v>
      </c>
      <c r="C1503" s="8" t="s">
        <v>413</v>
      </c>
      <c r="D1503" s="8" t="s">
        <v>199</v>
      </c>
      <c r="E1503" s="8" t="s">
        <v>619</v>
      </c>
      <c r="F1503" s="10">
        <v>8</v>
      </c>
      <c r="G1503" s="10">
        <v>190</v>
      </c>
      <c r="H1503" s="10">
        <v>0.2</v>
      </c>
      <c r="I1503" s="10">
        <v>1516.96</v>
      </c>
      <c r="J1503" s="8" t="s">
        <v>41</v>
      </c>
      <c r="K1503" s="8" t="s">
        <v>146</v>
      </c>
      <c r="L1503" s="18" t="str">
        <f>VLOOKUP(D1503,Products!$A:$C,3,FALSE)</f>
        <v>Sports</v>
      </c>
      <c r="N1503" s="18" t="str">
        <f>VLOOKUP(C1503,Customers!$A:$E,5,FALSE)</f>
        <v>Retail</v>
      </c>
      <c r="O1503" s="18">
        <f>VLOOKUP(C1503,Customers!$A:$C,3,FALSE)</f>
        <v>42</v>
      </c>
    </row>
    <row r="1504" spans="1:19" ht="14.25" customHeight="1" x14ac:dyDescent="0.3">
      <c r="A1504" s="8" t="s">
        <v>2541</v>
      </c>
      <c r="B1504" s="21">
        <v>45501</v>
      </c>
      <c r="C1504" s="8" t="s">
        <v>94</v>
      </c>
      <c r="D1504" s="8" t="s">
        <v>140</v>
      </c>
      <c r="E1504" s="8" t="s">
        <v>865</v>
      </c>
      <c r="F1504" s="10">
        <v>6</v>
      </c>
      <c r="G1504" s="10">
        <v>1430</v>
      </c>
      <c r="H1504" s="10">
        <v>0.1</v>
      </c>
      <c r="I1504" s="10">
        <v>8571.42</v>
      </c>
      <c r="J1504" s="8" t="s">
        <v>41</v>
      </c>
      <c r="K1504" s="8" t="s">
        <v>98</v>
      </c>
      <c r="L1504" s="18" t="str">
        <f>VLOOKUP(D1504,Products!$A:$C,3,FALSE)</f>
        <v>Electronics</v>
      </c>
      <c r="N1504" s="18" t="str">
        <f>VLOOKUP(C1504,Customers!$A:$E,5,FALSE)</f>
        <v>Retail</v>
      </c>
      <c r="O1504" s="18">
        <f>VLOOKUP(C1504,Customers!$A:$C,3,FALSE)</f>
        <v>39</v>
      </c>
      <c r="P1504" s="18" t="str">
        <f>VLOOKUP(E1503,Sales_Reps!$A:$C,3,FALSE)</f>
        <v>West</v>
      </c>
      <c r="Q1504" s="18" t="str">
        <f t="shared" ref="Q1504:Q1505" si="296">TEXT(B1503,"MMM-YY")</f>
        <v>Feb-24</v>
      </c>
      <c r="R1504">
        <f>VLOOKUP(D1504, Products!A:D, 4, FALSE)</f>
        <v>861</v>
      </c>
      <c r="S1504">
        <f t="shared" ref="S1504:S1505" si="297">(G1504-R1504)/G1504</f>
        <v>0.39790209790209791</v>
      </c>
    </row>
    <row r="1505" spans="1:19" ht="14.25" customHeight="1" x14ac:dyDescent="0.3">
      <c r="A1505" s="8" t="s">
        <v>2542</v>
      </c>
      <c r="B1505" s="21">
        <v>45346</v>
      </c>
      <c r="C1505" s="8" t="s">
        <v>187</v>
      </c>
      <c r="D1505" s="8" t="s">
        <v>116</v>
      </c>
      <c r="E1505" s="8" t="s">
        <v>321</v>
      </c>
      <c r="F1505" s="10">
        <v>4</v>
      </c>
      <c r="G1505" s="10">
        <v>470</v>
      </c>
      <c r="H1505" s="10">
        <v>3</v>
      </c>
      <c r="I1505" s="10">
        <v>1823.6</v>
      </c>
      <c r="J1505" s="8" t="s">
        <v>41</v>
      </c>
      <c r="K1505" s="8" t="s">
        <v>98</v>
      </c>
      <c r="L1505" s="18" t="str">
        <f>VLOOKUP(D1505,Products!$A:$C,3,FALSE)</f>
        <v>Sports</v>
      </c>
      <c r="N1505" s="18" t="str">
        <f>VLOOKUP(C1505,Customers!$A:$E,5,FALSE)</f>
        <v>Corporate</v>
      </c>
      <c r="O1505" s="18">
        <f>VLOOKUP(C1505,Customers!$A:$C,3,FALSE)</f>
        <v>35</v>
      </c>
      <c r="P1505" s="18" t="str">
        <f>VLOOKUP(E1504,Sales_Reps!$A:$C,3,FALSE)</f>
        <v>South</v>
      </c>
      <c r="Q1505" s="18" t="str">
        <f t="shared" si="296"/>
        <v>Jul-24</v>
      </c>
      <c r="R1505">
        <f>VLOOKUP(D1505, Products!A:D, 4, FALSE)</f>
        <v>302</v>
      </c>
      <c r="S1505">
        <f t="shared" si="297"/>
        <v>0.35744680851063831</v>
      </c>
    </row>
    <row r="1506" spans="1:19" ht="14.25" hidden="1" customHeight="1" x14ac:dyDescent="0.3">
      <c r="A1506" s="8" t="s">
        <v>2543</v>
      </c>
      <c r="B1506" s="9">
        <v>45446</v>
      </c>
      <c r="C1506" s="8" t="s">
        <v>610</v>
      </c>
      <c r="D1506" s="8" t="s">
        <v>901</v>
      </c>
      <c r="E1506" s="8" t="s">
        <v>185</v>
      </c>
      <c r="F1506" s="10">
        <v>4</v>
      </c>
      <c r="G1506" s="10">
        <v>3560</v>
      </c>
      <c r="H1506" s="10">
        <v>1.1000000000000001</v>
      </c>
      <c r="I1506" s="10">
        <v>14083.36</v>
      </c>
      <c r="J1506" s="8" t="s">
        <v>41</v>
      </c>
      <c r="K1506" s="8" t="s">
        <v>42</v>
      </c>
      <c r="L1506" s="18" t="str">
        <f>VLOOKUP(D1506,Products!$A:$C,3,FALSE)</f>
        <v>Apparel</v>
      </c>
      <c r="N1506" s="18" t="str">
        <f>VLOOKUP(C1506,Customers!$A:$E,5,FALSE)</f>
        <v>Retail</v>
      </c>
      <c r="O1506" s="18">
        <f>VLOOKUP(C1506,Customers!$A:$C,3,FALSE)</f>
        <v>49</v>
      </c>
    </row>
    <row r="1507" spans="1:19" ht="14.25" hidden="1" customHeight="1" x14ac:dyDescent="0.3">
      <c r="A1507" s="8" t="s">
        <v>2544</v>
      </c>
      <c r="B1507" s="9">
        <v>45521</v>
      </c>
      <c r="C1507" s="8" t="s">
        <v>754</v>
      </c>
      <c r="D1507" s="8" t="s">
        <v>283</v>
      </c>
      <c r="E1507" s="8" t="s">
        <v>189</v>
      </c>
      <c r="F1507" s="10">
        <v>5</v>
      </c>
      <c r="G1507" s="10">
        <v>4880</v>
      </c>
      <c r="H1507" s="10">
        <v>17</v>
      </c>
      <c r="I1507" s="10">
        <v>20252</v>
      </c>
      <c r="J1507" s="8" t="s">
        <v>41</v>
      </c>
      <c r="K1507" s="8" t="s">
        <v>119</v>
      </c>
      <c r="L1507" s="18" t="str">
        <f>VLOOKUP(D1507,Products!$A:$C,3,FALSE)</f>
        <v>Beauty</v>
      </c>
      <c r="N1507" s="18" t="str">
        <f>VLOOKUP(C1507,Customers!$A:$E,5,FALSE)</f>
        <v>Retail</v>
      </c>
      <c r="O1507" s="18">
        <f>VLOOKUP(C1507,Customers!$A:$C,3,FALSE)</f>
        <v>49</v>
      </c>
    </row>
    <row r="1508" spans="1:19" ht="14.25" customHeight="1" x14ac:dyDescent="0.3">
      <c r="A1508" s="8" t="s">
        <v>209</v>
      </c>
      <c r="B1508" s="21">
        <v>45483</v>
      </c>
      <c r="C1508" s="8" t="s">
        <v>210</v>
      </c>
      <c r="D1508" s="8" t="s">
        <v>211</v>
      </c>
      <c r="E1508" s="8" t="s">
        <v>214</v>
      </c>
      <c r="F1508" s="10">
        <v>9</v>
      </c>
      <c r="G1508" s="10">
        <v>3570</v>
      </c>
      <c r="H1508" s="10">
        <v>12</v>
      </c>
      <c r="I1508" s="10">
        <v>28274.400000000001</v>
      </c>
      <c r="J1508" s="8" t="s">
        <v>41</v>
      </c>
      <c r="K1508" s="8" t="s">
        <v>98</v>
      </c>
      <c r="L1508" s="18" t="str">
        <f>VLOOKUP(D1508,Products!$A:$C,3,FALSE)</f>
        <v>Electronics</v>
      </c>
      <c r="N1508" s="18" t="str">
        <f>VLOOKUP(C1508,Customers!$A:$E,5,FALSE)</f>
        <v>Retail</v>
      </c>
      <c r="O1508" s="18">
        <f>VLOOKUP(C1508,Customers!$A:$C,3,FALSE)</f>
        <v>26</v>
      </c>
      <c r="P1508" s="18" t="str">
        <f>VLOOKUP(E1507,Sales_Reps!$A:$C,3,FALSE)</f>
        <v>South</v>
      </c>
      <c r="Q1508" s="18" t="str">
        <f t="shared" ref="Q1508:Q1509" si="298">TEXT(B1507,"MMM-YY")</f>
        <v>Aug-24</v>
      </c>
      <c r="R1508">
        <f>VLOOKUP(D1508, Products!A:D, 4, FALSE)</f>
        <v>1665</v>
      </c>
      <c r="S1508">
        <f t="shared" ref="S1508:S1509" si="299">(G1508-R1508)/G1508</f>
        <v>0.53361344537815125</v>
      </c>
    </row>
    <row r="1509" spans="1:19" ht="14.25" customHeight="1" x14ac:dyDescent="0.3">
      <c r="A1509" s="8" t="s">
        <v>2545</v>
      </c>
      <c r="B1509" s="21">
        <v>45370</v>
      </c>
      <c r="C1509" s="8" t="s">
        <v>722</v>
      </c>
      <c r="D1509" s="8" t="s">
        <v>219</v>
      </c>
      <c r="E1509" s="8" t="s">
        <v>145</v>
      </c>
      <c r="F1509" s="10">
        <v>6</v>
      </c>
      <c r="G1509" s="10">
        <v>3450</v>
      </c>
      <c r="H1509" s="10">
        <v>22.7</v>
      </c>
      <c r="I1509" s="10">
        <v>16001.1</v>
      </c>
      <c r="J1509" s="8" t="s">
        <v>147</v>
      </c>
      <c r="K1509" s="8" t="s">
        <v>98</v>
      </c>
      <c r="L1509" s="18" t="str">
        <f>VLOOKUP(D1509,Products!$A:$C,3,FALSE)</f>
        <v>Sports</v>
      </c>
      <c r="N1509" s="18" t="str">
        <f>VLOOKUP(C1509,Customers!$A:$E,5,FALSE)</f>
        <v>Retail</v>
      </c>
      <c r="O1509" s="18">
        <f>VLOOKUP(C1509,Customers!$A:$C,3,FALSE)</f>
        <v>34</v>
      </c>
      <c r="P1509" s="18" t="str">
        <f>VLOOKUP(E1508,Sales_Reps!$A:$C,3,FALSE)</f>
        <v>South</v>
      </c>
      <c r="Q1509" s="18" t="str">
        <f t="shared" si="298"/>
        <v>Jul-24</v>
      </c>
      <c r="R1509">
        <f>VLOOKUP(D1509, Products!A:D, 4, FALSE)</f>
        <v>2467</v>
      </c>
      <c r="S1509">
        <f t="shared" si="299"/>
        <v>0.28492753623188405</v>
      </c>
    </row>
    <row r="1510" spans="1:19" ht="14.25" hidden="1" customHeight="1" x14ac:dyDescent="0.3">
      <c r="A1510" s="8" t="s">
        <v>2546</v>
      </c>
      <c r="B1510" s="9">
        <v>45456</v>
      </c>
      <c r="C1510" s="8" t="s">
        <v>246</v>
      </c>
      <c r="D1510" s="8" t="s">
        <v>224</v>
      </c>
      <c r="E1510" s="8" t="s">
        <v>261</v>
      </c>
      <c r="F1510" s="10">
        <v>10</v>
      </c>
      <c r="G1510" s="10">
        <v>1080</v>
      </c>
      <c r="H1510" s="10">
        <v>27.4</v>
      </c>
      <c r="I1510" s="10">
        <v>7840.8</v>
      </c>
      <c r="J1510" s="8" t="s">
        <v>41</v>
      </c>
      <c r="K1510" s="8" t="s">
        <v>98</v>
      </c>
      <c r="L1510" s="18" t="str">
        <f>VLOOKUP(D1510,Products!$A:$C,3,FALSE)</f>
        <v>Home</v>
      </c>
      <c r="N1510" s="18" t="str">
        <f>VLOOKUP(C1510,Customers!$A:$E,5,FALSE)</f>
        <v>Corporate</v>
      </c>
      <c r="O1510" s="18">
        <f>VLOOKUP(C1510,Customers!$A:$C,3,FALSE)</f>
        <v>55</v>
      </c>
    </row>
    <row r="1511" spans="1:19" ht="14.25" hidden="1" customHeight="1" x14ac:dyDescent="0.3">
      <c r="A1511" s="8" t="s">
        <v>2547</v>
      </c>
      <c r="B1511" s="9">
        <v>45605</v>
      </c>
      <c r="C1511" s="8" t="s">
        <v>715</v>
      </c>
      <c r="D1511" s="8" t="s">
        <v>789</v>
      </c>
      <c r="E1511" s="8" t="s">
        <v>145</v>
      </c>
      <c r="F1511" s="10">
        <v>6</v>
      </c>
      <c r="G1511" s="10">
        <v>1540</v>
      </c>
      <c r="H1511" s="10">
        <v>17.100000000000001</v>
      </c>
      <c r="I1511" s="10">
        <v>7659.96</v>
      </c>
      <c r="J1511" s="8" t="s">
        <v>41</v>
      </c>
      <c r="K1511" s="8" t="s">
        <v>42</v>
      </c>
      <c r="L1511" s="18" t="str">
        <f>VLOOKUP(D1511,Products!$A:$C,3,FALSE)</f>
        <v>Beauty</v>
      </c>
      <c r="N1511" s="18" t="str">
        <f>VLOOKUP(C1511,Customers!$A:$E,5,FALSE)</f>
        <v>SMB</v>
      </c>
      <c r="O1511" s="18">
        <f>VLOOKUP(C1511,Customers!$A:$C,3,FALSE)</f>
        <v>59</v>
      </c>
    </row>
    <row r="1512" spans="1:19" ht="14.25" hidden="1" customHeight="1" x14ac:dyDescent="0.3">
      <c r="A1512" s="8" t="s">
        <v>2548</v>
      </c>
      <c r="B1512" s="9">
        <v>45556</v>
      </c>
      <c r="C1512" s="8" t="s">
        <v>2549</v>
      </c>
      <c r="D1512" s="8" t="s">
        <v>239</v>
      </c>
      <c r="E1512" s="8" t="s">
        <v>745</v>
      </c>
      <c r="F1512" s="10">
        <v>6</v>
      </c>
      <c r="G1512" s="10">
        <v>2720</v>
      </c>
      <c r="H1512" s="10">
        <v>28.1</v>
      </c>
      <c r="I1512" s="10">
        <v>11734.08</v>
      </c>
      <c r="J1512" s="8" t="s">
        <v>41</v>
      </c>
      <c r="K1512" s="8" t="s">
        <v>146</v>
      </c>
      <c r="L1512" s="18" t="str">
        <f>VLOOKUP(D1512,Products!$A:$C,3,FALSE)</f>
        <v>Apparel</v>
      </c>
      <c r="N1512" s="18" t="e">
        <f>VLOOKUP(C1512,Customers!$A:$E,5,FALSE)</f>
        <v>#N/A</v>
      </c>
      <c r="O1512" s="18" t="e">
        <f>VLOOKUP(C1512,Customers!$A:$C,3,FALSE)</f>
        <v>#N/A</v>
      </c>
    </row>
    <row r="1513" spans="1:19" ht="14.25" customHeight="1" x14ac:dyDescent="0.3">
      <c r="A1513" s="8" t="s">
        <v>2550</v>
      </c>
      <c r="B1513" s="21">
        <v>45569</v>
      </c>
      <c r="C1513" s="8" t="s">
        <v>771</v>
      </c>
      <c r="D1513" s="8" t="s">
        <v>926</v>
      </c>
      <c r="E1513" s="8" t="s">
        <v>96</v>
      </c>
      <c r="F1513" s="10">
        <v>2</v>
      </c>
      <c r="G1513" s="10">
        <v>5080</v>
      </c>
      <c r="H1513" s="10">
        <v>11.1</v>
      </c>
      <c r="I1513" s="10">
        <v>9032.24</v>
      </c>
      <c r="J1513" s="8" t="s">
        <v>41</v>
      </c>
      <c r="K1513" s="8" t="s">
        <v>178</v>
      </c>
      <c r="L1513" s="18" t="str">
        <f>VLOOKUP(D1513,Products!$A:$C,3,FALSE)</f>
        <v>Home</v>
      </c>
      <c r="N1513" s="18" t="str">
        <f>VLOOKUP(C1513,Customers!$A:$E,5,FALSE)</f>
        <v>Retail</v>
      </c>
      <c r="O1513" s="18">
        <f>VLOOKUP(C1513,Customers!$A:$C,3,FALSE)</f>
        <v>27</v>
      </c>
      <c r="P1513" s="18" t="str">
        <f>VLOOKUP(E1512,Sales_Reps!$A:$C,3,FALSE)</f>
        <v>South</v>
      </c>
      <c r="Q1513" s="18" t="str">
        <f>TEXT(B1512,"MMM-YY")</f>
        <v>Sep-24</v>
      </c>
      <c r="R1513">
        <f>VLOOKUP(D1513, Products!A:D, 4, FALSE)</f>
        <v>2459</v>
      </c>
      <c r="S1513">
        <f>(G1513-R1513)/G1513</f>
        <v>0.51594488188976373</v>
      </c>
    </row>
    <row r="1514" spans="1:19" ht="14.25" hidden="1" customHeight="1" x14ac:dyDescent="0.3">
      <c r="A1514" s="8" t="s">
        <v>2551</v>
      </c>
      <c r="B1514" s="9">
        <v>45329</v>
      </c>
      <c r="C1514" s="8" t="s">
        <v>2552</v>
      </c>
      <c r="D1514" s="8" t="s">
        <v>896</v>
      </c>
      <c r="E1514" s="8" t="s">
        <v>135</v>
      </c>
      <c r="F1514" s="10">
        <v>5</v>
      </c>
      <c r="G1514" s="10">
        <v>620</v>
      </c>
      <c r="H1514" s="10">
        <v>10.9</v>
      </c>
      <c r="I1514" s="10">
        <v>2762.1</v>
      </c>
      <c r="J1514" s="8" t="s">
        <v>97</v>
      </c>
      <c r="K1514" s="8" t="s">
        <v>98</v>
      </c>
      <c r="L1514" s="18" t="str">
        <f>VLOOKUP(D1514,Products!$A:$C,3,FALSE)</f>
        <v>Apparel</v>
      </c>
      <c r="N1514" s="18" t="e">
        <f>VLOOKUP(C1514,Customers!$A:$E,5,FALSE)</f>
        <v>#N/A</v>
      </c>
      <c r="O1514" s="18" t="e">
        <f>VLOOKUP(C1514,Customers!$A:$C,3,FALSE)</f>
        <v>#N/A</v>
      </c>
    </row>
    <row r="1515" spans="1:19" ht="14.25" hidden="1" customHeight="1" x14ac:dyDescent="0.3">
      <c r="A1515" s="8" t="s">
        <v>2553</v>
      </c>
      <c r="B1515" s="9">
        <v>45377</v>
      </c>
      <c r="C1515" s="8" t="s">
        <v>372</v>
      </c>
      <c r="D1515" s="8" t="s">
        <v>227</v>
      </c>
      <c r="E1515" s="8" t="s">
        <v>200</v>
      </c>
      <c r="F1515" s="10">
        <v>3</v>
      </c>
      <c r="G1515" s="10">
        <v>2480</v>
      </c>
      <c r="H1515" s="10">
        <v>5</v>
      </c>
      <c r="I1515" s="10">
        <v>7068</v>
      </c>
      <c r="J1515" s="8" t="s">
        <v>41</v>
      </c>
      <c r="K1515" s="8" t="s">
        <v>42</v>
      </c>
      <c r="L1515" s="18" t="str">
        <f>VLOOKUP(D1515,Products!$A:$C,3,FALSE)</f>
        <v>Apparel</v>
      </c>
      <c r="N1515" s="18" t="str">
        <f>VLOOKUP(C1515,Customers!$A:$E,5,FALSE)</f>
        <v>SMB</v>
      </c>
      <c r="O1515" s="18">
        <f>VLOOKUP(C1515,Customers!$A:$C,3,FALSE)</f>
        <v>54</v>
      </c>
    </row>
    <row r="1516" spans="1:19" ht="14.25" hidden="1" customHeight="1" x14ac:dyDescent="0.3">
      <c r="A1516" s="8" t="s">
        <v>2554</v>
      </c>
      <c r="B1516" s="9">
        <v>45537</v>
      </c>
      <c r="C1516" s="8" t="s">
        <v>422</v>
      </c>
      <c r="D1516" s="8" t="s">
        <v>260</v>
      </c>
      <c r="E1516" s="8" t="s">
        <v>96</v>
      </c>
      <c r="F1516" s="10">
        <v>9</v>
      </c>
      <c r="G1516" s="10">
        <v>1010</v>
      </c>
      <c r="H1516" s="10">
        <v>21.9</v>
      </c>
      <c r="I1516" s="10">
        <v>7099.29</v>
      </c>
      <c r="J1516" s="8" t="s">
        <v>41</v>
      </c>
      <c r="K1516" s="8" t="s">
        <v>146</v>
      </c>
      <c r="L1516" s="18" t="str">
        <f>VLOOKUP(D1516,Products!$A:$C,3,FALSE)</f>
        <v>Sports</v>
      </c>
      <c r="N1516" s="18" t="str">
        <f>VLOOKUP(C1516,Customers!$A:$E,5,FALSE)</f>
        <v>Corporate</v>
      </c>
      <c r="O1516" s="18">
        <f>VLOOKUP(C1516,Customers!$A:$C,3,FALSE)</f>
        <v>55</v>
      </c>
    </row>
    <row r="1517" spans="1:19" ht="14.25" customHeight="1" x14ac:dyDescent="0.3">
      <c r="A1517" s="8" t="s">
        <v>2555</v>
      </c>
      <c r="B1517" s="21">
        <v>45550</v>
      </c>
      <c r="C1517" s="8" t="s">
        <v>487</v>
      </c>
      <c r="D1517" s="8" t="s">
        <v>224</v>
      </c>
      <c r="E1517" s="8" t="s">
        <v>185</v>
      </c>
      <c r="F1517" s="10">
        <v>2</v>
      </c>
      <c r="G1517" s="10">
        <v>1080</v>
      </c>
      <c r="H1517" s="10">
        <v>8.5</v>
      </c>
      <c r="I1517" s="10">
        <v>1976.4</v>
      </c>
      <c r="J1517" s="8" t="s">
        <v>41</v>
      </c>
      <c r="K1517" s="8" t="s">
        <v>42</v>
      </c>
      <c r="L1517" s="18" t="str">
        <f>VLOOKUP(D1517,Products!$A:$C,3,FALSE)</f>
        <v>Home</v>
      </c>
      <c r="N1517" s="18" t="str">
        <f>VLOOKUP(C1517,Customers!$A:$E,5,FALSE)</f>
        <v>Retail</v>
      </c>
      <c r="O1517" s="18">
        <f>VLOOKUP(C1517,Customers!$A:$C,3,FALSE)</f>
        <v>22</v>
      </c>
      <c r="P1517" s="18" t="str">
        <f>VLOOKUP(E1516,Sales_Reps!$A:$C,3,FALSE)</f>
        <v>North</v>
      </c>
      <c r="Q1517" s="18" t="str">
        <f>TEXT(B1516,"MMM-YY")</f>
        <v>Sep-24</v>
      </c>
      <c r="R1517">
        <f>VLOOKUP(D1517, Products!A:D, 4, FALSE)</f>
        <v>519</v>
      </c>
      <c r="S1517">
        <f>(G1517-R1517)/G1517</f>
        <v>0.51944444444444449</v>
      </c>
    </row>
    <row r="1518" spans="1:19" ht="14.25" hidden="1" customHeight="1" x14ac:dyDescent="0.3">
      <c r="A1518" s="8" t="s">
        <v>2556</v>
      </c>
      <c r="B1518" s="9">
        <v>45325</v>
      </c>
      <c r="C1518" s="8" t="s">
        <v>377</v>
      </c>
      <c r="D1518" s="8" t="s">
        <v>116</v>
      </c>
      <c r="E1518" s="8" t="s">
        <v>145</v>
      </c>
      <c r="F1518" s="10">
        <v>5</v>
      </c>
      <c r="G1518" s="10">
        <v>470</v>
      </c>
      <c r="H1518" s="10">
        <v>8</v>
      </c>
      <c r="I1518" s="10">
        <v>2162</v>
      </c>
      <c r="J1518" s="8" t="s">
        <v>41</v>
      </c>
      <c r="K1518" s="8" t="s">
        <v>119</v>
      </c>
      <c r="L1518" s="18" t="str">
        <f>VLOOKUP(D1518,Products!$A:$C,3,FALSE)</f>
        <v>Sports</v>
      </c>
      <c r="N1518" s="18" t="str">
        <f>VLOOKUP(C1518,Customers!$A:$E,5,FALSE)</f>
        <v>Retail</v>
      </c>
      <c r="O1518" s="18">
        <f>VLOOKUP(C1518,Customers!$A:$C,3,FALSE)</f>
        <v>53</v>
      </c>
    </row>
    <row r="1519" spans="1:19" ht="14.25" customHeight="1" x14ac:dyDescent="0.3">
      <c r="A1519" s="8" t="s">
        <v>2557</v>
      </c>
      <c r="B1519" s="21">
        <v>45375</v>
      </c>
      <c r="C1519" s="8" t="s">
        <v>351</v>
      </c>
      <c r="D1519" s="8" t="s">
        <v>120</v>
      </c>
      <c r="E1519" s="8" t="s">
        <v>321</v>
      </c>
      <c r="F1519" s="10">
        <v>9</v>
      </c>
      <c r="G1519" s="10">
        <v>3970</v>
      </c>
      <c r="H1519" s="10">
        <v>18.5</v>
      </c>
      <c r="I1519" s="10">
        <v>29119.95</v>
      </c>
      <c r="J1519" s="8" t="s">
        <v>41</v>
      </c>
      <c r="K1519" s="8" t="s">
        <v>42</v>
      </c>
      <c r="L1519" s="18" t="str">
        <f>VLOOKUP(D1519,Products!$A:$C,3,FALSE)</f>
        <v>Electronics</v>
      </c>
      <c r="N1519" s="18" t="str">
        <f>VLOOKUP(C1519,Customers!$A:$E,5,FALSE)</f>
        <v>Retail</v>
      </c>
      <c r="O1519" s="18">
        <f>VLOOKUP(C1519,Customers!$A:$C,3,FALSE)</f>
        <v>25</v>
      </c>
      <c r="P1519" s="18" t="str">
        <f>VLOOKUP(E1518,Sales_Reps!$A:$C,3,FALSE)</f>
        <v>West</v>
      </c>
      <c r="Q1519" s="18" t="str">
        <f t="shared" ref="Q1519:Q1521" si="300">TEXT(B1518,"MMM-YY")</f>
        <v>Feb-24</v>
      </c>
      <c r="R1519">
        <f>VLOOKUP(D1519, Products!A:D, 4, FALSE)</f>
        <v>2865</v>
      </c>
      <c r="S1519">
        <f t="shared" ref="S1519:S1521" si="301">(G1519-R1519)/G1519</f>
        <v>0.27833753148614609</v>
      </c>
    </row>
    <row r="1520" spans="1:19" ht="14.25" customHeight="1" x14ac:dyDescent="0.3">
      <c r="A1520" s="8" t="s">
        <v>2558</v>
      </c>
      <c r="B1520" s="21">
        <v>45614</v>
      </c>
      <c r="C1520" s="8" t="s">
        <v>515</v>
      </c>
      <c r="D1520" s="8" t="s">
        <v>242</v>
      </c>
      <c r="E1520" s="8" t="s">
        <v>177</v>
      </c>
      <c r="F1520" s="10">
        <v>9</v>
      </c>
      <c r="G1520" s="10">
        <v>1650</v>
      </c>
      <c r="H1520" s="10">
        <v>19.5</v>
      </c>
      <c r="I1520" s="10">
        <v>11954.25</v>
      </c>
      <c r="J1520" s="8" t="s">
        <v>41</v>
      </c>
      <c r="K1520" s="8" t="s">
        <v>146</v>
      </c>
      <c r="L1520" s="18" t="str">
        <f>VLOOKUP(D1520,Products!$A:$C,3,FALSE)</f>
        <v>Beauty</v>
      </c>
      <c r="N1520" s="18" t="str">
        <f>VLOOKUP(C1520,Customers!$A:$E,5,FALSE)</f>
        <v>Retail</v>
      </c>
      <c r="O1520" s="18">
        <f>VLOOKUP(C1520,Customers!$A:$C,3,FALSE)</f>
        <v>29</v>
      </c>
      <c r="P1520" s="18" t="str">
        <f>VLOOKUP(E1519,Sales_Reps!$A:$C,3,FALSE)</f>
        <v>East</v>
      </c>
      <c r="Q1520" s="18" t="str">
        <f t="shared" si="300"/>
        <v>Mar-24</v>
      </c>
      <c r="R1520">
        <f>VLOOKUP(D1520, Products!A:D, 4, FALSE)</f>
        <v>1222</v>
      </c>
      <c r="S1520">
        <f t="shared" si="301"/>
        <v>0.2593939393939394</v>
      </c>
    </row>
    <row r="1521" spans="1:19" ht="14.25" customHeight="1" x14ac:dyDescent="0.3">
      <c r="A1521" s="8" t="s">
        <v>2559</v>
      </c>
      <c r="B1521" s="21">
        <v>45364</v>
      </c>
      <c r="C1521" s="8" t="s">
        <v>614</v>
      </c>
      <c r="D1521" s="8" t="s">
        <v>247</v>
      </c>
      <c r="E1521" s="8" t="s">
        <v>125</v>
      </c>
      <c r="F1521" s="10">
        <v>9</v>
      </c>
      <c r="G1521" s="10">
        <v>3350</v>
      </c>
      <c r="H1521" s="10">
        <v>4.0999999999999996</v>
      </c>
      <c r="I1521" s="10">
        <v>28913.85</v>
      </c>
      <c r="J1521" s="8" t="s">
        <v>41</v>
      </c>
      <c r="K1521" s="8" t="s">
        <v>178</v>
      </c>
      <c r="L1521" s="18" t="str">
        <f>VLOOKUP(D1521,Products!$A:$C,3,FALSE)</f>
        <v>Beauty</v>
      </c>
      <c r="N1521" s="18" t="str">
        <f>VLOOKUP(C1521,Customers!$A:$E,5,FALSE)</f>
        <v>Retail</v>
      </c>
      <c r="O1521" s="18">
        <f>VLOOKUP(C1521,Customers!$A:$C,3,FALSE)</f>
        <v>31</v>
      </c>
      <c r="P1521" s="18" t="str">
        <f>VLOOKUP(E1520,Sales_Reps!$A:$C,3,FALSE)</f>
        <v>South</v>
      </c>
      <c r="Q1521" s="18" t="str">
        <f t="shared" si="300"/>
        <v>Nov-24</v>
      </c>
      <c r="R1521">
        <f>VLOOKUP(D1521, Products!A:D, 4, FALSE)</f>
        <v>1728</v>
      </c>
      <c r="S1521">
        <f t="shared" si="301"/>
        <v>0.48417910447761192</v>
      </c>
    </row>
    <row r="1522" spans="1:19" ht="14.25" hidden="1" customHeight="1" x14ac:dyDescent="0.3">
      <c r="A1522" s="8" t="s">
        <v>2560</v>
      </c>
      <c r="B1522" s="9">
        <v>45342</v>
      </c>
      <c r="C1522" s="8" t="s">
        <v>633</v>
      </c>
      <c r="D1522" s="8" t="s">
        <v>120</v>
      </c>
      <c r="E1522" s="8" t="s">
        <v>208</v>
      </c>
      <c r="F1522" s="10">
        <v>7</v>
      </c>
      <c r="G1522" s="10">
        <v>3970</v>
      </c>
      <c r="H1522" s="10">
        <v>15.6</v>
      </c>
      <c r="I1522" s="10">
        <v>23454.76</v>
      </c>
      <c r="J1522" s="8" t="s">
        <v>41</v>
      </c>
      <c r="K1522" s="8" t="s">
        <v>119</v>
      </c>
      <c r="L1522" s="18" t="str">
        <f>VLOOKUP(D1522,Products!$A:$C,3,FALSE)</f>
        <v>Electronics</v>
      </c>
      <c r="N1522" s="18" t="str">
        <f>VLOOKUP(C1522,Customers!$A:$E,5,FALSE)</f>
        <v>Corporate</v>
      </c>
      <c r="O1522" s="18">
        <f>VLOOKUP(C1522,Customers!$A:$C,3,FALSE)</f>
        <v>55</v>
      </c>
    </row>
    <row r="1523" spans="1:19" ht="14.25" customHeight="1" x14ac:dyDescent="0.3">
      <c r="A1523" s="8" t="s">
        <v>2561</v>
      </c>
      <c r="B1523" s="21">
        <v>45454</v>
      </c>
      <c r="C1523" s="8" t="s">
        <v>251</v>
      </c>
      <c r="D1523" s="8" t="s">
        <v>624</v>
      </c>
      <c r="E1523" s="8" t="s">
        <v>167</v>
      </c>
      <c r="F1523" s="10">
        <v>7</v>
      </c>
      <c r="G1523" s="10">
        <v>3780</v>
      </c>
      <c r="H1523" s="10">
        <v>18.7</v>
      </c>
      <c r="I1523" s="10">
        <v>21511.98</v>
      </c>
      <c r="J1523" s="8" t="s">
        <v>41</v>
      </c>
      <c r="K1523" s="8" t="s">
        <v>42</v>
      </c>
      <c r="L1523" s="18" t="str">
        <f>VLOOKUP(D1523,Products!$A:$C,3,FALSE)</f>
        <v>Grocery</v>
      </c>
      <c r="N1523" s="18" t="str">
        <f>VLOOKUP(C1523,Customers!$A:$E,5,FALSE)</f>
        <v>Retail</v>
      </c>
      <c r="O1523" s="18">
        <f>VLOOKUP(C1523,Customers!$A:$C,3,FALSE)</f>
        <v>36</v>
      </c>
      <c r="P1523" s="18" t="str">
        <f>VLOOKUP(E1522,Sales_Reps!$A:$C,3,FALSE)</f>
        <v>East</v>
      </c>
      <c r="Q1523" s="18" t="str">
        <f>TEXT(B1522,"MMM-YY")</f>
        <v>Feb-24</v>
      </c>
      <c r="R1523">
        <f>VLOOKUP(D1523, Products!A:D, 4, FALSE)</f>
        <v>2436</v>
      </c>
      <c r="S1523">
        <f>(G1523-R1523)/G1523</f>
        <v>0.35555555555555557</v>
      </c>
    </row>
    <row r="1524" spans="1:19" ht="14.25" hidden="1" customHeight="1" x14ac:dyDescent="0.3">
      <c r="A1524" s="8" t="s">
        <v>2562</v>
      </c>
      <c r="B1524" s="9">
        <v>45625</v>
      </c>
      <c r="C1524" s="8" t="s">
        <v>754</v>
      </c>
      <c r="D1524" s="8" t="s">
        <v>95</v>
      </c>
      <c r="E1524" s="8" t="s">
        <v>745</v>
      </c>
      <c r="F1524" s="10">
        <v>4</v>
      </c>
      <c r="G1524" s="10">
        <v>820</v>
      </c>
      <c r="H1524" s="10">
        <v>18.8</v>
      </c>
      <c r="I1524" s="10">
        <v>2663.36</v>
      </c>
      <c r="J1524" s="8" t="s">
        <v>147</v>
      </c>
      <c r="K1524" s="8" t="s">
        <v>119</v>
      </c>
      <c r="L1524" s="18" t="str">
        <f>VLOOKUP(D1524,Products!$A:$C,3,FALSE)</f>
        <v>Apparel</v>
      </c>
      <c r="N1524" s="18" t="str">
        <f>VLOOKUP(C1524,Customers!$A:$E,5,FALSE)</f>
        <v>Retail</v>
      </c>
      <c r="O1524" s="18">
        <f>VLOOKUP(C1524,Customers!$A:$C,3,FALSE)</f>
        <v>49</v>
      </c>
    </row>
    <row r="1525" spans="1:19" ht="14.25" hidden="1" customHeight="1" x14ac:dyDescent="0.3">
      <c r="A1525" s="8" t="s">
        <v>2563</v>
      </c>
      <c r="B1525" s="9">
        <v>45600</v>
      </c>
      <c r="C1525" s="8" t="s">
        <v>826</v>
      </c>
      <c r="D1525" s="8" t="s">
        <v>242</v>
      </c>
      <c r="E1525" s="8" t="s">
        <v>196</v>
      </c>
      <c r="F1525" s="10">
        <v>1</v>
      </c>
      <c r="G1525" s="10">
        <v>1650</v>
      </c>
      <c r="H1525" s="10">
        <v>18.8</v>
      </c>
      <c r="I1525" s="10">
        <v>1339.8</v>
      </c>
      <c r="J1525" s="8" t="s">
        <v>147</v>
      </c>
      <c r="K1525" s="8" t="s">
        <v>146</v>
      </c>
      <c r="L1525" s="18" t="str">
        <f>VLOOKUP(D1525,Products!$A:$C,3,FALSE)</f>
        <v>Beauty</v>
      </c>
      <c r="N1525" s="18" t="str">
        <f>VLOOKUP(C1525,Customers!$A:$E,5,FALSE)</f>
        <v>Retail</v>
      </c>
      <c r="O1525" s="18">
        <f>VLOOKUP(C1525,Customers!$A:$C,3,FALSE)</f>
        <v>56</v>
      </c>
    </row>
    <row r="1526" spans="1:19" ht="14.25" customHeight="1" x14ac:dyDescent="0.3">
      <c r="A1526" s="8" t="s">
        <v>2564</v>
      </c>
      <c r="B1526" s="21">
        <v>45397</v>
      </c>
      <c r="C1526" s="8" t="s">
        <v>351</v>
      </c>
      <c r="D1526" s="8" t="s">
        <v>624</v>
      </c>
      <c r="E1526" s="8" t="s">
        <v>216</v>
      </c>
      <c r="F1526" s="10">
        <v>2</v>
      </c>
      <c r="G1526" s="10">
        <v>3780</v>
      </c>
      <c r="H1526" s="10">
        <v>1</v>
      </c>
      <c r="I1526" s="10">
        <v>7484.4</v>
      </c>
      <c r="J1526" s="8" t="s">
        <v>193</v>
      </c>
      <c r="K1526" s="8" t="s">
        <v>42</v>
      </c>
      <c r="L1526" s="18" t="str">
        <f>VLOOKUP(D1526,Products!$A:$C,3,FALSE)</f>
        <v>Grocery</v>
      </c>
      <c r="N1526" s="18" t="str">
        <f>VLOOKUP(C1526,Customers!$A:$E,5,FALSE)</f>
        <v>Retail</v>
      </c>
      <c r="O1526" s="18">
        <f>VLOOKUP(C1526,Customers!$A:$C,3,FALSE)</f>
        <v>25</v>
      </c>
      <c r="P1526" s="18" t="str">
        <f>VLOOKUP(E1525,Sales_Reps!$A:$C,3,FALSE)</f>
        <v>East</v>
      </c>
      <c r="Q1526" s="18" t="str">
        <f>TEXT(B1525,"MMM-YY")</f>
        <v>Nov-24</v>
      </c>
      <c r="R1526">
        <f>VLOOKUP(D1526, Products!A:D, 4, FALSE)</f>
        <v>2436</v>
      </c>
      <c r="S1526">
        <f>(G1526-R1526)/G1526</f>
        <v>0.35555555555555557</v>
      </c>
    </row>
    <row r="1527" spans="1:19" ht="14.25" hidden="1" customHeight="1" x14ac:dyDescent="0.3">
      <c r="A1527" s="8" t="s">
        <v>2565</v>
      </c>
      <c r="B1527" s="9">
        <v>45417</v>
      </c>
      <c r="C1527" s="8" t="s">
        <v>555</v>
      </c>
      <c r="D1527" s="8" t="s">
        <v>918</v>
      </c>
      <c r="E1527" s="8" t="s">
        <v>619</v>
      </c>
      <c r="F1527" s="10">
        <v>5</v>
      </c>
      <c r="G1527" s="10">
        <v>2210</v>
      </c>
      <c r="H1527" s="10">
        <v>16.600000000000001</v>
      </c>
      <c r="I1527" s="10">
        <v>9215.7000000000007</v>
      </c>
      <c r="J1527" s="8" t="s">
        <v>41</v>
      </c>
      <c r="K1527" s="8" t="s">
        <v>146</v>
      </c>
      <c r="L1527" s="18" t="str">
        <f>VLOOKUP(D1527,Products!$A:$C,3,FALSE)</f>
        <v>Grocery</v>
      </c>
      <c r="N1527" s="18" t="str">
        <f>VLOOKUP(C1527,Customers!$A:$E,5,FALSE)</f>
        <v>Retail</v>
      </c>
      <c r="O1527" s="18">
        <f>VLOOKUP(C1527,Customers!$A:$C,3,FALSE)</f>
        <v>41</v>
      </c>
    </row>
    <row r="1528" spans="1:19" ht="14.25" customHeight="1" x14ac:dyDescent="0.3">
      <c r="A1528" s="8" t="s">
        <v>2566</v>
      </c>
      <c r="B1528" s="21">
        <v>45487</v>
      </c>
      <c r="C1528" s="8" t="s">
        <v>603</v>
      </c>
      <c r="D1528" s="8" t="s">
        <v>959</v>
      </c>
      <c r="E1528" s="8" t="s">
        <v>177</v>
      </c>
      <c r="F1528" s="10">
        <v>10</v>
      </c>
      <c r="G1528" s="10">
        <v>6940</v>
      </c>
      <c r="H1528" s="10">
        <v>10.6</v>
      </c>
      <c r="I1528" s="10">
        <v>62043.6</v>
      </c>
      <c r="J1528" s="8" t="s">
        <v>41</v>
      </c>
      <c r="K1528" s="8" t="s">
        <v>178</v>
      </c>
      <c r="L1528" s="18" t="str">
        <f>VLOOKUP(D1528,Products!$A:$C,3,FALSE)</f>
        <v>Sports</v>
      </c>
      <c r="N1528" s="18" t="str">
        <f>VLOOKUP(C1528,Customers!$A:$E,5,FALSE)</f>
        <v>Retail</v>
      </c>
      <c r="O1528" s="18">
        <f>VLOOKUP(C1528,Customers!$A:$C,3,FALSE)</f>
        <v>27</v>
      </c>
      <c r="P1528" s="18" t="str">
        <f>VLOOKUP(E1527,Sales_Reps!$A:$C,3,FALSE)</f>
        <v>West</v>
      </c>
      <c r="Q1528" s="18" t="str">
        <f>TEXT(B1527,"MMM-YY")</f>
        <v>May-24</v>
      </c>
      <c r="R1528">
        <f>VLOOKUP(D1528, Products!A:D, 4, FALSE)</f>
        <v>2827</v>
      </c>
      <c r="S1528">
        <f>(G1528-R1528)/G1528</f>
        <v>0.5926512968299712</v>
      </c>
    </row>
    <row r="1529" spans="1:19" ht="14.25" hidden="1" customHeight="1" x14ac:dyDescent="0.3">
      <c r="A1529" s="8" t="s">
        <v>2567</v>
      </c>
      <c r="B1529" s="9">
        <v>45454</v>
      </c>
      <c r="C1529" s="8" t="s">
        <v>477</v>
      </c>
      <c r="D1529" s="8" t="s">
        <v>939</v>
      </c>
      <c r="E1529" s="8" t="s">
        <v>96</v>
      </c>
      <c r="F1529" s="10">
        <v>8</v>
      </c>
      <c r="G1529" s="10">
        <v>2290</v>
      </c>
      <c r="H1529" s="10">
        <v>12.2</v>
      </c>
      <c r="I1529" s="10">
        <v>16084.96</v>
      </c>
      <c r="J1529" s="8" t="s">
        <v>41</v>
      </c>
      <c r="K1529" s="8" t="s">
        <v>98</v>
      </c>
      <c r="L1529" s="18" t="str">
        <f>VLOOKUP(D1529,Products!$A:$C,3,FALSE)</f>
        <v>Beauty</v>
      </c>
      <c r="N1529" s="18" t="str">
        <f>VLOOKUP(C1529,Customers!$A:$E,5,FALSE)</f>
        <v>SMB</v>
      </c>
      <c r="O1529" s="18">
        <f>VLOOKUP(C1529,Customers!$A:$C,3,FALSE)</f>
        <v>62</v>
      </c>
    </row>
    <row r="1530" spans="1:19" ht="14.25" customHeight="1" x14ac:dyDescent="0.3">
      <c r="A1530" s="8" t="s">
        <v>2568</v>
      </c>
      <c r="B1530" s="21">
        <v>45529</v>
      </c>
      <c r="C1530" s="8" t="s">
        <v>547</v>
      </c>
      <c r="D1530" s="8" t="s">
        <v>924</v>
      </c>
      <c r="E1530" s="8" t="s">
        <v>145</v>
      </c>
      <c r="F1530" s="10">
        <v>5</v>
      </c>
      <c r="G1530" s="10">
        <v>2030</v>
      </c>
      <c r="H1530" s="10">
        <v>23.8</v>
      </c>
      <c r="I1530" s="10">
        <v>7734.3</v>
      </c>
      <c r="J1530" s="8" t="s">
        <v>147</v>
      </c>
      <c r="K1530" s="8" t="s">
        <v>98</v>
      </c>
      <c r="L1530" s="18" t="str">
        <f>VLOOKUP(D1530,Products!$A:$C,3,FALSE)</f>
        <v>Home</v>
      </c>
      <c r="N1530" s="18" t="str">
        <f>VLOOKUP(C1530,Customers!$A:$E,5,FALSE)</f>
        <v>Retail</v>
      </c>
      <c r="O1530" s="18">
        <f>VLOOKUP(C1530,Customers!$A:$C,3,FALSE)</f>
        <v>26</v>
      </c>
      <c r="P1530" s="18" t="str">
        <f>VLOOKUP(E1529,Sales_Reps!$A:$C,3,FALSE)</f>
        <v>North</v>
      </c>
      <c r="Q1530" s="18" t="str">
        <f t="shared" ref="Q1530:Q1531" si="302">TEXT(B1529,"MMM-YY")</f>
        <v>Jun-24</v>
      </c>
      <c r="R1530">
        <f>VLOOKUP(D1530, Products!A:D, 4, FALSE)</f>
        <v>1143</v>
      </c>
      <c r="S1530">
        <f t="shared" ref="S1530:S1531" si="303">(G1530-R1530)/G1530</f>
        <v>0.43694581280788175</v>
      </c>
    </row>
    <row r="1531" spans="1:19" ht="14.25" customHeight="1" x14ac:dyDescent="0.3">
      <c r="A1531" s="8" t="s">
        <v>2569</v>
      </c>
      <c r="B1531" s="21">
        <v>45546</v>
      </c>
      <c r="C1531" s="8" t="s">
        <v>433</v>
      </c>
      <c r="D1531" s="8" t="s">
        <v>120</v>
      </c>
      <c r="E1531" s="8" t="s">
        <v>236</v>
      </c>
      <c r="F1531" s="10">
        <v>3</v>
      </c>
      <c r="G1531" s="10">
        <v>3970</v>
      </c>
      <c r="H1531" s="10">
        <v>7.7</v>
      </c>
      <c r="I1531" s="10">
        <v>10992.93</v>
      </c>
      <c r="J1531" s="8" t="s">
        <v>41</v>
      </c>
      <c r="K1531" s="8" t="s">
        <v>42</v>
      </c>
      <c r="L1531" s="18" t="str">
        <f>VLOOKUP(D1531,Products!$A:$C,3,FALSE)</f>
        <v>Electronics</v>
      </c>
      <c r="N1531" s="18" t="str">
        <f>VLOOKUP(C1531,Customers!$A:$E,5,FALSE)</f>
        <v>SMB</v>
      </c>
      <c r="O1531" s="18">
        <f>VLOOKUP(C1531,Customers!$A:$C,3,FALSE)</f>
        <v>30</v>
      </c>
      <c r="P1531" s="18" t="str">
        <f>VLOOKUP(E1530,Sales_Reps!$A:$C,3,FALSE)</f>
        <v>West</v>
      </c>
      <c r="Q1531" s="18" t="str">
        <f t="shared" si="302"/>
        <v>Aug-24</v>
      </c>
      <c r="R1531">
        <f>VLOOKUP(D1531, Products!A:D, 4, FALSE)</f>
        <v>2865</v>
      </c>
      <c r="S1531">
        <f t="shared" si="303"/>
        <v>0.27833753148614609</v>
      </c>
    </row>
    <row r="1532" spans="1:19" ht="14.25" hidden="1" customHeight="1" x14ac:dyDescent="0.3">
      <c r="A1532" s="8" t="s">
        <v>2570</v>
      </c>
      <c r="B1532" s="9">
        <v>45481</v>
      </c>
      <c r="C1532" s="8" t="s">
        <v>861</v>
      </c>
      <c r="D1532" s="8" t="s">
        <v>95</v>
      </c>
      <c r="E1532" s="8" t="s">
        <v>221</v>
      </c>
      <c r="F1532" s="10">
        <v>1</v>
      </c>
      <c r="G1532" s="10">
        <v>820</v>
      </c>
      <c r="H1532" s="10">
        <v>5.4</v>
      </c>
      <c r="I1532" s="10">
        <v>775.72</v>
      </c>
      <c r="J1532" s="8" t="s">
        <v>41</v>
      </c>
      <c r="K1532" s="8" t="s">
        <v>146</v>
      </c>
      <c r="L1532" s="18" t="str">
        <f>VLOOKUP(D1532,Products!$A:$C,3,FALSE)</f>
        <v>Apparel</v>
      </c>
      <c r="N1532" s="18" t="str">
        <f>VLOOKUP(C1532,Customers!$A:$E,5,FALSE)</f>
        <v>Corporate</v>
      </c>
      <c r="O1532" s="18">
        <f>VLOOKUP(C1532,Customers!$A:$C,3,FALSE)</f>
        <v>51</v>
      </c>
    </row>
    <row r="1533" spans="1:19" ht="14.25" customHeight="1" x14ac:dyDescent="0.3">
      <c r="A1533" s="8" t="s">
        <v>201</v>
      </c>
      <c r="B1533" s="21">
        <v>45472</v>
      </c>
      <c r="C1533" s="8" t="s">
        <v>203</v>
      </c>
      <c r="D1533" s="8" t="s">
        <v>188</v>
      </c>
      <c r="E1533" s="8" t="s">
        <v>145</v>
      </c>
      <c r="F1533" s="10">
        <v>3</v>
      </c>
      <c r="G1533" s="10">
        <v>3870</v>
      </c>
      <c r="H1533" s="10">
        <v>1.9</v>
      </c>
      <c r="I1533" s="10">
        <v>11389.41</v>
      </c>
      <c r="J1533" s="8" t="s">
        <v>41</v>
      </c>
      <c r="K1533" s="8" t="s">
        <v>119</v>
      </c>
      <c r="L1533" s="18" t="str">
        <f>VLOOKUP(D1533,Products!$A:$C,3,FALSE)</f>
        <v>Electronics</v>
      </c>
      <c r="N1533" s="18" t="str">
        <f>VLOOKUP(C1533,Customers!$A:$E,5,FALSE)</f>
        <v>Retail</v>
      </c>
      <c r="O1533" s="18">
        <f>VLOOKUP(C1533,Customers!$A:$C,3,FALSE)</f>
        <v>31</v>
      </c>
      <c r="P1533" s="18" t="str">
        <f>VLOOKUP(E1532,Sales_Reps!$A:$C,3,FALSE)</f>
        <v>South</v>
      </c>
      <c r="Q1533" s="18" t="str">
        <f>TEXT(B1532,"MMM-YY")</f>
        <v>Jul-24</v>
      </c>
      <c r="R1533">
        <f>VLOOKUP(D1533, Products!A:D, 4, FALSE)</f>
        <v>1559</v>
      </c>
      <c r="S1533">
        <f>(G1533-R1533)/G1533</f>
        <v>0.59715762273901807</v>
      </c>
    </row>
    <row r="1534" spans="1:19" ht="14.25" hidden="1" customHeight="1" x14ac:dyDescent="0.3">
      <c r="A1534" s="8" t="s">
        <v>2571</v>
      </c>
      <c r="B1534" s="9">
        <v>45296</v>
      </c>
      <c r="C1534" s="8" t="s">
        <v>776</v>
      </c>
      <c r="D1534" s="8" t="s">
        <v>171</v>
      </c>
      <c r="E1534" s="8" t="s">
        <v>196</v>
      </c>
      <c r="F1534" s="10">
        <v>6</v>
      </c>
      <c r="G1534" s="10">
        <v>970</v>
      </c>
      <c r="H1534" s="10">
        <v>27.1</v>
      </c>
      <c r="I1534" s="10">
        <v>4242.78</v>
      </c>
      <c r="J1534" s="8" t="s">
        <v>41</v>
      </c>
      <c r="K1534" s="8" t="s">
        <v>146</v>
      </c>
      <c r="L1534" s="18" t="str">
        <f>VLOOKUP(D1534,Products!$A:$C,3,FALSE)</f>
        <v>Grocery</v>
      </c>
      <c r="N1534" s="18" t="str">
        <f>VLOOKUP(C1534,Customers!$A:$E,5,FALSE)</f>
        <v>Retail</v>
      </c>
      <c r="O1534" s="18">
        <f>VLOOKUP(C1534,Customers!$A:$C,3,FALSE)</f>
        <v>44</v>
      </c>
    </row>
    <row r="1535" spans="1:19" ht="14.25" hidden="1" customHeight="1" x14ac:dyDescent="0.3">
      <c r="A1535" s="8" t="s">
        <v>2572</v>
      </c>
      <c r="B1535" s="9">
        <v>45567</v>
      </c>
      <c r="C1535" s="8" t="s">
        <v>665</v>
      </c>
      <c r="D1535" s="8" t="s">
        <v>283</v>
      </c>
      <c r="E1535" s="8" t="s">
        <v>145</v>
      </c>
      <c r="F1535" s="10">
        <v>1</v>
      </c>
      <c r="G1535" s="10">
        <v>4880</v>
      </c>
      <c r="H1535" s="10">
        <v>26.8</v>
      </c>
      <c r="I1535" s="10">
        <v>3572.16</v>
      </c>
      <c r="J1535" s="8" t="s">
        <v>41</v>
      </c>
      <c r="K1535" s="8" t="s">
        <v>178</v>
      </c>
      <c r="L1535" s="18" t="str">
        <f>VLOOKUP(D1535,Products!$A:$C,3,FALSE)</f>
        <v>Beauty</v>
      </c>
      <c r="N1535" s="18" t="str">
        <f>VLOOKUP(C1535,Customers!$A:$E,5,FALSE)</f>
        <v>SMB</v>
      </c>
      <c r="O1535" s="18">
        <f>VLOOKUP(C1535,Customers!$A:$C,3,FALSE)</f>
        <v>43</v>
      </c>
    </row>
    <row r="1536" spans="1:19" ht="14.25" hidden="1" customHeight="1" x14ac:dyDescent="0.3">
      <c r="A1536" s="8" t="s">
        <v>2573</v>
      </c>
      <c r="B1536" s="9">
        <v>45337</v>
      </c>
      <c r="C1536" s="8" t="s">
        <v>541</v>
      </c>
      <c r="D1536" s="8" t="s">
        <v>691</v>
      </c>
      <c r="E1536" s="8" t="s">
        <v>208</v>
      </c>
      <c r="F1536" s="10">
        <v>1</v>
      </c>
      <c r="G1536" s="10">
        <v>2270</v>
      </c>
      <c r="H1536" s="10">
        <v>22.2</v>
      </c>
      <c r="I1536" s="10">
        <v>1766.06</v>
      </c>
      <c r="J1536" s="8" t="s">
        <v>41</v>
      </c>
      <c r="K1536" s="8" t="s">
        <v>136</v>
      </c>
      <c r="L1536" s="18" t="str">
        <f>VLOOKUP(D1536,Products!$A:$C,3,FALSE)</f>
        <v>Grocery</v>
      </c>
      <c r="N1536" s="18" t="str">
        <f>VLOOKUP(C1536,Customers!$A:$E,5,FALSE)</f>
        <v>Corporate</v>
      </c>
      <c r="O1536" s="18">
        <f>VLOOKUP(C1536,Customers!$A:$C,3,FALSE)</f>
        <v>41</v>
      </c>
    </row>
    <row r="1537" spans="1:19" ht="14.25" hidden="1" customHeight="1" x14ac:dyDescent="0.3">
      <c r="A1537" s="8" t="s">
        <v>2574</v>
      </c>
      <c r="B1537" s="9">
        <v>45376</v>
      </c>
      <c r="C1537" s="8" t="s">
        <v>207</v>
      </c>
      <c r="D1537" s="8" t="s">
        <v>215</v>
      </c>
      <c r="E1537" s="8" t="s">
        <v>376</v>
      </c>
      <c r="F1537" s="10">
        <v>10</v>
      </c>
      <c r="G1537" s="10">
        <v>3450</v>
      </c>
      <c r="H1537" s="10">
        <v>21.9</v>
      </c>
      <c r="I1537" s="10">
        <v>26944.5</v>
      </c>
      <c r="J1537" s="8" t="s">
        <v>41</v>
      </c>
      <c r="K1537" s="8" t="s">
        <v>136</v>
      </c>
      <c r="L1537" s="18" t="str">
        <f>VLOOKUP(D1537,Products!$A:$C,3,FALSE)</f>
        <v>Beauty</v>
      </c>
      <c r="N1537" s="18" t="str">
        <f>VLOOKUP(C1537,Customers!$A:$E,5,FALSE)</f>
        <v>SMB</v>
      </c>
      <c r="O1537" s="18">
        <f>VLOOKUP(C1537,Customers!$A:$C,3,FALSE)</f>
        <v>46</v>
      </c>
    </row>
    <row r="1538" spans="1:19" ht="14.25" hidden="1" customHeight="1" x14ac:dyDescent="0.3">
      <c r="A1538" s="8" t="s">
        <v>2575</v>
      </c>
      <c r="B1538" s="9">
        <v>45616</v>
      </c>
      <c r="C1538" s="8" t="s">
        <v>652</v>
      </c>
      <c r="D1538" s="8" t="s">
        <v>691</v>
      </c>
      <c r="E1538" s="8" t="s">
        <v>865</v>
      </c>
      <c r="F1538" s="10">
        <v>3</v>
      </c>
      <c r="G1538" s="10">
        <v>2270</v>
      </c>
      <c r="H1538" s="10">
        <v>19.100000000000001</v>
      </c>
      <c r="I1538" s="10">
        <v>5509.29</v>
      </c>
      <c r="J1538" s="8" t="s">
        <v>147</v>
      </c>
      <c r="K1538" s="8" t="s">
        <v>178</v>
      </c>
      <c r="L1538" s="18" t="str">
        <f>VLOOKUP(D1538,Products!$A:$C,3,FALSE)</f>
        <v>Grocery</v>
      </c>
      <c r="N1538" s="18" t="str">
        <f>VLOOKUP(C1538,Customers!$A:$E,5,FALSE)</f>
        <v>SMB</v>
      </c>
      <c r="O1538" s="18">
        <f>VLOOKUP(C1538,Customers!$A:$C,3,FALSE)</f>
        <v>43</v>
      </c>
    </row>
    <row r="1539" spans="1:19" ht="14.25" customHeight="1" x14ac:dyDescent="0.3">
      <c r="A1539" s="8" t="s">
        <v>2576</v>
      </c>
      <c r="B1539" s="21">
        <v>45360</v>
      </c>
      <c r="C1539" s="8" t="s">
        <v>673</v>
      </c>
      <c r="D1539" s="8" t="s">
        <v>918</v>
      </c>
      <c r="E1539" s="8" t="s">
        <v>143</v>
      </c>
      <c r="F1539" s="10">
        <v>10</v>
      </c>
      <c r="G1539" s="10">
        <v>2210</v>
      </c>
      <c r="H1539" s="10">
        <v>22.3</v>
      </c>
      <c r="I1539" s="10">
        <v>17171.7</v>
      </c>
      <c r="J1539" s="8" t="s">
        <v>41</v>
      </c>
      <c r="K1539" s="8" t="s">
        <v>136</v>
      </c>
      <c r="L1539" s="18" t="str">
        <f>VLOOKUP(D1539,Products!$A:$C,3,FALSE)</f>
        <v>Grocery</v>
      </c>
      <c r="N1539" s="18" t="str">
        <f>VLOOKUP(C1539,Customers!$A:$E,5,FALSE)</f>
        <v>Retail</v>
      </c>
      <c r="O1539" s="18">
        <f>VLOOKUP(C1539,Customers!$A:$C,3,FALSE)</f>
        <v>28</v>
      </c>
      <c r="P1539" s="18" t="str">
        <f>VLOOKUP(E1538,Sales_Reps!$A:$C,3,FALSE)</f>
        <v>South</v>
      </c>
      <c r="Q1539" s="18" t="str">
        <f>TEXT(B1538,"MMM-YY")</f>
        <v>Nov-24</v>
      </c>
      <c r="R1539">
        <f>VLOOKUP(D1539, Products!A:D, 4, FALSE)</f>
        <v>1010</v>
      </c>
      <c r="S1539">
        <f>(G1539-R1539)/G1539</f>
        <v>0.54298642533936647</v>
      </c>
    </row>
    <row r="1540" spans="1:19" ht="14.25" hidden="1" customHeight="1" x14ac:dyDescent="0.3">
      <c r="A1540" s="8" t="s">
        <v>2577</v>
      </c>
      <c r="B1540" s="9">
        <v>45465</v>
      </c>
      <c r="C1540" s="8" t="s">
        <v>406</v>
      </c>
      <c r="D1540" s="8" t="s">
        <v>924</v>
      </c>
      <c r="E1540" s="8" t="s">
        <v>865</v>
      </c>
      <c r="F1540" s="10">
        <v>9</v>
      </c>
      <c r="G1540" s="10">
        <v>2030</v>
      </c>
      <c r="H1540" s="10">
        <v>24.8</v>
      </c>
      <c r="I1540" s="10">
        <v>13739.04</v>
      </c>
      <c r="J1540" s="8" t="s">
        <v>41</v>
      </c>
      <c r="K1540" s="8" t="s">
        <v>119</v>
      </c>
      <c r="L1540" s="18" t="str">
        <f>VLOOKUP(D1540,Products!$A:$C,3,FALSE)</f>
        <v>Home</v>
      </c>
      <c r="N1540" s="18" t="str">
        <f>VLOOKUP(C1540,Customers!$A:$E,5,FALSE)</f>
        <v>SMB</v>
      </c>
      <c r="O1540" s="18">
        <f>VLOOKUP(C1540,Customers!$A:$C,3,FALSE)</f>
        <v>59</v>
      </c>
    </row>
    <row r="1541" spans="1:19" ht="14.25" hidden="1" customHeight="1" x14ac:dyDescent="0.3">
      <c r="A1541" s="8" t="s">
        <v>2578</v>
      </c>
      <c r="B1541" s="9">
        <v>45380</v>
      </c>
      <c r="C1541" s="8" t="s">
        <v>580</v>
      </c>
      <c r="D1541" s="8" t="s">
        <v>247</v>
      </c>
      <c r="E1541" s="8" t="s">
        <v>208</v>
      </c>
      <c r="F1541" s="10">
        <v>5</v>
      </c>
      <c r="G1541" s="10">
        <v>3350</v>
      </c>
      <c r="H1541" s="10">
        <v>18.2</v>
      </c>
      <c r="I1541" s="10">
        <v>13701.5</v>
      </c>
      <c r="J1541" s="8" t="s">
        <v>41</v>
      </c>
      <c r="K1541" s="8" t="s">
        <v>178</v>
      </c>
      <c r="L1541" s="18" t="str">
        <f>VLOOKUP(D1541,Products!$A:$C,3,FALSE)</f>
        <v>Beauty</v>
      </c>
      <c r="N1541" s="18" t="str">
        <f>VLOOKUP(C1541,Customers!$A:$E,5,FALSE)</f>
        <v>Retail</v>
      </c>
      <c r="O1541" s="18">
        <f>VLOOKUP(C1541,Customers!$A:$C,3,FALSE)</f>
        <v>44</v>
      </c>
    </row>
    <row r="1542" spans="1:19" ht="14.25" customHeight="1" x14ac:dyDescent="0.3">
      <c r="A1542" s="8" t="s">
        <v>2579</v>
      </c>
      <c r="B1542" s="21">
        <v>45358</v>
      </c>
      <c r="C1542" s="8" t="s">
        <v>808</v>
      </c>
      <c r="D1542" s="8" t="s">
        <v>644</v>
      </c>
      <c r="E1542" s="8" t="s">
        <v>135</v>
      </c>
      <c r="F1542" s="10">
        <v>7</v>
      </c>
      <c r="G1542" s="10">
        <v>3640</v>
      </c>
      <c r="H1542" s="10">
        <v>14.4</v>
      </c>
      <c r="I1542" s="10">
        <v>21810.880000000001</v>
      </c>
      <c r="J1542" s="8" t="s">
        <v>41</v>
      </c>
      <c r="K1542" s="8" t="s">
        <v>98</v>
      </c>
      <c r="L1542" s="18" t="str">
        <f>VLOOKUP(D1542,Products!$A:$C,3,FALSE)</f>
        <v>Apparel</v>
      </c>
      <c r="N1542" s="18" t="str">
        <f>VLOOKUP(C1542,Customers!$A:$E,5,FALSE)</f>
        <v>Retail</v>
      </c>
      <c r="O1542" s="18">
        <f>VLOOKUP(C1542,Customers!$A:$C,3,FALSE)</f>
        <v>35</v>
      </c>
      <c r="P1542" s="18" t="str">
        <f>VLOOKUP(E1541,Sales_Reps!$A:$C,3,FALSE)</f>
        <v>East</v>
      </c>
      <c r="Q1542" s="18" t="str">
        <f t="shared" ref="Q1542:Q1545" si="304">TEXT(B1541,"MMM-YY")</f>
        <v>Mar-24</v>
      </c>
      <c r="R1542">
        <f>VLOOKUP(D1542, Products!A:D, 4, FALSE)</f>
        <v>2611</v>
      </c>
      <c r="S1542">
        <f t="shared" ref="S1542:S1545" si="305">(G1542-R1542)/G1542</f>
        <v>0.28269230769230769</v>
      </c>
    </row>
    <row r="1543" spans="1:19" ht="14.25" customHeight="1" x14ac:dyDescent="0.3">
      <c r="A1543" s="8" t="s">
        <v>2580</v>
      </c>
      <c r="B1543" s="21">
        <v>45385</v>
      </c>
      <c r="C1543" s="8" t="s">
        <v>530</v>
      </c>
      <c r="D1543" s="8" t="s">
        <v>219</v>
      </c>
      <c r="E1543" s="8" t="s">
        <v>167</v>
      </c>
      <c r="F1543" s="10">
        <v>9</v>
      </c>
      <c r="G1543" s="10">
        <v>3450</v>
      </c>
      <c r="H1543" s="10">
        <v>20.100000000000001</v>
      </c>
      <c r="I1543" s="10">
        <v>24808.95</v>
      </c>
      <c r="J1543" s="8" t="s">
        <v>41</v>
      </c>
      <c r="K1543" s="8" t="s">
        <v>146</v>
      </c>
      <c r="L1543" s="18" t="str">
        <f>VLOOKUP(D1543,Products!$A:$C,3,FALSE)</f>
        <v>Sports</v>
      </c>
      <c r="N1543" s="18" t="str">
        <f>VLOOKUP(C1543,Customers!$A:$E,5,FALSE)</f>
        <v>Retail</v>
      </c>
      <c r="O1543" s="18">
        <f>VLOOKUP(C1543,Customers!$A:$C,3,FALSE)</f>
        <v>37</v>
      </c>
      <c r="P1543" s="18" t="str">
        <f>VLOOKUP(E1542,Sales_Reps!$A:$C,3,FALSE)</f>
        <v>North</v>
      </c>
      <c r="Q1543" s="18" t="str">
        <f t="shared" si="304"/>
        <v>Mar-24</v>
      </c>
      <c r="R1543">
        <f>VLOOKUP(D1543, Products!A:D, 4, FALSE)</f>
        <v>2467</v>
      </c>
      <c r="S1543">
        <f t="shared" si="305"/>
        <v>0.28492753623188405</v>
      </c>
    </row>
    <row r="1544" spans="1:19" ht="14.25" customHeight="1" x14ac:dyDescent="0.3">
      <c r="A1544" s="8" t="s">
        <v>2581</v>
      </c>
      <c r="B1544" s="21">
        <v>45443</v>
      </c>
      <c r="C1544" s="8" t="s">
        <v>290</v>
      </c>
      <c r="D1544" s="8" t="s">
        <v>215</v>
      </c>
      <c r="E1544" s="8" t="s">
        <v>200</v>
      </c>
      <c r="F1544" s="10">
        <v>6</v>
      </c>
      <c r="G1544" s="10">
        <v>3450</v>
      </c>
      <c r="H1544" s="10">
        <v>19.899999999999999</v>
      </c>
      <c r="I1544" s="10">
        <v>16580.7</v>
      </c>
      <c r="J1544" s="8" t="s">
        <v>97</v>
      </c>
      <c r="K1544" s="8" t="s">
        <v>119</v>
      </c>
      <c r="L1544" s="18" t="str">
        <f>VLOOKUP(D1544,Products!$A:$C,3,FALSE)</f>
        <v>Beauty</v>
      </c>
      <c r="N1544" s="18" t="str">
        <f>VLOOKUP(C1544,Customers!$A:$E,5,FALSE)</f>
        <v>SMB</v>
      </c>
      <c r="O1544" s="18">
        <f>VLOOKUP(C1544,Customers!$A:$C,3,FALSE)</f>
        <v>38</v>
      </c>
      <c r="P1544" s="18" t="str">
        <f>VLOOKUP(E1543,Sales_Reps!$A:$C,3,FALSE)</f>
        <v>East</v>
      </c>
      <c r="Q1544" s="18" t="str">
        <f t="shared" si="304"/>
        <v>Apr-24</v>
      </c>
      <c r="R1544">
        <f>VLOOKUP(D1544, Products!A:D, 4, FALSE)</f>
        <v>2420</v>
      </c>
      <c r="S1544">
        <f t="shared" si="305"/>
        <v>0.29855072463768118</v>
      </c>
    </row>
    <row r="1545" spans="1:19" ht="14.25" customHeight="1" x14ac:dyDescent="0.3">
      <c r="A1545" s="8" t="s">
        <v>2582</v>
      </c>
      <c r="B1545" s="21">
        <v>45599</v>
      </c>
      <c r="C1545" s="8" t="s">
        <v>258</v>
      </c>
      <c r="D1545" s="8" t="s">
        <v>939</v>
      </c>
      <c r="E1545" s="8" t="s">
        <v>196</v>
      </c>
      <c r="F1545" s="10">
        <v>4</v>
      </c>
      <c r="G1545" s="10">
        <v>2290</v>
      </c>
      <c r="H1545" s="10">
        <v>4.8</v>
      </c>
      <c r="I1545" s="10">
        <v>8720.32</v>
      </c>
      <c r="J1545" s="8" t="s">
        <v>97</v>
      </c>
      <c r="K1545" s="8" t="s">
        <v>119</v>
      </c>
      <c r="L1545" s="18" t="str">
        <f>VLOOKUP(D1545,Products!$A:$C,3,FALSE)</f>
        <v>Beauty</v>
      </c>
      <c r="N1545" s="18" t="str">
        <f>VLOOKUP(C1545,Customers!$A:$E,5,FALSE)</f>
        <v>Retail</v>
      </c>
      <c r="O1545" s="18">
        <f>VLOOKUP(C1545,Customers!$A:$C,3,FALSE)</f>
        <v>31</v>
      </c>
      <c r="P1545" s="18" t="str">
        <f>VLOOKUP(E1544,Sales_Reps!$A:$C,3,FALSE)</f>
        <v>North</v>
      </c>
      <c r="Q1545" s="18" t="str">
        <f t="shared" si="304"/>
        <v>May-24</v>
      </c>
      <c r="R1545">
        <f>VLOOKUP(D1545, Products!A:D, 4, FALSE)</f>
        <v>1219</v>
      </c>
      <c r="S1545">
        <f t="shared" si="305"/>
        <v>0.46768558951965067</v>
      </c>
    </row>
    <row r="1546" spans="1:19" ht="14.25" hidden="1" customHeight="1" x14ac:dyDescent="0.3">
      <c r="A1546" s="8" t="s">
        <v>2583</v>
      </c>
      <c r="B1546" s="9">
        <v>45479</v>
      </c>
      <c r="C1546" s="8" t="s">
        <v>763</v>
      </c>
      <c r="D1546" s="8" t="s">
        <v>152</v>
      </c>
      <c r="E1546" s="8" t="s">
        <v>177</v>
      </c>
      <c r="F1546" s="10">
        <v>9</v>
      </c>
      <c r="G1546" s="10">
        <v>960</v>
      </c>
      <c r="H1546" s="10">
        <v>2.4</v>
      </c>
      <c r="I1546" s="10">
        <v>8432.64</v>
      </c>
      <c r="J1546" s="8" t="s">
        <v>41</v>
      </c>
      <c r="K1546" s="8" t="s">
        <v>178</v>
      </c>
      <c r="L1546" s="18" t="str">
        <f>VLOOKUP(D1546,Products!$A:$C,3,FALSE)</f>
        <v>Sports</v>
      </c>
      <c r="N1546" s="18" t="str">
        <f>VLOOKUP(C1546,Customers!$A:$E,5,FALSE)</f>
        <v>Retail</v>
      </c>
      <c r="O1546" s="18">
        <f>VLOOKUP(C1546,Customers!$A:$C,3,FALSE)</f>
        <v>65</v>
      </c>
    </row>
    <row r="1547" spans="1:19" ht="14.25" customHeight="1" x14ac:dyDescent="0.3">
      <c r="A1547" s="8" t="s">
        <v>2584</v>
      </c>
      <c r="B1547" s="21">
        <v>45489</v>
      </c>
      <c r="C1547" s="8" t="s">
        <v>288</v>
      </c>
      <c r="D1547" s="8" t="s">
        <v>839</v>
      </c>
      <c r="E1547" s="8" t="s">
        <v>145</v>
      </c>
      <c r="F1547" s="10">
        <v>9</v>
      </c>
      <c r="G1547" s="10">
        <v>4610</v>
      </c>
      <c r="H1547" s="10">
        <v>21.3</v>
      </c>
      <c r="I1547" s="10">
        <v>32652.63</v>
      </c>
      <c r="J1547" s="8" t="s">
        <v>41</v>
      </c>
      <c r="K1547" s="8" t="s">
        <v>119</v>
      </c>
      <c r="L1547" s="18" t="str">
        <f>VLOOKUP(D1547,Products!$A:$C,3,FALSE)</f>
        <v>Home</v>
      </c>
      <c r="N1547" s="18" t="str">
        <f>VLOOKUP(C1547,Customers!$A:$E,5,FALSE)</f>
        <v>SMB</v>
      </c>
      <c r="O1547" s="18">
        <f>VLOOKUP(C1547,Customers!$A:$C,3,FALSE)</f>
        <v>26</v>
      </c>
      <c r="P1547" s="18" t="str">
        <f>VLOOKUP(E1546,Sales_Reps!$A:$C,3,FALSE)</f>
        <v>South</v>
      </c>
      <c r="Q1547" s="18" t="str">
        <f>TEXT(B1546,"MMM-YY")</f>
        <v>Jul-24</v>
      </c>
      <c r="R1547">
        <f>VLOOKUP(D1547, Products!A:D, 4, FALSE)</f>
        <v>1850</v>
      </c>
      <c r="S1547">
        <f>(G1547-R1547)/G1547</f>
        <v>0.59869848156182215</v>
      </c>
    </row>
    <row r="1548" spans="1:19" ht="14.25" hidden="1" customHeight="1" x14ac:dyDescent="0.3">
      <c r="A1548" s="8" t="s">
        <v>2585</v>
      </c>
      <c r="B1548" s="9">
        <v>45514</v>
      </c>
      <c r="C1548" s="8" t="s">
        <v>399</v>
      </c>
      <c r="D1548" s="8" t="s">
        <v>124</v>
      </c>
      <c r="E1548" s="8" t="s">
        <v>200</v>
      </c>
      <c r="F1548" s="10">
        <v>1</v>
      </c>
      <c r="G1548" s="10">
        <v>3660</v>
      </c>
      <c r="H1548" s="10">
        <v>15.6</v>
      </c>
      <c r="I1548" s="10">
        <v>3089.04</v>
      </c>
      <c r="J1548" s="8" t="s">
        <v>41</v>
      </c>
      <c r="K1548" s="8" t="s">
        <v>146</v>
      </c>
      <c r="L1548" s="18" t="str">
        <f>VLOOKUP(D1548,Products!$A:$C,3,FALSE)</f>
        <v>Grocery</v>
      </c>
      <c r="N1548" s="18" t="str">
        <f>VLOOKUP(C1548,Customers!$A:$E,5,FALSE)</f>
        <v>SMB</v>
      </c>
      <c r="O1548" s="18">
        <f>VLOOKUP(C1548,Customers!$A:$C,3,FALSE)</f>
        <v>53</v>
      </c>
    </row>
    <row r="1549" spans="1:19" ht="14.25" hidden="1" customHeight="1" x14ac:dyDescent="0.3">
      <c r="A1549" s="8" t="s">
        <v>2586</v>
      </c>
      <c r="B1549" s="9">
        <v>45653</v>
      </c>
      <c r="C1549" s="8" t="s">
        <v>683</v>
      </c>
      <c r="D1549" s="8" t="s">
        <v>131</v>
      </c>
      <c r="E1549" s="8" t="s">
        <v>189</v>
      </c>
      <c r="F1549" s="10">
        <v>5</v>
      </c>
      <c r="G1549" s="10">
        <v>2660</v>
      </c>
      <c r="H1549" s="10">
        <v>20.399999999999999</v>
      </c>
      <c r="I1549" s="10">
        <v>10586.8</v>
      </c>
      <c r="J1549" s="8" t="s">
        <v>41</v>
      </c>
      <c r="K1549" s="8" t="s">
        <v>178</v>
      </c>
      <c r="L1549" s="18" t="str">
        <f>VLOOKUP(D1549,Products!$A:$C,3,FALSE)</f>
        <v>Electronics</v>
      </c>
      <c r="N1549" s="18" t="str">
        <f>VLOOKUP(C1549,Customers!$A:$E,5,FALSE)</f>
        <v>Corporate</v>
      </c>
      <c r="O1549" s="18">
        <f>VLOOKUP(C1549,Customers!$A:$C,3,FALSE)</f>
        <v>46</v>
      </c>
    </row>
    <row r="1550" spans="1:19" ht="14.25" customHeight="1" x14ac:dyDescent="0.3">
      <c r="A1550" s="8" t="s">
        <v>2587</v>
      </c>
      <c r="B1550" s="21">
        <v>45401</v>
      </c>
      <c r="C1550" s="8" t="s">
        <v>290</v>
      </c>
      <c r="D1550" s="8" t="s">
        <v>789</v>
      </c>
      <c r="E1550" s="8" t="s">
        <v>376</v>
      </c>
      <c r="F1550" s="10">
        <v>8</v>
      </c>
      <c r="G1550" s="10">
        <v>1540</v>
      </c>
      <c r="H1550" s="10">
        <v>0.5</v>
      </c>
      <c r="I1550" s="10">
        <v>12258.4</v>
      </c>
      <c r="J1550" s="8" t="s">
        <v>41</v>
      </c>
      <c r="K1550" s="8" t="s">
        <v>119</v>
      </c>
      <c r="L1550" s="18" t="str">
        <f>VLOOKUP(D1550,Products!$A:$C,3,FALSE)</f>
        <v>Beauty</v>
      </c>
      <c r="N1550" s="18" t="str">
        <f>VLOOKUP(C1550,Customers!$A:$E,5,FALSE)</f>
        <v>SMB</v>
      </c>
      <c r="O1550" s="18">
        <f>VLOOKUP(C1550,Customers!$A:$C,3,FALSE)</f>
        <v>38</v>
      </c>
      <c r="P1550" s="18" t="str">
        <f>VLOOKUP(E1549,Sales_Reps!$A:$C,3,FALSE)</f>
        <v>South</v>
      </c>
      <c r="Q1550" s="18" t="str">
        <f>TEXT(B1549,"MMM-YY")</f>
        <v>Dec-24</v>
      </c>
      <c r="R1550">
        <f>VLOOKUP(D1550, Products!A:D, 4, FALSE)</f>
        <v>647</v>
      </c>
      <c r="S1550">
        <f>(G1550-R1550)/G1550</f>
        <v>0.57987012987012987</v>
      </c>
    </row>
    <row r="1551" spans="1:19" ht="14.25" hidden="1" customHeight="1" x14ac:dyDescent="0.3">
      <c r="A1551" s="8" t="s">
        <v>2588</v>
      </c>
      <c r="B1551" s="9">
        <v>45621</v>
      </c>
      <c r="C1551" s="8" t="s">
        <v>801</v>
      </c>
      <c r="D1551" s="8" t="s">
        <v>120</v>
      </c>
      <c r="E1551" s="8" t="s">
        <v>185</v>
      </c>
      <c r="F1551" s="10">
        <v>4</v>
      </c>
      <c r="G1551" s="10">
        <v>3970</v>
      </c>
      <c r="H1551" s="10">
        <v>22.5</v>
      </c>
      <c r="I1551" s="10">
        <v>12307</v>
      </c>
      <c r="J1551" s="8" t="s">
        <v>41</v>
      </c>
      <c r="K1551" s="8" t="s">
        <v>42</v>
      </c>
      <c r="L1551" s="18" t="str">
        <f>VLOOKUP(D1551,Products!$A:$C,3,FALSE)</f>
        <v>Electronics</v>
      </c>
      <c r="N1551" s="18" t="str">
        <f>VLOOKUP(C1551,Customers!$A:$E,5,FALSE)</f>
        <v>Retail</v>
      </c>
      <c r="O1551" s="18">
        <f>VLOOKUP(C1551,Customers!$A:$C,3,FALSE)</f>
        <v>59</v>
      </c>
    </row>
    <row r="1552" spans="1:19" ht="14.25" hidden="1" customHeight="1" x14ac:dyDescent="0.3">
      <c r="A1552" s="8" t="s">
        <v>2589</v>
      </c>
      <c r="B1552" s="9">
        <v>45368</v>
      </c>
      <c r="C1552" s="8" t="s">
        <v>477</v>
      </c>
      <c r="D1552" s="8" t="s">
        <v>964</v>
      </c>
      <c r="E1552" s="8" t="s">
        <v>38</v>
      </c>
      <c r="F1552" s="10">
        <v>8</v>
      </c>
      <c r="G1552" s="10">
        <v>3780</v>
      </c>
      <c r="H1552" s="10">
        <v>3.8</v>
      </c>
      <c r="I1552" s="10">
        <v>29090.880000000001</v>
      </c>
      <c r="J1552" s="8" t="s">
        <v>41</v>
      </c>
      <c r="K1552" s="8" t="s">
        <v>98</v>
      </c>
      <c r="L1552" s="18" t="str">
        <f>VLOOKUP(D1552,Products!$A:$C,3,FALSE)</f>
        <v>Sports</v>
      </c>
      <c r="N1552" s="18" t="str">
        <f>VLOOKUP(C1552,Customers!$A:$E,5,FALSE)</f>
        <v>SMB</v>
      </c>
      <c r="O1552" s="18">
        <f>VLOOKUP(C1552,Customers!$A:$C,3,FALSE)</f>
        <v>62</v>
      </c>
    </row>
    <row r="1553" spans="1:19" ht="14.25" customHeight="1" x14ac:dyDescent="0.3">
      <c r="A1553" s="8" t="s">
        <v>2590</v>
      </c>
      <c r="B1553" s="21">
        <v>45550</v>
      </c>
      <c r="C1553" s="8" t="s">
        <v>456</v>
      </c>
      <c r="D1553" s="8" t="s">
        <v>691</v>
      </c>
      <c r="E1553" s="8" t="s">
        <v>185</v>
      </c>
      <c r="F1553" s="10">
        <v>4</v>
      </c>
      <c r="G1553" s="10">
        <v>2270</v>
      </c>
      <c r="H1553" s="10">
        <v>3.8</v>
      </c>
      <c r="I1553" s="10">
        <v>8734.9599999999991</v>
      </c>
      <c r="J1553" s="8" t="s">
        <v>147</v>
      </c>
      <c r="K1553" s="8" t="s">
        <v>136</v>
      </c>
      <c r="L1553" s="18" t="str">
        <f>VLOOKUP(D1553,Products!$A:$C,3,FALSE)</f>
        <v>Grocery</v>
      </c>
      <c r="N1553" s="18" t="str">
        <f>VLOOKUP(C1553,Customers!$A:$E,5,FALSE)</f>
        <v>SMB</v>
      </c>
      <c r="O1553" s="18">
        <f>VLOOKUP(C1553,Customers!$A:$C,3,FALSE)</f>
        <v>28</v>
      </c>
      <c r="P1553" s="18" t="str">
        <f>VLOOKUP(E1552,Sales_Reps!$A:$C,3,FALSE)</f>
        <v>North</v>
      </c>
      <c r="Q1553" s="18" t="str">
        <f>TEXT(B1552,"MMM-YY")</f>
        <v>Mar-24</v>
      </c>
      <c r="R1553">
        <f>VLOOKUP(D1553, Products!A:D, 4, FALSE)</f>
        <v>1412</v>
      </c>
      <c r="S1553">
        <f>(G1553-R1553)/G1553</f>
        <v>0.37797356828193834</v>
      </c>
    </row>
    <row r="1554" spans="1:19" ht="14.25" hidden="1" customHeight="1" x14ac:dyDescent="0.3">
      <c r="A1554" s="8" t="s">
        <v>2591</v>
      </c>
      <c r="B1554" s="9">
        <v>45304</v>
      </c>
      <c r="C1554" s="8" t="s">
        <v>558</v>
      </c>
      <c r="D1554" s="8" t="s">
        <v>160</v>
      </c>
      <c r="E1554" s="8" t="s">
        <v>214</v>
      </c>
      <c r="F1554" s="10">
        <v>10</v>
      </c>
      <c r="G1554" s="10">
        <v>1220</v>
      </c>
      <c r="H1554" s="10">
        <v>19.5</v>
      </c>
      <c r="I1554" s="10">
        <v>9821</v>
      </c>
      <c r="J1554" s="8" t="s">
        <v>41</v>
      </c>
      <c r="K1554" s="8" t="s">
        <v>178</v>
      </c>
      <c r="L1554" s="18" t="str">
        <f>VLOOKUP(D1554,Products!$A:$C,3,FALSE)</f>
        <v>Electronics</v>
      </c>
      <c r="N1554" s="18" t="str">
        <f>VLOOKUP(C1554,Customers!$A:$E,5,FALSE)</f>
        <v>SMB</v>
      </c>
      <c r="O1554" s="18">
        <f>VLOOKUP(C1554,Customers!$A:$C,3,FALSE)</f>
        <v>65</v>
      </c>
    </row>
    <row r="1555" spans="1:19" ht="14.25" customHeight="1" x14ac:dyDescent="0.3">
      <c r="A1555" s="8" t="s">
        <v>2592</v>
      </c>
      <c r="B1555" s="21">
        <v>45321</v>
      </c>
      <c r="C1555" s="8" t="s">
        <v>538</v>
      </c>
      <c r="D1555" s="8" t="s">
        <v>247</v>
      </c>
      <c r="E1555" s="8" t="s">
        <v>301</v>
      </c>
      <c r="F1555" s="10">
        <v>10</v>
      </c>
      <c r="G1555" s="10">
        <v>3350</v>
      </c>
      <c r="H1555" s="10">
        <v>7.8</v>
      </c>
      <c r="I1555" s="10">
        <v>30887</v>
      </c>
      <c r="J1555" s="8" t="s">
        <v>41</v>
      </c>
      <c r="K1555" s="8" t="s">
        <v>178</v>
      </c>
      <c r="L1555" s="18" t="str">
        <f>VLOOKUP(D1555,Products!$A:$C,3,FALSE)</f>
        <v>Beauty</v>
      </c>
      <c r="N1555" s="18" t="str">
        <f>VLOOKUP(C1555,Customers!$A:$E,5,FALSE)</f>
        <v>Retail</v>
      </c>
      <c r="O1555" s="18">
        <f>VLOOKUP(C1555,Customers!$A:$C,3,FALSE)</f>
        <v>29</v>
      </c>
      <c r="P1555" s="18" t="str">
        <f>VLOOKUP(E1554,Sales_Reps!$A:$C,3,FALSE)</f>
        <v>South</v>
      </c>
      <c r="Q1555" s="18" t="str">
        <f>TEXT(B1554,"MMM-YY")</f>
        <v>Jan-24</v>
      </c>
      <c r="R1555">
        <f>VLOOKUP(D1555, Products!A:D, 4, FALSE)</f>
        <v>1728</v>
      </c>
      <c r="S1555">
        <f>(G1555-R1555)/G1555</f>
        <v>0.48417910447761192</v>
      </c>
    </row>
    <row r="1556" spans="1:19" ht="14.25" hidden="1" customHeight="1" x14ac:dyDescent="0.3">
      <c r="A1556" s="8" t="s">
        <v>2593</v>
      </c>
      <c r="B1556" s="9">
        <v>45358</v>
      </c>
      <c r="C1556" s="8" t="s">
        <v>2594</v>
      </c>
      <c r="D1556" s="8" t="s">
        <v>247</v>
      </c>
      <c r="E1556" s="8" t="s">
        <v>143</v>
      </c>
      <c r="F1556" s="10">
        <v>7</v>
      </c>
      <c r="G1556" s="10">
        <v>3350</v>
      </c>
      <c r="H1556" s="10">
        <v>14.5</v>
      </c>
      <c r="I1556" s="10">
        <v>20049.75</v>
      </c>
      <c r="J1556" s="8" t="s">
        <v>41</v>
      </c>
      <c r="K1556" s="8" t="s">
        <v>136</v>
      </c>
      <c r="L1556" s="18" t="str">
        <f>VLOOKUP(D1556,Products!$A:$C,3,FALSE)</f>
        <v>Beauty</v>
      </c>
      <c r="N1556" s="18" t="e">
        <f>VLOOKUP(C1556,Customers!$A:$E,5,FALSE)</f>
        <v>#N/A</v>
      </c>
      <c r="O1556" s="18" t="e">
        <f>VLOOKUP(C1556,Customers!$A:$C,3,FALSE)</f>
        <v>#N/A</v>
      </c>
    </row>
    <row r="1557" spans="1:19" ht="14.25" hidden="1" customHeight="1" x14ac:dyDescent="0.3">
      <c r="A1557" s="8" t="s">
        <v>2595</v>
      </c>
      <c r="B1557" s="9">
        <v>45440</v>
      </c>
      <c r="C1557" s="8" t="s">
        <v>410</v>
      </c>
      <c r="D1557" s="8" t="s">
        <v>163</v>
      </c>
      <c r="E1557" s="8" t="s">
        <v>117</v>
      </c>
      <c r="F1557" s="10">
        <v>6</v>
      </c>
      <c r="G1557" s="10">
        <v>5490</v>
      </c>
      <c r="H1557" s="10">
        <v>8</v>
      </c>
      <c r="I1557" s="10">
        <v>30304.799999999999</v>
      </c>
      <c r="J1557" s="8" t="s">
        <v>41</v>
      </c>
      <c r="K1557" s="8" t="s">
        <v>98</v>
      </c>
      <c r="L1557" s="18" t="str">
        <f>VLOOKUP(D1557,Products!$A:$C,3,FALSE)</f>
        <v>Home</v>
      </c>
      <c r="N1557" s="18" t="str">
        <f>VLOOKUP(C1557,Customers!$A:$E,5,FALSE)</f>
        <v>Retail</v>
      </c>
      <c r="O1557" s="18">
        <f>VLOOKUP(C1557,Customers!$A:$C,3,FALSE)</f>
        <v>51</v>
      </c>
    </row>
    <row r="1558" spans="1:19" ht="14.25" customHeight="1" x14ac:dyDescent="0.3">
      <c r="A1558" s="8" t="s">
        <v>2596</v>
      </c>
      <c r="B1558" s="21">
        <v>45618</v>
      </c>
      <c r="C1558" s="8" t="s">
        <v>561</v>
      </c>
      <c r="D1558" s="8" t="s">
        <v>338</v>
      </c>
      <c r="E1558" s="8" t="s">
        <v>167</v>
      </c>
      <c r="F1558" s="10">
        <v>3</v>
      </c>
      <c r="G1558" s="10">
        <v>2860</v>
      </c>
      <c r="H1558" s="10">
        <v>19.899999999999999</v>
      </c>
      <c r="I1558" s="10">
        <v>6872.58</v>
      </c>
      <c r="J1558" s="8" t="s">
        <v>41</v>
      </c>
      <c r="K1558" s="8" t="s">
        <v>178</v>
      </c>
      <c r="L1558" s="18" t="str">
        <f>VLOOKUP(D1558,Products!$A:$C,3,FALSE)</f>
        <v>Sports</v>
      </c>
      <c r="N1558" s="18" t="str">
        <f>VLOOKUP(C1558,Customers!$A:$E,5,FALSE)</f>
        <v>SMB</v>
      </c>
      <c r="O1558" s="18">
        <f>VLOOKUP(C1558,Customers!$A:$C,3,FALSE)</f>
        <v>39</v>
      </c>
      <c r="P1558" s="18" t="str">
        <f>VLOOKUP(E1557,Sales_Reps!$A:$C,3,FALSE)</f>
        <v>South</v>
      </c>
      <c r="Q1558" s="18" t="str">
        <f t="shared" ref="Q1558:Q1562" si="306">TEXT(B1557,"MMM-YY")</f>
        <v>May-24</v>
      </c>
      <c r="R1558">
        <f>VLOOKUP(D1558, Products!A:D, 4, FALSE)</f>
        <v>2028</v>
      </c>
      <c r="S1558">
        <f t="shared" ref="S1558:S1562" si="307">(G1558-R1558)/G1558</f>
        <v>0.29090909090909089</v>
      </c>
    </row>
    <row r="1559" spans="1:19" ht="14.25" customHeight="1" x14ac:dyDescent="0.3">
      <c r="A1559" s="8" t="s">
        <v>2597</v>
      </c>
      <c r="B1559" s="21">
        <v>45295</v>
      </c>
      <c r="C1559" s="8" t="s">
        <v>556</v>
      </c>
      <c r="D1559" s="8" t="s">
        <v>181</v>
      </c>
      <c r="E1559" s="8" t="s">
        <v>153</v>
      </c>
      <c r="F1559" s="10">
        <v>3</v>
      </c>
      <c r="G1559" s="10">
        <v>2640</v>
      </c>
      <c r="H1559" s="10">
        <v>29.3</v>
      </c>
      <c r="I1559" s="10">
        <v>5599.44</v>
      </c>
      <c r="J1559" s="8" t="s">
        <v>41</v>
      </c>
      <c r="K1559" s="8" t="s">
        <v>98</v>
      </c>
      <c r="L1559" s="18" t="str">
        <f>VLOOKUP(D1559,Products!$A:$C,3,FALSE)</f>
        <v>Electronics</v>
      </c>
      <c r="N1559" s="18" t="str">
        <f>VLOOKUP(C1559,Customers!$A:$E,5,FALSE)</f>
        <v>Retail</v>
      </c>
      <c r="O1559" s="18">
        <f>VLOOKUP(C1559,Customers!$A:$C,3,FALSE)</f>
        <v>24</v>
      </c>
      <c r="P1559" s="18" t="str">
        <f>VLOOKUP(E1558,Sales_Reps!$A:$C,3,FALSE)</f>
        <v>East</v>
      </c>
      <c r="Q1559" s="18" t="str">
        <f t="shared" si="306"/>
        <v>Nov-24</v>
      </c>
      <c r="R1559">
        <f>VLOOKUP(D1559, Products!A:D, 4, FALSE)</f>
        <v>1149</v>
      </c>
      <c r="S1559">
        <f t="shared" si="307"/>
        <v>0.56477272727272732</v>
      </c>
    </row>
    <row r="1560" spans="1:19" ht="14.25" customHeight="1" x14ac:dyDescent="0.3">
      <c r="A1560" s="8" t="s">
        <v>2598</v>
      </c>
      <c r="B1560" s="21">
        <v>45384</v>
      </c>
      <c r="C1560" s="8" t="s">
        <v>159</v>
      </c>
      <c r="D1560" s="8" t="s">
        <v>889</v>
      </c>
      <c r="E1560" s="8" t="s">
        <v>236</v>
      </c>
      <c r="F1560" s="10">
        <v>8</v>
      </c>
      <c r="G1560" s="10">
        <v>3450</v>
      </c>
      <c r="H1560" s="10">
        <v>15.2</v>
      </c>
      <c r="I1560" s="10">
        <v>23404.799999999999</v>
      </c>
      <c r="J1560" s="8" t="s">
        <v>147</v>
      </c>
      <c r="K1560" s="8" t="s">
        <v>98</v>
      </c>
      <c r="L1560" s="18" t="str">
        <f>VLOOKUP(D1560,Products!$A:$C,3,FALSE)</f>
        <v>Apparel</v>
      </c>
      <c r="N1560" s="18" t="str">
        <f>VLOOKUP(C1560,Customers!$A:$E,5,FALSE)</f>
        <v>Corporate</v>
      </c>
      <c r="O1560" s="18">
        <f>VLOOKUP(C1560,Customers!$A:$C,3,FALSE)</f>
        <v>34</v>
      </c>
      <c r="P1560" s="18" t="str">
        <f>VLOOKUP(E1559,Sales_Reps!$A:$C,3,FALSE)</f>
        <v>West</v>
      </c>
      <c r="Q1560" s="18" t="str">
        <f t="shared" si="306"/>
        <v>Jan-24</v>
      </c>
      <c r="R1560">
        <f>VLOOKUP(D1560, Products!A:D, 4, FALSE)</f>
        <v>1748</v>
      </c>
      <c r="S1560">
        <f t="shared" si="307"/>
        <v>0.49333333333333335</v>
      </c>
    </row>
    <row r="1561" spans="1:19" ht="14.25" customHeight="1" x14ac:dyDescent="0.3">
      <c r="A1561" s="8" t="s">
        <v>2599</v>
      </c>
      <c r="B1561" s="21">
        <v>45349</v>
      </c>
      <c r="C1561" s="8" t="s">
        <v>290</v>
      </c>
      <c r="D1561" s="8" t="s">
        <v>144</v>
      </c>
      <c r="E1561" s="8" t="s">
        <v>145</v>
      </c>
      <c r="F1561" s="10">
        <v>6</v>
      </c>
      <c r="G1561" s="10">
        <v>370</v>
      </c>
      <c r="H1561" s="10">
        <v>7</v>
      </c>
      <c r="I1561" s="10">
        <v>2064.6</v>
      </c>
      <c r="J1561" s="8" t="s">
        <v>41</v>
      </c>
      <c r="K1561" s="8" t="s">
        <v>119</v>
      </c>
      <c r="L1561" s="18" t="str">
        <f>VLOOKUP(D1561,Products!$A:$C,3,FALSE)</f>
        <v>Home</v>
      </c>
      <c r="N1561" s="18" t="str">
        <f>VLOOKUP(C1561,Customers!$A:$E,5,FALSE)</f>
        <v>SMB</v>
      </c>
      <c r="O1561" s="18">
        <f>VLOOKUP(C1561,Customers!$A:$C,3,FALSE)</f>
        <v>38</v>
      </c>
      <c r="P1561" s="18" t="str">
        <f>VLOOKUP(E1560,Sales_Reps!$A:$C,3,FALSE)</f>
        <v>West</v>
      </c>
      <c r="Q1561" s="18" t="str">
        <f t="shared" si="306"/>
        <v>Apr-24</v>
      </c>
      <c r="R1561">
        <f>VLOOKUP(D1561, Products!A:D, 4, FALSE)</f>
        <v>288</v>
      </c>
      <c r="S1561">
        <f t="shared" si="307"/>
        <v>0.22162162162162163</v>
      </c>
    </row>
    <row r="1562" spans="1:19" ht="14.25" customHeight="1" x14ac:dyDescent="0.3">
      <c r="A1562" s="8" t="s">
        <v>2600</v>
      </c>
      <c r="B1562" s="21">
        <v>45439</v>
      </c>
      <c r="C1562" s="8" t="s">
        <v>166</v>
      </c>
      <c r="D1562" s="8" t="s">
        <v>912</v>
      </c>
      <c r="E1562" s="8" t="s">
        <v>236</v>
      </c>
      <c r="F1562" s="10">
        <v>10</v>
      </c>
      <c r="G1562" s="10">
        <v>4060</v>
      </c>
      <c r="H1562" s="10">
        <v>4.7</v>
      </c>
      <c r="I1562" s="10">
        <v>38691.800000000003</v>
      </c>
      <c r="J1562" s="8" t="s">
        <v>147</v>
      </c>
      <c r="K1562" s="8" t="s">
        <v>146</v>
      </c>
      <c r="L1562" s="18" t="str">
        <f>VLOOKUP(D1562,Products!$A:$C,3,FALSE)</f>
        <v>Grocery</v>
      </c>
      <c r="N1562" s="18" t="str">
        <f>VLOOKUP(C1562,Customers!$A:$E,5,FALSE)</f>
        <v>SMB</v>
      </c>
      <c r="O1562" s="18">
        <f>VLOOKUP(C1562,Customers!$A:$C,3,FALSE)</f>
        <v>22</v>
      </c>
      <c r="P1562" s="18" t="str">
        <f>VLOOKUP(E1561,Sales_Reps!$A:$C,3,FALSE)</f>
        <v>West</v>
      </c>
      <c r="Q1562" s="18" t="str">
        <f t="shared" si="306"/>
        <v>Feb-24</v>
      </c>
      <c r="R1562">
        <f>VLOOKUP(D1562, Products!A:D, 4, FALSE)</f>
        <v>2911</v>
      </c>
      <c r="S1562">
        <f t="shared" si="307"/>
        <v>0.28300492610837441</v>
      </c>
    </row>
    <row r="1563" spans="1:19" ht="14.25" hidden="1" customHeight="1" x14ac:dyDescent="0.3">
      <c r="A1563" s="8" t="s">
        <v>2601</v>
      </c>
      <c r="B1563" s="9">
        <v>45426</v>
      </c>
      <c r="C1563" s="8" t="s">
        <v>302</v>
      </c>
      <c r="D1563" s="8" t="s">
        <v>188</v>
      </c>
      <c r="E1563" s="8" t="s">
        <v>153</v>
      </c>
      <c r="F1563" s="10">
        <v>1</v>
      </c>
      <c r="G1563" s="10">
        <v>3870</v>
      </c>
      <c r="H1563" s="10">
        <v>18.2</v>
      </c>
      <c r="I1563" s="10">
        <v>3165.66</v>
      </c>
      <c r="J1563" s="8" t="s">
        <v>97</v>
      </c>
      <c r="K1563" s="8" t="s">
        <v>136</v>
      </c>
      <c r="L1563" s="18" t="str">
        <f>VLOOKUP(D1563,Products!$A:$C,3,FALSE)</f>
        <v>Electronics</v>
      </c>
      <c r="N1563" s="18" t="str">
        <f>VLOOKUP(C1563,Customers!$A:$E,5,FALSE)</f>
        <v>Corporate</v>
      </c>
      <c r="O1563" s="18">
        <f>VLOOKUP(C1563,Customers!$A:$C,3,FALSE)</f>
        <v>55</v>
      </c>
    </row>
    <row r="1564" spans="1:19" ht="14.25" hidden="1" customHeight="1" x14ac:dyDescent="0.3">
      <c r="A1564" s="8" t="s">
        <v>2602</v>
      </c>
      <c r="B1564" s="9">
        <v>45385</v>
      </c>
      <c r="C1564" s="8" t="s">
        <v>600</v>
      </c>
      <c r="D1564" s="8" t="s">
        <v>230</v>
      </c>
      <c r="E1564" s="8" t="s">
        <v>125</v>
      </c>
      <c r="F1564" s="10">
        <v>1</v>
      </c>
      <c r="G1564" s="10">
        <v>5330</v>
      </c>
      <c r="H1564" s="10">
        <v>3.9</v>
      </c>
      <c r="I1564" s="10">
        <v>5122.13</v>
      </c>
      <c r="J1564" s="8" t="s">
        <v>193</v>
      </c>
      <c r="K1564" s="8" t="s">
        <v>42</v>
      </c>
      <c r="L1564" s="18" t="str">
        <f>VLOOKUP(D1564,Products!$A:$C,3,FALSE)</f>
        <v>Electronics</v>
      </c>
      <c r="N1564" s="18" t="str">
        <f>VLOOKUP(C1564,Customers!$A:$E,5,FALSE)</f>
        <v>Corporate</v>
      </c>
      <c r="O1564" s="18">
        <f>VLOOKUP(C1564,Customers!$A:$C,3,FALSE)</f>
        <v>42</v>
      </c>
    </row>
    <row r="1565" spans="1:19" ht="14.25" customHeight="1" x14ac:dyDescent="0.3">
      <c r="A1565" s="8" t="s">
        <v>2603</v>
      </c>
      <c r="B1565" s="21">
        <v>45312</v>
      </c>
      <c r="C1565" s="8" t="s">
        <v>603</v>
      </c>
      <c r="D1565" s="8" t="s">
        <v>144</v>
      </c>
      <c r="E1565" s="8" t="s">
        <v>321</v>
      </c>
      <c r="F1565" s="10">
        <v>8</v>
      </c>
      <c r="G1565" s="10">
        <v>370</v>
      </c>
      <c r="H1565" s="10">
        <v>1.3</v>
      </c>
      <c r="I1565" s="10">
        <v>2921.52</v>
      </c>
      <c r="J1565" s="8" t="s">
        <v>41</v>
      </c>
      <c r="K1565" s="8" t="s">
        <v>178</v>
      </c>
      <c r="L1565" s="18" t="str">
        <f>VLOOKUP(D1565,Products!$A:$C,3,FALSE)</f>
        <v>Home</v>
      </c>
      <c r="N1565" s="18" t="str">
        <f>VLOOKUP(C1565,Customers!$A:$E,5,FALSE)</f>
        <v>Retail</v>
      </c>
      <c r="O1565" s="18">
        <f>VLOOKUP(C1565,Customers!$A:$C,3,FALSE)</f>
        <v>27</v>
      </c>
      <c r="P1565" s="18" t="str">
        <f>VLOOKUP(E1564,Sales_Reps!$A:$C,3,FALSE)</f>
        <v>North</v>
      </c>
      <c r="Q1565" s="18" t="str">
        <f>TEXT(B1564,"MMM-YY")</f>
        <v>Apr-24</v>
      </c>
      <c r="R1565">
        <f>VLOOKUP(D1565, Products!A:D, 4, FALSE)</f>
        <v>288</v>
      </c>
      <c r="S1565">
        <f>(G1565-R1565)/G1565</f>
        <v>0.22162162162162163</v>
      </c>
    </row>
    <row r="1566" spans="1:19" ht="14.25" hidden="1" customHeight="1" x14ac:dyDescent="0.3">
      <c r="A1566" s="8" t="s">
        <v>2604</v>
      </c>
      <c r="B1566" s="9">
        <v>45622</v>
      </c>
      <c r="C1566" s="8" t="s">
        <v>271</v>
      </c>
      <c r="D1566" s="8" t="s">
        <v>154</v>
      </c>
      <c r="E1566" s="8" t="s">
        <v>321</v>
      </c>
      <c r="F1566" s="10">
        <v>7</v>
      </c>
      <c r="G1566" s="10">
        <v>300</v>
      </c>
      <c r="H1566" s="10">
        <v>7.1</v>
      </c>
      <c r="I1566" s="10">
        <v>1950.9</v>
      </c>
      <c r="J1566" s="8" t="s">
        <v>41</v>
      </c>
      <c r="K1566" s="8" t="s">
        <v>146</v>
      </c>
      <c r="L1566" s="18" t="str">
        <f>VLOOKUP(D1566,Products!$A:$C,3,FALSE)</f>
        <v>Electronics</v>
      </c>
      <c r="N1566" s="18" t="str">
        <f>VLOOKUP(C1566,Customers!$A:$E,5,FALSE)</f>
        <v>Retail</v>
      </c>
      <c r="O1566" s="18">
        <f>VLOOKUP(C1566,Customers!$A:$C,3,FALSE)</f>
        <v>61</v>
      </c>
    </row>
    <row r="1567" spans="1:19" ht="14.25" hidden="1" customHeight="1" x14ac:dyDescent="0.3">
      <c r="A1567" s="8" t="s">
        <v>2605</v>
      </c>
      <c r="B1567" s="9">
        <v>45508</v>
      </c>
      <c r="C1567" s="8" t="s">
        <v>584</v>
      </c>
      <c r="D1567" s="8" t="s">
        <v>247</v>
      </c>
      <c r="E1567" s="8" t="s">
        <v>189</v>
      </c>
      <c r="F1567" s="10">
        <v>8</v>
      </c>
      <c r="G1567" s="10">
        <v>3350</v>
      </c>
      <c r="H1567" s="10">
        <v>11.2</v>
      </c>
      <c r="I1567" s="10">
        <v>23798.400000000001</v>
      </c>
      <c r="J1567" s="8" t="s">
        <v>41</v>
      </c>
      <c r="K1567" s="8" t="s">
        <v>146</v>
      </c>
      <c r="L1567" s="18" t="str">
        <f>VLOOKUP(D1567,Products!$A:$C,3,FALSE)</f>
        <v>Beauty</v>
      </c>
      <c r="N1567" s="18" t="str">
        <f>VLOOKUP(C1567,Customers!$A:$E,5,FALSE)</f>
        <v>Retail</v>
      </c>
      <c r="O1567" s="18">
        <f>VLOOKUP(C1567,Customers!$A:$C,3,FALSE)</f>
        <v>53</v>
      </c>
    </row>
    <row r="1568" spans="1:19" ht="14.25" hidden="1" customHeight="1" x14ac:dyDescent="0.3">
      <c r="A1568" s="8" t="s">
        <v>2606</v>
      </c>
      <c r="B1568" s="9">
        <v>45528</v>
      </c>
      <c r="C1568" s="8" t="s">
        <v>483</v>
      </c>
      <c r="D1568" s="8" t="s">
        <v>959</v>
      </c>
      <c r="E1568" s="8" t="s">
        <v>214</v>
      </c>
      <c r="F1568" s="10">
        <v>6</v>
      </c>
      <c r="G1568" s="10">
        <v>6940</v>
      </c>
      <c r="H1568" s="10">
        <v>0.3</v>
      </c>
      <c r="I1568" s="10">
        <v>41515.08</v>
      </c>
      <c r="J1568" s="8" t="s">
        <v>41</v>
      </c>
      <c r="K1568" s="8" t="s">
        <v>98</v>
      </c>
      <c r="L1568" s="18" t="str">
        <f>VLOOKUP(D1568,Products!$A:$C,3,FALSE)</f>
        <v>Sports</v>
      </c>
      <c r="N1568" s="18" t="str">
        <f>VLOOKUP(C1568,Customers!$A:$E,5,FALSE)</f>
        <v>SMB</v>
      </c>
      <c r="O1568" s="18">
        <f>VLOOKUP(C1568,Customers!$A:$C,3,FALSE)</f>
        <v>51</v>
      </c>
    </row>
    <row r="1569" spans="1:19" ht="14.25" customHeight="1" x14ac:dyDescent="0.3">
      <c r="A1569" s="8" t="s">
        <v>2607</v>
      </c>
      <c r="B1569" s="21">
        <v>45483</v>
      </c>
      <c r="C1569" s="8" t="s">
        <v>849</v>
      </c>
      <c r="D1569" s="8" t="s">
        <v>949</v>
      </c>
      <c r="E1569" s="8" t="s">
        <v>135</v>
      </c>
      <c r="F1569" s="10">
        <v>10</v>
      </c>
      <c r="G1569" s="10">
        <v>960</v>
      </c>
      <c r="H1569" s="10">
        <v>9.3000000000000007</v>
      </c>
      <c r="I1569" s="10">
        <v>8707.2000000000007</v>
      </c>
      <c r="J1569" s="8" t="s">
        <v>147</v>
      </c>
      <c r="K1569" s="8" t="s">
        <v>136</v>
      </c>
      <c r="L1569" s="18" t="str">
        <f>VLOOKUP(D1569,Products!$A:$C,3,FALSE)</f>
        <v>Beauty</v>
      </c>
      <c r="N1569" s="18" t="str">
        <f>VLOOKUP(C1569,Customers!$A:$E,5,FALSE)</f>
        <v>Retail</v>
      </c>
      <c r="O1569" s="18">
        <f>VLOOKUP(C1569,Customers!$A:$C,3,FALSE)</f>
        <v>32</v>
      </c>
      <c r="P1569" s="18" t="str">
        <f>VLOOKUP(E1568,Sales_Reps!$A:$C,3,FALSE)</f>
        <v>South</v>
      </c>
      <c r="Q1569" s="18" t="str">
        <f t="shared" ref="Q1569:Q1570" si="308">TEXT(B1568,"MMM-YY")</f>
        <v>Aug-24</v>
      </c>
      <c r="R1569">
        <f>VLOOKUP(D1569, Products!A:D, 4, FALSE)</f>
        <v>675</v>
      </c>
      <c r="S1569">
        <f t="shared" ref="S1569:S1570" si="309">(G1569-R1569)/G1569</f>
        <v>0.296875</v>
      </c>
    </row>
    <row r="1570" spans="1:19" ht="14.25" customHeight="1" x14ac:dyDescent="0.3">
      <c r="A1570" s="8" t="s">
        <v>2608</v>
      </c>
      <c r="B1570" s="21">
        <v>45625</v>
      </c>
      <c r="C1570" s="8" t="s">
        <v>425</v>
      </c>
      <c r="D1570" s="8" t="s">
        <v>374</v>
      </c>
      <c r="E1570" s="8" t="s">
        <v>216</v>
      </c>
      <c r="F1570" s="10">
        <v>10</v>
      </c>
      <c r="G1570" s="10">
        <v>2760</v>
      </c>
      <c r="H1570" s="10">
        <v>17.2</v>
      </c>
      <c r="I1570" s="10">
        <v>22852.799999999999</v>
      </c>
      <c r="J1570" s="8" t="s">
        <v>41</v>
      </c>
      <c r="K1570" s="8" t="s">
        <v>146</v>
      </c>
      <c r="L1570" s="18" t="str">
        <f>VLOOKUP(D1570,Products!$A:$C,3,FALSE)</f>
        <v>Grocery</v>
      </c>
      <c r="N1570" s="18" t="str">
        <f>VLOOKUP(C1570,Customers!$A:$E,5,FALSE)</f>
        <v>Retail</v>
      </c>
      <c r="O1570" s="18">
        <f>VLOOKUP(C1570,Customers!$A:$C,3,FALSE)</f>
        <v>38</v>
      </c>
      <c r="P1570" s="18" t="str">
        <f>VLOOKUP(E1569,Sales_Reps!$A:$C,3,FALSE)</f>
        <v>North</v>
      </c>
      <c r="Q1570" s="18" t="str">
        <f t="shared" si="308"/>
        <v>Jul-24</v>
      </c>
      <c r="R1570">
        <f>VLOOKUP(D1570, Products!A:D, 4, FALSE)</f>
        <v>1435</v>
      </c>
      <c r="S1570">
        <f t="shared" si="309"/>
        <v>0.48007246376811596</v>
      </c>
    </row>
    <row r="1571" spans="1:19" ht="14.25" hidden="1" customHeight="1" x14ac:dyDescent="0.3">
      <c r="A1571" s="8" t="s">
        <v>2609</v>
      </c>
      <c r="B1571" s="9">
        <v>45358</v>
      </c>
      <c r="C1571" s="8" t="s">
        <v>587</v>
      </c>
      <c r="D1571" s="8" t="s">
        <v>176</v>
      </c>
      <c r="E1571" s="8" t="s">
        <v>376</v>
      </c>
      <c r="F1571" s="10">
        <v>4</v>
      </c>
      <c r="G1571" s="10">
        <v>2270</v>
      </c>
      <c r="H1571" s="10">
        <v>26.8</v>
      </c>
      <c r="I1571" s="10">
        <v>6646.56</v>
      </c>
      <c r="J1571" s="8" t="s">
        <v>41</v>
      </c>
      <c r="K1571" s="8" t="s">
        <v>136</v>
      </c>
      <c r="L1571" s="18" t="str">
        <f>VLOOKUP(D1571,Products!$A:$C,3,FALSE)</f>
        <v>Grocery</v>
      </c>
      <c r="N1571" s="18" t="str">
        <f>VLOOKUP(C1571,Customers!$A:$E,5,FALSE)</f>
        <v>SMB</v>
      </c>
      <c r="O1571" s="18">
        <f>VLOOKUP(C1571,Customers!$A:$C,3,FALSE)</f>
        <v>64</v>
      </c>
    </row>
    <row r="1572" spans="1:19" ht="14.25" customHeight="1" x14ac:dyDescent="0.3">
      <c r="A1572" s="8" t="s">
        <v>2610</v>
      </c>
      <c r="B1572" s="21">
        <v>45342</v>
      </c>
      <c r="C1572" s="8" t="s">
        <v>575</v>
      </c>
      <c r="D1572" s="8" t="s">
        <v>184</v>
      </c>
      <c r="E1572" s="8" t="s">
        <v>216</v>
      </c>
      <c r="F1572" s="10">
        <v>2</v>
      </c>
      <c r="G1572" s="10">
        <v>2600</v>
      </c>
      <c r="H1572" s="10">
        <v>27</v>
      </c>
      <c r="I1572" s="10">
        <v>3796</v>
      </c>
      <c r="J1572" s="8" t="s">
        <v>41</v>
      </c>
      <c r="K1572" s="8" t="s">
        <v>178</v>
      </c>
      <c r="L1572" s="18" t="str">
        <f>VLOOKUP(D1572,Products!$A:$C,3,FALSE)</f>
        <v>Electronics</v>
      </c>
      <c r="N1572" s="18" t="str">
        <f>VLOOKUP(C1572,Customers!$A:$E,5,FALSE)</f>
        <v>Retail</v>
      </c>
      <c r="O1572" s="18">
        <f>VLOOKUP(C1572,Customers!$A:$C,3,FALSE)</f>
        <v>22</v>
      </c>
      <c r="P1572" s="18" t="str">
        <f>VLOOKUP(E1571,Sales_Reps!$A:$C,3,FALSE)</f>
        <v>West</v>
      </c>
      <c r="Q1572" s="18" t="str">
        <f t="shared" ref="Q1572:Q1573" si="310">TEXT(B1571,"MMM-YY")</f>
        <v>Mar-24</v>
      </c>
      <c r="R1572">
        <f>VLOOKUP(D1572, Products!A:D, 4, FALSE)</f>
        <v>1052</v>
      </c>
      <c r="S1572">
        <f t="shared" ref="S1572:S1573" si="311">(G1572-R1572)/G1572</f>
        <v>0.5953846153846154</v>
      </c>
    </row>
    <row r="1573" spans="1:19" ht="14.25" customHeight="1" x14ac:dyDescent="0.3">
      <c r="A1573" s="8" t="s">
        <v>2611</v>
      </c>
      <c r="B1573" s="21">
        <v>45304</v>
      </c>
      <c r="C1573" s="8" t="s">
        <v>533</v>
      </c>
      <c r="D1573" s="8" t="s">
        <v>211</v>
      </c>
      <c r="E1573" s="8" t="s">
        <v>153</v>
      </c>
      <c r="F1573" s="10">
        <v>4</v>
      </c>
      <c r="G1573" s="10">
        <v>3570</v>
      </c>
      <c r="H1573" s="10">
        <v>12.3</v>
      </c>
      <c r="I1573" s="10">
        <v>12523.56</v>
      </c>
      <c r="J1573" s="8" t="s">
        <v>41</v>
      </c>
      <c r="K1573" s="8" t="s">
        <v>136</v>
      </c>
      <c r="L1573" s="18" t="str">
        <f>VLOOKUP(D1573,Products!$A:$C,3,FALSE)</f>
        <v>Electronics</v>
      </c>
      <c r="N1573" s="18" t="str">
        <f>VLOOKUP(C1573,Customers!$A:$E,5,FALSE)</f>
        <v>SMB</v>
      </c>
      <c r="O1573" s="18">
        <f>VLOOKUP(C1573,Customers!$A:$C,3,FALSE)</f>
        <v>36</v>
      </c>
      <c r="P1573" s="18" t="str">
        <f>VLOOKUP(E1572,Sales_Reps!$A:$C,3,FALSE)</f>
        <v>East</v>
      </c>
      <c r="Q1573" s="18" t="str">
        <f t="shared" si="310"/>
        <v>Feb-24</v>
      </c>
      <c r="R1573">
        <f>VLOOKUP(D1573, Products!A:D, 4, FALSE)</f>
        <v>1665</v>
      </c>
      <c r="S1573">
        <f t="shared" si="311"/>
        <v>0.53361344537815125</v>
      </c>
    </row>
    <row r="1574" spans="1:19" ht="14.25" hidden="1" customHeight="1" x14ac:dyDescent="0.3">
      <c r="A1574" s="8" t="s">
        <v>2612</v>
      </c>
      <c r="B1574" s="9">
        <v>45316</v>
      </c>
      <c r="C1574" s="8" t="s">
        <v>629</v>
      </c>
      <c r="D1574" s="8" t="s">
        <v>926</v>
      </c>
      <c r="E1574" s="8" t="s">
        <v>221</v>
      </c>
      <c r="F1574" s="10">
        <v>5</v>
      </c>
      <c r="G1574" s="10">
        <v>5080</v>
      </c>
      <c r="H1574" s="10">
        <v>1.3</v>
      </c>
      <c r="I1574" s="10">
        <v>25069.8</v>
      </c>
      <c r="J1574" s="8" t="s">
        <v>41</v>
      </c>
      <c r="K1574" s="8" t="s">
        <v>146</v>
      </c>
      <c r="L1574" s="18" t="str">
        <f>VLOOKUP(D1574,Products!$A:$C,3,FALSE)</f>
        <v>Home</v>
      </c>
      <c r="N1574" s="18" t="str">
        <f>VLOOKUP(C1574,Customers!$A:$E,5,FALSE)</f>
        <v>Retail</v>
      </c>
      <c r="O1574" s="18">
        <f>VLOOKUP(C1574,Customers!$A:$C,3,FALSE)</f>
        <v>65</v>
      </c>
    </row>
    <row r="1575" spans="1:19" ht="14.25" customHeight="1" x14ac:dyDescent="0.3">
      <c r="A1575" s="8" t="s">
        <v>2613</v>
      </c>
      <c r="B1575" s="21">
        <v>45340</v>
      </c>
      <c r="C1575" s="8" t="s">
        <v>694</v>
      </c>
      <c r="D1575" s="8" t="s">
        <v>949</v>
      </c>
      <c r="E1575" s="8" t="s">
        <v>221</v>
      </c>
      <c r="F1575" s="10">
        <v>5</v>
      </c>
      <c r="G1575" s="10">
        <v>960</v>
      </c>
      <c r="H1575" s="10">
        <v>25.2</v>
      </c>
      <c r="I1575" s="10">
        <v>3590.4</v>
      </c>
      <c r="J1575" s="8" t="s">
        <v>41</v>
      </c>
      <c r="K1575" s="8" t="s">
        <v>146</v>
      </c>
      <c r="L1575" s="18" t="str">
        <f>VLOOKUP(D1575,Products!$A:$C,3,FALSE)</f>
        <v>Beauty</v>
      </c>
      <c r="N1575" s="18" t="str">
        <f>VLOOKUP(C1575,Customers!$A:$E,5,FALSE)</f>
        <v>Retail</v>
      </c>
      <c r="O1575" s="18">
        <f>VLOOKUP(C1575,Customers!$A:$C,3,FALSE)</f>
        <v>40</v>
      </c>
      <c r="P1575" s="18" t="str">
        <f>VLOOKUP(E1574,Sales_Reps!$A:$C,3,FALSE)</f>
        <v>South</v>
      </c>
      <c r="Q1575" s="18" t="str">
        <f>TEXT(B1574,"MMM-YY")</f>
        <v>Jan-24</v>
      </c>
      <c r="R1575">
        <f>VLOOKUP(D1575, Products!A:D, 4, FALSE)</f>
        <v>675</v>
      </c>
      <c r="S1575">
        <f>(G1575-R1575)/G1575</f>
        <v>0.296875</v>
      </c>
    </row>
    <row r="1576" spans="1:19" ht="14.25" hidden="1" customHeight="1" x14ac:dyDescent="0.3">
      <c r="A1576" s="8" t="s">
        <v>2614</v>
      </c>
      <c r="B1576" s="9">
        <v>45604</v>
      </c>
      <c r="C1576" s="8" t="s">
        <v>416</v>
      </c>
      <c r="D1576" s="8" t="s">
        <v>116</v>
      </c>
      <c r="E1576" s="8" t="s">
        <v>177</v>
      </c>
      <c r="F1576" s="10">
        <v>7</v>
      </c>
      <c r="G1576" s="10">
        <v>470</v>
      </c>
      <c r="H1576" s="10">
        <v>21.6</v>
      </c>
      <c r="I1576" s="10">
        <v>2579.36</v>
      </c>
      <c r="J1576" s="8" t="s">
        <v>41</v>
      </c>
      <c r="K1576" s="8" t="s">
        <v>146</v>
      </c>
      <c r="L1576" s="18" t="str">
        <f>VLOOKUP(D1576,Products!$A:$C,3,FALSE)</f>
        <v>Sports</v>
      </c>
      <c r="N1576" s="18" t="str">
        <f>VLOOKUP(C1576,Customers!$A:$E,5,FALSE)</f>
        <v>Corporate</v>
      </c>
      <c r="O1576" s="18">
        <f>VLOOKUP(C1576,Customers!$A:$C,3,FALSE)</f>
        <v>62</v>
      </c>
    </row>
    <row r="1577" spans="1:19" ht="14.25" hidden="1" customHeight="1" x14ac:dyDescent="0.3">
      <c r="A1577" s="8" t="s">
        <v>2615</v>
      </c>
      <c r="B1577" s="9">
        <v>45625</v>
      </c>
      <c r="C1577" s="8" t="s">
        <v>139</v>
      </c>
      <c r="D1577" s="8" t="s">
        <v>160</v>
      </c>
      <c r="E1577" s="8" t="s">
        <v>619</v>
      </c>
      <c r="F1577" s="10">
        <v>4</v>
      </c>
      <c r="G1577" s="10">
        <v>1220</v>
      </c>
      <c r="H1577" s="10">
        <v>12.6</v>
      </c>
      <c r="I1577" s="10">
        <v>4265.12</v>
      </c>
      <c r="J1577" s="8" t="s">
        <v>41</v>
      </c>
      <c r="K1577" s="8" t="s">
        <v>119</v>
      </c>
      <c r="L1577" s="18" t="str">
        <f>VLOOKUP(D1577,Products!$A:$C,3,FALSE)</f>
        <v>Electronics</v>
      </c>
      <c r="N1577" s="18" t="str">
        <f>VLOOKUP(C1577,Customers!$A:$E,5,FALSE)</f>
        <v>Retail</v>
      </c>
      <c r="O1577" s="18">
        <f>VLOOKUP(C1577,Customers!$A:$C,3,FALSE)</f>
        <v>53</v>
      </c>
    </row>
    <row r="1578" spans="1:19" ht="14.25" hidden="1" customHeight="1" x14ac:dyDescent="0.3">
      <c r="A1578" s="8" t="s">
        <v>2616</v>
      </c>
      <c r="B1578" s="9">
        <v>45293</v>
      </c>
      <c r="C1578" s="8" t="s">
        <v>772</v>
      </c>
      <c r="D1578" s="8" t="s">
        <v>260</v>
      </c>
      <c r="E1578" s="8" t="s">
        <v>135</v>
      </c>
      <c r="F1578" s="10">
        <v>4</v>
      </c>
      <c r="G1578" s="10">
        <v>1010</v>
      </c>
      <c r="H1578" s="10">
        <v>11.3</v>
      </c>
      <c r="I1578" s="10">
        <v>3583.48</v>
      </c>
      <c r="J1578" s="8" t="s">
        <v>41</v>
      </c>
      <c r="K1578" s="8" t="s">
        <v>146</v>
      </c>
      <c r="L1578" s="18" t="str">
        <f>VLOOKUP(D1578,Products!$A:$C,3,FALSE)</f>
        <v>Sports</v>
      </c>
      <c r="N1578" s="18" t="str">
        <f>VLOOKUP(C1578,Customers!$A:$E,5,FALSE)</f>
        <v>Retail</v>
      </c>
      <c r="O1578" s="18">
        <f>VLOOKUP(C1578,Customers!$A:$C,3,FALSE)</f>
        <v>44</v>
      </c>
    </row>
    <row r="1579" spans="1:19" ht="14.25" hidden="1" customHeight="1" x14ac:dyDescent="0.3">
      <c r="A1579" s="8" t="s">
        <v>2617</v>
      </c>
      <c r="B1579" s="9">
        <v>45454</v>
      </c>
      <c r="C1579" s="8" t="s">
        <v>558</v>
      </c>
      <c r="D1579" s="8" t="s">
        <v>124</v>
      </c>
      <c r="E1579" s="8" t="s">
        <v>96</v>
      </c>
      <c r="F1579" s="10">
        <v>4</v>
      </c>
      <c r="G1579" s="10">
        <v>3660</v>
      </c>
      <c r="H1579" s="10">
        <v>7.2</v>
      </c>
      <c r="I1579" s="10">
        <v>13585.92</v>
      </c>
      <c r="J1579" s="8" t="s">
        <v>41</v>
      </c>
      <c r="K1579" s="8" t="s">
        <v>178</v>
      </c>
      <c r="L1579" s="18" t="str">
        <f>VLOOKUP(D1579,Products!$A:$C,3,FALSE)</f>
        <v>Grocery</v>
      </c>
      <c r="N1579" s="18" t="str">
        <f>VLOOKUP(C1579,Customers!$A:$E,5,FALSE)</f>
        <v>SMB</v>
      </c>
      <c r="O1579" s="18">
        <f>VLOOKUP(C1579,Customers!$A:$C,3,FALSE)</f>
        <v>65</v>
      </c>
    </row>
    <row r="1580" spans="1:19" ht="14.25" customHeight="1" x14ac:dyDescent="0.3">
      <c r="A1580" s="8" t="s">
        <v>2618</v>
      </c>
      <c r="B1580" s="21">
        <v>45345</v>
      </c>
      <c r="C1580" s="8" t="s">
        <v>294</v>
      </c>
      <c r="D1580" s="8" t="s">
        <v>163</v>
      </c>
      <c r="E1580" s="8" t="s">
        <v>177</v>
      </c>
      <c r="F1580" s="10">
        <v>4</v>
      </c>
      <c r="G1580" s="10">
        <v>5490</v>
      </c>
      <c r="H1580" s="10">
        <v>8</v>
      </c>
      <c r="I1580" s="10">
        <v>20203.2</v>
      </c>
      <c r="J1580" s="8" t="s">
        <v>41</v>
      </c>
      <c r="K1580" s="8" t="s">
        <v>98</v>
      </c>
      <c r="L1580" s="18" t="str">
        <f>VLOOKUP(D1580,Products!$A:$C,3,FALSE)</f>
        <v>Home</v>
      </c>
      <c r="N1580" s="18" t="str">
        <f>VLOOKUP(C1580,Customers!$A:$E,5,FALSE)</f>
        <v>Retail</v>
      </c>
      <c r="O1580" s="18">
        <f>VLOOKUP(C1580,Customers!$A:$C,3,FALSE)</f>
        <v>22</v>
      </c>
      <c r="P1580" s="18" t="str">
        <f>VLOOKUP(E1579,Sales_Reps!$A:$C,3,FALSE)</f>
        <v>North</v>
      </c>
      <c r="Q1580" s="18" t="str">
        <f>TEXT(B1579,"MMM-YY")</f>
        <v>Jun-24</v>
      </c>
      <c r="R1580">
        <f>VLOOKUP(D1580, Products!A:D, 4, FALSE)</f>
        <v>2549</v>
      </c>
      <c r="S1580">
        <f>(G1580-R1580)/G1580</f>
        <v>0.53570127504553733</v>
      </c>
    </row>
    <row r="1581" spans="1:19" ht="14.25" hidden="1" customHeight="1" x14ac:dyDescent="0.3">
      <c r="A1581" s="8" t="s">
        <v>2619</v>
      </c>
      <c r="B1581" s="9">
        <v>45645</v>
      </c>
      <c r="C1581" s="8" t="s">
        <v>702</v>
      </c>
      <c r="D1581" s="8" t="s">
        <v>691</v>
      </c>
      <c r="E1581" s="8" t="s">
        <v>200</v>
      </c>
      <c r="F1581" s="10">
        <v>6</v>
      </c>
      <c r="G1581" s="10">
        <v>2270</v>
      </c>
      <c r="H1581" s="10">
        <v>17.100000000000001</v>
      </c>
      <c r="I1581" s="10">
        <v>11290.98</v>
      </c>
      <c r="J1581" s="8" t="s">
        <v>41</v>
      </c>
      <c r="K1581" s="8" t="s">
        <v>42</v>
      </c>
      <c r="L1581" s="18" t="str">
        <f>VLOOKUP(D1581,Products!$A:$C,3,FALSE)</f>
        <v>Grocery</v>
      </c>
      <c r="N1581" s="18" t="str">
        <f>VLOOKUP(C1581,Customers!$A:$E,5,FALSE)</f>
        <v>Corporate</v>
      </c>
      <c r="O1581" s="18">
        <f>VLOOKUP(C1581,Customers!$A:$C,3,FALSE)</f>
        <v>48</v>
      </c>
    </row>
    <row r="1582" spans="1:19" ht="14.25" customHeight="1" x14ac:dyDescent="0.3">
      <c r="A1582" s="8" t="s">
        <v>2620</v>
      </c>
      <c r="B1582" s="21">
        <v>45588</v>
      </c>
      <c r="C1582" s="8" t="s">
        <v>150</v>
      </c>
      <c r="D1582" s="8" t="s">
        <v>691</v>
      </c>
      <c r="E1582" s="8" t="s">
        <v>301</v>
      </c>
      <c r="F1582" s="10">
        <v>8</v>
      </c>
      <c r="G1582" s="10">
        <v>2270</v>
      </c>
      <c r="H1582" s="10">
        <v>11.9</v>
      </c>
      <c r="I1582" s="10">
        <v>15998.96</v>
      </c>
      <c r="J1582" s="8" t="s">
        <v>97</v>
      </c>
      <c r="K1582" s="8" t="s">
        <v>42</v>
      </c>
      <c r="L1582" s="18" t="str">
        <f>VLOOKUP(D1582,Products!$A:$C,3,FALSE)</f>
        <v>Grocery</v>
      </c>
      <c r="N1582" s="18" t="str">
        <f>VLOOKUP(C1582,Customers!$A:$E,5,FALSE)</f>
        <v>Retail</v>
      </c>
      <c r="O1582" s="18">
        <f>VLOOKUP(C1582,Customers!$A:$C,3,FALSE)</f>
        <v>25</v>
      </c>
      <c r="P1582" s="18" t="str">
        <f>VLOOKUP(E1581,Sales_Reps!$A:$C,3,FALSE)</f>
        <v>North</v>
      </c>
      <c r="Q1582" s="18" t="str">
        <f>TEXT(B1581,"MMM-YY")</f>
        <v>Dec-24</v>
      </c>
      <c r="R1582">
        <f>VLOOKUP(D1582, Products!A:D, 4, FALSE)</f>
        <v>1412</v>
      </c>
      <c r="S1582">
        <f>(G1582-R1582)/G1582</f>
        <v>0.37797356828193834</v>
      </c>
    </row>
    <row r="1583" spans="1:19" ht="14.25" hidden="1" customHeight="1" x14ac:dyDescent="0.3">
      <c r="A1583" s="8" t="s">
        <v>2621</v>
      </c>
      <c r="B1583" s="9">
        <v>45592</v>
      </c>
      <c r="C1583" s="8" t="s">
        <v>460</v>
      </c>
      <c r="D1583" s="8" t="s">
        <v>184</v>
      </c>
      <c r="E1583" s="8" t="s">
        <v>167</v>
      </c>
      <c r="F1583" s="10">
        <v>6</v>
      </c>
      <c r="G1583" s="10">
        <v>2600</v>
      </c>
      <c r="H1583" s="10">
        <v>5.0999999999999996</v>
      </c>
      <c r="I1583" s="10">
        <v>14804.4</v>
      </c>
      <c r="J1583" s="8" t="s">
        <v>41</v>
      </c>
      <c r="K1583" s="8" t="s">
        <v>42</v>
      </c>
      <c r="L1583" s="18" t="str">
        <f>VLOOKUP(D1583,Products!$A:$C,3,FALSE)</f>
        <v>Electronics</v>
      </c>
      <c r="N1583" s="18" t="str">
        <f>VLOOKUP(C1583,Customers!$A:$E,5,FALSE)</f>
        <v>SMB</v>
      </c>
      <c r="O1583" s="18">
        <f>VLOOKUP(C1583,Customers!$A:$C,3,FALSE)</f>
        <v>60</v>
      </c>
    </row>
    <row r="1584" spans="1:19" ht="14.25" customHeight="1" x14ac:dyDescent="0.3">
      <c r="A1584" s="8" t="s">
        <v>2622</v>
      </c>
      <c r="B1584" s="21">
        <v>45403</v>
      </c>
      <c r="C1584" s="8" t="s">
        <v>233</v>
      </c>
      <c r="D1584" s="8" t="s">
        <v>188</v>
      </c>
      <c r="E1584" s="8" t="s">
        <v>619</v>
      </c>
      <c r="F1584" s="10">
        <v>9</v>
      </c>
      <c r="G1584" s="10">
        <v>3870</v>
      </c>
      <c r="H1584" s="10">
        <v>1.8</v>
      </c>
      <c r="I1584" s="10">
        <v>34203.06</v>
      </c>
      <c r="J1584" s="8" t="s">
        <v>147</v>
      </c>
      <c r="K1584" s="8" t="s">
        <v>146</v>
      </c>
      <c r="L1584" s="18" t="str">
        <f>VLOOKUP(D1584,Products!$A:$C,3,FALSE)</f>
        <v>Electronics</v>
      </c>
      <c r="N1584" s="18" t="str">
        <f>VLOOKUP(C1584,Customers!$A:$E,5,FALSE)</f>
        <v>Retail</v>
      </c>
      <c r="O1584" s="18">
        <f>VLOOKUP(C1584,Customers!$A:$C,3,FALSE)</f>
        <v>34</v>
      </c>
      <c r="P1584" s="18" t="str">
        <f>VLOOKUP(E1583,Sales_Reps!$A:$C,3,FALSE)</f>
        <v>East</v>
      </c>
      <c r="Q1584" s="18" t="str">
        <f>TEXT(B1583,"MMM-YY")</f>
        <v>Oct-24</v>
      </c>
      <c r="R1584">
        <f>VLOOKUP(D1584, Products!A:D, 4, FALSE)</f>
        <v>1559</v>
      </c>
      <c r="S1584">
        <f>(G1584-R1584)/G1584</f>
        <v>0.59715762273901807</v>
      </c>
    </row>
    <row r="1585" spans="1:19" ht="14.25" hidden="1" customHeight="1" x14ac:dyDescent="0.3">
      <c r="A1585" s="8" t="s">
        <v>2623</v>
      </c>
      <c r="B1585" s="9">
        <v>45459</v>
      </c>
      <c r="C1585" s="8" t="s">
        <v>583</v>
      </c>
      <c r="D1585" s="8" t="s">
        <v>120</v>
      </c>
      <c r="E1585" s="8" t="s">
        <v>125</v>
      </c>
      <c r="F1585" s="10">
        <v>3</v>
      </c>
      <c r="G1585" s="10">
        <v>3970</v>
      </c>
      <c r="H1585" s="10">
        <v>8.1999999999999993</v>
      </c>
      <c r="I1585" s="10">
        <v>10933.38</v>
      </c>
      <c r="J1585" s="8" t="s">
        <v>41</v>
      </c>
      <c r="K1585" s="8" t="s">
        <v>42</v>
      </c>
      <c r="L1585" s="18" t="str">
        <f>VLOOKUP(D1585,Products!$A:$C,3,FALSE)</f>
        <v>Electronics</v>
      </c>
      <c r="N1585" s="18" t="str">
        <f>VLOOKUP(C1585,Customers!$A:$E,5,FALSE)</f>
        <v>SMB</v>
      </c>
      <c r="O1585" s="18">
        <f>VLOOKUP(C1585,Customers!$A:$C,3,FALSE)</f>
        <v>53</v>
      </c>
    </row>
    <row r="1586" spans="1:19" ht="14.25" customHeight="1" x14ac:dyDescent="0.3">
      <c r="A1586" s="8" t="s">
        <v>2624</v>
      </c>
      <c r="B1586" s="21">
        <v>45438</v>
      </c>
      <c r="C1586" s="8" t="s">
        <v>346</v>
      </c>
      <c r="D1586" s="8" t="s">
        <v>949</v>
      </c>
      <c r="E1586" s="8" t="s">
        <v>172</v>
      </c>
      <c r="F1586" s="10">
        <v>9</v>
      </c>
      <c r="G1586" s="10">
        <v>960</v>
      </c>
      <c r="H1586" s="10">
        <v>21.7</v>
      </c>
      <c r="I1586" s="10">
        <v>6765.12</v>
      </c>
      <c r="J1586" s="8" t="s">
        <v>147</v>
      </c>
      <c r="K1586" s="8" t="s">
        <v>98</v>
      </c>
      <c r="L1586" s="18" t="str">
        <f>VLOOKUP(D1586,Products!$A:$C,3,FALSE)</f>
        <v>Beauty</v>
      </c>
      <c r="N1586" s="18" t="str">
        <f>VLOOKUP(C1586,Customers!$A:$E,5,FALSE)</f>
        <v>Retail</v>
      </c>
      <c r="O1586" s="18">
        <f>VLOOKUP(C1586,Customers!$A:$C,3,FALSE)</f>
        <v>28</v>
      </c>
      <c r="P1586" s="18" t="str">
        <f>VLOOKUP(E1585,Sales_Reps!$A:$C,3,FALSE)</f>
        <v>North</v>
      </c>
      <c r="Q1586" s="18" t="str">
        <f>TEXT(B1585,"MMM-YY")</f>
        <v>Jun-24</v>
      </c>
      <c r="R1586">
        <f>VLOOKUP(D1586, Products!A:D, 4, FALSE)</f>
        <v>675</v>
      </c>
      <c r="S1586">
        <f>(G1586-R1586)/G1586</f>
        <v>0.296875</v>
      </c>
    </row>
    <row r="1587" spans="1:19" ht="14.25" hidden="1" customHeight="1" x14ac:dyDescent="0.3">
      <c r="A1587" s="8" t="s">
        <v>2625</v>
      </c>
      <c r="B1587" s="9">
        <v>45632</v>
      </c>
      <c r="C1587" s="8" t="s">
        <v>846</v>
      </c>
      <c r="D1587" s="8" t="s">
        <v>954</v>
      </c>
      <c r="E1587" s="8" t="s">
        <v>145</v>
      </c>
      <c r="F1587" s="10">
        <v>3</v>
      </c>
      <c r="G1587" s="10">
        <v>5410</v>
      </c>
      <c r="H1587" s="10">
        <v>20.3</v>
      </c>
      <c r="I1587" s="10">
        <v>12935.31</v>
      </c>
      <c r="J1587" s="8" t="s">
        <v>41</v>
      </c>
      <c r="K1587" s="8" t="s">
        <v>119</v>
      </c>
      <c r="L1587" s="18" t="str">
        <f>VLOOKUP(D1587,Products!$A:$C,3,FALSE)</f>
        <v>Sports</v>
      </c>
      <c r="N1587" s="18" t="str">
        <f>VLOOKUP(C1587,Customers!$A:$E,5,FALSE)</f>
        <v>Retail</v>
      </c>
      <c r="O1587" s="18">
        <f>VLOOKUP(C1587,Customers!$A:$C,3,FALSE)</f>
        <v>63</v>
      </c>
    </row>
    <row r="1588" spans="1:19" ht="14.25" hidden="1" customHeight="1" x14ac:dyDescent="0.3">
      <c r="A1588" s="8" t="s">
        <v>2626</v>
      </c>
      <c r="B1588" s="9">
        <v>45579</v>
      </c>
      <c r="C1588" s="8" t="s">
        <v>523</v>
      </c>
      <c r="D1588" s="8" t="s">
        <v>889</v>
      </c>
      <c r="E1588" s="8" t="s">
        <v>96</v>
      </c>
      <c r="F1588" s="10">
        <v>3</v>
      </c>
      <c r="G1588" s="10">
        <v>3450</v>
      </c>
      <c r="H1588" s="10">
        <v>11.6</v>
      </c>
      <c r="I1588" s="10">
        <v>9149.4</v>
      </c>
      <c r="J1588" s="8" t="s">
        <v>41</v>
      </c>
      <c r="K1588" s="8" t="s">
        <v>98</v>
      </c>
      <c r="L1588" s="18" t="str">
        <f>VLOOKUP(D1588,Products!$A:$C,3,FALSE)</f>
        <v>Apparel</v>
      </c>
      <c r="N1588" s="18" t="str">
        <f>VLOOKUP(C1588,Customers!$A:$E,5,FALSE)</f>
        <v>Corporate</v>
      </c>
      <c r="O1588" s="18">
        <f>VLOOKUP(C1588,Customers!$A:$C,3,FALSE)</f>
        <v>44</v>
      </c>
    </row>
    <row r="1589" spans="1:19" ht="14.25" hidden="1" customHeight="1" x14ac:dyDescent="0.3">
      <c r="A1589" s="8" t="s">
        <v>2627</v>
      </c>
      <c r="B1589" s="9">
        <v>45392</v>
      </c>
      <c r="C1589" s="8" t="s">
        <v>377</v>
      </c>
      <c r="D1589" s="8" t="s">
        <v>867</v>
      </c>
      <c r="E1589" s="8" t="s">
        <v>135</v>
      </c>
      <c r="F1589" s="10">
        <v>2</v>
      </c>
      <c r="G1589" s="10">
        <v>3020</v>
      </c>
      <c r="H1589" s="10">
        <v>20.8</v>
      </c>
      <c r="I1589" s="10">
        <v>4783.68</v>
      </c>
      <c r="J1589" s="8" t="s">
        <v>97</v>
      </c>
      <c r="K1589" s="8" t="s">
        <v>119</v>
      </c>
      <c r="L1589" s="18" t="str">
        <f>VLOOKUP(D1589,Products!$A:$C,3,FALSE)</f>
        <v>Beauty</v>
      </c>
      <c r="N1589" s="18" t="str">
        <f>VLOOKUP(C1589,Customers!$A:$E,5,FALSE)</f>
        <v>Retail</v>
      </c>
      <c r="O1589" s="18">
        <f>VLOOKUP(C1589,Customers!$A:$C,3,FALSE)</f>
        <v>53</v>
      </c>
    </row>
    <row r="1590" spans="1:19" ht="14.25" hidden="1" customHeight="1" x14ac:dyDescent="0.3">
      <c r="A1590" s="8" t="s">
        <v>2628</v>
      </c>
      <c r="B1590" s="9">
        <v>45563</v>
      </c>
      <c r="C1590" s="8" t="s">
        <v>639</v>
      </c>
      <c r="D1590" s="8" t="s">
        <v>199</v>
      </c>
      <c r="E1590" s="8" t="s">
        <v>261</v>
      </c>
      <c r="F1590" s="10">
        <v>3</v>
      </c>
      <c r="G1590" s="10">
        <v>190</v>
      </c>
      <c r="H1590" s="10">
        <v>10.7</v>
      </c>
      <c r="I1590" s="10">
        <v>509.01</v>
      </c>
      <c r="J1590" s="8" t="s">
        <v>41</v>
      </c>
      <c r="K1590" s="8" t="s">
        <v>146</v>
      </c>
      <c r="L1590" s="18" t="str">
        <f>VLOOKUP(D1590,Products!$A:$C,3,FALSE)</f>
        <v>Sports</v>
      </c>
      <c r="N1590" s="18" t="str">
        <f>VLOOKUP(C1590,Customers!$A:$E,5,FALSE)</f>
        <v>SMB</v>
      </c>
      <c r="O1590" s="18">
        <f>VLOOKUP(C1590,Customers!$A:$C,3,FALSE)</f>
        <v>54</v>
      </c>
    </row>
    <row r="1591" spans="1:19" ht="14.25" hidden="1" customHeight="1" x14ac:dyDescent="0.3">
      <c r="A1591" s="8" t="s">
        <v>2629</v>
      </c>
      <c r="B1591" s="9">
        <v>45294</v>
      </c>
      <c r="C1591" s="8" t="s">
        <v>266</v>
      </c>
      <c r="D1591" s="8" t="s">
        <v>569</v>
      </c>
      <c r="E1591" s="8" t="s">
        <v>189</v>
      </c>
      <c r="F1591" s="10">
        <v>4</v>
      </c>
      <c r="G1591" s="10">
        <v>3730</v>
      </c>
      <c r="H1591" s="10">
        <v>6.9</v>
      </c>
      <c r="I1591" s="10">
        <v>13890.52</v>
      </c>
      <c r="J1591" s="8" t="s">
        <v>41</v>
      </c>
      <c r="K1591" s="8" t="s">
        <v>42</v>
      </c>
      <c r="L1591" s="18" t="str">
        <f>VLOOKUP(D1591,Products!$A:$C,3,FALSE)</f>
        <v>Home</v>
      </c>
      <c r="N1591" s="18" t="str">
        <f>VLOOKUP(C1591,Customers!$A:$E,5,FALSE)</f>
        <v>SMB</v>
      </c>
      <c r="O1591" s="18">
        <f>VLOOKUP(C1591,Customers!$A:$C,3,FALSE)</f>
        <v>44</v>
      </c>
    </row>
    <row r="1592" spans="1:19" ht="14.25" hidden="1" customHeight="1" x14ac:dyDescent="0.3">
      <c r="A1592" s="8" t="s">
        <v>2630</v>
      </c>
      <c r="B1592" s="9">
        <v>45503</v>
      </c>
      <c r="C1592" s="8" t="s">
        <v>816</v>
      </c>
      <c r="D1592" s="8" t="s">
        <v>219</v>
      </c>
      <c r="E1592" s="8" t="s">
        <v>145</v>
      </c>
      <c r="F1592" s="10">
        <v>9</v>
      </c>
      <c r="G1592" s="10">
        <v>3450</v>
      </c>
      <c r="H1592" s="10">
        <v>22.2</v>
      </c>
      <c r="I1592" s="10">
        <v>24156.9</v>
      </c>
      <c r="J1592" s="8" t="s">
        <v>147</v>
      </c>
      <c r="K1592" s="8" t="s">
        <v>146</v>
      </c>
      <c r="L1592" s="18" t="str">
        <f>VLOOKUP(D1592,Products!$A:$C,3,FALSE)</f>
        <v>Sports</v>
      </c>
      <c r="N1592" s="18" t="str">
        <f>VLOOKUP(C1592,Customers!$A:$E,5,FALSE)</f>
        <v>SMB</v>
      </c>
      <c r="O1592" s="18">
        <f>VLOOKUP(C1592,Customers!$A:$C,3,FALSE)</f>
        <v>47</v>
      </c>
    </row>
    <row r="1593" spans="1:19" ht="14.25" customHeight="1" x14ac:dyDescent="0.3">
      <c r="A1593" s="8" t="s">
        <v>2631</v>
      </c>
      <c r="B1593" s="21">
        <v>45336</v>
      </c>
      <c r="C1593" s="8" t="s">
        <v>503</v>
      </c>
      <c r="D1593" s="8" t="s">
        <v>120</v>
      </c>
      <c r="E1593" s="8" t="s">
        <v>261</v>
      </c>
      <c r="F1593" s="10">
        <v>3</v>
      </c>
      <c r="G1593" s="10">
        <v>3970</v>
      </c>
      <c r="H1593" s="10">
        <v>6.8</v>
      </c>
      <c r="I1593" s="10">
        <v>11100.12</v>
      </c>
      <c r="J1593" s="8" t="s">
        <v>41</v>
      </c>
      <c r="K1593" s="8" t="s">
        <v>136</v>
      </c>
      <c r="L1593" s="18" t="str">
        <f>VLOOKUP(D1593,Products!$A:$C,3,FALSE)</f>
        <v>Electronics</v>
      </c>
      <c r="N1593" s="18" t="str">
        <f>VLOOKUP(C1593,Customers!$A:$E,5,FALSE)</f>
        <v>Corporate</v>
      </c>
      <c r="O1593" s="18">
        <f>VLOOKUP(C1593,Customers!$A:$C,3,FALSE)</f>
        <v>36</v>
      </c>
      <c r="P1593" s="18" t="str">
        <f>VLOOKUP(E1592,Sales_Reps!$A:$C,3,FALSE)</f>
        <v>West</v>
      </c>
      <c r="Q1593" s="18" t="str">
        <f>TEXT(B1592,"MMM-YY")</f>
        <v>Jul-24</v>
      </c>
      <c r="R1593">
        <f>VLOOKUP(D1593, Products!A:D, 4, FALSE)</f>
        <v>2865</v>
      </c>
      <c r="S1593">
        <f>(G1593-R1593)/G1593</f>
        <v>0.27833753148614609</v>
      </c>
    </row>
    <row r="1594" spans="1:19" ht="14.25" hidden="1" customHeight="1" x14ac:dyDescent="0.3">
      <c r="A1594" s="8" t="s">
        <v>2632</v>
      </c>
      <c r="B1594" s="9">
        <v>45462</v>
      </c>
      <c r="C1594" s="8" t="s">
        <v>796</v>
      </c>
      <c r="D1594" s="8" t="s">
        <v>929</v>
      </c>
      <c r="E1594" s="8" t="s">
        <v>196</v>
      </c>
      <c r="F1594" s="10">
        <v>3</v>
      </c>
      <c r="G1594" s="10">
        <v>1090</v>
      </c>
      <c r="H1594" s="10">
        <v>23.7</v>
      </c>
      <c r="I1594" s="10">
        <v>2495.0100000000002</v>
      </c>
      <c r="J1594" s="8" t="s">
        <v>41</v>
      </c>
      <c r="K1594" s="8" t="s">
        <v>146</v>
      </c>
      <c r="L1594" s="18" t="str">
        <f>VLOOKUP(D1594,Products!$A:$C,3,FALSE)</f>
        <v>Home</v>
      </c>
      <c r="N1594" s="18" t="str">
        <f>VLOOKUP(C1594,Customers!$A:$E,5,FALSE)</f>
        <v>Retail</v>
      </c>
      <c r="O1594" s="18">
        <f>VLOOKUP(C1594,Customers!$A:$C,3,FALSE)</f>
        <v>52</v>
      </c>
    </row>
    <row r="1595" spans="1:19" ht="14.25" hidden="1" customHeight="1" x14ac:dyDescent="0.3">
      <c r="A1595" s="8" t="s">
        <v>2633</v>
      </c>
      <c r="B1595" s="9">
        <v>45300</v>
      </c>
      <c r="C1595" s="8" t="s">
        <v>446</v>
      </c>
      <c r="D1595" s="8" t="s">
        <v>924</v>
      </c>
      <c r="E1595" s="8" t="s">
        <v>208</v>
      </c>
      <c r="F1595" s="10">
        <v>3</v>
      </c>
      <c r="G1595" s="10">
        <v>2030</v>
      </c>
      <c r="H1595" s="10">
        <v>18.8</v>
      </c>
      <c r="I1595" s="10">
        <v>4945.08</v>
      </c>
      <c r="J1595" s="8" t="s">
        <v>41</v>
      </c>
      <c r="K1595" s="8" t="s">
        <v>42</v>
      </c>
      <c r="L1595" s="18" t="str">
        <f>VLOOKUP(D1595,Products!$A:$C,3,FALSE)</f>
        <v>Home</v>
      </c>
      <c r="N1595" s="18" t="str">
        <f>VLOOKUP(C1595,Customers!$A:$E,5,FALSE)</f>
        <v>SMB</v>
      </c>
      <c r="O1595" s="18">
        <f>VLOOKUP(C1595,Customers!$A:$C,3,FALSE)</f>
        <v>49</v>
      </c>
    </row>
    <row r="1596" spans="1:19" ht="14.25" customHeight="1" x14ac:dyDescent="0.3">
      <c r="A1596" s="8" t="s">
        <v>2634</v>
      </c>
      <c r="B1596" s="21">
        <v>45367</v>
      </c>
      <c r="C1596" s="8" t="s">
        <v>679</v>
      </c>
      <c r="D1596" s="8" t="s">
        <v>818</v>
      </c>
      <c r="E1596" s="8" t="s">
        <v>135</v>
      </c>
      <c r="F1596" s="10">
        <v>2</v>
      </c>
      <c r="G1596" s="10">
        <v>4070</v>
      </c>
      <c r="H1596" s="10">
        <v>14.3</v>
      </c>
      <c r="I1596" s="10">
        <v>6975.98</v>
      </c>
      <c r="J1596" s="8" t="s">
        <v>41</v>
      </c>
      <c r="K1596" s="8" t="s">
        <v>308</v>
      </c>
      <c r="L1596" s="18" t="str">
        <f>VLOOKUP(D1596,Products!$A:$C,3,FALSE)</f>
        <v>Grocery</v>
      </c>
      <c r="N1596" s="18" t="str">
        <f>VLOOKUP(C1596,Customers!$A:$E,5,FALSE)</f>
        <v>Corporate</v>
      </c>
      <c r="O1596" s="18">
        <f>VLOOKUP(C1596,Customers!$A:$C,3,FALSE)</f>
        <v>22</v>
      </c>
      <c r="P1596" s="18" t="str">
        <f>VLOOKUP(E1595,Sales_Reps!$A:$C,3,FALSE)</f>
        <v>East</v>
      </c>
      <c r="Q1596" s="18" t="str">
        <f>TEXT(B1595,"MMM-YY")</f>
        <v>Jan-24</v>
      </c>
      <c r="R1596">
        <f>VLOOKUP(D1596, Products!A:D, 4, FALSE)</f>
        <v>2027</v>
      </c>
      <c r="S1596">
        <f>(G1596-R1596)/G1596</f>
        <v>0.50196560196560192</v>
      </c>
    </row>
    <row r="1597" spans="1:19" ht="14.25" hidden="1" customHeight="1" x14ac:dyDescent="0.3">
      <c r="A1597" s="8" t="s">
        <v>2635</v>
      </c>
      <c r="B1597" s="9">
        <v>45410</v>
      </c>
      <c r="C1597" s="8" t="s">
        <v>403</v>
      </c>
      <c r="D1597" s="8" t="s">
        <v>37</v>
      </c>
      <c r="E1597" s="8" t="s">
        <v>172</v>
      </c>
      <c r="F1597" s="10">
        <v>3</v>
      </c>
      <c r="G1597" s="10">
        <v>3620</v>
      </c>
      <c r="H1597" s="10">
        <v>13.5</v>
      </c>
      <c r="I1597" s="10">
        <v>9393.9</v>
      </c>
      <c r="J1597" s="8" t="s">
        <v>41</v>
      </c>
      <c r="K1597" s="8" t="s">
        <v>98</v>
      </c>
      <c r="L1597" s="18" t="str">
        <f>VLOOKUP(D1597,Products!$A:$C,3,FALSE)</f>
        <v>Apparel</v>
      </c>
      <c r="N1597" s="18" t="str">
        <f>VLOOKUP(C1597,Customers!$A:$E,5,FALSE)</f>
        <v>Corporate</v>
      </c>
      <c r="O1597" s="18">
        <f>VLOOKUP(C1597,Customers!$A:$C,3,FALSE)</f>
        <v>49</v>
      </c>
    </row>
    <row r="1598" spans="1:19" ht="14.25" customHeight="1" x14ac:dyDescent="0.3">
      <c r="A1598" s="8" t="s">
        <v>2636</v>
      </c>
      <c r="B1598" s="21">
        <v>45623</v>
      </c>
      <c r="C1598" s="8" t="s">
        <v>700</v>
      </c>
      <c r="D1598" s="8" t="s">
        <v>260</v>
      </c>
      <c r="E1598" s="8" t="s">
        <v>231</v>
      </c>
      <c r="F1598" s="10">
        <v>4</v>
      </c>
      <c r="G1598" s="10">
        <v>1010</v>
      </c>
      <c r="H1598" s="10">
        <v>3.3</v>
      </c>
      <c r="I1598" s="10">
        <v>3906.68</v>
      </c>
      <c r="J1598" s="8" t="s">
        <v>41</v>
      </c>
      <c r="K1598" s="8" t="s">
        <v>42</v>
      </c>
      <c r="L1598" s="18" t="str">
        <f>VLOOKUP(D1598,Products!$A:$C,3,FALSE)</f>
        <v>Sports</v>
      </c>
      <c r="N1598" s="18" t="str">
        <f>VLOOKUP(C1598,Customers!$A:$E,5,FALSE)</f>
        <v>Retail</v>
      </c>
      <c r="O1598" s="18">
        <f>VLOOKUP(C1598,Customers!$A:$C,3,FALSE)</f>
        <v>31</v>
      </c>
      <c r="P1598" s="18" t="str">
        <f>VLOOKUP(E1597,Sales_Reps!$A:$C,3,FALSE)</f>
        <v>West</v>
      </c>
      <c r="Q1598" s="18" t="str">
        <f t="shared" ref="Q1598:Q1599" si="312">TEXT(B1597,"MMM-YY")</f>
        <v>Apr-24</v>
      </c>
      <c r="R1598">
        <f>VLOOKUP(D1598, Products!A:D, 4, FALSE)</f>
        <v>516</v>
      </c>
      <c r="S1598">
        <f t="shared" ref="S1598:S1599" si="313">(G1598-R1598)/G1598</f>
        <v>0.4891089108910891</v>
      </c>
    </row>
    <row r="1599" spans="1:19" ht="14.25" customHeight="1" x14ac:dyDescent="0.3">
      <c r="A1599" s="8" t="s">
        <v>2637</v>
      </c>
      <c r="B1599" s="21">
        <v>45491</v>
      </c>
      <c r="C1599" s="8" t="s">
        <v>645</v>
      </c>
      <c r="D1599" s="8" t="s">
        <v>171</v>
      </c>
      <c r="E1599" s="8" t="s">
        <v>96</v>
      </c>
      <c r="F1599" s="10">
        <v>7</v>
      </c>
      <c r="G1599" s="10">
        <v>970</v>
      </c>
      <c r="H1599" s="10">
        <v>0.1</v>
      </c>
      <c r="I1599" s="10">
        <v>6783.21</v>
      </c>
      <c r="J1599" s="8" t="s">
        <v>41</v>
      </c>
      <c r="K1599" s="8" t="s">
        <v>119</v>
      </c>
      <c r="L1599" s="18" t="str">
        <f>VLOOKUP(D1599,Products!$A:$C,3,FALSE)</f>
        <v>Grocery</v>
      </c>
      <c r="N1599" s="18" t="str">
        <f>VLOOKUP(C1599,Customers!$A:$E,5,FALSE)</f>
        <v>SMB</v>
      </c>
      <c r="O1599" s="18">
        <f>VLOOKUP(C1599,Customers!$A:$C,3,FALSE)</f>
        <v>38</v>
      </c>
      <c r="P1599" s="18" t="str">
        <f>VLOOKUP(E1598,Sales_Reps!$A:$C,3,FALSE)</f>
        <v>North</v>
      </c>
      <c r="Q1599" s="18" t="str">
        <f t="shared" si="312"/>
        <v>Nov-24</v>
      </c>
      <c r="R1599">
        <f>VLOOKUP(D1599, Products!A:D, 4, FALSE)</f>
        <v>434</v>
      </c>
      <c r="S1599">
        <f t="shared" si="313"/>
        <v>0.5525773195876289</v>
      </c>
    </row>
    <row r="1600" spans="1:19" ht="14.25" hidden="1" customHeight="1" x14ac:dyDescent="0.3">
      <c r="A1600" s="8" t="s">
        <v>2638</v>
      </c>
      <c r="B1600" s="9">
        <v>45571</v>
      </c>
      <c r="C1600" s="8" t="s">
        <v>268</v>
      </c>
      <c r="D1600" s="8" t="s">
        <v>116</v>
      </c>
      <c r="E1600" s="8" t="s">
        <v>619</v>
      </c>
      <c r="F1600" s="10">
        <v>5</v>
      </c>
      <c r="G1600" s="10">
        <v>470</v>
      </c>
      <c r="H1600" s="10">
        <v>18.3</v>
      </c>
      <c r="I1600" s="10">
        <v>1919.95</v>
      </c>
      <c r="J1600" s="8" t="s">
        <v>193</v>
      </c>
      <c r="K1600" s="8" t="s">
        <v>136</v>
      </c>
      <c r="L1600" s="18" t="str">
        <f>VLOOKUP(D1600,Products!$A:$C,3,FALSE)</f>
        <v>Sports</v>
      </c>
      <c r="N1600" s="18" t="str">
        <f>VLOOKUP(C1600,Customers!$A:$E,5,FALSE)</f>
        <v>Retail</v>
      </c>
      <c r="O1600" s="18">
        <f>VLOOKUP(C1600,Customers!$A:$C,3,FALSE)</f>
        <v>47</v>
      </c>
    </row>
    <row r="1601" spans="1:19" ht="14.25" customHeight="1" x14ac:dyDescent="0.3">
      <c r="A1601" s="8" t="s">
        <v>2639</v>
      </c>
      <c r="B1601" s="21">
        <v>45393</v>
      </c>
      <c r="C1601" s="8" t="s">
        <v>369</v>
      </c>
      <c r="D1601" s="8" t="s">
        <v>889</v>
      </c>
      <c r="E1601" s="8" t="s">
        <v>177</v>
      </c>
      <c r="F1601" s="10">
        <v>8</v>
      </c>
      <c r="G1601" s="10">
        <v>3450</v>
      </c>
      <c r="H1601" s="10">
        <v>5.0999999999999996</v>
      </c>
      <c r="I1601" s="10">
        <v>26192.400000000001</v>
      </c>
      <c r="J1601" s="8" t="s">
        <v>193</v>
      </c>
      <c r="K1601" s="8" t="s">
        <v>146</v>
      </c>
      <c r="L1601" s="18" t="str">
        <f>VLOOKUP(D1601,Products!$A:$C,3,FALSE)</f>
        <v>Apparel</v>
      </c>
      <c r="N1601" s="18" t="str">
        <f>VLOOKUP(C1601,Customers!$A:$E,5,FALSE)</f>
        <v>Retail</v>
      </c>
      <c r="O1601" s="18">
        <f>VLOOKUP(C1601,Customers!$A:$C,3,FALSE)</f>
        <v>37</v>
      </c>
      <c r="P1601" s="18" t="str">
        <f>VLOOKUP(E1600,Sales_Reps!$A:$C,3,FALSE)</f>
        <v>West</v>
      </c>
      <c r="Q1601" s="18" t="str">
        <f t="shared" ref="Q1601:Q1608" si="314">TEXT(B1600,"MMM-YY")</f>
        <v>Oct-24</v>
      </c>
      <c r="R1601">
        <f>VLOOKUP(D1601, Products!A:D, 4, FALSE)</f>
        <v>1748</v>
      </c>
      <c r="S1601">
        <f t="shared" ref="S1601:S1608" si="315">(G1601-R1601)/G1601</f>
        <v>0.49333333333333335</v>
      </c>
    </row>
    <row r="1602" spans="1:19" ht="14.25" customHeight="1" x14ac:dyDescent="0.3">
      <c r="A1602" s="8" t="s">
        <v>194</v>
      </c>
      <c r="B1602" s="21">
        <v>45465</v>
      </c>
      <c r="C1602" s="8" t="s">
        <v>195</v>
      </c>
      <c r="D1602" s="8" t="s">
        <v>181</v>
      </c>
      <c r="E1602" s="8" t="s">
        <v>196</v>
      </c>
      <c r="F1602" s="10">
        <v>1</v>
      </c>
      <c r="G1602" s="10">
        <v>2640</v>
      </c>
      <c r="H1602" s="10">
        <v>5.9</v>
      </c>
      <c r="I1602" s="10">
        <v>2484.2399999999998</v>
      </c>
      <c r="J1602" s="8" t="s">
        <v>41</v>
      </c>
      <c r="K1602" s="8" t="s">
        <v>42</v>
      </c>
      <c r="L1602" s="18" t="str">
        <f>VLOOKUP(D1602,Products!$A:$C,3,FALSE)</f>
        <v>Electronics</v>
      </c>
      <c r="N1602" s="18" t="str">
        <f>VLOOKUP(C1602,Customers!$A:$E,5,FALSE)</f>
        <v>Corporate</v>
      </c>
      <c r="O1602" s="18">
        <f>VLOOKUP(C1602,Customers!$A:$C,3,FALSE)</f>
        <v>40</v>
      </c>
      <c r="P1602" s="18" t="str">
        <f>VLOOKUP(E1601,Sales_Reps!$A:$C,3,FALSE)</f>
        <v>South</v>
      </c>
      <c r="Q1602" s="18" t="str">
        <f t="shared" si="314"/>
        <v>Apr-24</v>
      </c>
      <c r="R1602">
        <f>VLOOKUP(D1602, Products!A:D, 4, FALSE)</f>
        <v>1149</v>
      </c>
      <c r="S1602">
        <f t="shared" si="315"/>
        <v>0.56477272727272732</v>
      </c>
    </row>
    <row r="1603" spans="1:19" ht="14.25" customHeight="1" x14ac:dyDescent="0.3">
      <c r="A1603" s="8" t="s">
        <v>2640</v>
      </c>
      <c r="B1603" s="21">
        <v>45354</v>
      </c>
      <c r="C1603" s="8" t="s">
        <v>442</v>
      </c>
      <c r="D1603" s="8" t="s">
        <v>211</v>
      </c>
      <c r="E1603" s="8" t="s">
        <v>321</v>
      </c>
      <c r="F1603" s="10">
        <v>10</v>
      </c>
      <c r="G1603" s="10">
        <v>3570</v>
      </c>
      <c r="H1603" s="10">
        <v>21.5</v>
      </c>
      <c r="I1603" s="10">
        <v>28024.5</v>
      </c>
      <c r="J1603" s="8" t="s">
        <v>41</v>
      </c>
      <c r="K1603" s="8" t="s">
        <v>98</v>
      </c>
      <c r="L1603" s="18" t="str">
        <f>VLOOKUP(D1603,Products!$A:$C,3,FALSE)</f>
        <v>Electronics</v>
      </c>
      <c r="N1603" s="18" t="str">
        <f>VLOOKUP(C1603,Customers!$A:$E,5,FALSE)</f>
        <v>Retail</v>
      </c>
      <c r="O1603" s="18">
        <f>VLOOKUP(C1603,Customers!$A:$C,3,FALSE)</f>
        <v>26</v>
      </c>
      <c r="P1603" s="18" t="str">
        <f>VLOOKUP(E1602,Sales_Reps!$A:$C,3,FALSE)</f>
        <v>East</v>
      </c>
      <c r="Q1603" s="18" t="str">
        <f t="shared" si="314"/>
        <v>Jun-24</v>
      </c>
      <c r="R1603">
        <f>VLOOKUP(D1603, Products!A:D, 4, FALSE)</f>
        <v>1665</v>
      </c>
      <c r="S1603">
        <f t="shared" si="315"/>
        <v>0.53361344537815125</v>
      </c>
    </row>
    <row r="1604" spans="1:19" ht="14.25" customHeight="1" x14ac:dyDescent="0.3">
      <c r="A1604" s="8" t="s">
        <v>2641</v>
      </c>
      <c r="B1604" s="21">
        <v>45581</v>
      </c>
      <c r="C1604" s="8" t="s">
        <v>834</v>
      </c>
      <c r="D1604" s="8" t="s">
        <v>140</v>
      </c>
      <c r="E1604" s="8" t="s">
        <v>221</v>
      </c>
      <c r="F1604" s="10">
        <v>10</v>
      </c>
      <c r="G1604" s="10">
        <v>1430</v>
      </c>
      <c r="H1604" s="10">
        <v>11.4</v>
      </c>
      <c r="I1604" s="10">
        <v>12669.8</v>
      </c>
      <c r="J1604" s="8" t="s">
        <v>147</v>
      </c>
      <c r="K1604" s="8" t="s">
        <v>178</v>
      </c>
      <c r="L1604" s="18" t="str">
        <f>VLOOKUP(D1604,Products!$A:$C,3,FALSE)</f>
        <v>Electronics</v>
      </c>
      <c r="N1604" s="18" t="str">
        <f>VLOOKUP(C1604,Customers!$A:$E,5,FALSE)</f>
        <v>Retail</v>
      </c>
      <c r="O1604" s="18">
        <f>VLOOKUP(C1604,Customers!$A:$C,3,FALSE)</f>
        <v>22</v>
      </c>
      <c r="P1604" s="18" t="str">
        <f>VLOOKUP(E1603,Sales_Reps!$A:$C,3,FALSE)</f>
        <v>East</v>
      </c>
      <c r="Q1604" s="18" t="str">
        <f t="shared" si="314"/>
        <v>Mar-24</v>
      </c>
      <c r="R1604">
        <f>VLOOKUP(D1604, Products!A:D, 4, FALSE)</f>
        <v>861</v>
      </c>
      <c r="S1604">
        <f t="shared" si="315"/>
        <v>0.39790209790209791</v>
      </c>
    </row>
    <row r="1605" spans="1:19" ht="14.25" customHeight="1" x14ac:dyDescent="0.3">
      <c r="A1605" s="8" t="s">
        <v>2642</v>
      </c>
      <c r="B1605" s="21">
        <v>45643</v>
      </c>
      <c r="C1605" s="8" t="s">
        <v>578</v>
      </c>
      <c r="D1605" s="8" t="s">
        <v>152</v>
      </c>
      <c r="E1605" s="8" t="s">
        <v>745</v>
      </c>
      <c r="F1605" s="10">
        <v>7</v>
      </c>
      <c r="G1605" s="10">
        <v>960</v>
      </c>
      <c r="H1605" s="10">
        <v>22.9</v>
      </c>
      <c r="I1605" s="10">
        <v>5181.12</v>
      </c>
      <c r="J1605" s="8" t="s">
        <v>41</v>
      </c>
      <c r="K1605" s="8" t="s">
        <v>98</v>
      </c>
      <c r="L1605" s="18" t="str">
        <f>VLOOKUP(D1605,Products!$A:$C,3,FALSE)</f>
        <v>Sports</v>
      </c>
      <c r="N1605" s="18" t="str">
        <f>VLOOKUP(C1605,Customers!$A:$E,5,FALSE)</f>
        <v>Retail</v>
      </c>
      <c r="O1605" s="18">
        <f>VLOOKUP(C1605,Customers!$A:$C,3,FALSE)</f>
        <v>32</v>
      </c>
      <c r="P1605" s="18" t="str">
        <f>VLOOKUP(E1604,Sales_Reps!$A:$C,3,FALSE)</f>
        <v>South</v>
      </c>
      <c r="Q1605" s="18" t="str">
        <f t="shared" si="314"/>
        <v>Oct-24</v>
      </c>
      <c r="R1605">
        <f>VLOOKUP(D1605, Products!A:D, 4, FALSE)</f>
        <v>705</v>
      </c>
      <c r="S1605">
        <f t="shared" si="315"/>
        <v>0.265625</v>
      </c>
    </row>
    <row r="1606" spans="1:19" ht="14.25" customHeight="1" x14ac:dyDescent="0.3">
      <c r="A1606" s="8" t="s">
        <v>2643</v>
      </c>
      <c r="B1606" s="21">
        <v>45606</v>
      </c>
      <c r="C1606" s="8" t="s">
        <v>778</v>
      </c>
      <c r="D1606" s="8" t="s">
        <v>192</v>
      </c>
      <c r="E1606" s="8" t="s">
        <v>177</v>
      </c>
      <c r="F1606" s="10">
        <v>8</v>
      </c>
      <c r="G1606" s="10">
        <v>3250</v>
      </c>
      <c r="H1606" s="10">
        <v>1.9</v>
      </c>
      <c r="I1606" s="10">
        <v>25506</v>
      </c>
      <c r="J1606" s="8" t="s">
        <v>41</v>
      </c>
      <c r="K1606" s="8" t="s">
        <v>136</v>
      </c>
      <c r="L1606" s="18" t="str">
        <f>VLOOKUP(D1606,Products!$A:$C,3,FALSE)</f>
        <v>Home</v>
      </c>
      <c r="N1606" s="18" t="str">
        <f>VLOOKUP(C1606,Customers!$A:$E,5,FALSE)</f>
        <v>Retail</v>
      </c>
      <c r="O1606" s="18">
        <f>VLOOKUP(C1606,Customers!$A:$C,3,FALSE)</f>
        <v>27</v>
      </c>
      <c r="P1606" s="18" t="str">
        <f>VLOOKUP(E1605,Sales_Reps!$A:$C,3,FALSE)</f>
        <v>South</v>
      </c>
      <c r="Q1606" s="18" t="str">
        <f t="shared" si="314"/>
        <v>Dec-24</v>
      </c>
      <c r="R1606">
        <f>VLOOKUP(D1606, Products!A:D, 4, FALSE)</f>
        <v>1556</v>
      </c>
      <c r="S1606">
        <f t="shared" si="315"/>
        <v>0.52123076923076928</v>
      </c>
    </row>
    <row r="1607" spans="1:19" ht="14.25" customHeight="1" x14ac:dyDescent="0.3">
      <c r="A1607" s="8" t="s">
        <v>2644</v>
      </c>
      <c r="B1607" s="21">
        <v>45356</v>
      </c>
      <c r="C1607" s="8" t="s">
        <v>564</v>
      </c>
      <c r="D1607" s="8" t="s">
        <v>219</v>
      </c>
      <c r="E1607" s="8" t="s">
        <v>167</v>
      </c>
      <c r="F1607" s="10">
        <v>9</v>
      </c>
      <c r="G1607" s="10">
        <v>3450</v>
      </c>
      <c r="H1607" s="10">
        <v>18</v>
      </c>
      <c r="I1607" s="10">
        <v>25461</v>
      </c>
      <c r="J1607" s="8" t="s">
        <v>41</v>
      </c>
      <c r="K1607" s="8" t="s">
        <v>178</v>
      </c>
      <c r="L1607" s="18" t="str">
        <f>VLOOKUP(D1607,Products!$A:$C,3,FALSE)</f>
        <v>Sports</v>
      </c>
      <c r="N1607" s="18" t="str">
        <f>VLOOKUP(C1607,Customers!$A:$E,5,FALSE)</f>
        <v>Corporate</v>
      </c>
      <c r="O1607" s="18">
        <f>VLOOKUP(C1607,Customers!$A:$C,3,FALSE)</f>
        <v>22</v>
      </c>
      <c r="P1607" s="18" t="str">
        <f>VLOOKUP(E1606,Sales_Reps!$A:$C,3,FALSE)</f>
        <v>South</v>
      </c>
      <c r="Q1607" s="18" t="str">
        <f t="shared" si="314"/>
        <v>Nov-24</v>
      </c>
      <c r="R1607">
        <f>VLOOKUP(D1607, Products!A:D, 4, FALSE)</f>
        <v>2467</v>
      </c>
      <c r="S1607">
        <f t="shared" si="315"/>
        <v>0.28492753623188405</v>
      </c>
    </row>
    <row r="1608" spans="1:19" ht="14.25" customHeight="1" x14ac:dyDescent="0.3">
      <c r="A1608" s="8" t="s">
        <v>2645</v>
      </c>
      <c r="B1608" s="21">
        <v>45343</v>
      </c>
      <c r="C1608" s="8" t="s">
        <v>241</v>
      </c>
      <c r="D1608" s="8" t="s">
        <v>176</v>
      </c>
      <c r="E1608" s="8" t="s">
        <v>221</v>
      </c>
      <c r="F1608" s="10">
        <v>5</v>
      </c>
      <c r="G1608" s="10">
        <v>2270</v>
      </c>
      <c r="H1608" s="10">
        <v>11.5</v>
      </c>
      <c r="I1608" s="10">
        <v>10044.75</v>
      </c>
      <c r="J1608" s="8" t="s">
        <v>41</v>
      </c>
      <c r="K1608" s="8" t="s">
        <v>178</v>
      </c>
      <c r="L1608" s="18" t="str">
        <f>VLOOKUP(D1608,Products!$A:$C,3,FALSE)</f>
        <v>Grocery</v>
      </c>
      <c r="N1608" s="18" t="str">
        <f>VLOOKUP(C1608,Customers!$A:$E,5,FALSE)</f>
        <v>SMB</v>
      </c>
      <c r="O1608" s="18">
        <f>VLOOKUP(C1608,Customers!$A:$C,3,FALSE)</f>
        <v>40</v>
      </c>
      <c r="P1608" s="18" t="str">
        <f>VLOOKUP(E1607,Sales_Reps!$A:$C,3,FALSE)</f>
        <v>East</v>
      </c>
      <c r="Q1608" s="18" t="str">
        <f t="shared" si="314"/>
        <v>Mar-24</v>
      </c>
      <c r="R1608">
        <f>VLOOKUP(D1608, Products!A:D, 4, FALSE)</f>
        <v>1203</v>
      </c>
      <c r="S1608">
        <f t="shared" si="315"/>
        <v>0.47004405286343615</v>
      </c>
    </row>
    <row r="1609" spans="1:19" ht="14.25" hidden="1" customHeight="1" x14ac:dyDescent="0.3">
      <c r="A1609" s="8" t="s">
        <v>2646</v>
      </c>
      <c r="B1609" s="9">
        <v>45449</v>
      </c>
      <c r="C1609" s="8" t="s">
        <v>727</v>
      </c>
      <c r="D1609" s="8" t="s">
        <v>867</v>
      </c>
      <c r="E1609" s="8" t="s">
        <v>158</v>
      </c>
      <c r="F1609" s="10">
        <v>6</v>
      </c>
      <c r="G1609" s="10">
        <v>3020</v>
      </c>
      <c r="H1609" s="10">
        <v>12.6</v>
      </c>
      <c r="I1609" s="10">
        <v>15836.88</v>
      </c>
      <c r="J1609" s="8" t="s">
        <v>41</v>
      </c>
      <c r="K1609" s="8" t="s">
        <v>136</v>
      </c>
      <c r="L1609" s="18" t="str">
        <f>VLOOKUP(D1609,Products!$A:$C,3,FALSE)</f>
        <v>Beauty</v>
      </c>
      <c r="N1609" s="18" t="str">
        <f>VLOOKUP(C1609,Customers!$A:$E,5,FALSE)</f>
        <v>Retail</v>
      </c>
      <c r="O1609" s="18">
        <f>VLOOKUP(C1609,Customers!$A:$C,3,FALSE)</f>
        <v>46</v>
      </c>
    </row>
    <row r="1610" spans="1:19" ht="14.25" hidden="1" customHeight="1" x14ac:dyDescent="0.3">
      <c r="A1610" s="8" t="s">
        <v>2647</v>
      </c>
      <c r="B1610" s="9">
        <v>45317</v>
      </c>
      <c r="C1610" s="8" t="s">
        <v>677</v>
      </c>
      <c r="D1610" s="8" t="s">
        <v>181</v>
      </c>
      <c r="E1610" s="8" t="s">
        <v>135</v>
      </c>
      <c r="F1610" s="10">
        <v>8</v>
      </c>
      <c r="G1610" s="10">
        <v>2640</v>
      </c>
      <c r="H1610" s="10">
        <v>14.5</v>
      </c>
      <c r="I1610" s="10">
        <v>18057.599999999999</v>
      </c>
      <c r="J1610" s="8" t="s">
        <v>193</v>
      </c>
      <c r="K1610" s="8" t="s">
        <v>136</v>
      </c>
      <c r="L1610" s="18" t="str">
        <f>VLOOKUP(D1610,Products!$A:$C,3,FALSE)</f>
        <v>Electronics</v>
      </c>
      <c r="N1610" s="18" t="str">
        <f>VLOOKUP(C1610,Customers!$A:$E,5,FALSE)</f>
        <v>Retail</v>
      </c>
      <c r="O1610" s="18">
        <f>VLOOKUP(C1610,Customers!$A:$C,3,FALSE)</f>
        <v>55</v>
      </c>
    </row>
    <row r="1611" spans="1:19" ht="14.25" hidden="1" customHeight="1" x14ac:dyDescent="0.3">
      <c r="A1611" s="8" t="s">
        <v>2648</v>
      </c>
      <c r="B1611" s="9">
        <v>45561</v>
      </c>
      <c r="C1611" s="8" t="s">
        <v>162</v>
      </c>
      <c r="D1611" s="8" t="s">
        <v>176</v>
      </c>
      <c r="E1611" s="8" t="s">
        <v>619</v>
      </c>
      <c r="F1611" s="10">
        <v>2</v>
      </c>
      <c r="G1611" s="10">
        <v>2270</v>
      </c>
      <c r="H1611" s="10">
        <v>27</v>
      </c>
      <c r="I1611" s="10">
        <v>3314.2</v>
      </c>
      <c r="J1611" s="8" t="s">
        <v>41</v>
      </c>
      <c r="K1611" s="8" t="s">
        <v>136</v>
      </c>
      <c r="L1611" s="18" t="str">
        <f>VLOOKUP(D1611,Products!$A:$C,3,FALSE)</f>
        <v>Grocery</v>
      </c>
      <c r="N1611" s="18" t="str">
        <f>VLOOKUP(C1611,Customers!$A:$E,5,FALSE)</f>
        <v>Retail</v>
      </c>
      <c r="O1611" s="18">
        <f>VLOOKUP(C1611,Customers!$A:$C,3,FALSE)</f>
        <v>42</v>
      </c>
    </row>
    <row r="1612" spans="1:19" ht="14.25" customHeight="1" x14ac:dyDescent="0.3">
      <c r="A1612" s="8" t="s">
        <v>2649</v>
      </c>
      <c r="B1612" s="21">
        <v>45636</v>
      </c>
      <c r="C1612" s="8" t="s">
        <v>133</v>
      </c>
      <c r="D1612" s="8" t="s">
        <v>374</v>
      </c>
      <c r="E1612" s="8" t="s">
        <v>619</v>
      </c>
      <c r="F1612" s="10">
        <v>8</v>
      </c>
      <c r="G1612" s="10">
        <v>2760</v>
      </c>
      <c r="H1612" s="10">
        <v>18</v>
      </c>
      <c r="I1612" s="10">
        <v>18105.599999999999</v>
      </c>
      <c r="J1612" s="8" t="s">
        <v>147</v>
      </c>
      <c r="K1612" s="8" t="s">
        <v>98</v>
      </c>
      <c r="L1612" s="18" t="str">
        <f>VLOOKUP(D1612,Products!$A:$C,3,FALSE)</f>
        <v>Grocery</v>
      </c>
      <c r="N1612" s="18" t="str">
        <f>VLOOKUP(C1612,Customers!$A:$E,5,FALSE)</f>
        <v>Retail</v>
      </c>
      <c r="O1612" s="18">
        <f>VLOOKUP(C1612,Customers!$A:$C,3,FALSE)</f>
        <v>36</v>
      </c>
      <c r="P1612" s="18" t="str">
        <f>VLOOKUP(E1611,Sales_Reps!$A:$C,3,FALSE)</f>
        <v>West</v>
      </c>
      <c r="Q1612" s="18" t="str">
        <f t="shared" ref="Q1612:Q1613" si="316">TEXT(B1611,"MMM-YY")</f>
        <v>Sep-24</v>
      </c>
      <c r="R1612">
        <f>VLOOKUP(D1612, Products!A:D, 4, FALSE)</f>
        <v>1435</v>
      </c>
      <c r="S1612">
        <f t="shared" ref="S1612:S1613" si="317">(G1612-R1612)/G1612</f>
        <v>0.48007246376811596</v>
      </c>
    </row>
    <row r="1613" spans="1:19" ht="14.25" customHeight="1" x14ac:dyDescent="0.3">
      <c r="A1613" s="8" t="s">
        <v>2650</v>
      </c>
      <c r="B1613" s="21">
        <v>45398</v>
      </c>
      <c r="C1613" s="8" t="s">
        <v>614</v>
      </c>
      <c r="D1613" s="8" t="s">
        <v>37</v>
      </c>
      <c r="E1613" s="8" t="s">
        <v>208</v>
      </c>
      <c r="F1613" s="10">
        <v>8</v>
      </c>
      <c r="G1613" s="10">
        <v>3620</v>
      </c>
      <c r="H1613" s="10">
        <v>7.1</v>
      </c>
      <c r="I1613" s="10">
        <v>26903.84</v>
      </c>
      <c r="J1613" s="8" t="s">
        <v>41</v>
      </c>
      <c r="K1613" s="8" t="s">
        <v>178</v>
      </c>
      <c r="L1613" s="18" t="str">
        <f>VLOOKUP(D1613,Products!$A:$C,3,FALSE)</f>
        <v>Apparel</v>
      </c>
      <c r="N1613" s="18" t="str">
        <f>VLOOKUP(C1613,Customers!$A:$E,5,FALSE)</f>
        <v>Retail</v>
      </c>
      <c r="O1613" s="18">
        <f>VLOOKUP(C1613,Customers!$A:$C,3,FALSE)</f>
        <v>31</v>
      </c>
      <c r="P1613" s="18" t="str">
        <f>VLOOKUP(E1612,Sales_Reps!$A:$C,3,FALSE)</f>
        <v>West</v>
      </c>
      <c r="Q1613" s="18" t="str">
        <f t="shared" si="316"/>
        <v>Dec-24</v>
      </c>
      <c r="R1613">
        <f>VLOOKUP(D1613, Products!A:D, 4, FALSE)</f>
        <v>2509</v>
      </c>
      <c r="S1613">
        <f t="shared" si="317"/>
        <v>0.3069060773480663</v>
      </c>
    </row>
    <row r="1614" spans="1:19" ht="14.25" hidden="1" customHeight="1" x14ac:dyDescent="0.3">
      <c r="A1614" s="8" t="s">
        <v>2651</v>
      </c>
      <c r="B1614" s="9">
        <v>45477</v>
      </c>
      <c r="C1614" s="8" t="s">
        <v>397</v>
      </c>
      <c r="D1614" s="8" t="s">
        <v>939</v>
      </c>
      <c r="E1614" s="8" t="s">
        <v>216</v>
      </c>
      <c r="F1614" s="10">
        <v>8</v>
      </c>
      <c r="G1614" s="10">
        <v>2290</v>
      </c>
      <c r="H1614" s="10">
        <v>16.399999999999999</v>
      </c>
      <c r="I1614" s="10">
        <v>15315.52</v>
      </c>
      <c r="J1614" s="8" t="s">
        <v>41</v>
      </c>
      <c r="K1614" s="8" t="s">
        <v>42</v>
      </c>
      <c r="L1614" s="18" t="str">
        <f>VLOOKUP(D1614,Products!$A:$C,3,FALSE)</f>
        <v>Beauty</v>
      </c>
      <c r="N1614" s="18" t="str">
        <f>VLOOKUP(C1614,Customers!$A:$E,5,FALSE)</f>
        <v>Retail</v>
      </c>
      <c r="O1614" s="18">
        <f>VLOOKUP(C1614,Customers!$A:$C,3,FALSE)</f>
        <v>54</v>
      </c>
    </row>
    <row r="1615" spans="1:19" ht="14.25" hidden="1" customHeight="1" x14ac:dyDescent="0.3">
      <c r="A1615" s="8" t="s">
        <v>2652</v>
      </c>
      <c r="B1615" s="9">
        <v>45462</v>
      </c>
      <c r="C1615" s="8" t="s">
        <v>541</v>
      </c>
      <c r="D1615" s="8" t="s">
        <v>242</v>
      </c>
      <c r="E1615" s="8" t="s">
        <v>158</v>
      </c>
      <c r="F1615" s="10">
        <v>3</v>
      </c>
      <c r="G1615" s="10">
        <v>1650</v>
      </c>
      <c r="H1615" s="10">
        <v>1.8</v>
      </c>
      <c r="I1615" s="10">
        <v>4860.8999999999996</v>
      </c>
      <c r="J1615" s="8" t="s">
        <v>147</v>
      </c>
      <c r="K1615" s="8" t="s">
        <v>136</v>
      </c>
      <c r="L1615" s="18" t="str">
        <f>VLOOKUP(D1615,Products!$A:$C,3,FALSE)</f>
        <v>Beauty</v>
      </c>
      <c r="N1615" s="18" t="str">
        <f>VLOOKUP(C1615,Customers!$A:$E,5,FALSE)</f>
        <v>Corporate</v>
      </c>
      <c r="O1615" s="18">
        <f>VLOOKUP(C1615,Customers!$A:$C,3,FALSE)</f>
        <v>41</v>
      </c>
    </row>
    <row r="1616" spans="1:19" ht="14.25" customHeight="1" x14ac:dyDescent="0.3">
      <c r="A1616" s="8" t="s">
        <v>2653</v>
      </c>
      <c r="B1616" s="21">
        <v>45642</v>
      </c>
      <c r="C1616" s="8" t="s">
        <v>608</v>
      </c>
      <c r="D1616" s="8" t="s">
        <v>230</v>
      </c>
      <c r="E1616" s="8" t="s">
        <v>167</v>
      </c>
      <c r="F1616" s="10">
        <v>3</v>
      </c>
      <c r="G1616" s="10">
        <v>5330</v>
      </c>
      <c r="H1616" s="10">
        <v>22.2</v>
      </c>
      <c r="I1616" s="10">
        <v>12440.22</v>
      </c>
      <c r="J1616" s="8" t="s">
        <v>41</v>
      </c>
      <c r="K1616" s="8" t="s">
        <v>146</v>
      </c>
      <c r="L1616" s="18" t="str">
        <f>VLOOKUP(D1616,Products!$A:$C,3,FALSE)</f>
        <v>Electronics</v>
      </c>
      <c r="N1616" s="18" t="str">
        <f>VLOOKUP(C1616,Customers!$A:$E,5,FALSE)</f>
        <v>Corporate</v>
      </c>
      <c r="O1616" s="18">
        <f>VLOOKUP(C1616,Customers!$A:$C,3,FALSE)</f>
        <v>35</v>
      </c>
      <c r="P1616" s="18" t="str">
        <f>VLOOKUP(E1615,Sales_Reps!$A:$C,3,FALSE)</f>
        <v>East</v>
      </c>
      <c r="Q1616" s="18" t="str">
        <f t="shared" ref="Q1616:Q1617" si="318">TEXT(B1615,"MMM-YY")</f>
        <v>Jun-24</v>
      </c>
      <c r="R1616">
        <f>VLOOKUP(D1616, Products!A:D, 4, FALSE)</f>
        <v>2405</v>
      </c>
      <c r="S1616">
        <f t="shared" ref="S1616:S1617" si="319">(G1616-R1616)/G1616</f>
        <v>0.54878048780487809</v>
      </c>
    </row>
    <row r="1617" spans="1:19" ht="14.25" customHeight="1" x14ac:dyDescent="0.3">
      <c r="A1617" s="8" t="s">
        <v>2654</v>
      </c>
      <c r="B1617" s="21">
        <v>45534</v>
      </c>
      <c r="C1617" s="8" t="s">
        <v>589</v>
      </c>
      <c r="D1617" s="8" t="s">
        <v>224</v>
      </c>
      <c r="E1617" s="8" t="s">
        <v>196</v>
      </c>
      <c r="F1617" s="10">
        <v>7</v>
      </c>
      <c r="G1617" s="10">
        <v>1080</v>
      </c>
      <c r="H1617" s="10">
        <v>17.899999999999999</v>
      </c>
      <c r="I1617" s="10">
        <v>6206.76</v>
      </c>
      <c r="J1617" s="8" t="s">
        <v>41</v>
      </c>
      <c r="K1617" s="8" t="s">
        <v>146</v>
      </c>
      <c r="L1617" s="18" t="str">
        <f>VLOOKUP(D1617,Products!$A:$C,3,FALSE)</f>
        <v>Home</v>
      </c>
      <c r="N1617" s="18" t="str">
        <f>VLOOKUP(C1617,Customers!$A:$E,5,FALSE)</f>
        <v>Retail</v>
      </c>
      <c r="O1617" s="18">
        <f>VLOOKUP(C1617,Customers!$A:$C,3,FALSE)</f>
        <v>35</v>
      </c>
      <c r="P1617" s="18" t="str">
        <f>VLOOKUP(E1616,Sales_Reps!$A:$C,3,FALSE)</f>
        <v>East</v>
      </c>
      <c r="Q1617" s="18" t="str">
        <f t="shared" si="318"/>
        <v>Dec-24</v>
      </c>
      <c r="R1617">
        <f>VLOOKUP(D1617, Products!A:D, 4, FALSE)</f>
        <v>519</v>
      </c>
      <c r="S1617">
        <f t="shared" si="319"/>
        <v>0.51944444444444449</v>
      </c>
    </row>
    <row r="1618" spans="1:19" ht="14.25" hidden="1" customHeight="1" x14ac:dyDescent="0.3">
      <c r="A1618" s="8" t="s">
        <v>2655</v>
      </c>
      <c r="B1618" s="9">
        <v>45460</v>
      </c>
      <c r="C1618" s="8" t="s">
        <v>123</v>
      </c>
      <c r="D1618" s="8" t="s">
        <v>160</v>
      </c>
      <c r="E1618" s="8" t="s">
        <v>196</v>
      </c>
      <c r="F1618" s="10">
        <v>10</v>
      </c>
      <c r="G1618" s="10">
        <v>1220</v>
      </c>
      <c r="H1618" s="10">
        <v>5.7</v>
      </c>
      <c r="I1618" s="10">
        <v>11504.6</v>
      </c>
      <c r="J1618" s="8" t="s">
        <v>41</v>
      </c>
      <c r="K1618" s="8" t="s">
        <v>119</v>
      </c>
      <c r="L1618" s="18" t="str">
        <f>VLOOKUP(D1618,Products!$A:$C,3,FALSE)</f>
        <v>Electronics</v>
      </c>
      <c r="N1618" s="18" t="str">
        <f>VLOOKUP(C1618,Customers!$A:$E,5,FALSE)</f>
        <v>Corporate</v>
      </c>
      <c r="O1618" s="18">
        <f>VLOOKUP(C1618,Customers!$A:$C,3,FALSE)</f>
        <v>46</v>
      </c>
    </row>
    <row r="1619" spans="1:19" ht="14.25" hidden="1" customHeight="1" x14ac:dyDescent="0.3">
      <c r="A1619" s="8" t="s">
        <v>2656</v>
      </c>
      <c r="B1619" s="9">
        <v>45648</v>
      </c>
      <c r="C1619" s="8" t="s">
        <v>683</v>
      </c>
      <c r="D1619" s="8" t="s">
        <v>389</v>
      </c>
      <c r="E1619" s="8" t="s">
        <v>143</v>
      </c>
      <c r="F1619" s="10">
        <v>10</v>
      </c>
      <c r="G1619" s="10">
        <v>660</v>
      </c>
      <c r="H1619" s="10">
        <v>7.5</v>
      </c>
      <c r="I1619" s="10">
        <v>6105</v>
      </c>
      <c r="J1619" s="8" t="s">
        <v>41</v>
      </c>
      <c r="K1619" s="8" t="s">
        <v>178</v>
      </c>
      <c r="L1619" s="18" t="str">
        <f>VLOOKUP(D1619,Products!$A:$C,3,FALSE)</f>
        <v>Home</v>
      </c>
      <c r="N1619" s="18" t="str">
        <f>VLOOKUP(C1619,Customers!$A:$E,5,FALSE)</f>
        <v>Corporate</v>
      </c>
      <c r="O1619" s="18">
        <f>VLOOKUP(C1619,Customers!$A:$C,3,FALSE)</f>
        <v>46</v>
      </c>
    </row>
    <row r="1620" spans="1:19" ht="14.25" hidden="1" customHeight="1" x14ac:dyDescent="0.3">
      <c r="A1620" s="8" t="s">
        <v>2657</v>
      </c>
      <c r="B1620" s="9">
        <v>45557</v>
      </c>
      <c r="C1620" s="8" t="s">
        <v>805</v>
      </c>
      <c r="D1620" s="8" t="s">
        <v>224</v>
      </c>
      <c r="E1620" s="8" t="s">
        <v>321</v>
      </c>
      <c r="F1620" s="10">
        <v>6</v>
      </c>
      <c r="G1620" s="10">
        <v>1080</v>
      </c>
      <c r="H1620" s="10">
        <v>28.9</v>
      </c>
      <c r="I1620" s="10">
        <v>4607.28</v>
      </c>
      <c r="J1620" s="8" t="s">
        <v>41</v>
      </c>
      <c r="K1620" s="8" t="s">
        <v>42</v>
      </c>
      <c r="L1620" s="18" t="str">
        <f>VLOOKUP(D1620,Products!$A:$C,3,FALSE)</f>
        <v>Home</v>
      </c>
      <c r="N1620" s="18" t="str">
        <f>VLOOKUP(C1620,Customers!$A:$E,5,FALSE)</f>
        <v>Retail</v>
      </c>
      <c r="O1620" s="18">
        <f>VLOOKUP(C1620,Customers!$A:$C,3,FALSE)</f>
        <v>65</v>
      </c>
    </row>
    <row r="1621" spans="1:19" ht="14.25" customHeight="1" x14ac:dyDescent="0.3">
      <c r="A1621" s="8" t="s">
        <v>2658</v>
      </c>
      <c r="B1621" s="21">
        <v>45584</v>
      </c>
      <c r="C1621" s="8" t="s">
        <v>532</v>
      </c>
      <c r="D1621" s="8" t="s">
        <v>691</v>
      </c>
      <c r="E1621" s="8" t="s">
        <v>321</v>
      </c>
      <c r="F1621" s="10">
        <v>7</v>
      </c>
      <c r="G1621" s="10">
        <v>2270</v>
      </c>
      <c r="H1621" s="10">
        <v>1.4</v>
      </c>
      <c r="I1621" s="10">
        <v>15667.54</v>
      </c>
      <c r="J1621" s="8" t="s">
        <v>41</v>
      </c>
      <c r="K1621" s="8" t="s">
        <v>98</v>
      </c>
      <c r="L1621" s="18" t="str">
        <f>VLOOKUP(D1621,Products!$A:$C,3,FALSE)</f>
        <v>Grocery</v>
      </c>
      <c r="N1621" s="18" t="str">
        <f>VLOOKUP(C1621,Customers!$A:$E,5,FALSE)</f>
        <v>Corporate</v>
      </c>
      <c r="O1621" s="18">
        <f>VLOOKUP(C1621,Customers!$A:$C,3,FALSE)</f>
        <v>30</v>
      </c>
      <c r="P1621" s="18" t="str">
        <f>VLOOKUP(E1620,Sales_Reps!$A:$C,3,FALSE)</f>
        <v>East</v>
      </c>
      <c r="Q1621" s="18" t="str">
        <f t="shared" ref="Q1621:Q1622" si="320">TEXT(B1620,"MMM-YY")</f>
        <v>Sep-24</v>
      </c>
      <c r="R1621">
        <f>VLOOKUP(D1621, Products!A:D, 4, FALSE)</f>
        <v>1412</v>
      </c>
      <c r="S1621">
        <f t="shared" ref="S1621:S1622" si="321">(G1621-R1621)/G1621</f>
        <v>0.37797356828193834</v>
      </c>
    </row>
    <row r="1622" spans="1:19" ht="14.25" customHeight="1" x14ac:dyDescent="0.3">
      <c r="A1622" s="8" t="s">
        <v>2659</v>
      </c>
      <c r="B1622" s="21">
        <v>45475</v>
      </c>
      <c r="C1622" s="8" t="s">
        <v>724</v>
      </c>
      <c r="D1622" s="8" t="s">
        <v>144</v>
      </c>
      <c r="E1622" s="8" t="s">
        <v>172</v>
      </c>
      <c r="F1622" s="10">
        <v>3</v>
      </c>
      <c r="G1622" s="10">
        <v>370</v>
      </c>
      <c r="H1622" s="10">
        <v>9.6</v>
      </c>
      <c r="I1622" s="10">
        <v>1003.44</v>
      </c>
      <c r="J1622" s="8" t="s">
        <v>193</v>
      </c>
      <c r="K1622" s="8" t="s">
        <v>119</v>
      </c>
      <c r="L1622" s="18" t="str">
        <f>VLOOKUP(D1622,Products!$A:$C,3,FALSE)</f>
        <v>Home</v>
      </c>
      <c r="N1622" s="18" t="str">
        <f>VLOOKUP(C1622,Customers!$A:$E,5,FALSE)</f>
        <v>SMB</v>
      </c>
      <c r="O1622" s="18">
        <f>VLOOKUP(C1622,Customers!$A:$C,3,FALSE)</f>
        <v>29</v>
      </c>
      <c r="P1622" s="18" t="str">
        <f>VLOOKUP(E1621,Sales_Reps!$A:$C,3,FALSE)</f>
        <v>East</v>
      </c>
      <c r="Q1622" s="18" t="str">
        <f t="shared" si="320"/>
        <v>Oct-24</v>
      </c>
      <c r="R1622">
        <f>VLOOKUP(D1622, Products!A:D, 4, FALSE)</f>
        <v>288</v>
      </c>
      <c r="S1622">
        <f t="shared" si="321"/>
        <v>0.22162162162162163</v>
      </c>
    </row>
    <row r="1623" spans="1:19" ht="14.25" hidden="1" customHeight="1" x14ac:dyDescent="0.3">
      <c r="A1623" s="8" t="s">
        <v>2660</v>
      </c>
      <c r="B1623" s="9">
        <v>45365</v>
      </c>
      <c r="C1623" s="8" t="s">
        <v>342</v>
      </c>
      <c r="D1623" s="8" t="s">
        <v>171</v>
      </c>
      <c r="E1623" s="8" t="s">
        <v>214</v>
      </c>
      <c r="F1623" s="10">
        <v>9</v>
      </c>
      <c r="G1623" s="10">
        <v>970</v>
      </c>
      <c r="H1623" s="10">
        <v>29.7</v>
      </c>
      <c r="I1623" s="10">
        <v>6137.19</v>
      </c>
      <c r="J1623" s="8" t="s">
        <v>41</v>
      </c>
      <c r="K1623" s="8" t="s">
        <v>146</v>
      </c>
      <c r="L1623" s="18" t="str">
        <f>VLOOKUP(D1623,Products!$A:$C,3,FALSE)</f>
        <v>Grocery</v>
      </c>
      <c r="N1623" s="18" t="str">
        <f>VLOOKUP(C1623,Customers!$A:$E,5,FALSE)</f>
        <v>Retail</v>
      </c>
      <c r="O1623" s="18">
        <f>VLOOKUP(C1623,Customers!$A:$C,3,FALSE)</f>
        <v>57</v>
      </c>
    </row>
    <row r="1624" spans="1:19" ht="14.25" hidden="1" customHeight="1" x14ac:dyDescent="0.3">
      <c r="A1624" s="8" t="s">
        <v>1669</v>
      </c>
      <c r="B1624" s="9">
        <v>45405</v>
      </c>
      <c r="C1624" s="8" t="s">
        <v>631</v>
      </c>
      <c r="D1624" s="8" t="s">
        <v>896</v>
      </c>
      <c r="E1624" s="8" t="s">
        <v>200</v>
      </c>
      <c r="F1624" s="10">
        <v>1</v>
      </c>
      <c r="G1624" s="10">
        <v>620</v>
      </c>
      <c r="H1624" s="10">
        <v>10.4</v>
      </c>
      <c r="I1624" s="10">
        <v>555.52</v>
      </c>
      <c r="J1624" s="8" t="s">
        <v>147</v>
      </c>
      <c r="K1624" s="8" t="s">
        <v>42</v>
      </c>
      <c r="L1624" s="18" t="str">
        <f>VLOOKUP(D1624,Products!$A:$C,3,FALSE)</f>
        <v>Apparel</v>
      </c>
      <c r="N1624" s="18" t="str">
        <f>VLOOKUP(C1624,Customers!$A:$E,5,FALSE)</f>
        <v>Retail</v>
      </c>
      <c r="O1624" s="18">
        <f>VLOOKUP(C1624,Customers!$A:$C,3,FALSE)</f>
        <v>54</v>
      </c>
    </row>
    <row r="1625" spans="1:19" ht="14.25" hidden="1" customHeight="1" x14ac:dyDescent="0.3">
      <c r="A1625" s="8" t="s">
        <v>2661</v>
      </c>
      <c r="B1625" s="9">
        <v>45533</v>
      </c>
      <c r="C1625" s="8" t="s">
        <v>379</v>
      </c>
      <c r="D1625" s="8" t="s">
        <v>124</v>
      </c>
      <c r="E1625" s="8" t="s">
        <v>236</v>
      </c>
      <c r="F1625" s="10">
        <v>5</v>
      </c>
      <c r="G1625" s="10">
        <v>3660</v>
      </c>
      <c r="H1625" s="10">
        <v>8</v>
      </c>
      <c r="I1625" s="10">
        <v>16836</v>
      </c>
      <c r="J1625" s="8" t="s">
        <v>41</v>
      </c>
      <c r="K1625" s="8" t="s">
        <v>146</v>
      </c>
      <c r="L1625" s="18" t="str">
        <f>VLOOKUP(D1625,Products!$A:$C,3,FALSE)</f>
        <v>Grocery</v>
      </c>
      <c r="N1625" s="18" t="str">
        <f>VLOOKUP(C1625,Customers!$A:$E,5,FALSE)</f>
        <v>Corporate</v>
      </c>
      <c r="O1625" s="18">
        <f>VLOOKUP(C1625,Customers!$A:$C,3,FALSE)</f>
        <v>62</v>
      </c>
    </row>
    <row r="1626" spans="1:19" ht="14.25" hidden="1" customHeight="1" x14ac:dyDescent="0.3">
      <c r="A1626" s="8" t="s">
        <v>2662</v>
      </c>
      <c r="B1626" s="9">
        <v>45628</v>
      </c>
      <c r="C1626" s="8" t="s">
        <v>123</v>
      </c>
      <c r="D1626" s="8" t="s">
        <v>918</v>
      </c>
      <c r="E1626" s="8" t="s">
        <v>153</v>
      </c>
      <c r="F1626" s="10">
        <v>7</v>
      </c>
      <c r="G1626" s="10">
        <v>2210</v>
      </c>
      <c r="H1626" s="10">
        <v>13.7</v>
      </c>
      <c r="I1626" s="10">
        <v>13350.61</v>
      </c>
      <c r="J1626" s="8" t="s">
        <v>193</v>
      </c>
      <c r="K1626" s="8" t="s">
        <v>119</v>
      </c>
      <c r="L1626" s="18" t="str">
        <f>VLOOKUP(D1626,Products!$A:$C,3,FALSE)</f>
        <v>Grocery</v>
      </c>
      <c r="N1626" s="18" t="str">
        <f>VLOOKUP(C1626,Customers!$A:$E,5,FALSE)</f>
        <v>Corporate</v>
      </c>
      <c r="O1626" s="18">
        <f>VLOOKUP(C1626,Customers!$A:$C,3,FALSE)</f>
        <v>46</v>
      </c>
    </row>
    <row r="1627" spans="1:19" ht="14.25" hidden="1" customHeight="1" x14ac:dyDescent="0.3">
      <c r="A1627" s="8" t="s">
        <v>2663</v>
      </c>
      <c r="B1627" s="9">
        <v>45631</v>
      </c>
      <c r="C1627" s="8" t="s">
        <v>139</v>
      </c>
      <c r="D1627" s="8" t="s">
        <v>964</v>
      </c>
      <c r="E1627" s="8" t="s">
        <v>172</v>
      </c>
      <c r="F1627" s="10">
        <v>1</v>
      </c>
      <c r="G1627" s="10">
        <v>3780</v>
      </c>
      <c r="H1627" s="10">
        <v>11.5</v>
      </c>
      <c r="I1627" s="10">
        <v>3345.3</v>
      </c>
      <c r="J1627" s="8" t="s">
        <v>41</v>
      </c>
      <c r="K1627" s="8" t="s">
        <v>119</v>
      </c>
      <c r="L1627" s="18" t="str">
        <f>VLOOKUP(D1627,Products!$A:$C,3,FALSE)</f>
        <v>Sports</v>
      </c>
      <c r="N1627" s="18" t="str">
        <f>VLOOKUP(C1627,Customers!$A:$E,5,FALSE)</f>
        <v>Retail</v>
      </c>
      <c r="O1627" s="18">
        <f>VLOOKUP(C1627,Customers!$A:$C,3,FALSE)</f>
        <v>53</v>
      </c>
    </row>
    <row r="1628" spans="1:19" ht="14.25" customHeight="1" x14ac:dyDescent="0.3">
      <c r="A1628" s="8" t="s">
        <v>2664</v>
      </c>
      <c r="B1628" s="21">
        <v>45601</v>
      </c>
      <c r="C1628" s="8" t="s">
        <v>330</v>
      </c>
      <c r="D1628" s="8" t="s">
        <v>184</v>
      </c>
      <c r="E1628" s="8" t="s">
        <v>96</v>
      </c>
      <c r="F1628" s="10">
        <v>10</v>
      </c>
      <c r="G1628" s="10">
        <v>2600</v>
      </c>
      <c r="H1628" s="10">
        <v>29.4</v>
      </c>
      <c r="I1628" s="10">
        <v>18356</v>
      </c>
      <c r="J1628" s="8" t="s">
        <v>41</v>
      </c>
      <c r="K1628" s="8" t="s">
        <v>119</v>
      </c>
      <c r="L1628" s="18" t="str">
        <f>VLOOKUP(D1628,Products!$A:$C,3,FALSE)</f>
        <v>Electronics</v>
      </c>
      <c r="N1628" s="18" t="str">
        <f>VLOOKUP(C1628,Customers!$A:$E,5,FALSE)</f>
        <v>Retail</v>
      </c>
      <c r="O1628" s="18">
        <f>VLOOKUP(C1628,Customers!$A:$C,3,FALSE)</f>
        <v>35</v>
      </c>
      <c r="P1628" s="18" t="str">
        <f>VLOOKUP(E1627,Sales_Reps!$A:$C,3,FALSE)</f>
        <v>West</v>
      </c>
      <c r="Q1628" s="18" t="str">
        <f>TEXT(B1627,"MMM-YY")</f>
        <v>Dec-24</v>
      </c>
      <c r="R1628">
        <f>VLOOKUP(D1628, Products!A:D, 4, FALSE)</f>
        <v>1052</v>
      </c>
      <c r="S1628">
        <f>(G1628-R1628)/G1628</f>
        <v>0.5953846153846154</v>
      </c>
    </row>
    <row r="1629" spans="1:19" ht="14.25" hidden="1" customHeight="1" x14ac:dyDescent="0.3">
      <c r="A1629" s="8" t="s">
        <v>2665</v>
      </c>
      <c r="B1629" s="9">
        <v>45365</v>
      </c>
      <c r="C1629" s="8" t="s">
        <v>431</v>
      </c>
      <c r="D1629" s="8" t="s">
        <v>624</v>
      </c>
      <c r="E1629" s="8" t="s">
        <v>121</v>
      </c>
      <c r="F1629" s="10">
        <v>3</v>
      </c>
      <c r="G1629" s="10">
        <v>3780</v>
      </c>
      <c r="H1629" s="10">
        <v>14.4</v>
      </c>
      <c r="I1629" s="10">
        <v>9707.0400000000009</v>
      </c>
      <c r="J1629" s="8" t="s">
        <v>41</v>
      </c>
      <c r="K1629" s="8" t="s">
        <v>146</v>
      </c>
      <c r="L1629" s="18" t="str">
        <f>VLOOKUP(D1629,Products!$A:$C,3,FALSE)</f>
        <v>Grocery</v>
      </c>
      <c r="N1629" s="18" t="str">
        <f>VLOOKUP(C1629,Customers!$A:$E,5,FALSE)</f>
        <v>Corporate</v>
      </c>
      <c r="O1629" s="18">
        <f>VLOOKUP(C1629,Customers!$A:$C,3,FALSE)</f>
        <v>60</v>
      </c>
    </row>
    <row r="1630" spans="1:19" ht="14.25" customHeight="1" x14ac:dyDescent="0.3">
      <c r="A1630" s="8" t="s">
        <v>2666</v>
      </c>
      <c r="B1630" s="21">
        <v>45421</v>
      </c>
      <c r="C1630" s="8" t="s">
        <v>635</v>
      </c>
      <c r="D1630" s="8" t="s">
        <v>181</v>
      </c>
      <c r="E1630" s="8" t="s">
        <v>200</v>
      </c>
      <c r="F1630" s="10">
        <v>10</v>
      </c>
      <c r="G1630" s="10">
        <v>2640</v>
      </c>
      <c r="H1630" s="10">
        <v>26.8</v>
      </c>
      <c r="I1630" s="10">
        <v>19324.8</v>
      </c>
      <c r="J1630" s="8" t="s">
        <v>97</v>
      </c>
      <c r="K1630" s="8" t="s">
        <v>136</v>
      </c>
      <c r="L1630" s="18" t="str">
        <f>VLOOKUP(D1630,Products!$A:$C,3,FALSE)</f>
        <v>Electronics</v>
      </c>
      <c r="N1630" s="18" t="str">
        <f>VLOOKUP(C1630,Customers!$A:$E,5,FALSE)</f>
        <v>SMB</v>
      </c>
      <c r="O1630" s="18">
        <f>VLOOKUP(C1630,Customers!$A:$C,3,FALSE)</f>
        <v>34</v>
      </c>
      <c r="P1630" s="18" t="str">
        <f>VLOOKUP(E1629,Sales_Reps!$A:$C,3,FALSE)</f>
        <v>East</v>
      </c>
      <c r="Q1630" s="18" t="str">
        <f t="shared" ref="Q1630:Q1631" si="322">TEXT(B1629,"MMM-YY")</f>
        <v>Mar-24</v>
      </c>
      <c r="R1630">
        <f>VLOOKUP(D1630, Products!A:D, 4, FALSE)</f>
        <v>1149</v>
      </c>
      <c r="S1630">
        <f t="shared" ref="S1630:S1631" si="323">(G1630-R1630)/G1630</f>
        <v>0.56477272727272732</v>
      </c>
    </row>
    <row r="1631" spans="1:19" ht="14.25" customHeight="1" x14ac:dyDescent="0.3">
      <c r="A1631" s="8" t="s">
        <v>2667</v>
      </c>
      <c r="B1631" s="21">
        <v>45347</v>
      </c>
      <c r="C1631" s="8" t="s">
        <v>424</v>
      </c>
      <c r="D1631" s="8" t="s">
        <v>929</v>
      </c>
      <c r="E1631" s="8" t="s">
        <v>745</v>
      </c>
      <c r="F1631" s="10">
        <v>3</v>
      </c>
      <c r="G1631" s="10">
        <v>1090</v>
      </c>
      <c r="H1631" s="10">
        <v>9.1</v>
      </c>
      <c r="I1631" s="10">
        <v>2972.43</v>
      </c>
      <c r="J1631" s="8" t="s">
        <v>41</v>
      </c>
      <c r="K1631" s="8" t="s">
        <v>136</v>
      </c>
      <c r="L1631" s="18" t="str">
        <f>VLOOKUP(D1631,Products!$A:$C,3,FALSE)</f>
        <v>Home</v>
      </c>
      <c r="N1631" s="18" t="str">
        <f>VLOOKUP(C1631,Customers!$A:$E,5,FALSE)</f>
        <v>Retail</v>
      </c>
      <c r="O1631" s="18">
        <f>VLOOKUP(C1631,Customers!$A:$C,3,FALSE)</f>
        <v>35</v>
      </c>
      <c r="P1631" s="18" t="str">
        <f>VLOOKUP(E1630,Sales_Reps!$A:$C,3,FALSE)</f>
        <v>North</v>
      </c>
      <c r="Q1631" s="18" t="str">
        <f t="shared" si="322"/>
        <v>May-24</v>
      </c>
      <c r="R1631">
        <f>VLOOKUP(D1631, Products!A:D, 4, FALSE)</f>
        <v>464</v>
      </c>
      <c r="S1631">
        <f t="shared" si="323"/>
        <v>0.57431192660550456</v>
      </c>
    </row>
    <row r="1632" spans="1:19" ht="14.25" hidden="1" customHeight="1" x14ac:dyDescent="0.3">
      <c r="A1632" s="8" t="s">
        <v>2668</v>
      </c>
      <c r="B1632" s="9">
        <v>45574</v>
      </c>
      <c r="C1632" s="8" t="s">
        <v>706</v>
      </c>
      <c r="D1632" s="8" t="s">
        <v>889</v>
      </c>
      <c r="E1632" s="8" t="s">
        <v>153</v>
      </c>
      <c r="F1632" s="10">
        <v>3</v>
      </c>
      <c r="G1632" s="10">
        <v>3450</v>
      </c>
      <c r="H1632" s="10">
        <v>23</v>
      </c>
      <c r="I1632" s="10">
        <v>7969.5</v>
      </c>
      <c r="J1632" s="8" t="s">
        <v>97</v>
      </c>
      <c r="K1632" s="8" t="s">
        <v>98</v>
      </c>
      <c r="L1632" s="18" t="str">
        <f>VLOOKUP(D1632,Products!$A:$C,3,FALSE)</f>
        <v>Apparel</v>
      </c>
      <c r="N1632" s="18" t="str">
        <f>VLOOKUP(C1632,Customers!$A:$E,5,FALSE)</f>
        <v>SMB</v>
      </c>
      <c r="O1632" s="18">
        <f>VLOOKUP(C1632,Customers!$A:$C,3,FALSE)</f>
        <v>46</v>
      </c>
    </row>
    <row r="1633" spans="1:19" ht="14.25" hidden="1" customHeight="1" x14ac:dyDescent="0.3">
      <c r="A1633" s="8" t="s">
        <v>2669</v>
      </c>
      <c r="B1633" s="9">
        <v>45365</v>
      </c>
      <c r="C1633" s="8" t="s">
        <v>492</v>
      </c>
      <c r="D1633" s="8" t="s">
        <v>949</v>
      </c>
      <c r="E1633" s="8" t="s">
        <v>301</v>
      </c>
      <c r="F1633" s="10">
        <v>1</v>
      </c>
      <c r="G1633" s="10">
        <v>960</v>
      </c>
      <c r="H1633" s="10">
        <v>1.1000000000000001</v>
      </c>
      <c r="I1633" s="10">
        <v>949.44</v>
      </c>
      <c r="J1633" s="8" t="s">
        <v>41</v>
      </c>
      <c r="K1633" s="8" t="s">
        <v>42</v>
      </c>
      <c r="L1633" s="18" t="str">
        <f>VLOOKUP(D1633,Products!$A:$C,3,FALSE)</f>
        <v>Beauty</v>
      </c>
      <c r="N1633" s="18" t="str">
        <f>VLOOKUP(C1633,Customers!$A:$E,5,FALSE)</f>
        <v>Retail</v>
      </c>
      <c r="O1633" s="18">
        <f>VLOOKUP(C1633,Customers!$A:$C,3,FALSE)</f>
        <v>42</v>
      </c>
    </row>
    <row r="1634" spans="1:19" ht="14.25" hidden="1" customHeight="1" x14ac:dyDescent="0.3">
      <c r="A1634" s="8" t="s">
        <v>2670</v>
      </c>
      <c r="B1634" s="9">
        <v>45577</v>
      </c>
      <c r="C1634" s="8" t="s">
        <v>446</v>
      </c>
      <c r="D1634" s="8" t="s">
        <v>124</v>
      </c>
      <c r="E1634" s="8" t="s">
        <v>143</v>
      </c>
      <c r="F1634" s="10">
        <v>9</v>
      </c>
      <c r="G1634" s="10">
        <v>3660</v>
      </c>
      <c r="H1634" s="10">
        <v>9</v>
      </c>
      <c r="I1634" s="10">
        <v>29975.4</v>
      </c>
      <c r="J1634" s="8" t="s">
        <v>41</v>
      </c>
      <c r="K1634" s="8" t="s">
        <v>42</v>
      </c>
      <c r="L1634" s="18" t="str">
        <f>VLOOKUP(D1634,Products!$A:$C,3,FALSE)</f>
        <v>Grocery</v>
      </c>
      <c r="N1634" s="18" t="str">
        <f>VLOOKUP(C1634,Customers!$A:$E,5,FALSE)</f>
        <v>SMB</v>
      </c>
      <c r="O1634" s="18">
        <f>VLOOKUP(C1634,Customers!$A:$C,3,FALSE)</f>
        <v>49</v>
      </c>
    </row>
    <row r="1635" spans="1:19" ht="14.25" hidden="1" customHeight="1" x14ac:dyDescent="0.3">
      <c r="A1635" s="8" t="s">
        <v>2671</v>
      </c>
      <c r="B1635" s="9">
        <v>45420</v>
      </c>
      <c r="C1635" s="8" t="s">
        <v>616</v>
      </c>
      <c r="D1635" s="8" t="s">
        <v>569</v>
      </c>
      <c r="E1635" s="8" t="s">
        <v>135</v>
      </c>
      <c r="F1635" s="10">
        <v>3</v>
      </c>
      <c r="G1635" s="10">
        <v>3730</v>
      </c>
      <c r="H1635" s="10">
        <v>15.8</v>
      </c>
      <c r="I1635" s="10">
        <v>9421.98</v>
      </c>
      <c r="J1635" s="8" t="s">
        <v>41</v>
      </c>
      <c r="K1635" s="8" t="s">
        <v>119</v>
      </c>
      <c r="L1635" s="18" t="str">
        <f>VLOOKUP(D1635,Products!$A:$C,3,FALSE)</f>
        <v>Home</v>
      </c>
      <c r="N1635" s="18" t="str">
        <f>VLOOKUP(C1635,Customers!$A:$E,5,FALSE)</f>
        <v>Retail</v>
      </c>
      <c r="O1635" s="18">
        <f>VLOOKUP(C1635,Customers!$A:$C,3,FALSE)</f>
        <v>43</v>
      </c>
    </row>
    <row r="1636" spans="1:19" ht="14.25" hidden="1" customHeight="1" x14ac:dyDescent="0.3">
      <c r="A1636" s="8" t="s">
        <v>2672</v>
      </c>
      <c r="B1636" s="9">
        <v>45347</v>
      </c>
      <c r="C1636" s="8" t="s">
        <v>431</v>
      </c>
      <c r="D1636" s="8" t="s">
        <v>818</v>
      </c>
      <c r="E1636" s="8" t="s">
        <v>185</v>
      </c>
      <c r="F1636" s="10">
        <v>6</v>
      </c>
      <c r="G1636" s="10">
        <v>4070</v>
      </c>
      <c r="H1636" s="10">
        <v>6.2</v>
      </c>
      <c r="I1636" s="10">
        <v>22905.96</v>
      </c>
      <c r="J1636" s="8" t="s">
        <v>41</v>
      </c>
      <c r="K1636" s="8" t="s">
        <v>146</v>
      </c>
      <c r="L1636" s="18" t="str">
        <f>VLOOKUP(D1636,Products!$A:$C,3,FALSE)</f>
        <v>Grocery</v>
      </c>
      <c r="N1636" s="18" t="str">
        <f>VLOOKUP(C1636,Customers!$A:$E,5,FALSE)</f>
        <v>Corporate</v>
      </c>
      <c r="O1636" s="18">
        <f>VLOOKUP(C1636,Customers!$A:$C,3,FALSE)</f>
        <v>60</v>
      </c>
    </row>
    <row r="1637" spans="1:19" ht="14.25" hidden="1" customHeight="1" x14ac:dyDescent="0.3">
      <c r="A1637" s="8" t="s">
        <v>2673</v>
      </c>
      <c r="B1637" s="9">
        <v>45329</v>
      </c>
      <c r="C1637" s="8" t="s">
        <v>506</v>
      </c>
      <c r="D1637" s="8" t="s">
        <v>131</v>
      </c>
      <c r="E1637" s="8" t="s">
        <v>196</v>
      </c>
      <c r="F1637" s="10">
        <v>1</v>
      </c>
      <c r="G1637" s="10">
        <v>2660</v>
      </c>
      <c r="H1637" s="10">
        <v>14.6</v>
      </c>
      <c r="I1637" s="10">
        <v>2271.64</v>
      </c>
      <c r="J1637" s="8" t="s">
        <v>41</v>
      </c>
      <c r="K1637" s="8" t="s">
        <v>146</v>
      </c>
      <c r="L1637" s="18" t="str">
        <f>VLOOKUP(D1637,Products!$A:$C,3,FALSE)</f>
        <v>Electronics</v>
      </c>
      <c r="N1637" s="18" t="str">
        <f>VLOOKUP(C1637,Customers!$A:$E,5,FALSE)</f>
        <v>SMB</v>
      </c>
      <c r="O1637" s="18">
        <f>VLOOKUP(C1637,Customers!$A:$C,3,FALSE)</f>
        <v>65</v>
      </c>
    </row>
    <row r="1638" spans="1:19" ht="14.25" hidden="1" customHeight="1" x14ac:dyDescent="0.3">
      <c r="A1638" s="8" t="s">
        <v>2674</v>
      </c>
      <c r="B1638" s="9">
        <v>45378</v>
      </c>
      <c r="C1638" s="8" t="s">
        <v>204</v>
      </c>
      <c r="D1638" s="8" t="s">
        <v>924</v>
      </c>
      <c r="E1638" s="8" t="s">
        <v>200</v>
      </c>
      <c r="F1638" s="10">
        <v>3</v>
      </c>
      <c r="G1638" s="10">
        <v>2030</v>
      </c>
      <c r="H1638" s="10">
        <v>13.3</v>
      </c>
      <c r="I1638" s="10">
        <v>5280.03</v>
      </c>
      <c r="J1638" s="8" t="s">
        <v>147</v>
      </c>
      <c r="K1638" s="8" t="s">
        <v>42</v>
      </c>
      <c r="L1638" s="18" t="str">
        <f>VLOOKUP(D1638,Products!$A:$C,3,FALSE)</f>
        <v>Home</v>
      </c>
      <c r="N1638" s="18" t="str">
        <f>VLOOKUP(C1638,Customers!$A:$E,5,FALSE)</f>
        <v>Retail</v>
      </c>
      <c r="O1638" s="18">
        <f>VLOOKUP(C1638,Customers!$A:$C,3,FALSE)</f>
        <v>63</v>
      </c>
    </row>
    <row r="1639" spans="1:19" ht="14.25" customHeight="1" x14ac:dyDescent="0.3">
      <c r="A1639" s="8" t="s">
        <v>2675</v>
      </c>
      <c r="B1639" s="21">
        <v>45393</v>
      </c>
      <c r="C1639" s="8" t="s">
        <v>440</v>
      </c>
      <c r="D1639" s="8" t="s">
        <v>124</v>
      </c>
      <c r="E1639" s="8" t="s">
        <v>231</v>
      </c>
      <c r="F1639" s="10">
        <v>4</v>
      </c>
      <c r="G1639" s="10">
        <v>3660</v>
      </c>
      <c r="H1639" s="10">
        <v>2.2000000000000002</v>
      </c>
      <c r="I1639" s="10">
        <v>14317.92</v>
      </c>
      <c r="J1639" s="8" t="s">
        <v>41</v>
      </c>
      <c r="K1639" s="8" t="s">
        <v>98</v>
      </c>
      <c r="L1639" s="18" t="str">
        <f>VLOOKUP(D1639,Products!$A:$C,3,FALSE)</f>
        <v>Grocery</v>
      </c>
      <c r="N1639" s="18" t="str">
        <f>VLOOKUP(C1639,Customers!$A:$E,5,FALSE)</f>
        <v>Retail</v>
      </c>
      <c r="O1639" s="18">
        <f>VLOOKUP(C1639,Customers!$A:$C,3,FALSE)</f>
        <v>28</v>
      </c>
      <c r="P1639" s="18" t="str">
        <f>VLOOKUP(E1638,Sales_Reps!$A:$C,3,FALSE)</f>
        <v>North</v>
      </c>
      <c r="Q1639" s="18" t="str">
        <f>TEXT(B1638,"MMM-YY")</f>
        <v>Mar-24</v>
      </c>
      <c r="R1639">
        <f>VLOOKUP(D1639, Products!A:D, 4, FALSE)</f>
        <v>2214</v>
      </c>
      <c r="S1639">
        <f>(G1639-R1639)/G1639</f>
        <v>0.39508196721311473</v>
      </c>
    </row>
    <row r="1640" spans="1:19" ht="14.25" hidden="1" customHeight="1" x14ac:dyDescent="0.3">
      <c r="A1640" s="8" t="s">
        <v>2676</v>
      </c>
      <c r="B1640" s="9">
        <v>45364</v>
      </c>
      <c r="C1640" s="8" t="s">
        <v>486</v>
      </c>
      <c r="D1640" s="8" t="s">
        <v>131</v>
      </c>
      <c r="E1640" s="8" t="s">
        <v>125</v>
      </c>
      <c r="F1640" s="10">
        <v>2</v>
      </c>
      <c r="G1640" s="10">
        <v>2660</v>
      </c>
      <c r="H1640" s="10">
        <v>7.2</v>
      </c>
      <c r="I1640" s="10">
        <v>4936.96</v>
      </c>
      <c r="J1640" s="8" t="s">
        <v>147</v>
      </c>
      <c r="K1640" s="8" t="s">
        <v>136</v>
      </c>
      <c r="L1640" s="18" t="str">
        <f>VLOOKUP(D1640,Products!$A:$C,3,FALSE)</f>
        <v>Electronics</v>
      </c>
      <c r="N1640" s="18" t="str">
        <f>VLOOKUP(C1640,Customers!$A:$E,5,FALSE)</f>
        <v>Retail</v>
      </c>
      <c r="O1640" s="18">
        <f>VLOOKUP(C1640,Customers!$A:$C,3,FALSE)</f>
        <v>42</v>
      </c>
    </row>
    <row r="1641" spans="1:19" ht="14.25" hidden="1" customHeight="1" x14ac:dyDescent="0.3">
      <c r="A1641" s="8" t="s">
        <v>2677</v>
      </c>
      <c r="B1641" s="9">
        <v>45624</v>
      </c>
      <c r="C1641" s="8" t="s">
        <v>428</v>
      </c>
      <c r="D1641" s="8" t="s">
        <v>283</v>
      </c>
      <c r="E1641" s="8" t="s">
        <v>745</v>
      </c>
      <c r="F1641" s="10">
        <v>2</v>
      </c>
      <c r="G1641" s="10">
        <v>4880</v>
      </c>
      <c r="H1641" s="10">
        <v>23.8</v>
      </c>
      <c r="I1641" s="10">
        <v>7437.12</v>
      </c>
      <c r="J1641" s="8" t="s">
        <v>41</v>
      </c>
      <c r="K1641" s="8" t="s">
        <v>178</v>
      </c>
      <c r="L1641" s="18" t="str">
        <f>VLOOKUP(D1641,Products!$A:$C,3,FALSE)</f>
        <v>Beauty</v>
      </c>
      <c r="N1641" s="18" t="str">
        <f>VLOOKUP(C1641,Customers!$A:$E,5,FALSE)</f>
        <v>SMB</v>
      </c>
      <c r="O1641" s="18">
        <f>VLOOKUP(C1641,Customers!$A:$C,3,FALSE)</f>
        <v>48</v>
      </c>
    </row>
    <row r="1642" spans="1:19" ht="14.25" customHeight="1" x14ac:dyDescent="0.3">
      <c r="A1642" s="8" t="s">
        <v>2678</v>
      </c>
      <c r="B1642" s="21">
        <v>45411</v>
      </c>
      <c r="C1642" s="8" t="s">
        <v>458</v>
      </c>
      <c r="D1642" s="8" t="s">
        <v>889</v>
      </c>
      <c r="E1642" s="8" t="s">
        <v>865</v>
      </c>
      <c r="F1642" s="10">
        <v>1</v>
      </c>
      <c r="G1642" s="10">
        <v>3450</v>
      </c>
      <c r="H1642" s="10">
        <v>1.7</v>
      </c>
      <c r="I1642" s="10">
        <v>3391.35</v>
      </c>
      <c r="J1642" s="8" t="s">
        <v>41</v>
      </c>
      <c r="K1642" s="8" t="s">
        <v>42</v>
      </c>
      <c r="L1642" s="18" t="str">
        <f>VLOOKUP(D1642,Products!$A:$C,3,FALSE)</f>
        <v>Apparel</v>
      </c>
      <c r="N1642" s="18" t="str">
        <f>VLOOKUP(C1642,Customers!$A:$E,5,FALSE)</f>
        <v>Retail</v>
      </c>
      <c r="O1642" s="18">
        <f>VLOOKUP(C1642,Customers!$A:$C,3,FALSE)</f>
        <v>36</v>
      </c>
      <c r="P1642" s="18" t="str">
        <f>VLOOKUP(E1641,Sales_Reps!$A:$C,3,FALSE)</f>
        <v>South</v>
      </c>
      <c r="Q1642" s="18" t="str">
        <f>TEXT(B1641,"MMM-YY")</f>
        <v>Nov-24</v>
      </c>
      <c r="R1642">
        <f>VLOOKUP(D1642, Products!A:D, 4, FALSE)</f>
        <v>1748</v>
      </c>
      <c r="S1642">
        <f>(G1642-R1642)/G1642</f>
        <v>0.49333333333333335</v>
      </c>
    </row>
    <row r="1643" spans="1:19" ht="14.25" hidden="1" customHeight="1" x14ac:dyDescent="0.3">
      <c r="A1643" s="8" t="s">
        <v>2679</v>
      </c>
      <c r="B1643" s="9">
        <v>45550</v>
      </c>
      <c r="C1643" s="8" t="s">
        <v>292</v>
      </c>
      <c r="D1643" s="8" t="s">
        <v>867</v>
      </c>
      <c r="E1643" s="8" t="s">
        <v>208</v>
      </c>
      <c r="F1643" s="10">
        <v>4</v>
      </c>
      <c r="G1643" s="10">
        <v>3020</v>
      </c>
      <c r="H1643" s="10">
        <v>17.8</v>
      </c>
      <c r="I1643" s="10">
        <v>9929.76</v>
      </c>
      <c r="J1643" s="8" t="s">
        <v>41</v>
      </c>
      <c r="K1643" s="8" t="s">
        <v>42</v>
      </c>
      <c r="L1643" s="18" t="str">
        <f>VLOOKUP(D1643,Products!$A:$C,3,FALSE)</f>
        <v>Beauty</v>
      </c>
      <c r="N1643" s="18" t="str">
        <f>VLOOKUP(C1643,Customers!$A:$E,5,FALSE)</f>
        <v>SMB</v>
      </c>
      <c r="O1643" s="18">
        <f>VLOOKUP(C1643,Customers!$A:$C,3,FALSE)</f>
        <v>54</v>
      </c>
    </row>
    <row r="1644" spans="1:19" ht="14.25" hidden="1" customHeight="1" x14ac:dyDescent="0.3">
      <c r="A1644" s="8" t="s">
        <v>2680</v>
      </c>
      <c r="B1644" s="9">
        <v>45512</v>
      </c>
      <c r="C1644" s="8" t="s">
        <v>332</v>
      </c>
      <c r="D1644" s="8" t="s">
        <v>959</v>
      </c>
      <c r="E1644" s="8" t="s">
        <v>216</v>
      </c>
      <c r="F1644" s="10">
        <v>6</v>
      </c>
      <c r="G1644" s="10">
        <v>6940</v>
      </c>
      <c r="H1644" s="10">
        <v>8.9</v>
      </c>
      <c r="I1644" s="10">
        <v>37934.04</v>
      </c>
      <c r="J1644" s="8" t="s">
        <v>41</v>
      </c>
      <c r="K1644" s="8" t="s">
        <v>119</v>
      </c>
      <c r="L1644" s="18" t="str">
        <f>VLOOKUP(D1644,Products!$A:$C,3,FALSE)</f>
        <v>Sports</v>
      </c>
      <c r="N1644" s="18" t="str">
        <f>VLOOKUP(C1644,Customers!$A:$E,5,FALSE)</f>
        <v>Retail</v>
      </c>
      <c r="O1644" s="18">
        <f>VLOOKUP(C1644,Customers!$A:$C,3,FALSE)</f>
        <v>47</v>
      </c>
    </row>
    <row r="1645" spans="1:19" ht="14.25" hidden="1" customHeight="1" x14ac:dyDescent="0.3">
      <c r="A1645" s="8" t="s">
        <v>2681</v>
      </c>
      <c r="B1645" s="9">
        <v>45523</v>
      </c>
      <c r="C1645" s="8" t="s">
        <v>495</v>
      </c>
      <c r="D1645" s="8" t="s">
        <v>374</v>
      </c>
      <c r="E1645" s="8" t="s">
        <v>208</v>
      </c>
      <c r="F1645" s="10">
        <v>10</v>
      </c>
      <c r="G1645" s="10">
        <v>2760</v>
      </c>
      <c r="H1645" s="10">
        <v>8.9</v>
      </c>
      <c r="I1645" s="10">
        <v>25143.599999999999</v>
      </c>
      <c r="J1645" s="8" t="s">
        <v>41</v>
      </c>
      <c r="K1645" s="8" t="s">
        <v>98</v>
      </c>
      <c r="L1645" s="18" t="str">
        <f>VLOOKUP(D1645,Products!$A:$C,3,FALSE)</f>
        <v>Grocery</v>
      </c>
      <c r="N1645" s="18" t="str">
        <f>VLOOKUP(C1645,Customers!$A:$E,5,FALSE)</f>
        <v>SMB</v>
      </c>
      <c r="O1645" s="18">
        <f>VLOOKUP(C1645,Customers!$A:$C,3,FALSE)</f>
        <v>64</v>
      </c>
    </row>
    <row r="1646" spans="1:19" ht="14.25" hidden="1" customHeight="1" x14ac:dyDescent="0.3">
      <c r="A1646" s="8" t="s">
        <v>2682</v>
      </c>
      <c r="B1646" s="9">
        <v>45310</v>
      </c>
      <c r="C1646" s="8" t="s">
        <v>702</v>
      </c>
      <c r="D1646" s="8" t="s">
        <v>949</v>
      </c>
      <c r="E1646" s="8" t="s">
        <v>321</v>
      </c>
      <c r="F1646" s="10">
        <v>8</v>
      </c>
      <c r="G1646" s="10">
        <v>960</v>
      </c>
      <c r="H1646" s="10">
        <v>20.9</v>
      </c>
      <c r="I1646" s="10">
        <v>6074.88</v>
      </c>
      <c r="J1646" s="8" t="s">
        <v>41</v>
      </c>
      <c r="K1646" s="8" t="s">
        <v>42</v>
      </c>
      <c r="L1646" s="18" t="str">
        <f>VLOOKUP(D1646,Products!$A:$C,3,FALSE)</f>
        <v>Beauty</v>
      </c>
      <c r="N1646" s="18" t="str">
        <f>VLOOKUP(C1646,Customers!$A:$E,5,FALSE)</f>
        <v>Corporate</v>
      </c>
      <c r="O1646" s="18">
        <f>VLOOKUP(C1646,Customers!$A:$C,3,FALSE)</f>
        <v>48</v>
      </c>
    </row>
    <row r="1647" spans="1:19" ht="14.25" hidden="1" customHeight="1" x14ac:dyDescent="0.3">
      <c r="A1647" s="8" t="s">
        <v>2683</v>
      </c>
      <c r="B1647" s="9">
        <v>45498</v>
      </c>
      <c r="C1647" s="8" t="s">
        <v>340</v>
      </c>
      <c r="D1647" s="8" t="s">
        <v>949</v>
      </c>
      <c r="E1647" s="8" t="s">
        <v>189</v>
      </c>
      <c r="F1647" s="10">
        <v>4</v>
      </c>
      <c r="G1647" s="10">
        <v>960</v>
      </c>
      <c r="H1647" s="10">
        <v>29.1</v>
      </c>
      <c r="I1647" s="10">
        <v>2722.56</v>
      </c>
      <c r="J1647" s="8" t="s">
        <v>41</v>
      </c>
      <c r="K1647" s="8" t="s">
        <v>136</v>
      </c>
      <c r="L1647" s="18" t="str">
        <f>VLOOKUP(D1647,Products!$A:$C,3,FALSE)</f>
        <v>Beauty</v>
      </c>
      <c r="N1647" s="18" t="str">
        <f>VLOOKUP(C1647,Customers!$A:$E,5,FALSE)</f>
        <v>Retail</v>
      </c>
      <c r="O1647" s="18">
        <f>VLOOKUP(C1647,Customers!$A:$C,3,FALSE)</f>
        <v>52</v>
      </c>
    </row>
    <row r="1648" spans="1:19" ht="14.25" hidden="1" customHeight="1" x14ac:dyDescent="0.3">
      <c r="A1648" s="8" t="s">
        <v>2684</v>
      </c>
      <c r="B1648" s="9">
        <v>45410</v>
      </c>
      <c r="C1648" s="8" t="s">
        <v>667</v>
      </c>
      <c r="D1648" s="8" t="s">
        <v>171</v>
      </c>
      <c r="E1648" s="8" t="s">
        <v>216</v>
      </c>
      <c r="F1648" s="10">
        <v>1</v>
      </c>
      <c r="G1648" s="10">
        <v>970</v>
      </c>
      <c r="H1648" s="10">
        <v>8.4</v>
      </c>
      <c r="I1648" s="10">
        <v>888.52</v>
      </c>
      <c r="J1648" s="8" t="s">
        <v>147</v>
      </c>
      <c r="K1648" s="8" t="s">
        <v>136</v>
      </c>
      <c r="L1648" s="18" t="str">
        <f>VLOOKUP(D1648,Products!$A:$C,3,FALSE)</f>
        <v>Grocery</v>
      </c>
      <c r="N1648" s="18" t="str">
        <f>VLOOKUP(C1648,Customers!$A:$E,5,FALSE)</f>
        <v>Retail</v>
      </c>
      <c r="O1648" s="18">
        <f>VLOOKUP(C1648,Customers!$A:$C,3,FALSE)</f>
        <v>55</v>
      </c>
    </row>
    <row r="1649" spans="1:19" ht="14.25" hidden="1" customHeight="1" x14ac:dyDescent="0.3">
      <c r="A1649" s="8" t="s">
        <v>2685</v>
      </c>
      <c r="B1649" s="9">
        <v>45400</v>
      </c>
      <c r="C1649" s="8" t="s">
        <v>342</v>
      </c>
      <c r="D1649" s="8" t="s">
        <v>662</v>
      </c>
      <c r="E1649" s="8" t="s">
        <v>208</v>
      </c>
      <c r="F1649" s="10">
        <v>5</v>
      </c>
      <c r="G1649" s="10">
        <v>6080</v>
      </c>
      <c r="H1649" s="10">
        <v>17.600000000000001</v>
      </c>
      <c r="I1649" s="10">
        <v>25049.599999999999</v>
      </c>
      <c r="J1649" s="8" t="s">
        <v>41</v>
      </c>
      <c r="K1649" s="8" t="s">
        <v>146</v>
      </c>
      <c r="L1649" s="18" t="str">
        <f>VLOOKUP(D1649,Products!$A:$C,3,FALSE)</f>
        <v>Beauty</v>
      </c>
      <c r="N1649" s="18" t="str">
        <f>VLOOKUP(C1649,Customers!$A:$E,5,FALSE)</f>
        <v>Retail</v>
      </c>
      <c r="O1649" s="18">
        <f>VLOOKUP(C1649,Customers!$A:$C,3,FALSE)</f>
        <v>57</v>
      </c>
    </row>
    <row r="1650" spans="1:19" ht="14.25" hidden="1" customHeight="1" x14ac:dyDescent="0.3">
      <c r="A1650" s="8" t="s">
        <v>2686</v>
      </c>
      <c r="B1650" s="9">
        <v>45525</v>
      </c>
      <c r="C1650" s="8" t="s">
        <v>332</v>
      </c>
      <c r="D1650" s="8" t="s">
        <v>124</v>
      </c>
      <c r="E1650" s="8" t="s">
        <v>745</v>
      </c>
      <c r="F1650" s="10">
        <v>4</v>
      </c>
      <c r="G1650" s="10">
        <v>3660</v>
      </c>
      <c r="H1650" s="10">
        <v>21.8</v>
      </c>
      <c r="I1650" s="10">
        <v>11448.48</v>
      </c>
      <c r="J1650" s="8" t="s">
        <v>97</v>
      </c>
      <c r="K1650" s="8" t="s">
        <v>119</v>
      </c>
      <c r="L1650" s="18" t="str">
        <f>VLOOKUP(D1650,Products!$A:$C,3,FALSE)</f>
        <v>Grocery</v>
      </c>
      <c r="N1650" s="18" t="str">
        <f>VLOOKUP(C1650,Customers!$A:$E,5,FALSE)</f>
        <v>Retail</v>
      </c>
      <c r="O1650" s="18">
        <f>VLOOKUP(C1650,Customers!$A:$C,3,FALSE)</f>
        <v>47</v>
      </c>
    </row>
    <row r="1651" spans="1:19" ht="14.25" hidden="1" customHeight="1" x14ac:dyDescent="0.3">
      <c r="A1651" s="8" t="s">
        <v>2687</v>
      </c>
      <c r="B1651" s="9">
        <v>45462</v>
      </c>
      <c r="C1651" s="8" t="s">
        <v>768</v>
      </c>
      <c r="D1651" s="8" t="s">
        <v>569</v>
      </c>
      <c r="E1651" s="8" t="s">
        <v>135</v>
      </c>
      <c r="F1651" s="10">
        <v>6</v>
      </c>
      <c r="G1651" s="10">
        <v>3730</v>
      </c>
      <c r="H1651" s="10">
        <v>13.3</v>
      </c>
      <c r="I1651" s="10">
        <v>19403.46</v>
      </c>
      <c r="J1651" s="8" t="s">
        <v>147</v>
      </c>
      <c r="K1651" s="8" t="s">
        <v>98</v>
      </c>
      <c r="L1651" s="18" t="str">
        <f>VLOOKUP(D1651,Products!$A:$C,3,FALSE)</f>
        <v>Home</v>
      </c>
      <c r="N1651" s="18" t="str">
        <f>VLOOKUP(C1651,Customers!$A:$E,5,FALSE)</f>
        <v>SMB</v>
      </c>
      <c r="O1651" s="18">
        <f>VLOOKUP(C1651,Customers!$A:$C,3,FALSE)</f>
        <v>57</v>
      </c>
    </row>
    <row r="1652" spans="1:19" ht="14.25" hidden="1" customHeight="1" x14ac:dyDescent="0.3">
      <c r="A1652" s="8" t="s">
        <v>2688</v>
      </c>
      <c r="B1652" s="9">
        <v>45625</v>
      </c>
      <c r="C1652" s="8" t="s">
        <v>672</v>
      </c>
      <c r="D1652" s="8" t="s">
        <v>188</v>
      </c>
      <c r="E1652" s="8" t="s">
        <v>236</v>
      </c>
      <c r="F1652" s="10">
        <v>8</v>
      </c>
      <c r="G1652" s="10">
        <v>3870</v>
      </c>
      <c r="H1652" s="10">
        <v>21.2</v>
      </c>
      <c r="I1652" s="10">
        <v>24396.48</v>
      </c>
      <c r="J1652" s="8" t="s">
        <v>97</v>
      </c>
      <c r="K1652" s="8" t="s">
        <v>119</v>
      </c>
      <c r="L1652" s="18" t="str">
        <f>VLOOKUP(D1652,Products!$A:$C,3,FALSE)</f>
        <v>Electronics</v>
      </c>
      <c r="N1652" s="18" t="str">
        <f>VLOOKUP(C1652,Customers!$A:$E,5,FALSE)</f>
        <v>SMB</v>
      </c>
      <c r="O1652" s="18">
        <f>VLOOKUP(C1652,Customers!$A:$C,3,FALSE)</f>
        <v>55</v>
      </c>
    </row>
    <row r="1653" spans="1:19" ht="14.25" hidden="1" customHeight="1" x14ac:dyDescent="0.3">
      <c r="A1653" s="8" t="s">
        <v>2689</v>
      </c>
      <c r="B1653" s="9">
        <v>45390</v>
      </c>
      <c r="C1653" s="8" t="s">
        <v>504</v>
      </c>
      <c r="D1653" s="8" t="s">
        <v>374</v>
      </c>
      <c r="E1653" s="8" t="s">
        <v>221</v>
      </c>
      <c r="F1653" s="10">
        <v>4</v>
      </c>
      <c r="G1653" s="10">
        <v>2760</v>
      </c>
      <c r="H1653" s="10">
        <v>14</v>
      </c>
      <c r="I1653" s="10">
        <v>9494.4</v>
      </c>
      <c r="J1653" s="8" t="s">
        <v>41</v>
      </c>
      <c r="K1653" s="8" t="s">
        <v>136</v>
      </c>
      <c r="L1653" s="18" t="str">
        <f>VLOOKUP(D1653,Products!$A:$C,3,FALSE)</f>
        <v>Grocery</v>
      </c>
      <c r="N1653" s="18" t="str">
        <f>VLOOKUP(C1653,Customers!$A:$E,5,FALSE)</f>
        <v>Corporate</v>
      </c>
      <c r="O1653" s="18">
        <f>VLOOKUP(C1653,Customers!$A:$C,3,FALSE)</f>
        <v>42</v>
      </c>
    </row>
    <row r="1654" spans="1:19" ht="14.25" customHeight="1" x14ac:dyDescent="0.3">
      <c r="A1654" s="8" t="s">
        <v>2690</v>
      </c>
      <c r="B1654" s="21">
        <v>45597</v>
      </c>
      <c r="C1654" s="8" t="s">
        <v>173</v>
      </c>
      <c r="D1654" s="8" t="s">
        <v>909</v>
      </c>
      <c r="E1654" s="8" t="s">
        <v>321</v>
      </c>
      <c r="F1654" s="10">
        <v>5</v>
      </c>
      <c r="G1654" s="10">
        <v>2380</v>
      </c>
      <c r="H1654" s="10">
        <v>16.399999999999999</v>
      </c>
      <c r="I1654" s="10">
        <v>9948.4</v>
      </c>
      <c r="J1654" s="8" t="s">
        <v>41</v>
      </c>
      <c r="K1654" s="8" t="s">
        <v>178</v>
      </c>
      <c r="L1654" s="18" t="str">
        <f>VLOOKUP(D1654,Products!$A:$C,3,FALSE)</f>
        <v>Grocery</v>
      </c>
      <c r="N1654" s="18" t="str">
        <f>VLOOKUP(C1654,Customers!$A:$E,5,FALSE)</f>
        <v>Retail</v>
      </c>
      <c r="O1654" s="18">
        <f>VLOOKUP(C1654,Customers!$A:$C,3,FALSE)</f>
        <v>26</v>
      </c>
      <c r="P1654" s="18" t="str">
        <f>VLOOKUP(E1653,Sales_Reps!$A:$C,3,FALSE)</f>
        <v>South</v>
      </c>
      <c r="Q1654" s="18" t="str">
        <f>TEXT(B1653,"MMM-YY")</f>
        <v>Apr-24</v>
      </c>
      <c r="R1654">
        <f>VLOOKUP(D1654, Products!A:D, 4, FALSE)</f>
        <v>1182</v>
      </c>
      <c r="S1654">
        <f>(G1654-R1654)/G1654</f>
        <v>0.50336134453781511</v>
      </c>
    </row>
    <row r="1655" spans="1:19" ht="14.25" hidden="1" customHeight="1" x14ac:dyDescent="0.3">
      <c r="A1655" s="8" t="s">
        <v>2691</v>
      </c>
      <c r="B1655" s="9">
        <v>45307</v>
      </c>
      <c r="C1655" s="8" t="s">
        <v>2692</v>
      </c>
      <c r="D1655" s="8" t="s">
        <v>662</v>
      </c>
      <c r="E1655" s="8" t="s">
        <v>301</v>
      </c>
      <c r="F1655" s="10">
        <v>2</v>
      </c>
      <c r="G1655" s="10">
        <v>6080</v>
      </c>
      <c r="H1655" s="10">
        <v>20.100000000000001</v>
      </c>
      <c r="I1655" s="10">
        <v>9715.84</v>
      </c>
      <c r="J1655" s="8" t="s">
        <v>147</v>
      </c>
      <c r="K1655" s="8" t="s">
        <v>146</v>
      </c>
      <c r="L1655" s="18" t="str">
        <f>VLOOKUP(D1655,Products!$A:$C,3,FALSE)</f>
        <v>Beauty</v>
      </c>
      <c r="N1655" s="18" t="e">
        <f>VLOOKUP(C1655,Customers!$A:$E,5,FALSE)</f>
        <v>#N/A</v>
      </c>
      <c r="O1655" s="18" t="e">
        <f>VLOOKUP(C1655,Customers!$A:$C,3,FALSE)</f>
        <v>#N/A</v>
      </c>
    </row>
    <row r="1656" spans="1:19" ht="14.25" customHeight="1" x14ac:dyDescent="0.3">
      <c r="A1656" s="8" t="s">
        <v>2693</v>
      </c>
      <c r="B1656" s="21">
        <v>45568</v>
      </c>
      <c r="C1656" s="8" t="s">
        <v>742</v>
      </c>
      <c r="D1656" s="8" t="s">
        <v>896</v>
      </c>
      <c r="E1656" s="8" t="s">
        <v>221</v>
      </c>
      <c r="F1656" s="10">
        <v>2</v>
      </c>
      <c r="G1656" s="10">
        <v>620</v>
      </c>
      <c r="H1656" s="10">
        <v>4.3</v>
      </c>
      <c r="I1656" s="10">
        <v>1186.68</v>
      </c>
      <c r="J1656" s="8" t="s">
        <v>41</v>
      </c>
      <c r="K1656" s="8" t="s">
        <v>178</v>
      </c>
      <c r="L1656" s="18" t="str">
        <f>VLOOKUP(D1656,Products!$A:$C,3,FALSE)</f>
        <v>Apparel</v>
      </c>
      <c r="N1656" s="18" t="str">
        <f>VLOOKUP(C1656,Customers!$A:$E,5,FALSE)</f>
        <v>Retail</v>
      </c>
      <c r="O1656" s="18">
        <f>VLOOKUP(C1656,Customers!$A:$C,3,FALSE)</f>
        <v>38</v>
      </c>
      <c r="P1656" s="18" t="str">
        <f>VLOOKUP(E1655,Sales_Reps!$A:$C,3,FALSE)</f>
        <v>South</v>
      </c>
      <c r="Q1656" s="18" t="str">
        <f t="shared" ref="Q1656:Q1657" si="324">TEXT(B1655,"MMM-YY")</f>
        <v>Jan-24</v>
      </c>
      <c r="R1656">
        <f>VLOOKUP(D1656, Products!A:D, 4, FALSE)</f>
        <v>396</v>
      </c>
      <c r="S1656">
        <f t="shared" ref="S1656:S1657" si="325">(G1656-R1656)/G1656</f>
        <v>0.36129032258064514</v>
      </c>
    </row>
    <row r="1657" spans="1:19" ht="14.25" customHeight="1" x14ac:dyDescent="0.3">
      <c r="A1657" s="8" t="s">
        <v>186</v>
      </c>
      <c r="B1657" s="21">
        <v>45654</v>
      </c>
      <c r="C1657" s="8" t="s">
        <v>187</v>
      </c>
      <c r="D1657" s="8" t="s">
        <v>188</v>
      </c>
      <c r="E1657" s="8" t="s">
        <v>189</v>
      </c>
      <c r="F1657" s="10">
        <v>7</v>
      </c>
      <c r="G1657" s="10">
        <v>3870</v>
      </c>
      <c r="H1657" s="10">
        <v>5.9</v>
      </c>
      <c r="I1657" s="10">
        <v>25491.69</v>
      </c>
      <c r="J1657" s="8" t="s">
        <v>41</v>
      </c>
      <c r="K1657" s="8" t="s">
        <v>98</v>
      </c>
      <c r="L1657" s="18" t="str">
        <f>VLOOKUP(D1657,Products!$A:$C,3,FALSE)</f>
        <v>Electronics</v>
      </c>
      <c r="N1657" s="18" t="str">
        <f>VLOOKUP(C1657,Customers!$A:$E,5,FALSE)</f>
        <v>Corporate</v>
      </c>
      <c r="O1657" s="18">
        <f>VLOOKUP(C1657,Customers!$A:$C,3,FALSE)</f>
        <v>35</v>
      </c>
      <c r="P1657" s="18" t="str">
        <f>VLOOKUP(E1656,Sales_Reps!$A:$C,3,FALSE)</f>
        <v>South</v>
      </c>
      <c r="Q1657" s="18" t="str">
        <f t="shared" si="324"/>
        <v>Oct-24</v>
      </c>
      <c r="R1657">
        <f>VLOOKUP(D1657, Products!A:D, 4, FALSE)</f>
        <v>1559</v>
      </c>
      <c r="S1657">
        <f t="shared" si="325"/>
        <v>0.59715762273901807</v>
      </c>
    </row>
    <row r="1658" spans="1:19" ht="14.25" hidden="1" customHeight="1" x14ac:dyDescent="0.3">
      <c r="A1658" s="8" t="s">
        <v>2694</v>
      </c>
      <c r="B1658" s="9">
        <v>45412</v>
      </c>
      <c r="C1658" s="8" t="s">
        <v>733</v>
      </c>
      <c r="D1658" s="8" t="s">
        <v>211</v>
      </c>
      <c r="E1658" s="8" t="s">
        <v>321</v>
      </c>
      <c r="F1658" s="10">
        <v>8</v>
      </c>
      <c r="G1658" s="10">
        <v>3570</v>
      </c>
      <c r="H1658" s="10">
        <v>24.6</v>
      </c>
      <c r="I1658" s="10">
        <v>21534.240000000002</v>
      </c>
      <c r="J1658" s="8" t="s">
        <v>41</v>
      </c>
      <c r="K1658" s="8" t="s">
        <v>136</v>
      </c>
      <c r="L1658" s="18" t="str">
        <f>VLOOKUP(D1658,Products!$A:$C,3,FALSE)</f>
        <v>Electronics</v>
      </c>
      <c r="N1658" s="18" t="str">
        <f>VLOOKUP(C1658,Customers!$A:$E,5,FALSE)</f>
        <v>SMB</v>
      </c>
      <c r="O1658" s="18">
        <f>VLOOKUP(C1658,Customers!$A:$C,3,FALSE)</f>
        <v>44</v>
      </c>
    </row>
    <row r="1659" spans="1:19" ht="14.25" customHeight="1" x14ac:dyDescent="0.3">
      <c r="A1659" s="8" t="s">
        <v>2695</v>
      </c>
      <c r="B1659" s="21">
        <v>45653</v>
      </c>
      <c r="C1659" s="8" t="s">
        <v>647</v>
      </c>
      <c r="D1659" s="8" t="s">
        <v>818</v>
      </c>
      <c r="E1659" s="8" t="s">
        <v>177</v>
      </c>
      <c r="F1659" s="10">
        <v>1</v>
      </c>
      <c r="G1659" s="10">
        <v>4070</v>
      </c>
      <c r="H1659" s="10">
        <v>29.1</v>
      </c>
      <c r="I1659" s="10">
        <v>2885.63</v>
      </c>
      <c r="J1659" s="8" t="s">
        <v>97</v>
      </c>
      <c r="K1659" s="8" t="s">
        <v>136</v>
      </c>
      <c r="L1659" s="18" t="str">
        <f>VLOOKUP(D1659,Products!$A:$C,3,FALSE)</f>
        <v>Grocery</v>
      </c>
      <c r="N1659" s="18" t="str">
        <f>VLOOKUP(C1659,Customers!$A:$E,5,FALSE)</f>
        <v>Retail</v>
      </c>
      <c r="O1659" s="18">
        <f>VLOOKUP(C1659,Customers!$A:$C,3,FALSE)</f>
        <v>34</v>
      </c>
      <c r="P1659" s="18" t="str">
        <f>VLOOKUP(E1658,Sales_Reps!$A:$C,3,FALSE)</f>
        <v>East</v>
      </c>
      <c r="Q1659" s="18" t="str">
        <f t="shared" ref="Q1659:Q1663" si="326">TEXT(B1658,"MMM-YY")</f>
        <v>Apr-24</v>
      </c>
      <c r="R1659">
        <f>VLOOKUP(D1659, Products!A:D, 4, FALSE)</f>
        <v>2027</v>
      </c>
      <c r="S1659">
        <f t="shared" ref="S1659:S1663" si="327">(G1659-R1659)/G1659</f>
        <v>0.50196560196560192</v>
      </c>
    </row>
    <row r="1660" spans="1:19" ht="14.25" customHeight="1" x14ac:dyDescent="0.3">
      <c r="A1660" s="8" t="s">
        <v>2696</v>
      </c>
      <c r="B1660" s="21">
        <v>45568</v>
      </c>
      <c r="C1660" s="8" t="s">
        <v>349</v>
      </c>
      <c r="D1660" s="8" t="s">
        <v>95</v>
      </c>
      <c r="E1660" s="8" t="s">
        <v>121</v>
      </c>
      <c r="F1660" s="10">
        <v>1</v>
      </c>
      <c r="G1660" s="10">
        <v>820</v>
      </c>
      <c r="H1660" s="10">
        <v>17.899999999999999</v>
      </c>
      <c r="I1660" s="10">
        <v>673.22</v>
      </c>
      <c r="J1660" s="8" t="s">
        <v>41</v>
      </c>
      <c r="K1660" s="8" t="s">
        <v>136</v>
      </c>
      <c r="L1660" s="18" t="str">
        <f>VLOOKUP(D1660,Products!$A:$C,3,FALSE)</f>
        <v>Apparel</v>
      </c>
      <c r="N1660" s="18" t="str">
        <f>VLOOKUP(C1660,Customers!$A:$E,5,FALSE)</f>
        <v>SMB</v>
      </c>
      <c r="O1660" s="18">
        <f>VLOOKUP(C1660,Customers!$A:$C,3,FALSE)</f>
        <v>26</v>
      </c>
      <c r="P1660" s="18" t="str">
        <f>VLOOKUP(E1659,Sales_Reps!$A:$C,3,FALSE)</f>
        <v>South</v>
      </c>
      <c r="Q1660" s="18" t="str">
        <f t="shared" si="326"/>
        <v>Dec-24</v>
      </c>
      <c r="R1660">
        <f>VLOOKUP(D1660, Products!A:D, 4, FALSE)</f>
        <v>391</v>
      </c>
      <c r="S1660">
        <f t="shared" si="327"/>
        <v>0.52317073170731709</v>
      </c>
    </row>
    <row r="1661" spans="1:19" ht="14.25" customHeight="1" x14ac:dyDescent="0.3">
      <c r="A1661" s="8" t="s">
        <v>2697</v>
      </c>
      <c r="B1661" s="21">
        <v>45643</v>
      </c>
      <c r="C1661" s="8" t="s">
        <v>538</v>
      </c>
      <c r="D1661" s="8" t="s">
        <v>867</v>
      </c>
      <c r="E1661" s="8" t="s">
        <v>236</v>
      </c>
      <c r="F1661" s="10">
        <v>5</v>
      </c>
      <c r="G1661" s="10">
        <v>3020</v>
      </c>
      <c r="H1661" s="10">
        <v>26.2</v>
      </c>
      <c r="I1661" s="10">
        <v>11143.8</v>
      </c>
      <c r="J1661" s="8" t="s">
        <v>41</v>
      </c>
      <c r="K1661" s="8" t="s">
        <v>178</v>
      </c>
      <c r="L1661" s="18" t="str">
        <f>VLOOKUP(D1661,Products!$A:$C,3,FALSE)</f>
        <v>Beauty</v>
      </c>
      <c r="N1661" s="18" t="str">
        <f>VLOOKUP(C1661,Customers!$A:$E,5,FALSE)</f>
        <v>Retail</v>
      </c>
      <c r="O1661" s="18">
        <f>VLOOKUP(C1661,Customers!$A:$C,3,FALSE)</f>
        <v>29</v>
      </c>
      <c r="P1661" s="18" t="str">
        <f>VLOOKUP(E1660,Sales_Reps!$A:$C,3,FALSE)</f>
        <v>East</v>
      </c>
      <c r="Q1661" s="18" t="str">
        <f t="shared" si="326"/>
        <v>Oct-24</v>
      </c>
      <c r="R1661">
        <f>VLOOKUP(D1661, Products!A:D, 4, FALSE)</f>
        <v>1626</v>
      </c>
      <c r="S1661">
        <f t="shared" si="327"/>
        <v>0.46158940397350995</v>
      </c>
    </row>
    <row r="1662" spans="1:19" ht="14.25" customHeight="1" x14ac:dyDescent="0.3">
      <c r="A1662" s="8" t="s">
        <v>2698</v>
      </c>
      <c r="B1662" s="21">
        <v>45411</v>
      </c>
      <c r="C1662" s="8" t="s">
        <v>564</v>
      </c>
      <c r="D1662" s="8" t="s">
        <v>901</v>
      </c>
      <c r="E1662" s="8" t="s">
        <v>196</v>
      </c>
      <c r="F1662" s="10">
        <v>10</v>
      </c>
      <c r="G1662" s="10">
        <v>3560</v>
      </c>
      <c r="H1662" s="10">
        <v>15.4</v>
      </c>
      <c r="I1662" s="10">
        <v>30117.599999999999</v>
      </c>
      <c r="J1662" s="8" t="s">
        <v>193</v>
      </c>
      <c r="K1662" s="8" t="s">
        <v>178</v>
      </c>
      <c r="L1662" s="18" t="str">
        <f>VLOOKUP(D1662,Products!$A:$C,3,FALSE)</f>
        <v>Apparel</v>
      </c>
      <c r="N1662" s="18" t="str">
        <f>VLOOKUP(C1662,Customers!$A:$E,5,FALSE)</f>
        <v>Corporate</v>
      </c>
      <c r="O1662" s="18">
        <f>VLOOKUP(C1662,Customers!$A:$C,3,FALSE)</f>
        <v>22</v>
      </c>
      <c r="P1662" s="18" t="str">
        <f>VLOOKUP(E1661,Sales_Reps!$A:$C,3,FALSE)</f>
        <v>West</v>
      </c>
      <c r="Q1662" s="18" t="str">
        <f t="shared" si="326"/>
        <v>Dec-24</v>
      </c>
      <c r="R1662">
        <f>VLOOKUP(D1662, Products!A:D, 4, FALSE)</f>
        <v>2629</v>
      </c>
      <c r="S1662">
        <f t="shared" si="327"/>
        <v>0.26151685393258428</v>
      </c>
    </row>
    <row r="1663" spans="1:19" ht="14.25" customHeight="1" x14ac:dyDescent="0.3">
      <c r="A1663" s="8" t="s">
        <v>2031</v>
      </c>
      <c r="B1663" s="21">
        <v>45467</v>
      </c>
      <c r="C1663" s="8" t="s">
        <v>829</v>
      </c>
      <c r="D1663" s="8" t="s">
        <v>247</v>
      </c>
      <c r="E1663" s="8" t="s">
        <v>231</v>
      </c>
      <c r="F1663" s="10">
        <v>3</v>
      </c>
      <c r="G1663" s="10">
        <v>3350</v>
      </c>
      <c r="H1663" s="10">
        <v>8.1</v>
      </c>
      <c r="I1663" s="10">
        <v>9235.9500000000007</v>
      </c>
      <c r="J1663" s="8" t="s">
        <v>41</v>
      </c>
      <c r="K1663" s="8" t="s">
        <v>178</v>
      </c>
      <c r="L1663" s="18" t="str">
        <f>VLOOKUP(D1663,Products!$A:$C,3,FALSE)</f>
        <v>Beauty</v>
      </c>
      <c r="N1663" s="18" t="str">
        <f>VLOOKUP(C1663,Customers!$A:$E,5,FALSE)</f>
        <v>Corporate</v>
      </c>
      <c r="O1663" s="18">
        <f>VLOOKUP(C1663,Customers!$A:$C,3,FALSE)</f>
        <v>29</v>
      </c>
      <c r="P1663" s="18" t="str">
        <f>VLOOKUP(E1662,Sales_Reps!$A:$C,3,FALSE)</f>
        <v>East</v>
      </c>
      <c r="Q1663" s="18" t="str">
        <f t="shared" si="326"/>
        <v>Apr-24</v>
      </c>
      <c r="R1663">
        <f>VLOOKUP(D1663, Products!A:D, 4, FALSE)</f>
        <v>1728</v>
      </c>
      <c r="S1663">
        <f t="shared" si="327"/>
        <v>0.48417910447761192</v>
      </c>
    </row>
    <row r="1664" spans="1:19" ht="14.25" hidden="1" customHeight="1" x14ac:dyDescent="0.3">
      <c r="A1664" s="8" t="s">
        <v>2699</v>
      </c>
      <c r="B1664" s="9">
        <v>45542</v>
      </c>
      <c r="C1664" s="8" t="s">
        <v>810</v>
      </c>
      <c r="D1664" s="8" t="s">
        <v>939</v>
      </c>
      <c r="E1664" s="8" t="s">
        <v>145</v>
      </c>
      <c r="F1664" s="10">
        <v>10</v>
      </c>
      <c r="G1664" s="10">
        <v>2290</v>
      </c>
      <c r="H1664" s="10">
        <v>7</v>
      </c>
      <c r="I1664" s="10">
        <v>21297</v>
      </c>
      <c r="J1664" s="8" t="s">
        <v>41</v>
      </c>
      <c r="K1664" s="8" t="s">
        <v>42</v>
      </c>
      <c r="L1664" s="18" t="str">
        <f>VLOOKUP(D1664,Products!$A:$C,3,FALSE)</f>
        <v>Beauty</v>
      </c>
      <c r="N1664" s="18" t="str">
        <f>VLOOKUP(C1664,Customers!$A:$E,5,FALSE)</f>
        <v>Retail</v>
      </c>
      <c r="O1664" s="18">
        <f>VLOOKUP(C1664,Customers!$A:$C,3,FALSE)</f>
        <v>48</v>
      </c>
    </row>
    <row r="1665" spans="1:19" ht="14.25" hidden="1" customHeight="1" x14ac:dyDescent="0.3">
      <c r="A1665" s="8" t="s">
        <v>2700</v>
      </c>
      <c r="B1665" s="9">
        <v>45483</v>
      </c>
      <c r="C1665" s="8" t="s">
        <v>755</v>
      </c>
      <c r="D1665" s="8" t="s">
        <v>124</v>
      </c>
      <c r="E1665" s="8" t="s">
        <v>200</v>
      </c>
      <c r="F1665" s="10">
        <v>6</v>
      </c>
      <c r="G1665" s="10">
        <v>3660</v>
      </c>
      <c r="H1665" s="10">
        <v>29.9</v>
      </c>
      <c r="I1665" s="10">
        <v>15393.96</v>
      </c>
      <c r="J1665" s="8" t="s">
        <v>41</v>
      </c>
      <c r="K1665" s="8" t="s">
        <v>146</v>
      </c>
      <c r="L1665" s="18" t="str">
        <f>VLOOKUP(D1665,Products!$A:$C,3,FALSE)</f>
        <v>Grocery</v>
      </c>
      <c r="N1665" s="18" t="str">
        <f>VLOOKUP(C1665,Customers!$A:$E,5,FALSE)</f>
        <v>Retail</v>
      </c>
      <c r="O1665" s="18">
        <f>VLOOKUP(C1665,Customers!$A:$C,3,FALSE)</f>
        <v>61</v>
      </c>
    </row>
    <row r="1666" spans="1:19" ht="14.25" hidden="1" customHeight="1" x14ac:dyDescent="0.3">
      <c r="A1666" s="8" t="s">
        <v>2701</v>
      </c>
      <c r="B1666" s="9">
        <v>45426</v>
      </c>
      <c r="C1666" s="8" t="s">
        <v>422</v>
      </c>
      <c r="D1666" s="8" t="s">
        <v>181</v>
      </c>
      <c r="E1666" s="8" t="s">
        <v>745</v>
      </c>
      <c r="F1666" s="10">
        <v>8</v>
      </c>
      <c r="G1666" s="10">
        <v>2640</v>
      </c>
      <c r="H1666" s="10">
        <v>4.2</v>
      </c>
      <c r="I1666" s="10">
        <v>20232.96</v>
      </c>
      <c r="J1666" s="8" t="s">
        <v>193</v>
      </c>
      <c r="K1666" s="8" t="s">
        <v>146</v>
      </c>
      <c r="L1666" s="18" t="str">
        <f>VLOOKUP(D1666,Products!$A:$C,3,FALSE)</f>
        <v>Electronics</v>
      </c>
      <c r="N1666" s="18" t="str">
        <f>VLOOKUP(C1666,Customers!$A:$E,5,FALSE)</f>
        <v>Corporate</v>
      </c>
      <c r="O1666" s="18">
        <f>VLOOKUP(C1666,Customers!$A:$C,3,FALSE)</f>
        <v>55</v>
      </c>
    </row>
    <row r="1667" spans="1:19" ht="14.25" hidden="1" customHeight="1" x14ac:dyDescent="0.3">
      <c r="A1667" s="8" t="s">
        <v>2702</v>
      </c>
      <c r="B1667" s="9">
        <v>45386</v>
      </c>
      <c r="C1667" s="8" t="s">
        <v>204</v>
      </c>
      <c r="D1667" s="8" t="s">
        <v>144</v>
      </c>
      <c r="E1667" s="8" t="s">
        <v>125</v>
      </c>
      <c r="F1667" s="10">
        <v>5</v>
      </c>
      <c r="G1667" s="10">
        <v>370</v>
      </c>
      <c r="H1667" s="10">
        <v>6</v>
      </c>
      <c r="I1667" s="10">
        <v>1739</v>
      </c>
      <c r="J1667" s="8" t="s">
        <v>41</v>
      </c>
      <c r="K1667" s="8" t="s">
        <v>42</v>
      </c>
      <c r="L1667" s="18" t="str">
        <f>VLOOKUP(D1667,Products!$A:$C,3,FALSE)</f>
        <v>Home</v>
      </c>
      <c r="N1667" s="18" t="str">
        <f>VLOOKUP(C1667,Customers!$A:$E,5,FALSE)</f>
        <v>Retail</v>
      </c>
      <c r="O1667" s="18">
        <f>VLOOKUP(C1667,Customers!$A:$C,3,FALSE)</f>
        <v>63</v>
      </c>
    </row>
    <row r="1668" spans="1:19" ht="14.25" hidden="1" customHeight="1" x14ac:dyDescent="0.3">
      <c r="A1668" s="8" t="s">
        <v>2703</v>
      </c>
      <c r="B1668" s="9">
        <v>45377</v>
      </c>
      <c r="C1668" s="8" t="s">
        <v>571</v>
      </c>
      <c r="D1668" s="8" t="s">
        <v>176</v>
      </c>
      <c r="E1668" s="8" t="s">
        <v>38</v>
      </c>
      <c r="F1668" s="10">
        <v>9</v>
      </c>
      <c r="G1668" s="10">
        <v>2270</v>
      </c>
      <c r="H1668" s="10">
        <v>4.7</v>
      </c>
      <c r="I1668" s="10">
        <v>19469.79</v>
      </c>
      <c r="J1668" s="8" t="s">
        <v>41</v>
      </c>
      <c r="K1668" s="8" t="s">
        <v>98</v>
      </c>
      <c r="L1668" s="18" t="str">
        <f>VLOOKUP(D1668,Products!$A:$C,3,FALSE)</f>
        <v>Grocery</v>
      </c>
      <c r="N1668" s="18" t="str">
        <f>VLOOKUP(C1668,Customers!$A:$E,5,FALSE)</f>
        <v>Retail</v>
      </c>
      <c r="O1668" s="18">
        <f>VLOOKUP(C1668,Customers!$A:$C,3,FALSE)</f>
        <v>49</v>
      </c>
    </row>
    <row r="1669" spans="1:19" ht="14.25" customHeight="1" x14ac:dyDescent="0.3">
      <c r="A1669" s="8" t="s">
        <v>2704</v>
      </c>
      <c r="B1669" s="21">
        <v>45414</v>
      </c>
      <c r="C1669" s="8" t="s">
        <v>344</v>
      </c>
      <c r="D1669" s="8" t="s">
        <v>389</v>
      </c>
      <c r="E1669" s="8" t="s">
        <v>865</v>
      </c>
      <c r="F1669" s="10">
        <v>5</v>
      </c>
      <c r="G1669" s="10">
        <v>660</v>
      </c>
      <c r="H1669" s="10">
        <v>21</v>
      </c>
      <c r="I1669" s="10">
        <v>2607</v>
      </c>
      <c r="J1669" s="8" t="s">
        <v>41</v>
      </c>
      <c r="K1669" s="8" t="s">
        <v>136</v>
      </c>
      <c r="L1669" s="18" t="str">
        <f>VLOOKUP(D1669,Products!$A:$C,3,FALSE)</f>
        <v>Home</v>
      </c>
      <c r="N1669" s="18" t="str">
        <f>VLOOKUP(C1669,Customers!$A:$E,5,FALSE)</f>
        <v>Retail</v>
      </c>
      <c r="O1669" s="18">
        <f>VLOOKUP(C1669,Customers!$A:$C,3,FALSE)</f>
        <v>37</v>
      </c>
      <c r="P1669" s="18" t="str">
        <f>VLOOKUP(E1668,Sales_Reps!$A:$C,3,FALSE)</f>
        <v>North</v>
      </c>
      <c r="Q1669" s="18" t="str">
        <f>TEXT(B1668,"MMM-YY")</f>
        <v>Mar-24</v>
      </c>
      <c r="R1669">
        <f>VLOOKUP(D1669, Products!A:D, 4, FALSE)</f>
        <v>329</v>
      </c>
      <c r="S1669">
        <f>(G1669-R1669)/G1669</f>
        <v>0.50151515151515147</v>
      </c>
    </row>
    <row r="1670" spans="1:19" ht="14.25" hidden="1" customHeight="1" x14ac:dyDescent="0.3">
      <c r="A1670" s="8" t="s">
        <v>2705</v>
      </c>
      <c r="B1670" s="9">
        <v>45407</v>
      </c>
      <c r="C1670" s="8" t="s">
        <v>2706</v>
      </c>
      <c r="D1670" s="8" t="s">
        <v>152</v>
      </c>
      <c r="E1670" s="8" t="s">
        <v>200</v>
      </c>
      <c r="F1670" s="10">
        <v>2</v>
      </c>
      <c r="G1670" s="10">
        <v>960</v>
      </c>
      <c r="H1670" s="10">
        <v>7.3</v>
      </c>
      <c r="I1670" s="10">
        <v>1779.84</v>
      </c>
      <c r="J1670" s="8" t="s">
        <v>41</v>
      </c>
      <c r="K1670" s="8" t="s">
        <v>136</v>
      </c>
      <c r="L1670" s="18" t="str">
        <f>VLOOKUP(D1670,Products!$A:$C,3,FALSE)</f>
        <v>Sports</v>
      </c>
      <c r="N1670" s="18" t="e">
        <f>VLOOKUP(C1670,Customers!$A:$E,5,FALSE)</f>
        <v>#N/A</v>
      </c>
      <c r="O1670" s="18" t="e">
        <f>VLOOKUP(C1670,Customers!$A:$C,3,FALSE)</f>
        <v>#N/A</v>
      </c>
    </row>
    <row r="1671" spans="1:19" ht="14.25" customHeight="1" x14ac:dyDescent="0.3">
      <c r="A1671" s="8" t="s">
        <v>2707</v>
      </c>
      <c r="B1671" s="21">
        <v>45509</v>
      </c>
      <c r="C1671" s="8" t="s">
        <v>226</v>
      </c>
      <c r="D1671" s="8" t="s">
        <v>320</v>
      </c>
      <c r="E1671" s="8" t="s">
        <v>214</v>
      </c>
      <c r="F1671" s="10">
        <v>3</v>
      </c>
      <c r="G1671" s="10">
        <v>5100</v>
      </c>
      <c r="H1671" s="10">
        <v>21</v>
      </c>
      <c r="I1671" s="10">
        <v>12087</v>
      </c>
      <c r="J1671" s="8" t="s">
        <v>41</v>
      </c>
      <c r="K1671" s="8" t="s">
        <v>178</v>
      </c>
      <c r="L1671" s="18" t="str">
        <f>VLOOKUP(D1671,Products!$A:$C,3,FALSE)</f>
        <v>Beauty</v>
      </c>
      <c r="N1671" s="18" t="str">
        <f>VLOOKUP(C1671,Customers!$A:$E,5,FALSE)</f>
        <v>Retail</v>
      </c>
      <c r="O1671" s="18">
        <f>VLOOKUP(C1671,Customers!$A:$C,3,FALSE)</f>
        <v>32</v>
      </c>
      <c r="P1671" s="18" t="str">
        <f>VLOOKUP(E1670,Sales_Reps!$A:$C,3,FALSE)</f>
        <v>North</v>
      </c>
      <c r="Q1671" s="18" t="str">
        <f t="shared" ref="Q1671:Q1672" si="328">TEXT(B1670,"MMM-YY")</f>
        <v>Apr-24</v>
      </c>
      <c r="R1671">
        <f>VLOOKUP(D1671, Products!A:D, 4, FALSE)</f>
        <v>2237</v>
      </c>
      <c r="S1671">
        <f t="shared" ref="S1671:S1672" si="329">(G1671-R1671)/G1671</f>
        <v>0.56137254901960787</v>
      </c>
    </row>
    <row r="1672" spans="1:19" ht="14.25" customHeight="1" x14ac:dyDescent="0.3">
      <c r="A1672" s="8" t="s">
        <v>2708</v>
      </c>
      <c r="B1672" s="21">
        <v>45566</v>
      </c>
      <c r="C1672" s="8" t="s">
        <v>150</v>
      </c>
      <c r="D1672" s="8" t="s">
        <v>134</v>
      </c>
      <c r="E1672" s="8" t="s">
        <v>185</v>
      </c>
      <c r="F1672" s="10">
        <v>3</v>
      </c>
      <c r="G1672" s="10">
        <v>3160</v>
      </c>
      <c r="H1672" s="10">
        <v>13.5</v>
      </c>
      <c r="I1672" s="10">
        <v>8200.2000000000007</v>
      </c>
      <c r="J1672" s="8" t="s">
        <v>41</v>
      </c>
      <c r="K1672" s="8" t="s">
        <v>42</v>
      </c>
      <c r="L1672" s="18" t="str">
        <f>VLOOKUP(D1672,Products!$A:$C,3,FALSE)</f>
        <v>Apparel</v>
      </c>
      <c r="N1672" s="18" t="str">
        <f>VLOOKUP(C1672,Customers!$A:$E,5,FALSE)</f>
        <v>Retail</v>
      </c>
      <c r="O1672" s="18">
        <f>VLOOKUP(C1672,Customers!$A:$C,3,FALSE)</f>
        <v>25</v>
      </c>
      <c r="P1672" s="18" t="str">
        <f>VLOOKUP(E1671,Sales_Reps!$A:$C,3,FALSE)</f>
        <v>South</v>
      </c>
      <c r="Q1672" s="18" t="str">
        <f t="shared" si="328"/>
        <v>Aug-24</v>
      </c>
      <c r="R1672">
        <f>VLOOKUP(D1672, Products!A:D, 4, FALSE)</f>
        <v>1886</v>
      </c>
      <c r="S1672">
        <f t="shared" si="329"/>
        <v>0.4031645569620253</v>
      </c>
    </row>
    <row r="1673" spans="1:19" ht="14.25" hidden="1" customHeight="1" x14ac:dyDescent="0.3">
      <c r="A1673" s="8" t="s">
        <v>2709</v>
      </c>
      <c r="B1673" s="9">
        <v>45524</v>
      </c>
      <c r="C1673" s="8" t="s">
        <v>2710</v>
      </c>
      <c r="D1673" s="8" t="s">
        <v>789</v>
      </c>
      <c r="E1673" s="8" t="s">
        <v>96</v>
      </c>
      <c r="F1673" s="10">
        <v>9</v>
      </c>
      <c r="G1673" s="10">
        <v>1540</v>
      </c>
      <c r="H1673" s="10">
        <v>18.2</v>
      </c>
      <c r="I1673" s="10">
        <v>11337.48</v>
      </c>
      <c r="J1673" s="8" t="s">
        <v>147</v>
      </c>
      <c r="K1673" s="8" t="s">
        <v>136</v>
      </c>
      <c r="L1673" s="18" t="str">
        <f>VLOOKUP(D1673,Products!$A:$C,3,FALSE)</f>
        <v>Beauty</v>
      </c>
      <c r="N1673" s="18" t="e">
        <f>VLOOKUP(C1673,Customers!$A:$E,5,FALSE)</f>
        <v>#N/A</v>
      </c>
      <c r="O1673" s="18" t="e">
        <f>VLOOKUP(C1673,Customers!$A:$C,3,FALSE)</f>
        <v>#N/A</v>
      </c>
    </row>
    <row r="1674" spans="1:19" ht="14.25" hidden="1" customHeight="1" x14ac:dyDescent="0.3">
      <c r="A1674" s="8" t="s">
        <v>2711</v>
      </c>
      <c r="B1674" s="9">
        <v>45431</v>
      </c>
      <c r="C1674" s="8" t="s">
        <v>207</v>
      </c>
      <c r="D1674" s="8" t="s">
        <v>215</v>
      </c>
      <c r="E1674" s="8" t="s">
        <v>153</v>
      </c>
      <c r="F1674" s="10">
        <v>4</v>
      </c>
      <c r="G1674" s="10">
        <v>3450</v>
      </c>
      <c r="H1674" s="10">
        <v>26.4</v>
      </c>
      <c r="I1674" s="10">
        <v>10156.799999999999</v>
      </c>
      <c r="J1674" s="8" t="s">
        <v>97</v>
      </c>
      <c r="K1674" s="8" t="s">
        <v>136</v>
      </c>
      <c r="L1674" s="18" t="str">
        <f>VLOOKUP(D1674,Products!$A:$C,3,FALSE)</f>
        <v>Beauty</v>
      </c>
      <c r="N1674" s="18" t="str">
        <f>VLOOKUP(C1674,Customers!$A:$E,5,FALSE)</f>
        <v>SMB</v>
      </c>
      <c r="O1674" s="18">
        <f>VLOOKUP(C1674,Customers!$A:$C,3,FALSE)</f>
        <v>46</v>
      </c>
    </row>
    <row r="1675" spans="1:19" ht="14.25" hidden="1" customHeight="1" x14ac:dyDescent="0.3">
      <c r="A1675" s="8" t="s">
        <v>2712</v>
      </c>
      <c r="B1675" s="9">
        <v>45598</v>
      </c>
      <c r="C1675" s="8" t="s">
        <v>755</v>
      </c>
      <c r="D1675" s="8" t="s">
        <v>909</v>
      </c>
      <c r="E1675" s="8" t="s">
        <v>376</v>
      </c>
      <c r="F1675" s="10">
        <v>4</v>
      </c>
      <c r="G1675" s="10">
        <v>2380</v>
      </c>
      <c r="H1675" s="10">
        <v>6.9</v>
      </c>
      <c r="I1675" s="10">
        <v>8863.1200000000008</v>
      </c>
      <c r="J1675" s="8" t="s">
        <v>41</v>
      </c>
      <c r="K1675" s="8" t="s">
        <v>146</v>
      </c>
      <c r="L1675" s="18" t="str">
        <f>VLOOKUP(D1675,Products!$A:$C,3,FALSE)</f>
        <v>Grocery</v>
      </c>
      <c r="N1675" s="18" t="str">
        <f>VLOOKUP(C1675,Customers!$A:$E,5,FALSE)</f>
        <v>Retail</v>
      </c>
      <c r="O1675" s="18">
        <f>VLOOKUP(C1675,Customers!$A:$C,3,FALSE)</f>
        <v>61</v>
      </c>
    </row>
    <row r="1676" spans="1:19" ht="14.25" customHeight="1" x14ac:dyDescent="0.3">
      <c r="A1676" s="8" t="s">
        <v>2713</v>
      </c>
      <c r="B1676" s="21">
        <v>45419</v>
      </c>
      <c r="C1676" s="8" t="s">
        <v>150</v>
      </c>
      <c r="D1676" s="8" t="s">
        <v>569</v>
      </c>
      <c r="E1676" s="8" t="s">
        <v>200</v>
      </c>
      <c r="F1676" s="10">
        <v>2</v>
      </c>
      <c r="G1676" s="10">
        <v>3730</v>
      </c>
      <c r="H1676" s="10">
        <v>22.9</v>
      </c>
      <c r="I1676" s="10">
        <v>5751.66</v>
      </c>
      <c r="J1676" s="8" t="s">
        <v>41</v>
      </c>
      <c r="K1676" s="8" t="s">
        <v>42</v>
      </c>
      <c r="L1676" s="18" t="str">
        <f>VLOOKUP(D1676,Products!$A:$C,3,FALSE)</f>
        <v>Home</v>
      </c>
      <c r="N1676" s="18" t="str">
        <f>VLOOKUP(C1676,Customers!$A:$E,5,FALSE)</f>
        <v>Retail</v>
      </c>
      <c r="O1676" s="18">
        <f>VLOOKUP(C1676,Customers!$A:$C,3,FALSE)</f>
        <v>25</v>
      </c>
      <c r="P1676" s="18" t="str">
        <f>VLOOKUP(E1675,Sales_Reps!$A:$C,3,FALSE)</f>
        <v>West</v>
      </c>
      <c r="Q1676" s="18" t="str">
        <f>TEXT(B1675,"MMM-YY")</f>
        <v>Nov-24</v>
      </c>
      <c r="R1676">
        <f>VLOOKUP(D1676, Products!A:D, 4, FALSE)</f>
        <v>2135</v>
      </c>
      <c r="S1676">
        <f>(G1676-R1676)/G1676</f>
        <v>0.42761394101876676</v>
      </c>
    </row>
    <row r="1677" spans="1:19" ht="14.25" hidden="1" customHeight="1" x14ac:dyDescent="0.3">
      <c r="A1677" s="8" t="s">
        <v>2714</v>
      </c>
      <c r="B1677" s="9">
        <v>45549</v>
      </c>
      <c r="C1677" s="8" t="s">
        <v>277</v>
      </c>
      <c r="D1677" s="8" t="s">
        <v>192</v>
      </c>
      <c r="E1677" s="8" t="s">
        <v>261</v>
      </c>
      <c r="F1677" s="10">
        <v>7</v>
      </c>
      <c r="G1677" s="10">
        <v>3250</v>
      </c>
      <c r="H1677" s="10">
        <v>6</v>
      </c>
      <c r="I1677" s="10">
        <v>21385</v>
      </c>
      <c r="J1677" s="8" t="s">
        <v>41</v>
      </c>
      <c r="K1677" s="8" t="s">
        <v>42</v>
      </c>
      <c r="L1677" s="18" t="str">
        <f>VLOOKUP(D1677,Products!$A:$C,3,FALSE)</f>
        <v>Home</v>
      </c>
      <c r="N1677" s="18" t="str">
        <f>VLOOKUP(C1677,Customers!$A:$E,5,FALSE)</f>
        <v>Retail</v>
      </c>
      <c r="O1677" s="18">
        <f>VLOOKUP(C1677,Customers!$A:$C,3,FALSE)</f>
        <v>43</v>
      </c>
    </row>
    <row r="1678" spans="1:19" ht="14.25" customHeight="1" x14ac:dyDescent="0.3">
      <c r="A1678" s="8" t="s">
        <v>2715</v>
      </c>
      <c r="B1678" s="21">
        <v>45519</v>
      </c>
      <c r="C1678" s="8" t="s">
        <v>385</v>
      </c>
      <c r="D1678" s="8" t="s">
        <v>116</v>
      </c>
      <c r="E1678" s="8" t="s">
        <v>321</v>
      </c>
      <c r="F1678" s="10">
        <v>9</v>
      </c>
      <c r="G1678" s="10">
        <v>470</v>
      </c>
      <c r="H1678" s="10">
        <v>11.6</v>
      </c>
      <c r="I1678" s="10">
        <v>3739.32</v>
      </c>
      <c r="J1678" s="8" t="s">
        <v>41</v>
      </c>
      <c r="K1678" s="8" t="s">
        <v>42</v>
      </c>
      <c r="L1678" s="18" t="str">
        <f>VLOOKUP(D1678,Products!$A:$C,3,FALSE)</f>
        <v>Sports</v>
      </c>
      <c r="N1678" s="18" t="str">
        <f>VLOOKUP(C1678,Customers!$A:$E,5,FALSE)</f>
        <v>Retail</v>
      </c>
      <c r="O1678" s="18">
        <f>VLOOKUP(C1678,Customers!$A:$C,3,FALSE)</f>
        <v>35</v>
      </c>
      <c r="P1678" s="18" t="str">
        <f>VLOOKUP(E1677,Sales_Reps!$A:$C,3,FALSE)</f>
        <v>North</v>
      </c>
      <c r="Q1678" s="18" t="str">
        <f>TEXT(B1677,"MMM-YY")</f>
        <v>Sep-24</v>
      </c>
      <c r="R1678">
        <f>VLOOKUP(D1678, Products!A:D, 4, FALSE)</f>
        <v>302</v>
      </c>
      <c r="S1678">
        <f>(G1678-R1678)/G1678</f>
        <v>0.35744680851063831</v>
      </c>
    </row>
    <row r="1679" spans="1:19" ht="14.25" hidden="1" customHeight="1" x14ac:dyDescent="0.3">
      <c r="A1679" s="8" t="s">
        <v>2716</v>
      </c>
      <c r="B1679" s="9">
        <v>45574</v>
      </c>
      <c r="C1679" s="8" t="s">
        <v>324</v>
      </c>
      <c r="D1679" s="8" t="s">
        <v>939</v>
      </c>
      <c r="E1679" s="8" t="s">
        <v>376</v>
      </c>
      <c r="F1679" s="10">
        <v>5</v>
      </c>
      <c r="G1679" s="10">
        <v>2290</v>
      </c>
      <c r="H1679" s="10">
        <v>27.6</v>
      </c>
      <c r="I1679" s="10">
        <v>8289.7999999999993</v>
      </c>
      <c r="J1679" s="8" t="s">
        <v>41</v>
      </c>
      <c r="K1679" s="8" t="s">
        <v>136</v>
      </c>
      <c r="L1679" s="18" t="str">
        <f>VLOOKUP(D1679,Products!$A:$C,3,FALSE)</f>
        <v>Beauty</v>
      </c>
      <c r="N1679" s="18" t="str">
        <f>VLOOKUP(C1679,Customers!$A:$E,5,FALSE)</f>
        <v>Corporate</v>
      </c>
      <c r="O1679" s="18">
        <f>VLOOKUP(C1679,Customers!$A:$C,3,FALSE)</f>
        <v>43</v>
      </c>
    </row>
    <row r="1680" spans="1:19" ht="14.25" customHeight="1" x14ac:dyDescent="0.3">
      <c r="A1680" s="8" t="s">
        <v>2717</v>
      </c>
      <c r="B1680" s="21">
        <v>45462</v>
      </c>
      <c r="C1680" s="8" t="s">
        <v>614</v>
      </c>
      <c r="D1680" s="8" t="s">
        <v>140</v>
      </c>
      <c r="E1680" s="8" t="s">
        <v>236</v>
      </c>
      <c r="F1680" s="10">
        <v>6</v>
      </c>
      <c r="G1680" s="10">
        <v>1430</v>
      </c>
      <c r="H1680" s="10">
        <v>18.399999999999999</v>
      </c>
      <c r="I1680" s="10">
        <v>7001.28</v>
      </c>
      <c r="J1680" s="8" t="s">
        <v>97</v>
      </c>
      <c r="K1680" s="8" t="s">
        <v>178</v>
      </c>
      <c r="L1680" s="18" t="str">
        <f>VLOOKUP(D1680,Products!$A:$C,3,FALSE)</f>
        <v>Electronics</v>
      </c>
      <c r="N1680" s="18" t="str">
        <f>VLOOKUP(C1680,Customers!$A:$E,5,FALSE)</f>
        <v>Retail</v>
      </c>
      <c r="O1680" s="18">
        <f>VLOOKUP(C1680,Customers!$A:$C,3,FALSE)</f>
        <v>31</v>
      </c>
      <c r="P1680" s="18" t="str">
        <f>VLOOKUP(E1679,Sales_Reps!$A:$C,3,FALSE)</f>
        <v>West</v>
      </c>
      <c r="Q1680" s="18" t="str">
        <f>TEXT(B1679,"MMM-YY")</f>
        <v>Oct-24</v>
      </c>
      <c r="R1680">
        <f>VLOOKUP(D1680, Products!A:D, 4, FALSE)</f>
        <v>861</v>
      </c>
      <c r="S1680">
        <f>(G1680-R1680)/G1680</f>
        <v>0.39790209790209791</v>
      </c>
    </row>
    <row r="1681" spans="1:19" ht="14.25" hidden="1" customHeight="1" x14ac:dyDescent="0.3">
      <c r="A1681" s="8" t="s">
        <v>2718</v>
      </c>
      <c r="B1681" s="9">
        <v>45336</v>
      </c>
      <c r="C1681" s="8" t="s">
        <v>656</v>
      </c>
      <c r="D1681" s="8" t="s">
        <v>338</v>
      </c>
      <c r="E1681" s="8" t="s">
        <v>261</v>
      </c>
      <c r="F1681" s="10">
        <v>7</v>
      </c>
      <c r="G1681" s="10">
        <v>2860</v>
      </c>
      <c r="H1681" s="10">
        <v>19.5</v>
      </c>
      <c r="I1681" s="10">
        <v>16116.1</v>
      </c>
      <c r="J1681" s="8" t="s">
        <v>41</v>
      </c>
      <c r="K1681" s="8" t="s">
        <v>136</v>
      </c>
      <c r="L1681" s="18" t="str">
        <f>VLOOKUP(D1681,Products!$A:$C,3,FALSE)</f>
        <v>Sports</v>
      </c>
      <c r="N1681" s="18" t="str">
        <f>VLOOKUP(C1681,Customers!$A:$E,5,FALSE)</f>
        <v>Retail</v>
      </c>
      <c r="O1681" s="18">
        <f>VLOOKUP(C1681,Customers!$A:$C,3,FALSE)</f>
        <v>54</v>
      </c>
    </row>
    <row r="1682" spans="1:19" ht="14.25" hidden="1" customHeight="1" x14ac:dyDescent="0.3">
      <c r="A1682" s="8" t="s">
        <v>2719</v>
      </c>
      <c r="B1682" s="9">
        <v>45439</v>
      </c>
      <c r="C1682" s="8" t="s">
        <v>468</v>
      </c>
      <c r="D1682" s="8" t="s">
        <v>215</v>
      </c>
      <c r="E1682" s="8" t="s">
        <v>321</v>
      </c>
      <c r="F1682" s="10">
        <v>8</v>
      </c>
      <c r="G1682" s="10">
        <v>3450</v>
      </c>
      <c r="H1682" s="10">
        <v>25.5</v>
      </c>
      <c r="I1682" s="10">
        <v>20562</v>
      </c>
      <c r="J1682" s="8" t="s">
        <v>97</v>
      </c>
      <c r="K1682" s="8" t="s">
        <v>146</v>
      </c>
      <c r="L1682" s="18" t="str">
        <f>VLOOKUP(D1682,Products!$A:$C,3,FALSE)</f>
        <v>Beauty</v>
      </c>
      <c r="N1682" s="18" t="str">
        <f>VLOOKUP(C1682,Customers!$A:$E,5,FALSE)</f>
        <v>Retail</v>
      </c>
      <c r="O1682" s="18">
        <f>VLOOKUP(C1682,Customers!$A:$C,3,FALSE)</f>
        <v>65</v>
      </c>
    </row>
    <row r="1683" spans="1:19" ht="14.25" hidden="1" customHeight="1" x14ac:dyDescent="0.3">
      <c r="A1683" s="8" t="s">
        <v>2720</v>
      </c>
      <c r="B1683" s="9">
        <v>45578</v>
      </c>
      <c r="C1683" s="8" t="s">
        <v>312</v>
      </c>
      <c r="D1683" s="8" t="s">
        <v>954</v>
      </c>
      <c r="E1683" s="8" t="s">
        <v>158</v>
      </c>
      <c r="F1683" s="10">
        <v>7</v>
      </c>
      <c r="G1683" s="10">
        <v>5410</v>
      </c>
      <c r="H1683" s="10">
        <v>15.2</v>
      </c>
      <c r="I1683" s="10">
        <v>32113.759999999998</v>
      </c>
      <c r="J1683" s="8" t="s">
        <v>147</v>
      </c>
      <c r="K1683" s="8" t="s">
        <v>42</v>
      </c>
      <c r="L1683" s="18" t="str">
        <f>VLOOKUP(D1683,Products!$A:$C,3,FALSE)</f>
        <v>Sports</v>
      </c>
      <c r="N1683" s="18" t="str">
        <f>VLOOKUP(C1683,Customers!$A:$E,5,FALSE)</f>
        <v>Retail</v>
      </c>
      <c r="O1683" s="18">
        <f>VLOOKUP(C1683,Customers!$A:$C,3,FALSE)</f>
        <v>62</v>
      </c>
    </row>
    <row r="1684" spans="1:19" ht="14.25" hidden="1" customHeight="1" x14ac:dyDescent="0.3">
      <c r="A1684" s="8" t="s">
        <v>2721</v>
      </c>
      <c r="B1684" s="9">
        <v>45588</v>
      </c>
      <c r="C1684" s="8" t="s">
        <v>312</v>
      </c>
      <c r="D1684" s="8" t="s">
        <v>224</v>
      </c>
      <c r="E1684" s="8" t="s">
        <v>145</v>
      </c>
      <c r="F1684" s="10">
        <v>3</v>
      </c>
      <c r="G1684" s="10">
        <v>1080</v>
      </c>
      <c r="H1684" s="10">
        <v>26</v>
      </c>
      <c r="I1684" s="10">
        <v>2397.6</v>
      </c>
      <c r="J1684" s="8" t="s">
        <v>41</v>
      </c>
      <c r="K1684" s="8" t="s">
        <v>42</v>
      </c>
      <c r="L1684" s="18" t="str">
        <f>VLOOKUP(D1684,Products!$A:$C,3,FALSE)</f>
        <v>Home</v>
      </c>
      <c r="N1684" s="18" t="str">
        <f>VLOOKUP(C1684,Customers!$A:$E,5,FALSE)</f>
        <v>Retail</v>
      </c>
      <c r="O1684" s="18">
        <f>VLOOKUP(C1684,Customers!$A:$C,3,FALSE)</f>
        <v>62</v>
      </c>
    </row>
    <row r="1685" spans="1:19" ht="14.25" hidden="1" customHeight="1" x14ac:dyDescent="0.3">
      <c r="A1685" s="8" t="s">
        <v>2722</v>
      </c>
      <c r="B1685" s="9">
        <v>45354</v>
      </c>
      <c r="C1685" s="8" t="s">
        <v>296</v>
      </c>
      <c r="D1685" s="8" t="s">
        <v>338</v>
      </c>
      <c r="E1685" s="8" t="s">
        <v>158</v>
      </c>
      <c r="F1685" s="10">
        <v>8</v>
      </c>
      <c r="G1685" s="10">
        <v>2860</v>
      </c>
      <c r="H1685" s="10">
        <v>14.8</v>
      </c>
      <c r="I1685" s="10">
        <v>19493.759999999998</v>
      </c>
      <c r="J1685" s="8" t="s">
        <v>41</v>
      </c>
      <c r="K1685" s="8" t="s">
        <v>178</v>
      </c>
      <c r="L1685" s="18" t="str">
        <f>VLOOKUP(D1685,Products!$A:$C,3,FALSE)</f>
        <v>Sports</v>
      </c>
      <c r="N1685" s="18" t="str">
        <f>VLOOKUP(C1685,Customers!$A:$E,5,FALSE)</f>
        <v>Retail</v>
      </c>
      <c r="O1685" s="18">
        <f>VLOOKUP(C1685,Customers!$A:$C,3,FALSE)</f>
        <v>46</v>
      </c>
    </row>
    <row r="1686" spans="1:19" ht="14.25" hidden="1" customHeight="1" x14ac:dyDescent="0.3">
      <c r="A1686" s="8" t="s">
        <v>2723</v>
      </c>
      <c r="B1686" s="9">
        <v>45332</v>
      </c>
      <c r="C1686" s="8" t="s">
        <v>2724</v>
      </c>
      <c r="D1686" s="8" t="s">
        <v>867</v>
      </c>
      <c r="E1686" s="8" t="s">
        <v>745</v>
      </c>
      <c r="F1686" s="10">
        <v>4</v>
      </c>
      <c r="G1686" s="10">
        <v>3020</v>
      </c>
      <c r="H1686" s="10">
        <v>8.1</v>
      </c>
      <c r="I1686" s="10">
        <v>11101.52</v>
      </c>
      <c r="J1686" s="8" t="s">
        <v>41</v>
      </c>
      <c r="K1686" s="8" t="s">
        <v>178</v>
      </c>
      <c r="L1686" s="18" t="str">
        <f>VLOOKUP(D1686,Products!$A:$C,3,FALSE)</f>
        <v>Beauty</v>
      </c>
      <c r="N1686" s="18" t="e">
        <f>VLOOKUP(C1686,Customers!$A:$E,5,FALSE)</f>
        <v>#N/A</v>
      </c>
      <c r="O1686" s="18" t="e">
        <f>VLOOKUP(C1686,Customers!$A:$C,3,FALSE)</f>
        <v>#N/A</v>
      </c>
    </row>
    <row r="1687" spans="1:19" ht="14.25" hidden="1" customHeight="1" x14ac:dyDescent="0.3">
      <c r="A1687" s="8" t="s">
        <v>2725</v>
      </c>
      <c r="B1687" s="9">
        <v>45649</v>
      </c>
      <c r="C1687" s="8" t="s">
        <v>463</v>
      </c>
      <c r="D1687" s="8" t="s">
        <v>152</v>
      </c>
      <c r="E1687" s="8" t="s">
        <v>145</v>
      </c>
      <c r="F1687" s="10">
        <v>4</v>
      </c>
      <c r="G1687" s="10">
        <v>960</v>
      </c>
      <c r="H1687" s="10">
        <v>6.4</v>
      </c>
      <c r="I1687" s="10">
        <v>3594.24</v>
      </c>
      <c r="J1687" s="8" t="s">
        <v>147</v>
      </c>
      <c r="K1687" s="8" t="s">
        <v>146</v>
      </c>
      <c r="L1687" s="18" t="str">
        <f>VLOOKUP(D1687,Products!$A:$C,3,FALSE)</f>
        <v>Sports</v>
      </c>
      <c r="N1687" s="18" t="str">
        <f>VLOOKUP(C1687,Customers!$A:$E,5,FALSE)</f>
        <v>SMB</v>
      </c>
      <c r="O1687" s="18">
        <f>VLOOKUP(C1687,Customers!$A:$C,3,FALSE)</f>
        <v>54</v>
      </c>
    </row>
    <row r="1688" spans="1:19" ht="14.25" hidden="1" customHeight="1" x14ac:dyDescent="0.3">
      <c r="A1688" s="8" t="s">
        <v>2726</v>
      </c>
      <c r="B1688" s="9">
        <v>45596</v>
      </c>
      <c r="C1688" s="8" t="s">
        <v>431</v>
      </c>
      <c r="D1688" s="8" t="s">
        <v>188</v>
      </c>
      <c r="E1688" s="8" t="s">
        <v>236</v>
      </c>
      <c r="F1688" s="10">
        <v>4</v>
      </c>
      <c r="G1688" s="10">
        <v>3870</v>
      </c>
      <c r="H1688" s="10">
        <v>15.9</v>
      </c>
      <c r="I1688" s="10">
        <v>13018.68</v>
      </c>
      <c r="J1688" s="8" t="s">
        <v>41</v>
      </c>
      <c r="K1688" s="8" t="s">
        <v>146</v>
      </c>
      <c r="L1688" s="18" t="str">
        <f>VLOOKUP(D1688,Products!$A:$C,3,FALSE)</f>
        <v>Electronics</v>
      </c>
      <c r="N1688" s="18" t="str">
        <f>VLOOKUP(C1688,Customers!$A:$E,5,FALSE)</f>
        <v>Corporate</v>
      </c>
      <c r="O1688" s="18">
        <f>VLOOKUP(C1688,Customers!$A:$C,3,FALSE)</f>
        <v>60</v>
      </c>
    </row>
    <row r="1689" spans="1:19" ht="14.25" customHeight="1" x14ac:dyDescent="0.3">
      <c r="A1689" s="8" t="s">
        <v>2727</v>
      </c>
      <c r="B1689" s="21">
        <v>45378</v>
      </c>
      <c r="C1689" s="8" t="s">
        <v>393</v>
      </c>
      <c r="D1689" s="8" t="s">
        <v>134</v>
      </c>
      <c r="E1689" s="8" t="s">
        <v>321</v>
      </c>
      <c r="F1689" s="10">
        <v>5</v>
      </c>
      <c r="G1689" s="10">
        <v>3160</v>
      </c>
      <c r="H1689" s="10">
        <v>29.8</v>
      </c>
      <c r="I1689" s="10">
        <v>11091.6</v>
      </c>
      <c r="J1689" s="8" t="s">
        <v>41</v>
      </c>
      <c r="K1689" s="8" t="s">
        <v>42</v>
      </c>
      <c r="L1689" s="18" t="str">
        <f>VLOOKUP(D1689,Products!$A:$C,3,FALSE)</f>
        <v>Apparel</v>
      </c>
      <c r="N1689" s="18" t="str">
        <f>VLOOKUP(C1689,Customers!$A:$E,5,FALSE)</f>
        <v>Retail</v>
      </c>
      <c r="O1689" s="18">
        <f>VLOOKUP(C1689,Customers!$A:$C,3,FALSE)</f>
        <v>39</v>
      </c>
      <c r="P1689" s="18" t="str">
        <f>VLOOKUP(E1688,Sales_Reps!$A:$C,3,FALSE)</f>
        <v>West</v>
      </c>
      <c r="Q1689" s="18" t="str">
        <f t="shared" ref="Q1689:Q1694" si="330">TEXT(B1688,"MMM-YY")</f>
        <v>Oct-24</v>
      </c>
      <c r="R1689">
        <f>VLOOKUP(D1689, Products!A:D, 4, FALSE)</f>
        <v>1886</v>
      </c>
      <c r="S1689">
        <f t="shared" ref="S1689:S1694" si="331">(G1689-R1689)/G1689</f>
        <v>0.4031645569620253</v>
      </c>
    </row>
    <row r="1690" spans="1:19" ht="14.25" customHeight="1" x14ac:dyDescent="0.3">
      <c r="A1690" s="8" t="s">
        <v>2728</v>
      </c>
      <c r="B1690" s="21">
        <v>45403</v>
      </c>
      <c r="C1690" s="8" t="s">
        <v>433</v>
      </c>
      <c r="D1690" s="8" t="s">
        <v>215</v>
      </c>
      <c r="E1690" s="8" t="s">
        <v>619</v>
      </c>
      <c r="F1690" s="10">
        <v>5</v>
      </c>
      <c r="G1690" s="10">
        <v>3450</v>
      </c>
      <c r="H1690" s="10">
        <v>29.4</v>
      </c>
      <c r="I1690" s="10">
        <v>12178.5</v>
      </c>
      <c r="J1690" s="8" t="s">
        <v>41</v>
      </c>
      <c r="K1690" s="8" t="s">
        <v>42</v>
      </c>
      <c r="L1690" s="18" t="str">
        <f>VLOOKUP(D1690,Products!$A:$C,3,FALSE)</f>
        <v>Beauty</v>
      </c>
      <c r="N1690" s="18" t="str">
        <f>VLOOKUP(C1690,Customers!$A:$E,5,FALSE)</f>
        <v>SMB</v>
      </c>
      <c r="O1690" s="18">
        <f>VLOOKUP(C1690,Customers!$A:$C,3,FALSE)</f>
        <v>30</v>
      </c>
      <c r="P1690" s="18" t="str">
        <f>VLOOKUP(E1689,Sales_Reps!$A:$C,3,FALSE)</f>
        <v>East</v>
      </c>
      <c r="Q1690" s="18" t="str">
        <f t="shared" si="330"/>
        <v>Mar-24</v>
      </c>
      <c r="R1690">
        <f>VLOOKUP(D1690, Products!A:D, 4, FALSE)</f>
        <v>2420</v>
      </c>
      <c r="S1690">
        <f t="shared" si="331"/>
        <v>0.29855072463768118</v>
      </c>
    </row>
    <row r="1691" spans="1:19" ht="14.25" customHeight="1" x14ac:dyDescent="0.3">
      <c r="A1691" s="8" t="s">
        <v>2729</v>
      </c>
      <c r="B1691" s="21">
        <v>45535</v>
      </c>
      <c r="C1691" s="8" t="s">
        <v>553</v>
      </c>
      <c r="D1691" s="8" t="s">
        <v>949</v>
      </c>
      <c r="E1691" s="8" t="s">
        <v>167</v>
      </c>
      <c r="F1691" s="10">
        <v>10</v>
      </c>
      <c r="G1691" s="10">
        <v>960</v>
      </c>
      <c r="H1691" s="10">
        <v>27</v>
      </c>
      <c r="I1691" s="10">
        <v>7008</v>
      </c>
      <c r="J1691" s="8" t="s">
        <v>147</v>
      </c>
      <c r="K1691" s="8" t="s">
        <v>98</v>
      </c>
      <c r="L1691" s="18" t="str">
        <f>VLOOKUP(D1691,Products!$A:$C,3,FALSE)</f>
        <v>Beauty</v>
      </c>
      <c r="N1691" s="18" t="str">
        <f>VLOOKUP(C1691,Customers!$A:$E,5,FALSE)</f>
        <v>SMB</v>
      </c>
      <c r="O1691" s="18">
        <f>VLOOKUP(C1691,Customers!$A:$C,3,FALSE)</f>
        <v>26</v>
      </c>
      <c r="P1691" s="18" t="str">
        <f>VLOOKUP(E1690,Sales_Reps!$A:$C,3,FALSE)</f>
        <v>West</v>
      </c>
      <c r="Q1691" s="18" t="str">
        <f t="shared" si="330"/>
        <v>Apr-24</v>
      </c>
      <c r="R1691">
        <f>VLOOKUP(D1691, Products!A:D, 4, FALSE)</f>
        <v>675</v>
      </c>
      <c r="S1691">
        <f t="shared" si="331"/>
        <v>0.296875</v>
      </c>
    </row>
    <row r="1692" spans="1:19" ht="14.25" customHeight="1" x14ac:dyDescent="0.3">
      <c r="A1692" s="8" t="s">
        <v>2730</v>
      </c>
      <c r="B1692" s="21">
        <v>45429</v>
      </c>
      <c r="C1692" s="8" t="s">
        <v>130</v>
      </c>
      <c r="D1692" s="8" t="s">
        <v>959</v>
      </c>
      <c r="E1692" s="8" t="s">
        <v>167</v>
      </c>
      <c r="F1692" s="10">
        <v>10</v>
      </c>
      <c r="G1692" s="10">
        <v>6940</v>
      </c>
      <c r="H1692" s="10">
        <v>20.100000000000001</v>
      </c>
      <c r="I1692" s="10">
        <v>55450.6</v>
      </c>
      <c r="J1692" s="8" t="s">
        <v>41</v>
      </c>
      <c r="K1692" s="8" t="s">
        <v>136</v>
      </c>
      <c r="L1692" s="18" t="str">
        <f>VLOOKUP(D1692,Products!$A:$C,3,FALSE)</f>
        <v>Sports</v>
      </c>
      <c r="N1692" s="18" t="str">
        <f>VLOOKUP(C1692,Customers!$A:$E,5,FALSE)</f>
        <v>Retail</v>
      </c>
      <c r="O1692" s="18">
        <f>VLOOKUP(C1692,Customers!$A:$C,3,FALSE)</f>
        <v>27</v>
      </c>
      <c r="P1692" s="18" t="str">
        <f>VLOOKUP(E1691,Sales_Reps!$A:$C,3,FALSE)</f>
        <v>East</v>
      </c>
      <c r="Q1692" s="18" t="str">
        <f t="shared" si="330"/>
        <v>Aug-24</v>
      </c>
      <c r="R1692">
        <f>VLOOKUP(D1692, Products!A:D, 4, FALSE)</f>
        <v>2827</v>
      </c>
      <c r="S1692">
        <f t="shared" si="331"/>
        <v>0.5926512968299712</v>
      </c>
    </row>
    <row r="1693" spans="1:19" ht="14.25" customHeight="1" x14ac:dyDescent="0.3">
      <c r="A1693" s="8" t="s">
        <v>2731</v>
      </c>
      <c r="B1693" s="21">
        <v>45436</v>
      </c>
      <c r="C1693" s="8" t="s">
        <v>384</v>
      </c>
      <c r="D1693" s="8" t="s">
        <v>205</v>
      </c>
      <c r="E1693" s="8" t="s">
        <v>214</v>
      </c>
      <c r="F1693" s="10">
        <v>9</v>
      </c>
      <c r="G1693" s="10">
        <v>2400</v>
      </c>
      <c r="H1693" s="10">
        <v>7.8</v>
      </c>
      <c r="I1693" s="10">
        <v>19915.2</v>
      </c>
      <c r="J1693" s="8" t="s">
        <v>41</v>
      </c>
      <c r="K1693" s="8" t="s">
        <v>136</v>
      </c>
      <c r="L1693" s="18" t="str">
        <f>VLOOKUP(D1693,Products!$A:$C,3,FALSE)</f>
        <v>Sports</v>
      </c>
      <c r="N1693" s="18" t="str">
        <f>VLOOKUP(C1693,Customers!$A:$E,5,FALSE)</f>
        <v>Corporate</v>
      </c>
      <c r="O1693" s="18">
        <f>VLOOKUP(C1693,Customers!$A:$C,3,FALSE)</f>
        <v>26</v>
      </c>
      <c r="P1693" s="18" t="str">
        <f>VLOOKUP(E1692,Sales_Reps!$A:$C,3,FALSE)</f>
        <v>East</v>
      </c>
      <c r="Q1693" s="18" t="str">
        <f t="shared" si="330"/>
        <v>May-24</v>
      </c>
      <c r="R1693">
        <f>VLOOKUP(D1693, Products!A:D, 4, FALSE)</f>
        <v>974</v>
      </c>
      <c r="S1693">
        <f t="shared" si="331"/>
        <v>0.59416666666666662</v>
      </c>
    </row>
    <row r="1694" spans="1:19" ht="14.25" customHeight="1" x14ac:dyDescent="0.3">
      <c r="A1694" s="8" t="s">
        <v>2732</v>
      </c>
      <c r="B1694" s="21">
        <v>45397</v>
      </c>
      <c r="C1694" s="8" t="s">
        <v>862</v>
      </c>
      <c r="D1694" s="8" t="s">
        <v>954</v>
      </c>
      <c r="E1694" s="8" t="s">
        <v>121</v>
      </c>
      <c r="F1694" s="10">
        <v>1</v>
      </c>
      <c r="G1694" s="10">
        <v>5410</v>
      </c>
      <c r="H1694" s="10">
        <v>22.8</v>
      </c>
      <c r="I1694" s="10">
        <v>4176.5200000000004</v>
      </c>
      <c r="J1694" s="8" t="s">
        <v>41</v>
      </c>
      <c r="K1694" s="8" t="s">
        <v>146</v>
      </c>
      <c r="L1694" s="18" t="str">
        <f>VLOOKUP(D1694,Products!$A:$C,3,FALSE)</f>
        <v>Sports</v>
      </c>
      <c r="N1694" s="18" t="str">
        <f>VLOOKUP(C1694,Customers!$A:$E,5,FALSE)</f>
        <v>Retail</v>
      </c>
      <c r="O1694" s="18">
        <f>VLOOKUP(C1694,Customers!$A:$C,3,FALSE)</f>
        <v>38</v>
      </c>
      <c r="P1694" s="18" t="str">
        <f>VLOOKUP(E1693,Sales_Reps!$A:$C,3,FALSE)</f>
        <v>South</v>
      </c>
      <c r="Q1694" s="18" t="str">
        <f t="shared" si="330"/>
        <v>May-24</v>
      </c>
      <c r="R1694">
        <f>VLOOKUP(D1694, Products!A:D, 4, FALSE)</f>
        <v>2265</v>
      </c>
      <c r="S1694">
        <f t="shared" si="331"/>
        <v>0.58133086876155271</v>
      </c>
    </row>
    <row r="1695" spans="1:19" ht="14.25" hidden="1" customHeight="1" x14ac:dyDescent="0.3">
      <c r="A1695" s="8" t="s">
        <v>2733</v>
      </c>
      <c r="B1695" s="9">
        <v>45629</v>
      </c>
      <c r="C1695" s="8" t="s">
        <v>656</v>
      </c>
      <c r="D1695" s="8" t="s">
        <v>160</v>
      </c>
      <c r="E1695" s="8" t="s">
        <v>185</v>
      </c>
      <c r="F1695" s="10">
        <v>7</v>
      </c>
      <c r="G1695" s="10">
        <v>1220</v>
      </c>
      <c r="H1695" s="10">
        <v>18.8</v>
      </c>
      <c r="I1695" s="10">
        <v>6934.48</v>
      </c>
      <c r="J1695" s="8" t="s">
        <v>97</v>
      </c>
      <c r="K1695" s="8" t="s">
        <v>136</v>
      </c>
      <c r="L1695" s="18" t="str">
        <f>VLOOKUP(D1695,Products!$A:$C,3,FALSE)</f>
        <v>Electronics</v>
      </c>
      <c r="N1695" s="18" t="str">
        <f>VLOOKUP(C1695,Customers!$A:$E,5,FALSE)</f>
        <v>Retail</v>
      </c>
      <c r="O1695" s="18">
        <f>VLOOKUP(C1695,Customers!$A:$C,3,FALSE)</f>
        <v>54</v>
      </c>
    </row>
    <row r="1696" spans="1:19" ht="14.25" customHeight="1" x14ac:dyDescent="0.3">
      <c r="A1696" s="8" t="s">
        <v>2734</v>
      </c>
      <c r="B1696" s="21">
        <v>45595</v>
      </c>
      <c r="C1696" s="8" t="s">
        <v>258</v>
      </c>
      <c r="D1696" s="8" t="s">
        <v>929</v>
      </c>
      <c r="E1696" s="8" t="s">
        <v>158</v>
      </c>
      <c r="F1696" s="10">
        <v>1</v>
      </c>
      <c r="G1696" s="10">
        <v>1090</v>
      </c>
      <c r="H1696" s="10">
        <v>23.5</v>
      </c>
      <c r="I1696" s="10">
        <v>833.85</v>
      </c>
      <c r="J1696" s="8" t="s">
        <v>41</v>
      </c>
      <c r="K1696" s="8" t="s">
        <v>119</v>
      </c>
      <c r="L1696" s="18" t="str">
        <f>VLOOKUP(D1696,Products!$A:$C,3,FALSE)</f>
        <v>Home</v>
      </c>
      <c r="N1696" s="18" t="str">
        <f>VLOOKUP(C1696,Customers!$A:$E,5,FALSE)</f>
        <v>Retail</v>
      </c>
      <c r="O1696" s="18">
        <f>VLOOKUP(C1696,Customers!$A:$C,3,FALSE)</f>
        <v>31</v>
      </c>
      <c r="P1696" s="18" t="str">
        <f>VLOOKUP(E1695,Sales_Reps!$A:$C,3,FALSE)</f>
        <v>North</v>
      </c>
      <c r="Q1696" s="18" t="str">
        <f t="shared" ref="Q1696:Q1697" si="332">TEXT(B1695,"MMM-YY")</f>
        <v>Dec-24</v>
      </c>
      <c r="R1696">
        <f>VLOOKUP(D1696, Products!A:D, 4, FALSE)</f>
        <v>464</v>
      </c>
      <c r="S1696">
        <f t="shared" ref="S1696:S1697" si="333">(G1696-R1696)/G1696</f>
        <v>0.57431192660550456</v>
      </c>
    </row>
    <row r="1697" spans="1:19" ht="14.25" customHeight="1" x14ac:dyDescent="0.3">
      <c r="A1697" s="8" t="s">
        <v>2735</v>
      </c>
      <c r="B1697" s="21">
        <v>45531</v>
      </c>
      <c r="C1697" s="8" t="s">
        <v>673</v>
      </c>
      <c r="D1697" s="8" t="s">
        <v>374</v>
      </c>
      <c r="E1697" s="8" t="s">
        <v>208</v>
      </c>
      <c r="F1697" s="10">
        <v>2</v>
      </c>
      <c r="G1697" s="10">
        <v>2760</v>
      </c>
      <c r="H1697" s="10">
        <v>2.2999999999999998</v>
      </c>
      <c r="I1697" s="10">
        <v>5393.04</v>
      </c>
      <c r="J1697" s="8" t="s">
        <v>41</v>
      </c>
      <c r="K1697" s="8" t="s">
        <v>136</v>
      </c>
      <c r="L1697" s="18" t="str">
        <f>VLOOKUP(D1697,Products!$A:$C,3,FALSE)</f>
        <v>Grocery</v>
      </c>
      <c r="N1697" s="18" t="str">
        <f>VLOOKUP(C1697,Customers!$A:$E,5,FALSE)</f>
        <v>Retail</v>
      </c>
      <c r="O1697" s="18">
        <f>VLOOKUP(C1697,Customers!$A:$C,3,FALSE)</f>
        <v>28</v>
      </c>
      <c r="P1697" s="18" t="str">
        <f>VLOOKUP(E1696,Sales_Reps!$A:$C,3,FALSE)</f>
        <v>East</v>
      </c>
      <c r="Q1697" s="18" t="str">
        <f t="shared" si="332"/>
        <v>Oct-24</v>
      </c>
      <c r="R1697">
        <f>VLOOKUP(D1697, Products!A:D, 4, FALSE)</f>
        <v>1435</v>
      </c>
      <c r="S1697">
        <f t="shared" si="333"/>
        <v>0.48007246376811596</v>
      </c>
    </row>
    <row r="1698" spans="1:19" ht="14.25" hidden="1" customHeight="1" x14ac:dyDescent="0.3">
      <c r="A1698" s="8" t="s">
        <v>2736</v>
      </c>
      <c r="B1698" s="9">
        <v>45626</v>
      </c>
      <c r="C1698" s="8" t="s">
        <v>652</v>
      </c>
      <c r="D1698" s="8" t="s">
        <v>211</v>
      </c>
      <c r="E1698" s="8" t="s">
        <v>376</v>
      </c>
      <c r="F1698" s="10">
        <v>3</v>
      </c>
      <c r="G1698" s="10">
        <v>3570</v>
      </c>
      <c r="H1698" s="10">
        <v>18.399999999999999</v>
      </c>
      <c r="I1698" s="10">
        <v>8739.36</v>
      </c>
      <c r="J1698" s="8" t="s">
        <v>193</v>
      </c>
      <c r="K1698" s="8" t="s">
        <v>178</v>
      </c>
      <c r="L1698" s="18" t="str">
        <f>VLOOKUP(D1698,Products!$A:$C,3,FALSE)</f>
        <v>Electronics</v>
      </c>
      <c r="N1698" s="18" t="str">
        <f>VLOOKUP(C1698,Customers!$A:$E,5,FALSE)</f>
        <v>SMB</v>
      </c>
      <c r="O1698" s="18">
        <f>VLOOKUP(C1698,Customers!$A:$C,3,FALSE)</f>
        <v>43</v>
      </c>
    </row>
    <row r="1699" spans="1:19" ht="14.25" customHeight="1" x14ac:dyDescent="0.3">
      <c r="A1699" s="8" t="s">
        <v>2737</v>
      </c>
      <c r="B1699" s="21">
        <v>45502</v>
      </c>
      <c r="C1699" s="8" t="s">
        <v>784</v>
      </c>
      <c r="D1699" s="8" t="s">
        <v>160</v>
      </c>
      <c r="E1699" s="8" t="s">
        <v>185</v>
      </c>
      <c r="F1699" s="10">
        <v>7</v>
      </c>
      <c r="G1699" s="10">
        <v>1220</v>
      </c>
      <c r="H1699" s="10">
        <v>25.8</v>
      </c>
      <c r="I1699" s="10">
        <v>6336.68</v>
      </c>
      <c r="J1699" s="8" t="s">
        <v>193</v>
      </c>
      <c r="K1699" s="8" t="s">
        <v>178</v>
      </c>
      <c r="L1699" s="18" t="str">
        <f>VLOOKUP(D1699,Products!$A:$C,3,FALSE)</f>
        <v>Electronics</v>
      </c>
      <c r="N1699" s="18" t="str">
        <f>VLOOKUP(C1699,Customers!$A:$E,5,FALSE)</f>
        <v>Retail</v>
      </c>
      <c r="O1699" s="18">
        <f>VLOOKUP(C1699,Customers!$A:$C,3,FALSE)</f>
        <v>28</v>
      </c>
      <c r="P1699" s="18" t="str">
        <f>VLOOKUP(E1698,Sales_Reps!$A:$C,3,FALSE)</f>
        <v>West</v>
      </c>
      <c r="Q1699" s="18" t="str">
        <f t="shared" ref="Q1699:Q1701" si="334">TEXT(B1698,"MMM-YY")</f>
        <v>Nov-24</v>
      </c>
      <c r="R1699">
        <f>VLOOKUP(D1699, Products!A:D, 4, FALSE)</f>
        <v>517</v>
      </c>
      <c r="S1699">
        <f t="shared" ref="S1699:S1701" si="335">(G1699-R1699)/G1699</f>
        <v>0.57622950819672136</v>
      </c>
    </row>
    <row r="1700" spans="1:19" ht="14.25" customHeight="1" x14ac:dyDescent="0.3">
      <c r="A1700" s="8" t="s">
        <v>2738</v>
      </c>
      <c r="B1700" s="21">
        <v>45501</v>
      </c>
      <c r="C1700" s="8" t="s">
        <v>393</v>
      </c>
      <c r="D1700" s="8" t="s">
        <v>219</v>
      </c>
      <c r="E1700" s="8" t="s">
        <v>236</v>
      </c>
      <c r="F1700" s="10">
        <v>6</v>
      </c>
      <c r="G1700" s="10">
        <v>3450</v>
      </c>
      <c r="H1700" s="10">
        <v>13.1</v>
      </c>
      <c r="I1700" s="10">
        <v>17988.3</v>
      </c>
      <c r="J1700" s="8" t="s">
        <v>41</v>
      </c>
      <c r="K1700" s="8" t="s">
        <v>42</v>
      </c>
      <c r="L1700" s="18" t="str">
        <f>VLOOKUP(D1700,Products!$A:$C,3,FALSE)</f>
        <v>Sports</v>
      </c>
      <c r="N1700" s="18" t="str">
        <f>VLOOKUP(C1700,Customers!$A:$E,5,FALSE)</f>
        <v>Retail</v>
      </c>
      <c r="O1700" s="18">
        <f>VLOOKUP(C1700,Customers!$A:$C,3,FALSE)</f>
        <v>39</v>
      </c>
      <c r="P1700" s="18" t="str">
        <f>VLOOKUP(E1699,Sales_Reps!$A:$C,3,FALSE)</f>
        <v>North</v>
      </c>
      <c r="Q1700" s="18" t="str">
        <f t="shared" si="334"/>
        <v>Jul-24</v>
      </c>
      <c r="R1700">
        <f>VLOOKUP(D1700, Products!A:D, 4, FALSE)</f>
        <v>2467</v>
      </c>
      <c r="S1700">
        <f t="shared" si="335"/>
        <v>0.28492753623188405</v>
      </c>
    </row>
    <row r="1701" spans="1:19" ht="14.25" customHeight="1" x14ac:dyDescent="0.3">
      <c r="A1701" s="8" t="s">
        <v>2739</v>
      </c>
      <c r="B1701" s="21">
        <v>45435</v>
      </c>
      <c r="C1701" s="8" t="s">
        <v>142</v>
      </c>
      <c r="D1701" s="8" t="s">
        <v>918</v>
      </c>
      <c r="E1701" s="8" t="s">
        <v>185</v>
      </c>
      <c r="F1701" s="10">
        <v>10</v>
      </c>
      <c r="G1701" s="10">
        <v>2210</v>
      </c>
      <c r="H1701" s="10">
        <v>16.600000000000001</v>
      </c>
      <c r="I1701" s="10">
        <v>18431.400000000001</v>
      </c>
      <c r="J1701" s="8" t="s">
        <v>41</v>
      </c>
      <c r="K1701" s="8" t="s">
        <v>146</v>
      </c>
      <c r="L1701" s="18" t="str">
        <f>VLOOKUP(D1701,Products!$A:$C,3,FALSE)</f>
        <v>Grocery</v>
      </c>
      <c r="N1701" s="18" t="str">
        <f>VLOOKUP(C1701,Customers!$A:$E,5,FALSE)</f>
        <v>Retail</v>
      </c>
      <c r="O1701" s="18">
        <f>VLOOKUP(C1701,Customers!$A:$C,3,FALSE)</f>
        <v>36</v>
      </c>
      <c r="P1701" s="18" t="str">
        <f>VLOOKUP(E1700,Sales_Reps!$A:$C,3,FALSE)</f>
        <v>West</v>
      </c>
      <c r="Q1701" s="18" t="str">
        <f t="shared" si="334"/>
        <v>Jul-24</v>
      </c>
      <c r="R1701">
        <f>VLOOKUP(D1701, Products!A:D, 4, FALSE)</f>
        <v>1010</v>
      </c>
      <c r="S1701">
        <f t="shared" si="335"/>
        <v>0.54298642533936647</v>
      </c>
    </row>
    <row r="1702" spans="1:19" ht="14.25" hidden="1" customHeight="1" x14ac:dyDescent="0.3">
      <c r="A1702" s="8" t="s">
        <v>2740</v>
      </c>
      <c r="B1702" s="9">
        <v>45295</v>
      </c>
      <c r="C1702" s="8" t="s">
        <v>504</v>
      </c>
      <c r="D1702" s="8" t="s">
        <v>227</v>
      </c>
      <c r="E1702" s="8" t="s">
        <v>619</v>
      </c>
      <c r="F1702" s="10">
        <v>10</v>
      </c>
      <c r="G1702" s="10">
        <v>2480</v>
      </c>
      <c r="H1702" s="10">
        <v>17.5</v>
      </c>
      <c r="I1702" s="10">
        <v>20460</v>
      </c>
      <c r="J1702" s="8" t="s">
        <v>41</v>
      </c>
      <c r="K1702" s="8" t="s">
        <v>136</v>
      </c>
      <c r="L1702" s="18" t="str">
        <f>VLOOKUP(D1702,Products!$A:$C,3,FALSE)</f>
        <v>Apparel</v>
      </c>
      <c r="N1702" s="18" t="str">
        <f>VLOOKUP(C1702,Customers!$A:$E,5,FALSE)</f>
        <v>Corporate</v>
      </c>
      <c r="O1702" s="18">
        <f>VLOOKUP(C1702,Customers!$A:$C,3,FALSE)</f>
        <v>42</v>
      </c>
    </row>
    <row r="1703" spans="1:19" ht="14.25" customHeight="1" x14ac:dyDescent="0.3">
      <c r="A1703" s="8" t="s">
        <v>2741</v>
      </c>
      <c r="B1703" s="21">
        <v>45566</v>
      </c>
      <c r="C1703" s="8" t="s">
        <v>393</v>
      </c>
      <c r="D1703" s="8" t="s">
        <v>192</v>
      </c>
      <c r="E1703" s="8" t="s">
        <v>158</v>
      </c>
      <c r="F1703" s="10">
        <v>9</v>
      </c>
      <c r="G1703" s="10">
        <v>3250</v>
      </c>
      <c r="H1703" s="10">
        <v>25.9</v>
      </c>
      <c r="I1703" s="10">
        <v>21674.25</v>
      </c>
      <c r="J1703" s="8" t="s">
        <v>41</v>
      </c>
      <c r="K1703" s="8" t="s">
        <v>42</v>
      </c>
      <c r="L1703" s="18" t="str">
        <f>VLOOKUP(D1703,Products!$A:$C,3,FALSE)</f>
        <v>Home</v>
      </c>
      <c r="N1703" s="18" t="str">
        <f>VLOOKUP(C1703,Customers!$A:$E,5,FALSE)</f>
        <v>Retail</v>
      </c>
      <c r="O1703" s="18">
        <f>VLOOKUP(C1703,Customers!$A:$C,3,FALSE)</f>
        <v>39</v>
      </c>
      <c r="P1703" s="18" t="str">
        <f>VLOOKUP(E1702,Sales_Reps!$A:$C,3,FALSE)</f>
        <v>West</v>
      </c>
      <c r="Q1703" s="18" t="str">
        <f t="shared" ref="Q1703:Q1705" si="336">TEXT(B1702,"MMM-YY")</f>
        <v>Jan-24</v>
      </c>
      <c r="R1703">
        <f>VLOOKUP(D1703, Products!A:D, 4, FALSE)</f>
        <v>1556</v>
      </c>
      <c r="S1703">
        <f t="shared" ref="S1703:S1705" si="337">(G1703-R1703)/G1703</f>
        <v>0.52123076923076928</v>
      </c>
    </row>
    <row r="1704" spans="1:19" ht="14.25" customHeight="1" x14ac:dyDescent="0.3">
      <c r="A1704" s="8" t="s">
        <v>2742</v>
      </c>
      <c r="B1704" s="21">
        <v>45474</v>
      </c>
      <c r="C1704" s="8" t="s">
        <v>344</v>
      </c>
      <c r="D1704" s="8" t="s">
        <v>205</v>
      </c>
      <c r="E1704" s="8" t="s">
        <v>135</v>
      </c>
      <c r="F1704" s="10">
        <v>3</v>
      </c>
      <c r="G1704" s="10">
        <v>2400</v>
      </c>
      <c r="H1704" s="10">
        <v>17.5</v>
      </c>
      <c r="I1704" s="10">
        <v>5940</v>
      </c>
      <c r="J1704" s="8" t="s">
        <v>41</v>
      </c>
      <c r="K1704" s="8" t="s">
        <v>136</v>
      </c>
      <c r="L1704" s="18" t="str">
        <f>VLOOKUP(D1704,Products!$A:$C,3,FALSE)</f>
        <v>Sports</v>
      </c>
      <c r="N1704" s="18" t="str">
        <f>VLOOKUP(C1704,Customers!$A:$E,5,FALSE)</f>
        <v>Retail</v>
      </c>
      <c r="O1704" s="18">
        <f>VLOOKUP(C1704,Customers!$A:$C,3,FALSE)</f>
        <v>37</v>
      </c>
      <c r="P1704" s="18" t="str">
        <f>VLOOKUP(E1703,Sales_Reps!$A:$C,3,FALSE)</f>
        <v>East</v>
      </c>
      <c r="Q1704" s="18" t="str">
        <f t="shared" si="336"/>
        <v>Oct-24</v>
      </c>
      <c r="R1704">
        <f>VLOOKUP(D1704, Products!A:D, 4, FALSE)</f>
        <v>974</v>
      </c>
      <c r="S1704">
        <f t="shared" si="337"/>
        <v>0.59416666666666662</v>
      </c>
    </row>
    <row r="1705" spans="1:19" ht="14.25" customHeight="1" x14ac:dyDescent="0.3">
      <c r="A1705" s="8" t="s">
        <v>2743</v>
      </c>
      <c r="B1705" s="21">
        <v>45372</v>
      </c>
      <c r="C1705" s="8" t="s">
        <v>330</v>
      </c>
      <c r="D1705" s="8" t="s">
        <v>954</v>
      </c>
      <c r="E1705" s="8" t="s">
        <v>125</v>
      </c>
      <c r="F1705" s="10">
        <v>8</v>
      </c>
      <c r="G1705" s="10">
        <v>5410</v>
      </c>
      <c r="H1705" s="10">
        <v>8.3000000000000007</v>
      </c>
      <c r="I1705" s="10">
        <v>39687.760000000002</v>
      </c>
      <c r="J1705" s="8" t="s">
        <v>41</v>
      </c>
      <c r="K1705" s="8" t="s">
        <v>119</v>
      </c>
      <c r="L1705" s="18" t="str">
        <f>VLOOKUP(D1705,Products!$A:$C,3,FALSE)</f>
        <v>Sports</v>
      </c>
      <c r="N1705" s="18" t="str">
        <f>VLOOKUP(C1705,Customers!$A:$E,5,FALSE)</f>
        <v>Retail</v>
      </c>
      <c r="O1705" s="18">
        <f>VLOOKUP(C1705,Customers!$A:$C,3,FALSE)</f>
        <v>35</v>
      </c>
      <c r="P1705" s="18" t="str">
        <f>VLOOKUP(E1704,Sales_Reps!$A:$C,3,FALSE)</f>
        <v>North</v>
      </c>
      <c r="Q1705" s="18" t="str">
        <f t="shared" si="336"/>
        <v>Jul-24</v>
      </c>
      <c r="R1705">
        <f>VLOOKUP(D1705, Products!A:D, 4, FALSE)</f>
        <v>2265</v>
      </c>
      <c r="S1705">
        <f t="shared" si="337"/>
        <v>0.58133086876155271</v>
      </c>
    </row>
    <row r="1706" spans="1:19" ht="14.25" hidden="1" customHeight="1" x14ac:dyDescent="0.3">
      <c r="A1706" s="8" t="s">
        <v>2744</v>
      </c>
      <c r="B1706" s="9">
        <v>45622</v>
      </c>
      <c r="C1706" s="8" t="s">
        <v>340</v>
      </c>
      <c r="D1706" s="8" t="s">
        <v>184</v>
      </c>
      <c r="E1706" s="8" t="s">
        <v>167</v>
      </c>
      <c r="F1706" s="10">
        <v>1</v>
      </c>
      <c r="G1706" s="10">
        <v>2600</v>
      </c>
      <c r="H1706" s="10">
        <v>5.9</v>
      </c>
      <c r="I1706" s="10">
        <v>2446.6</v>
      </c>
      <c r="J1706" s="8" t="s">
        <v>41</v>
      </c>
      <c r="K1706" s="8" t="s">
        <v>136</v>
      </c>
      <c r="L1706" s="18" t="str">
        <f>VLOOKUP(D1706,Products!$A:$C,3,FALSE)</f>
        <v>Electronics</v>
      </c>
      <c r="N1706" s="18" t="str">
        <f>VLOOKUP(C1706,Customers!$A:$E,5,FALSE)</f>
        <v>Retail</v>
      </c>
      <c r="O1706" s="18">
        <f>VLOOKUP(C1706,Customers!$A:$C,3,FALSE)</f>
        <v>52</v>
      </c>
    </row>
    <row r="1707" spans="1:19" ht="14.25" customHeight="1" x14ac:dyDescent="0.3">
      <c r="A1707" s="8" t="s">
        <v>2745</v>
      </c>
      <c r="B1707" s="21">
        <v>45603</v>
      </c>
      <c r="C1707" s="8" t="s">
        <v>435</v>
      </c>
      <c r="D1707" s="8" t="s">
        <v>912</v>
      </c>
      <c r="E1707" s="8" t="s">
        <v>200</v>
      </c>
      <c r="F1707" s="10">
        <v>10</v>
      </c>
      <c r="G1707" s="10">
        <v>4060</v>
      </c>
      <c r="H1707" s="10">
        <v>2.2999999999999998</v>
      </c>
      <c r="I1707" s="10">
        <v>39666.199999999997</v>
      </c>
      <c r="J1707" s="8" t="s">
        <v>41</v>
      </c>
      <c r="K1707" s="8" t="s">
        <v>146</v>
      </c>
      <c r="L1707" s="18" t="str">
        <f>VLOOKUP(D1707,Products!$A:$C,3,FALSE)</f>
        <v>Grocery</v>
      </c>
      <c r="N1707" s="18" t="str">
        <f>VLOOKUP(C1707,Customers!$A:$E,5,FALSE)</f>
        <v>Retail</v>
      </c>
      <c r="O1707" s="18">
        <f>VLOOKUP(C1707,Customers!$A:$C,3,FALSE)</f>
        <v>25</v>
      </c>
      <c r="P1707" s="18" t="str">
        <f>VLOOKUP(E1706,Sales_Reps!$A:$C,3,FALSE)</f>
        <v>East</v>
      </c>
      <c r="Q1707" s="18" t="str">
        <f>TEXT(B1706,"MMM-YY")</f>
        <v>Nov-24</v>
      </c>
      <c r="R1707">
        <f>VLOOKUP(D1707, Products!A:D, 4, FALSE)</f>
        <v>2911</v>
      </c>
      <c r="S1707">
        <f>(G1707-R1707)/G1707</f>
        <v>0.28300492610837441</v>
      </c>
    </row>
    <row r="1708" spans="1:19" ht="14.25" hidden="1" customHeight="1" x14ac:dyDescent="0.3">
      <c r="A1708" s="8" t="s">
        <v>2746</v>
      </c>
      <c r="B1708" s="9">
        <v>45352</v>
      </c>
      <c r="C1708" s="8" t="s">
        <v>826</v>
      </c>
      <c r="D1708" s="8" t="s">
        <v>230</v>
      </c>
      <c r="E1708" s="8" t="s">
        <v>321</v>
      </c>
      <c r="F1708" s="10">
        <v>9</v>
      </c>
      <c r="G1708" s="10">
        <v>5330</v>
      </c>
      <c r="H1708" s="10">
        <v>23.5</v>
      </c>
      <c r="I1708" s="10">
        <v>36697.050000000003</v>
      </c>
      <c r="J1708" s="8" t="s">
        <v>41</v>
      </c>
      <c r="K1708" s="8" t="s">
        <v>146</v>
      </c>
      <c r="L1708" s="18" t="str">
        <f>VLOOKUP(D1708,Products!$A:$C,3,FALSE)</f>
        <v>Electronics</v>
      </c>
      <c r="N1708" s="18" t="str">
        <f>VLOOKUP(C1708,Customers!$A:$E,5,FALSE)</f>
        <v>Retail</v>
      </c>
      <c r="O1708" s="18">
        <f>VLOOKUP(C1708,Customers!$A:$C,3,FALSE)</f>
        <v>56</v>
      </c>
    </row>
    <row r="1709" spans="1:19" ht="14.25" customHeight="1" x14ac:dyDescent="0.3">
      <c r="A1709" s="8" t="s">
        <v>2747</v>
      </c>
      <c r="B1709" s="21">
        <v>45600</v>
      </c>
      <c r="C1709" s="8" t="s">
        <v>538</v>
      </c>
      <c r="D1709" s="8" t="s">
        <v>247</v>
      </c>
      <c r="E1709" s="8" t="s">
        <v>145</v>
      </c>
      <c r="F1709" s="10">
        <v>7</v>
      </c>
      <c r="G1709" s="10">
        <v>3350</v>
      </c>
      <c r="H1709" s="10">
        <v>13.4</v>
      </c>
      <c r="I1709" s="10">
        <v>20307.7</v>
      </c>
      <c r="J1709" s="8" t="s">
        <v>97</v>
      </c>
      <c r="K1709" s="8" t="s">
        <v>178</v>
      </c>
      <c r="L1709" s="18" t="str">
        <f>VLOOKUP(D1709,Products!$A:$C,3,FALSE)</f>
        <v>Beauty</v>
      </c>
      <c r="N1709" s="18" t="str">
        <f>VLOOKUP(C1709,Customers!$A:$E,5,FALSE)</f>
        <v>Retail</v>
      </c>
      <c r="O1709" s="18">
        <f>VLOOKUP(C1709,Customers!$A:$C,3,FALSE)</f>
        <v>29</v>
      </c>
      <c r="P1709" s="18" t="str">
        <f>VLOOKUP(E1708,Sales_Reps!$A:$C,3,FALSE)</f>
        <v>East</v>
      </c>
      <c r="Q1709" s="18" t="str">
        <f>TEXT(B1708,"MMM-YY")</f>
        <v>Mar-24</v>
      </c>
      <c r="R1709">
        <f>VLOOKUP(D1709, Products!A:D, 4, FALSE)</f>
        <v>1728</v>
      </c>
      <c r="S1709">
        <f>(G1709-R1709)/G1709</f>
        <v>0.48417910447761192</v>
      </c>
    </row>
    <row r="1710" spans="1:19" ht="14.25" hidden="1" customHeight="1" x14ac:dyDescent="0.3">
      <c r="A1710" s="8" t="s">
        <v>2748</v>
      </c>
      <c r="B1710" s="9">
        <v>45631</v>
      </c>
      <c r="C1710" s="8" t="s">
        <v>273</v>
      </c>
      <c r="D1710" s="8" t="s">
        <v>898</v>
      </c>
      <c r="E1710" s="8" t="s">
        <v>117</v>
      </c>
      <c r="F1710" s="10">
        <v>4</v>
      </c>
      <c r="G1710" s="10">
        <v>2510</v>
      </c>
      <c r="H1710" s="10">
        <v>26.6</v>
      </c>
      <c r="I1710" s="10">
        <v>7369.36</v>
      </c>
      <c r="J1710" s="8" t="s">
        <v>41</v>
      </c>
      <c r="K1710" s="8" t="s">
        <v>146</v>
      </c>
      <c r="L1710" s="18" t="str">
        <f>VLOOKUP(D1710,Products!$A:$C,3,FALSE)</f>
        <v>Apparel</v>
      </c>
      <c r="N1710" s="18" t="str">
        <f>VLOOKUP(C1710,Customers!$A:$E,5,FALSE)</f>
        <v>SMB</v>
      </c>
      <c r="O1710" s="18">
        <f>VLOOKUP(C1710,Customers!$A:$C,3,FALSE)</f>
        <v>61</v>
      </c>
    </row>
    <row r="1711" spans="1:19" ht="14.25" hidden="1" customHeight="1" x14ac:dyDescent="0.3">
      <c r="A1711" s="8" t="s">
        <v>2749</v>
      </c>
      <c r="B1711" s="9">
        <v>45456</v>
      </c>
      <c r="C1711" s="8" t="s">
        <v>266</v>
      </c>
      <c r="D1711" s="8" t="s">
        <v>867</v>
      </c>
      <c r="E1711" s="8" t="s">
        <v>216</v>
      </c>
      <c r="F1711" s="10">
        <v>1</v>
      </c>
      <c r="G1711" s="10">
        <v>3020</v>
      </c>
      <c r="H1711" s="10">
        <v>15.2</v>
      </c>
      <c r="I1711" s="10">
        <v>2560.96</v>
      </c>
      <c r="J1711" s="8" t="s">
        <v>147</v>
      </c>
      <c r="K1711" s="8" t="s">
        <v>42</v>
      </c>
      <c r="L1711" s="18" t="str">
        <f>VLOOKUP(D1711,Products!$A:$C,3,FALSE)</f>
        <v>Beauty</v>
      </c>
      <c r="N1711" s="18" t="str">
        <f>VLOOKUP(C1711,Customers!$A:$E,5,FALSE)</f>
        <v>SMB</v>
      </c>
      <c r="O1711" s="18">
        <f>VLOOKUP(C1711,Customers!$A:$C,3,FALSE)</f>
        <v>44</v>
      </c>
    </row>
    <row r="1712" spans="1:19" ht="14.25" customHeight="1" x14ac:dyDescent="0.3">
      <c r="A1712" s="8" t="s">
        <v>2750</v>
      </c>
      <c r="B1712" s="21">
        <v>45539</v>
      </c>
      <c r="C1712" s="8" t="s">
        <v>694</v>
      </c>
      <c r="D1712" s="8" t="s">
        <v>95</v>
      </c>
      <c r="E1712" s="8" t="s">
        <v>236</v>
      </c>
      <c r="F1712" s="10">
        <v>1</v>
      </c>
      <c r="G1712" s="10">
        <v>820</v>
      </c>
      <c r="H1712" s="10">
        <v>6.3</v>
      </c>
      <c r="I1712" s="10">
        <v>768.34</v>
      </c>
      <c r="J1712" s="8" t="s">
        <v>41</v>
      </c>
      <c r="K1712" s="8" t="s">
        <v>146</v>
      </c>
      <c r="L1712" s="18" t="str">
        <f>VLOOKUP(D1712,Products!$A:$C,3,FALSE)</f>
        <v>Apparel</v>
      </c>
      <c r="N1712" s="18" t="str">
        <f>VLOOKUP(C1712,Customers!$A:$E,5,FALSE)</f>
        <v>Retail</v>
      </c>
      <c r="O1712" s="18">
        <f>VLOOKUP(C1712,Customers!$A:$C,3,FALSE)</f>
        <v>40</v>
      </c>
      <c r="P1712" s="18" t="str">
        <f>VLOOKUP(E1711,Sales_Reps!$A:$C,3,FALSE)</f>
        <v>East</v>
      </c>
      <c r="Q1712" s="18" t="str">
        <f>TEXT(B1711,"MMM-YY")</f>
        <v>Jun-24</v>
      </c>
      <c r="R1712">
        <f>VLOOKUP(D1712, Products!A:D, 4, FALSE)</f>
        <v>391</v>
      </c>
      <c r="S1712">
        <f>(G1712-R1712)/G1712</f>
        <v>0.52317073170731709</v>
      </c>
    </row>
    <row r="1713" spans="1:19" ht="14.25" hidden="1" customHeight="1" x14ac:dyDescent="0.3">
      <c r="A1713" s="8" t="s">
        <v>2751</v>
      </c>
      <c r="B1713" s="9">
        <v>45488</v>
      </c>
      <c r="C1713" s="8" t="s">
        <v>332</v>
      </c>
      <c r="D1713" s="8" t="s">
        <v>134</v>
      </c>
      <c r="E1713" s="8" t="s">
        <v>619</v>
      </c>
      <c r="F1713" s="10">
        <v>4</v>
      </c>
      <c r="G1713" s="10">
        <v>3160</v>
      </c>
      <c r="H1713" s="10">
        <v>3.6</v>
      </c>
      <c r="I1713" s="10">
        <v>12184.96</v>
      </c>
      <c r="J1713" s="8" t="s">
        <v>97</v>
      </c>
      <c r="K1713" s="8" t="s">
        <v>119</v>
      </c>
      <c r="L1713" s="18" t="str">
        <f>VLOOKUP(D1713,Products!$A:$C,3,FALSE)</f>
        <v>Apparel</v>
      </c>
      <c r="N1713" s="18" t="str">
        <f>VLOOKUP(C1713,Customers!$A:$E,5,FALSE)</f>
        <v>Retail</v>
      </c>
      <c r="O1713" s="18">
        <f>VLOOKUP(C1713,Customers!$A:$C,3,FALSE)</f>
        <v>47</v>
      </c>
    </row>
    <row r="1714" spans="1:19" ht="14.25" hidden="1" customHeight="1" x14ac:dyDescent="0.3">
      <c r="A1714" s="8" t="s">
        <v>2752</v>
      </c>
      <c r="B1714" s="9">
        <v>45370</v>
      </c>
      <c r="C1714" s="8" t="s">
        <v>518</v>
      </c>
      <c r="D1714" s="8" t="s">
        <v>124</v>
      </c>
      <c r="E1714" s="8" t="s">
        <v>189</v>
      </c>
      <c r="F1714" s="10">
        <v>1</v>
      </c>
      <c r="G1714" s="10">
        <v>3660</v>
      </c>
      <c r="H1714" s="10">
        <v>28.2</v>
      </c>
      <c r="I1714" s="10">
        <v>2627.88</v>
      </c>
      <c r="J1714" s="8" t="s">
        <v>97</v>
      </c>
      <c r="K1714" s="8" t="s">
        <v>119</v>
      </c>
      <c r="L1714" s="18" t="str">
        <f>VLOOKUP(D1714,Products!$A:$C,3,FALSE)</f>
        <v>Grocery</v>
      </c>
      <c r="N1714" s="18" t="str">
        <f>VLOOKUP(C1714,Customers!$A:$E,5,FALSE)</f>
        <v>SMB</v>
      </c>
      <c r="O1714" s="18">
        <f>VLOOKUP(C1714,Customers!$A:$C,3,FALSE)</f>
        <v>55</v>
      </c>
    </row>
    <row r="1715" spans="1:19" ht="14.25" hidden="1" customHeight="1" x14ac:dyDescent="0.3">
      <c r="A1715" s="8" t="s">
        <v>2753</v>
      </c>
      <c r="B1715" s="9">
        <v>45394</v>
      </c>
      <c r="C1715" s="8" t="s">
        <v>115</v>
      </c>
      <c r="D1715" s="8" t="s">
        <v>95</v>
      </c>
      <c r="E1715" s="8" t="s">
        <v>376</v>
      </c>
      <c r="F1715" s="10">
        <v>2</v>
      </c>
      <c r="G1715" s="10">
        <v>820</v>
      </c>
      <c r="H1715" s="10">
        <v>7</v>
      </c>
      <c r="I1715" s="10">
        <v>1525.2</v>
      </c>
      <c r="J1715" s="8" t="s">
        <v>41</v>
      </c>
      <c r="K1715" s="8" t="s">
        <v>119</v>
      </c>
      <c r="L1715" s="18" t="str">
        <f>VLOOKUP(D1715,Products!$A:$C,3,FALSE)</f>
        <v>Apparel</v>
      </c>
      <c r="N1715" s="18" t="str">
        <f>VLOOKUP(C1715,Customers!$A:$E,5,FALSE)</f>
        <v>Retail</v>
      </c>
      <c r="O1715" s="18">
        <f>VLOOKUP(C1715,Customers!$A:$C,3,FALSE)</f>
        <v>52</v>
      </c>
    </row>
    <row r="1716" spans="1:19" ht="14.25" hidden="1" customHeight="1" x14ac:dyDescent="0.3">
      <c r="A1716" s="8" t="s">
        <v>2754</v>
      </c>
      <c r="B1716" s="9">
        <v>45446</v>
      </c>
      <c r="C1716" s="8" t="s">
        <v>326</v>
      </c>
      <c r="D1716" s="8" t="s">
        <v>909</v>
      </c>
      <c r="E1716" s="8" t="s">
        <v>196</v>
      </c>
      <c r="F1716" s="10">
        <v>5</v>
      </c>
      <c r="G1716" s="10">
        <v>2380</v>
      </c>
      <c r="H1716" s="10">
        <v>23</v>
      </c>
      <c r="I1716" s="10">
        <v>9163</v>
      </c>
      <c r="J1716" s="8" t="s">
        <v>41</v>
      </c>
      <c r="K1716" s="8" t="s">
        <v>178</v>
      </c>
      <c r="L1716" s="18" t="str">
        <f>VLOOKUP(D1716,Products!$A:$C,3,FALSE)</f>
        <v>Grocery</v>
      </c>
      <c r="N1716" s="18" t="str">
        <f>VLOOKUP(C1716,Customers!$A:$E,5,FALSE)</f>
        <v>Retail</v>
      </c>
      <c r="O1716" s="18">
        <f>VLOOKUP(C1716,Customers!$A:$C,3,FALSE)</f>
        <v>53</v>
      </c>
    </row>
    <row r="1717" spans="1:19" ht="14.25" hidden="1" customHeight="1" x14ac:dyDescent="0.3">
      <c r="A1717" s="8" t="s">
        <v>2755</v>
      </c>
      <c r="B1717" s="9">
        <v>45612</v>
      </c>
      <c r="C1717" s="8" t="s">
        <v>652</v>
      </c>
      <c r="D1717" s="8" t="s">
        <v>188</v>
      </c>
      <c r="E1717" s="8" t="s">
        <v>745</v>
      </c>
      <c r="F1717" s="10">
        <v>1</v>
      </c>
      <c r="G1717" s="10">
        <v>3870</v>
      </c>
      <c r="H1717" s="10">
        <v>27.3</v>
      </c>
      <c r="I1717" s="10">
        <v>2813.49</v>
      </c>
      <c r="J1717" s="8" t="s">
        <v>41</v>
      </c>
      <c r="K1717" s="8" t="s">
        <v>178</v>
      </c>
      <c r="L1717" s="18" t="str">
        <f>VLOOKUP(D1717,Products!$A:$C,3,FALSE)</f>
        <v>Electronics</v>
      </c>
      <c r="N1717" s="18" t="str">
        <f>VLOOKUP(C1717,Customers!$A:$E,5,FALSE)</f>
        <v>SMB</v>
      </c>
      <c r="O1717" s="18">
        <f>VLOOKUP(C1717,Customers!$A:$C,3,FALSE)</f>
        <v>43</v>
      </c>
    </row>
    <row r="1718" spans="1:19" ht="14.25" hidden="1" customHeight="1" x14ac:dyDescent="0.3">
      <c r="A1718" s="8" t="s">
        <v>2756</v>
      </c>
      <c r="B1718" s="9">
        <v>45301</v>
      </c>
      <c r="C1718" s="8" t="s">
        <v>275</v>
      </c>
      <c r="D1718" s="8" t="s">
        <v>154</v>
      </c>
      <c r="E1718" s="8" t="s">
        <v>38</v>
      </c>
      <c r="F1718" s="10">
        <v>10</v>
      </c>
      <c r="G1718" s="10">
        <v>300</v>
      </c>
      <c r="H1718" s="10">
        <v>14.1</v>
      </c>
      <c r="I1718" s="10">
        <v>2577</v>
      </c>
      <c r="J1718" s="8" t="s">
        <v>147</v>
      </c>
      <c r="K1718" s="8" t="s">
        <v>98</v>
      </c>
      <c r="L1718" s="18" t="str">
        <f>VLOOKUP(D1718,Products!$A:$C,3,FALSE)</f>
        <v>Electronics</v>
      </c>
      <c r="N1718" s="18" t="str">
        <f>VLOOKUP(C1718,Customers!$A:$E,5,FALSE)</f>
        <v>Corporate</v>
      </c>
      <c r="O1718" s="18">
        <f>VLOOKUP(C1718,Customers!$A:$C,3,FALSE)</f>
        <v>41</v>
      </c>
    </row>
    <row r="1719" spans="1:19" ht="14.25" hidden="1" customHeight="1" x14ac:dyDescent="0.3">
      <c r="A1719" s="8" t="s">
        <v>2757</v>
      </c>
      <c r="B1719" s="9">
        <v>45647</v>
      </c>
      <c r="C1719" s="8" t="s">
        <v>727</v>
      </c>
      <c r="D1719" s="8" t="s">
        <v>320</v>
      </c>
      <c r="E1719" s="8" t="s">
        <v>619</v>
      </c>
      <c r="F1719" s="10">
        <v>10</v>
      </c>
      <c r="G1719" s="10">
        <v>5100</v>
      </c>
      <c r="H1719" s="10">
        <v>12.7</v>
      </c>
      <c r="I1719" s="10">
        <v>44523</v>
      </c>
      <c r="J1719" s="8" t="s">
        <v>41</v>
      </c>
      <c r="K1719" s="8" t="s">
        <v>136</v>
      </c>
      <c r="L1719" s="18" t="str">
        <f>VLOOKUP(D1719,Products!$A:$C,3,FALSE)</f>
        <v>Beauty</v>
      </c>
      <c r="N1719" s="18" t="str">
        <f>VLOOKUP(C1719,Customers!$A:$E,5,FALSE)</f>
        <v>Retail</v>
      </c>
      <c r="O1719" s="18">
        <f>VLOOKUP(C1719,Customers!$A:$C,3,FALSE)</f>
        <v>46</v>
      </c>
    </row>
    <row r="1720" spans="1:19" ht="14.25" customHeight="1" x14ac:dyDescent="0.3">
      <c r="A1720" s="8" t="s">
        <v>2758</v>
      </c>
      <c r="B1720" s="21">
        <v>45589</v>
      </c>
      <c r="C1720" s="8" t="s">
        <v>530</v>
      </c>
      <c r="D1720" s="8" t="s">
        <v>374</v>
      </c>
      <c r="E1720" s="8" t="s">
        <v>745</v>
      </c>
      <c r="F1720" s="10">
        <v>1</v>
      </c>
      <c r="G1720" s="10">
        <v>2760</v>
      </c>
      <c r="H1720" s="10">
        <v>17.8</v>
      </c>
      <c r="I1720" s="10">
        <v>2268.7199999999998</v>
      </c>
      <c r="J1720" s="8" t="s">
        <v>193</v>
      </c>
      <c r="K1720" s="8" t="s">
        <v>146</v>
      </c>
      <c r="L1720" s="18" t="str">
        <f>VLOOKUP(D1720,Products!$A:$C,3,FALSE)</f>
        <v>Grocery</v>
      </c>
      <c r="N1720" s="18" t="str">
        <f>VLOOKUP(C1720,Customers!$A:$E,5,FALSE)</f>
        <v>Retail</v>
      </c>
      <c r="O1720" s="18">
        <f>VLOOKUP(C1720,Customers!$A:$C,3,FALSE)</f>
        <v>37</v>
      </c>
      <c r="P1720" s="18" t="str">
        <f>VLOOKUP(E1719,Sales_Reps!$A:$C,3,FALSE)</f>
        <v>West</v>
      </c>
      <c r="Q1720" s="18" t="str">
        <f>TEXT(B1719,"MMM-YY")</f>
        <v>Dec-24</v>
      </c>
      <c r="R1720">
        <f>VLOOKUP(D1720, Products!A:D, 4, FALSE)</f>
        <v>1435</v>
      </c>
      <c r="S1720">
        <f>(G1720-R1720)/G1720</f>
        <v>0.48007246376811596</v>
      </c>
    </row>
    <row r="1721" spans="1:19" ht="14.25" hidden="1" customHeight="1" x14ac:dyDescent="0.3">
      <c r="A1721" s="8" t="s">
        <v>2759</v>
      </c>
      <c r="B1721" s="9">
        <v>45382</v>
      </c>
      <c r="C1721" s="8" t="s">
        <v>832</v>
      </c>
      <c r="D1721" s="8" t="s">
        <v>230</v>
      </c>
      <c r="E1721" s="8" t="s">
        <v>261</v>
      </c>
      <c r="F1721" s="10">
        <v>8</v>
      </c>
      <c r="G1721" s="10">
        <v>5330</v>
      </c>
      <c r="H1721" s="10">
        <v>16.399999999999999</v>
      </c>
      <c r="I1721" s="10">
        <v>35647.040000000001</v>
      </c>
      <c r="J1721" s="8" t="s">
        <v>41</v>
      </c>
      <c r="K1721" s="8" t="s">
        <v>178</v>
      </c>
      <c r="L1721" s="18" t="str">
        <f>VLOOKUP(D1721,Products!$A:$C,3,FALSE)</f>
        <v>Electronics</v>
      </c>
      <c r="N1721" s="18" t="str">
        <f>VLOOKUP(C1721,Customers!$A:$E,5,FALSE)</f>
        <v>SMB</v>
      </c>
      <c r="O1721" s="18">
        <f>VLOOKUP(C1721,Customers!$A:$C,3,FALSE)</f>
        <v>65</v>
      </c>
    </row>
    <row r="1722" spans="1:19" ht="14.25" hidden="1" customHeight="1" x14ac:dyDescent="0.3">
      <c r="A1722" s="8" t="s">
        <v>2760</v>
      </c>
      <c r="B1722" s="9">
        <v>45457</v>
      </c>
      <c r="C1722" s="8" t="s">
        <v>275</v>
      </c>
      <c r="D1722" s="8" t="s">
        <v>260</v>
      </c>
      <c r="E1722" s="8" t="s">
        <v>221</v>
      </c>
      <c r="F1722" s="10">
        <v>1</v>
      </c>
      <c r="G1722" s="10">
        <v>1010</v>
      </c>
      <c r="H1722" s="10">
        <v>20.399999999999999</v>
      </c>
      <c r="I1722" s="10">
        <v>803.96</v>
      </c>
      <c r="J1722" s="8" t="s">
        <v>147</v>
      </c>
      <c r="K1722" s="8" t="s">
        <v>98</v>
      </c>
      <c r="L1722" s="18" t="str">
        <f>VLOOKUP(D1722,Products!$A:$C,3,FALSE)</f>
        <v>Sports</v>
      </c>
      <c r="N1722" s="18" t="str">
        <f>VLOOKUP(C1722,Customers!$A:$E,5,FALSE)</f>
        <v>Corporate</v>
      </c>
      <c r="O1722" s="18">
        <f>VLOOKUP(C1722,Customers!$A:$C,3,FALSE)</f>
        <v>41</v>
      </c>
    </row>
    <row r="1723" spans="1:19" ht="14.25" customHeight="1" x14ac:dyDescent="0.3">
      <c r="A1723" s="8" t="s">
        <v>179</v>
      </c>
      <c r="B1723" s="21">
        <v>45376</v>
      </c>
      <c r="C1723" s="8" t="s">
        <v>142</v>
      </c>
      <c r="D1723" s="8" t="s">
        <v>131</v>
      </c>
      <c r="E1723" s="8" t="s">
        <v>158</v>
      </c>
      <c r="F1723" s="10">
        <v>10</v>
      </c>
      <c r="G1723" s="10">
        <v>2660</v>
      </c>
      <c r="H1723" s="10">
        <v>29.3</v>
      </c>
      <c r="I1723" s="10">
        <v>18806.2</v>
      </c>
      <c r="J1723" s="8" t="s">
        <v>41</v>
      </c>
      <c r="K1723" s="8" t="s">
        <v>146</v>
      </c>
      <c r="L1723" s="18" t="str">
        <f>VLOOKUP(D1723,Products!$A:$C,3,FALSE)</f>
        <v>Electronics</v>
      </c>
      <c r="N1723" s="18" t="str">
        <f>VLOOKUP(C1723,Customers!$A:$E,5,FALSE)</f>
        <v>Retail</v>
      </c>
      <c r="O1723" s="18">
        <f>VLOOKUP(C1723,Customers!$A:$C,3,FALSE)</f>
        <v>36</v>
      </c>
      <c r="P1723" s="18" t="str">
        <f>VLOOKUP(E1722,Sales_Reps!$A:$C,3,FALSE)</f>
        <v>South</v>
      </c>
      <c r="Q1723" s="18" t="str">
        <f t="shared" ref="Q1723:Q1724" si="338">TEXT(B1722,"MMM-YY")</f>
        <v>Jun-24</v>
      </c>
      <c r="R1723">
        <f>VLOOKUP(D1723, Products!A:D, 4, FALSE)</f>
        <v>1259</v>
      </c>
      <c r="S1723">
        <f t="shared" ref="S1723:S1724" si="339">(G1723-R1723)/G1723</f>
        <v>0.52669172932330832</v>
      </c>
    </row>
    <row r="1724" spans="1:19" ht="14.25" customHeight="1" x14ac:dyDescent="0.3">
      <c r="A1724" s="8" t="s">
        <v>2761</v>
      </c>
      <c r="B1724" s="21">
        <v>45506</v>
      </c>
      <c r="C1724" s="8" t="s">
        <v>233</v>
      </c>
      <c r="D1724" s="8" t="s">
        <v>120</v>
      </c>
      <c r="E1724" s="8" t="s">
        <v>865</v>
      </c>
      <c r="F1724" s="10">
        <v>9</v>
      </c>
      <c r="G1724" s="10">
        <v>3970</v>
      </c>
      <c r="H1724" s="10">
        <v>10.4</v>
      </c>
      <c r="I1724" s="10">
        <v>32014.080000000002</v>
      </c>
      <c r="J1724" s="8" t="s">
        <v>97</v>
      </c>
      <c r="K1724" s="8" t="s">
        <v>146</v>
      </c>
      <c r="L1724" s="18" t="str">
        <f>VLOOKUP(D1724,Products!$A:$C,3,FALSE)</f>
        <v>Electronics</v>
      </c>
      <c r="N1724" s="18" t="str">
        <f>VLOOKUP(C1724,Customers!$A:$E,5,FALSE)</f>
        <v>Retail</v>
      </c>
      <c r="O1724" s="18">
        <f>VLOOKUP(C1724,Customers!$A:$C,3,FALSE)</f>
        <v>34</v>
      </c>
      <c r="P1724" s="18" t="str">
        <f>VLOOKUP(E1723,Sales_Reps!$A:$C,3,FALSE)</f>
        <v>East</v>
      </c>
      <c r="Q1724" s="18" t="str">
        <f t="shared" si="338"/>
        <v>Mar-24</v>
      </c>
      <c r="R1724">
        <f>VLOOKUP(D1724, Products!A:D, 4, FALSE)</f>
        <v>2865</v>
      </c>
      <c r="S1724">
        <f t="shared" si="339"/>
        <v>0.27833753148614609</v>
      </c>
    </row>
    <row r="1725" spans="1:19" ht="14.25" hidden="1" customHeight="1" x14ac:dyDescent="0.3">
      <c r="A1725" s="8" t="s">
        <v>2762</v>
      </c>
      <c r="B1725" s="9">
        <v>45472</v>
      </c>
      <c r="C1725" s="8" t="s">
        <v>451</v>
      </c>
      <c r="D1725" s="8" t="s">
        <v>37</v>
      </c>
      <c r="E1725" s="8" t="s">
        <v>135</v>
      </c>
      <c r="F1725" s="10">
        <v>3</v>
      </c>
      <c r="G1725" s="10">
        <v>3620</v>
      </c>
      <c r="H1725" s="10">
        <v>22</v>
      </c>
      <c r="I1725" s="10">
        <v>8470.7999999999993</v>
      </c>
      <c r="J1725" s="8" t="s">
        <v>41</v>
      </c>
      <c r="K1725" s="8" t="s">
        <v>146</v>
      </c>
      <c r="L1725" s="18" t="str">
        <f>VLOOKUP(D1725,Products!$A:$C,3,FALSE)</f>
        <v>Apparel</v>
      </c>
      <c r="N1725" s="18" t="str">
        <f>VLOOKUP(C1725,Customers!$A:$E,5,FALSE)</f>
        <v>SMB</v>
      </c>
      <c r="O1725" s="18">
        <f>VLOOKUP(C1725,Customers!$A:$C,3,FALSE)</f>
        <v>43</v>
      </c>
    </row>
    <row r="1726" spans="1:19" ht="14.25" customHeight="1" x14ac:dyDescent="0.3">
      <c r="A1726" s="8" t="s">
        <v>2763</v>
      </c>
      <c r="B1726" s="21">
        <v>45383</v>
      </c>
      <c r="C1726" s="8" t="s">
        <v>742</v>
      </c>
      <c r="D1726" s="8" t="s">
        <v>691</v>
      </c>
      <c r="E1726" s="8" t="s">
        <v>167</v>
      </c>
      <c r="F1726" s="10">
        <v>6</v>
      </c>
      <c r="G1726" s="10">
        <v>2270</v>
      </c>
      <c r="H1726" s="10">
        <v>11.1</v>
      </c>
      <c r="I1726" s="10">
        <v>12108.18</v>
      </c>
      <c r="J1726" s="8" t="s">
        <v>147</v>
      </c>
      <c r="K1726" s="8" t="s">
        <v>178</v>
      </c>
      <c r="L1726" s="18" t="str">
        <f>VLOOKUP(D1726,Products!$A:$C,3,FALSE)</f>
        <v>Grocery</v>
      </c>
      <c r="N1726" s="18" t="str">
        <f>VLOOKUP(C1726,Customers!$A:$E,5,FALSE)</f>
        <v>Retail</v>
      </c>
      <c r="O1726" s="18">
        <f>VLOOKUP(C1726,Customers!$A:$C,3,FALSE)</f>
        <v>38</v>
      </c>
      <c r="P1726" s="18" t="str">
        <f>VLOOKUP(E1725,Sales_Reps!$A:$C,3,FALSE)</f>
        <v>North</v>
      </c>
      <c r="Q1726" s="18" t="str">
        <f t="shared" ref="Q1726:Q1727" si="340">TEXT(B1725,"MMM-YY")</f>
        <v>Jun-24</v>
      </c>
      <c r="R1726">
        <f>VLOOKUP(D1726, Products!A:D, 4, FALSE)</f>
        <v>1412</v>
      </c>
      <c r="S1726">
        <f t="shared" ref="S1726:S1727" si="341">(G1726-R1726)/G1726</f>
        <v>0.37797356828193834</v>
      </c>
    </row>
    <row r="1727" spans="1:19" ht="14.25" customHeight="1" x14ac:dyDescent="0.3">
      <c r="A1727" s="8" t="s">
        <v>2764</v>
      </c>
      <c r="B1727" s="21">
        <v>45543</v>
      </c>
      <c r="C1727" s="8" t="s">
        <v>722</v>
      </c>
      <c r="D1727" s="8" t="s">
        <v>691</v>
      </c>
      <c r="E1727" s="8" t="s">
        <v>117</v>
      </c>
      <c r="F1727" s="10">
        <v>4</v>
      </c>
      <c r="G1727" s="10">
        <v>2270</v>
      </c>
      <c r="H1727" s="10">
        <v>27.2</v>
      </c>
      <c r="I1727" s="10">
        <v>6610.24</v>
      </c>
      <c r="J1727" s="8" t="s">
        <v>97</v>
      </c>
      <c r="K1727" s="8" t="s">
        <v>98</v>
      </c>
      <c r="L1727" s="18" t="str">
        <f>VLOOKUP(D1727,Products!$A:$C,3,FALSE)</f>
        <v>Grocery</v>
      </c>
      <c r="N1727" s="18" t="str">
        <f>VLOOKUP(C1727,Customers!$A:$E,5,FALSE)</f>
        <v>Retail</v>
      </c>
      <c r="O1727" s="18">
        <f>VLOOKUP(C1727,Customers!$A:$C,3,FALSE)</f>
        <v>34</v>
      </c>
      <c r="P1727" s="18" t="str">
        <f>VLOOKUP(E1726,Sales_Reps!$A:$C,3,FALSE)</f>
        <v>East</v>
      </c>
      <c r="Q1727" s="18" t="str">
        <f t="shared" si="340"/>
        <v>Apr-24</v>
      </c>
      <c r="R1727">
        <f>VLOOKUP(D1727, Products!A:D, 4, FALSE)</f>
        <v>1412</v>
      </c>
      <c r="S1727">
        <f t="shared" si="341"/>
        <v>0.37797356828193834</v>
      </c>
    </row>
    <row r="1728" spans="1:19" ht="14.25" hidden="1" customHeight="1" x14ac:dyDescent="0.3">
      <c r="A1728" s="8" t="s">
        <v>2765</v>
      </c>
      <c r="B1728" s="9">
        <v>45576</v>
      </c>
      <c r="C1728" s="8" t="s">
        <v>555</v>
      </c>
      <c r="D1728" s="8" t="s">
        <v>839</v>
      </c>
      <c r="E1728" s="8" t="s">
        <v>189</v>
      </c>
      <c r="F1728" s="10">
        <v>8</v>
      </c>
      <c r="G1728" s="10">
        <v>4610</v>
      </c>
      <c r="H1728" s="10">
        <v>24.5</v>
      </c>
      <c r="I1728" s="10">
        <v>27844.400000000001</v>
      </c>
      <c r="J1728" s="8" t="s">
        <v>41</v>
      </c>
      <c r="K1728" s="8" t="s">
        <v>146</v>
      </c>
      <c r="L1728" s="18" t="str">
        <f>VLOOKUP(D1728,Products!$A:$C,3,FALSE)</f>
        <v>Home</v>
      </c>
      <c r="N1728" s="18" t="str">
        <f>VLOOKUP(C1728,Customers!$A:$E,5,FALSE)</f>
        <v>Retail</v>
      </c>
      <c r="O1728" s="18">
        <f>VLOOKUP(C1728,Customers!$A:$C,3,FALSE)</f>
        <v>41</v>
      </c>
    </row>
    <row r="1729" spans="1:19" ht="14.25" hidden="1" customHeight="1" x14ac:dyDescent="0.3">
      <c r="A1729" s="8" t="s">
        <v>2766</v>
      </c>
      <c r="B1729" s="9">
        <v>45366</v>
      </c>
      <c r="C1729" s="8" t="s">
        <v>545</v>
      </c>
      <c r="D1729" s="8" t="s">
        <v>199</v>
      </c>
      <c r="E1729" s="8" t="s">
        <v>321</v>
      </c>
      <c r="F1729" s="10">
        <v>6</v>
      </c>
      <c r="G1729" s="10">
        <v>190</v>
      </c>
      <c r="H1729" s="10">
        <v>8.6999999999999993</v>
      </c>
      <c r="I1729" s="10">
        <v>1040.82</v>
      </c>
      <c r="J1729" s="8" t="s">
        <v>147</v>
      </c>
      <c r="K1729" s="8" t="s">
        <v>119</v>
      </c>
      <c r="L1729" s="18" t="str">
        <f>VLOOKUP(D1729,Products!$A:$C,3,FALSE)</f>
        <v>Sports</v>
      </c>
      <c r="N1729" s="18" t="str">
        <f>VLOOKUP(C1729,Customers!$A:$E,5,FALSE)</f>
        <v>Retail</v>
      </c>
      <c r="O1729" s="18">
        <f>VLOOKUP(C1729,Customers!$A:$C,3,FALSE)</f>
        <v>41</v>
      </c>
    </row>
    <row r="1730" spans="1:19" ht="14.25" hidden="1" customHeight="1" x14ac:dyDescent="0.3">
      <c r="A1730" s="8" t="s">
        <v>2767</v>
      </c>
      <c r="B1730" s="9">
        <v>45617</v>
      </c>
      <c r="C1730" s="8" t="s">
        <v>690</v>
      </c>
      <c r="D1730" s="8" t="s">
        <v>924</v>
      </c>
      <c r="E1730" s="8" t="s">
        <v>376</v>
      </c>
      <c r="F1730" s="10">
        <v>5</v>
      </c>
      <c r="G1730" s="10">
        <v>2030</v>
      </c>
      <c r="H1730" s="10">
        <v>0.9</v>
      </c>
      <c r="I1730" s="10">
        <v>10058.65</v>
      </c>
      <c r="J1730" s="8" t="s">
        <v>147</v>
      </c>
      <c r="K1730" s="8" t="s">
        <v>98</v>
      </c>
      <c r="L1730" s="18" t="str">
        <f>VLOOKUP(D1730,Products!$A:$C,3,FALSE)</f>
        <v>Home</v>
      </c>
      <c r="N1730" s="18" t="str">
        <f>VLOOKUP(C1730,Customers!$A:$E,5,FALSE)</f>
        <v>Corporate</v>
      </c>
      <c r="O1730" s="18">
        <f>VLOOKUP(C1730,Customers!$A:$C,3,FALSE)</f>
        <v>52</v>
      </c>
    </row>
    <row r="1731" spans="1:19" ht="14.25" customHeight="1" x14ac:dyDescent="0.3">
      <c r="A1731" s="8" t="s">
        <v>2768</v>
      </c>
      <c r="B1731" s="21">
        <v>45614</v>
      </c>
      <c r="C1731" s="8" t="s">
        <v>433</v>
      </c>
      <c r="D1731" s="8" t="s">
        <v>818</v>
      </c>
      <c r="E1731" s="8" t="s">
        <v>321</v>
      </c>
      <c r="F1731" s="10">
        <v>1</v>
      </c>
      <c r="G1731" s="10">
        <v>4070</v>
      </c>
      <c r="H1731" s="10">
        <v>9.3000000000000007</v>
      </c>
      <c r="I1731" s="10">
        <v>3691.49</v>
      </c>
      <c r="J1731" s="8" t="s">
        <v>193</v>
      </c>
      <c r="K1731" s="8" t="s">
        <v>42</v>
      </c>
      <c r="L1731" s="18" t="str">
        <f>VLOOKUP(D1731,Products!$A:$C,3,FALSE)</f>
        <v>Grocery</v>
      </c>
      <c r="N1731" s="18" t="str">
        <f>VLOOKUP(C1731,Customers!$A:$E,5,FALSE)</f>
        <v>SMB</v>
      </c>
      <c r="O1731" s="18">
        <f>VLOOKUP(C1731,Customers!$A:$C,3,FALSE)</f>
        <v>30</v>
      </c>
      <c r="P1731" s="18" t="str">
        <f>VLOOKUP(E1730,Sales_Reps!$A:$C,3,FALSE)</f>
        <v>West</v>
      </c>
      <c r="Q1731" s="18" t="str">
        <f>TEXT(B1730,"MMM-YY")</f>
        <v>Nov-24</v>
      </c>
      <c r="R1731">
        <f>VLOOKUP(D1731, Products!A:D, 4, FALSE)</f>
        <v>2027</v>
      </c>
      <c r="S1731">
        <f>(G1731-R1731)/G1731</f>
        <v>0.50196560196560192</v>
      </c>
    </row>
    <row r="1732" spans="1:19" ht="14.25" hidden="1" customHeight="1" x14ac:dyDescent="0.3">
      <c r="A1732" s="8" t="s">
        <v>2769</v>
      </c>
      <c r="B1732" s="9">
        <v>45460</v>
      </c>
      <c r="C1732" s="8" t="s">
        <v>408</v>
      </c>
      <c r="D1732" s="8" t="s">
        <v>939</v>
      </c>
      <c r="E1732" s="8" t="s">
        <v>231</v>
      </c>
      <c r="F1732" s="10">
        <v>3</v>
      </c>
      <c r="G1732" s="10">
        <v>2290</v>
      </c>
      <c r="H1732" s="10">
        <v>12.1</v>
      </c>
      <c r="I1732" s="10">
        <v>6038.73</v>
      </c>
      <c r="J1732" s="8" t="s">
        <v>41</v>
      </c>
      <c r="K1732" s="8" t="s">
        <v>119</v>
      </c>
      <c r="L1732" s="18" t="str">
        <f>VLOOKUP(D1732,Products!$A:$C,3,FALSE)</f>
        <v>Beauty</v>
      </c>
      <c r="N1732" s="18" t="str">
        <f>VLOOKUP(C1732,Customers!$A:$E,5,FALSE)</f>
        <v>SMB</v>
      </c>
      <c r="O1732" s="18">
        <f>VLOOKUP(C1732,Customers!$A:$C,3,FALSE)</f>
        <v>48</v>
      </c>
    </row>
    <row r="1733" spans="1:19" ht="14.25" customHeight="1" x14ac:dyDescent="0.3">
      <c r="A1733" s="8" t="s">
        <v>2770</v>
      </c>
      <c r="B1733" s="21">
        <v>45514</v>
      </c>
      <c r="C1733" s="8" t="s">
        <v>575</v>
      </c>
      <c r="D1733" s="8" t="s">
        <v>569</v>
      </c>
      <c r="E1733" s="8" t="s">
        <v>321</v>
      </c>
      <c r="F1733" s="10">
        <v>7</v>
      </c>
      <c r="G1733" s="10">
        <v>3730</v>
      </c>
      <c r="H1733" s="10">
        <v>4.5</v>
      </c>
      <c r="I1733" s="10">
        <v>24935.05</v>
      </c>
      <c r="J1733" s="8" t="s">
        <v>41</v>
      </c>
      <c r="K1733" s="8" t="s">
        <v>178</v>
      </c>
      <c r="L1733" s="18" t="str">
        <f>VLOOKUP(D1733,Products!$A:$C,3,FALSE)</f>
        <v>Home</v>
      </c>
      <c r="N1733" s="18" t="str">
        <f>VLOOKUP(C1733,Customers!$A:$E,5,FALSE)</f>
        <v>Retail</v>
      </c>
      <c r="O1733" s="18">
        <f>VLOOKUP(C1733,Customers!$A:$C,3,FALSE)</f>
        <v>22</v>
      </c>
      <c r="P1733" s="18" t="str">
        <f>VLOOKUP(E1732,Sales_Reps!$A:$C,3,FALSE)</f>
        <v>North</v>
      </c>
      <c r="Q1733" s="18" t="str">
        <f t="shared" ref="Q1733:Q1735" si="342">TEXT(B1732,"MMM-YY")</f>
        <v>Jun-24</v>
      </c>
      <c r="R1733">
        <f>VLOOKUP(D1733, Products!A:D, 4, FALSE)</f>
        <v>2135</v>
      </c>
      <c r="S1733">
        <f t="shared" ref="S1733:S1735" si="343">(G1733-R1733)/G1733</f>
        <v>0.42761394101876676</v>
      </c>
    </row>
    <row r="1734" spans="1:19" ht="14.25" customHeight="1" x14ac:dyDescent="0.3">
      <c r="A1734" s="8" t="s">
        <v>2771</v>
      </c>
      <c r="B1734" s="21">
        <v>45306</v>
      </c>
      <c r="C1734" s="8" t="s">
        <v>487</v>
      </c>
      <c r="D1734" s="8" t="s">
        <v>896</v>
      </c>
      <c r="E1734" s="8" t="s">
        <v>96</v>
      </c>
      <c r="F1734" s="10">
        <v>5</v>
      </c>
      <c r="G1734" s="10">
        <v>620</v>
      </c>
      <c r="H1734" s="10">
        <v>7.5</v>
      </c>
      <c r="I1734" s="10">
        <v>2867.5</v>
      </c>
      <c r="J1734" s="8" t="s">
        <v>41</v>
      </c>
      <c r="K1734" s="8" t="s">
        <v>42</v>
      </c>
      <c r="L1734" s="18" t="str">
        <f>VLOOKUP(D1734,Products!$A:$C,3,FALSE)</f>
        <v>Apparel</v>
      </c>
      <c r="N1734" s="18" t="str">
        <f>VLOOKUP(C1734,Customers!$A:$E,5,FALSE)</f>
        <v>Retail</v>
      </c>
      <c r="O1734" s="18">
        <f>VLOOKUP(C1734,Customers!$A:$C,3,FALSE)</f>
        <v>22</v>
      </c>
      <c r="P1734" s="18" t="str">
        <f>VLOOKUP(E1733,Sales_Reps!$A:$C,3,FALSE)</f>
        <v>East</v>
      </c>
      <c r="Q1734" s="18" t="str">
        <f t="shared" si="342"/>
        <v>Aug-24</v>
      </c>
      <c r="R1734">
        <f>VLOOKUP(D1734, Products!A:D, 4, FALSE)</f>
        <v>396</v>
      </c>
      <c r="S1734">
        <f t="shared" si="343"/>
        <v>0.36129032258064514</v>
      </c>
    </row>
    <row r="1735" spans="1:19" ht="14.25" customHeight="1" x14ac:dyDescent="0.3">
      <c r="A1735" s="8" t="s">
        <v>2772</v>
      </c>
      <c r="B1735" s="21">
        <v>45455</v>
      </c>
      <c r="C1735" s="8" t="s">
        <v>466</v>
      </c>
      <c r="D1735" s="8" t="s">
        <v>181</v>
      </c>
      <c r="E1735" s="8" t="s">
        <v>177</v>
      </c>
      <c r="F1735" s="10">
        <v>8</v>
      </c>
      <c r="G1735" s="10">
        <v>2640</v>
      </c>
      <c r="H1735" s="10">
        <v>16.399999999999999</v>
      </c>
      <c r="I1735" s="10">
        <v>17656.32</v>
      </c>
      <c r="J1735" s="8" t="s">
        <v>41</v>
      </c>
      <c r="K1735" s="8" t="s">
        <v>119</v>
      </c>
      <c r="L1735" s="18" t="str">
        <f>VLOOKUP(D1735,Products!$A:$C,3,FALSE)</f>
        <v>Electronics</v>
      </c>
      <c r="N1735" s="18" t="str">
        <f>VLOOKUP(C1735,Customers!$A:$E,5,FALSE)</f>
        <v>Corporate</v>
      </c>
      <c r="O1735" s="18">
        <f>VLOOKUP(C1735,Customers!$A:$C,3,FALSE)</f>
        <v>27</v>
      </c>
      <c r="P1735" s="18" t="str">
        <f>VLOOKUP(E1734,Sales_Reps!$A:$C,3,FALSE)</f>
        <v>North</v>
      </c>
      <c r="Q1735" s="18" t="str">
        <f t="shared" si="342"/>
        <v>Jan-24</v>
      </c>
      <c r="R1735">
        <f>VLOOKUP(D1735, Products!A:D, 4, FALSE)</f>
        <v>1149</v>
      </c>
      <c r="S1735">
        <f t="shared" si="343"/>
        <v>0.56477272727272732</v>
      </c>
    </row>
    <row r="1736" spans="1:19" ht="14.25" hidden="1" customHeight="1" x14ac:dyDescent="0.3">
      <c r="A1736" s="8" t="s">
        <v>2773</v>
      </c>
      <c r="B1736" s="9">
        <v>45564</v>
      </c>
      <c r="C1736" s="8" t="s">
        <v>768</v>
      </c>
      <c r="D1736" s="8" t="s">
        <v>124</v>
      </c>
      <c r="E1736" s="8" t="s">
        <v>185</v>
      </c>
      <c r="F1736" s="10">
        <v>6</v>
      </c>
      <c r="G1736" s="10">
        <v>3660</v>
      </c>
      <c r="H1736" s="10">
        <v>6.2</v>
      </c>
      <c r="I1736" s="10">
        <v>20598.48</v>
      </c>
      <c r="J1736" s="8" t="s">
        <v>41</v>
      </c>
      <c r="K1736" s="8" t="s">
        <v>98</v>
      </c>
      <c r="L1736" s="18" t="str">
        <f>VLOOKUP(D1736,Products!$A:$C,3,FALSE)</f>
        <v>Grocery</v>
      </c>
      <c r="N1736" s="18" t="str">
        <f>VLOOKUP(C1736,Customers!$A:$E,5,FALSE)</f>
        <v>SMB</v>
      </c>
      <c r="O1736" s="18">
        <f>VLOOKUP(C1736,Customers!$A:$C,3,FALSE)</f>
        <v>57</v>
      </c>
    </row>
    <row r="1737" spans="1:19" ht="14.25" hidden="1" customHeight="1" x14ac:dyDescent="0.3">
      <c r="A1737" s="8" t="s">
        <v>2774</v>
      </c>
      <c r="B1737" s="9">
        <v>45507</v>
      </c>
      <c r="C1737" s="8" t="s">
        <v>856</v>
      </c>
      <c r="D1737" s="8" t="s">
        <v>95</v>
      </c>
      <c r="E1737" s="8" t="s">
        <v>321</v>
      </c>
      <c r="F1737" s="10">
        <v>2</v>
      </c>
      <c r="G1737" s="10">
        <v>820</v>
      </c>
      <c r="H1737" s="10">
        <v>25.4</v>
      </c>
      <c r="I1737" s="10">
        <v>1223.44</v>
      </c>
      <c r="J1737" s="8" t="s">
        <v>41</v>
      </c>
      <c r="K1737" s="8" t="s">
        <v>178</v>
      </c>
      <c r="L1737" s="18" t="str">
        <f>VLOOKUP(D1737,Products!$A:$C,3,FALSE)</f>
        <v>Apparel</v>
      </c>
      <c r="N1737" s="18" t="str">
        <f>VLOOKUP(C1737,Customers!$A:$E,5,FALSE)</f>
        <v>Retail</v>
      </c>
      <c r="O1737" s="18">
        <f>VLOOKUP(C1737,Customers!$A:$C,3,FALSE)</f>
        <v>50</v>
      </c>
    </row>
    <row r="1738" spans="1:19" ht="14.25" customHeight="1" x14ac:dyDescent="0.3">
      <c r="A1738" s="8" t="s">
        <v>2775</v>
      </c>
      <c r="B1738" s="21">
        <v>45596</v>
      </c>
      <c r="C1738" s="8" t="s">
        <v>515</v>
      </c>
      <c r="D1738" s="8" t="s">
        <v>227</v>
      </c>
      <c r="E1738" s="8" t="s">
        <v>216</v>
      </c>
      <c r="F1738" s="10">
        <v>3</v>
      </c>
      <c r="G1738" s="10">
        <v>2480</v>
      </c>
      <c r="H1738" s="10">
        <v>28.7</v>
      </c>
      <c r="I1738" s="10">
        <v>5304.72</v>
      </c>
      <c r="J1738" s="8" t="s">
        <v>97</v>
      </c>
      <c r="K1738" s="8" t="s">
        <v>146</v>
      </c>
      <c r="L1738" s="18" t="str">
        <f>VLOOKUP(D1738,Products!$A:$C,3,FALSE)</f>
        <v>Apparel</v>
      </c>
      <c r="N1738" s="18" t="str">
        <f>VLOOKUP(C1738,Customers!$A:$E,5,FALSE)</f>
        <v>Retail</v>
      </c>
      <c r="O1738" s="18">
        <f>VLOOKUP(C1738,Customers!$A:$C,3,FALSE)</f>
        <v>29</v>
      </c>
      <c r="P1738" s="18" t="str">
        <f>VLOOKUP(E1737,Sales_Reps!$A:$C,3,FALSE)</f>
        <v>East</v>
      </c>
      <c r="Q1738" s="18" t="str">
        <f t="shared" ref="Q1738:Q1740" si="344">TEXT(B1737,"MMM-YY")</f>
        <v>Aug-24</v>
      </c>
      <c r="R1738">
        <f>VLOOKUP(D1738, Products!A:D, 4, FALSE)</f>
        <v>1173</v>
      </c>
      <c r="S1738">
        <f t="shared" ref="S1738:S1740" si="345">(G1738-R1738)/G1738</f>
        <v>0.52701612903225803</v>
      </c>
    </row>
    <row r="1739" spans="1:19" ht="14.25" customHeight="1" x14ac:dyDescent="0.3">
      <c r="A1739" s="8" t="s">
        <v>2776</v>
      </c>
      <c r="B1739" s="21">
        <v>45534</v>
      </c>
      <c r="C1739" s="8" t="s">
        <v>578</v>
      </c>
      <c r="D1739" s="8" t="s">
        <v>662</v>
      </c>
      <c r="E1739" s="8" t="s">
        <v>172</v>
      </c>
      <c r="F1739" s="10">
        <v>10</v>
      </c>
      <c r="G1739" s="10">
        <v>6080</v>
      </c>
      <c r="H1739" s="10">
        <v>18.899999999999999</v>
      </c>
      <c r="I1739" s="10">
        <v>49308.800000000003</v>
      </c>
      <c r="J1739" s="8" t="s">
        <v>41</v>
      </c>
      <c r="K1739" s="8" t="s">
        <v>98</v>
      </c>
      <c r="L1739" s="18" t="str">
        <f>VLOOKUP(D1739,Products!$A:$C,3,FALSE)</f>
        <v>Beauty</v>
      </c>
      <c r="N1739" s="18" t="str">
        <f>VLOOKUP(C1739,Customers!$A:$E,5,FALSE)</f>
        <v>Retail</v>
      </c>
      <c r="O1739" s="18">
        <f>VLOOKUP(C1739,Customers!$A:$C,3,FALSE)</f>
        <v>32</v>
      </c>
      <c r="P1739" s="18" t="str">
        <f>VLOOKUP(E1738,Sales_Reps!$A:$C,3,FALSE)</f>
        <v>East</v>
      </c>
      <c r="Q1739" s="18" t="str">
        <f t="shared" si="344"/>
        <v>Oct-24</v>
      </c>
      <c r="R1739">
        <f>VLOOKUP(D1739, Products!A:D, 4, FALSE)</f>
        <v>2617</v>
      </c>
      <c r="S1739">
        <f t="shared" si="345"/>
        <v>0.56957236842105263</v>
      </c>
    </row>
    <row r="1740" spans="1:19" ht="14.25" customHeight="1" x14ac:dyDescent="0.3">
      <c r="A1740" s="8" t="s">
        <v>2777</v>
      </c>
      <c r="B1740" s="21">
        <v>45336</v>
      </c>
      <c r="C1740" s="8" t="s">
        <v>191</v>
      </c>
      <c r="D1740" s="8" t="s">
        <v>199</v>
      </c>
      <c r="E1740" s="8" t="s">
        <v>196</v>
      </c>
      <c r="F1740" s="10">
        <v>1</v>
      </c>
      <c r="G1740" s="10">
        <v>190</v>
      </c>
      <c r="H1740" s="10">
        <v>5.7</v>
      </c>
      <c r="I1740" s="10">
        <v>179.17</v>
      </c>
      <c r="J1740" s="8" t="s">
        <v>41</v>
      </c>
      <c r="K1740" s="8" t="s">
        <v>42</v>
      </c>
      <c r="L1740" s="18" t="str">
        <f>VLOOKUP(D1740,Products!$A:$C,3,FALSE)</f>
        <v>Sports</v>
      </c>
      <c r="N1740" s="18" t="str">
        <f>VLOOKUP(C1740,Customers!$A:$E,5,FALSE)</f>
        <v>SMB</v>
      </c>
      <c r="O1740" s="18">
        <f>VLOOKUP(C1740,Customers!$A:$C,3,FALSE)</f>
        <v>39</v>
      </c>
      <c r="P1740" s="18" t="str">
        <f>VLOOKUP(E1739,Sales_Reps!$A:$C,3,FALSE)</f>
        <v>West</v>
      </c>
      <c r="Q1740" s="18" t="str">
        <f t="shared" si="344"/>
        <v>Aug-24</v>
      </c>
      <c r="R1740">
        <f>VLOOKUP(D1740, Products!A:D, 4, FALSE)</f>
        <v>147</v>
      </c>
      <c r="S1740">
        <f t="shared" si="345"/>
        <v>0.22631578947368422</v>
      </c>
    </row>
    <row r="1741" spans="1:19" ht="14.25" hidden="1" customHeight="1" x14ac:dyDescent="0.3">
      <c r="A1741" s="8" t="s">
        <v>2778</v>
      </c>
      <c r="B1741" s="9">
        <v>45463</v>
      </c>
      <c r="C1741" s="8" t="s">
        <v>279</v>
      </c>
      <c r="D1741" s="8" t="s">
        <v>964</v>
      </c>
      <c r="E1741" s="8" t="s">
        <v>376</v>
      </c>
      <c r="F1741" s="10">
        <v>2</v>
      </c>
      <c r="G1741" s="10">
        <v>3780</v>
      </c>
      <c r="H1741" s="10">
        <v>11.8</v>
      </c>
      <c r="I1741" s="10">
        <v>6667.92</v>
      </c>
      <c r="J1741" s="8" t="s">
        <v>41</v>
      </c>
      <c r="K1741" s="8" t="s">
        <v>119</v>
      </c>
      <c r="L1741" s="18" t="str">
        <f>VLOOKUP(D1741,Products!$A:$C,3,FALSE)</f>
        <v>Sports</v>
      </c>
      <c r="N1741" s="18" t="str">
        <f>VLOOKUP(C1741,Customers!$A:$E,5,FALSE)</f>
        <v>Retail</v>
      </c>
      <c r="O1741" s="18">
        <f>VLOOKUP(C1741,Customers!$A:$C,3,FALSE)</f>
        <v>41</v>
      </c>
    </row>
    <row r="1742" spans="1:19" ht="14.25" customHeight="1" x14ac:dyDescent="0.3">
      <c r="A1742" s="8" t="s">
        <v>2779</v>
      </c>
      <c r="B1742" s="21">
        <v>45602</v>
      </c>
      <c r="C1742" s="8" t="s">
        <v>647</v>
      </c>
      <c r="D1742" s="8" t="s">
        <v>192</v>
      </c>
      <c r="E1742" s="8" t="s">
        <v>231</v>
      </c>
      <c r="F1742" s="10">
        <v>5</v>
      </c>
      <c r="G1742" s="10">
        <v>3250</v>
      </c>
      <c r="H1742" s="10">
        <v>19.899999999999999</v>
      </c>
      <c r="I1742" s="10">
        <v>13016.25</v>
      </c>
      <c r="J1742" s="8" t="s">
        <v>41</v>
      </c>
      <c r="K1742" s="8" t="s">
        <v>136</v>
      </c>
      <c r="L1742" s="18" t="str">
        <f>VLOOKUP(D1742,Products!$A:$C,3,FALSE)</f>
        <v>Home</v>
      </c>
      <c r="N1742" s="18" t="str">
        <f>VLOOKUP(C1742,Customers!$A:$E,5,FALSE)</f>
        <v>Retail</v>
      </c>
      <c r="O1742" s="18">
        <f>VLOOKUP(C1742,Customers!$A:$C,3,FALSE)</f>
        <v>34</v>
      </c>
      <c r="P1742" s="18" t="str">
        <f>VLOOKUP(E1741,Sales_Reps!$A:$C,3,FALSE)</f>
        <v>West</v>
      </c>
      <c r="Q1742" s="18" t="str">
        <f t="shared" ref="Q1742:Q1743" si="346">TEXT(B1741,"MMM-YY")</f>
        <v>Jun-24</v>
      </c>
      <c r="R1742">
        <f>VLOOKUP(D1742, Products!A:D, 4, FALSE)</f>
        <v>1556</v>
      </c>
      <c r="S1742">
        <f t="shared" ref="S1742:S1743" si="347">(G1742-R1742)/G1742</f>
        <v>0.52123076923076928</v>
      </c>
    </row>
    <row r="1743" spans="1:19" ht="14.25" customHeight="1" x14ac:dyDescent="0.3">
      <c r="A1743" s="8" t="s">
        <v>2780</v>
      </c>
      <c r="B1743" s="21">
        <v>45365</v>
      </c>
      <c r="C1743" s="8" t="s">
        <v>695</v>
      </c>
      <c r="D1743" s="8" t="s">
        <v>924</v>
      </c>
      <c r="E1743" s="8" t="s">
        <v>135</v>
      </c>
      <c r="F1743" s="10">
        <v>7</v>
      </c>
      <c r="G1743" s="10">
        <v>2030</v>
      </c>
      <c r="H1743" s="10">
        <v>4.0999999999999996</v>
      </c>
      <c r="I1743" s="10">
        <v>13627.39</v>
      </c>
      <c r="J1743" s="8" t="s">
        <v>41</v>
      </c>
      <c r="K1743" s="8" t="s">
        <v>178</v>
      </c>
      <c r="L1743" s="18" t="str">
        <f>VLOOKUP(D1743,Products!$A:$C,3,FALSE)</f>
        <v>Home</v>
      </c>
      <c r="N1743" s="18" t="str">
        <f>VLOOKUP(C1743,Customers!$A:$E,5,FALSE)</f>
        <v>SMB</v>
      </c>
      <c r="O1743" s="18">
        <f>VLOOKUP(C1743,Customers!$A:$C,3,FALSE)</f>
        <v>34</v>
      </c>
      <c r="P1743" s="18" t="str">
        <f>VLOOKUP(E1742,Sales_Reps!$A:$C,3,FALSE)</f>
        <v>North</v>
      </c>
      <c r="Q1743" s="18" t="str">
        <f t="shared" si="346"/>
        <v>Nov-24</v>
      </c>
      <c r="R1743">
        <f>VLOOKUP(D1743, Products!A:D, 4, FALSE)</f>
        <v>1143</v>
      </c>
      <c r="S1743">
        <f t="shared" si="347"/>
        <v>0.43694581280788175</v>
      </c>
    </row>
    <row r="1744" spans="1:19" ht="14.25" hidden="1" customHeight="1" x14ac:dyDescent="0.3">
      <c r="A1744" s="8" t="s">
        <v>2781</v>
      </c>
      <c r="B1744" s="9">
        <v>45651</v>
      </c>
      <c r="C1744" s="8" t="s">
        <v>763</v>
      </c>
      <c r="D1744" s="8" t="s">
        <v>283</v>
      </c>
      <c r="E1744" s="8" t="s">
        <v>189</v>
      </c>
      <c r="F1744" s="10">
        <v>5</v>
      </c>
      <c r="G1744" s="10">
        <v>4880</v>
      </c>
      <c r="H1744" s="10">
        <v>22.9</v>
      </c>
      <c r="I1744" s="10">
        <v>18812.400000000001</v>
      </c>
      <c r="J1744" s="8" t="s">
        <v>41</v>
      </c>
      <c r="K1744" s="8" t="s">
        <v>178</v>
      </c>
      <c r="L1744" s="18" t="str">
        <f>VLOOKUP(D1744,Products!$A:$C,3,FALSE)</f>
        <v>Beauty</v>
      </c>
      <c r="N1744" s="18" t="str">
        <f>VLOOKUP(C1744,Customers!$A:$E,5,FALSE)</f>
        <v>Retail</v>
      </c>
      <c r="O1744" s="18">
        <f>VLOOKUP(C1744,Customers!$A:$C,3,FALSE)</f>
        <v>65</v>
      </c>
    </row>
    <row r="1745" spans="1:19" ht="14.25" customHeight="1" x14ac:dyDescent="0.3">
      <c r="A1745" s="8" t="s">
        <v>2782</v>
      </c>
      <c r="B1745" s="21">
        <v>45297</v>
      </c>
      <c r="C1745" s="8" t="s">
        <v>235</v>
      </c>
      <c r="D1745" s="8" t="s">
        <v>247</v>
      </c>
      <c r="E1745" s="8" t="s">
        <v>321</v>
      </c>
      <c r="F1745" s="10">
        <v>3</v>
      </c>
      <c r="G1745" s="10">
        <v>3350</v>
      </c>
      <c r="H1745" s="10">
        <v>15.2</v>
      </c>
      <c r="I1745" s="10">
        <v>8522.4</v>
      </c>
      <c r="J1745" s="8" t="s">
        <v>97</v>
      </c>
      <c r="K1745" s="8" t="s">
        <v>178</v>
      </c>
      <c r="L1745" s="18" t="str">
        <f>VLOOKUP(D1745,Products!$A:$C,3,FALSE)</f>
        <v>Beauty</v>
      </c>
      <c r="N1745" s="18" t="str">
        <f>VLOOKUP(C1745,Customers!$A:$E,5,FALSE)</f>
        <v>SMB</v>
      </c>
      <c r="O1745" s="18">
        <f>VLOOKUP(C1745,Customers!$A:$C,3,FALSE)</f>
        <v>29</v>
      </c>
      <c r="P1745" s="18" t="str">
        <f>VLOOKUP(E1744,Sales_Reps!$A:$C,3,FALSE)</f>
        <v>South</v>
      </c>
      <c r="Q1745" s="18" t="str">
        <f>TEXT(B1744,"MMM-YY")</f>
        <v>Dec-24</v>
      </c>
      <c r="R1745">
        <f>VLOOKUP(D1745, Products!A:D, 4, FALSE)</f>
        <v>1728</v>
      </c>
      <c r="S1745">
        <f>(G1745-R1745)/G1745</f>
        <v>0.48417910447761192</v>
      </c>
    </row>
    <row r="1746" spans="1:19" ht="14.25" hidden="1" customHeight="1" x14ac:dyDescent="0.3">
      <c r="A1746" s="8" t="s">
        <v>2783</v>
      </c>
      <c r="B1746" s="9">
        <v>45425</v>
      </c>
      <c r="C1746" s="8" t="s">
        <v>801</v>
      </c>
      <c r="D1746" s="8" t="s">
        <v>338</v>
      </c>
      <c r="E1746" s="8" t="s">
        <v>236</v>
      </c>
      <c r="F1746" s="10">
        <v>10</v>
      </c>
      <c r="G1746" s="10">
        <v>2860</v>
      </c>
      <c r="H1746" s="10">
        <v>15</v>
      </c>
      <c r="I1746" s="10">
        <v>24310</v>
      </c>
      <c r="J1746" s="8" t="s">
        <v>41</v>
      </c>
      <c r="K1746" s="8" t="s">
        <v>42</v>
      </c>
      <c r="L1746" s="18" t="str">
        <f>VLOOKUP(D1746,Products!$A:$C,3,FALSE)</f>
        <v>Sports</v>
      </c>
      <c r="N1746" s="18" t="str">
        <f>VLOOKUP(C1746,Customers!$A:$E,5,FALSE)</f>
        <v>Retail</v>
      </c>
      <c r="O1746" s="18">
        <f>VLOOKUP(C1746,Customers!$A:$C,3,FALSE)</f>
        <v>59</v>
      </c>
    </row>
    <row r="1747" spans="1:19" ht="14.25" hidden="1" customHeight="1" x14ac:dyDescent="0.3">
      <c r="A1747" s="8" t="s">
        <v>2784</v>
      </c>
      <c r="B1747" s="9">
        <v>45444</v>
      </c>
      <c r="C1747" s="8" t="s">
        <v>670</v>
      </c>
      <c r="D1747" s="8" t="s">
        <v>215</v>
      </c>
      <c r="E1747" s="8" t="s">
        <v>167</v>
      </c>
      <c r="F1747" s="10">
        <v>5</v>
      </c>
      <c r="G1747" s="10">
        <v>3450</v>
      </c>
      <c r="H1747" s="10">
        <v>2.2999999999999998</v>
      </c>
      <c r="I1747" s="10">
        <v>16853.25</v>
      </c>
      <c r="J1747" s="8" t="s">
        <v>41</v>
      </c>
      <c r="K1747" s="8" t="s">
        <v>136</v>
      </c>
      <c r="L1747" s="18" t="str">
        <f>VLOOKUP(D1747,Products!$A:$C,3,FALSE)</f>
        <v>Beauty</v>
      </c>
      <c r="N1747" s="18" t="str">
        <f>VLOOKUP(C1747,Customers!$A:$E,5,FALSE)</f>
        <v>Retail</v>
      </c>
      <c r="O1747" s="18">
        <f>VLOOKUP(C1747,Customers!$A:$C,3,FALSE)</f>
        <v>42</v>
      </c>
    </row>
    <row r="1748" spans="1:19" ht="14.25" hidden="1" customHeight="1" x14ac:dyDescent="0.3">
      <c r="A1748" s="8" t="s">
        <v>2785</v>
      </c>
      <c r="B1748" s="9">
        <v>45397</v>
      </c>
      <c r="C1748" s="8" t="s">
        <v>266</v>
      </c>
      <c r="D1748" s="8" t="s">
        <v>176</v>
      </c>
      <c r="E1748" s="8" t="s">
        <v>301</v>
      </c>
      <c r="F1748" s="10">
        <v>3</v>
      </c>
      <c r="G1748" s="10">
        <v>2270</v>
      </c>
      <c r="H1748" s="10">
        <v>2.8</v>
      </c>
      <c r="I1748" s="10">
        <v>6619.32</v>
      </c>
      <c r="J1748" s="8" t="s">
        <v>97</v>
      </c>
      <c r="K1748" s="8" t="s">
        <v>42</v>
      </c>
      <c r="L1748" s="18" t="str">
        <f>VLOOKUP(D1748,Products!$A:$C,3,FALSE)</f>
        <v>Grocery</v>
      </c>
      <c r="N1748" s="18" t="str">
        <f>VLOOKUP(C1748,Customers!$A:$E,5,FALSE)</f>
        <v>SMB</v>
      </c>
      <c r="O1748" s="18">
        <f>VLOOKUP(C1748,Customers!$A:$C,3,FALSE)</f>
        <v>44</v>
      </c>
    </row>
    <row r="1749" spans="1:19" ht="14.25" customHeight="1" x14ac:dyDescent="0.3">
      <c r="A1749" s="8" t="s">
        <v>2786</v>
      </c>
      <c r="B1749" s="21">
        <v>45354</v>
      </c>
      <c r="C1749" s="8" t="s">
        <v>724</v>
      </c>
      <c r="D1749" s="8" t="s">
        <v>124</v>
      </c>
      <c r="E1749" s="8" t="s">
        <v>38</v>
      </c>
      <c r="F1749" s="10">
        <v>8</v>
      </c>
      <c r="G1749" s="10">
        <v>3660</v>
      </c>
      <c r="H1749" s="10">
        <v>16.8</v>
      </c>
      <c r="I1749" s="10">
        <v>24360.959999999999</v>
      </c>
      <c r="J1749" s="8" t="s">
        <v>41</v>
      </c>
      <c r="K1749" s="8" t="s">
        <v>119</v>
      </c>
      <c r="L1749" s="18" t="str">
        <f>VLOOKUP(D1749,Products!$A:$C,3,FALSE)</f>
        <v>Grocery</v>
      </c>
      <c r="N1749" s="18" t="str">
        <f>VLOOKUP(C1749,Customers!$A:$E,5,FALSE)</f>
        <v>SMB</v>
      </c>
      <c r="O1749" s="18">
        <f>VLOOKUP(C1749,Customers!$A:$C,3,FALSE)</f>
        <v>29</v>
      </c>
      <c r="P1749" s="18" t="str">
        <f>VLOOKUP(E1748,Sales_Reps!$A:$C,3,FALSE)</f>
        <v>South</v>
      </c>
      <c r="Q1749" s="18" t="str">
        <f>TEXT(B1748,"MMM-YY")</f>
        <v>Apr-24</v>
      </c>
      <c r="R1749">
        <f>VLOOKUP(D1749, Products!A:D, 4, FALSE)</f>
        <v>2214</v>
      </c>
      <c r="S1749">
        <f>(G1749-R1749)/G1749</f>
        <v>0.39508196721311473</v>
      </c>
    </row>
    <row r="1750" spans="1:19" ht="14.25" hidden="1" customHeight="1" x14ac:dyDescent="0.3">
      <c r="A1750" s="8" t="s">
        <v>2787</v>
      </c>
      <c r="B1750" s="9">
        <v>45469</v>
      </c>
      <c r="C1750" s="8" t="s">
        <v>584</v>
      </c>
      <c r="D1750" s="8" t="s">
        <v>867</v>
      </c>
      <c r="E1750" s="8" t="s">
        <v>135</v>
      </c>
      <c r="F1750" s="10">
        <v>7</v>
      </c>
      <c r="G1750" s="10">
        <v>3020</v>
      </c>
      <c r="H1750" s="10">
        <v>17.8</v>
      </c>
      <c r="I1750" s="10">
        <v>17377.080000000002</v>
      </c>
      <c r="J1750" s="8" t="s">
        <v>41</v>
      </c>
      <c r="K1750" s="8" t="s">
        <v>146</v>
      </c>
      <c r="L1750" s="18" t="str">
        <f>VLOOKUP(D1750,Products!$A:$C,3,FALSE)</f>
        <v>Beauty</v>
      </c>
      <c r="N1750" s="18" t="str">
        <f>VLOOKUP(C1750,Customers!$A:$E,5,FALSE)</f>
        <v>Retail</v>
      </c>
      <c r="O1750" s="18">
        <f>VLOOKUP(C1750,Customers!$A:$C,3,FALSE)</f>
        <v>53</v>
      </c>
    </row>
    <row r="1751" spans="1:19" ht="14.25" hidden="1" customHeight="1" x14ac:dyDescent="0.3">
      <c r="A1751" s="8" t="s">
        <v>2788</v>
      </c>
      <c r="B1751" s="9">
        <v>45587</v>
      </c>
      <c r="C1751" s="8" t="s">
        <v>656</v>
      </c>
      <c r="D1751" s="8" t="s">
        <v>224</v>
      </c>
      <c r="E1751" s="8" t="s">
        <v>117</v>
      </c>
      <c r="F1751" s="10">
        <v>7</v>
      </c>
      <c r="G1751" s="10">
        <v>1080</v>
      </c>
      <c r="H1751" s="10">
        <v>12.9</v>
      </c>
      <c r="I1751" s="10">
        <v>6584.76</v>
      </c>
      <c r="J1751" s="8" t="s">
        <v>41</v>
      </c>
      <c r="K1751" s="8" t="s">
        <v>136</v>
      </c>
      <c r="L1751" s="18" t="str">
        <f>VLOOKUP(D1751,Products!$A:$C,3,FALSE)</f>
        <v>Home</v>
      </c>
      <c r="N1751" s="18" t="str">
        <f>VLOOKUP(C1751,Customers!$A:$E,5,FALSE)</f>
        <v>Retail</v>
      </c>
      <c r="O1751" s="18">
        <f>VLOOKUP(C1751,Customers!$A:$C,3,FALSE)</f>
        <v>54</v>
      </c>
    </row>
    <row r="1752" spans="1:19" ht="14.25" hidden="1" customHeight="1" x14ac:dyDescent="0.3">
      <c r="A1752" s="8" t="s">
        <v>2789</v>
      </c>
      <c r="B1752" s="9">
        <v>45494</v>
      </c>
      <c r="C1752" s="8" t="s">
        <v>273</v>
      </c>
      <c r="D1752" s="8" t="s">
        <v>691</v>
      </c>
      <c r="E1752" s="8" t="s">
        <v>189</v>
      </c>
      <c r="F1752" s="10">
        <v>2</v>
      </c>
      <c r="G1752" s="10">
        <v>2270</v>
      </c>
      <c r="H1752" s="10">
        <v>8.6</v>
      </c>
      <c r="I1752" s="10">
        <v>4149.5600000000004</v>
      </c>
      <c r="J1752" s="8" t="s">
        <v>147</v>
      </c>
      <c r="K1752" s="8" t="s">
        <v>146</v>
      </c>
      <c r="L1752" s="18" t="str">
        <f>VLOOKUP(D1752,Products!$A:$C,3,FALSE)</f>
        <v>Grocery</v>
      </c>
      <c r="N1752" s="18" t="str">
        <f>VLOOKUP(C1752,Customers!$A:$E,5,FALSE)</f>
        <v>SMB</v>
      </c>
      <c r="O1752" s="18">
        <f>VLOOKUP(C1752,Customers!$A:$C,3,FALSE)</f>
        <v>61</v>
      </c>
    </row>
    <row r="1753" spans="1:19" ht="14.25" hidden="1" customHeight="1" x14ac:dyDescent="0.3">
      <c r="A1753" s="8" t="s">
        <v>2790</v>
      </c>
      <c r="B1753" s="9">
        <v>45445</v>
      </c>
      <c r="C1753" s="8" t="s">
        <v>292</v>
      </c>
      <c r="D1753" s="8" t="s">
        <v>896</v>
      </c>
      <c r="E1753" s="8" t="s">
        <v>189</v>
      </c>
      <c r="F1753" s="10">
        <v>10</v>
      </c>
      <c r="G1753" s="10">
        <v>620</v>
      </c>
      <c r="H1753" s="10">
        <v>26.1</v>
      </c>
      <c r="I1753" s="10">
        <v>4581.8</v>
      </c>
      <c r="J1753" s="8" t="s">
        <v>41</v>
      </c>
      <c r="K1753" s="8" t="s">
        <v>42</v>
      </c>
      <c r="L1753" s="18" t="str">
        <f>VLOOKUP(D1753,Products!$A:$C,3,FALSE)</f>
        <v>Apparel</v>
      </c>
      <c r="N1753" s="18" t="str">
        <f>VLOOKUP(C1753,Customers!$A:$E,5,FALSE)</f>
        <v>SMB</v>
      </c>
      <c r="O1753" s="18">
        <f>VLOOKUP(C1753,Customers!$A:$C,3,FALSE)</f>
        <v>54</v>
      </c>
    </row>
    <row r="1754" spans="1:19" ht="14.25" hidden="1" customHeight="1" x14ac:dyDescent="0.3">
      <c r="A1754" s="8" t="s">
        <v>2791</v>
      </c>
      <c r="B1754" s="9">
        <v>45561</v>
      </c>
      <c r="C1754" s="8" t="s">
        <v>796</v>
      </c>
      <c r="D1754" s="8" t="s">
        <v>912</v>
      </c>
      <c r="E1754" s="8" t="s">
        <v>301</v>
      </c>
      <c r="F1754" s="10">
        <v>2</v>
      </c>
      <c r="G1754" s="10">
        <v>4060</v>
      </c>
      <c r="H1754" s="10">
        <v>3.8</v>
      </c>
      <c r="I1754" s="10">
        <v>7811.44</v>
      </c>
      <c r="J1754" s="8" t="s">
        <v>41</v>
      </c>
      <c r="K1754" s="8" t="s">
        <v>146</v>
      </c>
      <c r="L1754" s="18" t="str">
        <f>VLOOKUP(D1754,Products!$A:$C,3,FALSE)</f>
        <v>Grocery</v>
      </c>
      <c r="N1754" s="18" t="str">
        <f>VLOOKUP(C1754,Customers!$A:$E,5,FALSE)</f>
        <v>Retail</v>
      </c>
      <c r="O1754" s="18">
        <f>VLOOKUP(C1754,Customers!$A:$C,3,FALSE)</f>
        <v>52</v>
      </c>
    </row>
    <row r="1755" spans="1:19" ht="14.25" customHeight="1" x14ac:dyDescent="0.3">
      <c r="A1755" s="8" t="s">
        <v>2792</v>
      </c>
      <c r="B1755" s="21">
        <v>45488</v>
      </c>
      <c r="C1755" s="8" t="s">
        <v>829</v>
      </c>
      <c r="D1755" s="8" t="s">
        <v>624</v>
      </c>
      <c r="E1755" s="8" t="s">
        <v>189</v>
      </c>
      <c r="F1755" s="10">
        <v>1</v>
      </c>
      <c r="G1755" s="10">
        <v>3780</v>
      </c>
      <c r="H1755" s="10">
        <v>27.9</v>
      </c>
      <c r="I1755" s="10">
        <v>2725.38</v>
      </c>
      <c r="J1755" s="8" t="s">
        <v>41</v>
      </c>
      <c r="K1755" s="8" t="s">
        <v>178</v>
      </c>
      <c r="L1755" s="18" t="str">
        <f>VLOOKUP(D1755,Products!$A:$C,3,FALSE)</f>
        <v>Grocery</v>
      </c>
      <c r="N1755" s="18" t="str">
        <f>VLOOKUP(C1755,Customers!$A:$E,5,FALSE)</f>
        <v>Corporate</v>
      </c>
      <c r="O1755" s="18">
        <f>VLOOKUP(C1755,Customers!$A:$C,3,FALSE)</f>
        <v>29</v>
      </c>
      <c r="P1755" s="18" t="str">
        <f>VLOOKUP(E1754,Sales_Reps!$A:$C,3,FALSE)</f>
        <v>South</v>
      </c>
      <c r="Q1755" s="18" t="str">
        <f>TEXT(B1754,"MMM-YY")</f>
        <v>Sep-24</v>
      </c>
      <c r="R1755">
        <f>VLOOKUP(D1755, Products!A:D, 4, FALSE)</f>
        <v>2436</v>
      </c>
      <c r="S1755">
        <f>(G1755-R1755)/G1755</f>
        <v>0.35555555555555557</v>
      </c>
    </row>
    <row r="1756" spans="1:19" ht="14.25" hidden="1" customHeight="1" x14ac:dyDescent="0.3">
      <c r="A1756" s="8" t="s">
        <v>2793</v>
      </c>
      <c r="B1756" s="9">
        <v>45617</v>
      </c>
      <c r="C1756" s="8" t="s">
        <v>672</v>
      </c>
      <c r="D1756" s="8" t="s">
        <v>909</v>
      </c>
      <c r="E1756" s="8" t="s">
        <v>196</v>
      </c>
      <c r="F1756" s="10">
        <v>8</v>
      </c>
      <c r="G1756" s="10">
        <v>2380</v>
      </c>
      <c r="H1756" s="10">
        <v>3.8</v>
      </c>
      <c r="I1756" s="10">
        <v>18316.48</v>
      </c>
      <c r="J1756" s="8" t="s">
        <v>41</v>
      </c>
      <c r="K1756" s="8" t="s">
        <v>119</v>
      </c>
      <c r="L1756" s="18" t="str">
        <f>VLOOKUP(D1756,Products!$A:$C,3,FALSE)</f>
        <v>Grocery</v>
      </c>
      <c r="N1756" s="18" t="str">
        <f>VLOOKUP(C1756,Customers!$A:$E,5,FALSE)</f>
        <v>SMB</v>
      </c>
      <c r="O1756" s="18">
        <f>VLOOKUP(C1756,Customers!$A:$C,3,FALSE)</f>
        <v>55</v>
      </c>
    </row>
    <row r="1757" spans="1:19" ht="14.25" customHeight="1" x14ac:dyDescent="0.3">
      <c r="A1757" s="8" t="s">
        <v>2794</v>
      </c>
      <c r="B1757" s="21">
        <v>45378</v>
      </c>
      <c r="C1757" s="8" t="s">
        <v>605</v>
      </c>
      <c r="D1757" s="8" t="s">
        <v>818</v>
      </c>
      <c r="E1757" s="8" t="s">
        <v>153</v>
      </c>
      <c r="F1757" s="10">
        <v>7</v>
      </c>
      <c r="G1757" s="10">
        <v>4070</v>
      </c>
      <c r="H1757" s="10">
        <v>0.3</v>
      </c>
      <c r="I1757" s="10">
        <v>28404.53</v>
      </c>
      <c r="J1757" s="8" t="s">
        <v>41</v>
      </c>
      <c r="K1757" s="8" t="s">
        <v>98</v>
      </c>
      <c r="L1757" s="18" t="str">
        <f>VLOOKUP(D1757,Products!$A:$C,3,FALSE)</f>
        <v>Grocery</v>
      </c>
      <c r="N1757" s="18" t="str">
        <f>VLOOKUP(C1757,Customers!$A:$E,5,FALSE)</f>
        <v>Retail</v>
      </c>
      <c r="O1757" s="18">
        <f>VLOOKUP(C1757,Customers!$A:$C,3,FALSE)</f>
        <v>38</v>
      </c>
      <c r="P1757" s="18" t="str">
        <f>VLOOKUP(E1756,Sales_Reps!$A:$C,3,FALSE)</f>
        <v>East</v>
      </c>
      <c r="Q1757" s="18" t="str">
        <f t="shared" ref="Q1757:Q1759" si="348">TEXT(B1756,"MMM-YY")</f>
        <v>Nov-24</v>
      </c>
      <c r="R1757">
        <f>VLOOKUP(D1757, Products!A:D, 4, FALSE)</f>
        <v>2027</v>
      </c>
      <c r="S1757">
        <f t="shared" ref="S1757:S1759" si="349">(G1757-R1757)/G1757</f>
        <v>0.50196560196560192</v>
      </c>
    </row>
    <row r="1758" spans="1:19" ht="14.25" customHeight="1" x14ac:dyDescent="0.3">
      <c r="A1758" s="8" t="s">
        <v>2795</v>
      </c>
      <c r="B1758" s="21">
        <v>45459</v>
      </c>
      <c r="C1758" s="8" t="s">
        <v>515</v>
      </c>
      <c r="D1758" s="8" t="s">
        <v>181</v>
      </c>
      <c r="E1758" s="8" t="s">
        <v>321</v>
      </c>
      <c r="F1758" s="10">
        <v>6</v>
      </c>
      <c r="G1758" s="10">
        <v>2640</v>
      </c>
      <c r="H1758" s="10">
        <v>3.4</v>
      </c>
      <c r="I1758" s="10">
        <v>15301.44</v>
      </c>
      <c r="J1758" s="8" t="s">
        <v>41</v>
      </c>
      <c r="K1758" s="8" t="s">
        <v>146</v>
      </c>
      <c r="L1758" s="18" t="str">
        <f>VLOOKUP(D1758,Products!$A:$C,3,FALSE)</f>
        <v>Electronics</v>
      </c>
      <c r="N1758" s="18" t="str">
        <f>VLOOKUP(C1758,Customers!$A:$E,5,FALSE)</f>
        <v>Retail</v>
      </c>
      <c r="O1758" s="18">
        <f>VLOOKUP(C1758,Customers!$A:$C,3,FALSE)</f>
        <v>29</v>
      </c>
      <c r="P1758" s="18" t="str">
        <f>VLOOKUP(E1757,Sales_Reps!$A:$C,3,FALSE)</f>
        <v>West</v>
      </c>
      <c r="Q1758" s="18" t="str">
        <f t="shared" si="348"/>
        <v>Mar-24</v>
      </c>
      <c r="R1758">
        <f>VLOOKUP(D1758, Products!A:D, 4, FALSE)</f>
        <v>1149</v>
      </c>
      <c r="S1758">
        <f t="shared" si="349"/>
        <v>0.56477272727272732</v>
      </c>
    </row>
    <row r="1759" spans="1:19" ht="14.25" customHeight="1" x14ac:dyDescent="0.3">
      <c r="A1759" s="8" t="s">
        <v>2796</v>
      </c>
      <c r="B1759" s="21">
        <v>45377</v>
      </c>
      <c r="C1759" s="8" t="s">
        <v>258</v>
      </c>
      <c r="D1759" s="8" t="s">
        <v>964</v>
      </c>
      <c r="E1759" s="8" t="s">
        <v>143</v>
      </c>
      <c r="F1759" s="10">
        <v>10</v>
      </c>
      <c r="G1759" s="10">
        <v>3780</v>
      </c>
      <c r="H1759" s="10">
        <v>13.3</v>
      </c>
      <c r="I1759" s="10">
        <v>32772.6</v>
      </c>
      <c r="J1759" s="8" t="s">
        <v>41</v>
      </c>
      <c r="K1759" s="8" t="s">
        <v>119</v>
      </c>
      <c r="L1759" s="18" t="str">
        <f>VLOOKUP(D1759,Products!$A:$C,3,FALSE)</f>
        <v>Sports</v>
      </c>
      <c r="N1759" s="18" t="str">
        <f>VLOOKUP(C1759,Customers!$A:$E,5,FALSE)</f>
        <v>Retail</v>
      </c>
      <c r="O1759" s="18">
        <f>VLOOKUP(C1759,Customers!$A:$C,3,FALSE)</f>
        <v>31</v>
      </c>
      <c r="P1759" s="18" t="str">
        <f>VLOOKUP(E1758,Sales_Reps!$A:$C,3,FALSE)</f>
        <v>East</v>
      </c>
      <c r="Q1759" s="18" t="str">
        <f t="shared" si="348"/>
        <v>Jun-24</v>
      </c>
      <c r="R1759">
        <f>VLOOKUP(D1759, Products!A:D, 4, FALSE)</f>
        <v>1860</v>
      </c>
      <c r="S1759">
        <f t="shared" si="349"/>
        <v>0.50793650793650791</v>
      </c>
    </row>
    <row r="1760" spans="1:19" ht="14.25" hidden="1" customHeight="1" x14ac:dyDescent="0.3">
      <c r="A1760" s="8" t="s">
        <v>2797</v>
      </c>
      <c r="B1760" s="9">
        <v>45302</v>
      </c>
      <c r="C1760" s="8" t="s">
        <v>379</v>
      </c>
      <c r="D1760" s="8" t="s">
        <v>247</v>
      </c>
      <c r="E1760" s="8" t="s">
        <v>214</v>
      </c>
      <c r="F1760" s="10">
        <v>9</v>
      </c>
      <c r="G1760" s="10">
        <v>3350</v>
      </c>
      <c r="H1760" s="10">
        <v>12.8</v>
      </c>
      <c r="I1760" s="10">
        <v>26290.799999999999</v>
      </c>
      <c r="J1760" s="8" t="s">
        <v>41</v>
      </c>
      <c r="K1760" s="8" t="s">
        <v>146</v>
      </c>
      <c r="L1760" s="18" t="str">
        <f>VLOOKUP(D1760,Products!$A:$C,3,FALSE)</f>
        <v>Beauty</v>
      </c>
      <c r="N1760" s="18" t="str">
        <f>VLOOKUP(C1760,Customers!$A:$E,5,FALSE)</f>
        <v>Corporate</v>
      </c>
      <c r="O1760" s="18">
        <f>VLOOKUP(C1760,Customers!$A:$C,3,FALSE)</f>
        <v>62</v>
      </c>
    </row>
    <row r="1761" spans="1:19" ht="14.25" customHeight="1" x14ac:dyDescent="0.3">
      <c r="A1761" s="8" t="s">
        <v>2798</v>
      </c>
      <c r="B1761" s="21">
        <v>45459</v>
      </c>
      <c r="C1761" s="8" t="s">
        <v>592</v>
      </c>
      <c r="D1761" s="8" t="s">
        <v>134</v>
      </c>
      <c r="E1761" s="8" t="s">
        <v>153</v>
      </c>
      <c r="F1761" s="10">
        <v>7</v>
      </c>
      <c r="G1761" s="10">
        <v>3160</v>
      </c>
      <c r="H1761" s="10">
        <v>15.3</v>
      </c>
      <c r="I1761" s="10">
        <v>18735.64</v>
      </c>
      <c r="J1761" s="8" t="s">
        <v>41</v>
      </c>
      <c r="K1761" s="8" t="s">
        <v>42</v>
      </c>
      <c r="L1761" s="18" t="str">
        <f>VLOOKUP(D1761,Products!$A:$C,3,FALSE)</f>
        <v>Apparel</v>
      </c>
      <c r="N1761" s="18" t="str">
        <f>VLOOKUP(C1761,Customers!$A:$E,5,FALSE)</f>
        <v>SMB</v>
      </c>
      <c r="O1761" s="18">
        <f>VLOOKUP(C1761,Customers!$A:$C,3,FALSE)</f>
        <v>35</v>
      </c>
      <c r="P1761" s="18" t="str">
        <f>VLOOKUP(E1760,Sales_Reps!$A:$C,3,FALSE)</f>
        <v>South</v>
      </c>
      <c r="Q1761" s="18" t="str">
        <f t="shared" ref="Q1761:Q1762" si="350">TEXT(B1760,"MMM-YY")</f>
        <v>Jan-24</v>
      </c>
      <c r="R1761">
        <f>VLOOKUP(D1761, Products!A:D, 4, FALSE)</f>
        <v>1886</v>
      </c>
      <c r="S1761">
        <f t="shared" ref="S1761:S1762" si="351">(G1761-R1761)/G1761</f>
        <v>0.4031645569620253</v>
      </c>
    </row>
    <row r="1762" spans="1:19" ht="14.25" customHeight="1" x14ac:dyDescent="0.3">
      <c r="A1762" s="8" t="s">
        <v>2799</v>
      </c>
      <c r="B1762" s="21">
        <v>45428</v>
      </c>
      <c r="C1762" s="8" t="s">
        <v>533</v>
      </c>
      <c r="D1762" s="8" t="s">
        <v>338</v>
      </c>
      <c r="E1762" s="8" t="s">
        <v>185</v>
      </c>
      <c r="F1762" s="10">
        <v>6</v>
      </c>
      <c r="G1762" s="10">
        <v>2860</v>
      </c>
      <c r="H1762" s="10">
        <v>17.5</v>
      </c>
      <c r="I1762" s="10">
        <v>14157</v>
      </c>
      <c r="J1762" s="8" t="s">
        <v>41</v>
      </c>
      <c r="K1762" s="8" t="s">
        <v>136</v>
      </c>
      <c r="L1762" s="18" t="str">
        <f>VLOOKUP(D1762,Products!$A:$C,3,FALSE)</f>
        <v>Sports</v>
      </c>
      <c r="N1762" s="18" t="str">
        <f>VLOOKUP(C1762,Customers!$A:$E,5,FALSE)</f>
        <v>SMB</v>
      </c>
      <c r="O1762" s="18">
        <f>VLOOKUP(C1762,Customers!$A:$C,3,FALSE)</f>
        <v>36</v>
      </c>
      <c r="P1762" s="18" t="str">
        <f>VLOOKUP(E1761,Sales_Reps!$A:$C,3,FALSE)</f>
        <v>West</v>
      </c>
      <c r="Q1762" s="18" t="str">
        <f t="shared" si="350"/>
        <v>Jun-24</v>
      </c>
      <c r="R1762">
        <f>VLOOKUP(D1762, Products!A:D, 4, FALSE)</f>
        <v>2028</v>
      </c>
      <c r="S1762">
        <f t="shared" si="351"/>
        <v>0.29090909090909089</v>
      </c>
    </row>
    <row r="1763" spans="1:19" ht="14.25" hidden="1" customHeight="1" x14ac:dyDescent="0.3">
      <c r="A1763" s="8" t="s">
        <v>2800</v>
      </c>
      <c r="B1763" s="9">
        <v>45341</v>
      </c>
      <c r="C1763" s="8" t="s">
        <v>324</v>
      </c>
      <c r="D1763" s="8" t="s">
        <v>154</v>
      </c>
      <c r="E1763" s="8" t="s">
        <v>177</v>
      </c>
      <c r="F1763" s="10">
        <v>9</v>
      </c>
      <c r="G1763" s="10">
        <v>300</v>
      </c>
      <c r="H1763" s="10">
        <v>25.2</v>
      </c>
      <c r="I1763" s="10">
        <v>2019.6</v>
      </c>
      <c r="J1763" s="8" t="s">
        <v>41</v>
      </c>
      <c r="K1763" s="8" t="s">
        <v>136</v>
      </c>
      <c r="L1763" s="18" t="str">
        <f>VLOOKUP(D1763,Products!$A:$C,3,FALSE)</f>
        <v>Electronics</v>
      </c>
      <c r="N1763" s="18" t="str">
        <f>VLOOKUP(C1763,Customers!$A:$E,5,FALSE)</f>
        <v>Corporate</v>
      </c>
      <c r="O1763" s="18">
        <f>VLOOKUP(C1763,Customers!$A:$C,3,FALSE)</f>
        <v>43</v>
      </c>
    </row>
    <row r="1764" spans="1:19" ht="14.25" customHeight="1" x14ac:dyDescent="0.3">
      <c r="A1764" s="8" t="s">
        <v>2801</v>
      </c>
      <c r="B1764" s="21">
        <v>45296</v>
      </c>
      <c r="C1764" s="8" t="s">
        <v>692</v>
      </c>
      <c r="D1764" s="8" t="s">
        <v>199</v>
      </c>
      <c r="E1764" s="8" t="s">
        <v>321</v>
      </c>
      <c r="F1764" s="10">
        <v>5</v>
      </c>
      <c r="G1764" s="10">
        <v>190</v>
      </c>
      <c r="H1764" s="10">
        <v>1.8</v>
      </c>
      <c r="I1764" s="10">
        <v>932.9</v>
      </c>
      <c r="J1764" s="8" t="s">
        <v>41</v>
      </c>
      <c r="K1764" s="8" t="s">
        <v>42</v>
      </c>
      <c r="L1764" s="18" t="str">
        <f>VLOOKUP(D1764,Products!$A:$C,3,FALSE)</f>
        <v>Sports</v>
      </c>
      <c r="N1764" s="18" t="str">
        <f>VLOOKUP(C1764,Customers!$A:$E,5,FALSE)</f>
        <v>Corporate</v>
      </c>
      <c r="O1764" s="18">
        <f>VLOOKUP(C1764,Customers!$A:$C,3,FALSE)</f>
        <v>29</v>
      </c>
      <c r="P1764" s="18" t="str">
        <f>VLOOKUP(E1763,Sales_Reps!$A:$C,3,FALSE)</f>
        <v>South</v>
      </c>
      <c r="Q1764" s="18" t="str">
        <f>TEXT(B1763,"MMM-YY")</f>
        <v>Feb-24</v>
      </c>
      <c r="R1764">
        <f>VLOOKUP(D1764, Products!A:D, 4, FALSE)</f>
        <v>147</v>
      </c>
      <c r="S1764">
        <f>(G1764-R1764)/G1764</f>
        <v>0.22631578947368422</v>
      </c>
    </row>
    <row r="1765" spans="1:19" ht="14.25" hidden="1" customHeight="1" x14ac:dyDescent="0.3">
      <c r="A1765" s="8" t="s">
        <v>2802</v>
      </c>
      <c r="B1765" s="9">
        <v>45533</v>
      </c>
      <c r="C1765" s="8" t="s">
        <v>627</v>
      </c>
      <c r="D1765" s="8" t="s">
        <v>260</v>
      </c>
      <c r="E1765" s="8" t="s">
        <v>216</v>
      </c>
      <c r="F1765" s="10">
        <v>7</v>
      </c>
      <c r="G1765" s="10">
        <v>1010</v>
      </c>
      <c r="H1765" s="10">
        <v>11.2</v>
      </c>
      <c r="I1765" s="10">
        <v>6278.16</v>
      </c>
      <c r="J1765" s="8" t="s">
        <v>41</v>
      </c>
      <c r="K1765" s="8" t="s">
        <v>42</v>
      </c>
      <c r="L1765" s="18" t="str">
        <f>VLOOKUP(D1765,Products!$A:$C,3,FALSE)</f>
        <v>Sports</v>
      </c>
      <c r="N1765" s="18" t="str">
        <f>VLOOKUP(C1765,Customers!$A:$E,5,FALSE)</f>
        <v>Retail</v>
      </c>
      <c r="O1765" s="18">
        <f>VLOOKUP(C1765,Customers!$A:$C,3,FALSE)</f>
        <v>65</v>
      </c>
    </row>
    <row r="1766" spans="1:19" ht="14.25" hidden="1" customHeight="1" x14ac:dyDescent="0.3">
      <c r="A1766" s="8" t="s">
        <v>2803</v>
      </c>
      <c r="B1766" s="9">
        <v>45515</v>
      </c>
      <c r="C1766" s="8" t="s">
        <v>519</v>
      </c>
      <c r="D1766" s="8" t="s">
        <v>219</v>
      </c>
      <c r="E1766" s="8" t="s">
        <v>231</v>
      </c>
      <c r="F1766" s="10">
        <v>8</v>
      </c>
      <c r="G1766" s="10">
        <v>3450</v>
      </c>
      <c r="H1766" s="10">
        <v>8.4</v>
      </c>
      <c r="I1766" s="10">
        <v>25281.599999999999</v>
      </c>
      <c r="J1766" s="8" t="s">
        <v>41</v>
      </c>
      <c r="K1766" s="8" t="s">
        <v>119</v>
      </c>
      <c r="L1766" s="18" t="str">
        <f>VLOOKUP(D1766,Products!$A:$C,3,FALSE)</f>
        <v>Sports</v>
      </c>
      <c r="N1766" s="18" t="str">
        <f>VLOOKUP(C1766,Customers!$A:$E,5,FALSE)</f>
        <v>SMB</v>
      </c>
      <c r="O1766" s="18">
        <f>VLOOKUP(C1766,Customers!$A:$C,3,FALSE)</f>
        <v>50</v>
      </c>
    </row>
    <row r="1767" spans="1:19" ht="14.25" hidden="1" customHeight="1" x14ac:dyDescent="0.3">
      <c r="A1767" s="8" t="s">
        <v>2804</v>
      </c>
      <c r="B1767" s="9">
        <v>45597</v>
      </c>
      <c r="C1767" s="8" t="s">
        <v>264</v>
      </c>
      <c r="D1767" s="8" t="s">
        <v>154</v>
      </c>
      <c r="E1767" s="8" t="s">
        <v>231</v>
      </c>
      <c r="F1767" s="10">
        <v>3</v>
      </c>
      <c r="G1767" s="10">
        <v>300</v>
      </c>
      <c r="H1767" s="10">
        <v>7.5</v>
      </c>
      <c r="I1767" s="10">
        <v>832.5</v>
      </c>
      <c r="J1767" s="8" t="s">
        <v>193</v>
      </c>
      <c r="K1767" s="8" t="s">
        <v>98</v>
      </c>
      <c r="L1767" s="18" t="str">
        <f>VLOOKUP(D1767,Products!$A:$C,3,FALSE)</f>
        <v>Electronics</v>
      </c>
      <c r="N1767" s="18" t="str">
        <f>VLOOKUP(C1767,Customers!$A:$E,5,FALSE)</f>
        <v>Corporate</v>
      </c>
      <c r="O1767" s="18">
        <f>VLOOKUP(C1767,Customers!$A:$C,3,FALSE)</f>
        <v>52</v>
      </c>
    </row>
    <row r="1768" spans="1:19" ht="14.25" hidden="1" customHeight="1" x14ac:dyDescent="0.3">
      <c r="A1768" s="8" t="s">
        <v>2805</v>
      </c>
      <c r="B1768" s="9">
        <v>45370</v>
      </c>
      <c r="C1768" s="8" t="s">
        <v>463</v>
      </c>
      <c r="D1768" s="8" t="s">
        <v>569</v>
      </c>
      <c r="E1768" s="8" t="s">
        <v>167</v>
      </c>
      <c r="F1768" s="10">
        <v>4</v>
      </c>
      <c r="G1768" s="10">
        <v>3730</v>
      </c>
      <c r="H1768" s="10">
        <v>24.8</v>
      </c>
      <c r="I1768" s="10">
        <v>11219.84</v>
      </c>
      <c r="J1768" s="8" t="s">
        <v>41</v>
      </c>
      <c r="K1768" s="8" t="s">
        <v>146</v>
      </c>
      <c r="L1768" s="18" t="str">
        <f>VLOOKUP(D1768,Products!$A:$C,3,FALSE)</f>
        <v>Home</v>
      </c>
      <c r="N1768" s="18" t="str">
        <f>VLOOKUP(C1768,Customers!$A:$E,5,FALSE)</f>
        <v>SMB</v>
      </c>
      <c r="O1768" s="18">
        <f>VLOOKUP(C1768,Customers!$A:$C,3,FALSE)</f>
        <v>54</v>
      </c>
    </row>
    <row r="1769" spans="1:19" ht="14.25" hidden="1" customHeight="1" x14ac:dyDescent="0.3">
      <c r="A1769" s="8" t="s">
        <v>2806</v>
      </c>
      <c r="B1769" s="9">
        <v>45462</v>
      </c>
      <c r="C1769" s="8" t="s">
        <v>246</v>
      </c>
      <c r="D1769" s="8" t="s">
        <v>205</v>
      </c>
      <c r="E1769" s="8" t="s">
        <v>321</v>
      </c>
      <c r="F1769" s="10">
        <v>5</v>
      </c>
      <c r="G1769" s="10">
        <v>2400</v>
      </c>
      <c r="H1769" s="10">
        <v>9.1999999999999993</v>
      </c>
      <c r="I1769" s="10">
        <v>10896</v>
      </c>
      <c r="J1769" s="8" t="s">
        <v>41</v>
      </c>
      <c r="K1769" s="8" t="s">
        <v>98</v>
      </c>
      <c r="L1769" s="18" t="str">
        <f>VLOOKUP(D1769,Products!$A:$C,3,FALSE)</f>
        <v>Sports</v>
      </c>
      <c r="N1769" s="18" t="str">
        <f>VLOOKUP(C1769,Customers!$A:$E,5,FALSE)</f>
        <v>Corporate</v>
      </c>
      <c r="O1769" s="18">
        <f>VLOOKUP(C1769,Customers!$A:$C,3,FALSE)</f>
        <v>55</v>
      </c>
    </row>
    <row r="1770" spans="1:19" ht="14.25" hidden="1" customHeight="1" x14ac:dyDescent="0.3">
      <c r="A1770" s="8" t="s">
        <v>2807</v>
      </c>
      <c r="B1770" s="9">
        <v>45609</v>
      </c>
      <c r="C1770" s="8" t="s">
        <v>317</v>
      </c>
      <c r="D1770" s="8" t="s">
        <v>374</v>
      </c>
      <c r="E1770" s="8" t="s">
        <v>231</v>
      </c>
      <c r="F1770" s="10">
        <v>3</v>
      </c>
      <c r="G1770" s="10">
        <v>2760</v>
      </c>
      <c r="H1770" s="10">
        <v>2.4</v>
      </c>
      <c r="I1770" s="10">
        <v>8081.28</v>
      </c>
      <c r="J1770" s="8" t="s">
        <v>41</v>
      </c>
      <c r="K1770" s="8" t="s">
        <v>136</v>
      </c>
      <c r="L1770" s="18" t="str">
        <f>VLOOKUP(D1770,Products!$A:$C,3,FALSE)</f>
        <v>Grocery</v>
      </c>
      <c r="N1770" s="18" t="str">
        <f>VLOOKUP(C1770,Customers!$A:$E,5,FALSE)</f>
        <v>Retail</v>
      </c>
      <c r="O1770" s="18">
        <f>VLOOKUP(C1770,Customers!$A:$C,3,FALSE)</f>
        <v>59</v>
      </c>
    </row>
    <row r="1771" spans="1:19" ht="14.25" customHeight="1" x14ac:dyDescent="0.3">
      <c r="A1771" s="8" t="s">
        <v>1359</v>
      </c>
      <c r="B1771" s="21">
        <v>45548</v>
      </c>
      <c r="C1771" s="8" t="s">
        <v>173</v>
      </c>
      <c r="D1771" s="8" t="s">
        <v>116</v>
      </c>
      <c r="E1771" s="8" t="s">
        <v>214</v>
      </c>
      <c r="F1771" s="10">
        <v>8</v>
      </c>
      <c r="G1771" s="10">
        <v>470</v>
      </c>
      <c r="H1771" s="10">
        <v>24.8</v>
      </c>
      <c r="I1771" s="10">
        <v>2827.52</v>
      </c>
      <c r="J1771" s="8" t="s">
        <v>97</v>
      </c>
      <c r="K1771" s="8" t="s">
        <v>178</v>
      </c>
      <c r="L1771" s="18" t="str">
        <f>VLOOKUP(D1771,Products!$A:$C,3,FALSE)</f>
        <v>Sports</v>
      </c>
      <c r="N1771" s="18" t="str">
        <f>VLOOKUP(C1771,Customers!$A:$E,5,FALSE)</f>
        <v>Retail</v>
      </c>
      <c r="O1771" s="18">
        <f>VLOOKUP(C1771,Customers!$A:$C,3,FALSE)</f>
        <v>26</v>
      </c>
      <c r="P1771" s="18" t="str">
        <f>VLOOKUP(E1770,Sales_Reps!$A:$C,3,FALSE)</f>
        <v>North</v>
      </c>
      <c r="Q1771" s="18" t="str">
        <f>TEXT(B1770,"MMM-YY")</f>
        <v>Nov-24</v>
      </c>
      <c r="R1771">
        <f>VLOOKUP(D1771, Products!A:D, 4, FALSE)</f>
        <v>302</v>
      </c>
      <c r="S1771">
        <f>(G1771-R1771)/G1771</f>
        <v>0.35744680851063831</v>
      </c>
    </row>
    <row r="1772" spans="1:19" ht="14.25" hidden="1" customHeight="1" x14ac:dyDescent="0.3">
      <c r="A1772" s="8" t="s">
        <v>2808</v>
      </c>
      <c r="B1772" s="9">
        <v>45633</v>
      </c>
      <c r="C1772" s="8" t="s">
        <v>740</v>
      </c>
      <c r="D1772" s="8" t="s">
        <v>116</v>
      </c>
      <c r="E1772" s="8" t="s">
        <v>619</v>
      </c>
      <c r="F1772" s="10">
        <v>3</v>
      </c>
      <c r="G1772" s="10">
        <v>470</v>
      </c>
      <c r="H1772" s="10">
        <v>18.600000000000001</v>
      </c>
      <c r="I1772" s="10">
        <v>1147.74</v>
      </c>
      <c r="J1772" s="8" t="s">
        <v>41</v>
      </c>
      <c r="K1772" s="8" t="s">
        <v>98</v>
      </c>
      <c r="L1772" s="18" t="str">
        <f>VLOOKUP(D1772,Products!$A:$C,3,FALSE)</f>
        <v>Sports</v>
      </c>
      <c r="N1772" s="18" t="str">
        <f>VLOOKUP(C1772,Customers!$A:$E,5,FALSE)</f>
        <v>Retail</v>
      </c>
      <c r="O1772" s="18">
        <f>VLOOKUP(C1772,Customers!$A:$C,3,FALSE)</f>
        <v>61</v>
      </c>
    </row>
    <row r="1773" spans="1:19" ht="14.25" hidden="1" customHeight="1" x14ac:dyDescent="0.3">
      <c r="A1773" s="8" t="s">
        <v>2809</v>
      </c>
      <c r="B1773" s="9">
        <v>45580</v>
      </c>
      <c r="C1773" s="8" t="s">
        <v>801</v>
      </c>
      <c r="D1773" s="8" t="s">
        <v>144</v>
      </c>
      <c r="E1773" s="8" t="s">
        <v>172</v>
      </c>
      <c r="F1773" s="10">
        <v>2</v>
      </c>
      <c r="G1773" s="10">
        <v>370</v>
      </c>
      <c r="H1773" s="10">
        <v>24</v>
      </c>
      <c r="I1773" s="10">
        <v>562.4</v>
      </c>
      <c r="J1773" s="8" t="s">
        <v>41</v>
      </c>
      <c r="K1773" s="8" t="s">
        <v>42</v>
      </c>
      <c r="L1773" s="18" t="str">
        <f>VLOOKUP(D1773,Products!$A:$C,3,FALSE)</f>
        <v>Home</v>
      </c>
      <c r="N1773" s="18" t="str">
        <f>VLOOKUP(C1773,Customers!$A:$E,5,FALSE)</f>
        <v>Retail</v>
      </c>
      <c r="O1773" s="18">
        <f>VLOOKUP(C1773,Customers!$A:$C,3,FALSE)</f>
        <v>59</v>
      </c>
    </row>
    <row r="1774" spans="1:19" ht="14.25" customHeight="1" x14ac:dyDescent="0.3">
      <c r="A1774" s="8" t="s">
        <v>2810</v>
      </c>
      <c r="B1774" s="21">
        <v>45329</v>
      </c>
      <c r="C1774" s="8" t="s">
        <v>515</v>
      </c>
      <c r="D1774" s="8" t="s">
        <v>918</v>
      </c>
      <c r="E1774" s="8" t="s">
        <v>231</v>
      </c>
      <c r="F1774" s="10">
        <v>6</v>
      </c>
      <c r="G1774" s="10">
        <v>2210</v>
      </c>
      <c r="H1774" s="10">
        <v>28.3</v>
      </c>
      <c r="I1774" s="10">
        <v>9507.42</v>
      </c>
      <c r="J1774" s="8" t="s">
        <v>147</v>
      </c>
      <c r="K1774" s="8" t="s">
        <v>146</v>
      </c>
      <c r="L1774" s="18" t="str">
        <f>VLOOKUP(D1774,Products!$A:$C,3,FALSE)</f>
        <v>Grocery</v>
      </c>
      <c r="N1774" s="18" t="str">
        <f>VLOOKUP(C1774,Customers!$A:$E,5,FALSE)</f>
        <v>Retail</v>
      </c>
      <c r="O1774" s="18">
        <f>VLOOKUP(C1774,Customers!$A:$C,3,FALSE)</f>
        <v>29</v>
      </c>
      <c r="P1774" s="18" t="str">
        <f>VLOOKUP(E1773,Sales_Reps!$A:$C,3,FALSE)</f>
        <v>West</v>
      </c>
      <c r="Q1774" s="18" t="str">
        <f>TEXT(B1773,"MMM-YY")</f>
        <v>Oct-24</v>
      </c>
      <c r="R1774">
        <f>VLOOKUP(D1774, Products!A:D, 4, FALSE)</f>
        <v>1010</v>
      </c>
      <c r="S1774">
        <f>(G1774-R1774)/G1774</f>
        <v>0.54298642533936647</v>
      </c>
    </row>
    <row r="1775" spans="1:19" ht="14.25" hidden="1" customHeight="1" x14ac:dyDescent="0.3">
      <c r="A1775" s="8" t="s">
        <v>2811</v>
      </c>
      <c r="B1775" s="9">
        <v>45549</v>
      </c>
      <c r="C1775" s="8" t="s">
        <v>652</v>
      </c>
      <c r="D1775" s="8" t="s">
        <v>959</v>
      </c>
      <c r="E1775" s="8" t="s">
        <v>261</v>
      </c>
      <c r="F1775" s="10">
        <v>3</v>
      </c>
      <c r="G1775" s="10">
        <v>6940</v>
      </c>
      <c r="H1775" s="10">
        <v>27.2</v>
      </c>
      <c r="I1775" s="10">
        <v>15156.96</v>
      </c>
      <c r="J1775" s="8" t="s">
        <v>193</v>
      </c>
      <c r="K1775" s="8" t="s">
        <v>178</v>
      </c>
      <c r="L1775" s="18" t="str">
        <f>VLOOKUP(D1775,Products!$A:$C,3,FALSE)</f>
        <v>Sports</v>
      </c>
      <c r="N1775" s="18" t="str">
        <f>VLOOKUP(C1775,Customers!$A:$E,5,FALSE)</f>
        <v>SMB</v>
      </c>
      <c r="O1775" s="18">
        <f>VLOOKUP(C1775,Customers!$A:$C,3,FALSE)</f>
        <v>43</v>
      </c>
    </row>
    <row r="1776" spans="1:19" ht="14.25" hidden="1" customHeight="1" x14ac:dyDescent="0.3">
      <c r="A1776" s="8" t="s">
        <v>2812</v>
      </c>
      <c r="B1776" s="9">
        <v>45423</v>
      </c>
      <c r="C1776" s="8" t="s">
        <v>631</v>
      </c>
      <c r="D1776" s="8" t="s">
        <v>924</v>
      </c>
      <c r="E1776" s="8" t="s">
        <v>167</v>
      </c>
      <c r="F1776" s="10">
        <v>10</v>
      </c>
      <c r="G1776" s="10">
        <v>2030</v>
      </c>
      <c r="H1776" s="10">
        <v>25.6</v>
      </c>
      <c r="I1776" s="10">
        <v>15103.2</v>
      </c>
      <c r="J1776" s="8" t="s">
        <v>41</v>
      </c>
      <c r="K1776" s="8" t="s">
        <v>42</v>
      </c>
      <c r="L1776" s="18" t="str">
        <f>VLOOKUP(D1776,Products!$A:$C,3,FALSE)</f>
        <v>Home</v>
      </c>
      <c r="N1776" s="18" t="str">
        <f>VLOOKUP(C1776,Customers!$A:$E,5,FALSE)</f>
        <v>Retail</v>
      </c>
      <c r="O1776" s="18">
        <f>VLOOKUP(C1776,Customers!$A:$C,3,FALSE)</f>
        <v>54</v>
      </c>
    </row>
    <row r="1777" spans="1:19" ht="14.25" hidden="1" customHeight="1" x14ac:dyDescent="0.3">
      <c r="A1777" s="8" t="s">
        <v>2813</v>
      </c>
      <c r="B1777" s="9">
        <v>45533</v>
      </c>
      <c r="C1777" s="8" t="s">
        <v>631</v>
      </c>
      <c r="D1777" s="8" t="s">
        <v>260</v>
      </c>
      <c r="E1777" s="8" t="s">
        <v>121</v>
      </c>
      <c r="F1777" s="10">
        <v>9</v>
      </c>
      <c r="G1777" s="10">
        <v>1010</v>
      </c>
      <c r="H1777" s="10">
        <v>9.3000000000000007</v>
      </c>
      <c r="I1777" s="10">
        <v>8244.6299999999992</v>
      </c>
      <c r="J1777" s="8" t="s">
        <v>41</v>
      </c>
      <c r="K1777" s="8" t="s">
        <v>42</v>
      </c>
      <c r="L1777" s="18" t="str">
        <f>VLOOKUP(D1777,Products!$A:$C,3,FALSE)</f>
        <v>Sports</v>
      </c>
      <c r="N1777" s="18" t="str">
        <f>VLOOKUP(C1777,Customers!$A:$E,5,FALSE)</f>
        <v>Retail</v>
      </c>
      <c r="O1777" s="18">
        <f>VLOOKUP(C1777,Customers!$A:$C,3,FALSE)</f>
        <v>54</v>
      </c>
    </row>
    <row r="1778" spans="1:19" ht="14.25" customHeight="1" x14ac:dyDescent="0.3">
      <c r="A1778" s="8" t="s">
        <v>2814</v>
      </c>
      <c r="B1778" s="21">
        <v>45571</v>
      </c>
      <c r="C1778" s="8" t="s">
        <v>440</v>
      </c>
      <c r="D1778" s="8" t="s">
        <v>898</v>
      </c>
      <c r="E1778" s="8" t="s">
        <v>261</v>
      </c>
      <c r="F1778" s="10">
        <v>5</v>
      </c>
      <c r="G1778" s="10">
        <v>2510</v>
      </c>
      <c r="H1778" s="10">
        <v>22.2</v>
      </c>
      <c r="I1778" s="10">
        <v>9763.9</v>
      </c>
      <c r="J1778" s="8" t="s">
        <v>41</v>
      </c>
      <c r="K1778" s="8" t="s">
        <v>98</v>
      </c>
      <c r="L1778" s="18" t="str">
        <f>VLOOKUP(D1778,Products!$A:$C,3,FALSE)</f>
        <v>Apparel</v>
      </c>
      <c r="N1778" s="18" t="str">
        <f>VLOOKUP(C1778,Customers!$A:$E,5,FALSE)</f>
        <v>Retail</v>
      </c>
      <c r="O1778" s="18">
        <f>VLOOKUP(C1778,Customers!$A:$C,3,FALSE)</f>
        <v>28</v>
      </c>
      <c r="P1778" s="18" t="str">
        <f>VLOOKUP(E1777,Sales_Reps!$A:$C,3,FALSE)</f>
        <v>East</v>
      </c>
      <c r="Q1778" s="18" t="str">
        <f t="shared" ref="Q1778:Q1784" si="352">TEXT(B1777,"MMM-YY")</f>
        <v>Aug-24</v>
      </c>
      <c r="R1778">
        <f>VLOOKUP(D1778, Products!A:D, 4, FALSE)</f>
        <v>1075</v>
      </c>
      <c r="S1778">
        <f t="shared" ref="S1778:S1784" si="353">(G1778-R1778)/G1778</f>
        <v>0.57171314741035861</v>
      </c>
    </row>
    <row r="1779" spans="1:19" ht="14.25" customHeight="1" x14ac:dyDescent="0.3">
      <c r="A1779" s="8" t="s">
        <v>2815</v>
      </c>
      <c r="B1779" s="21">
        <v>45441</v>
      </c>
      <c r="C1779" s="8" t="s">
        <v>812</v>
      </c>
      <c r="D1779" s="8" t="s">
        <v>144</v>
      </c>
      <c r="E1779" s="8" t="s">
        <v>261</v>
      </c>
      <c r="F1779" s="10">
        <v>10</v>
      </c>
      <c r="G1779" s="10">
        <v>370</v>
      </c>
      <c r="H1779" s="10">
        <v>29</v>
      </c>
      <c r="I1779" s="10">
        <v>2627</v>
      </c>
      <c r="J1779" s="8" t="s">
        <v>41</v>
      </c>
      <c r="K1779" s="8" t="s">
        <v>136</v>
      </c>
      <c r="L1779" s="18" t="str">
        <f>VLOOKUP(D1779,Products!$A:$C,3,FALSE)</f>
        <v>Home</v>
      </c>
      <c r="N1779" s="18" t="str">
        <f>VLOOKUP(C1779,Customers!$A:$E,5,FALSE)</f>
        <v>Retail</v>
      </c>
      <c r="O1779" s="18">
        <f>VLOOKUP(C1779,Customers!$A:$C,3,FALSE)</f>
        <v>29</v>
      </c>
      <c r="P1779" s="18" t="str">
        <f>VLOOKUP(E1778,Sales_Reps!$A:$C,3,FALSE)</f>
        <v>North</v>
      </c>
      <c r="Q1779" s="18" t="str">
        <f t="shared" si="352"/>
        <v>Oct-24</v>
      </c>
      <c r="R1779">
        <f>VLOOKUP(D1779, Products!A:D, 4, FALSE)</f>
        <v>288</v>
      </c>
      <c r="S1779">
        <f t="shared" si="353"/>
        <v>0.22162162162162163</v>
      </c>
    </row>
    <row r="1780" spans="1:19" ht="14.25" customHeight="1" x14ac:dyDescent="0.3">
      <c r="A1780" s="8" t="s">
        <v>2816</v>
      </c>
      <c r="B1780" s="21">
        <v>45403</v>
      </c>
      <c r="C1780" s="8" t="s">
        <v>637</v>
      </c>
      <c r="D1780" s="8" t="s">
        <v>227</v>
      </c>
      <c r="E1780" s="8" t="s">
        <v>216</v>
      </c>
      <c r="F1780" s="10">
        <v>3</v>
      </c>
      <c r="G1780" s="10">
        <v>2480</v>
      </c>
      <c r="H1780" s="10">
        <v>9.6</v>
      </c>
      <c r="I1780" s="10">
        <v>6725.76</v>
      </c>
      <c r="J1780" s="8" t="s">
        <v>41</v>
      </c>
      <c r="K1780" s="8" t="s">
        <v>178</v>
      </c>
      <c r="L1780" s="18" t="str">
        <f>VLOOKUP(D1780,Products!$A:$C,3,FALSE)</f>
        <v>Apparel</v>
      </c>
      <c r="N1780" s="18" t="str">
        <f>VLOOKUP(C1780,Customers!$A:$E,5,FALSE)</f>
        <v>Retail</v>
      </c>
      <c r="O1780" s="18">
        <f>VLOOKUP(C1780,Customers!$A:$C,3,FALSE)</f>
        <v>25</v>
      </c>
      <c r="P1780" s="18" t="str">
        <f>VLOOKUP(E1779,Sales_Reps!$A:$C,3,FALSE)</f>
        <v>North</v>
      </c>
      <c r="Q1780" s="18" t="str">
        <f t="shared" si="352"/>
        <v>May-24</v>
      </c>
      <c r="R1780">
        <f>VLOOKUP(D1780, Products!A:D, 4, FALSE)</f>
        <v>1173</v>
      </c>
      <c r="S1780">
        <f t="shared" si="353"/>
        <v>0.52701612903225803</v>
      </c>
    </row>
    <row r="1781" spans="1:19" ht="14.25" customHeight="1" x14ac:dyDescent="0.3">
      <c r="A1781" s="8" t="s">
        <v>2817</v>
      </c>
      <c r="B1781" s="21">
        <v>45644</v>
      </c>
      <c r="C1781" s="8" t="s">
        <v>294</v>
      </c>
      <c r="D1781" s="8" t="s">
        <v>181</v>
      </c>
      <c r="E1781" s="8" t="s">
        <v>121</v>
      </c>
      <c r="F1781" s="10">
        <v>3</v>
      </c>
      <c r="G1781" s="10">
        <v>2640</v>
      </c>
      <c r="H1781" s="10">
        <v>10.199999999999999</v>
      </c>
      <c r="I1781" s="10">
        <v>7112.16</v>
      </c>
      <c r="J1781" s="8" t="s">
        <v>147</v>
      </c>
      <c r="K1781" s="8" t="s">
        <v>98</v>
      </c>
      <c r="L1781" s="18" t="str">
        <f>VLOOKUP(D1781,Products!$A:$C,3,FALSE)</f>
        <v>Electronics</v>
      </c>
      <c r="N1781" s="18" t="str">
        <f>VLOOKUP(C1781,Customers!$A:$E,5,FALSE)</f>
        <v>Retail</v>
      </c>
      <c r="O1781" s="18">
        <f>VLOOKUP(C1781,Customers!$A:$C,3,FALSE)</f>
        <v>22</v>
      </c>
      <c r="P1781" s="18" t="str">
        <f>VLOOKUP(E1780,Sales_Reps!$A:$C,3,FALSE)</f>
        <v>East</v>
      </c>
      <c r="Q1781" s="18" t="str">
        <f t="shared" si="352"/>
        <v>Apr-24</v>
      </c>
      <c r="R1781">
        <f>VLOOKUP(D1781, Products!A:D, 4, FALSE)</f>
        <v>1149</v>
      </c>
      <c r="S1781">
        <f t="shared" si="353"/>
        <v>0.56477272727272732</v>
      </c>
    </row>
    <row r="1782" spans="1:19" ht="14.25" customHeight="1" x14ac:dyDescent="0.3">
      <c r="A1782" s="8" t="s">
        <v>2818</v>
      </c>
      <c r="B1782" s="21">
        <v>45504</v>
      </c>
      <c r="C1782" s="8" t="s">
        <v>822</v>
      </c>
      <c r="D1782" s="8" t="s">
        <v>929</v>
      </c>
      <c r="E1782" s="8" t="s">
        <v>321</v>
      </c>
      <c r="F1782" s="10">
        <v>1</v>
      </c>
      <c r="G1782" s="10">
        <v>1090</v>
      </c>
      <c r="H1782" s="10">
        <v>21.6</v>
      </c>
      <c r="I1782" s="10">
        <v>854.56</v>
      </c>
      <c r="J1782" s="8" t="s">
        <v>147</v>
      </c>
      <c r="K1782" s="8" t="s">
        <v>98</v>
      </c>
      <c r="L1782" s="18" t="str">
        <f>VLOOKUP(D1782,Products!$A:$C,3,FALSE)</f>
        <v>Home</v>
      </c>
      <c r="N1782" s="18" t="str">
        <f>VLOOKUP(C1782,Customers!$A:$E,5,FALSE)</f>
        <v>Retail</v>
      </c>
      <c r="O1782" s="18">
        <f>VLOOKUP(C1782,Customers!$A:$C,3,FALSE)</f>
        <v>26</v>
      </c>
      <c r="P1782" s="18" t="str">
        <f>VLOOKUP(E1781,Sales_Reps!$A:$C,3,FALSE)</f>
        <v>East</v>
      </c>
      <c r="Q1782" s="18" t="str">
        <f t="shared" si="352"/>
        <v>Dec-24</v>
      </c>
      <c r="R1782">
        <f>VLOOKUP(D1782, Products!A:D, 4, FALSE)</f>
        <v>464</v>
      </c>
      <c r="S1782">
        <f t="shared" si="353"/>
        <v>0.57431192660550456</v>
      </c>
    </row>
    <row r="1783" spans="1:19" ht="14.25" customHeight="1" x14ac:dyDescent="0.3">
      <c r="A1783" s="8" t="s">
        <v>2819</v>
      </c>
      <c r="B1783" s="21">
        <v>45606</v>
      </c>
      <c r="C1783" s="8" t="s">
        <v>425</v>
      </c>
      <c r="D1783" s="8" t="s">
        <v>247</v>
      </c>
      <c r="E1783" s="8" t="s">
        <v>261</v>
      </c>
      <c r="F1783" s="10">
        <v>10</v>
      </c>
      <c r="G1783" s="10">
        <v>3350</v>
      </c>
      <c r="H1783" s="10">
        <v>12.1</v>
      </c>
      <c r="I1783" s="10">
        <v>29446.5</v>
      </c>
      <c r="J1783" s="8" t="s">
        <v>41</v>
      </c>
      <c r="K1783" s="8" t="s">
        <v>146</v>
      </c>
      <c r="L1783" s="18" t="str">
        <f>VLOOKUP(D1783,Products!$A:$C,3,FALSE)</f>
        <v>Beauty</v>
      </c>
      <c r="N1783" s="18" t="str">
        <f>VLOOKUP(C1783,Customers!$A:$E,5,FALSE)</f>
        <v>Retail</v>
      </c>
      <c r="O1783" s="18">
        <f>VLOOKUP(C1783,Customers!$A:$C,3,FALSE)</f>
        <v>38</v>
      </c>
      <c r="P1783" s="18" t="str">
        <f>VLOOKUP(E1782,Sales_Reps!$A:$C,3,FALSE)</f>
        <v>East</v>
      </c>
      <c r="Q1783" s="18" t="str">
        <f t="shared" si="352"/>
        <v>Jul-24</v>
      </c>
      <c r="R1783">
        <f>VLOOKUP(D1783, Products!A:D, 4, FALSE)</f>
        <v>1728</v>
      </c>
      <c r="S1783">
        <f t="shared" si="353"/>
        <v>0.48417910447761192</v>
      </c>
    </row>
    <row r="1784" spans="1:19" ht="14.25" customHeight="1" x14ac:dyDescent="0.3">
      <c r="A1784" s="8" t="s">
        <v>2820</v>
      </c>
      <c r="B1784" s="21">
        <v>45562</v>
      </c>
      <c r="C1784" s="8" t="s">
        <v>442</v>
      </c>
      <c r="D1784" s="8" t="s">
        <v>662</v>
      </c>
      <c r="E1784" s="8" t="s">
        <v>301</v>
      </c>
      <c r="F1784" s="10">
        <v>4</v>
      </c>
      <c r="G1784" s="10">
        <v>6080</v>
      </c>
      <c r="H1784" s="10">
        <v>26.7</v>
      </c>
      <c r="I1784" s="10">
        <v>17826.560000000001</v>
      </c>
      <c r="J1784" s="8" t="s">
        <v>147</v>
      </c>
      <c r="K1784" s="8" t="s">
        <v>98</v>
      </c>
      <c r="L1784" s="18" t="str">
        <f>VLOOKUP(D1784,Products!$A:$C,3,FALSE)</f>
        <v>Beauty</v>
      </c>
      <c r="N1784" s="18" t="str">
        <f>VLOOKUP(C1784,Customers!$A:$E,5,FALSE)</f>
        <v>Retail</v>
      </c>
      <c r="O1784" s="18">
        <f>VLOOKUP(C1784,Customers!$A:$C,3,FALSE)</f>
        <v>26</v>
      </c>
      <c r="P1784" s="18" t="str">
        <f>VLOOKUP(E1783,Sales_Reps!$A:$C,3,FALSE)</f>
        <v>North</v>
      </c>
      <c r="Q1784" s="18" t="str">
        <f t="shared" si="352"/>
        <v>Nov-24</v>
      </c>
      <c r="R1784">
        <f>VLOOKUP(D1784, Products!A:D, 4, FALSE)</f>
        <v>2617</v>
      </c>
      <c r="S1784">
        <f t="shared" si="353"/>
        <v>0.56957236842105263</v>
      </c>
    </row>
    <row r="1785" spans="1:19" ht="14.25" hidden="1" customHeight="1" x14ac:dyDescent="0.3">
      <c r="A1785" s="8" t="s">
        <v>2821</v>
      </c>
      <c r="B1785" s="9">
        <v>45372</v>
      </c>
      <c r="C1785" s="8" t="s">
        <v>763</v>
      </c>
      <c r="D1785" s="8" t="s">
        <v>949</v>
      </c>
      <c r="E1785" s="8" t="s">
        <v>261</v>
      </c>
      <c r="F1785" s="10">
        <v>3</v>
      </c>
      <c r="G1785" s="10">
        <v>960</v>
      </c>
      <c r="H1785" s="10">
        <v>13.2</v>
      </c>
      <c r="I1785" s="10">
        <v>2499.84</v>
      </c>
      <c r="J1785" s="8" t="s">
        <v>41</v>
      </c>
      <c r="K1785" s="8" t="s">
        <v>178</v>
      </c>
      <c r="L1785" s="18" t="str">
        <f>VLOOKUP(D1785,Products!$A:$C,3,FALSE)</f>
        <v>Beauty</v>
      </c>
      <c r="N1785" s="18" t="str">
        <f>VLOOKUP(C1785,Customers!$A:$E,5,FALSE)</f>
        <v>Retail</v>
      </c>
      <c r="O1785" s="18">
        <f>VLOOKUP(C1785,Customers!$A:$C,3,FALSE)</f>
        <v>65</v>
      </c>
    </row>
    <row r="1786" spans="1:19" ht="14.25" customHeight="1" x14ac:dyDescent="0.3">
      <c r="A1786" s="8" t="s">
        <v>2822</v>
      </c>
      <c r="B1786" s="21">
        <v>45610</v>
      </c>
      <c r="C1786" s="8" t="s">
        <v>118</v>
      </c>
      <c r="D1786" s="8" t="s">
        <v>124</v>
      </c>
      <c r="E1786" s="8" t="s">
        <v>38</v>
      </c>
      <c r="F1786" s="10">
        <v>9</v>
      </c>
      <c r="G1786" s="10">
        <v>3660</v>
      </c>
      <c r="H1786" s="10">
        <v>9.3000000000000007</v>
      </c>
      <c r="I1786" s="10">
        <v>29876.58</v>
      </c>
      <c r="J1786" s="8" t="s">
        <v>147</v>
      </c>
      <c r="K1786" s="8" t="s">
        <v>42</v>
      </c>
      <c r="L1786" s="18" t="str">
        <f>VLOOKUP(D1786,Products!$A:$C,3,FALSE)</f>
        <v>Grocery</v>
      </c>
      <c r="N1786" s="18" t="str">
        <f>VLOOKUP(C1786,Customers!$A:$E,5,FALSE)</f>
        <v>SMB</v>
      </c>
      <c r="O1786" s="18">
        <f>VLOOKUP(C1786,Customers!$A:$C,3,FALSE)</f>
        <v>24</v>
      </c>
      <c r="P1786" s="18" t="str">
        <f>VLOOKUP(E1785,Sales_Reps!$A:$C,3,FALSE)</f>
        <v>North</v>
      </c>
      <c r="Q1786" s="18" t="str">
        <f t="shared" ref="Q1786:Q1788" si="354">TEXT(B1785,"MMM-YY")</f>
        <v>Mar-24</v>
      </c>
      <c r="R1786">
        <f>VLOOKUP(D1786, Products!A:D, 4, FALSE)</f>
        <v>2214</v>
      </c>
      <c r="S1786">
        <f t="shared" ref="S1786:S1788" si="355">(G1786-R1786)/G1786</f>
        <v>0.39508196721311473</v>
      </c>
    </row>
    <row r="1787" spans="1:19" ht="14.25" customHeight="1" x14ac:dyDescent="0.3">
      <c r="A1787" s="8" t="s">
        <v>2823</v>
      </c>
      <c r="B1787" s="21">
        <v>45388</v>
      </c>
      <c r="C1787" s="8" t="s">
        <v>563</v>
      </c>
      <c r="D1787" s="8" t="s">
        <v>215</v>
      </c>
      <c r="E1787" s="8" t="s">
        <v>158</v>
      </c>
      <c r="F1787" s="10">
        <v>6</v>
      </c>
      <c r="G1787" s="10">
        <v>3450</v>
      </c>
      <c r="H1787" s="10">
        <v>8.1999999999999993</v>
      </c>
      <c r="I1787" s="10">
        <v>19002.599999999999</v>
      </c>
      <c r="J1787" s="8" t="s">
        <v>41</v>
      </c>
      <c r="K1787" s="8" t="s">
        <v>98</v>
      </c>
      <c r="L1787" s="18" t="str">
        <f>VLOOKUP(D1787,Products!$A:$C,3,FALSE)</f>
        <v>Beauty</v>
      </c>
      <c r="N1787" s="18" t="str">
        <f>VLOOKUP(C1787,Customers!$A:$E,5,FALSE)</f>
        <v>Corporate</v>
      </c>
      <c r="O1787" s="18">
        <f>VLOOKUP(C1787,Customers!$A:$C,3,FALSE)</f>
        <v>24</v>
      </c>
      <c r="P1787" s="18" t="str">
        <f>VLOOKUP(E1786,Sales_Reps!$A:$C,3,FALSE)</f>
        <v>North</v>
      </c>
      <c r="Q1787" s="18" t="str">
        <f t="shared" si="354"/>
        <v>Nov-24</v>
      </c>
      <c r="R1787">
        <f>VLOOKUP(D1787, Products!A:D, 4, FALSE)</f>
        <v>2420</v>
      </c>
      <c r="S1787">
        <f t="shared" si="355"/>
        <v>0.29855072463768118</v>
      </c>
    </row>
    <row r="1788" spans="1:19" ht="14.25" customHeight="1" x14ac:dyDescent="0.3">
      <c r="A1788" s="8" t="s">
        <v>2824</v>
      </c>
      <c r="B1788" s="21">
        <v>45421</v>
      </c>
      <c r="C1788" s="8" t="s">
        <v>337</v>
      </c>
      <c r="D1788" s="8" t="s">
        <v>839</v>
      </c>
      <c r="E1788" s="8" t="s">
        <v>321</v>
      </c>
      <c r="F1788" s="10">
        <v>7</v>
      </c>
      <c r="G1788" s="10">
        <v>4610</v>
      </c>
      <c r="H1788" s="10">
        <v>10.4</v>
      </c>
      <c r="I1788" s="10">
        <v>28913.919999999998</v>
      </c>
      <c r="J1788" s="8" t="s">
        <v>41</v>
      </c>
      <c r="K1788" s="8" t="s">
        <v>146</v>
      </c>
      <c r="L1788" s="18" t="str">
        <f>VLOOKUP(D1788,Products!$A:$C,3,FALSE)</f>
        <v>Home</v>
      </c>
      <c r="N1788" s="18" t="str">
        <f>VLOOKUP(C1788,Customers!$A:$E,5,FALSE)</f>
        <v>Retail</v>
      </c>
      <c r="O1788" s="18">
        <f>VLOOKUP(C1788,Customers!$A:$C,3,FALSE)</f>
        <v>35</v>
      </c>
      <c r="P1788" s="18" t="str">
        <f>VLOOKUP(E1787,Sales_Reps!$A:$C,3,FALSE)</f>
        <v>East</v>
      </c>
      <c r="Q1788" s="18" t="str">
        <f t="shared" si="354"/>
        <v>Apr-24</v>
      </c>
      <c r="R1788">
        <f>VLOOKUP(D1788, Products!A:D, 4, FALSE)</f>
        <v>1850</v>
      </c>
      <c r="S1788">
        <f t="shared" si="355"/>
        <v>0.59869848156182215</v>
      </c>
    </row>
    <row r="1789" spans="1:19" ht="14.25" hidden="1" customHeight="1" x14ac:dyDescent="0.3">
      <c r="A1789" s="8" t="s">
        <v>2825</v>
      </c>
      <c r="B1789" s="9">
        <v>45529</v>
      </c>
      <c r="C1789" s="8" t="s">
        <v>677</v>
      </c>
      <c r="D1789" s="8" t="s">
        <v>152</v>
      </c>
      <c r="E1789" s="8" t="s">
        <v>214</v>
      </c>
      <c r="F1789" s="10">
        <v>2</v>
      </c>
      <c r="G1789" s="10">
        <v>960</v>
      </c>
      <c r="H1789" s="10">
        <v>16.5</v>
      </c>
      <c r="I1789" s="10">
        <v>1603.2</v>
      </c>
      <c r="J1789" s="8" t="s">
        <v>41</v>
      </c>
      <c r="K1789" s="8" t="s">
        <v>136</v>
      </c>
      <c r="L1789" s="18" t="str">
        <f>VLOOKUP(D1789,Products!$A:$C,3,FALSE)</f>
        <v>Sports</v>
      </c>
      <c r="N1789" s="18" t="str">
        <f>VLOOKUP(C1789,Customers!$A:$E,5,FALSE)</f>
        <v>Retail</v>
      </c>
      <c r="O1789" s="18">
        <f>VLOOKUP(C1789,Customers!$A:$C,3,FALSE)</f>
        <v>55</v>
      </c>
    </row>
    <row r="1790" spans="1:19" ht="14.25" hidden="1" customHeight="1" x14ac:dyDescent="0.3">
      <c r="A1790" s="8" t="s">
        <v>2826</v>
      </c>
      <c r="B1790" s="9">
        <v>45553</v>
      </c>
      <c r="C1790" s="8" t="s">
        <v>495</v>
      </c>
      <c r="D1790" s="8" t="s">
        <v>144</v>
      </c>
      <c r="E1790" s="8" t="s">
        <v>208</v>
      </c>
      <c r="F1790" s="10">
        <v>7</v>
      </c>
      <c r="G1790" s="10">
        <v>370</v>
      </c>
      <c r="H1790" s="10">
        <v>1.4</v>
      </c>
      <c r="I1790" s="10">
        <v>2553.7399999999998</v>
      </c>
      <c r="J1790" s="8" t="s">
        <v>193</v>
      </c>
      <c r="K1790" s="8" t="s">
        <v>98</v>
      </c>
      <c r="L1790" s="18" t="str">
        <f>VLOOKUP(D1790,Products!$A:$C,3,FALSE)</f>
        <v>Home</v>
      </c>
      <c r="N1790" s="18" t="str">
        <f>VLOOKUP(C1790,Customers!$A:$E,5,FALSE)</f>
        <v>SMB</v>
      </c>
      <c r="O1790" s="18">
        <f>VLOOKUP(C1790,Customers!$A:$C,3,FALSE)</f>
        <v>64</v>
      </c>
    </row>
    <row r="1791" spans="1:19" ht="14.25" customHeight="1" x14ac:dyDescent="0.3">
      <c r="A1791" s="8" t="s">
        <v>2827</v>
      </c>
      <c r="B1791" s="21">
        <v>45535</v>
      </c>
      <c r="C1791" s="8" t="s">
        <v>679</v>
      </c>
      <c r="D1791" s="8" t="s">
        <v>176</v>
      </c>
      <c r="E1791" s="8" t="s">
        <v>185</v>
      </c>
      <c r="F1791" s="10">
        <v>3</v>
      </c>
      <c r="G1791" s="10">
        <v>2270</v>
      </c>
      <c r="H1791" s="10">
        <v>12.6</v>
      </c>
      <c r="I1791" s="10">
        <v>5951.94</v>
      </c>
      <c r="J1791" s="8" t="s">
        <v>41</v>
      </c>
      <c r="K1791" s="8" t="s">
        <v>98</v>
      </c>
      <c r="L1791" s="18" t="str">
        <f>VLOOKUP(D1791,Products!$A:$C,3,FALSE)</f>
        <v>Grocery</v>
      </c>
      <c r="N1791" s="18" t="str">
        <f>VLOOKUP(C1791,Customers!$A:$E,5,FALSE)</f>
        <v>Corporate</v>
      </c>
      <c r="O1791" s="18">
        <f>VLOOKUP(C1791,Customers!$A:$C,3,FALSE)</f>
        <v>22</v>
      </c>
      <c r="P1791" s="18" t="str">
        <f>VLOOKUP(E1790,Sales_Reps!$A:$C,3,FALSE)</f>
        <v>East</v>
      </c>
      <c r="Q1791" s="18" t="str">
        <f>TEXT(B1790,"MMM-YY")</f>
        <v>Sep-24</v>
      </c>
      <c r="R1791">
        <f>VLOOKUP(D1791, Products!A:D, 4, FALSE)</f>
        <v>1203</v>
      </c>
      <c r="S1791">
        <f>(G1791-R1791)/G1791</f>
        <v>0.47004405286343615</v>
      </c>
    </row>
    <row r="1792" spans="1:19" ht="14.25" hidden="1" customHeight="1" x14ac:dyDescent="0.3">
      <c r="A1792" s="8" t="s">
        <v>1330</v>
      </c>
      <c r="B1792" s="9">
        <v>45301</v>
      </c>
      <c r="C1792" s="8" t="s">
        <v>367</v>
      </c>
      <c r="D1792" s="8" t="s">
        <v>192</v>
      </c>
      <c r="E1792" s="8" t="s">
        <v>117</v>
      </c>
      <c r="F1792" s="10">
        <v>1</v>
      </c>
      <c r="G1792" s="10">
        <v>3250</v>
      </c>
      <c r="H1792" s="10">
        <v>17.8</v>
      </c>
      <c r="I1792" s="10">
        <v>2671.5</v>
      </c>
      <c r="J1792" s="8" t="s">
        <v>41</v>
      </c>
      <c r="K1792" s="8" t="s">
        <v>146</v>
      </c>
      <c r="L1792" s="18" t="str">
        <f>VLOOKUP(D1792,Products!$A:$C,3,FALSE)</f>
        <v>Home</v>
      </c>
      <c r="N1792" s="18" t="str">
        <f>VLOOKUP(C1792,Customers!$A:$E,5,FALSE)</f>
        <v>Corporate</v>
      </c>
      <c r="O1792" s="18">
        <f>VLOOKUP(C1792,Customers!$A:$C,3,FALSE)</f>
        <v>42</v>
      </c>
    </row>
    <row r="1793" spans="1:19" ht="14.25" hidden="1" customHeight="1" x14ac:dyDescent="0.3">
      <c r="A1793" s="8" t="s">
        <v>2828</v>
      </c>
      <c r="B1793" s="9">
        <v>45404</v>
      </c>
      <c r="C1793" s="8" t="s">
        <v>322</v>
      </c>
      <c r="D1793" s="8" t="s">
        <v>896</v>
      </c>
      <c r="E1793" s="8" t="s">
        <v>167</v>
      </c>
      <c r="F1793" s="10">
        <v>5</v>
      </c>
      <c r="G1793" s="10">
        <v>620</v>
      </c>
      <c r="H1793" s="10">
        <v>19.399999999999999</v>
      </c>
      <c r="I1793" s="10">
        <v>2498.6</v>
      </c>
      <c r="J1793" s="8" t="s">
        <v>97</v>
      </c>
      <c r="K1793" s="8" t="s">
        <v>98</v>
      </c>
      <c r="L1793" s="18" t="str">
        <f>VLOOKUP(D1793,Products!$A:$C,3,FALSE)</f>
        <v>Apparel</v>
      </c>
      <c r="N1793" s="18" t="str">
        <f>VLOOKUP(C1793,Customers!$A:$E,5,FALSE)</f>
        <v>Corporate</v>
      </c>
      <c r="O1793" s="18">
        <f>VLOOKUP(C1793,Customers!$A:$C,3,FALSE)</f>
        <v>54</v>
      </c>
    </row>
    <row r="1794" spans="1:19" ht="14.25" hidden="1" customHeight="1" x14ac:dyDescent="0.3">
      <c r="A1794" s="8" t="s">
        <v>2829</v>
      </c>
      <c r="B1794" s="9">
        <v>45600</v>
      </c>
      <c r="C1794" s="8" t="s">
        <v>292</v>
      </c>
      <c r="D1794" s="8" t="s">
        <v>131</v>
      </c>
      <c r="E1794" s="8" t="s">
        <v>96</v>
      </c>
      <c r="F1794" s="10">
        <v>6</v>
      </c>
      <c r="G1794" s="10">
        <v>2660</v>
      </c>
      <c r="H1794" s="10">
        <v>14.9</v>
      </c>
      <c r="I1794" s="10">
        <v>13581.96</v>
      </c>
      <c r="J1794" s="8" t="s">
        <v>41</v>
      </c>
      <c r="K1794" s="8" t="s">
        <v>42</v>
      </c>
      <c r="L1794" s="18" t="str">
        <f>VLOOKUP(D1794,Products!$A:$C,3,FALSE)</f>
        <v>Electronics</v>
      </c>
      <c r="N1794" s="18" t="str">
        <f>VLOOKUP(C1794,Customers!$A:$E,5,FALSE)</f>
        <v>SMB</v>
      </c>
      <c r="O1794" s="18">
        <f>VLOOKUP(C1794,Customers!$A:$C,3,FALSE)</f>
        <v>54</v>
      </c>
    </row>
    <row r="1795" spans="1:19" ht="14.25" hidden="1" customHeight="1" x14ac:dyDescent="0.3">
      <c r="A1795" s="8" t="s">
        <v>2830</v>
      </c>
      <c r="B1795" s="9">
        <v>45526</v>
      </c>
      <c r="C1795" s="8" t="s">
        <v>268</v>
      </c>
      <c r="D1795" s="8" t="s">
        <v>37</v>
      </c>
      <c r="E1795" s="8" t="s">
        <v>231</v>
      </c>
      <c r="F1795" s="10">
        <v>5</v>
      </c>
      <c r="G1795" s="10">
        <v>3620</v>
      </c>
      <c r="H1795" s="10">
        <v>21</v>
      </c>
      <c r="I1795" s="10">
        <v>14299</v>
      </c>
      <c r="J1795" s="8" t="s">
        <v>147</v>
      </c>
      <c r="K1795" s="8" t="s">
        <v>136</v>
      </c>
      <c r="L1795" s="18" t="str">
        <f>VLOOKUP(D1795,Products!$A:$C,3,FALSE)</f>
        <v>Apparel</v>
      </c>
      <c r="N1795" s="18" t="str">
        <f>VLOOKUP(C1795,Customers!$A:$E,5,FALSE)</f>
        <v>Retail</v>
      </c>
      <c r="O1795" s="18">
        <f>VLOOKUP(C1795,Customers!$A:$C,3,FALSE)</f>
        <v>47</v>
      </c>
    </row>
    <row r="1796" spans="1:19" ht="14.25" hidden="1" customHeight="1" x14ac:dyDescent="0.3">
      <c r="A1796" s="8" t="s">
        <v>2831</v>
      </c>
      <c r="B1796" s="9">
        <v>45580</v>
      </c>
      <c r="C1796" s="8" t="s">
        <v>284</v>
      </c>
      <c r="D1796" s="8" t="s">
        <v>644</v>
      </c>
      <c r="E1796" s="8" t="s">
        <v>216</v>
      </c>
      <c r="F1796" s="10">
        <v>1</v>
      </c>
      <c r="G1796" s="10">
        <v>3640</v>
      </c>
      <c r="H1796" s="10">
        <v>15.8</v>
      </c>
      <c r="I1796" s="10">
        <v>3064.88</v>
      </c>
      <c r="J1796" s="8" t="s">
        <v>41</v>
      </c>
      <c r="K1796" s="8" t="s">
        <v>136</v>
      </c>
      <c r="L1796" s="18" t="str">
        <f>VLOOKUP(D1796,Products!$A:$C,3,FALSE)</f>
        <v>Apparel</v>
      </c>
      <c r="N1796" s="18" t="str">
        <f>VLOOKUP(C1796,Customers!$A:$E,5,FALSE)</f>
        <v>Retail</v>
      </c>
      <c r="O1796" s="18">
        <f>VLOOKUP(C1796,Customers!$A:$C,3,FALSE)</f>
        <v>48</v>
      </c>
    </row>
    <row r="1797" spans="1:19" ht="14.25" hidden="1" customHeight="1" x14ac:dyDescent="0.3">
      <c r="A1797" s="8" t="s">
        <v>2832</v>
      </c>
      <c r="B1797" s="9">
        <v>45444</v>
      </c>
      <c r="C1797" s="8" t="s">
        <v>711</v>
      </c>
      <c r="D1797" s="8" t="s">
        <v>160</v>
      </c>
      <c r="E1797" s="8" t="s">
        <v>38</v>
      </c>
      <c r="F1797" s="10">
        <v>1</v>
      </c>
      <c r="G1797" s="10">
        <v>1220</v>
      </c>
      <c r="H1797" s="10">
        <v>0.6</v>
      </c>
      <c r="I1797" s="10">
        <v>1212.68</v>
      </c>
      <c r="J1797" s="8" t="s">
        <v>193</v>
      </c>
      <c r="K1797" s="8" t="s">
        <v>178</v>
      </c>
      <c r="L1797" s="18" t="str">
        <f>VLOOKUP(D1797,Products!$A:$C,3,FALSE)</f>
        <v>Electronics</v>
      </c>
      <c r="N1797" s="18" t="str">
        <f>VLOOKUP(C1797,Customers!$A:$E,5,FALSE)</f>
        <v>Retail</v>
      </c>
      <c r="O1797" s="18">
        <f>VLOOKUP(C1797,Customers!$A:$C,3,FALSE)</f>
        <v>52</v>
      </c>
    </row>
    <row r="1798" spans="1:19" ht="14.25" hidden="1" customHeight="1" x14ac:dyDescent="0.3">
      <c r="A1798" s="8" t="s">
        <v>2833</v>
      </c>
      <c r="B1798" s="9">
        <v>45350</v>
      </c>
      <c r="C1798" s="8" t="s">
        <v>207</v>
      </c>
      <c r="D1798" s="8" t="s">
        <v>227</v>
      </c>
      <c r="E1798" s="8" t="s">
        <v>261</v>
      </c>
      <c r="F1798" s="10">
        <v>10</v>
      </c>
      <c r="G1798" s="10">
        <v>2480</v>
      </c>
      <c r="H1798" s="10">
        <v>0.6</v>
      </c>
      <c r="I1798" s="10">
        <v>24651.200000000001</v>
      </c>
      <c r="J1798" s="8" t="s">
        <v>41</v>
      </c>
      <c r="K1798" s="8" t="s">
        <v>136</v>
      </c>
      <c r="L1798" s="18" t="str">
        <f>VLOOKUP(D1798,Products!$A:$C,3,FALSE)</f>
        <v>Apparel</v>
      </c>
      <c r="N1798" s="18" t="str">
        <f>VLOOKUP(C1798,Customers!$A:$E,5,FALSE)</f>
        <v>SMB</v>
      </c>
      <c r="O1798" s="18">
        <f>VLOOKUP(C1798,Customers!$A:$C,3,FALSE)</f>
        <v>46</v>
      </c>
    </row>
    <row r="1799" spans="1:19" ht="14.25" hidden="1" customHeight="1" x14ac:dyDescent="0.3">
      <c r="A1799" s="8" t="s">
        <v>2834</v>
      </c>
      <c r="B1799" s="9">
        <v>45634</v>
      </c>
      <c r="C1799" s="8" t="s">
        <v>740</v>
      </c>
      <c r="D1799" s="8" t="s">
        <v>242</v>
      </c>
      <c r="E1799" s="8" t="s">
        <v>619</v>
      </c>
      <c r="F1799" s="10">
        <v>9</v>
      </c>
      <c r="G1799" s="10">
        <v>1650</v>
      </c>
      <c r="H1799" s="10">
        <v>26.8</v>
      </c>
      <c r="I1799" s="10">
        <v>10870.2</v>
      </c>
      <c r="J1799" s="8" t="s">
        <v>41</v>
      </c>
      <c r="K1799" s="8" t="s">
        <v>98</v>
      </c>
      <c r="L1799" s="18" t="str">
        <f>VLOOKUP(D1799,Products!$A:$C,3,FALSE)</f>
        <v>Beauty</v>
      </c>
      <c r="N1799" s="18" t="str">
        <f>VLOOKUP(C1799,Customers!$A:$E,5,FALSE)</f>
        <v>Retail</v>
      </c>
      <c r="O1799" s="18">
        <f>VLOOKUP(C1799,Customers!$A:$C,3,FALSE)</f>
        <v>61</v>
      </c>
    </row>
    <row r="1800" spans="1:19" ht="14.25" customHeight="1" x14ac:dyDescent="0.3">
      <c r="A1800" s="8" t="s">
        <v>2835</v>
      </c>
      <c r="B1800" s="21">
        <v>45560</v>
      </c>
      <c r="C1800" s="8" t="s">
        <v>556</v>
      </c>
      <c r="D1800" s="8" t="s">
        <v>867</v>
      </c>
      <c r="E1800" s="8" t="s">
        <v>135</v>
      </c>
      <c r="F1800" s="10">
        <v>10</v>
      </c>
      <c r="G1800" s="10">
        <v>3020</v>
      </c>
      <c r="H1800" s="10">
        <v>2.6</v>
      </c>
      <c r="I1800" s="10">
        <v>29414.799999999999</v>
      </c>
      <c r="J1800" s="8" t="s">
        <v>41</v>
      </c>
      <c r="K1800" s="8" t="s">
        <v>98</v>
      </c>
      <c r="L1800" s="18" t="str">
        <f>VLOOKUP(D1800,Products!$A:$C,3,FALSE)</f>
        <v>Beauty</v>
      </c>
      <c r="N1800" s="18" t="str">
        <f>VLOOKUP(C1800,Customers!$A:$E,5,FALSE)</f>
        <v>Retail</v>
      </c>
      <c r="O1800" s="18">
        <f>VLOOKUP(C1800,Customers!$A:$C,3,FALSE)</f>
        <v>24</v>
      </c>
      <c r="P1800" s="18" t="str">
        <f>VLOOKUP(E1799,Sales_Reps!$A:$C,3,FALSE)</f>
        <v>West</v>
      </c>
      <c r="Q1800" s="18" t="str">
        <f>TEXT(B1799,"MMM-YY")</f>
        <v>Dec-24</v>
      </c>
      <c r="R1800">
        <f>VLOOKUP(D1800, Products!A:D, 4, FALSE)</f>
        <v>1626</v>
      </c>
      <c r="S1800">
        <f>(G1800-R1800)/G1800</f>
        <v>0.46158940397350995</v>
      </c>
    </row>
    <row r="1801" spans="1:19" ht="14.25" hidden="1" customHeight="1" x14ac:dyDescent="0.3">
      <c r="A1801" s="8" t="s">
        <v>2836</v>
      </c>
      <c r="B1801" s="9">
        <v>45544</v>
      </c>
      <c r="C1801" s="8" t="s">
        <v>268</v>
      </c>
      <c r="D1801" s="8" t="s">
        <v>889</v>
      </c>
      <c r="E1801" s="8" t="s">
        <v>117</v>
      </c>
      <c r="F1801" s="10">
        <v>5</v>
      </c>
      <c r="G1801" s="10">
        <v>3450</v>
      </c>
      <c r="H1801" s="10">
        <v>25.3</v>
      </c>
      <c r="I1801" s="10">
        <v>12885.75</v>
      </c>
      <c r="J1801" s="8" t="s">
        <v>41</v>
      </c>
      <c r="K1801" s="8" t="s">
        <v>136</v>
      </c>
      <c r="L1801" s="18" t="str">
        <f>VLOOKUP(D1801,Products!$A:$C,3,FALSE)</f>
        <v>Apparel</v>
      </c>
      <c r="N1801" s="18" t="str">
        <f>VLOOKUP(C1801,Customers!$A:$E,5,FALSE)</f>
        <v>Retail</v>
      </c>
      <c r="O1801" s="18">
        <f>VLOOKUP(C1801,Customers!$A:$C,3,FALSE)</f>
        <v>47</v>
      </c>
    </row>
    <row r="1802" spans="1:19" ht="14.25" customHeight="1" x14ac:dyDescent="0.3">
      <c r="A1802" s="8" t="s">
        <v>168</v>
      </c>
      <c r="B1802" s="21">
        <v>45457</v>
      </c>
      <c r="C1802" s="8" t="s">
        <v>173</v>
      </c>
      <c r="D1802" s="8" t="s">
        <v>160</v>
      </c>
      <c r="E1802" s="8" t="s">
        <v>158</v>
      </c>
      <c r="F1802" s="10">
        <v>7</v>
      </c>
      <c r="G1802" s="10">
        <v>1220</v>
      </c>
      <c r="H1802" s="10">
        <v>13.1</v>
      </c>
      <c r="I1802" s="10">
        <v>7421.26</v>
      </c>
      <c r="J1802" s="8" t="s">
        <v>41</v>
      </c>
      <c r="K1802" s="8" t="s">
        <v>178</v>
      </c>
      <c r="L1802" s="18" t="str">
        <f>VLOOKUP(D1802,Products!$A:$C,3,FALSE)</f>
        <v>Electronics</v>
      </c>
      <c r="N1802" s="18" t="str">
        <f>VLOOKUP(C1802,Customers!$A:$E,5,FALSE)</f>
        <v>Retail</v>
      </c>
      <c r="O1802" s="18">
        <f>VLOOKUP(C1802,Customers!$A:$C,3,FALSE)</f>
        <v>26</v>
      </c>
      <c r="P1802" s="18" t="str">
        <f>VLOOKUP(E1801,Sales_Reps!$A:$C,3,FALSE)</f>
        <v>South</v>
      </c>
      <c r="Q1802" s="18" t="str">
        <f t="shared" ref="Q1802:Q1803" si="356">TEXT(B1801,"MMM-YY")</f>
        <v>Sep-24</v>
      </c>
      <c r="R1802">
        <f>VLOOKUP(D1802, Products!A:D, 4, FALSE)</f>
        <v>517</v>
      </c>
      <c r="S1802">
        <f t="shared" ref="S1802:S1803" si="357">(G1802-R1802)/G1802</f>
        <v>0.57622950819672136</v>
      </c>
    </row>
    <row r="1803" spans="1:19" ht="14.25" customHeight="1" x14ac:dyDescent="0.3">
      <c r="A1803" s="8" t="s">
        <v>2837</v>
      </c>
      <c r="B1803" s="21">
        <v>45578</v>
      </c>
      <c r="C1803" s="8" t="s">
        <v>401</v>
      </c>
      <c r="D1803" s="8" t="s">
        <v>624</v>
      </c>
      <c r="E1803" s="8" t="s">
        <v>96</v>
      </c>
      <c r="F1803" s="10">
        <v>10</v>
      </c>
      <c r="G1803" s="10">
        <v>3780</v>
      </c>
      <c r="H1803" s="10">
        <v>23.7</v>
      </c>
      <c r="I1803" s="10">
        <v>28841.4</v>
      </c>
      <c r="J1803" s="8" t="s">
        <v>41</v>
      </c>
      <c r="K1803" s="8" t="s">
        <v>178</v>
      </c>
      <c r="L1803" s="18" t="str">
        <f>VLOOKUP(D1803,Products!$A:$C,3,FALSE)</f>
        <v>Grocery</v>
      </c>
      <c r="N1803" s="18" t="str">
        <f>VLOOKUP(C1803,Customers!$A:$E,5,FALSE)</f>
        <v>SMB</v>
      </c>
      <c r="O1803" s="18">
        <f>VLOOKUP(C1803,Customers!$A:$C,3,FALSE)</f>
        <v>40</v>
      </c>
      <c r="P1803" s="18" t="str">
        <f>VLOOKUP(E1802,Sales_Reps!$A:$C,3,FALSE)</f>
        <v>East</v>
      </c>
      <c r="Q1803" s="18" t="str">
        <f t="shared" si="356"/>
        <v>Jun-24</v>
      </c>
      <c r="R1803">
        <f>VLOOKUP(D1803, Products!A:D, 4, FALSE)</f>
        <v>2436</v>
      </c>
      <c r="S1803">
        <f t="shared" si="357"/>
        <v>0.35555555555555557</v>
      </c>
    </row>
    <row r="1804" spans="1:19" ht="14.25" hidden="1" customHeight="1" x14ac:dyDescent="0.3">
      <c r="A1804" s="8" t="s">
        <v>2838</v>
      </c>
      <c r="B1804" s="9">
        <v>45405</v>
      </c>
      <c r="C1804" s="8" t="s">
        <v>858</v>
      </c>
      <c r="D1804" s="8" t="s">
        <v>131</v>
      </c>
      <c r="E1804" s="8" t="s">
        <v>261</v>
      </c>
      <c r="F1804" s="10">
        <v>8</v>
      </c>
      <c r="G1804" s="10">
        <v>2660</v>
      </c>
      <c r="H1804" s="10">
        <v>16.100000000000001</v>
      </c>
      <c r="I1804" s="10">
        <v>17853.919999999998</v>
      </c>
      <c r="J1804" s="8" t="s">
        <v>41</v>
      </c>
      <c r="K1804" s="8" t="s">
        <v>119</v>
      </c>
      <c r="L1804" s="18" t="str">
        <f>VLOOKUP(D1804,Products!$A:$C,3,FALSE)</f>
        <v>Electronics</v>
      </c>
      <c r="N1804" s="18" t="str">
        <f>VLOOKUP(C1804,Customers!$A:$E,5,FALSE)</f>
        <v>Retail</v>
      </c>
      <c r="O1804" s="18">
        <f>VLOOKUP(C1804,Customers!$A:$C,3,FALSE)</f>
        <v>44</v>
      </c>
    </row>
    <row r="1805" spans="1:19" ht="14.25" hidden="1" customHeight="1" x14ac:dyDescent="0.3">
      <c r="A1805" s="8" t="s">
        <v>2839</v>
      </c>
      <c r="B1805" s="9">
        <v>45338</v>
      </c>
      <c r="C1805" s="8" t="s">
        <v>296</v>
      </c>
      <c r="D1805" s="8" t="s">
        <v>929</v>
      </c>
      <c r="E1805" s="8" t="s">
        <v>135</v>
      </c>
      <c r="F1805" s="10">
        <v>6</v>
      </c>
      <c r="G1805" s="10">
        <v>1090</v>
      </c>
      <c r="H1805" s="10">
        <v>20</v>
      </c>
      <c r="I1805" s="10">
        <v>5232</v>
      </c>
      <c r="J1805" s="8" t="s">
        <v>97</v>
      </c>
      <c r="K1805" s="8" t="s">
        <v>178</v>
      </c>
      <c r="L1805" s="18" t="str">
        <f>VLOOKUP(D1805,Products!$A:$C,3,FALSE)</f>
        <v>Home</v>
      </c>
      <c r="N1805" s="18" t="str">
        <f>VLOOKUP(C1805,Customers!$A:$E,5,FALSE)</f>
        <v>Retail</v>
      </c>
      <c r="O1805" s="18">
        <f>VLOOKUP(C1805,Customers!$A:$C,3,FALSE)</f>
        <v>46</v>
      </c>
    </row>
    <row r="1806" spans="1:19" ht="14.25" hidden="1" customHeight="1" x14ac:dyDescent="0.3">
      <c r="A1806" s="8" t="s">
        <v>2840</v>
      </c>
      <c r="B1806" s="9">
        <v>45324</v>
      </c>
      <c r="C1806" s="8" t="s">
        <v>2841</v>
      </c>
      <c r="D1806" s="8" t="s">
        <v>389</v>
      </c>
      <c r="E1806" s="8" t="s">
        <v>221</v>
      </c>
      <c r="F1806" s="10">
        <v>2</v>
      </c>
      <c r="G1806" s="10">
        <v>660</v>
      </c>
      <c r="H1806" s="10">
        <v>18.7</v>
      </c>
      <c r="I1806" s="10">
        <v>1073.1600000000001</v>
      </c>
      <c r="J1806" s="8" t="s">
        <v>41</v>
      </c>
      <c r="K1806" s="8" t="s">
        <v>146</v>
      </c>
      <c r="L1806" s="18" t="str">
        <f>VLOOKUP(D1806,Products!$A:$C,3,FALSE)</f>
        <v>Home</v>
      </c>
      <c r="N1806" s="18" t="e">
        <f>VLOOKUP(C1806,Customers!$A:$E,5,FALSE)</f>
        <v>#N/A</v>
      </c>
      <c r="O1806" s="18" t="e">
        <f>VLOOKUP(C1806,Customers!$A:$C,3,FALSE)</f>
        <v>#N/A</v>
      </c>
    </row>
    <row r="1807" spans="1:19" ht="14.25" hidden="1" customHeight="1" x14ac:dyDescent="0.3">
      <c r="A1807" s="8" t="s">
        <v>2842</v>
      </c>
      <c r="B1807" s="9">
        <v>45332</v>
      </c>
      <c r="C1807" s="8" t="s">
        <v>399</v>
      </c>
      <c r="D1807" s="8" t="s">
        <v>929</v>
      </c>
      <c r="E1807" s="8" t="s">
        <v>301</v>
      </c>
      <c r="F1807" s="10">
        <v>7</v>
      </c>
      <c r="G1807" s="10">
        <v>1090</v>
      </c>
      <c r="H1807" s="10">
        <v>19.399999999999999</v>
      </c>
      <c r="I1807" s="10">
        <v>6149.78</v>
      </c>
      <c r="J1807" s="8" t="s">
        <v>97</v>
      </c>
      <c r="K1807" s="8" t="s">
        <v>146</v>
      </c>
      <c r="L1807" s="18" t="str">
        <f>VLOOKUP(D1807,Products!$A:$C,3,FALSE)</f>
        <v>Home</v>
      </c>
      <c r="N1807" s="18" t="str">
        <f>VLOOKUP(C1807,Customers!$A:$E,5,FALSE)</f>
        <v>SMB</v>
      </c>
      <c r="O1807" s="18">
        <f>VLOOKUP(C1807,Customers!$A:$C,3,FALSE)</f>
        <v>53</v>
      </c>
    </row>
    <row r="1808" spans="1:19" ht="14.25" hidden="1" customHeight="1" x14ac:dyDescent="0.3">
      <c r="A1808" s="8" t="s">
        <v>2843</v>
      </c>
      <c r="B1808" s="9">
        <v>45429</v>
      </c>
      <c r="C1808" s="8" t="s">
        <v>670</v>
      </c>
      <c r="D1808" s="8" t="s">
        <v>918</v>
      </c>
      <c r="E1808" s="8" t="s">
        <v>301</v>
      </c>
      <c r="F1808" s="10">
        <v>3</v>
      </c>
      <c r="G1808" s="10">
        <v>2210</v>
      </c>
      <c r="H1808" s="10">
        <v>11</v>
      </c>
      <c r="I1808" s="10">
        <v>5900.7</v>
      </c>
      <c r="J1808" s="8" t="s">
        <v>41</v>
      </c>
      <c r="K1808" s="8" t="s">
        <v>136</v>
      </c>
      <c r="L1808" s="18" t="str">
        <f>VLOOKUP(D1808,Products!$A:$C,3,FALSE)</f>
        <v>Grocery</v>
      </c>
      <c r="N1808" s="18" t="str">
        <f>VLOOKUP(C1808,Customers!$A:$E,5,FALSE)</f>
        <v>Retail</v>
      </c>
      <c r="O1808" s="18">
        <f>VLOOKUP(C1808,Customers!$A:$C,3,FALSE)</f>
        <v>42</v>
      </c>
    </row>
    <row r="1809" spans="1:19" ht="14.25" hidden="1" customHeight="1" x14ac:dyDescent="0.3">
      <c r="A1809" s="8" t="s">
        <v>2844</v>
      </c>
      <c r="B1809" s="9">
        <v>45420</v>
      </c>
      <c r="C1809" s="8" t="s">
        <v>246</v>
      </c>
      <c r="D1809" s="8" t="s">
        <v>120</v>
      </c>
      <c r="E1809" s="8" t="s">
        <v>236</v>
      </c>
      <c r="F1809" s="10">
        <v>2</v>
      </c>
      <c r="G1809" s="10">
        <v>3970</v>
      </c>
      <c r="H1809" s="10">
        <v>24.9</v>
      </c>
      <c r="I1809" s="10">
        <v>5962.94</v>
      </c>
      <c r="J1809" s="8" t="s">
        <v>41</v>
      </c>
      <c r="K1809" s="8" t="s">
        <v>98</v>
      </c>
      <c r="L1809" s="18" t="str">
        <f>VLOOKUP(D1809,Products!$A:$C,3,FALSE)</f>
        <v>Electronics</v>
      </c>
      <c r="N1809" s="18" t="str">
        <f>VLOOKUP(C1809,Customers!$A:$E,5,FALSE)</f>
        <v>Corporate</v>
      </c>
      <c r="O1809" s="18">
        <f>VLOOKUP(C1809,Customers!$A:$C,3,FALSE)</f>
        <v>55</v>
      </c>
    </row>
    <row r="1810" spans="1:19" ht="14.25" hidden="1" customHeight="1" x14ac:dyDescent="0.3">
      <c r="A1810" s="8" t="s">
        <v>2845</v>
      </c>
      <c r="B1810" s="9">
        <v>45403</v>
      </c>
      <c r="C1810" s="8" t="s">
        <v>801</v>
      </c>
      <c r="D1810" s="8" t="s">
        <v>839</v>
      </c>
      <c r="E1810" s="8" t="s">
        <v>216</v>
      </c>
      <c r="F1810" s="10">
        <v>7</v>
      </c>
      <c r="G1810" s="10">
        <v>4610</v>
      </c>
      <c r="H1810" s="10">
        <v>6.3</v>
      </c>
      <c r="I1810" s="10">
        <v>30236.99</v>
      </c>
      <c r="J1810" s="8" t="s">
        <v>41</v>
      </c>
      <c r="K1810" s="8" t="s">
        <v>42</v>
      </c>
      <c r="L1810" s="18" t="str">
        <f>VLOOKUP(D1810,Products!$A:$C,3,FALSE)</f>
        <v>Home</v>
      </c>
      <c r="N1810" s="18" t="str">
        <f>VLOOKUP(C1810,Customers!$A:$E,5,FALSE)</f>
        <v>Retail</v>
      </c>
      <c r="O1810" s="18">
        <f>VLOOKUP(C1810,Customers!$A:$C,3,FALSE)</f>
        <v>59</v>
      </c>
    </row>
    <row r="1811" spans="1:19" ht="14.25" hidden="1" customHeight="1" x14ac:dyDescent="0.3">
      <c r="A1811" s="8" t="s">
        <v>2846</v>
      </c>
      <c r="B1811" s="9">
        <v>45403</v>
      </c>
      <c r="C1811" s="8" t="s">
        <v>518</v>
      </c>
      <c r="D1811" s="8" t="s">
        <v>949</v>
      </c>
      <c r="E1811" s="8" t="s">
        <v>376</v>
      </c>
      <c r="F1811" s="10">
        <v>10</v>
      </c>
      <c r="G1811" s="10">
        <v>960</v>
      </c>
      <c r="H1811" s="10">
        <v>14.6</v>
      </c>
      <c r="I1811" s="10">
        <v>8198.4</v>
      </c>
      <c r="J1811" s="8" t="s">
        <v>41</v>
      </c>
      <c r="K1811" s="8" t="s">
        <v>119</v>
      </c>
      <c r="L1811" s="18" t="str">
        <f>VLOOKUP(D1811,Products!$A:$C,3,FALSE)</f>
        <v>Beauty</v>
      </c>
      <c r="N1811" s="18" t="str">
        <f>VLOOKUP(C1811,Customers!$A:$E,5,FALSE)</f>
        <v>SMB</v>
      </c>
      <c r="O1811" s="18">
        <f>VLOOKUP(C1811,Customers!$A:$C,3,FALSE)</f>
        <v>55</v>
      </c>
    </row>
    <row r="1812" spans="1:19" ht="14.25" hidden="1" customHeight="1" x14ac:dyDescent="0.3">
      <c r="A1812" s="8" t="s">
        <v>2847</v>
      </c>
      <c r="B1812" s="9">
        <v>45600</v>
      </c>
      <c r="C1812" s="8" t="s">
        <v>587</v>
      </c>
      <c r="D1812" s="8" t="s">
        <v>867</v>
      </c>
      <c r="E1812" s="8" t="s">
        <v>221</v>
      </c>
      <c r="F1812" s="10">
        <v>8</v>
      </c>
      <c r="G1812" s="10">
        <v>3020</v>
      </c>
      <c r="H1812" s="10">
        <v>14.5</v>
      </c>
      <c r="I1812" s="10">
        <v>20656.8</v>
      </c>
      <c r="J1812" s="8" t="s">
        <v>41</v>
      </c>
      <c r="K1812" s="8" t="s">
        <v>136</v>
      </c>
      <c r="L1812" s="18" t="str">
        <f>VLOOKUP(D1812,Products!$A:$C,3,FALSE)</f>
        <v>Beauty</v>
      </c>
      <c r="N1812" s="18" t="str">
        <f>VLOOKUP(C1812,Customers!$A:$E,5,FALSE)</f>
        <v>SMB</v>
      </c>
      <c r="O1812" s="18">
        <f>VLOOKUP(C1812,Customers!$A:$C,3,FALSE)</f>
        <v>64</v>
      </c>
    </row>
    <row r="1813" spans="1:19" ht="14.25" customHeight="1" x14ac:dyDescent="0.3">
      <c r="A1813" s="8" t="s">
        <v>2848</v>
      </c>
      <c r="B1813" s="21">
        <v>45629</v>
      </c>
      <c r="C1813" s="8" t="s">
        <v>191</v>
      </c>
      <c r="D1813" s="8" t="s">
        <v>227</v>
      </c>
      <c r="E1813" s="8" t="s">
        <v>376</v>
      </c>
      <c r="F1813" s="10">
        <v>7</v>
      </c>
      <c r="G1813" s="10">
        <v>2480</v>
      </c>
      <c r="H1813" s="10">
        <v>17.3</v>
      </c>
      <c r="I1813" s="10">
        <v>14356.72</v>
      </c>
      <c r="J1813" s="8" t="s">
        <v>41</v>
      </c>
      <c r="K1813" s="8" t="s">
        <v>42</v>
      </c>
      <c r="L1813" s="18" t="str">
        <f>VLOOKUP(D1813,Products!$A:$C,3,FALSE)</f>
        <v>Apparel</v>
      </c>
      <c r="N1813" s="18" t="str">
        <f>VLOOKUP(C1813,Customers!$A:$E,5,FALSE)</f>
        <v>SMB</v>
      </c>
      <c r="O1813" s="18">
        <f>VLOOKUP(C1813,Customers!$A:$C,3,FALSE)</f>
        <v>39</v>
      </c>
      <c r="P1813" s="18" t="str">
        <f>VLOOKUP(E1812,Sales_Reps!$A:$C,3,FALSE)</f>
        <v>South</v>
      </c>
      <c r="Q1813" s="18" t="str">
        <f t="shared" ref="Q1813:Q1814" si="358">TEXT(B1812,"MMM-YY")</f>
        <v>Nov-24</v>
      </c>
      <c r="R1813">
        <f>VLOOKUP(D1813, Products!A:D, 4, FALSE)</f>
        <v>1173</v>
      </c>
      <c r="S1813">
        <f t="shared" ref="S1813:S1814" si="359">(G1813-R1813)/G1813</f>
        <v>0.52701612903225803</v>
      </c>
    </row>
    <row r="1814" spans="1:19" ht="14.25" customHeight="1" x14ac:dyDescent="0.3">
      <c r="A1814" s="8" t="s">
        <v>2849</v>
      </c>
      <c r="B1814" s="21">
        <v>45330</v>
      </c>
      <c r="C1814" s="8" t="s">
        <v>834</v>
      </c>
      <c r="D1814" s="8" t="s">
        <v>188</v>
      </c>
      <c r="E1814" s="8" t="s">
        <v>745</v>
      </c>
      <c r="F1814" s="10">
        <v>10</v>
      </c>
      <c r="G1814" s="10">
        <v>3870</v>
      </c>
      <c r="H1814" s="10">
        <v>22.4</v>
      </c>
      <c r="I1814" s="10">
        <v>30031.200000000001</v>
      </c>
      <c r="J1814" s="8" t="s">
        <v>97</v>
      </c>
      <c r="K1814" s="8" t="s">
        <v>178</v>
      </c>
      <c r="L1814" s="18" t="str">
        <f>VLOOKUP(D1814,Products!$A:$C,3,FALSE)</f>
        <v>Electronics</v>
      </c>
      <c r="N1814" s="18" t="str">
        <f>VLOOKUP(C1814,Customers!$A:$E,5,FALSE)</f>
        <v>Retail</v>
      </c>
      <c r="O1814" s="18">
        <f>VLOOKUP(C1814,Customers!$A:$C,3,FALSE)</f>
        <v>22</v>
      </c>
      <c r="P1814" s="18" t="str">
        <f>VLOOKUP(E1813,Sales_Reps!$A:$C,3,FALSE)</f>
        <v>West</v>
      </c>
      <c r="Q1814" s="18" t="str">
        <f t="shared" si="358"/>
        <v>Dec-24</v>
      </c>
      <c r="R1814">
        <f>VLOOKUP(D1814, Products!A:D, 4, FALSE)</f>
        <v>1559</v>
      </c>
      <c r="S1814">
        <f t="shared" si="359"/>
        <v>0.59715762273901807</v>
      </c>
    </row>
    <row r="1815" spans="1:19" ht="14.25" hidden="1" customHeight="1" x14ac:dyDescent="0.3">
      <c r="A1815" s="8" t="s">
        <v>2850</v>
      </c>
      <c r="B1815" s="9">
        <v>45551</v>
      </c>
      <c r="C1815" s="8" t="s">
        <v>416</v>
      </c>
      <c r="D1815" s="8" t="s">
        <v>389</v>
      </c>
      <c r="E1815" s="8" t="s">
        <v>196</v>
      </c>
      <c r="F1815" s="10">
        <v>6</v>
      </c>
      <c r="G1815" s="10">
        <v>660</v>
      </c>
      <c r="H1815" s="10">
        <v>27.3</v>
      </c>
      <c r="I1815" s="10">
        <v>2878.92</v>
      </c>
      <c r="J1815" s="8" t="s">
        <v>41</v>
      </c>
      <c r="K1815" s="8" t="s">
        <v>146</v>
      </c>
      <c r="L1815" s="18" t="str">
        <f>VLOOKUP(D1815,Products!$A:$C,3,FALSE)</f>
        <v>Home</v>
      </c>
      <c r="N1815" s="18" t="str">
        <f>VLOOKUP(C1815,Customers!$A:$E,5,FALSE)</f>
        <v>Corporate</v>
      </c>
      <c r="O1815" s="18">
        <f>VLOOKUP(C1815,Customers!$A:$C,3,FALSE)</f>
        <v>62</v>
      </c>
    </row>
    <row r="1816" spans="1:19" ht="14.25" hidden="1" customHeight="1" x14ac:dyDescent="0.3">
      <c r="A1816" s="8" t="s">
        <v>2851</v>
      </c>
      <c r="B1816" s="9">
        <v>45321</v>
      </c>
      <c r="C1816" s="8" t="s">
        <v>2852</v>
      </c>
      <c r="D1816" s="8" t="s">
        <v>188</v>
      </c>
      <c r="E1816" s="8" t="s">
        <v>376</v>
      </c>
      <c r="F1816" s="10">
        <v>3</v>
      </c>
      <c r="G1816" s="10">
        <v>3870</v>
      </c>
      <c r="H1816" s="10">
        <v>7.6</v>
      </c>
      <c r="I1816" s="10">
        <v>10727.64</v>
      </c>
      <c r="J1816" s="8" t="s">
        <v>147</v>
      </c>
      <c r="K1816" s="8" t="s">
        <v>98</v>
      </c>
      <c r="L1816" s="18" t="str">
        <f>VLOOKUP(D1816,Products!$A:$C,3,FALSE)</f>
        <v>Electronics</v>
      </c>
      <c r="N1816" s="18" t="e">
        <f>VLOOKUP(C1816,Customers!$A:$E,5,FALSE)</f>
        <v>#N/A</v>
      </c>
      <c r="O1816" s="18" t="e">
        <f>VLOOKUP(C1816,Customers!$A:$C,3,FALSE)</f>
        <v>#N/A</v>
      </c>
    </row>
    <row r="1817" spans="1:19" ht="14.25" hidden="1" customHeight="1" x14ac:dyDescent="0.3">
      <c r="A1817" s="8" t="s">
        <v>2853</v>
      </c>
      <c r="B1817" s="9">
        <v>45542</v>
      </c>
      <c r="C1817" s="8" t="s">
        <v>35</v>
      </c>
      <c r="D1817" s="8" t="s">
        <v>227</v>
      </c>
      <c r="E1817" s="8" t="s">
        <v>125</v>
      </c>
      <c r="F1817" s="10">
        <v>10</v>
      </c>
      <c r="G1817" s="10">
        <v>2480</v>
      </c>
      <c r="H1817" s="10">
        <v>21.5</v>
      </c>
      <c r="I1817" s="10">
        <v>19468</v>
      </c>
      <c r="J1817" s="8" t="s">
        <v>97</v>
      </c>
      <c r="K1817" s="8" t="s">
        <v>42</v>
      </c>
      <c r="L1817" s="18" t="str">
        <f>VLOOKUP(D1817,Products!$A:$C,3,FALSE)</f>
        <v>Apparel</v>
      </c>
      <c r="N1817" s="18" t="str">
        <f>VLOOKUP(C1817,Customers!$A:$E,5,FALSE)</f>
        <v>SMB</v>
      </c>
      <c r="O1817" s="18">
        <f>VLOOKUP(C1817,Customers!$A:$C,3,FALSE)</f>
        <v>44</v>
      </c>
    </row>
    <row r="1818" spans="1:19" ht="14.25" hidden="1" customHeight="1" x14ac:dyDescent="0.3">
      <c r="A1818" s="8" t="s">
        <v>2854</v>
      </c>
      <c r="B1818" s="9">
        <v>45643</v>
      </c>
      <c r="C1818" s="8" t="s">
        <v>740</v>
      </c>
      <c r="D1818" s="8" t="s">
        <v>181</v>
      </c>
      <c r="E1818" s="8" t="s">
        <v>231</v>
      </c>
      <c r="F1818" s="10">
        <v>8</v>
      </c>
      <c r="G1818" s="10">
        <v>2640</v>
      </c>
      <c r="H1818" s="10">
        <v>22.3</v>
      </c>
      <c r="I1818" s="10">
        <v>16410.240000000002</v>
      </c>
      <c r="J1818" s="8" t="s">
        <v>41</v>
      </c>
      <c r="K1818" s="8" t="s">
        <v>98</v>
      </c>
      <c r="L1818" s="18" t="str">
        <f>VLOOKUP(D1818,Products!$A:$C,3,FALSE)</f>
        <v>Electronics</v>
      </c>
      <c r="N1818" s="18" t="str">
        <f>VLOOKUP(C1818,Customers!$A:$E,5,FALSE)</f>
        <v>Retail</v>
      </c>
      <c r="O1818" s="18">
        <f>VLOOKUP(C1818,Customers!$A:$C,3,FALSE)</f>
        <v>61</v>
      </c>
    </row>
    <row r="1819" spans="1:19" ht="14.25" customHeight="1" x14ac:dyDescent="0.3">
      <c r="A1819" s="8" t="s">
        <v>2855</v>
      </c>
      <c r="B1819" s="21">
        <v>45559</v>
      </c>
      <c r="C1819" s="8" t="s">
        <v>736</v>
      </c>
      <c r="D1819" s="8" t="s">
        <v>171</v>
      </c>
      <c r="E1819" s="8" t="s">
        <v>231</v>
      </c>
      <c r="F1819" s="10">
        <v>8</v>
      </c>
      <c r="G1819" s="10">
        <v>970</v>
      </c>
      <c r="H1819" s="10">
        <v>13.1</v>
      </c>
      <c r="I1819" s="10">
        <v>6743.44</v>
      </c>
      <c r="J1819" s="8" t="s">
        <v>41</v>
      </c>
      <c r="K1819" s="8" t="s">
        <v>178</v>
      </c>
      <c r="L1819" s="18" t="str">
        <f>VLOOKUP(D1819,Products!$A:$C,3,FALSE)</f>
        <v>Grocery</v>
      </c>
      <c r="N1819" s="18" t="str">
        <f>VLOOKUP(C1819,Customers!$A:$E,5,FALSE)</f>
        <v>SMB</v>
      </c>
      <c r="O1819" s="18">
        <f>VLOOKUP(C1819,Customers!$A:$C,3,FALSE)</f>
        <v>25</v>
      </c>
      <c r="P1819" s="18" t="str">
        <f>VLOOKUP(E1818,Sales_Reps!$A:$C,3,FALSE)</f>
        <v>North</v>
      </c>
      <c r="Q1819" s="18" t="str">
        <f t="shared" ref="Q1819:Q1823" si="360">TEXT(B1818,"MMM-YY")</f>
        <v>Dec-24</v>
      </c>
      <c r="R1819">
        <f>VLOOKUP(D1819, Products!A:D, 4, FALSE)</f>
        <v>434</v>
      </c>
      <c r="S1819">
        <f t="shared" ref="S1819:S1823" si="361">(G1819-R1819)/G1819</f>
        <v>0.5525773195876289</v>
      </c>
    </row>
    <row r="1820" spans="1:19" ht="14.25" customHeight="1" x14ac:dyDescent="0.3">
      <c r="A1820" s="8" t="s">
        <v>2856</v>
      </c>
      <c r="B1820" s="21">
        <v>45416</v>
      </c>
      <c r="C1820" s="8" t="s">
        <v>717</v>
      </c>
      <c r="D1820" s="8" t="s">
        <v>152</v>
      </c>
      <c r="E1820" s="8" t="s">
        <v>231</v>
      </c>
      <c r="F1820" s="10">
        <v>6</v>
      </c>
      <c r="G1820" s="10">
        <v>960</v>
      </c>
      <c r="H1820" s="10">
        <v>3.2</v>
      </c>
      <c r="I1820" s="10">
        <v>5575.68</v>
      </c>
      <c r="J1820" s="8" t="s">
        <v>41</v>
      </c>
      <c r="K1820" s="8" t="s">
        <v>146</v>
      </c>
      <c r="L1820" s="18" t="str">
        <f>VLOOKUP(D1820,Products!$A:$C,3,FALSE)</f>
        <v>Sports</v>
      </c>
      <c r="N1820" s="18" t="str">
        <f>VLOOKUP(C1820,Customers!$A:$E,5,FALSE)</f>
        <v>Retail</v>
      </c>
      <c r="O1820" s="18">
        <f>VLOOKUP(C1820,Customers!$A:$C,3,FALSE)</f>
        <v>39</v>
      </c>
      <c r="P1820" s="18" t="str">
        <f>VLOOKUP(E1819,Sales_Reps!$A:$C,3,FALSE)</f>
        <v>North</v>
      </c>
      <c r="Q1820" s="18" t="str">
        <f t="shared" si="360"/>
        <v>Sep-24</v>
      </c>
      <c r="R1820">
        <f>VLOOKUP(D1820, Products!A:D, 4, FALSE)</f>
        <v>705</v>
      </c>
      <c r="S1820">
        <f t="shared" si="361"/>
        <v>0.265625</v>
      </c>
    </row>
    <row r="1821" spans="1:19" ht="14.25" customHeight="1" x14ac:dyDescent="0.3">
      <c r="A1821" s="8" t="s">
        <v>2857</v>
      </c>
      <c r="B1821" s="21">
        <v>45469</v>
      </c>
      <c r="C1821" s="8" t="s">
        <v>286</v>
      </c>
      <c r="D1821" s="8" t="s">
        <v>924</v>
      </c>
      <c r="E1821" s="8" t="s">
        <v>135</v>
      </c>
      <c r="F1821" s="10">
        <v>9</v>
      </c>
      <c r="G1821" s="10">
        <v>2030</v>
      </c>
      <c r="H1821" s="10">
        <v>12.6</v>
      </c>
      <c r="I1821" s="10">
        <v>15967.98</v>
      </c>
      <c r="J1821" s="8" t="s">
        <v>147</v>
      </c>
      <c r="K1821" s="8" t="s">
        <v>98</v>
      </c>
      <c r="L1821" s="18" t="str">
        <f>VLOOKUP(D1821,Products!$A:$C,3,FALSE)</f>
        <v>Home</v>
      </c>
      <c r="N1821" s="18" t="str">
        <f>VLOOKUP(C1821,Customers!$A:$E,5,FALSE)</f>
        <v>Retail</v>
      </c>
      <c r="O1821" s="18">
        <f>VLOOKUP(C1821,Customers!$A:$C,3,FALSE)</f>
        <v>31</v>
      </c>
      <c r="P1821" s="18" t="str">
        <f>VLOOKUP(E1820,Sales_Reps!$A:$C,3,FALSE)</f>
        <v>North</v>
      </c>
      <c r="Q1821" s="18" t="str">
        <f t="shared" si="360"/>
        <v>May-24</v>
      </c>
      <c r="R1821">
        <f>VLOOKUP(D1821, Products!A:D, 4, FALSE)</f>
        <v>1143</v>
      </c>
      <c r="S1821">
        <f t="shared" si="361"/>
        <v>0.43694581280788175</v>
      </c>
    </row>
    <row r="1822" spans="1:19" ht="14.25" customHeight="1" x14ac:dyDescent="0.3">
      <c r="A1822" s="8" t="s">
        <v>2570</v>
      </c>
      <c r="B1822" s="21">
        <v>45387</v>
      </c>
      <c r="C1822" s="8" t="s">
        <v>623</v>
      </c>
      <c r="D1822" s="8" t="s">
        <v>939</v>
      </c>
      <c r="E1822" s="8" t="s">
        <v>153</v>
      </c>
      <c r="F1822" s="10">
        <v>10</v>
      </c>
      <c r="G1822" s="10">
        <v>2290</v>
      </c>
      <c r="H1822" s="10">
        <v>22.2</v>
      </c>
      <c r="I1822" s="10">
        <v>17816.2</v>
      </c>
      <c r="J1822" s="8" t="s">
        <v>41</v>
      </c>
      <c r="K1822" s="8" t="s">
        <v>42</v>
      </c>
      <c r="L1822" s="18" t="str">
        <f>VLOOKUP(D1822,Products!$A:$C,3,FALSE)</f>
        <v>Beauty</v>
      </c>
      <c r="N1822" s="18" t="str">
        <f>VLOOKUP(C1822,Customers!$A:$E,5,FALSE)</f>
        <v>SMB</v>
      </c>
      <c r="O1822" s="18">
        <f>VLOOKUP(C1822,Customers!$A:$C,3,FALSE)</f>
        <v>29</v>
      </c>
      <c r="P1822" s="18" t="str">
        <f>VLOOKUP(E1821,Sales_Reps!$A:$C,3,FALSE)</f>
        <v>North</v>
      </c>
      <c r="Q1822" s="18" t="str">
        <f t="shared" si="360"/>
        <v>Jun-24</v>
      </c>
      <c r="R1822">
        <f>VLOOKUP(D1822, Products!A:D, 4, FALSE)</f>
        <v>1219</v>
      </c>
      <c r="S1822">
        <f t="shared" si="361"/>
        <v>0.46768558951965067</v>
      </c>
    </row>
    <row r="1823" spans="1:19" ht="14.25" customHeight="1" x14ac:dyDescent="0.3">
      <c r="A1823" s="8" t="s">
        <v>2858</v>
      </c>
      <c r="B1823" s="21">
        <v>45373</v>
      </c>
      <c r="C1823" s="8" t="s">
        <v>822</v>
      </c>
      <c r="D1823" s="8" t="s">
        <v>95</v>
      </c>
      <c r="E1823" s="8" t="s">
        <v>619</v>
      </c>
      <c r="F1823" s="10">
        <v>7</v>
      </c>
      <c r="G1823" s="10">
        <v>820</v>
      </c>
      <c r="H1823" s="10">
        <v>6.4</v>
      </c>
      <c r="I1823" s="10">
        <v>5372.64</v>
      </c>
      <c r="J1823" s="8" t="s">
        <v>193</v>
      </c>
      <c r="K1823" s="8" t="s">
        <v>98</v>
      </c>
      <c r="L1823" s="18" t="str">
        <f>VLOOKUP(D1823,Products!$A:$C,3,FALSE)</f>
        <v>Apparel</v>
      </c>
      <c r="N1823" s="18" t="str">
        <f>VLOOKUP(C1823,Customers!$A:$E,5,FALSE)</f>
        <v>Retail</v>
      </c>
      <c r="O1823" s="18">
        <f>VLOOKUP(C1823,Customers!$A:$C,3,FALSE)</f>
        <v>26</v>
      </c>
      <c r="P1823" s="18" t="str">
        <f>VLOOKUP(E1822,Sales_Reps!$A:$C,3,FALSE)</f>
        <v>West</v>
      </c>
      <c r="Q1823" s="18" t="str">
        <f t="shared" si="360"/>
        <v>Apr-24</v>
      </c>
      <c r="R1823">
        <f>VLOOKUP(D1823, Products!A:D, 4, FALSE)</f>
        <v>391</v>
      </c>
      <c r="S1823">
        <f t="shared" si="361"/>
        <v>0.52317073170731709</v>
      </c>
    </row>
    <row r="1824" spans="1:19" ht="14.25" hidden="1" customHeight="1" x14ac:dyDescent="0.3">
      <c r="A1824" s="8" t="s">
        <v>2859</v>
      </c>
      <c r="B1824" s="9">
        <v>45614</v>
      </c>
      <c r="C1824" s="8" t="s">
        <v>558</v>
      </c>
      <c r="D1824" s="8" t="s">
        <v>224</v>
      </c>
      <c r="E1824" s="8" t="s">
        <v>143</v>
      </c>
      <c r="F1824" s="10">
        <v>5</v>
      </c>
      <c r="G1824" s="10">
        <v>1080</v>
      </c>
      <c r="H1824" s="10">
        <v>6</v>
      </c>
      <c r="I1824" s="10">
        <v>5076</v>
      </c>
      <c r="J1824" s="8" t="s">
        <v>41</v>
      </c>
      <c r="K1824" s="8" t="s">
        <v>178</v>
      </c>
      <c r="L1824" s="18" t="str">
        <f>VLOOKUP(D1824,Products!$A:$C,3,FALSE)</f>
        <v>Home</v>
      </c>
      <c r="N1824" s="18" t="str">
        <f>VLOOKUP(C1824,Customers!$A:$E,5,FALSE)</f>
        <v>SMB</v>
      </c>
      <c r="O1824" s="18">
        <f>VLOOKUP(C1824,Customers!$A:$C,3,FALSE)</f>
        <v>65</v>
      </c>
    </row>
    <row r="1825" spans="1:19" ht="14.25" hidden="1" customHeight="1" x14ac:dyDescent="0.3">
      <c r="A1825" s="8" t="s">
        <v>2860</v>
      </c>
      <c r="B1825" s="9">
        <v>45310</v>
      </c>
      <c r="C1825" s="8" t="s">
        <v>446</v>
      </c>
      <c r="D1825" s="8" t="s">
        <v>199</v>
      </c>
      <c r="E1825" s="8" t="s">
        <v>172</v>
      </c>
      <c r="F1825" s="10">
        <v>4</v>
      </c>
      <c r="G1825" s="10">
        <v>190</v>
      </c>
      <c r="H1825" s="10">
        <v>6.3</v>
      </c>
      <c r="I1825" s="10">
        <v>712.12</v>
      </c>
      <c r="J1825" s="8" t="s">
        <v>193</v>
      </c>
      <c r="K1825" s="8" t="s">
        <v>42</v>
      </c>
      <c r="L1825" s="18" t="str">
        <f>VLOOKUP(D1825,Products!$A:$C,3,FALSE)</f>
        <v>Sports</v>
      </c>
      <c r="N1825" s="18" t="str">
        <f>VLOOKUP(C1825,Customers!$A:$E,5,FALSE)</f>
        <v>SMB</v>
      </c>
      <c r="O1825" s="18">
        <f>VLOOKUP(C1825,Customers!$A:$C,3,FALSE)</f>
        <v>49</v>
      </c>
    </row>
    <row r="1826" spans="1:19" ht="14.25" hidden="1" customHeight="1" x14ac:dyDescent="0.3">
      <c r="A1826" s="8" t="s">
        <v>2861</v>
      </c>
      <c r="B1826" s="9">
        <v>45319</v>
      </c>
      <c r="C1826" s="8" t="s">
        <v>686</v>
      </c>
      <c r="D1826" s="8" t="s">
        <v>898</v>
      </c>
      <c r="E1826" s="8" t="s">
        <v>236</v>
      </c>
      <c r="F1826" s="10">
        <v>6</v>
      </c>
      <c r="G1826" s="10">
        <v>2510</v>
      </c>
      <c r="H1826" s="10">
        <v>11.5</v>
      </c>
      <c r="I1826" s="10">
        <v>13328.1</v>
      </c>
      <c r="J1826" s="8" t="s">
        <v>41</v>
      </c>
      <c r="K1826" s="8" t="s">
        <v>98</v>
      </c>
      <c r="L1826" s="18" t="str">
        <f>VLOOKUP(D1826,Products!$A:$C,3,FALSE)</f>
        <v>Apparel</v>
      </c>
      <c r="N1826" s="18" t="str">
        <f>VLOOKUP(C1826,Customers!$A:$E,5,FALSE)</f>
        <v>SMB</v>
      </c>
      <c r="O1826" s="18">
        <f>VLOOKUP(C1826,Customers!$A:$C,3,FALSE)</f>
        <v>55</v>
      </c>
    </row>
    <row r="1827" spans="1:19" ht="14.25" customHeight="1" x14ac:dyDescent="0.3">
      <c r="A1827" s="8" t="s">
        <v>2862</v>
      </c>
      <c r="B1827" s="21">
        <v>45299</v>
      </c>
      <c r="C1827" s="8" t="s">
        <v>133</v>
      </c>
      <c r="D1827" s="8" t="s">
        <v>901</v>
      </c>
      <c r="E1827" s="8" t="s">
        <v>301</v>
      </c>
      <c r="F1827" s="10">
        <v>2</v>
      </c>
      <c r="G1827" s="10">
        <v>3560</v>
      </c>
      <c r="H1827" s="10">
        <v>10.5</v>
      </c>
      <c r="I1827" s="10">
        <v>6372.4</v>
      </c>
      <c r="J1827" s="8" t="s">
        <v>41</v>
      </c>
      <c r="K1827" s="8" t="s">
        <v>98</v>
      </c>
      <c r="L1827" s="18" t="str">
        <f>VLOOKUP(D1827,Products!$A:$C,3,FALSE)</f>
        <v>Apparel</v>
      </c>
      <c r="N1827" s="18" t="str">
        <f>VLOOKUP(C1827,Customers!$A:$E,5,FALSE)</f>
        <v>Retail</v>
      </c>
      <c r="O1827" s="18">
        <f>VLOOKUP(C1827,Customers!$A:$C,3,FALSE)</f>
        <v>36</v>
      </c>
      <c r="P1827" s="18" t="str">
        <f>VLOOKUP(E1826,Sales_Reps!$A:$C,3,FALSE)</f>
        <v>West</v>
      </c>
      <c r="Q1827" s="18" t="str">
        <f>TEXT(B1826,"MMM-YY")</f>
        <v>Jan-24</v>
      </c>
      <c r="R1827">
        <f>VLOOKUP(D1827, Products!A:D, 4, FALSE)</f>
        <v>2629</v>
      </c>
      <c r="S1827">
        <f>(G1827-R1827)/G1827</f>
        <v>0.26151685393258428</v>
      </c>
    </row>
    <row r="1828" spans="1:19" ht="14.25" hidden="1" customHeight="1" x14ac:dyDescent="0.3">
      <c r="A1828" s="8" t="s">
        <v>2863</v>
      </c>
      <c r="B1828" s="9">
        <v>45556</v>
      </c>
      <c r="C1828" s="8" t="s">
        <v>541</v>
      </c>
      <c r="D1828" s="8" t="s">
        <v>95</v>
      </c>
      <c r="E1828" s="8" t="s">
        <v>745</v>
      </c>
      <c r="F1828" s="10">
        <v>3</v>
      </c>
      <c r="G1828" s="10">
        <v>820</v>
      </c>
      <c r="H1828" s="10">
        <v>13</v>
      </c>
      <c r="I1828" s="10">
        <v>2140.1999999999998</v>
      </c>
      <c r="J1828" s="8" t="s">
        <v>147</v>
      </c>
      <c r="K1828" s="8" t="s">
        <v>136</v>
      </c>
      <c r="L1828" s="18" t="str">
        <f>VLOOKUP(D1828,Products!$A:$C,3,FALSE)</f>
        <v>Apparel</v>
      </c>
      <c r="N1828" s="18" t="str">
        <f>VLOOKUP(C1828,Customers!$A:$E,5,FALSE)</f>
        <v>Corporate</v>
      </c>
      <c r="O1828" s="18">
        <f>VLOOKUP(C1828,Customers!$A:$C,3,FALSE)</f>
        <v>41</v>
      </c>
    </row>
    <row r="1829" spans="1:19" ht="14.25" hidden="1" customHeight="1" x14ac:dyDescent="0.3">
      <c r="A1829" s="8" t="s">
        <v>2864</v>
      </c>
      <c r="B1829" s="9">
        <v>45500</v>
      </c>
      <c r="C1829" s="8" t="s">
        <v>367</v>
      </c>
      <c r="D1829" s="8" t="s">
        <v>644</v>
      </c>
      <c r="E1829" s="8" t="s">
        <v>200</v>
      </c>
      <c r="F1829" s="10">
        <v>6</v>
      </c>
      <c r="G1829" s="10">
        <v>3640</v>
      </c>
      <c r="H1829" s="10">
        <v>14</v>
      </c>
      <c r="I1829" s="10">
        <v>18782.400000000001</v>
      </c>
      <c r="J1829" s="8" t="s">
        <v>41</v>
      </c>
      <c r="K1829" s="8" t="s">
        <v>146</v>
      </c>
      <c r="L1829" s="18" t="str">
        <f>VLOOKUP(D1829,Products!$A:$C,3,FALSE)</f>
        <v>Apparel</v>
      </c>
      <c r="N1829" s="18" t="str">
        <f>VLOOKUP(C1829,Customers!$A:$E,5,FALSE)</f>
        <v>Corporate</v>
      </c>
      <c r="O1829" s="18">
        <f>VLOOKUP(C1829,Customers!$A:$C,3,FALSE)</f>
        <v>42</v>
      </c>
    </row>
    <row r="1830" spans="1:19" ht="14.25" hidden="1" customHeight="1" x14ac:dyDescent="0.3">
      <c r="A1830" s="8" t="s">
        <v>2865</v>
      </c>
      <c r="B1830" s="9">
        <v>45370</v>
      </c>
      <c r="C1830" s="8" t="s">
        <v>218</v>
      </c>
      <c r="D1830" s="8" t="s">
        <v>124</v>
      </c>
      <c r="E1830" s="8" t="s">
        <v>158</v>
      </c>
      <c r="F1830" s="10">
        <v>5</v>
      </c>
      <c r="G1830" s="10">
        <v>3660</v>
      </c>
      <c r="H1830" s="10">
        <v>28.7</v>
      </c>
      <c r="I1830" s="10">
        <v>13047.9</v>
      </c>
      <c r="J1830" s="8" t="s">
        <v>41</v>
      </c>
      <c r="K1830" s="8" t="s">
        <v>146</v>
      </c>
      <c r="L1830" s="18" t="str">
        <f>VLOOKUP(D1830,Products!$A:$C,3,FALSE)</f>
        <v>Grocery</v>
      </c>
      <c r="N1830" s="18" t="str">
        <f>VLOOKUP(C1830,Customers!$A:$E,5,FALSE)</f>
        <v>Retail</v>
      </c>
      <c r="O1830" s="18">
        <f>VLOOKUP(C1830,Customers!$A:$C,3,FALSE)</f>
        <v>54</v>
      </c>
    </row>
    <row r="1831" spans="1:19" ht="14.25" customHeight="1" x14ac:dyDescent="0.3">
      <c r="A1831" s="8" t="s">
        <v>2866</v>
      </c>
      <c r="B1831" s="21">
        <v>45521</v>
      </c>
      <c r="C1831" s="8" t="s">
        <v>623</v>
      </c>
      <c r="D1831" s="8" t="s">
        <v>338</v>
      </c>
      <c r="E1831" s="8" t="s">
        <v>143</v>
      </c>
      <c r="F1831" s="10">
        <v>2</v>
      </c>
      <c r="G1831" s="10">
        <v>2860</v>
      </c>
      <c r="H1831" s="10">
        <v>21.1</v>
      </c>
      <c r="I1831" s="10">
        <v>4513.08</v>
      </c>
      <c r="J1831" s="8" t="s">
        <v>41</v>
      </c>
      <c r="K1831" s="8" t="s">
        <v>42</v>
      </c>
      <c r="L1831" s="18" t="str">
        <f>VLOOKUP(D1831,Products!$A:$C,3,FALSE)</f>
        <v>Sports</v>
      </c>
      <c r="N1831" s="18" t="str">
        <f>VLOOKUP(C1831,Customers!$A:$E,5,FALSE)</f>
        <v>SMB</v>
      </c>
      <c r="O1831" s="18">
        <f>VLOOKUP(C1831,Customers!$A:$C,3,FALSE)</f>
        <v>29</v>
      </c>
      <c r="P1831" s="18" t="str">
        <f>VLOOKUP(E1830,Sales_Reps!$A:$C,3,FALSE)</f>
        <v>East</v>
      </c>
      <c r="Q1831" s="18" t="str">
        <f>TEXT(B1830,"MMM-YY")</f>
        <v>Mar-24</v>
      </c>
      <c r="R1831">
        <f>VLOOKUP(D1831, Products!A:D, 4, FALSE)</f>
        <v>2028</v>
      </c>
      <c r="S1831">
        <f>(G1831-R1831)/G1831</f>
        <v>0.29090909090909089</v>
      </c>
    </row>
    <row r="1832" spans="1:19" ht="14.25" hidden="1" customHeight="1" x14ac:dyDescent="0.3">
      <c r="A1832" s="8" t="s">
        <v>2867</v>
      </c>
      <c r="B1832" s="9">
        <v>45481</v>
      </c>
      <c r="C1832" s="8" t="s">
        <v>616</v>
      </c>
      <c r="D1832" s="8" t="s">
        <v>239</v>
      </c>
      <c r="E1832" s="8" t="s">
        <v>158</v>
      </c>
      <c r="F1832" s="10">
        <v>1</v>
      </c>
      <c r="G1832" s="10">
        <v>2720</v>
      </c>
      <c r="H1832" s="10">
        <v>22.1</v>
      </c>
      <c r="I1832" s="10">
        <v>2118.88</v>
      </c>
      <c r="J1832" s="8" t="s">
        <v>41</v>
      </c>
      <c r="K1832" s="8" t="s">
        <v>119</v>
      </c>
      <c r="L1832" s="18" t="str">
        <f>VLOOKUP(D1832,Products!$A:$C,3,FALSE)</f>
        <v>Apparel</v>
      </c>
      <c r="N1832" s="18" t="str">
        <f>VLOOKUP(C1832,Customers!$A:$E,5,FALSE)</f>
        <v>Retail</v>
      </c>
      <c r="O1832" s="18">
        <f>VLOOKUP(C1832,Customers!$A:$C,3,FALSE)</f>
        <v>43</v>
      </c>
    </row>
    <row r="1833" spans="1:19" ht="14.25" hidden="1" customHeight="1" x14ac:dyDescent="0.3">
      <c r="A1833" s="8" t="s">
        <v>2868</v>
      </c>
      <c r="B1833" s="9">
        <v>45633</v>
      </c>
      <c r="C1833" s="8" t="s">
        <v>727</v>
      </c>
      <c r="D1833" s="8" t="s">
        <v>338</v>
      </c>
      <c r="E1833" s="8" t="s">
        <v>185</v>
      </c>
      <c r="F1833" s="10">
        <v>6</v>
      </c>
      <c r="G1833" s="10">
        <v>2860</v>
      </c>
      <c r="H1833" s="10">
        <v>10.5</v>
      </c>
      <c r="I1833" s="10">
        <v>15358.2</v>
      </c>
      <c r="J1833" s="8" t="s">
        <v>147</v>
      </c>
      <c r="K1833" s="8" t="s">
        <v>136</v>
      </c>
      <c r="L1833" s="18" t="str">
        <f>VLOOKUP(D1833,Products!$A:$C,3,FALSE)</f>
        <v>Sports</v>
      </c>
      <c r="N1833" s="18" t="str">
        <f>VLOOKUP(C1833,Customers!$A:$E,5,FALSE)</f>
        <v>Retail</v>
      </c>
      <c r="O1833" s="18">
        <f>VLOOKUP(C1833,Customers!$A:$C,3,FALSE)</f>
        <v>46</v>
      </c>
    </row>
    <row r="1834" spans="1:19" ht="14.25" customHeight="1" x14ac:dyDescent="0.3">
      <c r="A1834" s="8" t="s">
        <v>2869</v>
      </c>
      <c r="B1834" s="21">
        <v>45305</v>
      </c>
      <c r="C1834" s="8" t="s">
        <v>369</v>
      </c>
      <c r="D1834" s="8" t="s">
        <v>898</v>
      </c>
      <c r="E1834" s="8" t="s">
        <v>321</v>
      </c>
      <c r="F1834" s="10">
        <v>1</v>
      </c>
      <c r="G1834" s="10">
        <v>2510</v>
      </c>
      <c r="H1834" s="10">
        <v>12</v>
      </c>
      <c r="I1834" s="10">
        <v>2208.8000000000002</v>
      </c>
      <c r="J1834" s="8" t="s">
        <v>41</v>
      </c>
      <c r="K1834" s="8" t="s">
        <v>146</v>
      </c>
      <c r="L1834" s="18" t="str">
        <f>VLOOKUP(D1834,Products!$A:$C,3,FALSE)</f>
        <v>Apparel</v>
      </c>
      <c r="N1834" s="18" t="str">
        <f>VLOOKUP(C1834,Customers!$A:$E,5,FALSE)</f>
        <v>Retail</v>
      </c>
      <c r="O1834" s="18">
        <f>VLOOKUP(C1834,Customers!$A:$C,3,FALSE)</f>
        <v>37</v>
      </c>
      <c r="P1834" s="18" t="str">
        <f>VLOOKUP(E1833,Sales_Reps!$A:$C,3,FALSE)</f>
        <v>North</v>
      </c>
      <c r="Q1834" s="18" t="str">
        <f>TEXT(B1833,"MMM-YY")</f>
        <v>Dec-24</v>
      </c>
      <c r="R1834">
        <f>VLOOKUP(D1834, Products!A:D, 4, FALSE)</f>
        <v>1075</v>
      </c>
      <c r="S1834">
        <f>(G1834-R1834)/G1834</f>
        <v>0.57171314741035861</v>
      </c>
    </row>
    <row r="1835" spans="1:19" ht="14.25" hidden="1" customHeight="1" x14ac:dyDescent="0.3">
      <c r="A1835" s="8" t="s">
        <v>2870</v>
      </c>
      <c r="B1835" s="9">
        <v>45593</v>
      </c>
      <c r="C1835" s="8" t="s">
        <v>759</v>
      </c>
      <c r="D1835" s="8" t="s">
        <v>898</v>
      </c>
      <c r="E1835" s="8" t="s">
        <v>321</v>
      </c>
      <c r="F1835" s="10">
        <v>4</v>
      </c>
      <c r="G1835" s="10">
        <v>2510</v>
      </c>
      <c r="H1835" s="10">
        <v>23.2</v>
      </c>
      <c r="I1835" s="10">
        <v>7710.72</v>
      </c>
      <c r="J1835" s="8" t="s">
        <v>41</v>
      </c>
      <c r="K1835" s="8" t="s">
        <v>98</v>
      </c>
      <c r="L1835" s="18" t="str">
        <f>VLOOKUP(D1835,Products!$A:$C,3,FALSE)</f>
        <v>Apparel</v>
      </c>
      <c r="N1835" s="18" t="str">
        <f>VLOOKUP(C1835,Customers!$A:$E,5,FALSE)</f>
        <v>SMB</v>
      </c>
      <c r="O1835" s="18">
        <f>VLOOKUP(C1835,Customers!$A:$C,3,FALSE)</f>
        <v>59</v>
      </c>
    </row>
    <row r="1836" spans="1:19" ht="14.25" hidden="1" customHeight="1" x14ac:dyDescent="0.3">
      <c r="A1836" s="8" t="s">
        <v>2871</v>
      </c>
      <c r="B1836" s="9">
        <v>45555</v>
      </c>
      <c r="C1836" s="8" t="s">
        <v>571</v>
      </c>
      <c r="D1836" s="8" t="s">
        <v>949</v>
      </c>
      <c r="E1836" s="8" t="s">
        <v>96</v>
      </c>
      <c r="F1836" s="10">
        <v>8</v>
      </c>
      <c r="G1836" s="10">
        <v>960</v>
      </c>
      <c r="H1836" s="10">
        <v>20.3</v>
      </c>
      <c r="I1836" s="10">
        <v>6120.96</v>
      </c>
      <c r="J1836" s="8" t="s">
        <v>97</v>
      </c>
      <c r="K1836" s="8" t="s">
        <v>98</v>
      </c>
      <c r="L1836" s="18" t="str">
        <f>VLOOKUP(D1836,Products!$A:$C,3,FALSE)</f>
        <v>Beauty</v>
      </c>
      <c r="N1836" s="18" t="str">
        <f>VLOOKUP(C1836,Customers!$A:$E,5,FALSE)</f>
        <v>Retail</v>
      </c>
      <c r="O1836" s="18">
        <f>VLOOKUP(C1836,Customers!$A:$C,3,FALSE)</f>
        <v>49</v>
      </c>
    </row>
    <row r="1837" spans="1:19" ht="14.25" customHeight="1" x14ac:dyDescent="0.3">
      <c r="A1837" s="8" t="s">
        <v>2872</v>
      </c>
      <c r="B1837" s="21">
        <v>45406</v>
      </c>
      <c r="C1837" s="8" t="s">
        <v>561</v>
      </c>
      <c r="D1837" s="8" t="s">
        <v>163</v>
      </c>
      <c r="E1837" s="8" t="s">
        <v>177</v>
      </c>
      <c r="F1837" s="10">
        <v>3</v>
      </c>
      <c r="G1837" s="10">
        <v>5490</v>
      </c>
      <c r="H1837" s="10">
        <v>25.2</v>
      </c>
      <c r="I1837" s="10">
        <v>12319.56</v>
      </c>
      <c r="J1837" s="8" t="s">
        <v>41</v>
      </c>
      <c r="K1837" s="8" t="s">
        <v>178</v>
      </c>
      <c r="L1837" s="18" t="str">
        <f>VLOOKUP(D1837,Products!$A:$C,3,FALSE)</f>
        <v>Home</v>
      </c>
      <c r="N1837" s="18" t="str">
        <f>VLOOKUP(C1837,Customers!$A:$E,5,FALSE)</f>
        <v>SMB</v>
      </c>
      <c r="O1837" s="18">
        <f>VLOOKUP(C1837,Customers!$A:$C,3,FALSE)</f>
        <v>39</v>
      </c>
      <c r="P1837" s="18" t="str">
        <f>VLOOKUP(E1836,Sales_Reps!$A:$C,3,FALSE)</f>
        <v>North</v>
      </c>
      <c r="Q1837" s="18" t="str">
        <f>TEXT(B1836,"MMM-YY")</f>
        <v>Sep-24</v>
      </c>
      <c r="R1837">
        <f>VLOOKUP(D1837, Products!A:D, 4, FALSE)</f>
        <v>2549</v>
      </c>
      <c r="S1837">
        <f>(G1837-R1837)/G1837</f>
        <v>0.53570127504553733</v>
      </c>
    </row>
    <row r="1838" spans="1:19" ht="14.25" hidden="1" customHeight="1" x14ac:dyDescent="0.3">
      <c r="A1838" s="8" t="s">
        <v>2873</v>
      </c>
      <c r="B1838" s="9">
        <v>45647</v>
      </c>
      <c r="C1838" s="8" t="s">
        <v>631</v>
      </c>
      <c r="D1838" s="8" t="s">
        <v>898</v>
      </c>
      <c r="E1838" s="8" t="s">
        <v>125</v>
      </c>
      <c r="F1838" s="10">
        <v>2</v>
      </c>
      <c r="G1838" s="10">
        <v>2510</v>
      </c>
      <c r="H1838" s="10">
        <v>28.2</v>
      </c>
      <c r="I1838" s="10">
        <v>3604.36</v>
      </c>
      <c r="J1838" s="8" t="s">
        <v>41</v>
      </c>
      <c r="K1838" s="8" t="s">
        <v>42</v>
      </c>
      <c r="L1838" s="18" t="str">
        <f>VLOOKUP(D1838,Products!$A:$C,3,FALSE)</f>
        <v>Apparel</v>
      </c>
      <c r="N1838" s="18" t="str">
        <f>VLOOKUP(C1838,Customers!$A:$E,5,FALSE)</f>
        <v>Retail</v>
      </c>
      <c r="O1838" s="18">
        <f>VLOOKUP(C1838,Customers!$A:$C,3,FALSE)</f>
        <v>54</v>
      </c>
    </row>
    <row r="1839" spans="1:19" ht="14.25" hidden="1" customHeight="1" x14ac:dyDescent="0.3">
      <c r="A1839" s="8" t="s">
        <v>2874</v>
      </c>
      <c r="B1839" s="9">
        <v>45386</v>
      </c>
      <c r="C1839" s="8" t="s">
        <v>846</v>
      </c>
      <c r="D1839" s="8" t="s">
        <v>95</v>
      </c>
      <c r="E1839" s="8" t="s">
        <v>865</v>
      </c>
      <c r="F1839" s="10">
        <v>1</v>
      </c>
      <c r="G1839" s="10">
        <v>820</v>
      </c>
      <c r="H1839" s="10">
        <v>4.7</v>
      </c>
      <c r="I1839" s="10">
        <v>781.46</v>
      </c>
      <c r="J1839" s="8" t="s">
        <v>41</v>
      </c>
      <c r="K1839" s="8" t="s">
        <v>119</v>
      </c>
      <c r="L1839" s="18" t="str">
        <f>VLOOKUP(D1839,Products!$A:$C,3,FALSE)</f>
        <v>Apparel</v>
      </c>
      <c r="N1839" s="18" t="str">
        <f>VLOOKUP(C1839,Customers!$A:$E,5,FALSE)</f>
        <v>Retail</v>
      </c>
      <c r="O1839" s="18">
        <f>VLOOKUP(C1839,Customers!$A:$C,3,FALSE)</f>
        <v>63</v>
      </c>
    </row>
    <row r="1840" spans="1:19" ht="14.25" customHeight="1" x14ac:dyDescent="0.3">
      <c r="A1840" s="8" t="s">
        <v>165</v>
      </c>
      <c r="B1840" s="21">
        <v>45453</v>
      </c>
      <c r="C1840" s="8" t="s">
        <v>166</v>
      </c>
      <c r="D1840" s="8" t="s">
        <v>154</v>
      </c>
      <c r="E1840" s="8" t="s">
        <v>167</v>
      </c>
      <c r="F1840" s="10">
        <v>6</v>
      </c>
      <c r="G1840" s="10">
        <v>300</v>
      </c>
      <c r="H1840" s="10">
        <v>13.3</v>
      </c>
      <c r="I1840" s="10">
        <v>1560.6</v>
      </c>
      <c r="J1840" s="8" t="s">
        <v>41</v>
      </c>
      <c r="K1840" s="8" t="s">
        <v>146</v>
      </c>
      <c r="L1840" s="18" t="str">
        <f>VLOOKUP(D1840,Products!$A:$C,3,FALSE)</f>
        <v>Electronics</v>
      </c>
      <c r="N1840" s="18" t="str">
        <f>VLOOKUP(C1840,Customers!$A:$E,5,FALSE)</f>
        <v>SMB</v>
      </c>
      <c r="O1840" s="18">
        <f>VLOOKUP(C1840,Customers!$A:$C,3,FALSE)</f>
        <v>22</v>
      </c>
      <c r="P1840" s="18" t="str">
        <f>VLOOKUP(E1839,Sales_Reps!$A:$C,3,FALSE)</f>
        <v>South</v>
      </c>
      <c r="Q1840" s="18" t="str">
        <f t="shared" ref="Q1840:Q1841" si="362">TEXT(B1839,"MMM-YY")</f>
        <v>Apr-24</v>
      </c>
      <c r="R1840">
        <f>VLOOKUP(D1840, Products!A:D, 4, FALSE)</f>
        <v>128</v>
      </c>
      <c r="S1840">
        <f t="shared" ref="S1840:S1841" si="363">(G1840-R1840)/G1840</f>
        <v>0.57333333333333336</v>
      </c>
    </row>
    <row r="1841" spans="1:19" ht="14.25" customHeight="1" x14ac:dyDescent="0.3">
      <c r="A1841" s="8" t="s">
        <v>2875</v>
      </c>
      <c r="B1841" s="21">
        <v>45492</v>
      </c>
      <c r="C1841" s="8" t="s">
        <v>133</v>
      </c>
      <c r="D1841" s="8" t="s">
        <v>247</v>
      </c>
      <c r="E1841" s="8" t="s">
        <v>221</v>
      </c>
      <c r="F1841" s="10">
        <v>4</v>
      </c>
      <c r="G1841" s="10">
        <v>3350</v>
      </c>
      <c r="H1841" s="10">
        <v>5.8</v>
      </c>
      <c r="I1841" s="10">
        <v>12622.8</v>
      </c>
      <c r="J1841" s="8" t="s">
        <v>97</v>
      </c>
      <c r="K1841" s="8" t="s">
        <v>98</v>
      </c>
      <c r="L1841" s="18" t="str">
        <f>VLOOKUP(D1841,Products!$A:$C,3,FALSE)</f>
        <v>Beauty</v>
      </c>
      <c r="N1841" s="18" t="str">
        <f>VLOOKUP(C1841,Customers!$A:$E,5,FALSE)</f>
        <v>Retail</v>
      </c>
      <c r="O1841" s="18">
        <f>VLOOKUP(C1841,Customers!$A:$C,3,FALSE)</f>
        <v>36</v>
      </c>
      <c r="P1841" s="18" t="str">
        <f>VLOOKUP(E1840,Sales_Reps!$A:$C,3,FALSE)</f>
        <v>East</v>
      </c>
      <c r="Q1841" s="18" t="str">
        <f t="shared" si="362"/>
        <v>Jun-24</v>
      </c>
      <c r="R1841">
        <f>VLOOKUP(D1841, Products!A:D, 4, FALSE)</f>
        <v>1728</v>
      </c>
      <c r="S1841">
        <f t="shared" si="363"/>
        <v>0.48417910447761192</v>
      </c>
    </row>
    <row r="1842" spans="1:19" ht="14.25" hidden="1" customHeight="1" x14ac:dyDescent="0.3">
      <c r="A1842" s="8" t="s">
        <v>2876</v>
      </c>
      <c r="B1842" s="9">
        <v>45605</v>
      </c>
      <c r="C1842" s="8" t="s">
        <v>836</v>
      </c>
      <c r="D1842" s="8" t="s">
        <v>192</v>
      </c>
      <c r="E1842" s="8" t="s">
        <v>145</v>
      </c>
      <c r="F1842" s="10">
        <v>3</v>
      </c>
      <c r="G1842" s="10">
        <v>3250</v>
      </c>
      <c r="H1842" s="10">
        <v>19.600000000000001</v>
      </c>
      <c r="I1842" s="10">
        <v>7839</v>
      </c>
      <c r="J1842" s="8" t="s">
        <v>97</v>
      </c>
      <c r="K1842" s="8" t="s">
        <v>119</v>
      </c>
      <c r="L1842" s="18" t="str">
        <f>VLOOKUP(D1842,Products!$A:$C,3,FALSE)</f>
        <v>Home</v>
      </c>
      <c r="N1842" s="18" t="str">
        <f>VLOOKUP(C1842,Customers!$A:$E,5,FALSE)</f>
        <v>Retail</v>
      </c>
      <c r="O1842" s="18">
        <f>VLOOKUP(C1842,Customers!$A:$C,3,FALSE)</f>
        <v>62</v>
      </c>
    </row>
    <row r="1843" spans="1:19" ht="14.25" hidden="1" customHeight="1" x14ac:dyDescent="0.3">
      <c r="A1843" s="8" t="s">
        <v>2877</v>
      </c>
      <c r="B1843" s="9">
        <v>45344</v>
      </c>
      <c r="C1843" s="8" t="s">
        <v>207</v>
      </c>
      <c r="D1843" s="8" t="s">
        <v>242</v>
      </c>
      <c r="E1843" s="8" t="s">
        <v>619</v>
      </c>
      <c r="F1843" s="10">
        <v>10</v>
      </c>
      <c r="G1843" s="10">
        <v>1650</v>
      </c>
      <c r="H1843" s="10">
        <v>22.5</v>
      </c>
      <c r="I1843" s="10">
        <v>12787.5</v>
      </c>
      <c r="J1843" s="8" t="s">
        <v>147</v>
      </c>
      <c r="K1843" s="8" t="s">
        <v>136</v>
      </c>
      <c r="L1843" s="18" t="str">
        <f>VLOOKUP(D1843,Products!$A:$C,3,FALSE)</f>
        <v>Beauty</v>
      </c>
      <c r="N1843" s="18" t="str">
        <f>VLOOKUP(C1843,Customers!$A:$E,5,FALSE)</f>
        <v>SMB</v>
      </c>
      <c r="O1843" s="18">
        <f>VLOOKUP(C1843,Customers!$A:$C,3,FALSE)</f>
        <v>46</v>
      </c>
    </row>
    <row r="1844" spans="1:19" ht="14.25" customHeight="1" x14ac:dyDescent="0.3">
      <c r="A1844" s="8" t="s">
        <v>2878</v>
      </c>
      <c r="B1844" s="21">
        <v>45506</v>
      </c>
      <c r="C1844" s="8" t="s">
        <v>849</v>
      </c>
      <c r="D1844" s="8" t="s">
        <v>160</v>
      </c>
      <c r="E1844" s="8" t="s">
        <v>376</v>
      </c>
      <c r="F1844" s="10">
        <v>2</v>
      </c>
      <c r="G1844" s="10">
        <v>1220</v>
      </c>
      <c r="H1844" s="10">
        <v>10.5</v>
      </c>
      <c r="I1844" s="10">
        <v>2183.8000000000002</v>
      </c>
      <c r="J1844" s="8" t="s">
        <v>41</v>
      </c>
      <c r="K1844" s="8" t="s">
        <v>136</v>
      </c>
      <c r="L1844" s="18" t="str">
        <f>VLOOKUP(D1844,Products!$A:$C,3,FALSE)</f>
        <v>Electronics</v>
      </c>
      <c r="N1844" s="18" t="str">
        <f>VLOOKUP(C1844,Customers!$A:$E,5,FALSE)</f>
        <v>Retail</v>
      </c>
      <c r="O1844" s="18">
        <f>VLOOKUP(C1844,Customers!$A:$C,3,FALSE)</f>
        <v>32</v>
      </c>
      <c r="P1844" s="18" t="str">
        <f>VLOOKUP(E1843,Sales_Reps!$A:$C,3,FALSE)</f>
        <v>West</v>
      </c>
      <c r="Q1844" s="18" t="str">
        <f>TEXT(B1843,"MMM-YY")</f>
        <v>Feb-24</v>
      </c>
      <c r="R1844">
        <f>VLOOKUP(D1844, Products!A:D, 4, FALSE)</f>
        <v>517</v>
      </c>
      <c r="S1844">
        <f>(G1844-R1844)/G1844</f>
        <v>0.57622950819672136</v>
      </c>
    </row>
    <row r="1845" spans="1:19" ht="14.25" hidden="1" customHeight="1" x14ac:dyDescent="0.3">
      <c r="A1845" s="8" t="s">
        <v>2879</v>
      </c>
      <c r="B1845" s="9">
        <v>45521</v>
      </c>
      <c r="C1845" s="8" t="s">
        <v>296</v>
      </c>
      <c r="D1845" s="8" t="s">
        <v>949</v>
      </c>
      <c r="E1845" s="8" t="s">
        <v>376</v>
      </c>
      <c r="F1845" s="10">
        <v>7</v>
      </c>
      <c r="G1845" s="10">
        <v>960</v>
      </c>
      <c r="H1845" s="10">
        <v>5.4</v>
      </c>
      <c r="I1845" s="10">
        <v>6357.12</v>
      </c>
      <c r="J1845" s="8" t="s">
        <v>193</v>
      </c>
      <c r="K1845" s="8" t="s">
        <v>178</v>
      </c>
      <c r="L1845" s="18" t="str">
        <f>VLOOKUP(D1845,Products!$A:$C,3,FALSE)</f>
        <v>Beauty</v>
      </c>
      <c r="N1845" s="18" t="str">
        <f>VLOOKUP(C1845,Customers!$A:$E,5,FALSE)</f>
        <v>Retail</v>
      </c>
      <c r="O1845" s="18">
        <f>VLOOKUP(C1845,Customers!$A:$C,3,FALSE)</f>
        <v>46</v>
      </c>
    </row>
    <row r="1846" spans="1:19" ht="14.25" hidden="1" customHeight="1" x14ac:dyDescent="0.3">
      <c r="A1846" s="8" t="s">
        <v>2880</v>
      </c>
      <c r="B1846" s="9">
        <v>45389</v>
      </c>
      <c r="C1846" s="8" t="s">
        <v>451</v>
      </c>
      <c r="D1846" s="8" t="s">
        <v>283</v>
      </c>
      <c r="E1846" s="8" t="s">
        <v>117</v>
      </c>
      <c r="F1846" s="10">
        <v>3</v>
      </c>
      <c r="G1846" s="10">
        <v>4880</v>
      </c>
      <c r="H1846" s="10">
        <v>17.100000000000001</v>
      </c>
      <c r="I1846" s="10">
        <v>12136.56</v>
      </c>
      <c r="J1846" s="8" t="s">
        <v>41</v>
      </c>
      <c r="K1846" s="8" t="s">
        <v>146</v>
      </c>
      <c r="L1846" s="18" t="str">
        <f>VLOOKUP(D1846,Products!$A:$C,3,FALSE)</f>
        <v>Beauty</v>
      </c>
      <c r="N1846" s="18" t="str">
        <f>VLOOKUP(C1846,Customers!$A:$E,5,FALSE)</f>
        <v>SMB</v>
      </c>
      <c r="O1846" s="18">
        <f>VLOOKUP(C1846,Customers!$A:$C,3,FALSE)</f>
        <v>43</v>
      </c>
    </row>
    <row r="1847" spans="1:19" ht="14.25" hidden="1" customHeight="1" x14ac:dyDescent="0.3">
      <c r="A1847" s="8" t="s">
        <v>2881</v>
      </c>
      <c r="B1847" s="9">
        <v>45390</v>
      </c>
      <c r="C1847" s="8" t="s">
        <v>759</v>
      </c>
      <c r="D1847" s="8" t="s">
        <v>176</v>
      </c>
      <c r="E1847" s="8" t="s">
        <v>172</v>
      </c>
      <c r="F1847" s="10">
        <v>5</v>
      </c>
      <c r="G1847" s="10">
        <v>2270</v>
      </c>
      <c r="H1847" s="10">
        <v>12.4</v>
      </c>
      <c r="I1847" s="10">
        <v>9942.6</v>
      </c>
      <c r="J1847" s="8" t="s">
        <v>41</v>
      </c>
      <c r="K1847" s="8" t="s">
        <v>98</v>
      </c>
      <c r="L1847" s="18" t="str">
        <f>VLOOKUP(D1847,Products!$A:$C,3,FALSE)</f>
        <v>Grocery</v>
      </c>
      <c r="N1847" s="18" t="str">
        <f>VLOOKUP(C1847,Customers!$A:$E,5,FALSE)</f>
        <v>SMB</v>
      </c>
      <c r="O1847" s="18">
        <f>VLOOKUP(C1847,Customers!$A:$C,3,FALSE)</f>
        <v>59</v>
      </c>
    </row>
    <row r="1848" spans="1:19" ht="14.25" hidden="1" customHeight="1" x14ac:dyDescent="0.3">
      <c r="A1848" s="8" t="s">
        <v>2882</v>
      </c>
      <c r="B1848" s="9">
        <v>45413</v>
      </c>
      <c r="C1848" s="8" t="s">
        <v>772</v>
      </c>
      <c r="D1848" s="8" t="s">
        <v>929</v>
      </c>
      <c r="E1848" s="8" t="s">
        <v>172</v>
      </c>
      <c r="F1848" s="10">
        <v>1</v>
      </c>
      <c r="G1848" s="10">
        <v>1090</v>
      </c>
      <c r="H1848" s="10">
        <v>17.3</v>
      </c>
      <c r="I1848" s="10">
        <v>901.43</v>
      </c>
      <c r="J1848" s="8" t="s">
        <v>41</v>
      </c>
      <c r="K1848" s="8" t="s">
        <v>146</v>
      </c>
      <c r="L1848" s="18" t="str">
        <f>VLOOKUP(D1848,Products!$A:$C,3,FALSE)</f>
        <v>Home</v>
      </c>
      <c r="N1848" s="18" t="str">
        <f>VLOOKUP(C1848,Customers!$A:$E,5,FALSE)</f>
        <v>Retail</v>
      </c>
      <c r="O1848" s="18">
        <f>VLOOKUP(C1848,Customers!$A:$C,3,FALSE)</f>
        <v>44</v>
      </c>
    </row>
    <row r="1849" spans="1:19" ht="14.25" customHeight="1" x14ac:dyDescent="0.3">
      <c r="A1849" s="8" t="s">
        <v>2883</v>
      </c>
      <c r="B1849" s="21">
        <v>45535</v>
      </c>
      <c r="C1849" s="8" t="s">
        <v>328</v>
      </c>
      <c r="D1849" s="8" t="s">
        <v>926</v>
      </c>
      <c r="E1849" s="8" t="s">
        <v>236</v>
      </c>
      <c r="F1849" s="10">
        <v>8</v>
      </c>
      <c r="G1849" s="10">
        <v>5080</v>
      </c>
      <c r="H1849" s="10">
        <v>0.9</v>
      </c>
      <c r="I1849" s="10">
        <v>40274.239999999998</v>
      </c>
      <c r="J1849" s="8" t="s">
        <v>41</v>
      </c>
      <c r="K1849" s="8" t="s">
        <v>178</v>
      </c>
      <c r="L1849" s="18" t="str">
        <f>VLOOKUP(D1849,Products!$A:$C,3,FALSE)</f>
        <v>Home</v>
      </c>
      <c r="N1849" s="18" t="str">
        <f>VLOOKUP(C1849,Customers!$A:$E,5,FALSE)</f>
        <v>Retail</v>
      </c>
      <c r="O1849" s="18">
        <f>VLOOKUP(C1849,Customers!$A:$C,3,FALSE)</f>
        <v>28</v>
      </c>
      <c r="P1849" s="18" t="str">
        <f>VLOOKUP(E1848,Sales_Reps!$A:$C,3,FALSE)</f>
        <v>West</v>
      </c>
      <c r="Q1849" s="18" t="str">
        <f>TEXT(B1848,"MMM-YY")</f>
        <v>May-24</v>
      </c>
      <c r="R1849">
        <f>VLOOKUP(D1849, Products!A:D, 4, FALSE)</f>
        <v>2459</v>
      </c>
      <c r="S1849">
        <f>(G1849-R1849)/G1849</f>
        <v>0.51594488188976373</v>
      </c>
    </row>
    <row r="1850" spans="1:19" ht="14.25" hidden="1" customHeight="1" x14ac:dyDescent="0.3">
      <c r="A1850" s="8" t="s">
        <v>2884</v>
      </c>
      <c r="B1850" s="9">
        <v>45569</v>
      </c>
      <c r="C1850" s="8" t="s">
        <v>715</v>
      </c>
      <c r="D1850" s="8" t="s">
        <v>839</v>
      </c>
      <c r="E1850" s="8" t="s">
        <v>121</v>
      </c>
      <c r="F1850" s="10">
        <v>7</v>
      </c>
      <c r="G1850" s="10">
        <v>4610</v>
      </c>
      <c r="H1850" s="10">
        <v>0.9</v>
      </c>
      <c r="I1850" s="10">
        <v>31979.57</v>
      </c>
      <c r="J1850" s="8" t="s">
        <v>41</v>
      </c>
      <c r="K1850" s="8" t="s">
        <v>42</v>
      </c>
      <c r="L1850" s="18" t="str">
        <f>VLOOKUP(D1850,Products!$A:$C,3,FALSE)</f>
        <v>Home</v>
      </c>
      <c r="N1850" s="18" t="str">
        <f>VLOOKUP(C1850,Customers!$A:$E,5,FALSE)</f>
        <v>SMB</v>
      </c>
      <c r="O1850" s="18">
        <f>VLOOKUP(C1850,Customers!$A:$C,3,FALSE)</f>
        <v>59</v>
      </c>
    </row>
    <row r="1851" spans="1:19" ht="14.25" hidden="1" customHeight="1" x14ac:dyDescent="0.3">
      <c r="A1851" s="8" t="s">
        <v>2885</v>
      </c>
      <c r="B1851" s="9">
        <v>45527</v>
      </c>
      <c r="C1851" s="8" t="s">
        <v>832</v>
      </c>
      <c r="D1851" s="8" t="s">
        <v>867</v>
      </c>
      <c r="E1851" s="8" t="s">
        <v>172</v>
      </c>
      <c r="F1851" s="10">
        <v>1</v>
      </c>
      <c r="G1851" s="10">
        <v>3020</v>
      </c>
      <c r="H1851" s="10">
        <v>10.3</v>
      </c>
      <c r="I1851" s="10">
        <v>2708.94</v>
      </c>
      <c r="J1851" s="8" t="s">
        <v>41</v>
      </c>
      <c r="K1851" s="8" t="s">
        <v>178</v>
      </c>
      <c r="L1851" s="18" t="str">
        <f>VLOOKUP(D1851,Products!$A:$C,3,FALSE)</f>
        <v>Beauty</v>
      </c>
      <c r="N1851" s="18" t="str">
        <f>VLOOKUP(C1851,Customers!$A:$E,5,FALSE)</f>
        <v>SMB</v>
      </c>
      <c r="O1851" s="18">
        <f>VLOOKUP(C1851,Customers!$A:$C,3,FALSE)</f>
        <v>65</v>
      </c>
    </row>
    <row r="1852" spans="1:19" ht="14.25" hidden="1" customHeight="1" x14ac:dyDescent="0.3">
      <c r="A1852" s="8" t="s">
        <v>2886</v>
      </c>
      <c r="B1852" s="9">
        <v>45453</v>
      </c>
      <c r="C1852" s="8" t="s">
        <v>616</v>
      </c>
      <c r="D1852" s="8" t="s">
        <v>691</v>
      </c>
      <c r="E1852" s="8" t="s">
        <v>172</v>
      </c>
      <c r="F1852" s="10">
        <v>6</v>
      </c>
      <c r="G1852" s="10">
        <v>2270</v>
      </c>
      <c r="H1852" s="10">
        <v>23.1</v>
      </c>
      <c r="I1852" s="10">
        <v>10473.780000000001</v>
      </c>
      <c r="J1852" s="8" t="s">
        <v>41</v>
      </c>
      <c r="K1852" s="8" t="s">
        <v>119</v>
      </c>
      <c r="L1852" s="18" t="str">
        <f>VLOOKUP(D1852,Products!$A:$C,3,FALSE)</f>
        <v>Grocery</v>
      </c>
      <c r="N1852" s="18" t="str">
        <f>VLOOKUP(C1852,Customers!$A:$E,5,FALSE)</f>
        <v>Retail</v>
      </c>
      <c r="O1852" s="18">
        <f>VLOOKUP(C1852,Customers!$A:$C,3,FALSE)</f>
        <v>43</v>
      </c>
    </row>
    <row r="1853" spans="1:19" ht="14.25" customHeight="1" x14ac:dyDescent="0.3">
      <c r="A1853" s="8" t="s">
        <v>2887</v>
      </c>
      <c r="B1853" s="21">
        <v>45605</v>
      </c>
      <c r="C1853" s="8" t="s">
        <v>191</v>
      </c>
      <c r="D1853" s="8" t="s">
        <v>818</v>
      </c>
      <c r="E1853" s="8" t="s">
        <v>177</v>
      </c>
      <c r="F1853" s="10">
        <v>6</v>
      </c>
      <c r="G1853" s="10">
        <v>4070</v>
      </c>
      <c r="H1853" s="10">
        <v>28.9</v>
      </c>
      <c r="I1853" s="10">
        <v>17362.62</v>
      </c>
      <c r="J1853" s="8" t="s">
        <v>41</v>
      </c>
      <c r="K1853" s="8" t="s">
        <v>42</v>
      </c>
      <c r="L1853" s="18" t="str">
        <f>VLOOKUP(D1853,Products!$A:$C,3,FALSE)</f>
        <v>Grocery</v>
      </c>
      <c r="N1853" s="18" t="str">
        <f>VLOOKUP(C1853,Customers!$A:$E,5,FALSE)</f>
        <v>SMB</v>
      </c>
      <c r="O1853" s="18">
        <f>VLOOKUP(C1853,Customers!$A:$C,3,FALSE)</f>
        <v>39</v>
      </c>
      <c r="P1853" s="18" t="str">
        <f>VLOOKUP(E1852,Sales_Reps!$A:$C,3,FALSE)</f>
        <v>West</v>
      </c>
      <c r="Q1853" s="18" t="str">
        <f t="shared" ref="Q1853:Q1859" si="364">TEXT(B1852,"MMM-YY")</f>
        <v>Jun-24</v>
      </c>
      <c r="R1853">
        <f>VLOOKUP(D1853, Products!A:D, 4, FALSE)</f>
        <v>2027</v>
      </c>
      <c r="S1853">
        <f t="shared" ref="S1853:S1859" si="365">(G1853-R1853)/G1853</f>
        <v>0.50196560196560192</v>
      </c>
    </row>
    <row r="1854" spans="1:19" ht="14.25" customHeight="1" x14ac:dyDescent="0.3">
      <c r="A1854" s="8" t="s">
        <v>156</v>
      </c>
      <c r="B1854" s="21">
        <v>45650</v>
      </c>
      <c r="C1854" s="8" t="s">
        <v>159</v>
      </c>
      <c r="D1854" s="8" t="s">
        <v>160</v>
      </c>
      <c r="E1854" s="8" t="s">
        <v>121</v>
      </c>
      <c r="F1854" s="10">
        <v>5</v>
      </c>
      <c r="G1854" s="10">
        <v>1220</v>
      </c>
      <c r="H1854" s="10">
        <v>18.7</v>
      </c>
      <c r="I1854" s="10">
        <v>4959.3</v>
      </c>
      <c r="J1854" s="8" t="s">
        <v>41</v>
      </c>
      <c r="K1854" s="8" t="s">
        <v>98</v>
      </c>
      <c r="L1854" s="18" t="str">
        <f>VLOOKUP(D1854,Products!$A:$C,3,FALSE)</f>
        <v>Electronics</v>
      </c>
      <c r="N1854" s="18" t="str">
        <f>VLOOKUP(C1854,Customers!$A:$E,5,FALSE)</f>
        <v>Corporate</v>
      </c>
      <c r="O1854" s="18">
        <f>VLOOKUP(C1854,Customers!$A:$C,3,FALSE)</f>
        <v>34</v>
      </c>
      <c r="P1854" s="18" t="str">
        <f>VLOOKUP(E1853,Sales_Reps!$A:$C,3,FALSE)</f>
        <v>South</v>
      </c>
      <c r="Q1854" s="18" t="str">
        <f t="shared" si="364"/>
        <v>Nov-24</v>
      </c>
      <c r="R1854">
        <f>VLOOKUP(D1854, Products!A:D, 4, FALSE)</f>
        <v>517</v>
      </c>
      <c r="S1854">
        <f t="shared" si="365"/>
        <v>0.57622950819672136</v>
      </c>
    </row>
    <row r="1855" spans="1:19" ht="14.25" customHeight="1" x14ac:dyDescent="0.3">
      <c r="A1855" s="8" t="s">
        <v>2888</v>
      </c>
      <c r="B1855" s="21">
        <v>45412</v>
      </c>
      <c r="C1855" s="8" t="s">
        <v>309</v>
      </c>
      <c r="D1855" s="8" t="s">
        <v>227</v>
      </c>
      <c r="E1855" s="8" t="s">
        <v>153</v>
      </c>
      <c r="F1855" s="10">
        <v>8</v>
      </c>
      <c r="G1855" s="10">
        <v>2480</v>
      </c>
      <c r="H1855" s="10">
        <v>3.2</v>
      </c>
      <c r="I1855" s="10">
        <v>19205.12</v>
      </c>
      <c r="J1855" s="8" t="s">
        <v>147</v>
      </c>
      <c r="K1855" s="8" t="s">
        <v>136</v>
      </c>
      <c r="L1855" s="18" t="str">
        <f>VLOOKUP(D1855,Products!$A:$C,3,FALSE)</f>
        <v>Apparel</v>
      </c>
      <c r="N1855" s="18" t="str">
        <f>VLOOKUP(C1855,Customers!$A:$E,5,FALSE)</f>
        <v>Retail</v>
      </c>
      <c r="O1855" s="18">
        <f>VLOOKUP(C1855,Customers!$A:$C,3,FALSE)</f>
        <v>23</v>
      </c>
      <c r="P1855" s="18" t="str">
        <f>VLOOKUP(E1854,Sales_Reps!$A:$C,3,FALSE)</f>
        <v>East</v>
      </c>
      <c r="Q1855" s="18" t="str">
        <f t="shared" si="364"/>
        <v>Dec-24</v>
      </c>
      <c r="R1855">
        <f>VLOOKUP(D1855, Products!A:D, 4, FALSE)</f>
        <v>1173</v>
      </c>
      <c r="S1855">
        <f t="shared" si="365"/>
        <v>0.52701612903225803</v>
      </c>
    </row>
    <row r="1856" spans="1:19" ht="14.25" customHeight="1" x14ac:dyDescent="0.3">
      <c r="A1856" s="8" t="s">
        <v>2889</v>
      </c>
      <c r="B1856" s="21">
        <v>45554</v>
      </c>
      <c r="C1856" s="8" t="s">
        <v>734</v>
      </c>
      <c r="D1856" s="8" t="s">
        <v>338</v>
      </c>
      <c r="E1856" s="8" t="s">
        <v>38</v>
      </c>
      <c r="F1856" s="10">
        <v>7</v>
      </c>
      <c r="G1856" s="10">
        <v>2860</v>
      </c>
      <c r="H1856" s="10">
        <v>8.4</v>
      </c>
      <c r="I1856" s="10">
        <v>18338.32</v>
      </c>
      <c r="J1856" s="8" t="s">
        <v>41</v>
      </c>
      <c r="K1856" s="8" t="s">
        <v>42</v>
      </c>
      <c r="L1856" s="18" t="str">
        <f>VLOOKUP(D1856,Products!$A:$C,3,FALSE)</f>
        <v>Sports</v>
      </c>
      <c r="N1856" s="18" t="str">
        <f>VLOOKUP(C1856,Customers!$A:$E,5,FALSE)</f>
        <v>Corporate</v>
      </c>
      <c r="O1856" s="18">
        <f>VLOOKUP(C1856,Customers!$A:$C,3,FALSE)</f>
        <v>37</v>
      </c>
      <c r="P1856" s="18" t="str">
        <f>VLOOKUP(E1855,Sales_Reps!$A:$C,3,FALSE)</f>
        <v>West</v>
      </c>
      <c r="Q1856" s="18" t="str">
        <f t="shared" si="364"/>
        <v>Apr-24</v>
      </c>
      <c r="R1856">
        <f>VLOOKUP(D1856, Products!A:D, 4, FALSE)</f>
        <v>2028</v>
      </c>
      <c r="S1856">
        <f t="shared" si="365"/>
        <v>0.29090909090909089</v>
      </c>
    </row>
    <row r="1857" spans="1:19" ht="14.25" customHeight="1" x14ac:dyDescent="0.3">
      <c r="A1857" s="8" t="s">
        <v>2890</v>
      </c>
      <c r="B1857" s="21">
        <v>45365</v>
      </c>
      <c r="C1857" s="8" t="s">
        <v>203</v>
      </c>
      <c r="D1857" s="8" t="s">
        <v>624</v>
      </c>
      <c r="E1857" s="8" t="s">
        <v>153</v>
      </c>
      <c r="F1857" s="10">
        <v>1</v>
      </c>
      <c r="G1857" s="10">
        <v>3780</v>
      </c>
      <c r="H1857" s="10">
        <v>16.3</v>
      </c>
      <c r="I1857" s="10">
        <v>3163.86</v>
      </c>
      <c r="J1857" s="8" t="s">
        <v>147</v>
      </c>
      <c r="K1857" s="8" t="s">
        <v>119</v>
      </c>
      <c r="L1857" s="18" t="str">
        <f>VLOOKUP(D1857,Products!$A:$C,3,FALSE)</f>
        <v>Grocery</v>
      </c>
      <c r="N1857" s="18" t="str">
        <f>VLOOKUP(C1857,Customers!$A:$E,5,FALSE)</f>
        <v>Retail</v>
      </c>
      <c r="O1857" s="18">
        <f>VLOOKUP(C1857,Customers!$A:$C,3,FALSE)</f>
        <v>31</v>
      </c>
      <c r="P1857" s="18" t="str">
        <f>VLOOKUP(E1856,Sales_Reps!$A:$C,3,FALSE)</f>
        <v>North</v>
      </c>
      <c r="Q1857" s="18" t="str">
        <f t="shared" si="364"/>
        <v>Sep-24</v>
      </c>
      <c r="R1857">
        <f>VLOOKUP(D1857, Products!A:D, 4, FALSE)</f>
        <v>2436</v>
      </c>
      <c r="S1857">
        <f t="shared" si="365"/>
        <v>0.35555555555555557</v>
      </c>
    </row>
    <row r="1858" spans="1:19" ht="14.25" customHeight="1" x14ac:dyDescent="0.3">
      <c r="A1858" s="8" t="s">
        <v>2891</v>
      </c>
      <c r="B1858" s="21">
        <v>45504</v>
      </c>
      <c r="C1858" s="8" t="s">
        <v>692</v>
      </c>
      <c r="D1858" s="8" t="s">
        <v>338</v>
      </c>
      <c r="E1858" s="8" t="s">
        <v>145</v>
      </c>
      <c r="F1858" s="10">
        <v>6</v>
      </c>
      <c r="G1858" s="10">
        <v>2860</v>
      </c>
      <c r="H1858" s="10">
        <v>10.7</v>
      </c>
      <c r="I1858" s="10">
        <v>15323.88</v>
      </c>
      <c r="J1858" s="8" t="s">
        <v>41</v>
      </c>
      <c r="K1858" s="8" t="s">
        <v>42</v>
      </c>
      <c r="L1858" s="18" t="str">
        <f>VLOOKUP(D1858,Products!$A:$C,3,FALSE)</f>
        <v>Sports</v>
      </c>
      <c r="N1858" s="18" t="str">
        <f>VLOOKUP(C1858,Customers!$A:$E,5,FALSE)</f>
        <v>Corporate</v>
      </c>
      <c r="O1858" s="18">
        <f>VLOOKUP(C1858,Customers!$A:$C,3,FALSE)</f>
        <v>29</v>
      </c>
      <c r="P1858" s="18" t="str">
        <f>VLOOKUP(E1857,Sales_Reps!$A:$C,3,FALSE)</f>
        <v>West</v>
      </c>
      <c r="Q1858" s="18" t="str">
        <f t="shared" si="364"/>
        <v>Mar-24</v>
      </c>
      <c r="R1858">
        <f>VLOOKUP(D1858, Products!A:D, 4, FALSE)</f>
        <v>2028</v>
      </c>
      <c r="S1858">
        <f t="shared" si="365"/>
        <v>0.29090909090909089</v>
      </c>
    </row>
    <row r="1859" spans="1:19" ht="14.25" customHeight="1" x14ac:dyDescent="0.3">
      <c r="A1859" s="8" t="s">
        <v>2892</v>
      </c>
      <c r="B1859" s="21">
        <v>45652</v>
      </c>
      <c r="C1859" s="8" t="s">
        <v>235</v>
      </c>
      <c r="D1859" s="8" t="s">
        <v>205</v>
      </c>
      <c r="E1859" s="8" t="s">
        <v>619</v>
      </c>
      <c r="F1859" s="10">
        <v>3</v>
      </c>
      <c r="G1859" s="10">
        <v>2400</v>
      </c>
      <c r="H1859" s="10">
        <v>20.7</v>
      </c>
      <c r="I1859" s="10">
        <v>5709.6</v>
      </c>
      <c r="J1859" s="8" t="s">
        <v>41</v>
      </c>
      <c r="K1859" s="8" t="s">
        <v>178</v>
      </c>
      <c r="L1859" s="18" t="str">
        <f>VLOOKUP(D1859,Products!$A:$C,3,FALSE)</f>
        <v>Sports</v>
      </c>
      <c r="N1859" s="18" t="str">
        <f>VLOOKUP(C1859,Customers!$A:$E,5,FALSE)</f>
        <v>SMB</v>
      </c>
      <c r="O1859" s="18">
        <f>VLOOKUP(C1859,Customers!$A:$C,3,FALSE)</f>
        <v>29</v>
      </c>
      <c r="P1859" s="18" t="str">
        <f>VLOOKUP(E1858,Sales_Reps!$A:$C,3,FALSE)</f>
        <v>West</v>
      </c>
      <c r="Q1859" s="18" t="str">
        <f t="shared" si="364"/>
        <v>Jul-24</v>
      </c>
      <c r="R1859">
        <f>VLOOKUP(D1859, Products!A:D, 4, FALSE)</f>
        <v>974</v>
      </c>
      <c r="S1859">
        <f t="shared" si="365"/>
        <v>0.59416666666666662</v>
      </c>
    </row>
    <row r="1860" spans="1:19" ht="14.25" hidden="1" customHeight="1" x14ac:dyDescent="0.3">
      <c r="A1860" s="8" t="s">
        <v>2893</v>
      </c>
      <c r="B1860" s="9">
        <v>45330</v>
      </c>
      <c r="C1860" s="8" t="s">
        <v>656</v>
      </c>
      <c r="D1860" s="8" t="s">
        <v>909</v>
      </c>
      <c r="E1860" s="8" t="s">
        <v>145</v>
      </c>
      <c r="F1860" s="10">
        <v>8</v>
      </c>
      <c r="G1860" s="10">
        <v>2380</v>
      </c>
      <c r="H1860" s="10">
        <v>22.3</v>
      </c>
      <c r="I1860" s="10">
        <v>14794.08</v>
      </c>
      <c r="J1860" s="8" t="s">
        <v>193</v>
      </c>
      <c r="K1860" s="8" t="s">
        <v>136</v>
      </c>
      <c r="L1860" s="18" t="str">
        <f>VLOOKUP(D1860,Products!$A:$C,3,FALSE)</f>
        <v>Grocery</v>
      </c>
      <c r="N1860" s="18" t="str">
        <f>VLOOKUP(C1860,Customers!$A:$E,5,FALSE)</f>
        <v>Retail</v>
      </c>
      <c r="O1860" s="18">
        <f>VLOOKUP(C1860,Customers!$A:$C,3,FALSE)</f>
        <v>54</v>
      </c>
    </row>
    <row r="1861" spans="1:19" ht="14.25" customHeight="1" x14ac:dyDescent="0.3">
      <c r="A1861" s="8" t="s">
        <v>2894</v>
      </c>
      <c r="B1861" s="21">
        <v>45533</v>
      </c>
      <c r="C1861" s="8" t="s">
        <v>613</v>
      </c>
      <c r="D1861" s="8" t="s">
        <v>320</v>
      </c>
      <c r="E1861" s="8" t="s">
        <v>125</v>
      </c>
      <c r="F1861" s="10">
        <v>7</v>
      </c>
      <c r="G1861" s="10">
        <v>5100</v>
      </c>
      <c r="H1861" s="10">
        <v>22.9</v>
      </c>
      <c r="I1861" s="10">
        <v>27524.7</v>
      </c>
      <c r="J1861" s="8" t="s">
        <v>147</v>
      </c>
      <c r="K1861" s="8" t="s">
        <v>42</v>
      </c>
      <c r="L1861" s="18" t="str">
        <f>VLOOKUP(D1861,Products!$A:$C,3,FALSE)</f>
        <v>Beauty</v>
      </c>
      <c r="N1861" s="18" t="str">
        <f>VLOOKUP(C1861,Customers!$A:$E,5,FALSE)</f>
        <v>Retail</v>
      </c>
      <c r="O1861" s="18">
        <f>VLOOKUP(C1861,Customers!$A:$C,3,FALSE)</f>
        <v>29</v>
      </c>
      <c r="P1861" s="18" t="str">
        <f>VLOOKUP(E1860,Sales_Reps!$A:$C,3,FALSE)</f>
        <v>West</v>
      </c>
      <c r="Q1861" s="18" t="str">
        <f t="shared" ref="Q1861:Q1864" si="366">TEXT(B1860,"MMM-YY")</f>
        <v>Feb-24</v>
      </c>
      <c r="R1861">
        <f>VLOOKUP(D1861, Products!A:D, 4, FALSE)</f>
        <v>2237</v>
      </c>
      <c r="S1861">
        <f t="shared" ref="S1861:S1864" si="367">(G1861-R1861)/G1861</f>
        <v>0.56137254901960787</v>
      </c>
    </row>
    <row r="1862" spans="1:19" ht="14.25" customHeight="1" x14ac:dyDescent="0.3">
      <c r="A1862" s="8" t="s">
        <v>2895</v>
      </c>
      <c r="B1862" s="21">
        <v>45463</v>
      </c>
      <c r="C1862" s="8" t="s">
        <v>391</v>
      </c>
      <c r="D1862" s="8" t="s">
        <v>154</v>
      </c>
      <c r="E1862" s="8" t="s">
        <v>301</v>
      </c>
      <c r="F1862" s="10">
        <v>7</v>
      </c>
      <c r="G1862" s="10">
        <v>300</v>
      </c>
      <c r="H1862" s="10">
        <v>15.3</v>
      </c>
      <c r="I1862" s="10">
        <v>1778.7</v>
      </c>
      <c r="J1862" s="8" t="s">
        <v>41</v>
      </c>
      <c r="K1862" s="8" t="s">
        <v>42</v>
      </c>
      <c r="L1862" s="18" t="str">
        <f>VLOOKUP(D1862,Products!$A:$C,3,FALSE)</f>
        <v>Electronics</v>
      </c>
      <c r="N1862" s="18" t="str">
        <f>VLOOKUP(C1862,Customers!$A:$E,5,FALSE)</f>
        <v>Corporate</v>
      </c>
      <c r="O1862" s="18">
        <f>VLOOKUP(C1862,Customers!$A:$C,3,FALSE)</f>
        <v>29</v>
      </c>
      <c r="P1862" s="18" t="str">
        <f>VLOOKUP(E1861,Sales_Reps!$A:$C,3,FALSE)</f>
        <v>North</v>
      </c>
      <c r="Q1862" s="18" t="str">
        <f t="shared" si="366"/>
        <v>Aug-24</v>
      </c>
      <c r="R1862">
        <f>VLOOKUP(D1862, Products!A:D, 4, FALSE)</f>
        <v>128</v>
      </c>
      <c r="S1862">
        <f t="shared" si="367"/>
        <v>0.57333333333333336</v>
      </c>
    </row>
    <row r="1863" spans="1:19" ht="14.25" customHeight="1" x14ac:dyDescent="0.3">
      <c r="A1863" s="8" t="s">
        <v>2896</v>
      </c>
      <c r="B1863" s="21">
        <v>45428</v>
      </c>
      <c r="C1863" s="8" t="s">
        <v>183</v>
      </c>
      <c r="D1863" s="8" t="s">
        <v>219</v>
      </c>
      <c r="E1863" s="8" t="s">
        <v>177</v>
      </c>
      <c r="F1863" s="10">
        <v>5</v>
      </c>
      <c r="G1863" s="10">
        <v>3450</v>
      </c>
      <c r="H1863" s="10">
        <v>16.8</v>
      </c>
      <c r="I1863" s="10">
        <v>14352</v>
      </c>
      <c r="J1863" s="8" t="s">
        <v>41</v>
      </c>
      <c r="K1863" s="8" t="s">
        <v>119</v>
      </c>
      <c r="L1863" s="18" t="str">
        <f>VLOOKUP(D1863,Products!$A:$C,3,FALSE)</f>
        <v>Sports</v>
      </c>
      <c r="N1863" s="18" t="str">
        <f>VLOOKUP(C1863,Customers!$A:$E,5,FALSE)</f>
        <v>SMB</v>
      </c>
      <c r="O1863" s="18">
        <f>VLOOKUP(C1863,Customers!$A:$C,3,FALSE)</f>
        <v>27</v>
      </c>
      <c r="P1863" s="18" t="str">
        <f>VLOOKUP(E1862,Sales_Reps!$A:$C,3,FALSE)</f>
        <v>South</v>
      </c>
      <c r="Q1863" s="18" t="str">
        <f t="shared" si="366"/>
        <v>Jun-24</v>
      </c>
      <c r="R1863">
        <f>VLOOKUP(D1863, Products!A:D, 4, FALSE)</f>
        <v>2467</v>
      </c>
      <c r="S1863">
        <f t="shared" si="367"/>
        <v>0.28492753623188405</v>
      </c>
    </row>
    <row r="1864" spans="1:19" ht="14.25" customHeight="1" x14ac:dyDescent="0.3">
      <c r="A1864" s="8" t="s">
        <v>2897</v>
      </c>
      <c r="B1864" s="21">
        <v>45634</v>
      </c>
      <c r="C1864" s="8" t="s">
        <v>589</v>
      </c>
      <c r="D1864" s="8" t="s">
        <v>338</v>
      </c>
      <c r="E1864" s="8" t="s">
        <v>117</v>
      </c>
      <c r="F1864" s="10">
        <v>4</v>
      </c>
      <c r="G1864" s="10">
        <v>2860</v>
      </c>
      <c r="H1864" s="10">
        <v>14.3</v>
      </c>
      <c r="I1864" s="10">
        <v>9804.08</v>
      </c>
      <c r="J1864" s="8" t="s">
        <v>41</v>
      </c>
      <c r="K1864" s="8" t="s">
        <v>146</v>
      </c>
      <c r="L1864" s="18" t="str">
        <f>VLOOKUP(D1864,Products!$A:$C,3,FALSE)</f>
        <v>Sports</v>
      </c>
      <c r="N1864" s="18" t="str">
        <f>VLOOKUP(C1864,Customers!$A:$E,5,FALSE)</f>
        <v>Retail</v>
      </c>
      <c r="O1864" s="18">
        <f>VLOOKUP(C1864,Customers!$A:$C,3,FALSE)</f>
        <v>35</v>
      </c>
      <c r="P1864" s="18" t="str">
        <f>VLOOKUP(E1863,Sales_Reps!$A:$C,3,FALSE)</f>
        <v>South</v>
      </c>
      <c r="Q1864" s="18" t="str">
        <f t="shared" si="366"/>
        <v>May-24</v>
      </c>
      <c r="R1864">
        <f>VLOOKUP(D1864, Products!A:D, 4, FALSE)</f>
        <v>2028</v>
      </c>
      <c r="S1864">
        <f t="shared" si="367"/>
        <v>0.29090909090909089</v>
      </c>
    </row>
    <row r="1865" spans="1:19" ht="14.25" hidden="1" customHeight="1" x14ac:dyDescent="0.3">
      <c r="A1865" s="8" t="s">
        <v>2898</v>
      </c>
      <c r="B1865" s="9">
        <v>45627</v>
      </c>
      <c r="C1865" s="8" t="s">
        <v>776</v>
      </c>
      <c r="D1865" s="8" t="s">
        <v>239</v>
      </c>
      <c r="E1865" s="8" t="s">
        <v>231</v>
      </c>
      <c r="F1865" s="10">
        <v>6</v>
      </c>
      <c r="G1865" s="10">
        <v>2720</v>
      </c>
      <c r="H1865" s="10">
        <v>25.1</v>
      </c>
      <c r="I1865" s="10">
        <v>12223.68</v>
      </c>
      <c r="J1865" s="8" t="s">
        <v>147</v>
      </c>
      <c r="K1865" s="8" t="s">
        <v>146</v>
      </c>
      <c r="L1865" s="18" t="str">
        <f>VLOOKUP(D1865,Products!$A:$C,3,FALSE)</f>
        <v>Apparel</v>
      </c>
      <c r="N1865" s="18" t="str">
        <f>VLOOKUP(C1865,Customers!$A:$E,5,FALSE)</f>
        <v>Retail</v>
      </c>
      <c r="O1865" s="18">
        <f>VLOOKUP(C1865,Customers!$A:$C,3,FALSE)</f>
        <v>44</v>
      </c>
    </row>
    <row r="1866" spans="1:19" ht="14.25" hidden="1" customHeight="1" x14ac:dyDescent="0.3">
      <c r="A1866" s="8" t="s">
        <v>2899</v>
      </c>
      <c r="B1866" s="9">
        <v>45429</v>
      </c>
      <c r="C1866" s="8" t="s">
        <v>783</v>
      </c>
      <c r="D1866" s="8" t="s">
        <v>569</v>
      </c>
      <c r="E1866" s="8" t="s">
        <v>172</v>
      </c>
      <c r="F1866" s="10">
        <v>3</v>
      </c>
      <c r="G1866" s="10">
        <v>3730</v>
      </c>
      <c r="H1866" s="10">
        <v>24.8</v>
      </c>
      <c r="I1866" s="10">
        <v>8414.8799999999992</v>
      </c>
      <c r="J1866" s="8" t="s">
        <v>41</v>
      </c>
      <c r="K1866" s="8" t="s">
        <v>98</v>
      </c>
      <c r="L1866" s="18" t="str">
        <f>VLOOKUP(D1866,Products!$A:$C,3,FALSE)</f>
        <v>Home</v>
      </c>
      <c r="N1866" s="18" t="str">
        <f>VLOOKUP(C1866,Customers!$A:$E,5,FALSE)</f>
        <v>Corporate</v>
      </c>
      <c r="O1866" s="18">
        <f>VLOOKUP(C1866,Customers!$A:$C,3,FALSE)</f>
        <v>51</v>
      </c>
    </row>
    <row r="1867" spans="1:19" ht="14.25" customHeight="1" x14ac:dyDescent="0.3">
      <c r="A1867" s="8" t="s">
        <v>2900</v>
      </c>
      <c r="B1867" s="21">
        <v>45648</v>
      </c>
      <c r="C1867" s="8" t="s">
        <v>425</v>
      </c>
      <c r="D1867" s="8" t="s">
        <v>912</v>
      </c>
      <c r="E1867" s="8" t="s">
        <v>261</v>
      </c>
      <c r="F1867" s="10">
        <v>2</v>
      </c>
      <c r="G1867" s="10">
        <v>4060</v>
      </c>
      <c r="H1867" s="10">
        <v>11.3</v>
      </c>
      <c r="I1867" s="10">
        <v>7202.44</v>
      </c>
      <c r="J1867" s="8" t="s">
        <v>41</v>
      </c>
      <c r="K1867" s="8" t="s">
        <v>146</v>
      </c>
      <c r="L1867" s="18" t="str">
        <f>VLOOKUP(D1867,Products!$A:$C,3,FALSE)</f>
        <v>Grocery</v>
      </c>
      <c r="N1867" s="18" t="str">
        <f>VLOOKUP(C1867,Customers!$A:$E,5,FALSE)</f>
        <v>Retail</v>
      </c>
      <c r="O1867" s="18">
        <f>VLOOKUP(C1867,Customers!$A:$C,3,FALSE)</f>
        <v>38</v>
      </c>
      <c r="P1867" s="18" t="str">
        <f>VLOOKUP(E1866,Sales_Reps!$A:$C,3,FALSE)</f>
        <v>West</v>
      </c>
      <c r="Q1867" s="18" t="str">
        <f t="shared" ref="Q1867:Q1868" si="368">TEXT(B1866,"MMM-YY")</f>
        <v>May-24</v>
      </c>
      <c r="R1867">
        <f>VLOOKUP(D1867, Products!A:D, 4, FALSE)</f>
        <v>2911</v>
      </c>
      <c r="S1867">
        <f t="shared" ref="S1867:S1868" si="369">(G1867-R1867)/G1867</f>
        <v>0.28300492610837441</v>
      </c>
    </row>
    <row r="1868" spans="1:19" ht="14.25" customHeight="1" x14ac:dyDescent="0.3">
      <c r="A1868" s="8" t="s">
        <v>2901</v>
      </c>
      <c r="B1868" s="21">
        <v>45295</v>
      </c>
      <c r="C1868" s="8" t="s">
        <v>673</v>
      </c>
      <c r="D1868" s="8" t="s">
        <v>939</v>
      </c>
      <c r="E1868" s="8" t="s">
        <v>167</v>
      </c>
      <c r="F1868" s="10">
        <v>6</v>
      </c>
      <c r="G1868" s="10">
        <v>2290</v>
      </c>
      <c r="H1868" s="10">
        <v>26.8</v>
      </c>
      <c r="I1868" s="10">
        <v>10057.68</v>
      </c>
      <c r="J1868" s="8" t="s">
        <v>193</v>
      </c>
      <c r="K1868" s="8" t="s">
        <v>136</v>
      </c>
      <c r="L1868" s="18" t="str">
        <f>VLOOKUP(D1868,Products!$A:$C,3,FALSE)</f>
        <v>Beauty</v>
      </c>
      <c r="N1868" s="18" t="str">
        <f>VLOOKUP(C1868,Customers!$A:$E,5,FALSE)</f>
        <v>Retail</v>
      </c>
      <c r="O1868" s="18">
        <f>VLOOKUP(C1868,Customers!$A:$C,3,FALSE)</f>
        <v>28</v>
      </c>
      <c r="P1868" s="18" t="str">
        <f>VLOOKUP(E1867,Sales_Reps!$A:$C,3,FALSE)</f>
        <v>North</v>
      </c>
      <c r="Q1868" s="18" t="str">
        <f t="shared" si="368"/>
        <v>Dec-24</v>
      </c>
      <c r="R1868">
        <f>VLOOKUP(D1868, Products!A:D, 4, FALSE)</f>
        <v>1219</v>
      </c>
      <c r="S1868">
        <f t="shared" si="369"/>
        <v>0.46768558951965067</v>
      </c>
    </row>
    <row r="1869" spans="1:19" ht="14.25" hidden="1" customHeight="1" x14ac:dyDescent="0.3">
      <c r="A1869" s="8" t="s">
        <v>2902</v>
      </c>
      <c r="B1869" s="9">
        <v>45418</v>
      </c>
      <c r="C1869" s="8" t="s">
        <v>611</v>
      </c>
      <c r="D1869" s="8" t="s">
        <v>959</v>
      </c>
      <c r="E1869" s="8" t="s">
        <v>745</v>
      </c>
      <c r="F1869" s="10">
        <v>1</v>
      </c>
      <c r="G1869" s="10">
        <v>6940</v>
      </c>
      <c r="H1869" s="10">
        <v>15.7</v>
      </c>
      <c r="I1869" s="10">
        <v>5850.42</v>
      </c>
      <c r="J1869" s="8" t="s">
        <v>41</v>
      </c>
      <c r="K1869" s="8" t="s">
        <v>98</v>
      </c>
      <c r="L1869" s="18" t="str">
        <f>VLOOKUP(D1869,Products!$A:$C,3,FALSE)</f>
        <v>Sports</v>
      </c>
      <c r="N1869" s="18" t="str">
        <f>VLOOKUP(C1869,Customers!$A:$E,5,FALSE)</f>
        <v>Retail</v>
      </c>
      <c r="O1869" s="18">
        <f>VLOOKUP(C1869,Customers!$A:$C,3,FALSE)</f>
        <v>60</v>
      </c>
    </row>
    <row r="1870" spans="1:19" ht="14.25" hidden="1" customHeight="1" x14ac:dyDescent="0.3">
      <c r="A1870" s="8" t="s">
        <v>2903</v>
      </c>
      <c r="B1870" s="9">
        <v>45623</v>
      </c>
      <c r="C1870" s="8" t="s">
        <v>755</v>
      </c>
      <c r="D1870" s="8" t="s">
        <v>569</v>
      </c>
      <c r="E1870" s="8" t="s">
        <v>214</v>
      </c>
      <c r="F1870" s="10">
        <v>3</v>
      </c>
      <c r="G1870" s="10">
        <v>3730</v>
      </c>
      <c r="H1870" s="10">
        <v>18.100000000000001</v>
      </c>
      <c r="I1870" s="10">
        <v>9164.61</v>
      </c>
      <c r="J1870" s="8" t="s">
        <v>41</v>
      </c>
      <c r="K1870" s="8" t="s">
        <v>146</v>
      </c>
      <c r="L1870" s="18" t="str">
        <f>VLOOKUP(D1870,Products!$A:$C,3,FALSE)</f>
        <v>Home</v>
      </c>
      <c r="N1870" s="18" t="str">
        <f>VLOOKUP(C1870,Customers!$A:$E,5,FALSE)</f>
        <v>Retail</v>
      </c>
      <c r="O1870" s="18">
        <f>VLOOKUP(C1870,Customers!$A:$C,3,FALSE)</f>
        <v>61</v>
      </c>
    </row>
    <row r="1871" spans="1:19" ht="14.25" customHeight="1" x14ac:dyDescent="0.3">
      <c r="A1871" s="8" t="s">
        <v>2904</v>
      </c>
      <c r="B1871" s="21">
        <v>45528</v>
      </c>
      <c r="C1871" s="8" t="s">
        <v>547</v>
      </c>
      <c r="D1871" s="8" t="s">
        <v>569</v>
      </c>
      <c r="E1871" s="8" t="s">
        <v>261</v>
      </c>
      <c r="F1871" s="10">
        <v>8</v>
      </c>
      <c r="G1871" s="10">
        <v>3730</v>
      </c>
      <c r="H1871" s="10">
        <v>12.5</v>
      </c>
      <c r="I1871" s="10">
        <v>26110</v>
      </c>
      <c r="J1871" s="8" t="s">
        <v>41</v>
      </c>
      <c r="K1871" s="8" t="s">
        <v>98</v>
      </c>
      <c r="L1871" s="18" t="str">
        <f>VLOOKUP(D1871,Products!$A:$C,3,FALSE)</f>
        <v>Home</v>
      </c>
      <c r="N1871" s="18" t="str">
        <f>VLOOKUP(C1871,Customers!$A:$E,5,FALSE)</f>
        <v>Retail</v>
      </c>
      <c r="O1871" s="18">
        <f>VLOOKUP(C1871,Customers!$A:$C,3,FALSE)</f>
        <v>26</v>
      </c>
      <c r="P1871" s="18" t="str">
        <f>VLOOKUP(E1870,Sales_Reps!$A:$C,3,FALSE)</f>
        <v>South</v>
      </c>
      <c r="Q1871" s="18" t="str">
        <f>TEXT(B1870,"MMM-YY")</f>
        <v>Nov-24</v>
      </c>
      <c r="R1871">
        <f>VLOOKUP(D1871, Products!A:D, 4, FALSE)</f>
        <v>2135</v>
      </c>
      <c r="S1871">
        <f>(G1871-R1871)/G1871</f>
        <v>0.42761394101876676</v>
      </c>
    </row>
    <row r="1872" spans="1:19" ht="14.25" hidden="1" customHeight="1" x14ac:dyDescent="0.3">
      <c r="A1872" s="8" t="s">
        <v>2905</v>
      </c>
      <c r="B1872" s="9">
        <v>45644</v>
      </c>
      <c r="C1872" s="8" t="s">
        <v>836</v>
      </c>
      <c r="D1872" s="8" t="s">
        <v>909</v>
      </c>
      <c r="E1872" s="8" t="s">
        <v>301</v>
      </c>
      <c r="F1872" s="10">
        <v>9</v>
      </c>
      <c r="G1872" s="10">
        <v>2380</v>
      </c>
      <c r="H1872" s="10">
        <v>8.1</v>
      </c>
      <c r="I1872" s="10">
        <v>19684.98</v>
      </c>
      <c r="J1872" s="8" t="s">
        <v>147</v>
      </c>
      <c r="K1872" s="8" t="s">
        <v>119</v>
      </c>
      <c r="L1872" s="18" t="str">
        <f>VLOOKUP(D1872,Products!$A:$C,3,FALSE)</f>
        <v>Grocery</v>
      </c>
      <c r="N1872" s="18" t="str">
        <f>VLOOKUP(C1872,Customers!$A:$E,5,FALSE)</f>
        <v>Retail</v>
      </c>
      <c r="O1872" s="18">
        <f>VLOOKUP(C1872,Customers!$A:$C,3,FALSE)</f>
        <v>62</v>
      </c>
    </row>
    <row r="1873" spans="1:19" ht="14.25" hidden="1" customHeight="1" x14ac:dyDescent="0.3">
      <c r="A1873" s="8" t="s">
        <v>2906</v>
      </c>
      <c r="B1873" s="9">
        <v>45475</v>
      </c>
      <c r="C1873" s="8" t="s">
        <v>521</v>
      </c>
      <c r="D1873" s="8" t="s">
        <v>224</v>
      </c>
      <c r="E1873" s="8" t="s">
        <v>261</v>
      </c>
      <c r="F1873" s="10">
        <v>6</v>
      </c>
      <c r="G1873" s="10">
        <v>1080</v>
      </c>
      <c r="H1873" s="10">
        <v>8.8000000000000007</v>
      </c>
      <c r="I1873" s="10">
        <v>5909.76</v>
      </c>
      <c r="J1873" s="8" t="s">
        <v>41</v>
      </c>
      <c r="K1873" s="8" t="s">
        <v>146</v>
      </c>
      <c r="L1873" s="18" t="str">
        <f>VLOOKUP(D1873,Products!$A:$C,3,FALSE)</f>
        <v>Home</v>
      </c>
      <c r="N1873" s="18" t="str">
        <f>VLOOKUP(C1873,Customers!$A:$E,5,FALSE)</f>
        <v>Retail</v>
      </c>
      <c r="O1873" s="18">
        <f>VLOOKUP(C1873,Customers!$A:$C,3,FALSE)</f>
        <v>44</v>
      </c>
    </row>
    <row r="1874" spans="1:19" ht="14.25" customHeight="1" x14ac:dyDescent="0.3">
      <c r="A1874" s="8" t="s">
        <v>2751</v>
      </c>
      <c r="B1874" s="21">
        <v>45401</v>
      </c>
      <c r="C1874" s="8" t="s">
        <v>834</v>
      </c>
      <c r="D1874" s="8" t="s">
        <v>116</v>
      </c>
      <c r="E1874" s="8" t="s">
        <v>745</v>
      </c>
      <c r="F1874" s="10">
        <v>5</v>
      </c>
      <c r="G1874" s="10">
        <v>470</v>
      </c>
      <c r="H1874" s="10">
        <v>1.3</v>
      </c>
      <c r="I1874" s="10">
        <v>2319.4499999999998</v>
      </c>
      <c r="J1874" s="8" t="s">
        <v>41</v>
      </c>
      <c r="K1874" s="8" t="s">
        <v>178</v>
      </c>
      <c r="L1874" s="18" t="str">
        <f>VLOOKUP(D1874,Products!$A:$C,3,FALSE)</f>
        <v>Sports</v>
      </c>
      <c r="N1874" s="18" t="str">
        <f>VLOOKUP(C1874,Customers!$A:$E,5,FALSE)</f>
        <v>Retail</v>
      </c>
      <c r="O1874" s="18">
        <f>VLOOKUP(C1874,Customers!$A:$C,3,FALSE)</f>
        <v>22</v>
      </c>
      <c r="P1874" s="18" t="str">
        <f>VLOOKUP(E1873,Sales_Reps!$A:$C,3,FALSE)</f>
        <v>North</v>
      </c>
      <c r="Q1874" s="18" t="str">
        <f>TEXT(B1873,"MMM-YY")</f>
        <v>Jul-24</v>
      </c>
      <c r="R1874">
        <f>VLOOKUP(D1874, Products!A:D, 4, FALSE)</f>
        <v>302</v>
      </c>
      <c r="S1874">
        <f>(G1874-R1874)/G1874</f>
        <v>0.35744680851063831</v>
      </c>
    </row>
    <row r="1875" spans="1:19" ht="14.25" hidden="1" customHeight="1" x14ac:dyDescent="0.3">
      <c r="A1875" s="8" t="s">
        <v>2907</v>
      </c>
      <c r="B1875" s="9">
        <v>45516</v>
      </c>
      <c r="C1875" s="8" t="s">
        <v>631</v>
      </c>
      <c r="D1875" s="8" t="s">
        <v>144</v>
      </c>
      <c r="E1875" s="8" t="s">
        <v>376</v>
      </c>
      <c r="F1875" s="10">
        <v>4</v>
      </c>
      <c r="G1875" s="10">
        <v>370</v>
      </c>
      <c r="H1875" s="10">
        <v>13.1</v>
      </c>
      <c r="I1875" s="10">
        <v>1286.1199999999999</v>
      </c>
      <c r="J1875" s="8" t="s">
        <v>41</v>
      </c>
      <c r="K1875" s="8" t="s">
        <v>42</v>
      </c>
      <c r="L1875" s="18" t="str">
        <f>VLOOKUP(D1875,Products!$A:$C,3,FALSE)</f>
        <v>Home</v>
      </c>
      <c r="N1875" s="18" t="str">
        <f>VLOOKUP(C1875,Customers!$A:$E,5,FALSE)</f>
        <v>Retail</v>
      </c>
      <c r="O1875" s="18">
        <f>VLOOKUP(C1875,Customers!$A:$C,3,FALSE)</f>
        <v>54</v>
      </c>
    </row>
    <row r="1876" spans="1:19" ht="14.25" hidden="1" customHeight="1" x14ac:dyDescent="0.3">
      <c r="A1876" s="8" t="s">
        <v>2908</v>
      </c>
      <c r="B1876" s="9">
        <v>45517</v>
      </c>
      <c r="C1876" s="8" t="s">
        <v>506</v>
      </c>
      <c r="D1876" s="8" t="s">
        <v>134</v>
      </c>
      <c r="E1876" s="8" t="s">
        <v>38</v>
      </c>
      <c r="F1876" s="10">
        <v>7</v>
      </c>
      <c r="G1876" s="10">
        <v>3160</v>
      </c>
      <c r="H1876" s="10">
        <v>12.3</v>
      </c>
      <c r="I1876" s="10">
        <v>19399.240000000002</v>
      </c>
      <c r="J1876" s="8" t="s">
        <v>41</v>
      </c>
      <c r="K1876" s="8" t="s">
        <v>146</v>
      </c>
      <c r="L1876" s="18" t="str">
        <f>VLOOKUP(D1876,Products!$A:$C,3,FALSE)</f>
        <v>Apparel</v>
      </c>
      <c r="N1876" s="18" t="str">
        <f>VLOOKUP(C1876,Customers!$A:$E,5,FALSE)</f>
        <v>SMB</v>
      </c>
      <c r="O1876" s="18">
        <f>VLOOKUP(C1876,Customers!$A:$C,3,FALSE)</f>
        <v>65</v>
      </c>
    </row>
    <row r="1877" spans="1:19" ht="14.25" hidden="1" customHeight="1" x14ac:dyDescent="0.3">
      <c r="A1877" s="8" t="s">
        <v>2909</v>
      </c>
      <c r="B1877" s="9">
        <v>45645</v>
      </c>
      <c r="C1877" s="8" t="s">
        <v>317</v>
      </c>
      <c r="D1877" s="8" t="s">
        <v>901</v>
      </c>
      <c r="E1877" s="8" t="s">
        <v>153</v>
      </c>
      <c r="F1877" s="10">
        <v>5</v>
      </c>
      <c r="G1877" s="10">
        <v>3560</v>
      </c>
      <c r="H1877" s="10">
        <v>24</v>
      </c>
      <c r="I1877" s="10">
        <v>13528</v>
      </c>
      <c r="J1877" s="8" t="s">
        <v>41</v>
      </c>
      <c r="K1877" s="8" t="s">
        <v>136</v>
      </c>
      <c r="L1877" s="18" t="str">
        <f>VLOOKUP(D1877,Products!$A:$C,3,FALSE)</f>
        <v>Apparel</v>
      </c>
      <c r="N1877" s="18" t="str">
        <f>VLOOKUP(C1877,Customers!$A:$E,5,FALSE)</f>
        <v>Retail</v>
      </c>
      <c r="O1877" s="18">
        <f>VLOOKUP(C1877,Customers!$A:$C,3,FALSE)</f>
        <v>59</v>
      </c>
    </row>
    <row r="1878" spans="1:19" ht="14.25" hidden="1" customHeight="1" x14ac:dyDescent="0.3">
      <c r="A1878" s="8" t="s">
        <v>2910</v>
      </c>
      <c r="B1878" s="9">
        <v>45417</v>
      </c>
      <c r="C1878" s="8" t="s">
        <v>495</v>
      </c>
      <c r="D1878" s="8" t="s">
        <v>924</v>
      </c>
      <c r="E1878" s="8" t="s">
        <v>216</v>
      </c>
      <c r="F1878" s="10">
        <v>6</v>
      </c>
      <c r="G1878" s="10">
        <v>2030</v>
      </c>
      <c r="H1878" s="10">
        <v>20.5</v>
      </c>
      <c r="I1878" s="10">
        <v>9683.1</v>
      </c>
      <c r="J1878" s="8" t="s">
        <v>41</v>
      </c>
      <c r="K1878" s="8" t="s">
        <v>98</v>
      </c>
      <c r="L1878" s="18" t="str">
        <f>VLOOKUP(D1878,Products!$A:$C,3,FALSE)</f>
        <v>Home</v>
      </c>
      <c r="N1878" s="18" t="str">
        <f>VLOOKUP(C1878,Customers!$A:$E,5,FALSE)</f>
        <v>SMB</v>
      </c>
      <c r="O1878" s="18">
        <f>VLOOKUP(C1878,Customers!$A:$C,3,FALSE)</f>
        <v>64</v>
      </c>
    </row>
    <row r="1879" spans="1:19" ht="14.25" customHeight="1" x14ac:dyDescent="0.3">
      <c r="A1879" s="8" t="s">
        <v>2911</v>
      </c>
      <c r="B1879" s="21">
        <v>45351</v>
      </c>
      <c r="C1879" s="8" t="s">
        <v>187</v>
      </c>
      <c r="D1879" s="8" t="s">
        <v>181</v>
      </c>
      <c r="E1879" s="8" t="s">
        <v>167</v>
      </c>
      <c r="F1879" s="10">
        <v>5</v>
      </c>
      <c r="G1879" s="10">
        <v>2640</v>
      </c>
      <c r="H1879" s="10">
        <v>21.3</v>
      </c>
      <c r="I1879" s="10">
        <v>10388.4</v>
      </c>
      <c r="J1879" s="8" t="s">
        <v>97</v>
      </c>
      <c r="K1879" s="8" t="s">
        <v>98</v>
      </c>
      <c r="L1879" s="18" t="str">
        <f>VLOOKUP(D1879,Products!$A:$C,3,FALSE)</f>
        <v>Electronics</v>
      </c>
      <c r="N1879" s="18" t="str">
        <f>VLOOKUP(C1879,Customers!$A:$E,5,FALSE)</f>
        <v>Corporate</v>
      </c>
      <c r="O1879" s="18">
        <f>VLOOKUP(C1879,Customers!$A:$C,3,FALSE)</f>
        <v>35</v>
      </c>
      <c r="P1879" s="18" t="str">
        <f>VLOOKUP(E1878,Sales_Reps!$A:$C,3,FALSE)</f>
        <v>East</v>
      </c>
      <c r="Q1879" s="18" t="str">
        <f t="shared" ref="Q1879:Q1880" si="370">TEXT(B1878,"MMM-YY")</f>
        <v>May-24</v>
      </c>
      <c r="R1879">
        <f>VLOOKUP(D1879, Products!A:D, 4, FALSE)</f>
        <v>1149</v>
      </c>
      <c r="S1879">
        <f t="shared" ref="S1879:S1880" si="371">(G1879-R1879)/G1879</f>
        <v>0.56477272727272732</v>
      </c>
    </row>
    <row r="1880" spans="1:19" ht="14.25" customHeight="1" x14ac:dyDescent="0.3">
      <c r="A1880" s="8" t="s">
        <v>2912</v>
      </c>
      <c r="B1880" s="21">
        <v>45629</v>
      </c>
      <c r="C1880" s="8" t="s">
        <v>568</v>
      </c>
      <c r="D1880" s="8" t="s">
        <v>691</v>
      </c>
      <c r="E1880" s="8" t="s">
        <v>261</v>
      </c>
      <c r="F1880" s="10">
        <v>4</v>
      </c>
      <c r="G1880" s="10">
        <v>2270</v>
      </c>
      <c r="H1880" s="10">
        <v>15.8</v>
      </c>
      <c r="I1880" s="10">
        <v>7645.36</v>
      </c>
      <c r="J1880" s="8" t="s">
        <v>41</v>
      </c>
      <c r="K1880" s="8" t="s">
        <v>98</v>
      </c>
      <c r="L1880" s="18" t="str">
        <f>VLOOKUP(D1880,Products!$A:$C,3,FALSE)</f>
        <v>Grocery</v>
      </c>
      <c r="N1880" s="18" t="str">
        <f>VLOOKUP(C1880,Customers!$A:$E,5,FALSE)</f>
        <v>Retail</v>
      </c>
      <c r="O1880" s="18">
        <f>VLOOKUP(C1880,Customers!$A:$C,3,FALSE)</f>
        <v>37</v>
      </c>
      <c r="P1880" s="18" t="str">
        <f>VLOOKUP(E1879,Sales_Reps!$A:$C,3,FALSE)</f>
        <v>East</v>
      </c>
      <c r="Q1880" s="18" t="str">
        <f t="shared" si="370"/>
        <v>Feb-24</v>
      </c>
      <c r="R1880">
        <f>VLOOKUP(D1880, Products!A:D, 4, FALSE)</f>
        <v>1412</v>
      </c>
      <c r="S1880">
        <f t="shared" si="371"/>
        <v>0.37797356828193834</v>
      </c>
    </row>
    <row r="1881" spans="1:19" ht="14.25" hidden="1" customHeight="1" x14ac:dyDescent="0.3">
      <c r="A1881" s="8" t="s">
        <v>2913</v>
      </c>
      <c r="B1881" s="9">
        <v>45588</v>
      </c>
      <c r="C1881" s="8" t="s">
        <v>776</v>
      </c>
      <c r="D1881" s="8" t="s">
        <v>144</v>
      </c>
      <c r="E1881" s="8" t="s">
        <v>261</v>
      </c>
      <c r="F1881" s="10">
        <v>1</v>
      </c>
      <c r="G1881" s="10">
        <v>370</v>
      </c>
      <c r="H1881" s="10">
        <v>27</v>
      </c>
      <c r="I1881" s="10">
        <v>270.10000000000002</v>
      </c>
      <c r="J1881" s="8" t="s">
        <v>97</v>
      </c>
      <c r="K1881" s="8" t="s">
        <v>146</v>
      </c>
      <c r="L1881" s="18" t="str">
        <f>VLOOKUP(D1881,Products!$A:$C,3,FALSE)</f>
        <v>Home</v>
      </c>
      <c r="N1881" s="18" t="str">
        <f>VLOOKUP(C1881,Customers!$A:$E,5,FALSE)</f>
        <v>Retail</v>
      </c>
      <c r="O1881" s="18">
        <f>VLOOKUP(C1881,Customers!$A:$C,3,FALSE)</f>
        <v>44</v>
      </c>
    </row>
    <row r="1882" spans="1:19" ht="14.25" hidden="1" customHeight="1" x14ac:dyDescent="0.3">
      <c r="A1882" s="8" t="s">
        <v>2914</v>
      </c>
      <c r="B1882" s="9">
        <v>45366</v>
      </c>
      <c r="C1882" s="8" t="s">
        <v>686</v>
      </c>
      <c r="D1882" s="8" t="s">
        <v>320</v>
      </c>
      <c r="E1882" s="8" t="s">
        <v>121</v>
      </c>
      <c r="F1882" s="10">
        <v>9</v>
      </c>
      <c r="G1882" s="10">
        <v>5100</v>
      </c>
      <c r="H1882" s="10">
        <v>2.4</v>
      </c>
      <c r="I1882" s="10">
        <v>44798.400000000001</v>
      </c>
      <c r="J1882" s="8" t="s">
        <v>41</v>
      </c>
      <c r="K1882" s="8" t="s">
        <v>98</v>
      </c>
      <c r="L1882" s="18" t="str">
        <f>VLOOKUP(D1882,Products!$A:$C,3,FALSE)</f>
        <v>Beauty</v>
      </c>
      <c r="N1882" s="18" t="str">
        <f>VLOOKUP(C1882,Customers!$A:$E,5,FALSE)</f>
        <v>SMB</v>
      </c>
      <c r="O1882" s="18">
        <f>VLOOKUP(C1882,Customers!$A:$C,3,FALSE)</f>
        <v>55</v>
      </c>
    </row>
    <row r="1883" spans="1:19" ht="14.25" customHeight="1" x14ac:dyDescent="0.3">
      <c r="A1883" s="8" t="s">
        <v>2915</v>
      </c>
      <c r="B1883" s="21">
        <v>45322</v>
      </c>
      <c r="C1883" s="8" t="s">
        <v>834</v>
      </c>
      <c r="D1883" s="8" t="s">
        <v>144</v>
      </c>
      <c r="E1883" s="8" t="s">
        <v>208</v>
      </c>
      <c r="F1883" s="10">
        <v>6</v>
      </c>
      <c r="G1883" s="10">
        <v>370</v>
      </c>
      <c r="H1883" s="10">
        <v>18.7</v>
      </c>
      <c r="I1883" s="10">
        <v>1804.86</v>
      </c>
      <c r="J1883" s="8" t="s">
        <v>147</v>
      </c>
      <c r="K1883" s="8" t="s">
        <v>178</v>
      </c>
      <c r="L1883" s="18" t="str">
        <f>VLOOKUP(D1883,Products!$A:$C,3,FALSE)</f>
        <v>Home</v>
      </c>
      <c r="N1883" s="18" t="str">
        <f>VLOOKUP(C1883,Customers!$A:$E,5,FALSE)</f>
        <v>Retail</v>
      </c>
      <c r="O1883" s="18">
        <f>VLOOKUP(C1883,Customers!$A:$C,3,FALSE)</f>
        <v>22</v>
      </c>
      <c r="P1883" s="18" t="str">
        <f>VLOOKUP(E1882,Sales_Reps!$A:$C,3,FALSE)</f>
        <v>East</v>
      </c>
      <c r="Q1883" s="18" t="str">
        <f t="shared" ref="Q1883:Q1884" si="372">TEXT(B1882,"MMM-YY")</f>
        <v>Mar-24</v>
      </c>
      <c r="R1883">
        <f>VLOOKUP(D1883, Products!A:D, 4, FALSE)</f>
        <v>288</v>
      </c>
      <c r="S1883">
        <f t="shared" ref="S1883:S1884" si="373">(G1883-R1883)/G1883</f>
        <v>0.22162162162162163</v>
      </c>
    </row>
    <row r="1884" spans="1:19" ht="14.25" customHeight="1" x14ac:dyDescent="0.3">
      <c r="A1884" s="8" t="s">
        <v>2916</v>
      </c>
      <c r="B1884" s="21">
        <v>45465</v>
      </c>
      <c r="C1884" s="8" t="s">
        <v>118</v>
      </c>
      <c r="D1884" s="8" t="s">
        <v>171</v>
      </c>
      <c r="E1884" s="8" t="s">
        <v>185</v>
      </c>
      <c r="F1884" s="10">
        <v>6</v>
      </c>
      <c r="G1884" s="10">
        <v>970</v>
      </c>
      <c r="H1884" s="10">
        <v>21.6</v>
      </c>
      <c r="I1884" s="10">
        <v>4562.88</v>
      </c>
      <c r="J1884" s="8" t="s">
        <v>41</v>
      </c>
      <c r="K1884" s="8" t="s">
        <v>42</v>
      </c>
      <c r="L1884" s="18" t="str">
        <f>VLOOKUP(D1884,Products!$A:$C,3,FALSE)</f>
        <v>Grocery</v>
      </c>
      <c r="N1884" s="18" t="str">
        <f>VLOOKUP(C1884,Customers!$A:$E,5,FALSE)</f>
        <v>SMB</v>
      </c>
      <c r="O1884" s="18">
        <f>VLOOKUP(C1884,Customers!$A:$C,3,FALSE)</f>
        <v>24</v>
      </c>
      <c r="P1884" s="18" t="str">
        <f>VLOOKUP(E1883,Sales_Reps!$A:$C,3,FALSE)</f>
        <v>East</v>
      </c>
      <c r="Q1884" s="18" t="str">
        <f t="shared" si="372"/>
        <v>Jan-24</v>
      </c>
      <c r="R1884">
        <f>VLOOKUP(D1884, Products!A:D, 4, FALSE)</f>
        <v>434</v>
      </c>
      <c r="S1884">
        <f t="shared" si="373"/>
        <v>0.5525773195876289</v>
      </c>
    </row>
    <row r="1885" spans="1:19" ht="14.25" hidden="1" customHeight="1" x14ac:dyDescent="0.3">
      <c r="A1885" s="8" t="s">
        <v>2917</v>
      </c>
      <c r="B1885" s="9">
        <v>45622</v>
      </c>
      <c r="C1885" s="8" t="s">
        <v>2918</v>
      </c>
      <c r="D1885" s="8" t="s">
        <v>918</v>
      </c>
      <c r="E1885" s="8" t="s">
        <v>236</v>
      </c>
      <c r="F1885" s="10">
        <v>3</v>
      </c>
      <c r="G1885" s="10">
        <v>2210</v>
      </c>
      <c r="H1885" s="10">
        <v>8.5</v>
      </c>
      <c r="I1885" s="10">
        <v>6066.45</v>
      </c>
      <c r="J1885" s="8" t="s">
        <v>41</v>
      </c>
      <c r="K1885" s="8" t="s">
        <v>119</v>
      </c>
      <c r="L1885" s="18" t="str">
        <f>VLOOKUP(D1885,Products!$A:$C,3,FALSE)</f>
        <v>Grocery</v>
      </c>
      <c r="N1885" s="18" t="e">
        <f>VLOOKUP(C1885,Customers!$A:$E,5,FALSE)</f>
        <v>#N/A</v>
      </c>
      <c r="O1885" s="18" t="e">
        <f>VLOOKUP(C1885,Customers!$A:$C,3,FALSE)</f>
        <v>#N/A</v>
      </c>
    </row>
    <row r="1886" spans="1:19" ht="14.25" customHeight="1" x14ac:dyDescent="0.3">
      <c r="A1886" s="8" t="s">
        <v>2919</v>
      </c>
      <c r="B1886" s="21">
        <v>45457</v>
      </c>
      <c r="C1886" s="8" t="s">
        <v>466</v>
      </c>
      <c r="D1886" s="8" t="s">
        <v>242</v>
      </c>
      <c r="E1886" s="8" t="s">
        <v>261</v>
      </c>
      <c r="F1886" s="10">
        <v>1</v>
      </c>
      <c r="G1886" s="10">
        <v>1650</v>
      </c>
      <c r="H1886" s="10">
        <v>19.7</v>
      </c>
      <c r="I1886" s="10">
        <v>1324.95</v>
      </c>
      <c r="J1886" s="8" t="s">
        <v>41</v>
      </c>
      <c r="K1886" s="8" t="s">
        <v>119</v>
      </c>
      <c r="L1886" s="18" t="str">
        <f>VLOOKUP(D1886,Products!$A:$C,3,FALSE)</f>
        <v>Beauty</v>
      </c>
      <c r="N1886" s="18" t="str">
        <f>VLOOKUP(C1886,Customers!$A:$E,5,FALSE)</f>
        <v>Corporate</v>
      </c>
      <c r="O1886" s="18">
        <f>VLOOKUP(C1886,Customers!$A:$C,3,FALSE)</f>
        <v>27</v>
      </c>
      <c r="P1886" s="18" t="str">
        <f>VLOOKUP(E1885,Sales_Reps!$A:$C,3,FALSE)</f>
        <v>West</v>
      </c>
      <c r="Q1886" s="18" t="str">
        <f>TEXT(B1885,"MMM-YY")</f>
        <v>Nov-24</v>
      </c>
      <c r="R1886">
        <f>VLOOKUP(D1886, Products!A:D, 4, FALSE)</f>
        <v>1222</v>
      </c>
      <c r="S1886">
        <f>(G1886-R1886)/G1886</f>
        <v>0.2593939393939394</v>
      </c>
    </row>
    <row r="1887" spans="1:19" ht="14.25" hidden="1" customHeight="1" x14ac:dyDescent="0.3">
      <c r="A1887" s="8" t="s">
        <v>2920</v>
      </c>
      <c r="B1887" s="9">
        <v>45480</v>
      </c>
      <c r="C1887" s="8" t="s">
        <v>805</v>
      </c>
      <c r="D1887" s="8" t="s">
        <v>959</v>
      </c>
      <c r="E1887" s="8" t="s">
        <v>200</v>
      </c>
      <c r="F1887" s="10">
        <v>5</v>
      </c>
      <c r="G1887" s="10">
        <v>6940</v>
      </c>
      <c r="H1887" s="10">
        <v>7.7</v>
      </c>
      <c r="I1887" s="10">
        <v>32028.1</v>
      </c>
      <c r="J1887" s="8" t="s">
        <v>41</v>
      </c>
      <c r="K1887" s="8" t="s">
        <v>42</v>
      </c>
      <c r="L1887" s="18" t="str">
        <f>VLOOKUP(D1887,Products!$A:$C,3,FALSE)</f>
        <v>Sports</v>
      </c>
      <c r="N1887" s="18" t="str">
        <f>VLOOKUP(C1887,Customers!$A:$E,5,FALSE)</f>
        <v>Retail</v>
      </c>
      <c r="O1887" s="18">
        <f>VLOOKUP(C1887,Customers!$A:$C,3,FALSE)</f>
        <v>65</v>
      </c>
    </row>
    <row r="1888" spans="1:19" ht="14.25" customHeight="1" x14ac:dyDescent="0.3">
      <c r="A1888" s="8" t="s">
        <v>2921</v>
      </c>
      <c r="B1888" s="21">
        <v>45392</v>
      </c>
      <c r="C1888" s="8" t="s">
        <v>391</v>
      </c>
      <c r="D1888" s="8" t="s">
        <v>918</v>
      </c>
      <c r="E1888" s="8" t="s">
        <v>196</v>
      </c>
      <c r="F1888" s="10">
        <v>2</v>
      </c>
      <c r="G1888" s="10">
        <v>2210</v>
      </c>
      <c r="H1888" s="10">
        <v>5.6</v>
      </c>
      <c r="I1888" s="10">
        <v>4172.4799999999996</v>
      </c>
      <c r="J1888" s="8" t="s">
        <v>147</v>
      </c>
      <c r="K1888" s="8" t="s">
        <v>42</v>
      </c>
      <c r="L1888" s="18" t="str">
        <f>VLOOKUP(D1888,Products!$A:$C,3,FALSE)</f>
        <v>Grocery</v>
      </c>
      <c r="N1888" s="18" t="str">
        <f>VLOOKUP(C1888,Customers!$A:$E,5,FALSE)</f>
        <v>Corporate</v>
      </c>
      <c r="O1888" s="18">
        <f>VLOOKUP(C1888,Customers!$A:$C,3,FALSE)</f>
        <v>29</v>
      </c>
      <c r="P1888" s="18" t="str">
        <f>VLOOKUP(E1887,Sales_Reps!$A:$C,3,FALSE)</f>
        <v>North</v>
      </c>
      <c r="Q1888" s="18" t="str">
        <f>TEXT(B1887,"MMM-YY")</f>
        <v>Jul-24</v>
      </c>
      <c r="R1888">
        <f>VLOOKUP(D1888, Products!A:D, 4, FALSE)</f>
        <v>1010</v>
      </c>
      <c r="S1888">
        <f>(G1888-R1888)/G1888</f>
        <v>0.54298642533936647</v>
      </c>
    </row>
    <row r="1889" spans="1:19" ht="14.25" hidden="1" customHeight="1" x14ac:dyDescent="0.3">
      <c r="A1889" s="8" t="s">
        <v>2922</v>
      </c>
      <c r="B1889" s="9">
        <v>45380</v>
      </c>
      <c r="C1889" s="8" t="s">
        <v>460</v>
      </c>
      <c r="D1889" s="8" t="s">
        <v>184</v>
      </c>
      <c r="E1889" s="8" t="s">
        <v>117</v>
      </c>
      <c r="F1889" s="10">
        <v>9</v>
      </c>
      <c r="G1889" s="10">
        <v>2600</v>
      </c>
      <c r="H1889" s="10">
        <v>3.1</v>
      </c>
      <c r="I1889" s="10">
        <v>22674.6</v>
      </c>
      <c r="J1889" s="8" t="s">
        <v>41</v>
      </c>
      <c r="K1889" s="8" t="s">
        <v>42</v>
      </c>
      <c r="L1889" s="18" t="str">
        <f>VLOOKUP(D1889,Products!$A:$C,3,FALSE)</f>
        <v>Electronics</v>
      </c>
      <c r="N1889" s="18" t="str">
        <f>VLOOKUP(C1889,Customers!$A:$E,5,FALSE)</f>
        <v>SMB</v>
      </c>
      <c r="O1889" s="18">
        <f>VLOOKUP(C1889,Customers!$A:$C,3,FALSE)</f>
        <v>60</v>
      </c>
    </row>
    <row r="1890" spans="1:19" ht="14.25" customHeight="1" x14ac:dyDescent="0.3">
      <c r="A1890" s="8" t="s">
        <v>2923</v>
      </c>
      <c r="B1890" s="21">
        <v>45494</v>
      </c>
      <c r="C1890" s="8" t="s">
        <v>424</v>
      </c>
      <c r="D1890" s="8" t="s">
        <v>964</v>
      </c>
      <c r="E1890" s="8" t="s">
        <v>200</v>
      </c>
      <c r="F1890" s="10">
        <v>7</v>
      </c>
      <c r="G1890" s="10">
        <v>3780</v>
      </c>
      <c r="H1890" s="10">
        <v>13.3</v>
      </c>
      <c r="I1890" s="10">
        <v>22940.82</v>
      </c>
      <c r="J1890" s="8" t="s">
        <v>41</v>
      </c>
      <c r="K1890" s="8" t="s">
        <v>136</v>
      </c>
      <c r="L1890" s="18" t="str">
        <f>VLOOKUP(D1890,Products!$A:$C,3,FALSE)</f>
        <v>Sports</v>
      </c>
      <c r="N1890" s="18" t="str">
        <f>VLOOKUP(C1890,Customers!$A:$E,5,FALSE)</f>
        <v>Retail</v>
      </c>
      <c r="O1890" s="18">
        <f>VLOOKUP(C1890,Customers!$A:$C,3,FALSE)</f>
        <v>35</v>
      </c>
      <c r="P1890" s="18" t="str">
        <f>VLOOKUP(E1889,Sales_Reps!$A:$C,3,FALSE)</f>
        <v>South</v>
      </c>
      <c r="Q1890" s="18" t="str">
        <f>TEXT(B1889,"MMM-YY")</f>
        <v>Mar-24</v>
      </c>
      <c r="R1890">
        <f>VLOOKUP(D1890, Products!A:D, 4, FALSE)</f>
        <v>1860</v>
      </c>
      <c r="S1890">
        <f>(G1890-R1890)/G1890</f>
        <v>0.50793650793650791</v>
      </c>
    </row>
    <row r="1891" spans="1:19" ht="14.25" hidden="1" customHeight="1" x14ac:dyDescent="0.3">
      <c r="A1891" s="8" t="s">
        <v>2924</v>
      </c>
      <c r="B1891" s="9">
        <v>45621</v>
      </c>
      <c r="C1891" s="8" t="s">
        <v>302</v>
      </c>
      <c r="D1891" s="8" t="s">
        <v>205</v>
      </c>
      <c r="E1891" s="8" t="s">
        <v>745</v>
      </c>
      <c r="F1891" s="10">
        <v>4</v>
      </c>
      <c r="G1891" s="10">
        <v>2400</v>
      </c>
      <c r="H1891" s="10">
        <v>16.600000000000001</v>
      </c>
      <c r="I1891" s="10">
        <v>8006.4</v>
      </c>
      <c r="J1891" s="8" t="s">
        <v>97</v>
      </c>
      <c r="K1891" s="8" t="s">
        <v>136</v>
      </c>
      <c r="L1891" s="18" t="str">
        <f>VLOOKUP(D1891,Products!$A:$C,3,FALSE)</f>
        <v>Sports</v>
      </c>
      <c r="N1891" s="18" t="str">
        <f>VLOOKUP(C1891,Customers!$A:$E,5,FALSE)</f>
        <v>Corporate</v>
      </c>
      <c r="O1891" s="18">
        <f>VLOOKUP(C1891,Customers!$A:$C,3,FALSE)</f>
        <v>55</v>
      </c>
    </row>
    <row r="1892" spans="1:19" ht="14.25" customHeight="1" x14ac:dyDescent="0.3">
      <c r="A1892" s="8" t="s">
        <v>148</v>
      </c>
      <c r="B1892" s="21">
        <v>45603</v>
      </c>
      <c r="C1892" s="8" t="s">
        <v>150</v>
      </c>
      <c r="D1892" s="8" t="s">
        <v>154</v>
      </c>
      <c r="E1892" s="8" t="s">
        <v>96</v>
      </c>
      <c r="F1892" s="10">
        <v>10</v>
      </c>
      <c r="G1892" s="10">
        <v>300</v>
      </c>
      <c r="H1892" s="10">
        <v>23.9</v>
      </c>
      <c r="I1892" s="10">
        <v>2283</v>
      </c>
      <c r="J1892" s="8" t="s">
        <v>41</v>
      </c>
      <c r="K1892" s="8" t="s">
        <v>42</v>
      </c>
      <c r="L1892" s="18" t="str">
        <f>VLOOKUP(D1892,Products!$A:$C,3,FALSE)</f>
        <v>Electronics</v>
      </c>
      <c r="N1892" s="18" t="str">
        <f>VLOOKUP(C1892,Customers!$A:$E,5,FALSE)</f>
        <v>Retail</v>
      </c>
      <c r="O1892" s="18">
        <f>VLOOKUP(C1892,Customers!$A:$C,3,FALSE)</f>
        <v>25</v>
      </c>
      <c r="P1892" s="18" t="str">
        <f>VLOOKUP(E1891,Sales_Reps!$A:$C,3,FALSE)</f>
        <v>South</v>
      </c>
      <c r="Q1892" s="18" t="str">
        <f>TEXT(B1891,"MMM-YY")</f>
        <v>Nov-24</v>
      </c>
      <c r="R1892">
        <f>VLOOKUP(D1892, Products!A:D, 4, FALSE)</f>
        <v>128</v>
      </c>
      <c r="S1892">
        <f>(G1892-R1892)/G1892</f>
        <v>0.57333333333333336</v>
      </c>
    </row>
    <row r="1893" spans="1:19" ht="14.25" hidden="1" customHeight="1" x14ac:dyDescent="0.3">
      <c r="A1893" s="8" t="s">
        <v>2925</v>
      </c>
      <c r="B1893" s="9">
        <v>45640</v>
      </c>
      <c r="C1893" s="8" t="s">
        <v>633</v>
      </c>
      <c r="D1893" s="8" t="s">
        <v>124</v>
      </c>
      <c r="E1893" s="8" t="s">
        <v>177</v>
      </c>
      <c r="F1893" s="10">
        <v>1</v>
      </c>
      <c r="G1893" s="10">
        <v>3660</v>
      </c>
      <c r="H1893" s="10">
        <v>1.5</v>
      </c>
      <c r="I1893" s="10">
        <v>3605.1</v>
      </c>
      <c r="J1893" s="8" t="s">
        <v>97</v>
      </c>
      <c r="K1893" s="8" t="s">
        <v>119</v>
      </c>
      <c r="L1893" s="18" t="str">
        <f>VLOOKUP(D1893,Products!$A:$C,3,FALSE)</f>
        <v>Grocery</v>
      </c>
      <c r="N1893" s="18" t="str">
        <f>VLOOKUP(C1893,Customers!$A:$E,5,FALSE)</f>
        <v>Corporate</v>
      </c>
      <c r="O1893" s="18">
        <f>VLOOKUP(C1893,Customers!$A:$C,3,FALSE)</f>
        <v>55</v>
      </c>
    </row>
    <row r="1894" spans="1:19" ht="14.25" hidden="1" customHeight="1" x14ac:dyDescent="0.3">
      <c r="A1894" s="8" t="s">
        <v>2926</v>
      </c>
      <c r="B1894" s="9">
        <v>45534</v>
      </c>
      <c r="C1894" s="8" t="s">
        <v>670</v>
      </c>
      <c r="D1894" s="8" t="s">
        <v>219</v>
      </c>
      <c r="E1894" s="8" t="s">
        <v>865</v>
      </c>
      <c r="F1894" s="10">
        <v>9</v>
      </c>
      <c r="G1894" s="10">
        <v>3450</v>
      </c>
      <c r="H1894" s="10">
        <v>21.8</v>
      </c>
      <c r="I1894" s="10">
        <v>24281.1</v>
      </c>
      <c r="J1894" s="8" t="s">
        <v>41</v>
      </c>
      <c r="K1894" s="8" t="s">
        <v>136</v>
      </c>
      <c r="L1894" s="18" t="str">
        <f>VLOOKUP(D1894,Products!$A:$C,3,FALSE)</f>
        <v>Sports</v>
      </c>
      <c r="N1894" s="18" t="str">
        <f>VLOOKUP(C1894,Customers!$A:$E,5,FALSE)</f>
        <v>Retail</v>
      </c>
      <c r="O1894" s="18">
        <f>VLOOKUP(C1894,Customers!$A:$C,3,FALSE)</f>
        <v>42</v>
      </c>
    </row>
    <row r="1895" spans="1:19" ht="14.25" hidden="1" customHeight="1" x14ac:dyDescent="0.3">
      <c r="A1895" s="8" t="s">
        <v>2927</v>
      </c>
      <c r="B1895" s="9">
        <v>45410</v>
      </c>
      <c r="C1895" s="8" t="s">
        <v>832</v>
      </c>
      <c r="D1895" s="8" t="s">
        <v>889</v>
      </c>
      <c r="E1895" s="8" t="s">
        <v>38</v>
      </c>
      <c r="F1895" s="10">
        <v>10</v>
      </c>
      <c r="G1895" s="10">
        <v>3450</v>
      </c>
      <c r="H1895" s="10">
        <v>15.7</v>
      </c>
      <c r="I1895" s="10">
        <v>29083.5</v>
      </c>
      <c r="J1895" s="8" t="s">
        <v>147</v>
      </c>
      <c r="K1895" s="8" t="s">
        <v>178</v>
      </c>
      <c r="L1895" s="18" t="str">
        <f>VLOOKUP(D1895,Products!$A:$C,3,FALSE)</f>
        <v>Apparel</v>
      </c>
      <c r="N1895" s="18" t="str">
        <f>VLOOKUP(C1895,Customers!$A:$E,5,FALSE)</f>
        <v>SMB</v>
      </c>
      <c r="O1895" s="18">
        <f>VLOOKUP(C1895,Customers!$A:$C,3,FALSE)</f>
        <v>65</v>
      </c>
    </row>
    <row r="1896" spans="1:19" ht="14.25" hidden="1" customHeight="1" x14ac:dyDescent="0.3">
      <c r="A1896" s="8" t="s">
        <v>2928</v>
      </c>
      <c r="B1896" s="9">
        <v>45412</v>
      </c>
      <c r="C1896" s="8" t="s">
        <v>123</v>
      </c>
      <c r="D1896" s="8" t="s">
        <v>818</v>
      </c>
      <c r="E1896" s="8" t="s">
        <v>135</v>
      </c>
      <c r="F1896" s="10">
        <v>2</v>
      </c>
      <c r="G1896" s="10">
        <v>4070</v>
      </c>
      <c r="H1896" s="10">
        <v>10.8</v>
      </c>
      <c r="I1896" s="10">
        <v>7260.88</v>
      </c>
      <c r="J1896" s="8" t="s">
        <v>41</v>
      </c>
      <c r="K1896" s="8" t="s">
        <v>119</v>
      </c>
      <c r="L1896" s="18" t="str">
        <f>VLOOKUP(D1896,Products!$A:$C,3,FALSE)</f>
        <v>Grocery</v>
      </c>
      <c r="N1896" s="18" t="str">
        <f>VLOOKUP(C1896,Customers!$A:$E,5,FALSE)</f>
        <v>Corporate</v>
      </c>
      <c r="O1896" s="18">
        <f>VLOOKUP(C1896,Customers!$A:$C,3,FALSE)</f>
        <v>46</v>
      </c>
    </row>
    <row r="1897" spans="1:19" ht="14.25" hidden="1" customHeight="1" x14ac:dyDescent="0.3">
      <c r="A1897" s="8" t="s">
        <v>2929</v>
      </c>
      <c r="B1897" s="9">
        <v>45372</v>
      </c>
      <c r="C1897" s="8" t="s">
        <v>477</v>
      </c>
      <c r="D1897" s="8" t="s">
        <v>964</v>
      </c>
      <c r="E1897" s="8" t="s">
        <v>208</v>
      </c>
      <c r="F1897" s="10">
        <v>4</v>
      </c>
      <c r="G1897" s="10">
        <v>3780</v>
      </c>
      <c r="H1897" s="10">
        <v>17.100000000000001</v>
      </c>
      <c r="I1897" s="10">
        <v>12534.48</v>
      </c>
      <c r="J1897" s="8" t="s">
        <v>41</v>
      </c>
      <c r="K1897" s="8" t="s">
        <v>98</v>
      </c>
      <c r="L1897" s="18" t="str">
        <f>VLOOKUP(D1897,Products!$A:$C,3,FALSE)</f>
        <v>Sports</v>
      </c>
      <c r="N1897" s="18" t="str">
        <f>VLOOKUP(C1897,Customers!$A:$E,5,FALSE)</f>
        <v>SMB</v>
      </c>
      <c r="O1897" s="18">
        <f>VLOOKUP(C1897,Customers!$A:$C,3,FALSE)</f>
        <v>62</v>
      </c>
    </row>
    <row r="1898" spans="1:19" ht="14.25" customHeight="1" x14ac:dyDescent="0.3">
      <c r="A1898" s="8" t="s">
        <v>2930</v>
      </c>
      <c r="B1898" s="21">
        <v>45622</v>
      </c>
      <c r="C1898" s="8" t="s">
        <v>337</v>
      </c>
      <c r="D1898" s="8" t="s">
        <v>374</v>
      </c>
      <c r="E1898" s="8" t="s">
        <v>185</v>
      </c>
      <c r="F1898" s="10">
        <v>1</v>
      </c>
      <c r="G1898" s="10">
        <v>2760</v>
      </c>
      <c r="H1898" s="10">
        <v>2.5</v>
      </c>
      <c r="I1898" s="10">
        <v>2691</v>
      </c>
      <c r="J1898" s="8" t="s">
        <v>147</v>
      </c>
      <c r="K1898" s="8" t="s">
        <v>146</v>
      </c>
      <c r="L1898" s="18" t="str">
        <f>VLOOKUP(D1898,Products!$A:$C,3,FALSE)</f>
        <v>Grocery</v>
      </c>
      <c r="N1898" s="18" t="str">
        <f>VLOOKUP(C1898,Customers!$A:$E,5,FALSE)</f>
        <v>Retail</v>
      </c>
      <c r="O1898" s="18">
        <f>VLOOKUP(C1898,Customers!$A:$C,3,FALSE)</f>
        <v>35</v>
      </c>
      <c r="P1898" s="18" t="str">
        <f>VLOOKUP(E1897,Sales_Reps!$A:$C,3,FALSE)</f>
        <v>East</v>
      </c>
      <c r="Q1898" s="18" t="str">
        <f t="shared" ref="Q1898:Q1899" si="374">TEXT(B1897,"MMM-YY")</f>
        <v>Mar-24</v>
      </c>
      <c r="R1898">
        <f>VLOOKUP(D1898, Products!A:D, 4, FALSE)</f>
        <v>1435</v>
      </c>
      <c r="S1898">
        <f t="shared" ref="S1898:S1899" si="375">(G1898-R1898)/G1898</f>
        <v>0.48007246376811596</v>
      </c>
    </row>
    <row r="1899" spans="1:19" ht="14.25" customHeight="1" x14ac:dyDescent="0.3">
      <c r="A1899" s="8" t="s">
        <v>2931</v>
      </c>
      <c r="B1899" s="21">
        <v>45493</v>
      </c>
      <c r="C1899" s="8" t="s">
        <v>213</v>
      </c>
      <c r="D1899" s="8" t="s">
        <v>283</v>
      </c>
      <c r="E1899" s="8" t="s">
        <v>143</v>
      </c>
      <c r="F1899" s="10">
        <v>2</v>
      </c>
      <c r="G1899" s="10">
        <v>4880</v>
      </c>
      <c r="H1899" s="10">
        <v>11</v>
      </c>
      <c r="I1899" s="10">
        <v>8686.4</v>
      </c>
      <c r="J1899" s="8" t="s">
        <v>41</v>
      </c>
      <c r="K1899" s="8" t="s">
        <v>178</v>
      </c>
      <c r="L1899" s="18" t="str">
        <f>VLOOKUP(D1899,Products!$A:$C,3,FALSE)</f>
        <v>Beauty</v>
      </c>
      <c r="N1899" s="18" t="str">
        <f>VLOOKUP(C1899,Customers!$A:$E,5,FALSE)</f>
        <v>Corporate</v>
      </c>
      <c r="O1899" s="18">
        <f>VLOOKUP(C1899,Customers!$A:$C,3,FALSE)</f>
        <v>32</v>
      </c>
      <c r="P1899" s="18" t="str">
        <f>VLOOKUP(E1898,Sales_Reps!$A:$C,3,FALSE)</f>
        <v>North</v>
      </c>
      <c r="Q1899" s="18" t="str">
        <f t="shared" si="374"/>
        <v>Nov-24</v>
      </c>
      <c r="R1899">
        <f>VLOOKUP(D1899, Products!A:D, 4, FALSE)</f>
        <v>2768</v>
      </c>
      <c r="S1899">
        <f t="shared" si="375"/>
        <v>0.43278688524590164</v>
      </c>
    </row>
    <row r="1900" spans="1:19" ht="14.25" hidden="1" customHeight="1" x14ac:dyDescent="0.3">
      <c r="A1900" s="8" t="s">
        <v>2932</v>
      </c>
      <c r="B1900" s="9">
        <v>45580</v>
      </c>
      <c r="C1900" s="8" t="s">
        <v>796</v>
      </c>
      <c r="D1900" s="8" t="s">
        <v>909</v>
      </c>
      <c r="E1900" s="8" t="s">
        <v>196</v>
      </c>
      <c r="F1900" s="10">
        <v>10</v>
      </c>
      <c r="G1900" s="10">
        <v>2380</v>
      </c>
      <c r="H1900" s="10">
        <v>28.3</v>
      </c>
      <c r="I1900" s="10">
        <v>17064.599999999999</v>
      </c>
      <c r="J1900" s="8" t="s">
        <v>41</v>
      </c>
      <c r="K1900" s="8" t="s">
        <v>146</v>
      </c>
      <c r="L1900" s="18" t="str">
        <f>VLOOKUP(D1900,Products!$A:$C,3,FALSE)</f>
        <v>Grocery</v>
      </c>
      <c r="N1900" s="18" t="str">
        <f>VLOOKUP(C1900,Customers!$A:$E,5,FALSE)</f>
        <v>Retail</v>
      </c>
      <c r="O1900" s="18">
        <f>VLOOKUP(C1900,Customers!$A:$C,3,FALSE)</f>
        <v>52</v>
      </c>
    </row>
    <row r="1901" spans="1:19" ht="14.25" customHeight="1" x14ac:dyDescent="0.3">
      <c r="A1901" s="8" t="s">
        <v>2933</v>
      </c>
      <c r="B1901" s="21">
        <v>45449</v>
      </c>
      <c r="C1901" s="8" t="s">
        <v>353</v>
      </c>
      <c r="D1901" s="8" t="s">
        <v>939</v>
      </c>
      <c r="E1901" s="8" t="s">
        <v>200</v>
      </c>
      <c r="F1901" s="10">
        <v>3</v>
      </c>
      <c r="G1901" s="10">
        <v>2290</v>
      </c>
      <c r="H1901" s="10">
        <v>11.1</v>
      </c>
      <c r="I1901" s="10">
        <v>6107.43</v>
      </c>
      <c r="J1901" s="8" t="s">
        <v>147</v>
      </c>
      <c r="K1901" s="8" t="s">
        <v>136</v>
      </c>
      <c r="L1901" s="18" t="str">
        <f>VLOOKUP(D1901,Products!$A:$C,3,FALSE)</f>
        <v>Beauty</v>
      </c>
      <c r="N1901" s="18" t="str">
        <f>VLOOKUP(C1901,Customers!$A:$E,5,FALSE)</f>
        <v>Corporate</v>
      </c>
      <c r="O1901" s="18">
        <f>VLOOKUP(C1901,Customers!$A:$C,3,FALSE)</f>
        <v>31</v>
      </c>
      <c r="P1901" s="18" t="str">
        <f>VLOOKUP(E1900,Sales_Reps!$A:$C,3,FALSE)</f>
        <v>East</v>
      </c>
      <c r="Q1901" s="18" t="str">
        <f t="shared" ref="Q1901:Q1902" si="376">TEXT(B1900,"MMM-YY")</f>
        <v>Oct-24</v>
      </c>
      <c r="R1901">
        <f>VLOOKUP(D1901, Products!A:D, 4, FALSE)</f>
        <v>1219</v>
      </c>
      <c r="S1901">
        <f t="shared" ref="S1901:S1902" si="377">(G1901-R1901)/G1901</f>
        <v>0.46768558951965067</v>
      </c>
    </row>
    <row r="1902" spans="1:19" ht="14.25" customHeight="1" x14ac:dyDescent="0.3">
      <c r="A1902" s="8" t="s">
        <v>2934</v>
      </c>
      <c r="B1902" s="21">
        <v>45417</v>
      </c>
      <c r="C1902" s="8" t="s">
        <v>213</v>
      </c>
      <c r="D1902" s="8" t="s">
        <v>374</v>
      </c>
      <c r="E1902" s="8" t="s">
        <v>185</v>
      </c>
      <c r="F1902" s="10">
        <v>6</v>
      </c>
      <c r="G1902" s="10">
        <v>2760</v>
      </c>
      <c r="H1902" s="10">
        <v>16.5</v>
      </c>
      <c r="I1902" s="10">
        <v>13827.6</v>
      </c>
      <c r="J1902" s="8" t="s">
        <v>41</v>
      </c>
      <c r="K1902" s="8" t="s">
        <v>178</v>
      </c>
      <c r="L1902" s="18" t="str">
        <f>VLOOKUP(D1902,Products!$A:$C,3,FALSE)</f>
        <v>Grocery</v>
      </c>
      <c r="N1902" s="18" t="str">
        <f>VLOOKUP(C1902,Customers!$A:$E,5,FALSE)</f>
        <v>Corporate</v>
      </c>
      <c r="O1902" s="18">
        <f>VLOOKUP(C1902,Customers!$A:$C,3,FALSE)</f>
        <v>32</v>
      </c>
      <c r="P1902" s="18" t="str">
        <f>VLOOKUP(E1901,Sales_Reps!$A:$C,3,FALSE)</f>
        <v>North</v>
      </c>
      <c r="Q1902" s="18" t="str">
        <f t="shared" si="376"/>
        <v>Jun-24</v>
      </c>
      <c r="R1902">
        <f>VLOOKUP(D1902, Products!A:D, 4, FALSE)</f>
        <v>1435</v>
      </c>
      <c r="S1902">
        <f t="shared" si="377"/>
        <v>0.48007246376811596</v>
      </c>
    </row>
    <row r="1903" spans="1:19" ht="14.25" hidden="1" customHeight="1" x14ac:dyDescent="0.3">
      <c r="A1903" s="8" t="s">
        <v>2935</v>
      </c>
      <c r="B1903" s="9">
        <v>45523</v>
      </c>
      <c r="C1903" s="8" t="s">
        <v>363</v>
      </c>
      <c r="D1903" s="8" t="s">
        <v>912</v>
      </c>
      <c r="E1903" s="8" t="s">
        <v>619</v>
      </c>
      <c r="F1903" s="10">
        <v>5</v>
      </c>
      <c r="G1903" s="10">
        <v>4060</v>
      </c>
      <c r="H1903" s="10">
        <v>22.5</v>
      </c>
      <c r="I1903" s="10">
        <v>15732.5</v>
      </c>
      <c r="J1903" s="8" t="s">
        <v>41</v>
      </c>
      <c r="K1903" s="8" t="s">
        <v>42</v>
      </c>
      <c r="L1903" s="18" t="str">
        <f>VLOOKUP(D1903,Products!$A:$C,3,FALSE)</f>
        <v>Grocery</v>
      </c>
      <c r="N1903" s="18" t="str">
        <f>VLOOKUP(C1903,Customers!$A:$E,5,FALSE)</f>
        <v>Retail</v>
      </c>
      <c r="O1903" s="18">
        <f>VLOOKUP(C1903,Customers!$A:$C,3,FALSE)</f>
        <v>49</v>
      </c>
    </row>
    <row r="1904" spans="1:19" ht="14.25" customHeight="1" x14ac:dyDescent="0.3">
      <c r="A1904" s="8" t="s">
        <v>2936</v>
      </c>
      <c r="B1904" s="21">
        <v>45367</v>
      </c>
      <c r="C1904" s="8" t="s">
        <v>440</v>
      </c>
      <c r="D1904" s="8" t="s">
        <v>181</v>
      </c>
      <c r="E1904" s="8" t="s">
        <v>125</v>
      </c>
      <c r="F1904" s="10">
        <v>8</v>
      </c>
      <c r="G1904" s="10">
        <v>2640</v>
      </c>
      <c r="H1904" s="10">
        <v>11.8</v>
      </c>
      <c r="I1904" s="10">
        <v>18627.84</v>
      </c>
      <c r="J1904" s="8" t="s">
        <v>41</v>
      </c>
      <c r="K1904" s="8" t="s">
        <v>98</v>
      </c>
      <c r="L1904" s="18" t="str">
        <f>VLOOKUP(D1904,Products!$A:$C,3,FALSE)</f>
        <v>Electronics</v>
      </c>
      <c r="N1904" s="18" t="str">
        <f>VLOOKUP(C1904,Customers!$A:$E,5,FALSE)</f>
        <v>Retail</v>
      </c>
      <c r="O1904" s="18">
        <f>VLOOKUP(C1904,Customers!$A:$C,3,FALSE)</f>
        <v>28</v>
      </c>
      <c r="P1904" s="18" t="str">
        <f>VLOOKUP(E1903,Sales_Reps!$A:$C,3,FALSE)</f>
        <v>West</v>
      </c>
      <c r="Q1904" s="18" t="str">
        <f t="shared" ref="Q1904:Q1907" si="378">TEXT(B1903,"MMM-YY")</f>
        <v>Aug-24</v>
      </c>
      <c r="R1904">
        <f>VLOOKUP(D1904, Products!A:D, 4, FALSE)</f>
        <v>1149</v>
      </c>
      <c r="S1904">
        <f t="shared" ref="S1904:S1907" si="379">(G1904-R1904)/G1904</f>
        <v>0.56477272727272732</v>
      </c>
    </row>
    <row r="1905" spans="1:19" ht="14.25" customHeight="1" x14ac:dyDescent="0.3">
      <c r="A1905" s="8" t="s">
        <v>2937</v>
      </c>
      <c r="B1905" s="21">
        <v>45309</v>
      </c>
      <c r="C1905" s="8" t="s">
        <v>458</v>
      </c>
      <c r="D1905" s="8" t="s">
        <v>839</v>
      </c>
      <c r="E1905" s="8" t="s">
        <v>96</v>
      </c>
      <c r="F1905" s="10">
        <v>2</v>
      </c>
      <c r="G1905" s="10">
        <v>4610</v>
      </c>
      <c r="H1905" s="10">
        <v>10.4</v>
      </c>
      <c r="I1905" s="10">
        <v>8261.1200000000008</v>
      </c>
      <c r="J1905" s="8" t="s">
        <v>97</v>
      </c>
      <c r="K1905" s="8" t="s">
        <v>42</v>
      </c>
      <c r="L1905" s="18" t="str">
        <f>VLOOKUP(D1905,Products!$A:$C,3,FALSE)</f>
        <v>Home</v>
      </c>
      <c r="N1905" s="18" t="str">
        <f>VLOOKUP(C1905,Customers!$A:$E,5,FALSE)</f>
        <v>Retail</v>
      </c>
      <c r="O1905" s="18">
        <f>VLOOKUP(C1905,Customers!$A:$C,3,FALSE)</f>
        <v>36</v>
      </c>
      <c r="P1905" s="18" t="str">
        <f>VLOOKUP(E1904,Sales_Reps!$A:$C,3,FALSE)</f>
        <v>North</v>
      </c>
      <c r="Q1905" s="18" t="str">
        <f t="shared" si="378"/>
        <v>Mar-24</v>
      </c>
      <c r="R1905">
        <f>VLOOKUP(D1905, Products!A:D, 4, FALSE)</f>
        <v>1850</v>
      </c>
      <c r="S1905">
        <f t="shared" si="379"/>
        <v>0.59869848156182215</v>
      </c>
    </row>
    <row r="1906" spans="1:19" ht="14.25" customHeight="1" x14ac:dyDescent="0.3">
      <c r="A1906" s="8" t="s">
        <v>2938</v>
      </c>
      <c r="B1906" s="21">
        <v>45383</v>
      </c>
      <c r="C1906" s="8" t="s">
        <v>829</v>
      </c>
      <c r="D1906" s="8" t="s">
        <v>918</v>
      </c>
      <c r="E1906" s="8" t="s">
        <v>172</v>
      </c>
      <c r="F1906" s="10">
        <v>6</v>
      </c>
      <c r="G1906" s="10">
        <v>2210</v>
      </c>
      <c r="H1906" s="10">
        <v>22.5</v>
      </c>
      <c r="I1906" s="10">
        <v>10276.5</v>
      </c>
      <c r="J1906" s="8" t="s">
        <v>147</v>
      </c>
      <c r="K1906" s="8" t="s">
        <v>178</v>
      </c>
      <c r="L1906" s="18" t="str">
        <f>VLOOKUP(D1906,Products!$A:$C,3,FALSE)</f>
        <v>Grocery</v>
      </c>
      <c r="N1906" s="18" t="str">
        <f>VLOOKUP(C1906,Customers!$A:$E,5,FALSE)</f>
        <v>Corporate</v>
      </c>
      <c r="O1906" s="18">
        <f>VLOOKUP(C1906,Customers!$A:$C,3,FALSE)</f>
        <v>29</v>
      </c>
      <c r="P1906" s="18" t="str">
        <f>VLOOKUP(E1905,Sales_Reps!$A:$C,3,FALSE)</f>
        <v>North</v>
      </c>
      <c r="Q1906" s="18" t="str">
        <f t="shared" si="378"/>
        <v>Jan-24</v>
      </c>
      <c r="R1906">
        <f>VLOOKUP(D1906, Products!A:D, 4, FALSE)</f>
        <v>1010</v>
      </c>
      <c r="S1906">
        <f t="shared" si="379"/>
        <v>0.54298642533936647</v>
      </c>
    </row>
    <row r="1907" spans="1:19" ht="14.25" customHeight="1" x14ac:dyDescent="0.3">
      <c r="A1907" s="8" t="s">
        <v>2939</v>
      </c>
      <c r="B1907" s="21">
        <v>45420</v>
      </c>
      <c r="C1907" s="8" t="s">
        <v>765</v>
      </c>
      <c r="D1907" s="8" t="s">
        <v>918</v>
      </c>
      <c r="E1907" s="8" t="s">
        <v>865</v>
      </c>
      <c r="F1907" s="10">
        <v>4</v>
      </c>
      <c r="G1907" s="10">
        <v>2210</v>
      </c>
      <c r="H1907" s="10">
        <v>21.5</v>
      </c>
      <c r="I1907" s="10">
        <v>6939.4</v>
      </c>
      <c r="J1907" s="8" t="s">
        <v>97</v>
      </c>
      <c r="K1907" s="8" t="s">
        <v>119</v>
      </c>
      <c r="L1907" s="18" t="str">
        <f>VLOOKUP(D1907,Products!$A:$C,3,FALSE)</f>
        <v>Grocery</v>
      </c>
      <c r="N1907" s="18" t="str">
        <f>VLOOKUP(C1907,Customers!$A:$E,5,FALSE)</f>
        <v>SMB</v>
      </c>
      <c r="O1907" s="18">
        <f>VLOOKUP(C1907,Customers!$A:$C,3,FALSE)</f>
        <v>29</v>
      </c>
      <c r="P1907" s="18" t="str">
        <f>VLOOKUP(E1906,Sales_Reps!$A:$C,3,FALSE)</f>
        <v>West</v>
      </c>
      <c r="Q1907" s="18" t="str">
        <f t="shared" si="378"/>
        <v>Apr-24</v>
      </c>
      <c r="R1907">
        <f>VLOOKUP(D1907, Products!A:D, 4, FALSE)</f>
        <v>1010</v>
      </c>
      <c r="S1907">
        <f t="shared" si="379"/>
        <v>0.54298642533936647</v>
      </c>
    </row>
    <row r="1908" spans="1:19" ht="14.25" hidden="1" customHeight="1" x14ac:dyDescent="0.3">
      <c r="A1908" s="8" t="s">
        <v>2940</v>
      </c>
      <c r="B1908" s="9">
        <v>45400</v>
      </c>
      <c r="C1908" s="8" t="s">
        <v>35</v>
      </c>
      <c r="D1908" s="8" t="s">
        <v>929</v>
      </c>
      <c r="E1908" s="8" t="s">
        <v>745</v>
      </c>
      <c r="F1908" s="10">
        <v>6</v>
      </c>
      <c r="G1908" s="10">
        <v>1090</v>
      </c>
      <c r="H1908" s="10">
        <v>28.3</v>
      </c>
      <c r="I1908" s="10">
        <v>4689.18</v>
      </c>
      <c r="J1908" s="8" t="s">
        <v>41</v>
      </c>
      <c r="K1908" s="8" t="s">
        <v>42</v>
      </c>
      <c r="L1908" s="18" t="str">
        <f>VLOOKUP(D1908,Products!$A:$C,3,FALSE)</f>
        <v>Home</v>
      </c>
      <c r="N1908" s="18" t="str">
        <f>VLOOKUP(C1908,Customers!$A:$E,5,FALSE)</f>
        <v>SMB</v>
      </c>
      <c r="O1908" s="18">
        <f>VLOOKUP(C1908,Customers!$A:$C,3,FALSE)</f>
        <v>44</v>
      </c>
    </row>
    <row r="1909" spans="1:19" ht="14.25" hidden="1" customHeight="1" x14ac:dyDescent="0.3">
      <c r="A1909" s="8" t="s">
        <v>2941</v>
      </c>
      <c r="B1909" s="9">
        <v>45625</v>
      </c>
      <c r="C1909" s="8" t="s">
        <v>858</v>
      </c>
      <c r="D1909" s="8" t="s">
        <v>144</v>
      </c>
      <c r="E1909" s="8" t="s">
        <v>200</v>
      </c>
      <c r="F1909" s="10">
        <v>9</v>
      </c>
      <c r="G1909" s="10">
        <v>370</v>
      </c>
      <c r="H1909" s="10">
        <v>13.8</v>
      </c>
      <c r="I1909" s="10">
        <v>2870.46</v>
      </c>
      <c r="J1909" s="8" t="s">
        <v>41</v>
      </c>
      <c r="K1909" s="8" t="s">
        <v>119</v>
      </c>
      <c r="L1909" s="18" t="str">
        <f>VLOOKUP(D1909,Products!$A:$C,3,FALSE)</f>
        <v>Home</v>
      </c>
      <c r="N1909" s="18" t="str">
        <f>VLOOKUP(C1909,Customers!$A:$E,5,FALSE)</f>
        <v>Retail</v>
      </c>
      <c r="O1909" s="18">
        <f>VLOOKUP(C1909,Customers!$A:$C,3,FALSE)</f>
        <v>44</v>
      </c>
    </row>
    <row r="1910" spans="1:19" ht="14.25" hidden="1" customHeight="1" x14ac:dyDescent="0.3">
      <c r="A1910" s="8" t="s">
        <v>2942</v>
      </c>
      <c r="B1910" s="9">
        <v>45555</v>
      </c>
      <c r="C1910" s="8" t="s">
        <v>525</v>
      </c>
      <c r="D1910" s="8" t="s">
        <v>211</v>
      </c>
      <c r="E1910" s="8" t="s">
        <v>145</v>
      </c>
      <c r="F1910" s="10">
        <v>10</v>
      </c>
      <c r="G1910" s="10">
        <v>3570</v>
      </c>
      <c r="H1910" s="10">
        <v>3</v>
      </c>
      <c r="I1910" s="10">
        <v>34629</v>
      </c>
      <c r="J1910" s="8" t="s">
        <v>147</v>
      </c>
      <c r="K1910" s="8" t="s">
        <v>42</v>
      </c>
      <c r="L1910" s="18" t="str">
        <f>VLOOKUP(D1910,Products!$A:$C,3,FALSE)</f>
        <v>Electronics</v>
      </c>
      <c r="N1910" s="18" t="str">
        <f>VLOOKUP(C1910,Customers!$A:$E,5,FALSE)</f>
        <v>Retail</v>
      </c>
      <c r="O1910" s="18">
        <f>VLOOKUP(C1910,Customers!$A:$C,3,FALSE)</f>
        <v>57</v>
      </c>
    </row>
    <row r="1911" spans="1:19" ht="14.25" hidden="1" customHeight="1" x14ac:dyDescent="0.3">
      <c r="A1911" s="8" t="s">
        <v>2943</v>
      </c>
      <c r="B1911" s="9">
        <v>45509</v>
      </c>
      <c r="C1911" s="8" t="s">
        <v>413</v>
      </c>
      <c r="D1911" s="8" t="s">
        <v>192</v>
      </c>
      <c r="E1911" s="8" t="s">
        <v>221</v>
      </c>
      <c r="F1911" s="10">
        <v>10</v>
      </c>
      <c r="G1911" s="10">
        <v>3250</v>
      </c>
      <c r="H1911" s="10">
        <v>20.3</v>
      </c>
      <c r="I1911" s="10">
        <v>25902.5</v>
      </c>
      <c r="J1911" s="8" t="s">
        <v>41</v>
      </c>
      <c r="K1911" s="8" t="s">
        <v>146</v>
      </c>
      <c r="L1911" s="18" t="str">
        <f>VLOOKUP(D1911,Products!$A:$C,3,FALSE)</f>
        <v>Home</v>
      </c>
      <c r="N1911" s="18" t="str">
        <f>VLOOKUP(C1911,Customers!$A:$E,5,FALSE)</f>
        <v>Retail</v>
      </c>
      <c r="O1911" s="18">
        <f>VLOOKUP(C1911,Customers!$A:$C,3,FALSE)</f>
        <v>42</v>
      </c>
    </row>
    <row r="1912" spans="1:19" ht="14.25" hidden="1" customHeight="1" x14ac:dyDescent="0.3">
      <c r="A1912" s="8" t="s">
        <v>2944</v>
      </c>
      <c r="B1912" s="9">
        <v>45436</v>
      </c>
      <c r="C1912" s="8" t="s">
        <v>379</v>
      </c>
      <c r="D1912" s="8" t="s">
        <v>192</v>
      </c>
      <c r="E1912" s="8" t="s">
        <v>172</v>
      </c>
      <c r="F1912" s="10">
        <v>6</v>
      </c>
      <c r="G1912" s="10">
        <v>3250</v>
      </c>
      <c r="H1912" s="10">
        <v>25.8</v>
      </c>
      <c r="I1912" s="10">
        <v>14469</v>
      </c>
      <c r="J1912" s="8" t="s">
        <v>97</v>
      </c>
      <c r="K1912" s="8" t="s">
        <v>146</v>
      </c>
      <c r="L1912" s="18" t="str">
        <f>VLOOKUP(D1912,Products!$A:$C,3,FALSE)</f>
        <v>Home</v>
      </c>
      <c r="N1912" s="18" t="str">
        <f>VLOOKUP(C1912,Customers!$A:$E,5,FALSE)</f>
        <v>Corporate</v>
      </c>
      <c r="O1912" s="18">
        <f>VLOOKUP(C1912,Customers!$A:$C,3,FALSE)</f>
        <v>62</v>
      </c>
    </row>
    <row r="1913" spans="1:19" ht="14.25" hidden="1" customHeight="1" x14ac:dyDescent="0.3">
      <c r="A1913" s="8" t="s">
        <v>2945</v>
      </c>
      <c r="B1913" s="9">
        <v>45610</v>
      </c>
      <c r="C1913" s="8" t="s">
        <v>698</v>
      </c>
      <c r="D1913" s="8" t="s">
        <v>152</v>
      </c>
      <c r="E1913" s="8" t="s">
        <v>153</v>
      </c>
      <c r="F1913" s="10">
        <v>9</v>
      </c>
      <c r="G1913" s="10">
        <v>960</v>
      </c>
      <c r="H1913" s="10">
        <v>29</v>
      </c>
      <c r="I1913" s="10">
        <v>6134.4</v>
      </c>
      <c r="J1913" s="8" t="s">
        <v>41</v>
      </c>
      <c r="K1913" s="8" t="s">
        <v>146</v>
      </c>
      <c r="L1913" s="18" t="str">
        <f>VLOOKUP(D1913,Products!$A:$C,3,FALSE)</f>
        <v>Sports</v>
      </c>
      <c r="N1913" s="18" t="str">
        <f>VLOOKUP(C1913,Customers!$A:$E,5,FALSE)</f>
        <v>Retail</v>
      </c>
      <c r="O1913" s="18">
        <f>VLOOKUP(C1913,Customers!$A:$C,3,FALSE)</f>
        <v>49</v>
      </c>
    </row>
    <row r="1914" spans="1:19" ht="14.25" customHeight="1" x14ac:dyDescent="0.3">
      <c r="A1914" s="8" t="s">
        <v>2946</v>
      </c>
      <c r="B1914" s="21">
        <v>45535</v>
      </c>
      <c r="C1914" s="8" t="s">
        <v>645</v>
      </c>
      <c r="D1914" s="8" t="s">
        <v>662</v>
      </c>
      <c r="E1914" s="8" t="s">
        <v>301</v>
      </c>
      <c r="F1914" s="10">
        <v>9</v>
      </c>
      <c r="G1914" s="10">
        <v>6080</v>
      </c>
      <c r="H1914" s="10">
        <v>21</v>
      </c>
      <c r="I1914" s="10">
        <v>43228.800000000003</v>
      </c>
      <c r="J1914" s="8" t="s">
        <v>41</v>
      </c>
      <c r="K1914" s="8" t="s">
        <v>119</v>
      </c>
      <c r="L1914" s="18" t="str">
        <f>VLOOKUP(D1914,Products!$A:$C,3,FALSE)</f>
        <v>Beauty</v>
      </c>
      <c r="N1914" s="18" t="str">
        <f>VLOOKUP(C1914,Customers!$A:$E,5,FALSE)</f>
        <v>SMB</v>
      </c>
      <c r="O1914" s="18">
        <f>VLOOKUP(C1914,Customers!$A:$C,3,FALSE)</f>
        <v>38</v>
      </c>
      <c r="P1914" s="18" t="str">
        <f>VLOOKUP(E1913,Sales_Reps!$A:$C,3,FALSE)</f>
        <v>West</v>
      </c>
      <c r="Q1914" s="18" t="str">
        <f t="shared" ref="Q1914:Q1916" si="380">TEXT(B1913,"MMM-YY")</f>
        <v>Nov-24</v>
      </c>
      <c r="R1914">
        <f>VLOOKUP(D1914, Products!A:D, 4, FALSE)</f>
        <v>2617</v>
      </c>
      <c r="S1914">
        <f t="shared" ref="S1914:S1916" si="381">(G1914-R1914)/G1914</f>
        <v>0.56957236842105263</v>
      </c>
    </row>
    <row r="1915" spans="1:19" ht="14.25" customHeight="1" x14ac:dyDescent="0.3">
      <c r="A1915" s="8" t="s">
        <v>2947</v>
      </c>
      <c r="B1915" s="21">
        <v>45366</v>
      </c>
      <c r="C1915" s="8" t="s">
        <v>233</v>
      </c>
      <c r="D1915" s="8" t="s">
        <v>839</v>
      </c>
      <c r="E1915" s="8" t="s">
        <v>321</v>
      </c>
      <c r="F1915" s="10">
        <v>6</v>
      </c>
      <c r="G1915" s="10">
        <v>4610</v>
      </c>
      <c r="H1915" s="10">
        <v>13.5</v>
      </c>
      <c r="I1915" s="10">
        <v>23925.9</v>
      </c>
      <c r="J1915" s="8" t="s">
        <v>41</v>
      </c>
      <c r="K1915" s="8" t="s">
        <v>146</v>
      </c>
      <c r="L1915" s="18" t="str">
        <f>VLOOKUP(D1915,Products!$A:$C,3,FALSE)</f>
        <v>Home</v>
      </c>
      <c r="N1915" s="18" t="str">
        <f>VLOOKUP(C1915,Customers!$A:$E,5,FALSE)</f>
        <v>Retail</v>
      </c>
      <c r="O1915" s="18">
        <f>VLOOKUP(C1915,Customers!$A:$C,3,FALSE)</f>
        <v>34</v>
      </c>
      <c r="P1915" s="18" t="str">
        <f>VLOOKUP(E1914,Sales_Reps!$A:$C,3,FALSE)</f>
        <v>South</v>
      </c>
      <c r="Q1915" s="18" t="str">
        <f t="shared" si="380"/>
        <v>Aug-24</v>
      </c>
      <c r="R1915">
        <f>VLOOKUP(D1915, Products!A:D, 4, FALSE)</f>
        <v>1850</v>
      </c>
      <c r="S1915">
        <f t="shared" si="381"/>
        <v>0.59869848156182215</v>
      </c>
    </row>
    <row r="1916" spans="1:19" ht="14.25" customHeight="1" x14ac:dyDescent="0.3">
      <c r="A1916" s="8" t="s">
        <v>2948</v>
      </c>
      <c r="B1916" s="21">
        <v>45446</v>
      </c>
      <c r="C1916" s="8" t="s">
        <v>159</v>
      </c>
      <c r="D1916" s="8" t="s">
        <v>926</v>
      </c>
      <c r="E1916" s="8" t="s">
        <v>216</v>
      </c>
      <c r="F1916" s="10">
        <v>7</v>
      </c>
      <c r="G1916" s="10">
        <v>5080</v>
      </c>
      <c r="H1916" s="10">
        <v>25.4</v>
      </c>
      <c r="I1916" s="10">
        <v>26527.759999999998</v>
      </c>
      <c r="J1916" s="8" t="s">
        <v>41</v>
      </c>
      <c r="K1916" s="8" t="s">
        <v>98</v>
      </c>
      <c r="L1916" s="18" t="str">
        <f>VLOOKUP(D1916,Products!$A:$C,3,FALSE)</f>
        <v>Home</v>
      </c>
      <c r="N1916" s="18" t="str">
        <f>VLOOKUP(C1916,Customers!$A:$E,5,FALSE)</f>
        <v>Corporate</v>
      </c>
      <c r="O1916" s="18">
        <f>VLOOKUP(C1916,Customers!$A:$C,3,FALSE)</f>
        <v>34</v>
      </c>
      <c r="P1916" s="18" t="str">
        <f>VLOOKUP(E1915,Sales_Reps!$A:$C,3,FALSE)</f>
        <v>East</v>
      </c>
      <c r="Q1916" s="18" t="str">
        <f t="shared" si="380"/>
        <v>Mar-24</v>
      </c>
      <c r="R1916">
        <f>VLOOKUP(D1916, Products!A:D, 4, FALSE)</f>
        <v>2459</v>
      </c>
      <c r="S1916">
        <f t="shared" si="381"/>
        <v>0.51594488188976373</v>
      </c>
    </row>
    <row r="1917" spans="1:19" ht="14.25" hidden="1" customHeight="1" x14ac:dyDescent="0.3">
      <c r="A1917" s="8" t="s">
        <v>2949</v>
      </c>
      <c r="B1917" s="9">
        <v>45550</v>
      </c>
      <c r="C1917" s="8" t="s">
        <v>629</v>
      </c>
      <c r="D1917" s="8" t="s">
        <v>247</v>
      </c>
      <c r="E1917" s="8" t="s">
        <v>121</v>
      </c>
      <c r="F1917" s="10">
        <v>5</v>
      </c>
      <c r="G1917" s="10">
        <v>3350</v>
      </c>
      <c r="H1917" s="10">
        <v>2.2000000000000002</v>
      </c>
      <c r="I1917" s="10">
        <v>16381.5</v>
      </c>
      <c r="J1917" s="8" t="s">
        <v>41</v>
      </c>
      <c r="K1917" s="8" t="s">
        <v>146</v>
      </c>
      <c r="L1917" s="18" t="str">
        <f>VLOOKUP(D1917,Products!$A:$C,3,FALSE)</f>
        <v>Beauty</v>
      </c>
      <c r="N1917" s="18" t="str">
        <f>VLOOKUP(C1917,Customers!$A:$E,5,FALSE)</f>
        <v>Retail</v>
      </c>
      <c r="O1917" s="18">
        <f>VLOOKUP(C1917,Customers!$A:$C,3,FALSE)</f>
        <v>65</v>
      </c>
    </row>
    <row r="1918" spans="1:19" ht="14.25" hidden="1" customHeight="1" x14ac:dyDescent="0.3">
      <c r="A1918" s="8" t="s">
        <v>2950</v>
      </c>
      <c r="B1918" s="9">
        <v>45600</v>
      </c>
      <c r="C1918" s="8" t="s">
        <v>454</v>
      </c>
      <c r="D1918" s="8" t="s">
        <v>624</v>
      </c>
      <c r="E1918" s="8" t="s">
        <v>117</v>
      </c>
      <c r="F1918" s="10">
        <v>1</v>
      </c>
      <c r="G1918" s="10">
        <v>3780</v>
      </c>
      <c r="H1918" s="10">
        <v>13.7</v>
      </c>
      <c r="I1918" s="10">
        <v>3262.14</v>
      </c>
      <c r="J1918" s="8" t="s">
        <v>41</v>
      </c>
      <c r="K1918" s="8" t="s">
        <v>119</v>
      </c>
      <c r="L1918" s="18" t="str">
        <f>VLOOKUP(D1918,Products!$A:$C,3,FALSE)</f>
        <v>Grocery</v>
      </c>
      <c r="N1918" s="18" t="str">
        <f>VLOOKUP(C1918,Customers!$A:$E,5,FALSE)</f>
        <v>Retail</v>
      </c>
      <c r="O1918" s="18">
        <f>VLOOKUP(C1918,Customers!$A:$C,3,FALSE)</f>
        <v>55</v>
      </c>
    </row>
    <row r="1919" spans="1:19" ht="14.25" hidden="1" customHeight="1" x14ac:dyDescent="0.3">
      <c r="A1919" s="8" t="s">
        <v>2951</v>
      </c>
      <c r="B1919" s="9">
        <v>45352</v>
      </c>
      <c r="C1919" s="8" t="s">
        <v>246</v>
      </c>
      <c r="D1919" s="8" t="s">
        <v>283</v>
      </c>
      <c r="E1919" s="8" t="s">
        <v>321</v>
      </c>
      <c r="F1919" s="10">
        <v>4</v>
      </c>
      <c r="G1919" s="10">
        <v>4880</v>
      </c>
      <c r="H1919" s="10">
        <v>11.6</v>
      </c>
      <c r="I1919" s="10">
        <v>17255.68</v>
      </c>
      <c r="J1919" s="8" t="s">
        <v>41</v>
      </c>
      <c r="K1919" s="8" t="s">
        <v>98</v>
      </c>
      <c r="L1919" s="18" t="str">
        <f>VLOOKUP(D1919,Products!$A:$C,3,FALSE)</f>
        <v>Beauty</v>
      </c>
      <c r="N1919" s="18" t="str">
        <f>VLOOKUP(C1919,Customers!$A:$E,5,FALSE)</f>
        <v>Corporate</v>
      </c>
      <c r="O1919" s="18">
        <f>VLOOKUP(C1919,Customers!$A:$C,3,FALSE)</f>
        <v>55</v>
      </c>
    </row>
    <row r="1920" spans="1:19" ht="14.25" hidden="1" customHeight="1" x14ac:dyDescent="0.3">
      <c r="A1920" s="8" t="s">
        <v>2952</v>
      </c>
      <c r="B1920" s="9">
        <v>45385</v>
      </c>
      <c r="C1920" s="8" t="s">
        <v>275</v>
      </c>
      <c r="D1920" s="8" t="s">
        <v>320</v>
      </c>
      <c r="E1920" s="8" t="s">
        <v>236</v>
      </c>
      <c r="F1920" s="10">
        <v>3</v>
      </c>
      <c r="G1920" s="10">
        <v>5100</v>
      </c>
      <c r="H1920" s="10">
        <v>24.2</v>
      </c>
      <c r="I1920" s="10">
        <v>11597.4</v>
      </c>
      <c r="J1920" s="8" t="s">
        <v>41</v>
      </c>
      <c r="K1920" s="8" t="s">
        <v>2953</v>
      </c>
      <c r="L1920" s="18" t="str">
        <f>VLOOKUP(D1920,Products!$A:$C,3,FALSE)</f>
        <v>Beauty</v>
      </c>
      <c r="N1920" s="18" t="str">
        <f>VLOOKUP(C1920,Customers!$A:$E,5,FALSE)</f>
        <v>Corporate</v>
      </c>
      <c r="O1920" s="18">
        <f>VLOOKUP(C1920,Customers!$A:$C,3,FALSE)</f>
        <v>41</v>
      </c>
    </row>
    <row r="1921" spans="1:19" ht="14.25" customHeight="1" x14ac:dyDescent="0.3">
      <c r="A1921" s="8" t="s">
        <v>2954</v>
      </c>
      <c r="B1921" s="21">
        <v>45634</v>
      </c>
      <c r="C1921" s="8" t="s">
        <v>130</v>
      </c>
      <c r="D1921" s="8" t="s">
        <v>131</v>
      </c>
      <c r="E1921" s="8" t="s">
        <v>208</v>
      </c>
      <c r="F1921" s="10">
        <v>5</v>
      </c>
      <c r="G1921" s="10">
        <v>2660</v>
      </c>
      <c r="H1921" s="10">
        <v>4.7</v>
      </c>
      <c r="I1921" s="10">
        <v>12674.9</v>
      </c>
      <c r="J1921" s="8" t="s">
        <v>41</v>
      </c>
      <c r="K1921" s="8" t="s">
        <v>136</v>
      </c>
      <c r="L1921" s="18" t="str">
        <f>VLOOKUP(D1921,Products!$A:$C,3,FALSE)</f>
        <v>Electronics</v>
      </c>
      <c r="N1921" s="18" t="str">
        <f>VLOOKUP(C1921,Customers!$A:$E,5,FALSE)</f>
        <v>Retail</v>
      </c>
      <c r="O1921" s="18">
        <f>VLOOKUP(C1921,Customers!$A:$C,3,FALSE)</f>
        <v>27</v>
      </c>
      <c r="P1921" s="18" t="str">
        <f>VLOOKUP(E1920,Sales_Reps!$A:$C,3,FALSE)</f>
        <v>West</v>
      </c>
      <c r="Q1921" s="18" t="str">
        <f t="shared" ref="Q1921:Q1925" si="382">TEXT(B1920,"MMM-YY")</f>
        <v>Apr-24</v>
      </c>
      <c r="R1921">
        <f>VLOOKUP(D1921, Products!A:D, 4, FALSE)</f>
        <v>1259</v>
      </c>
      <c r="S1921">
        <f t="shared" ref="S1921:S1925" si="383">(G1921-R1921)/G1921</f>
        <v>0.52669172932330832</v>
      </c>
    </row>
    <row r="1922" spans="1:19" ht="14.25" customHeight="1" x14ac:dyDescent="0.3">
      <c r="A1922" s="8" t="s">
        <v>2955</v>
      </c>
      <c r="B1922" s="21">
        <v>45444</v>
      </c>
      <c r="C1922" s="8" t="s">
        <v>543</v>
      </c>
      <c r="D1922" s="8" t="s">
        <v>909</v>
      </c>
      <c r="E1922" s="8" t="s">
        <v>121</v>
      </c>
      <c r="F1922" s="10">
        <v>10</v>
      </c>
      <c r="G1922" s="10">
        <v>2380</v>
      </c>
      <c r="H1922" s="10">
        <v>1</v>
      </c>
      <c r="I1922" s="10">
        <v>23562</v>
      </c>
      <c r="J1922" s="8" t="s">
        <v>41</v>
      </c>
      <c r="K1922" s="8" t="s">
        <v>119</v>
      </c>
      <c r="L1922" s="18" t="str">
        <f>VLOOKUP(D1922,Products!$A:$C,3,FALSE)</f>
        <v>Grocery</v>
      </c>
      <c r="N1922" s="18" t="str">
        <f>VLOOKUP(C1922,Customers!$A:$E,5,FALSE)</f>
        <v>SMB</v>
      </c>
      <c r="O1922" s="18">
        <f>VLOOKUP(C1922,Customers!$A:$C,3,FALSE)</f>
        <v>28</v>
      </c>
      <c r="P1922" s="18" t="str">
        <f>VLOOKUP(E1921,Sales_Reps!$A:$C,3,FALSE)</f>
        <v>East</v>
      </c>
      <c r="Q1922" s="18" t="str">
        <f t="shared" si="382"/>
        <v>Dec-24</v>
      </c>
      <c r="R1922">
        <f>VLOOKUP(D1922, Products!A:D, 4, FALSE)</f>
        <v>1182</v>
      </c>
      <c r="S1922">
        <f t="shared" si="383"/>
        <v>0.50336134453781511</v>
      </c>
    </row>
    <row r="1923" spans="1:19" ht="14.25" customHeight="1" x14ac:dyDescent="0.3">
      <c r="A1923" s="8" t="s">
        <v>2956</v>
      </c>
      <c r="B1923" s="21">
        <v>45553</v>
      </c>
      <c r="C1923" s="8" t="s">
        <v>458</v>
      </c>
      <c r="D1923" s="8" t="s">
        <v>283</v>
      </c>
      <c r="E1923" s="8" t="s">
        <v>261</v>
      </c>
      <c r="F1923" s="10">
        <v>9</v>
      </c>
      <c r="G1923" s="10">
        <v>4880</v>
      </c>
      <c r="H1923" s="10">
        <v>7.2</v>
      </c>
      <c r="I1923" s="10">
        <v>40757.760000000002</v>
      </c>
      <c r="J1923" s="8" t="s">
        <v>41</v>
      </c>
      <c r="K1923" s="8" t="s">
        <v>42</v>
      </c>
      <c r="L1923" s="18" t="str">
        <f>VLOOKUP(D1923,Products!$A:$C,3,FALSE)</f>
        <v>Beauty</v>
      </c>
      <c r="N1923" s="18" t="str">
        <f>VLOOKUP(C1923,Customers!$A:$E,5,FALSE)</f>
        <v>Retail</v>
      </c>
      <c r="O1923" s="18">
        <f>VLOOKUP(C1923,Customers!$A:$C,3,FALSE)</f>
        <v>36</v>
      </c>
      <c r="P1923" s="18" t="str">
        <f>VLOOKUP(E1922,Sales_Reps!$A:$C,3,FALSE)</f>
        <v>East</v>
      </c>
      <c r="Q1923" s="18" t="str">
        <f t="shared" si="382"/>
        <v>Jun-24</v>
      </c>
      <c r="R1923">
        <f>VLOOKUP(D1923, Products!A:D, 4, FALSE)</f>
        <v>2768</v>
      </c>
      <c r="S1923">
        <f t="shared" si="383"/>
        <v>0.43278688524590164</v>
      </c>
    </row>
    <row r="1924" spans="1:19" ht="14.25" customHeight="1" x14ac:dyDescent="0.3">
      <c r="A1924" s="8" t="s">
        <v>2957</v>
      </c>
      <c r="B1924" s="21">
        <v>45411</v>
      </c>
      <c r="C1924" s="8" t="s">
        <v>736</v>
      </c>
      <c r="D1924" s="8" t="s">
        <v>569</v>
      </c>
      <c r="E1924" s="8" t="s">
        <v>117</v>
      </c>
      <c r="F1924" s="10">
        <v>1</v>
      </c>
      <c r="G1924" s="10">
        <v>3730</v>
      </c>
      <c r="H1924" s="10">
        <v>15.3</v>
      </c>
      <c r="I1924" s="10">
        <v>3159.31</v>
      </c>
      <c r="J1924" s="8" t="s">
        <v>41</v>
      </c>
      <c r="K1924" s="8" t="s">
        <v>178</v>
      </c>
      <c r="L1924" s="18" t="str">
        <f>VLOOKUP(D1924,Products!$A:$C,3,FALSE)</f>
        <v>Home</v>
      </c>
      <c r="N1924" s="18" t="str">
        <f>VLOOKUP(C1924,Customers!$A:$E,5,FALSE)</f>
        <v>SMB</v>
      </c>
      <c r="O1924" s="18">
        <f>VLOOKUP(C1924,Customers!$A:$C,3,FALSE)</f>
        <v>25</v>
      </c>
      <c r="P1924" s="18" t="str">
        <f>VLOOKUP(E1923,Sales_Reps!$A:$C,3,FALSE)</f>
        <v>North</v>
      </c>
      <c r="Q1924" s="18" t="str">
        <f t="shared" si="382"/>
        <v>Sep-24</v>
      </c>
      <c r="R1924">
        <f>VLOOKUP(D1924, Products!A:D, 4, FALSE)</f>
        <v>2135</v>
      </c>
      <c r="S1924">
        <f t="shared" si="383"/>
        <v>0.42761394101876676</v>
      </c>
    </row>
    <row r="1925" spans="1:19" ht="14.25" customHeight="1" x14ac:dyDescent="0.3">
      <c r="A1925" s="8" t="s">
        <v>2958</v>
      </c>
      <c r="B1925" s="21">
        <v>45442</v>
      </c>
      <c r="C1925" s="8" t="s">
        <v>151</v>
      </c>
      <c r="D1925" s="8" t="s">
        <v>964</v>
      </c>
      <c r="E1925" s="8" t="s">
        <v>200</v>
      </c>
      <c r="F1925" s="10">
        <v>10</v>
      </c>
      <c r="G1925" s="10">
        <v>3780</v>
      </c>
      <c r="H1925" s="10">
        <v>2.7</v>
      </c>
      <c r="I1925" s="10">
        <v>36779.4</v>
      </c>
      <c r="J1925" s="8" t="s">
        <v>41</v>
      </c>
      <c r="K1925" s="8" t="s">
        <v>136</v>
      </c>
      <c r="L1925" s="18" t="str">
        <f>VLOOKUP(D1925,Products!$A:$C,3,FALSE)</f>
        <v>Sports</v>
      </c>
      <c r="N1925" s="18" t="str">
        <f>VLOOKUP(C1925,Customers!$A:$E,5,FALSE)</f>
        <v>Retail</v>
      </c>
      <c r="O1925" s="18">
        <f>VLOOKUP(C1925,Customers!$A:$C,3,FALSE)</f>
        <v>27</v>
      </c>
      <c r="P1925" s="18" t="str">
        <f>VLOOKUP(E1924,Sales_Reps!$A:$C,3,FALSE)</f>
        <v>South</v>
      </c>
      <c r="Q1925" s="18" t="str">
        <f t="shared" si="382"/>
        <v>Apr-24</v>
      </c>
      <c r="R1925">
        <f>VLOOKUP(D1925, Products!A:D, 4, FALSE)</f>
        <v>1860</v>
      </c>
      <c r="S1925">
        <f t="shared" si="383"/>
        <v>0.50793650793650791</v>
      </c>
    </row>
    <row r="1926" spans="1:19" ht="14.25" hidden="1" customHeight="1" x14ac:dyDescent="0.3">
      <c r="A1926" s="8" t="s">
        <v>2959</v>
      </c>
      <c r="B1926" s="9">
        <v>45381</v>
      </c>
      <c r="C1926" s="8" t="s">
        <v>483</v>
      </c>
      <c r="D1926" s="8" t="s">
        <v>37</v>
      </c>
      <c r="E1926" s="8" t="s">
        <v>208</v>
      </c>
      <c r="F1926" s="10">
        <v>2</v>
      </c>
      <c r="G1926" s="10">
        <v>3620</v>
      </c>
      <c r="H1926" s="10">
        <v>23</v>
      </c>
      <c r="I1926" s="10">
        <v>5574.8</v>
      </c>
      <c r="J1926" s="8" t="s">
        <v>41</v>
      </c>
      <c r="K1926" s="8" t="s">
        <v>98</v>
      </c>
      <c r="L1926" s="18" t="str">
        <f>VLOOKUP(D1926,Products!$A:$C,3,FALSE)</f>
        <v>Apparel</v>
      </c>
      <c r="N1926" s="18" t="str">
        <f>VLOOKUP(C1926,Customers!$A:$E,5,FALSE)</f>
        <v>SMB</v>
      </c>
      <c r="O1926" s="18">
        <f>VLOOKUP(C1926,Customers!$A:$C,3,FALSE)</f>
        <v>51</v>
      </c>
    </row>
    <row r="1927" spans="1:19" ht="14.25" customHeight="1" x14ac:dyDescent="0.3">
      <c r="A1927" s="8" t="s">
        <v>2960</v>
      </c>
      <c r="B1927" s="21">
        <v>45536</v>
      </c>
      <c r="C1927" s="8" t="s">
        <v>257</v>
      </c>
      <c r="D1927" s="8" t="s">
        <v>926</v>
      </c>
      <c r="E1927" s="8" t="s">
        <v>216</v>
      </c>
      <c r="F1927" s="10">
        <v>9</v>
      </c>
      <c r="G1927" s="10">
        <v>5080</v>
      </c>
      <c r="H1927" s="10">
        <v>19.899999999999999</v>
      </c>
      <c r="I1927" s="10">
        <v>36621.72</v>
      </c>
      <c r="J1927" s="8" t="s">
        <v>41</v>
      </c>
      <c r="K1927" s="8" t="s">
        <v>146</v>
      </c>
      <c r="L1927" s="18" t="str">
        <f>VLOOKUP(D1927,Products!$A:$C,3,FALSE)</f>
        <v>Home</v>
      </c>
      <c r="N1927" s="18" t="str">
        <f>VLOOKUP(C1927,Customers!$A:$E,5,FALSE)</f>
        <v>Retail</v>
      </c>
      <c r="O1927" s="18">
        <f>VLOOKUP(C1927,Customers!$A:$C,3,FALSE)</f>
        <v>33</v>
      </c>
      <c r="P1927" s="18" t="str">
        <f>VLOOKUP(E1926,Sales_Reps!$A:$C,3,FALSE)</f>
        <v>East</v>
      </c>
      <c r="Q1927" s="18" t="str">
        <f t="shared" ref="Q1927:Q1929" si="384">TEXT(B1926,"MMM-YY")</f>
        <v>Mar-24</v>
      </c>
      <c r="R1927">
        <f>VLOOKUP(D1927, Products!A:D, 4, FALSE)</f>
        <v>2459</v>
      </c>
      <c r="S1927">
        <f t="shared" ref="S1927:S1929" si="385">(G1927-R1927)/G1927</f>
        <v>0.51594488188976373</v>
      </c>
    </row>
    <row r="1928" spans="1:19" ht="14.25" customHeight="1" x14ac:dyDescent="0.3">
      <c r="A1928" s="8" t="s">
        <v>2961</v>
      </c>
      <c r="B1928" s="21">
        <v>45561</v>
      </c>
      <c r="C1928" s="8" t="s">
        <v>456</v>
      </c>
      <c r="D1928" s="8" t="s">
        <v>901</v>
      </c>
      <c r="E1928" s="8" t="s">
        <v>153</v>
      </c>
      <c r="F1928" s="10">
        <v>2</v>
      </c>
      <c r="G1928" s="10">
        <v>3560</v>
      </c>
      <c r="H1928" s="10">
        <v>5.5</v>
      </c>
      <c r="I1928" s="10">
        <v>6728.4</v>
      </c>
      <c r="J1928" s="8" t="s">
        <v>41</v>
      </c>
      <c r="K1928" s="8" t="s">
        <v>136</v>
      </c>
      <c r="L1928" s="18" t="str">
        <f>VLOOKUP(D1928,Products!$A:$C,3,FALSE)</f>
        <v>Apparel</v>
      </c>
      <c r="N1928" s="18" t="str">
        <f>VLOOKUP(C1928,Customers!$A:$E,5,FALSE)</f>
        <v>SMB</v>
      </c>
      <c r="O1928" s="18">
        <f>VLOOKUP(C1928,Customers!$A:$C,3,FALSE)</f>
        <v>28</v>
      </c>
      <c r="P1928" s="18" t="str">
        <f>VLOOKUP(E1927,Sales_Reps!$A:$C,3,FALSE)</f>
        <v>East</v>
      </c>
      <c r="Q1928" s="18" t="str">
        <f t="shared" si="384"/>
        <v>Sep-24</v>
      </c>
      <c r="R1928">
        <f>VLOOKUP(D1928, Products!A:D, 4, FALSE)</f>
        <v>2629</v>
      </c>
      <c r="S1928">
        <f t="shared" si="385"/>
        <v>0.26151685393258428</v>
      </c>
    </row>
    <row r="1929" spans="1:19" ht="14.25" customHeight="1" x14ac:dyDescent="0.3">
      <c r="A1929" s="8" t="s">
        <v>2962</v>
      </c>
      <c r="B1929" s="21">
        <v>45349</v>
      </c>
      <c r="C1929" s="8" t="s">
        <v>369</v>
      </c>
      <c r="D1929" s="8" t="s">
        <v>171</v>
      </c>
      <c r="E1929" s="8" t="s">
        <v>231</v>
      </c>
      <c r="F1929" s="10">
        <v>6</v>
      </c>
      <c r="G1929" s="10">
        <v>970</v>
      </c>
      <c r="H1929" s="10">
        <v>22.5</v>
      </c>
      <c r="I1929" s="10">
        <v>4510.5</v>
      </c>
      <c r="J1929" s="8" t="s">
        <v>193</v>
      </c>
      <c r="K1929" s="8" t="s">
        <v>146</v>
      </c>
      <c r="L1929" s="18" t="str">
        <f>VLOOKUP(D1929,Products!$A:$C,3,FALSE)</f>
        <v>Grocery</v>
      </c>
      <c r="N1929" s="18" t="str">
        <f>VLOOKUP(C1929,Customers!$A:$E,5,FALSE)</f>
        <v>Retail</v>
      </c>
      <c r="O1929" s="18">
        <f>VLOOKUP(C1929,Customers!$A:$C,3,FALSE)</f>
        <v>37</v>
      </c>
      <c r="P1929" s="18" t="str">
        <f>VLOOKUP(E1928,Sales_Reps!$A:$C,3,FALSE)</f>
        <v>West</v>
      </c>
      <c r="Q1929" s="18" t="str">
        <f t="shared" si="384"/>
        <v>Sep-24</v>
      </c>
      <c r="R1929">
        <f>VLOOKUP(D1929, Products!A:D, 4, FALSE)</f>
        <v>434</v>
      </c>
      <c r="S1929">
        <f t="shared" si="385"/>
        <v>0.5525773195876289</v>
      </c>
    </row>
    <row r="1930" spans="1:19" ht="14.25" hidden="1" customHeight="1" x14ac:dyDescent="0.3">
      <c r="A1930" s="8" t="s">
        <v>2963</v>
      </c>
      <c r="B1930" s="9">
        <v>45650</v>
      </c>
      <c r="C1930" s="8" t="s">
        <v>752</v>
      </c>
      <c r="D1930" s="8" t="s">
        <v>247</v>
      </c>
      <c r="E1930" s="8" t="s">
        <v>117</v>
      </c>
      <c r="F1930" s="10">
        <v>9</v>
      </c>
      <c r="G1930" s="10">
        <v>3350</v>
      </c>
      <c r="H1930" s="10">
        <v>5.0999999999999996</v>
      </c>
      <c r="I1930" s="10">
        <v>28612.35</v>
      </c>
      <c r="J1930" s="8" t="s">
        <v>41</v>
      </c>
      <c r="K1930" s="8" t="s">
        <v>146</v>
      </c>
      <c r="L1930" s="18" t="str">
        <f>VLOOKUP(D1930,Products!$A:$C,3,FALSE)</f>
        <v>Beauty</v>
      </c>
      <c r="N1930" s="18" t="str">
        <f>VLOOKUP(C1930,Customers!$A:$E,5,FALSE)</f>
        <v>Retail</v>
      </c>
      <c r="O1930" s="18">
        <f>VLOOKUP(C1930,Customers!$A:$C,3,FALSE)</f>
        <v>49</v>
      </c>
    </row>
    <row r="1931" spans="1:19" ht="14.25" hidden="1" customHeight="1" x14ac:dyDescent="0.3">
      <c r="A1931" s="8" t="s">
        <v>2964</v>
      </c>
      <c r="B1931" s="9">
        <v>45525</v>
      </c>
      <c r="C1931" s="8" t="s">
        <v>2965</v>
      </c>
      <c r="D1931" s="8" t="s">
        <v>144</v>
      </c>
      <c r="E1931" s="8" t="s">
        <v>865</v>
      </c>
      <c r="F1931" s="10">
        <v>6</v>
      </c>
      <c r="G1931" s="10">
        <v>370</v>
      </c>
      <c r="H1931" s="10">
        <v>17.8</v>
      </c>
      <c r="I1931" s="10">
        <v>1824.84</v>
      </c>
      <c r="J1931" s="8" t="s">
        <v>41</v>
      </c>
      <c r="K1931" s="8" t="s">
        <v>146</v>
      </c>
      <c r="L1931" s="18" t="str">
        <f>VLOOKUP(D1931,Products!$A:$C,3,FALSE)</f>
        <v>Home</v>
      </c>
      <c r="N1931" s="18" t="e">
        <f>VLOOKUP(C1931,Customers!$A:$E,5,FALSE)</f>
        <v>#N/A</v>
      </c>
      <c r="O1931" s="18" t="e">
        <f>VLOOKUP(C1931,Customers!$A:$C,3,FALSE)</f>
        <v>#N/A</v>
      </c>
    </row>
    <row r="1932" spans="1:19" ht="14.25" hidden="1" customHeight="1" x14ac:dyDescent="0.3">
      <c r="A1932" s="8" t="s">
        <v>2966</v>
      </c>
      <c r="B1932" s="9">
        <v>45365</v>
      </c>
      <c r="C1932" s="8" t="s">
        <v>633</v>
      </c>
      <c r="D1932" s="8" t="s">
        <v>176</v>
      </c>
      <c r="E1932" s="8" t="s">
        <v>865</v>
      </c>
      <c r="F1932" s="10">
        <v>3</v>
      </c>
      <c r="G1932" s="10">
        <v>2270</v>
      </c>
      <c r="H1932" s="10">
        <v>8.4</v>
      </c>
      <c r="I1932" s="10">
        <v>6237.96</v>
      </c>
      <c r="J1932" s="8" t="s">
        <v>97</v>
      </c>
      <c r="K1932" s="8" t="s">
        <v>119</v>
      </c>
      <c r="L1932" s="18" t="str">
        <f>VLOOKUP(D1932,Products!$A:$C,3,FALSE)</f>
        <v>Grocery</v>
      </c>
      <c r="N1932" s="18" t="str">
        <f>VLOOKUP(C1932,Customers!$A:$E,5,FALSE)</f>
        <v>Corporate</v>
      </c>
      <c r="O1932" s="18">
        <f>VLOOKUP(C1932,Customers!$A:$C,3,FALSE)</f>
        <v>55</v>
      </c>
    </row>
    <row r="1933" spans="1:19" ht="14.25" hidden="1" customHeight="1" x14ac:dyDescent="0.3">
      <c r="A1933" s="8" t="s">
        <v>2967</v>
      </c>
      <c r="B1933" s="9">
        <v>45464</v>
      </c>
      <c r="C1933" s="8" t="s">
        <v>814</v>
      </c>
      <c r="D1933" s="8" t="s">
        <v>219</v>
      </c>
      <c r="E1933" s="8" t="s">
        <v>216</v>
      </c>
      <c r="F1933" s="10">
        <v>3</v>
      </c>
      <c r="G1933" s="10">
        <v>3450</v>
      </c>
      <c r="H1933" s="10">
        <v>7.2</v>
      </c>
      <c r="I1933" s="10">
        <v>9604.7999999999993</v>
      </c>
      <c r="J1933" s="8" t="s">
        <v>41</v>
      </c>
      <c r="K1933" s="8" t="s">
        <v>136</v>
      </c>
      <c r="L1933" s="18" t="str">
        <f>VLOOKUP(D1933,Products!$A:$C,3,FALSE)</f>
        <v>Sports</v>
      </c>
      <c r="N1933" s="18" t="str">
        <f>VLOOKUP(C1933,Customers!$A:$E,5,FALSE)</f>
        <v>Corporate</v>
      </c>
      <c r="O1933" s="18">
        <f>VLOOKUP(C1933,Customers!$A:$C,3,FALSE)</f>
        <v>41</v>
      </c>
    </row>
    <row r="1934" spans="1:19" ht="14.25" customHeight="1" x14ac:dyDescent="0.3">
      <c r="A1934" s="8" t="s">
        <v>2968</v>
      </c>
      <c r="B1934" s="21">
        <v>45633</v>
      </c>
      <c r="C1934" s="8" t="s">
        <v>538</v>
      </c>
      <c r="D1934" s="8" t="s">
        <v>260</v>
      </c>
      <c r="E1934" s="8" t="s">
        <v>135</v>
      </c>
      <c r="F1934" s="10">
        <v>9</v>
      </c>
      <c r="G1934" s="10">
        <v>1010</v>
      </c>
      <c r="H1934" s="10">
        <v>17.8</v>
      </c>
      <c r="I1934" s="10">
        <v>7471.98</v>
      </c>
      <c r="J1934" s="8" t="s">
        <v>41</v>
      </c>
      <c r="K1934" s="8" t="s">
        <v>178</v>
      </c>
      <c r="L1934" s="18" t="str">
        <f>VLOOKUP(D1934,Products!$A:$C,3,FALSE)</f>
        <v>Sports</v>
      </c>
      <c r="N1934" s="18" t="str">
        <f>VLOOKUP(C1934,Customers!$A:$E,5,FALSE)</f>
        <v>Retail</v>
      </c>
      <c r="O1934" s="18">
        <f>VLOOKUP(C1934,Customers!$A:$C,3,FALSE)</f>
        <v>29</v>
      </c>
      <c r="P1934" s="18" t="str">
        <f>VLOOKUP(E1933,Sales_Reps!$A:$C,3,FALSE)</f>
        <v>East</v>
      </c>
      <c r="Q1934" s="18" t="str">
        <f t="shared" ref="Q1934:Q1935" si="386">TEXT(B1933,"MMM-YY")</f>
        <v>Jun-24</v>
      </c>
      <c r="R1934">
        <f>VLOOKUP(D1934, Products!A:D, 4, FALSE)</f>
        <v>516</v>
      </c>
      <c r="S1934">
        <f t="shared" ref="S1934:S1935" si="387">(G1934-R1934)/G1934</f>
        <v>0.4891089108910891</v>
      </c>
    </row>
    <row r="1935" spans="1:19" ht="14.25" customHeight="1" x14ac:dyDescent="0.3">
      <c r="A1935" s="8" t="s">
        <v>2969</v>
      </c>
      <c r="B1935" s="21">
        <v>45373</v>
      </c>
      <c r="C1935" s="8" t="s">
        <v>596</v>
      </c>
      <c r="D1935" s="8" t="s">
        <v>839</v>
      </c>
      <c r="E1935" s="8" t="s">
        <v>200</v>
      </c>
      <c r="F1935" s="10">
        <v>5</v>
      </c>
      <c r="G1935" s="10">
        <v>4610</v>
      </c>
      <c r="H1935" s="10">
        <v>29.8</v>
      </c>
      <c r="I1935" s="10">
        <v>16181.1</v>
      </c>
      <c r="J1935" s="8" t="s">
        <v>147</v>
      </c>
      <c r="K1935" s="8" t="s">
        <v>146</v>
      </c>
      <c r="L1935" s="18" t="str">
        <f>VLOOKUP(D1935,Products!$A:$C,3,FALSE)</f>
        <v>Home</v>
      </c>
      <c r="N1935" s="18" t="str">
        <f>VLOOKUP(C1935,Customers!$A:$E,5,FALSE)</f>
        <v>Retail</v>
      </c>
      <c r="O1935" s="18">
        <f>VLOOKUP(C1935,Customers!$A:$C,3,FALSE)</f>
        <v>33</v>
      </c>
      <c r="P1935" s="18" t="str">
        <f>VLOOKUP(E1934,Sales_Reps!$A:$C,3,FALSE)</f>
        <v>North</v>
      </c>
      <c r="Q1935" s="18" t="str">
        <f t="shared" si="386"/>
        <v>Dec-24</v>
      </c>
      <c r="R1935">
        <f>VLOOKUP(D1935, Products!A:D, 4, FALSE)</f>
        <v>1850</v>
      </c>
      <c r="S1935">
        <f t="shared" si="387"/>
        <v>0.59869848156182215</v>
      </c>
    </row>
    <row r="1936" spans="1:19" ht="14.25" hidden="1" customHeight="1" x14ac:dyDescent="0.3">
      <c r="A1936" s="8" t="s">
        <v>2970</v>
      </c>
      <c r="B1936" s="9">
        <v>45497</v>
      </c>
      <c r="C1936" s="8" t="s">
        <v>365</v>
      </c>
      <c r="D1936" s="8" t="s">
        <v>144</v>
      </c>
      <c r="E1936" s="8" t="s">
        <v>200</v>
      </c>
      <c r="F1936" s="10">
        <v>6</v>
      </c>
      <c r="G1936" s="10">
        <v>370</v>
      </c>
      <c r="H1936" s="10">
        <v>17.899999999999999</v>
      </c>
      <c r="I1936" s="10">
        <v>1822.62</v>
      </c>
      <c r="J1936" s="8" t="s">
        <v>41</v>
      </c>
      <c r="K1936" s="8" t="s">
        <v>119</v>
      </c>
      <c r="L1936" s="18" t="str">
        <f>VLOOKUP(D1936,Products!$A:$C,3,FALSE)</f>
        <v>Home</v>
      </c>
      <c r="N1936" s="18" t="str">
        <f>VLOOKUP(C1936,Customers!$A:$E,5,FALSE)</f>
        <v>Retail</v>
      </c>
      <c r="O1936" s="18">
        <f>VLOOKUP(C1936,Customers!$A:$C,3,FALSE)</f>
        <v>59</v>
      </c>
    </row>
    <row r="1937" spans="1:19" ht="14.25" customHeight="1" x14ac:dyDescent="0.3">
      <c r="A1937" s="8" t="s">
        <v>2971</v>
      </c>
      <c r="B1937" s="21">
        <v>45352</v>
      </c>
      <c r="C1937" s="8" t="s">
        <v>563</v>
      </c>
      <c r="D1937" s="8" t="s">
        <v>909</v>
      </c>
      <c r="E1937" s="8" t="s">
        <v>376</v>
      </c>
      <c r="F1937" s="10">
        <v>6</v>
      </c>
      <c r="G1937" s="10">
        <v>2380</v>
      </c>
      <c r="H1937" s="10">
        <v>13.6</v>
      </c>
      <c r="I1937" s="10">
        <v>12337.92</v>
      </c>
      <c r="J1937" s="8" t="s">
        <v>147</v>
      </c>
      <c r="K1937" s="8" t="s">
        <v>98</v>
      </c>
      <c r="L1937" s="18" t="str">
        <f>VLOOKUP(D1937,Products!$A:$C,3,FALSE)</f>
        <v>Grocery</v>
      </c>
      <c r="N1937" s="18" t="str">
        <f>VLOOKUP(C1937,Customers!$A:$E,5,FALSE)</f>
        <v>Corporate</v>
      </c>
      <c r="O1937" s="18">
        <f>VLOOKUP(C1937,Customers!$A:$C,3,FALSE)</f>
        <v>24</v>
      </c>
      <c r="P1937" s="18" t="str">
        <f>VLOOKUP(E1936,Sales_Reps!$A:$C,3,FALSE)</f>
        <v>North</v>
      </c>
      <c r="Q1937" s="18" t="str">
        <f t="shared" ref="Q1937:Q1938" si="388">TEXT(B1936,"MMM-YY")</f>
        <v>Jul-24</v>
      </c>
      <c r="R1937">
        <f>VLOOKUP(D1937, Products!A:D, 4, FALSE)</f>
        <v>1182</v>
      </c>
      <c r="S1937">
        <f t="shared" ref="S1937:S1938" si="389">(G1937-R1937)/G1937</f>
        <v>0.50336134453781511</v>
      </c>
    </row>
    <row r="1938" spans="1:19" ht="14.25" customHeight="1" x14ac:dyDescent="0.3">
      <c r="A1938" s="8" t="s">
        <v>2972</v>
      </c>
      <c r="B1938" s="21">
        <v>45379</v>
      </c>
      <c r="C1938" s="8" t="s">
        <v>241</v>
      </c>
      <c r="D1938" s="8" t="s">
        <v>949</v>
      </c>
      <c r="E1938" s="8" t="s">
        <v>208</v>
      </c>
      <c r="F1938" s="10">
        <v>6</v>
      </c>
      <c r="G1938" s="10">
        <v>960</v>
      </c>
      <c r="H1938" s="10">
        <v>15</v>
      </c>
      <c r="I1938" s="10">
        <v>4896</v>
      </c>
      <c r="J1938" s="8" t="s">
        <v>97</v>
      </c>
      <c r="K1938" s="8" t="s">
        <v>178</v>
      </c>
      <c r="L1938" s="18" t="str">
        <f>VLOOKUP(D1938,Products!$A:$C,3,FALSE)</f>
        <v>Beauty</v>
      </c>
      <c r="N1938" s="18" t="str">
        <f>VLOOKUP(C1938,Customers!$A:$E,5,FALSE)</f>
        <v>SMB</v>
      </c>
      <c r="O1938" s="18">
        <f>VLOOKUP(C1938,Customers!$A:$C,3,FALSE)</f>
        <v>40</v>
      </c>
      <c r="P1938" s="18" t="str">
        <f>VLOOKUP(E1937,Sales_Reps!$A:$C,3,FALSE)</f>
        <v>West</v>
      </c>
      <c r="Q1938" s="18" t="str">
        <f t="shared" si="388"/>
        <v>Mar-24</v>
      </c>
      <c r="R1938">
        <f>VLOOKUP(D1938, Products!A:D, 4, FALSE)</f>
        <v>675</v>
      </c>
      <c r="S1938">
        <f t="shared" si="389"/>
        <v>0.296875</v>
      </c>
    </row>
    <row r="1939" spans="1:19" ht="14.25" hidden="1" customHeight="1" x14ac:dyDescent="0.3">
      <c r="A1939" s="8" t="s">
        <v>2973</v>
      </c>
      <c r="B1939" s="9">
        <v>45422</v>
      </c>
      <c r="C1939" s="8" t="s">
        <v>810</v>
      </c>
      <c r="D1939" s="8" t="s">
        <v>152</v>
      </c>
      <c r="E1939" s="8" t="s">
        <v>261</v>
      </c>
      <c r="F1939" s="10">
        <v>3</v>
      </c>
      <c r="G1939" s="10">
        <v>960</v>
      </c>
      <c r="H1939" s="10">
        <v>12.3</v>
      </c>
      <c r="I1939" s="10">
        <v>2525.7600000000002</v>
      </c>
      <c r="J1939" s="8" t="s">
        <v>41</v>
      </c>
      <c r="K1939" s="8" t="s">
        <v>42</v>
      </c>
      <c r="L1939" s="18" t="str">
        <f>VLOOKUP(D1939,Products!$A:$C,3,FALSE)</f>
        <v>Sports</v>
      </c>
      <c r="N1939" s="18" t="str">
        <f>VLOOKUP(C1939,Customers!$A:$E,5,FALSE)</f>
        <v>Retail</v>
      </c>
      <c r="O1939" s="18">
        <f>VLOOKUP(C1939,Customers!$A:$C,3,FALSE)</f>
        <v>48</v>
      </c>
    </row>
    <row r="1940" spans="1:19" ht="14.25" hidden="1" customHeight="1" x14ac:dyDescent="0.3">
      <c r="A1940" s="8" t="s">
        <v>2974</v>
      </c>
      <c r="B1940" s="9">
        <v>45413</v>
      </c>
      <c r="C1940" s="8" t="s">
        <v>468</v>
      </c>
      <c r="D1940" s="8" t="s">
        <v>896</v>
      </c>
      <c r="E1940" s="8" t="s">
        <v>236</v>
      </c>
      <c r="F1940" s="10">
        <v>7</v>
      </c>
      <c r="G1940" s="10">
        <v>620</v>
      </c>
      <c r="H1940" s="10">
        <v>5.8</v>
      </c>
      <c r="I1940" s="10">
        <v>4088.28</v>
      </c>
      <c r="J1940" s="8" t="s">
        <v>41</v>
      </c>
      <c r="K1940" s="8" t="s">
        <v>146</v>
      </c>
      <c r="L1940" s="18" t="str">
        <f>VLOOKUP(D1940,Products!$A:$C,3,FALSE)</f>
        <v>Apparel</v>
      </c>
      <c r="N1940" s="18" t="str">
        <f>VLOOKUP(C1940,Customers!$A:$E,5,FALSE)</f>
        <v>Retail</v>
      </c>
      <c r="O1940" s="18">
        <f>VLOOKUP(C1940,Customers!$A:$C,3,FALSE)</f>
        <v>65</v>
      </c>
    </row>
    <row r="1941" spans="1:19" ht="14.25" hidden="1" customHeight="1" x14ac:dyDescent="0.3">
      <c r="A1941" s="8" t="s">
        <v>2975</v>
      </c>
      <c r="B1941" s="9">
        <v>45467</v>
      </c>
      <c r="C1941" s="8" t="s">
        <v>397</v>
      </c>
      <c r="D1941" s="8" t="s">
        <v>152</v>
      </c>
      <c r="E1941" s="8" t="s">
        <v>321</v>
      </c>
      <c r="F1941" s="10">
        <v>1</v>
      </c>
      <c r="G1941" s="10">
        <v>960</v>
      </c>
      <c r="H1941" s="10">
        <v>4.5999999999999996</v>
      </c>
      <c r="I1941" s="10">
        <v>915.84</v>
      </c>
      <c r="J1941" s="8" t="s">
        <v>41</v>
      </c>
      <c r="K1941" s="8" t="s">
        <v>42</v>
      </c>
      <c r="L1941" s="18" t="str">
        <f>VLOOKUP(D1941,Products!$A:$C,3,FALSE)</f>
        <v>Sports</v>
      </c>
      <c r="N1941" s="18" t="str">
        <f>VLOOKUP(C1941,Customers!$A:$E,5,FALSE)</f>
        <v>Retail</v>
      </c>
      <c r="O1941" s="18">
        <f>VLOOKUP(C1941,Customers!$A:$C,3,FALSE)</f>
        <v>54</v>
      </c>
    </row>
    <row r="1942" spans="1:19" ht="14.25" hidden="1" customHeight="1" x14ac:dyDescent="0.3">
      <c r="A1942" s="8" t="s">
        <v>2976</v>
      </c>
      <c r="B1942" s="9">
        <v>45520</v>
      </c>
      <c r="C1942" s="8" t="s">
        <v>525</v>
      </c>
      <c r="D1942" s="8" t="s">
        <v>215</v>
      </c>
      <c r="E1942" s="8" t="s">
        <v>172</v>
      </c>
      <c r="F1942" s="10">
        <v>4</v>
      </c>
      <c r="G1942" s="10">
        <v>3450</v>
      </c>
      <c r="H1942" s="10">
        <v>13.3</v>
      </c>
      <c r="I1942" s="10">
        <v>11964.6</v>
      </c>
      <c r="J1942" s="8" t="s">
        <v>41</v>
      </c>
      <c r="K1942" s="8" t="s">
        <v>42</v>
      </c>
      <c r="L1942" s="18" t="str">
        <f>VLOOKUP(D1942,Products!$A:$C,3,FALSE)</f>
        <v>Beauty</v>
      </c>
      <c r="N1942" s="18" t="str">
        <f>VLOOKUP(C1942,Customers!$A:$E,5,FALSE)</f>
        <v>Retail</v>
      </c>
      <c r="O1942" s="18">
        <f>VLOOKUP(C1942,Customers!$A:$C,3,FALSE)</f>
        <v>57</v>
      </c>
    </row>
    <row r="1943" spans="1:19" ht="14.25" hidden="1" customHeight="1" x14ac:dyDescent="0.3">
      <c r="A1943" s="8" t="s">
        <v>2977</v>
      </c>
      <c r="B1943" s="9">
        <v>45626</v>
      </c>
      <c r="C1943" s="8" t="s">
        <v>652</v>
      </c>
      <c r="D1943" s="8" t="s">
        <v>239</v>
      </c>
      <c r="E1943" s="8" t="s">
        <v>158</v>
      </c>
      <c r="F1943" s="10">
        <v>10</v>
      </c>
      <c r="G1943" s="10">
        <v>2720</v>
      </c>
      <c r="H1943" s="10">
        <v>3.4</v>
      </c>
      <c r="I1943" s="10">
        <v>26275.200000000001</v>
      </c>
      <c r="J1943" s="8" t="s">
        <v>41</v>
      </c>
      <c r="K1943" s="8" t="s">
        <v>178</v>
      </c>
      <c r="L1943" s="18" t="str">
        <f>VLOOKUP(D1943,Products!$A:$C,3,FALSE)</f>
        <v>Apparel</v>
      </c>
      <c r="N1943" s="18" t="str">
        <f>VLOOKUP(C1943,Customers!$A:$E,5,FALSE)</f>
        <v>SMB</v>
      </c>
      <c r="O1943" s="18">
        <f>VLOOKUP(C1943,Customers!$A:$C,3,FALSE)</f>
        <v>43</v>
      </c>
    </row>
    <row r="1944" spans="1:19" ht="14.25" hidden="1" customHeight="1" x14ac:dyDescent="0.3">
      <c r="A1944" s="8" t="s">
        <v>2978</v>
      </c>
      <c r="B1944" s="9">
        <v>45452</v>
      </c>
      <c r="C1944" s="8" t="s">
        <v>506</v>
      </c>
      <c r="D1944" s="8" t="s">
        <v>215</v>
      </c>
      <c r="E1944" s="8" t="s">
        <v>158</v>
      </c>
      <c r="F1944" s="10">
        <v>1</v>
      </c>
      <c r="G1944" s="10">
        <v>3450</v>
      </c>
      <c r="H1944" s="10">
        <v>29.4</v>
      </c>
      <c r="I1944" s="10">
        <v>2435.6999999999998</v>
      </c>
      <c r="J1944" s="8" t="s">
        <v>41</v>
      </c>
      <c r="K1944" s="8" t="s">
        <v>146</v>
      </c>
      <c r="L1944" s="18" t="str">
        <f>VLOOKUP(D1944,Products!$A:$C,3,FALSE)</f>
        <v>Beauty</v>
      </c>
      <c r="N1944" s="18" t="str">
        <f>VLOOKUP(C1944,Customers!$A:$E,5,FALSE)</f>
        <v>SMB</v>
      </c>
      <c r="O1944" s="18">
        <f>VLOOKUP(C1944,Customers!$A:$C,3,FALSE)</f>
        <v>65</v>
      </c>
    </row>
    <row r="1945" spans="1:19" ht="14.25" hidden="1" customHeight="1" x14ac:dyDescent="0.3">
      <c r="A1945" s="8" t="s">
        <v>2979</v>
      </c>
      <c r="B1945" s="9">
        <v>45529</v>
      </c>
      <c r="C1945" s="8" t="s">
        <v>468</v>
      </c>
      <c r="D1945" s="8" t="s">
        <v>242</v>
      </c>
      <c r="E1945" s="8" t="s">
        <v>153</v>
      </c>
      <c r="F1945" s="10">
        <v>5</v>
      </c>
      <c r="G1945" s="10">
        <v>1650</v>
      </c>
      <c r="H1945" s="10">
        <v>29.4</v>
      </c>
      <c r="I1945" s="10">
        <v>5824.5</v>
      </c>
      <c r="J1945" s="8" t="s">
        <v>41</v>
      </c>
      <c r="K1945" s="8" t="s">
        <v>146</v>
      </c>
      <c r="L1945" s="18" t="str">
        <f>VLOOKUP(D1945,Products!$A:$C,3,FALSE)</f>
        <v>Beauty</v>
      </c>
      <c r="N1945" s="18" t="str">
        <f>VLOOKUP(C1945,Customers!$A:$E,5,FALSE)</f>
        <v>Retail</v>
      </c>
      <c r="O1945" s="18">
        <f>VLOOKUP(C1945,Customers!$A:$C,3,FALSE)</f>
        <v>65</v>
      </c>
    </row>
    <row r="1946" spans="1:19" ht="14.25" customHeight="1" x14ac:dyDescent="0.3">
      <c r="A1946" s="8" t="s">
        <v>2980</v>
      </c>
      <c r="B1946" s="21">
        <v>45639</v>
      </c>
      <c r="C1946" s="8" t="s">
        <v>724</v>
      </c>
      <c r="D1946" s="8" t="s">
        <v>37</v>
      </c>
      <c r="E1946" s="8" t="s">
        <v>214</v>
      </c>
      <c r="F1946" s="10">
        <v>2</v>
      </c>
      <c r="G1946" s="10">
        <v>3620</v>
      </c>
      <c r="H1946" s="10">
        <v>15.6</v>
      </c>
      <c r="I1946" s="10">
        <v>6110.56</v>
      </c>
      <c r="J1946" s="8" t="s">
        <v>41</v>
      </c>
      <c r="K1946" s="8" t="s">
        <v>119</v>
      </c>
      <c r="L1946" s="18" t="str">
        <f>VLOOKUP(D1946,Products!$A:$C,3,FALSE)</f>
        <v>Apparel</v>
      </c>
      <c r="N1946" s="18" t="str">
        <f>VLOOKUP(C1946,Customers!$A:$E,5,FALSE)</f>
        <v>SMB</v>
      </c>
      <c r="O1946" s="18">
        <f>VLOOKUP(C1946,Customers!$A:$C,3,FALSE)</f>
        <v>29</v>
      </c>
      <c r="P1946" s="18" t="str">
        <f>VLOOKUP(E1945,Sales_Reps!$A:$C,3,FALSE)</f>
        <v>West</v>
      </c>
      <c r="Q1946" s="18" t="str">
        <f>TEXT(B1945,"MMM-YY")</f>
        <v>Aug-24</v>
      </c>
      <c r="R1946">
        <f>VLOOKUP(D1946, Products!A:D, 4, FALSE)</f>
        <v>2509</v>
      </c>
      <c r="S1946">
        <f>(G1946-R1946)/G1946</f>
        <v>0.3069060773480663</v>
      </c>
    </row>
    <row r="1947" spans="1:19" ht="14.25" hidden="1" customHeight="1" x14ac:dyDescent="0.3">
      <c r="A1947" s="8" t="s">
        <v>2981</v>
      </c>
      <c r="B1947" s="9">
        <v>45592</v>
      </c>
      <c r="C1947" s="8" t="s">
        <v>115</v>
      </c>
      <c r="D1947" s="8" t="s">
        <v>154</v>
      </c>
      <c r="E1947" s="8" t="s">
        <v>189</v>
      </c>
      <c r="F1947" s="10">
        <v>3</v>
      </c>
      <c r="G1947" s="10">
        <v>300</v>
      </c>
      <c r="H1947" s="10">
        <v>24.8</v>
      </c>
      <c r="I1947" s="10">
        <v>676.8</v>
      </c>
      <c r="J1947" s="8" t="s">
        <v>41</v>
      </c>
      <c r="K1947" s="8" t="s">
        <v>119</v>
      </c>
      <c r="L1947" s="18" t="str">
        <f>VLOOKUP(D1947,Products!$A:$C,3,FALSE)</f>
        <v>Electronics</v>
      </c>
      <c r="N1947" s="18" t="str">
        <f>VLOOKUP(C1947,Customers!$A:$E,5,FALSE)</f>
        <v>Retail</v>
      </c>
      <c r="O1947" s="18">
        <f>VLOOKUP(C1947,Customers!$A:$C,3,FALSE)</f>
        <v>52</v>
      </c>
    </row>
    <row r="1948" spans="1:19" ht="14.25" hidden="1" customHeight="1" x14ac:dyDescent="0.3">
      <c r="A1948" s="8" t="s">
        <v>2982</v>
      </c>
      <c r="B1948" s="9">
        <v>45338</v>
      </c>
      <c r="C1948" s="8" t="s">
        <v>686</v>
      </c>
      <c r="D1948" s="8" t="s">
        <v>789</v>
      </c>
      <c r="E1948" s="8" t="s">
        <v>231</v>
      </c>
      <c r="F1948" s="10">
        <v>3</v>
      </c>
      <c r="G1948" s="10">
        <v>1540</v>
      </c>
      <c r="H1948" s="10">
        <v>29.5</v>
      </c>
      <c r="I1948" s="10">
        <v>3257.1</v>
      </c>
      <c r="J1948" s="8" t="s">
        <v>41</v>
      </c>
      <c r="K1948" s="8" t="s">
        <v>98</v>
      </c>
      <c r="L1948" s="18" t="str">
        <f>VLOOKUP(D1948,Products!$A:$C,3,FALSE)</f>
        <v>Beauty</v>
      </c>
      <c r="N1948" s="18" t="str">
        <f>VLOOKUP(C1948,Customers!$A:$E,5,FALSE)</f>
        <v>SMB</v>
      </c>
      <c r="O1948" s="18">
        <f>VLOOKUP(C1948,Customers!$A:$C,3,FALSE)</f>
        <v>55</v>
      </c>
    </row>
    <row r="1949" spans="1:19" ht="14.25" customHeight="1" x14ac:dyDescent="0.3">
      <c r="A1949" s="8" t="s">
        <v>2983</v>
      </c>
      <c r="B1949" s="21">
        <v>45551</v>
      </c>
      <c r="C1949" s="8" t="s">
        <v>130</v>
      </c>
      <c r="D1949" s="8" t="s">
        <v>176</v>
      </c>
      <c r="E1949" s="8" t="s">
        <v>158</v>
      </c>
      <c r="F1949" s="10">
        <v>10</v>
      </c>
      <c r="G1949" s="10">
        <v>2270</v>
      </c>
      <c r="H1949" s="10">
        <v>5.5</v>
      </c>
      <c r="I1949" s="10">
        <v>21451.5</v>
      </c>
      <c r="J1949" s="8" t="s">
        <v>147</v>
      </c>
      <c r="K1949" s="8" t="s">
        <v>136</v>
      </c>
      <c r="L1949" s="18" t="str">
        <f>VLOOKUP(D1949,Products!$A:$C,3,FALSE)</f>
        <v>Grocery</v>
      </c>
      <c r="N1949" s="18" t="str">
        <f>VLOOKUP(C1949,Customers!$A:$E,5,FALSE)</f>
        <v>Retail</v>
      </c>
      <c r="O1949" s="18">
        <f>VLOOKUP(C1949,Customers!$A:$C,3,FALSE)</f>
        <v>27</v>
      </c>
      <c r="P1949" s="18" t="str">
        <f>VLOOKUP(E1948,Sales_Reps!$A:$C,3,FALSE)</f>
        <v>North</v>
      </c>
      <c r="Q1949" s="18" t="str">
        <f>TEXT(B1948,"MMM-YY")</f>
        <v>Feb-24</v>
      </c>
      <c r="R1949">
        <f>VLOOKUP(D1949, Products!A:D, 4, FALSE)</f>
        <v>1203</v>
      </c>
      <c r="S1949">
        <f>(G1949-R1949)/G1949</f>
        <v>0.47004405286343615</v>
      </c>
    </row>
    <row r="1950" spans="1:19" ht="14.25" hidden="1" customHeight="1" x14ac:dyDescent="0.3">
      <c r="A1950" s="8" t="s">
        <v>2984</v>
      </c>
      <c r="B1950" s="9">
        <v>45350</v>
      </c>
      <c r="C1950" s="8" t="s">
        <v>715</v>
      </c>
      <c r="D1950" s="8" t="s">
        <v>181</v>
      </c>
      <c r="E1950" s="8" t="s">
        <v>135</v>
      </c>
      <c r="F1950" s="10">
        <v>3</v>
      </c>
      <c r="G1950" s="10">
        <v>2640</v>
      </c>
      <c r="H1950" s="10">
        <v>28.2</v>
      </c>
      <c r="I1950" s="10">
        <v>5686.56</v>
      </c>
      <c r="J1950" s="8" t="s">
        <v>193</v>
      </c>
      <c r="K1950" s="8" t="s">
        <v>42</v>
      </c>
      <c r="L1950" s="18" t="str">
        <f>VLOOKUP(D1950,Products!$A:$C,3,FALSE)</f>
        <v>Electronics</v>
      </c>
      <c r="N1950" s="18" t="str">
        <f>VLOOKUP(C1950,Customers!$A:$E,5,FALSE)</f>
        <v>SMB</v>
      </c>
      <c r="O1950" s="18">
        <f>VLOOKUP(C1950,Customers!$A:$C,3,FALSE)</f>
        <v>59</v>
      </c>
    </row>
    <row r="1951" spans="1:19" ht="14.25" hidden="1" customHeight="1" x14ac:dyDescent="0.3">
      <c r="A1951" s="8" t="s">
        <v>2985</v>
      </c>
      <c r="B1951" s="9">
        <v>45507</v>
      </c>
      <c r="C1951" s="8" t="s">
        <v>300</v>
      </c>
      <c r="D1951" s="8" t="s">
        <v>181</v>
      </c>
      <c r="E1951" s="8" t="s">
        <v>301</v>
      </c>
      <c r="F1951" s="10">
        <v>10</v>
      </c>
      <c r="G1951" s="10">
        <v>2640</v>
      </c>
      <c r="H1951" s="10">
        <v>25.9</v>
      </c>
      <c r="I1951" s="10">
        <v>19562.400000000001</v>
      </c>
      <c r="J1951" s="8" t="s">
        <v>41</v>
      </c>
      <c r="K1951" s="8" t="s">
        <v>42</v>
      </c>
      <c r="L1951" s="18" t="str">
        <f>VLOOKUP(D1951,Products!$A:$C,3,FALSE)</f>
        <v>Electronics</v>
      </c>
      <c r="N1951" s="18" t="str">
        <f>VLOOKUP(C1951,Customers!$A:$E,5,FALSE)</f>
        <v>Retail</v>
      </c>
      <c r="O1951" s="18">
        <f>VLOOKUP(C1951,Customers!$A:$C,3,FALSE)</f>
        <v>44</v>
      </c>
    </row>
    <row r="1952" spans="1:19" ht="14.25" customHeight="1" x14ac:dyDescent="0.3">
      <c r="A1952" s="8" t="s">
        <v>138</v>
      </c>
      <c r="B1952" s="21">
        <v>45538</v>
      </c>
      <c r="C1952" s="8" t="s">
        <v>139</v>
      </c>
      <c r="D1952" s="8" t="s">
        <v>140</v>
      </c>
      <c r="E1952" s="8" t="s">
        <v>143</v>
      </c>
      <c r="F1952" s="10">
        <v>2</v>
      </c>
      <c r="G1952" s="10">
        <v>1430</v>
      </c>
      <c r="H1952" s="10">
        <v>5</v>
      </c>
      <c r="I1952" s="10">
        <v>2717</v>
      </c>
      <c r="J1952" s="8" t="s">
        <v>147</v>
      </c>
      <c r="K1952" s="8" t="s">
        <v>119</v>
      </c>
      <c r="L1952" s="18" t="str">
        <f>VLOOKUP(D1952,Products!$A:$C,3,FALSE)</f>
        <v>Electronics</v>
      </c>
      <c r="N1952" s="18" t="str">
        <f>VLOOKUP(C1952,Customers!$A:$E,5,FALSE)</f>
        <v>Retail</v>
      </c>
      <c r="O1952" s="18">
        <f>O1953</f>
        <v>30</v>
      </c>
      <c r="P1952" s="18" t="str">
        <f>VLOOKUP(E1951,Sales_Reps!$A:$C,3,FALSE)</f>
        <v>South</v>
      </c>
      <c r="Q1952" s="18" t="str">
        <f t="shared" ref="Q1952:Q1954" si="390">TEXT(B1951,"MMM-YY")</f>
        <v>Aug-24</v>
      </c>
      <c r="R1952">
        <f>VLOOKUP(D1952, Products!A:D, 4, FALSE)</f>
        <v>861</v>
      </c>
      <c r="S1952">
        <f t="shared" ref="S1952:S1954" si="391">(G1952-R1952)/G1952</f>
        <v>0.39790209790209791</v>
      </c>
    </row>
    <row r="1953" spans="1:19" ht="14.25" customHeight="1" x14ac:dyDescent="0.3">
      <c r="A1953" s="8" t="s">
        <v>2986</v>
      </c>
      <c r="B1953" s="21">
        <v>45618</v>
      </c>
      <c r="C1953" s="8" t="s">
        <v>433</v>
      </c>
      <c r="D1953" s="8" t="s">
        <v>211</v>
      </c>
      <c r="E1953" s="8" t="s">
        <v>321</v>
      </c>
      <c r="F1953" s="10">
        <v>6</v>
      </c>
      <c r="G1953" s="10">
        <v>3570</v>
      </c>
      <c r="H1953" s="10">
        <v>28.5</v>
      </c>
      <c r="I1953" s="10">
        <v>15315.3</v>
      </c>
      <c r="J1953" s="8" t="s">
        <v>147</v>
      </c>
      <c r="K1953" s="8" t="s">
        <v>42</v>
      </c>
      <c r="L1953" s="18" t="str">
        <f>VLOOKUP(D1953,Products!$A:$C,3,FALSE)</f>
        <v>Electronics</v>
      </c>
      <c r="N1953" s="18" t="str">
        <f>VLOOKUP(C1953,Customers!$A:$E,5,FALSE)</f>
        <v>SMB</v>
      </c>
      <c r="O1953" s="18">
        <f>VLOOKUP(C1953,Customers!$A:$C,3,FALSE)</f>
        <v>30</v>
      </c>
      <c r="P1953" s="18" t="str">
        <f>VLOOKUP(E1952,Sales_Reps!$A:$C,3,FALSE)</f>
        <v>West</v>
      </c>
      <c r="Q1953" s="18" t="str">
        <f t="shared" si="390"/>
        <v>Sep-24</v>
      </c>
      <c r="R1953">
        <f>VLOOKUP(D1953, Products!A:D, 4, FALSE)</f>
        <v>1665</v>
      </c>
      <c r="S1953">
        <f t="shared" si="391"/>
        <v>0.53361344537815125</v>
      </c>
    </row>
    <row r="1954" spans="1:19" ht="14.25" customHeight="1" x14ac:dyDescent="0.3">
      <c r="A1954" s="8" t="s">
        <v>2987</v>
      </c>
      <c r="B1954" s="21">
        <v>45444</v>
      </c>
      <c r="C1954" s="8" t="s">
        <v>500</v>
      </c>
      <c r="D1954" s="8" t="s">
        <v>211</v>
      </c>
      <c r="E1954" s="8" t="s">
        <v>153</v>
      </c>
      <c r="F1954" s="10">
        <v>1</v>
      </c>
      <c r="G1954" s="10">
        <v>3570</v>
      </c>
      <c r="H1954" s="10">
        <v>7.7</v>
      </c>
      <c r="I1954" s="10">
        <v>3295.11</v>
      </c>
      <c r="J1954" s="8" t="s">
        <v>41</v>
      </c>
      <c r="K1954" s="8" t="s">
        <v>119</v>
      </c>
      <c r="L1954" s="18" t="str">
        <f>VLOOKUP(D1954,Products!$A:$C,3,FALSE)</f>
        <v>Electronics</v>
      </c>
      <c r="N1954" s="18" t="str">
        <f>VLOOKUP(C1954,Customers!$A:$E,5,FALSE)</f>
        <v>Retail</v>
      </c>
      <c r="O1954" s="18">
        <f>VLOOKUP(C1954,Customers!$A:$C,3,FALSE)</f>
        <v>30</v>
      </c>
      <c r="P1954" s="18" t="str">
        <f>VLOOKUP(E1953,Sales_Reps!$A:$C,3,FALSE)</f>
        <v>East</v>
      </c>
      <c r="Q1954" s="18" t="str">
        <f t="shared" si="390"/>
        <v>Nov-24</v>
      </c>
      <c r="R1954">
        <f>VLOOKUP(D1954, Products!A:D, 4, FALSE)</f>
        <v>1665</v>
      </c>
      <c r="S1954">
        <f t="shared" si="391"/>
        <v>0.53361344537815125</v>
      </c>
    </row>
    <row r="1955" spans="1:19" ht="14.25" hidden="1" customHeight="1" x14ac:dyDescent="0.3">
      <c r="A1955" s="8" t="s">
        <v>2988</v>
      </c>
      <c r="B1955" s="9">
        <v>45377</v>
      </c>
      <c r="C1955" s="8" t="s">
        <v>304</v>
      </c>
      <c r="D1955" s="8" t="s">
        <v>188</v>
      </c>
      <c r="E1955" s="8" t="s">
        <v>143</v>
      </c>
      <c r="F1955" s="10">
        <v>9</v>
      </c>
      <c r="G1955" s="10">
        <v>3870</v>
      </c>
      <c r="H1955" s="10">
        <v>11.9</v>
      </c>
      <c r="I1955" s="10">
        <v>30685.23</v>
      </c>
      <c r="J1955" s="8" t="s">
        <v>147</v>
      </c>
      <c r="K1955" s="8" t="s">
        <v>98</v>
      </c>
      <c r="L1955" s="18" t="str">
        <f>VLOOKUP(D1955,Products!$A:$C,3,FALSE)</f>
        <v>Electronics</v>
      </c>
      <c r="N1955" s="18" t="str">
        <f>VLOOKUP(C1955,Customers!$A:$E,5,FALSE)</f>
        <v>SMB</v>
      </c>
      <c r="O1955" s="18">
        <f>VLOOKUP(C1955,Customers!$A:$C,3,FALSE)</f>
        <v>43</v>
      </c>
    </row>
    <row r="1956" spans="1:19" ht="14.25" customHeight="1" x14ac:dyDescent="0.3">
      <c r="A1956" s="8" t="s">
        <v>2989</v>
      </c>
      <c r="B1956" s="21">
        <v>45515</v>
      </c>
      <c r="C1956" s="8" t="s">
        <v>553</v>
      </c>
      <c r="D1956" s="8" t="s">
        <v>959</v>
      </c>
      <c r="E1956" s="8" t="s">
        <v>117</v>
      </c>
      <c r="F1956" s="10">
        <v>5</v>
      </c>
      <c r="G1956" s="10">
        <v>6940</v>
      </c>
      <c r="H1956" s="10">
        <v>17.399999999999999</v>
      </c>
      <c r="I1956" s="10">
        <v>28662.2</v>
      </c>
      <c r="J1956" s="8" t="s">
        <v>41</v>
      </c>
      <c r="K1956" s="8" t="s">
        <v>98</v>
      </c>
      <c r="L1956" s="18" t="str">
        <f>VLOOKUP(D1956,Products!$A:$C,3,FALSE)</f>
        <v>Sports</v>
      </c>
      <c r="N1956" s="18" t="str">
        <f>VLOOKUP(C1956,Customers!$A:$E,5,FALSE)</f>
        <v>SMB</v>
      </c>
      <c r="O1956" s="18">
        <f>VLOOKUP(C1956,Customers!$A:$C,3,FALSE)</f>
        <v>26</v>
      </c>
      <c r="P1956" s="18" t="str">
        <f>VLOOKUP(E1955,Sales_Reps!$A:$C,3,FALSE)</f>
        <v>West</v>
      </c>
      <c r="Q1956" s="18" t="str">
        <f>TEXT(B1955,"MMM-YY")</f>
        <v>Mar-24</v>
      </c>
      <c r="R1956">
        <f>VLOOKUP(D1956, Products!A:D, 4, FALSE)</f>
        <v>2827</v>
      </c>
      <c r="S1956">
        <f>(G1956-R1956)/G1956</f>
        <v>0.5926512968299712</v>
      </c>
    </row>
    <row r="1957" spans="1:19" ht="14.25" hidden="1" customHeight="1" x14ac:dyDescent="0.3">
      <c r="A1957" s="8" t="s">
        <v>2990</v>
      </c>
      <c r="B1957" s="9">
        <v>45312</v>
      </c>
      <c r="C1957" s="8" t="s">
        <v>326</v>
      </c>
      <c r="D1957" s="8" t="s">
        <v>144</v>
      </c>
      <c r="E1957" s="8" t="s">
        <v>376</v>
      </c>
      <c r="F1957" s="10">
        <v>6</v>
      </c>
      <c r="G1957" s="10">
        <v>370</v>
      </c>
      <c r="H1957" s="10">
        <v>8.1</v>
      </c>
      <c r="I1957" s="10">
        <v>2040.18</v>
      </c>
      <c r="J1957" s="8" t="s">
        <v>147</v>
      </c>
      <c r="K1957" s="8" t="s">
        <v>178</v>
      </c>
      <c r="L1957" s="18" t="str">
        <f>VLOOKUP(D1957,Products!$A:$C,3,FALSE)</f>
        <v>Home</v>
      </c>
      <c r="N1957" s="18" t="str">
        <f>VLOOKUP(C1957,Customers!$A:$E,5,FALSE)</f>
        <v>Retail</v>
      </c>
      <c r="O1957" s="18">
        <f>VLOOKUP(C1957,Customers!$A:$C,3,FALSE)</f>
        <v>53</v>
      </c>
    </row>
    <row r="1958" spans="1:19" ht="14.25" hidden="1" customHeight="1" x14ac:dyDescent="0.3">
      <c r="A1958" s="8" t="s">
        <v>2991</v>
      </c>
      <c r="B1958" s="9">
        <v>45549</v>
      </c>
      <c r="C1958" s="8" t="s">
        <v>633</v>
      </c>
      <c r="D1958" s="8" t="s">
        <v>901</v>
      </c>
      <c r="E1958" s="8" t="s">
        <v>619</v>
      </c>
      <c r="F1958" s="10">
        <v>8</v>
      </c>
      <c r="G1958" s="10">
        <v>3560</v>
      </c>
      <c r="H1958" s="10">
        <v>23.3</v>
      </c>
      <c r="I1958" s="10">
        <v>21844.16</v>
      </c>
      <c r="J1958" s="8" t="s">
        <v>41</v>
      </c>
      <c r="K1958" s="8" t="s">
        <v>119</v>
      </c>
      <c r="L1958" s="18" t="str">
        <f>VLOOKUP(D1958,Products!$A:$C,3,FALSE)</f>
        <v>Apparel</v>
      </c>
      <c r="N1958" s="18" t="str">
        <f>VLOOKUP(C1958,Customers!$A:$E,5,FALSE)</f>
        <v>Corporate</v>
      </c>
      <c r="O1958" s="18">
        <f>VLOOKUP(C1958,Customers!$A:$C,3,FALSE)</f>
        <v>55</v>
      </c>
    </row>
    <row r="1959" spans="1:19" ht="14.25" hidden="1" customHeight="1" x14ac:dyDescent="0.3">
      <c r="A1959" s="8" t="s">
        <v>2992</v>
      </c>
      <c r="B1959" s="9">
        <v>45633</v>
      </c>
      <c r="C1959" s="8" t="s">
        <v>772</v>
      </c>
      <c r="D1959" s="8" t="s">
        <v>160</v>
      </c>
      <c r="E1959" s="8" t="s">
        <v>172</v>
      </c>
      <c r="F1959" s="10">
        <v>4</v>
      </c>
      <c r="G1959" s="10">
        <v>1220</v>
      </c>
      <c r="H1959" s="10">
        <v>2.7</v>
      </c>
      <c r="I1959" s="10">
        <v>4748.24</v>
      </c>
      <c r="J1959" s="8" t="s">
        <v>41</v>
      </c>
      <c r="K1959" s="8" t="s">
        <v>146</v>
      </c>
      <c r="L1959" s="18" t="str">
        <f>VLOOKUP(D1959,Products!$A:$C,3,FALSE)</f>
        <v>Electronics</v>
      </c>
      <c r="N1959" s="18" t="str">
        <f>VLOOKUP(C1959,Customers!$A:$E,5,FALSE)</f>
        <v>Retail</v>
      </c>
      <c r="O1959" s="18">
        <f>VLOOKUP(C1959,Customers!$A:$C,3,FALSE)</f>
        <v>44</v>
      </c>
    </row>
    <row r="1960" spans="1:19" ht="14.25" customHeight="1" x14ac:dyDescent="0.3">
      <c r="A1960" s="8" t="s">
        <v>2993</v>
      </c>
      <c r="B1960" s="21">
        <v>45598</v>
      </c>
      <c r="C1960" s="8" t="s">
        <v>556</v>
      </c>
      <c r="D1960" s="8" t="s">
        <v>818</v>
      </c>
      <c r="E1960" s="8" t="s">
        <v>321</v>
      </c>
      <c r="F1960" s="10">
        <v>10</v>
      </c>
      <c r="G1960" s="10">
        <v>4070</v>
      </c>
      <c r="H1960" s="10">
        <v>11.6</v>
      </c>
      <c r="I1960" s="10">
        <v>35978.800000000003</v>
      </c>
      <c r="J1960" s="8" t="s">
        <v>41</v>
      </c>
      <c r="K1960" s="8" t="s">
        <v>98</v>
      </c>
      <c r="L1960" s="18" t="str">
        <f>VLOOKUP(D1960,Products!$A:$C,3,FALSE)</f>
        <v>Grocery</v>
      </c>
      <c r="N1960" s="18" t="str">
        <f>VLOOKUP(C1960,Customers!$A:$E,5,FALSE)</f>
        <v>Retail</v>
      </c>
      <c r="O1960" s="18">
        <f>VLOOKUP(C1960,Customers!$A:$C,3,FALSE)</f>
        <v>24</v>
      </c>
      <c r="P1960" s="18" t="str">
        <f>VLOOKUP(E1959,Sales_Reps!$A:$C,3,FALSE)</f>
        <v>West</v>
      </c>
      <c r="Q1960" s="18" t="str">
        <f>TEXT(B1959,"MMM-YY")</f>
        <v>Dec-24</v>
      </c>
      <c r="R1960">
        <f>VLOOKUP(D1960, Products!A:D, 4, FALSE)</f>
        <v>2027</v>
      </c>
      <c r="S1960">
        <f>(G1960-R1960)/G1960</f>
        <v>0.50196560196560192</v>
      </c>
    </row>
    <row r="1961" spans="1:19" ht="14.25" hidden="1" customHeight="1" x14ac:dyDescent="0.3">
      <c r="A1961" s="8" t="s">
        <v>2994</v>
      </c>
      <c r="B1961" s="9">
        <v>45336</v>
      </c>
      <c r="C1961" s="8" t="s">
        <v>846</v>
      </c>
      <c r="D1961" s="8" t="s">
        <v>124</v>
      </c>
      <c r="E1961" s="8" t="s">
        <v>158</v>
      </c>
      <c r="F1961" s="10">
        <v>10</v>
      </c>
      <c r="G1961" s="10">
        <v>3660</v>
      </c>
      <c r="H1961" s="10">
        <v>28.8</v>
      </c>
      <c r="I1961" s="10">
        <v>26059.200000000001</v>
      </c>
      <c r="J1961" s="8" t="s">
        <v>41</v>
      </c>
      <c r="K1961" s="8" t="s">
        <v>119</v>
      </c>
      <c r="L1961" s="18" t="str">
        <f>VLOOKUP(D1961,Products!$A:$C,3,FALSE)</f>
        <v>Grocery</v>
      </c>
      <c r="N1961" s="18" t="str">
        <f>VLOOKUP(C1961,Customers!$A:$E,5,FALSE)</f>
        <v>Retail</v>
      </c>
      <c r="O1961" s="18">
        <f>VLOOKUP(C1961,Customers!$A:$C,3,FALSE)</f>
        <v>63</v>
      </c>
    </row>
    <row r="1962" spans="1:19" ht="14.25" hidden="1" customHeight="1" x14ac:dyDescent="0.3">
      <c r="A1962" s="8" t="s">
        <v>2995</v>
      </c>
      <c r="B1962" s="9">
        <v>45449</v>
      </c>
      <c r="C1962" s="8" t="s">
        <v>584</v>
      </c>
      <c r="D1962" s="8" t="s">
        <v>926</v>
      </c>
      <c r="E1962" s="8" t="s">
        <v>167</v>
      </c>
      <c r="F1962" s="10">
        <v>5</v>
      </c>
      <c r="G1962" s="10">
        <v>5080</v>
      </c>
      <c r="H1962" s="10">
        <v>12.1</v>
      </c>
      <c r="I1962" s="10">
        <v>22326.6</v>
      </c>
      <c r="J1962" s="8" t="s">
        <v>41</v>
      </c>
      <c r="K1962" s="8" t="s">
        <v>146</v>
      </c>
      <c r="L1962" s="18" t="str">
        <f>VLOOKUP(D1962,Products!$A:$C,3,FALSE)</f>
        <v>Home</v>
      </c>
      <c r="N1962" s="18" t="str">
        <f>VLOOKUP(C1962,Customers!$A:$E,5,FALSE)</f>
        <v>Retail</v>
      </c>
      <c r="O1962" s="18">
        <f>VLOOKUP(C1962,Customers!$A:$C,3,FALSE)</f>
        <v>53</v>
      </c>
    </row>
    <row r="1963" spans="1:19" ht="14.25" hidden="1" customHeight="1" x14ac:dyDescent="0.3">
      <c r="A1963" s="8" t="s">
        <v>2996</v>
      </c>
      <c r="B1963" s="9">
        <v>45338</v>
      </c>
      <c r="C1963" s="8" t="s">
        <v>846</v>
      </c>
      <c r="D1963" s="8" t="s">
        <v>839</v>
      </c>
      <c r="E1963" s="8" t="s">
        <v>745</v>
      </c>
      <c r="F1963" s="10">
        <v>10</v>
      </c>
      <c r="G1963" s="10">
        <v>4610</v>
      </c>
      <c r="H1963" s="10">
        <v>22.5</v>
      </c>
      <c r="I1963" s="10">
        <v>35727.5</v>
      </c>
      <c r="J1963" s="8" t="s">
        <v>41</v>
      </c>
      <c r="K1963" s="8" t="s">
        <v>119</v>
      </c>
      <c r="L1963" s="18" t="str">
        <f>VLOOKUP(D1963,Products!$A:$C,3,FALSE)</f>
        <v>Home</v>
      </c>
      <c r="N1963" s="18" t="str">
        <f>VLOOKUP(C1963,Customers!$A:$E,5,FALSE)</f>
        <v>Retail</v>
      </c>
      <c r="O1963" s="18">
        <f>VLOOKUP(C1963,Customers!$A:$C,3,FALSE)</f>
        <v>63</v>
      </c>
    </row>
    <row r="1964" spans="1:19" ht="14.25" customHeight="1" x14ac:dyDescent="0.3">
      <c r="A1964" s="8" t="s">
        <v>129</v>
      </c>
      <c r="B1964" s="21">
        <v>45317</v>
      </c>
      <c r="C1964" s="8" t="s">
        <v>130</v>
      </c>
      <c r="D1964" s="8" t="s">
        <v>131</v>
      </c>
      <c r="E1964" s="8" t="s">
        <v>38</v>
      </c>
      <c r="F1964" s="10">
        <v>3</v>
      </c>
      <c r="G1964" s="10">
        <v>2660</v>
      </c>
      <c r="H1964" s="10">
        <v>15</v>
      </c>
      <c r="I1964" s="10">
        <v>6783</v>
      </c>
      <c r="J1964" s="8" t="s">
        <v>41</v>
      </c>
      <c r="K1964" s="8" t="s">
        <v>136</v>
      </c>
      <c r="L1964" s="18" t="str">
        <f>VLOOKUP(D1964,Products!$A:$C,3,FALSE)</f>
        <v>Electronics</v>
      </c>
      <c r="N1964" s="18" t="str">
        <f>VLOOKUP(C1964,Customers!$A:$E,5,FALSE)</f>
        <v>Retail</v>
      </c>
      <c r="O1964" s="18">
        <f>VLOOKUP(C1964,Customers!$A:$C,3,FALSE)</f>
        <v>27</v>
      </c>
      <c r="P1964" s="18" t="str">
        <f>VLOOKUP(E1963,Sales_Reps!$A:$C,3,FALSE)</f>
        <v>South</v>
      </c>
      <c r="Q1964" s="18" t="str">
        <f>TEXT(B1963,"MMM-YY")</f>
        <v>Feb-24</v>
      </c>
      <c r="R1964">
        <f>VLOOKUP(D1964, Products!A:D, 4, FALSE)</f>
        <v>1259</v>
      </c>
      <c r="S1964">
        <f>(G1964-R1964)/G1964</f>
        <v>0.52669172932330832</v>
      </c>
    </row>
    <row r="1965" spans="1:19" ht="14.25" hidden="1" customHeight="1" x14ac:dyDescent="0.3">
      <c r="A1965" s="8" t="s">
        <v>2997</v>
      </c>
      <c r="B1965" s="9">
        <v>45384</v>
      </c>
      <c r="C1965" s="8" t="s">
        <v>852</v>
      </c>
      <c r="D1965" s="8" t="s">
        <v>134</v>
      </c>
      <c r="E1965" s="8" t="s">
        <v>125</v>
      </c>
      <c r="F1965" s="10">
        <v>5</v>
      </c>
      <c r="G1965" s="10">
        <v>3160</v>
      </c>
      <c r="H1965" s="10">
        <v>1.3</v>
      </c>
      <c r="I1965" s="10">
        <v>15594.6</v>
      </c>
      <c r="J1965" s="8" t="s">
        <v>41</v>
      </c>
      <c r="K1965" s="8" t="s">
        <v>119</v>
      </c>
      <c r="L1965" s="18" t="str">
        <f>VLOOKUP(D1965,Products!$A:$C,3,FALSE)</f>
        <v>Apparel</v>
      </c>
      <c r="N1965" s="18" t="str">
        <f>VLOOKUP(C1965,Customers!$A:$E,5,FALSE)</f>
        <v>SMB</v>
      </c>
      <c r="O1965" s="18">
        <f>VLOOKUP(C1965,Customers!$A:$C,3,FALSE)</f>
        <v>48</v>
      </c>
    </row>
    <row r="1966" spans="1:19" ht="14.25" hidden="1" customHeight="1" x14ac:dyDescent="0.3">
      <c r="A1966" s="8" t="s">
        <v>2998</v>
      </c>
      <c r="B1966" s="9">
        <v>45325</v>
      </c>
      <c r="C1966" s="8" t="s">
        <v>545</v>
      </c>
      <c r="D1966" s="8" t="s">
        <v>144</v>
      </c>
      <c r="E1966" s="8" t="s">
        <v>185</v>
      </c>
      <c r="F1966" s="10">
        <v>10</v>
      </c>
      <c r="G1966" s="10">
        <v>370</v>
      </c>
      <c r="H1966" s="10">
        <v>29</v>
      </c>
      <c r="I1966" s="10">
        <v>2627</v>
      </c>
      <c r="J1966" s="8" t="s">
        <v>41</v>
      </c>
      <c r="K1966" s="8" t="s">
        <v>119</v>
      </c>
      <c r="L1966" s="18" t="str">
        <f>VLOOKUP(D1966,Products!$A:$C,3,FALSE)</f>
        <v>Home</v>
      </c>
      <c r="N1966" s="18" t="str">
        <f>VLOOKUP(C1966,Customers!$A:$E,5,FALSE)</f>
        <v>Retail</v>
      </c>
      <c r="O1966" s="18">
        <f>VLOOKUP(C1966,Customers!$A:$C,3,FALSE)</f>
        <v>41</v>
      </c>
    </row>
    <row r="1967" spans="1:19" ht="14.25" hidden="1" customHeight="1" x14ac:dyDescent="0.3">
      <c r="A1967" s="8" t="s">
        <v>2999</v>
      </c>
      <c r="B1967" s="9">
        <v>45358</v>
      </c>
      <c r="C1967" s="8" t="s">
        <v>844</v>
      </c>
      <c r="D1967" s="8" t="s">
        <v>260</v>
      </c>
      <c r="E1967" s="8" t="s">
        <v>135</v>
      </c>
      <c r="F1967" s="10">
        <v>10</v>
      </c>
      <c r="G1967" s="10">
        <v>1010</v>
      </c>
      <c r="H1967" s="10">
        <v>14.1</v>
      </c>
      <c r="I1967" s="10">
        <v>8675.9</v>
      </c>
      <c r="J1967" s="8" t="s">
        <v>193</v>
      </c>
      <c r="K1967" s="8" t="s">
        <v>146</v>
      </c>
      <c r="L1967" s="18" t="str">
        <f>VLOOKUP(D1967,Products!$A:$C,3,FALSE)</f>
        <v>Sports</v>
      </c>
      <c r="N1967" s="18" t="str">
        <f>VLOOKUP(C1967,Customers!$A:$E,5,FALSE)</f>
        <v>Retail</v>
      </c>
      <c r="O1967" s="18">
        <f>VLOOKUP(C1967,Customers!$A:$C,3,FALSE)</f>
        <v>54</v>
      </c>
    </row>
    <row r="1968" spans="1:19" ht="14.25" hidden="1" customHeight="1" x14ac:dyDescent="0.3">
      <c r="A1968" s="8" t="s">
        <v>3000</v>
      </c>
      <c r="B1968" s="9">
        <v>45586</v>
      </c>
      <c r="C1968" s="8" t="s">
        <v>558</v>
      </c>
      <c r="D1968" s="8" t="s">
        <v>901</v>
      </c>
      <c r="E1968" s="8" t="s">
        <v>143</v>
      </c>
      <c r="F1968" s="10">
        <v>3</v>
      </c>
      <c r="G1968" s="10">
        <v>3560</v>
      </c>
      <c r="H1968" s="10">
        <v>23.6</v>
      </c>
      <c r="I1968" s="10">
        <v>8159.52</v>
      </c>
      <c r="J1968" s="8" t="s">
        <v>41</v>
      </c>
      <c r="K1968" s="8" t="s">
        <v>178</v>
      </c>
      <c r="L1968" s="18" t="str">
        <f>VLOOKUP(D1968,Products!$A:$C,3,FALSE)</f>
        <v>Apparel</v>
      </c>
      <c r="N1968" s="18" t="str">
        <f>VLOOKUP(C1968,Customers!$A:$E,5,FALSE)</f>
        <v>SMB</v>
      </c>
      <c r="O1968" s="18">
        <f>VLOOKUP(C1968,Customers!$A:$C,3,FALSE)</f>
        <v>65</v>
      </c>
    </row>
    <row r="1969" spans="1:19" ht="14.25" customHeight="1" x14ac:dyDescent="0.3">
      <c r="A1969" s="8" t="s">
        <v>3001</v>
      </c>
      <c r="B1969" s="21">
        <v>45340</v>
      </c>
      <c r="C1969" s="8" t="s">
        <v>328</v>
      </c>
      <c r="D1969" s="8" t="s">
        <v>160</v>
      </c>
      <c r="E1969" s="8" t="s">
        <v>172</v>
      </c>
      <c r="F1969" s="10">
        <v>9</v>
      </c>
      <c r="G1969" s="10">
        <v>1220</v>
      </c>
      <c r="H1969" s="10">
        <v>16.600000000000001</v>
      </c>
      <c r="I1969" s="10">
        <v>9157.32</v>
      </c>
      <c r="J1969" s="8" t="s">
        <v>41</v>
      </c>
      <c r="K1969" s="8" t="s">
        <v>178</v>
      </c>
      <c r="L1969" s="18" t="str">
        <f>VLOOKUP(D1969,Products!$A:$C,3,FALSE)</f>
        <v>Electronics</v>
      </c>
      <c r="N1969" s="18" t="str">
        <f>VLOOKUP(C1969,Customers!$A:$E,5,FALSE)</f>
        <v>Retail</v>
      </c>
      <c r="O1969" s="18">
        <f>VLOOKUP(C1969,Customers!$A:$C,3,FALSE)</f>
        <v>28</v>
      </c>
      <c r="P1969" s="18" t="str">
        <f>VLOOKUP(E1968,Sales_Reps!$A:$C,3,FALSE)</f>
        <v>West</v>
      </c>
      <c r="Q1969" s="18" t="str">
        <f>TEXT(B1968,"MMM-YY")</f>
        <v>Oct-24</v>
      </c>
      <c r="R1969">
        <f>VLOOKUP(D1969, Products!A:D, 4, FALSE)</f>
        <v>517</v>
      </c>
      <c r="S1969">
        <f>(G1969-R1969)/G1969</f>
        <v>0.57622950819672136</v>
      </c>
    </row>
    <row r="1970" spans="1:19" ht="14.25" hidden="1" customHeight="1" x14ac:dyDescent="0.3">
      <c r="A1970" s="8" t="s">
        <v>3002</v>
      </c>
      <c r="B1970" s="9">
        <v>45343</v>
      </c>
      <c r="C1970" s="8" t="s">
        <v>492</v>
      </c>
      <c r="D1970" s="8" t="s">
        <v>199</v>
      </c>
      <c r="E1970" s="8" t="s">
        <v>135</v>
      </c>
      <c r="F1970" s="10">
        <v>8</v>
      </c>
      <c r="G1970" s="10">
        <v>190</v>
      </c>
      <c r="H1970" s="10">
        <v>22.3</v>
      </c>
      <c r="I1970" s="10">
        <v>1181.04</v>
      </c>
      <c r="J1970" s="8" t="s">
        <v>41</v>
      </c>
      <c r="K1970" s="8" t="s">
        <v>42</v>
      </c>
      <c r="L1970" s="18" t="str">
        <f>VLOOKUP(D1970,Products!$A:$C,3,FALSE)</f>
        <v>Sports</v>
      </c>
      <c r="N1970" s="18" t="str">
        <f>VLOOKUP(C1970,Customers!$A:$E,5,FALSE)</f>
        <v>Retail</v>
      </c>
      <c r="O1970" s="18">
        <f>VLOOKUP(C1970,Customers!$A:$C,3,FALSE)</f>
        <v>42</v>
      </c>
    </row>
    <row r="1971" spans="1:19" ht="14.25" customHeight="1" x14ac:dyDescent="0.3">
      <c r="A1971" s="8" t="s">
        <v>3003</v>
      </c>
      <c r="B1971" s="21">
        <v>45468</v>
      </c>
      <c r="C1971" s="8" t="s">
        <v>563</v>
      </c>
      <c r="D1971" s="8" t="s">
        <v>260</v>
      </c>
      <c r="E1971" s="8" t="s">
        <v>261</v>
      </c>
      <c r="F1971" s="10">
        <v>2</v>
      </c>
      <c r="G1971" s="10">
        <v>1010</v>
      </c>
      <c r="H1971" s="10">
        <v>3.8</v>
      </c>
      <c r="I1971" s="10">
        <v>1943.24</v>
      </c>
      <c r="J1971" s="8" t="s">
        <v>41</v>
      </c>
      <c r="K1971" s="8" t="s">
        <v>98</v>
      </c>
      <c r="L1971" s="18" t="str">
        <f>VLOOKUP(D1971,Products!$A:$C,3,FALSE)</f>
        <v>Sports</v>
      </c>
      <c r="N1971" s="18" t="str">
        <f>VLOOKUP(C1971,Customers!$A:$E,5,FALSE)</f>
        <v>Corporate</v>
      </c>
      <c r="O1971" s="18">
        <f>VLOOKUP(C1971,Customers!$A:$C,3,FALSE)</f>
        <v>24</v>
      </c>
      <c r="P1971" s="18" t="str">
        <f>VLOOKUP(E1970,Sales_Reps!$A:$C,3,FALSE)</f>
        <v>North</v>
      </c>
      <c r="Q1971" s="18" t="str">
        <f>TEXT(B1970,"MMM-YY")</f>
        <v>Feb-24</v>
      </c>
      <c r="R1971">
        <f>VLOOKUP(D1971, Products!A:D, 4, FALSE)</f>
        <v>516</v>
      </c>
      <c r="S1971">
        <f>(G1971-R1971)/G1971</f>
        <v>0.4891089108910891</v>
      </c>
    </row>
    <row r="1972" spans="1:19" ht="14.25" hidden="1" customHeight="1" x14ac:dyDescent="0.3">
      <c r="A1972" s="8" t="s">
        <v>3004</v>
      </c>
      <c r="B1972" s="9">
        <v>45439</v>
      </c>
      <c r="C1972" s="8" t="s">
        <v>342</v>
      </c>
      <c r="D1972" s="8" t="s">
        <v>184</v>
      </c>
      <c r="E1972" s="8" t="s">
        <v>214</v>
      </c>
      <c r="F1972" s="10">
        <v>4</v>
      </c>
      <c r="G1972" s="10">
        <v>2600</v>
      </c>
      <c r="H1972" s="10">
        <v>29.1</v>
      </c>
      <c r="I1972" s="10">
        <v>7373.6</v>
      </c>
      <c r="J1972" s="8" t="s">
        <v>41</v>
      </c>
      <c r="K1972" s="8" t="s">
        <v>146</v>
      </c>
      <c r="L1972" s="18" t="str">
        <f>VLOOKUP(D1972,Products!$A:$C,3,FALSE)</f>
        <v>Electronics</v>
      </c>
      <c r="N1972" s="18" t="str">
        <f>VLOOKUP(C1972,Customers!$A:$E,5,FALSE)</f>
        <v>Retail</v>
      </c>
      <c r="O1972" s="18">
        <f>VLOOKUP(C1972,Customers!$A:$C,3,FALSE)</f>
        <v>57</v>
      </c>
    </row>
    <row r="1973" spans="1:19" ht="14.25" hidden="1" customHeight="1" x14ac:dyDescent="0.3">
      <c r="A1973" s="8" t="s">
        <v>3005</v>
      </c>
      <c r="B1973" s="9">
        <v>45517</v>
      </c>
      <c r="C1973" s="8" t="s">
        <v>545</v>
      </c>
      <c r="D1973" s="8" t="s">
        <v>889</v>
      </c>
      <c r="E1973" s="8" t="s">
        <v>236</v>
      </c>
      <c r="F1973" s="10">
        <v>7</v>
      </c>
      <c r="G1973" s="10">
        <v>3450</v>
      </c>
      <c r="H1973" s="10">
        <v>4</v>
      </c>
      <c r="I1973" s="10">
        <v>23184</v>
      </c>
      <c r="J1973" s="8" t="s">
        <v>41</v>
      </c>
      <c r="K1973" s="8" t="s">
        <v>119</v>
      </c>
      <c r="L1973" s="18" t="str">
        <f>VLOOKUP(D1973,Products!$A:$C,3,FALSE)</f>
        <v>Apparel</v>
      </c>
      <c r="N1973" s="18" t="str">
        <f>VLOOKUP(C1973,Customers!$A:$E,5,FALSE)</f>
        <v>Retail</v>
      </c>
      <c r="O1973" s="18">
        <f>VLOOKUP(C1973,Customers!$A:$C,3,FALSE)</f>
        <v>41</v>
      </c>
    </row>
    <row r="1974" spans="1:19" ht="14.25" hidden="1" customHeight="1" x14ac:dyDescent="0.3">
      <c r="A1974" s="8" t="s">
        <v>3006</v>
      </c>
      <c r="B1974" s="9">
        <v>45311</v>
      </c>
      <c r="C1974" s="8" t="s">
        <v>690</v>
      </c>
      <c r="D1974" s="8" t="s">
        <v>898</v>
      </c>
      <c r="E1974" s="8" t="s">
        <v>158</v>
      </c>
      <c r="F1974" s="10">
        <v>6</v>
      </c>
      <c r="G1974" s="10">
        <v>2510</v>
      </c>
      <c r="H1974" s="10">
        <v>12.7</v>
      </c>
      <c r="I1974" s="10">
        <v>13147.38</v>
      </c>
      <c r="J1974" s="8" t="s">
        <v>41</v>
      </c>
      <c r="K1974" s="8" t="s">
        <v>98</v>
      </c>
      <c r="L1974" s="18" t="str">
        <f>VLOOKUP(D1974,Products!$A:$C,3,FALSE)</f>
        <v>Apparel</v>
      </c>
      <c r="N1974" s="18" t="str">
        <f>VLOOKUP(C1974,Customers!$A:$E,5,FALSE)</f>
        <v>Corporate</v>
      </c>
      <c r="O1974" s="18">
        <f>VLOOKUP(C1974,Customers!$A:$C,3,FALSE)</f>
        <v>52</v>
      </c>
    </row>
    <row r="1975" spans="1:19" ht="14.25" customHeight="1" x14ac:dyDescent="0.3">
      <c r="A1975" s="8" t="s">
        <v>3007</v>
      </c>
      <c r="B1975" s="21">
        <v>45560</v>
      </c>
      <c r="C1975" s="8" t="s">
        <v>142</v>
      </c>
      <c r="D1975" s="8" t="s">
        <v>199</v>
      </c>
      <c r="E1975" s="8" t="s">
        <v>619</v>
      </c>
      <c r="F1975" s="10">
        <v>6</v>
      </c>
      <c r="G1975" s="10">
        <v>190</v>
      </c>
      <c r="H1975" s="10">
        <v>20</v>
      </c>
      <c r="I1975" s="10">
        <v>912</v>
      </c>
      <c r="J1975" s="8" t="s">
        <v>147</v>
      </c>
      <c r="K1975" s="8" t="s">
        <v>146</v>
      </c>
      <c r="L1975" s="18" t="str">
        <f>VLOOKUP(D1975,Products!$A:$C,3,FALSE)</f>
        <v>Sports</v>
      </c>
      <c r="N1975" s="18" t="str">
        <f>VLOOKUP(C1975,Customers!$A:$E,5,FALSE)</f>
        <v>Retail</v>
      </c>
      <c r="O1975" s="18">
        <f>VLOOKUP(C1975,Customers!$A:$C,3,FALSE)</f>
        <v>36</v>
      </c>
      <c r="P1975" s="18" t="str">
        <f>VLOOKUP(E1974,Sales_Reps!$A:$C,3,FALSE)</f>
        <v>East</v>
      </c>
      <c r="Q1975" s="18" t="str">
        <f>TEXT(B1974,"MMM-YY")</f>
        <v>Jan-24</v>
      </c>
      <c r="R1975">
        <f>VLOOKUP(D1975, Products!A:D, 4, FALSE)</f>
        <v>147</v>
      </c>
      <c r="S1975">
        <f>(G1975-R1975)/G1975</f>
        <v>0.22631578947368422</v>
      </c>
    </row>
    <row r="1976" spans="1:19" ht="14.25" hidden="1" customHeight="1" x14ac:dyDescent="0.3">
      <c r="A1976" s="8" t="s">
        <v>3008</v>
      </c>
      <c r="B1976" s="9">
        <v>45529</v>
      </c>
      <c r="C1976" s="8" t="s">
        <v>492</v>
      </c>
      <c r="D1976" s="8" t="s">
        <v>242</v>
      </c>
      <c r="E1976" s="8" t="s">
        <v>236</v>
      </c>
      <c r="F1976" s="10">
        <v>10</v>
      </c>
      <c r="G1976" s="10">
        <v>1650</v>
      </c>
      <c r="H1976" s="10">
        <v>21.5</v>
      </c>
      <c r="I1976" s="10">
        <v>12952.5</v>
      </c>
      <c r="J1976" s="8" t="s">
        <v>41</v>
      </c>
      <c r="K1976" s="8" t="s">
        <v>42</v>
      </c>
      <c r="L1976" s="18" t="str">
        <f>VLOOKUP(D1976,Products!$A:$C,3,FALSE)</f>
        <v>Beauty</v>
      </c>
      <c r="N1976" s="18" t="str">
        <f>VLOOKUP(C1976,Customers!$A:$E,5,FALSE)</f>
        <v>Retail</v>
      </c>
      <c r="O1976" s="18">
        <f>VLOOKUP(C1976,Customers!$A:$C,3,FALSE)</f>
        <v>42</v>
      </c>
    </row>
    <row r="1977" spans="1:19" ht="14.25" hidden="1" customHeight="1" x14ac:dyDescent="0.3">
      <c r="A1977" s="8" t="s">
        <v>3009</v>
      </c>
      <c r="B1977" s="9">
        <v>45344</v>
      </c>
      <c r="C1977" s="8" t="s">
        <v>157</v>
      </c>
      <c r="D1977" s="8" t="s">
        <v>338</v>
      </c>
      <c r="E1977" s="8" t="s">
        <v>214</v>
      </c>
      <c r="F1977" s="10">
        <v>4</v>
      </c>
      <c r="G1977" s="10">
        <v>2860</v>
      </c>
      <c r="H1977" s="10">
        <v>15.2</v>
      </c>
      <c r="I1977" s="10">
        <v>9701.1200000000008</v>
      </c>
      <c r="J1977" s="8" t="s">
        <v>41</v>
      </c>
      <c r="K1977" s="8" t="s">
        <v>136</v>
      </c>
      <c r="L1977" s="18" t="str">
        <f>VLOOKUP(D1977,Products!$A:$C,3,FALSE)</f>
        <v>Sports</v>
      </c>
      <c r="N1977" s="18" t="str">
        <f>VLOOKUP(C1977,Customers!$A:$E,5,FALSE)</f>
        <v>Corporate</v>
      </c>
      <c r="O1977" s="18">
        <f>VLOOKUP(C1977,Customers!$A:$C,3,FALSE)</f>
        <v>57</v>
      </c>
    </row>
    <row r="1978" spans="1:19" ht="14.25" hidden="1" customHeight="1" x14ac:dyDescent="0.3">
      <c r="A1978" s="8" t="s">
        <v>3010</v>
      </c>
      <c r="B1978" s="9">
        <v>45589</v>
      </c>
      <c r="C1978" s="8" t="s">
        <v>631</v>
      </c>
      <c r="D1978" s="8" t="s">
        <v>116</v>
      </c>
      <c r="E1978" s="8" t="s">
        <v>172</v>
      </c>
      <c r="F1978" s="10">
        <v>3</v>
      </c>
      <c r="G1978" s="10">
        <v>470</v>
      </c>
      <c r="H1978" s="10">
        <v>14.2</v>
      </c>
      <c r="I1978" s="10">
        <v>1209.78</v>
      </c>
      <c r="J1978" s="8" t="s">
        <v>41</v>
      </c>
      <c r="K1978" s="8" t="s">
        <v>42</v>
      </c>
      <c r="L1978" s="18" t="str">
        <f>VLOOKUP(D1978,Products!$A:$C,3,FALSE)</f>
        <v>Sports</v>
      </c>
      <c r="N1978" s="18" t="str">
        <f>VLOOKUP(C1978,Customers!$A:$E,5,FALSE)</f>
        <v>Retail</v>
      </c>
      <c r="O1978" s="18">
        <f>VLOOKUP(C1978,Customers!$A:$C,3,FALSE)</f>
        <v>54</v>
      </c>
    </row>
    <row r="1979" spans="1:19" ht="14.25" hidden="1" customHeight="1" x14ac:dyDescent="0.3">
      <c r="A1979" s="8" t="s">
        <v>3011</v>
      </c>
      <c r="B1979" s="9">
        <v>45469</v>
      </c>
      <c r="C1979" s="8" t="s">
        <v>479</v>
      </c>
      <c r="D1979" s="8" t="s">
        <v>338</v>
      </c>
      <c r="E1979" s="8" t="s">
        <v>143</v>
      </c>
      <c r="F1979" s="10">
        <v>2</v>
      </c>
      <c r="G1979" s="10">
        <v>2860</v>
      </c>
      <c r="H1979" s="10">
        <v>17.899999999999999</v>
      </c>
      <c r="I1979" s="10">
        <v>4696.12</v>
      </c>
      <c r="J1979" s="8" t="s">
        <v>41</v>
      </c>
      <c r="K1979" s="8" t="s">
        <v>178</v>
      </c>
      <c r="L1979" s="18" t="str">
        <f>VLOOKUP(D1979,Products!$A:$C,3,FALSE)</f>
        <v>Sports</v>
      </c>
      <c r="N1979" s="18" t="str">
        <f>VLOOKUP(C1979,Customers!$A:$E,5,FALSE)</f>
        <v>Corporate</v>
      </c>
      <c r="O1979" s="18">
        <f>VLOOKUP(C1979,Customers!$A:$C,3,FALSE)</f>
        <v>54</v>
      </c>
    </row>
    <row r="1980" spans="1:19" ht="14.25" customHeight="1" x14ac:dyDescent="0.3">
      <c r="A1980" s="8" t="s">
        <v>3012</v>
      </c>
      <c r="B1980" s="21">
        <v>45407</v>
      </c>
      <c r="C1980" s="8" t="s">
        <v>425</v>
      </c>
      <c r="D1980" s="8" t="s">
        <v>227</v>
      </c>
      <c r="E1980" s="8" t="s">
        <v>167</v>
      </c>
      <c r="F1980" s="10">
        <v>2</v>
      </c>
      <c r="G1980" s="10">
        <v>2480</v>
      </c>
      <c r="H1980" s="10">
        <v>11.5</v>
      </c>
      <c r="I1980" s="10">
        <v>4389.6000000000004</v>
      </c>
      <c r="J1980" s="8" t="s">
        <v>147</v>
      </c>
      <c r="K1980" s="8" t="s">
        <v>146</v>
      </c>
      <c r="L1980" s="18" t="str">
        <f>VLOOKUP(D1980,Products!$A:$C,3,FALSE)</f>
        <v>Apparel</v>
      </c>
      <c r="N1980" s="18" t="str">
        <f>VLOOKUP(C1980,Customers!$A:$E,5,FALSE)</f>
        <v>Retail</v>
      </c>
      <c r="O1980" s="18">
        <f>VLOOKUP(C1980,Customers!$A:$C,3,FALSE)</f>
        <v>38</v>
      </c>
      <c r="P1980" s="18" t="str">
        <f>VLOOKUP(E1979,Sales_Reps!$A:$C,3,FALSE)</f>
        <v>West</v>
      </c>
      <c r="Q1980" s="18" t="str">
        <f>TEXT(B1979,"MMM-YY")</f>
        <v>Jun-24</v>
      </c>
      <c r="R1980">
        <f>VLOOKUP(D1980, Products!A:D, 4, FALSE)</f>
        <v>1173</v>
      </c>
      <c r="S1980">
        <f>(G1980-R1980)/G1980</f>
        <v>0.52701612903225803</v>
      </c>
    </row>
    <row r="1981" spans="1:19" ht="14.25" hidden="1" customHeight="1" x14ac:dyDescent="0.3">
      <c r="A1981" s="8" t="s">
        <v>3013</v>
      </c>
      <c r="B1981" s="9">
        <v>45635</v>
      </c>
      <c r="C1981" s="8" t="s">
        <v>733</v>
      </c>
      <c r="D1981" s="8" t="s">
        <v>924</v>
      </c>
      <c r="E1981" s="8" t="s">
        <v>125</v>
      </c>
      <c r="F1981" s="10">
        <v>10</v>
      </c>
      <c r="G1981" s="10">
        <v>2030</v>
      </c>
      <c r="H1981" s="10">
        <v>29.2</v>
      </c>
      <c r="I1981" s="10">
        <v>14372.4</v>
      </c>
      <c r="J1981" s="8" t="s">
        <v>41</v>
      </c>
      <c r="K1981" s="8" t="s">
        <v>136</v>
      </c>
      <c r="L1981" s="18" t="str">
        <f>VLOOKUP(D1981,Products!$A:$C,3,FALSE)</f>
        <v>Home</v>
      </c>
      <c r="N1981" s="18" t="str">
        <f>VLOOKUP(C1981,Customers!$A:$E,5,FALSE)</f>
        <v>SMB</v>
      </c>
      <c r="O1981" s="18">
        <f>VLOOKUP(C1981,Customers!$A:$C,3,FALSE)</f>
        <v>44</v>
      </c>
    </row>
    <row r="1982" spans="1:19" ht="14.25" hidden="1" customHeight="1" x14ac:dyDescent="0.3">
      <c r="A1982" s="8" t="s">
        <v>3014</v>
      </c>
      <c r="B1982" s="9">
        <v>45489</v>
      </c>
      <c r="C1982" s="8" t="s">
        <v>266</v>
      </c>
      <c r="D1982" s="8" t="s">
        <v>215</v>
      </c>
      <c r="E1982" s="8" t="s">
        <v>189</v>
      </c>
      <c r="F1982" s="10">
        <v>6</v>
      </c>
      <c r="G1982" s="10">
        <v>3450</v>
      </c>
      <c r="H1982" s="10">
        <v>3.5</v>
      </c>
      <c r="I1982" s="10">
        <v>19975.5</v>
      </c>
      <c r="J1982" s="8" t="s">
        <v>193</v>
      </c>
      <c r="K1982" s="8" t="s">
        <v>42</v>
      </c>
      <c r="L1982" s="18" t="str">
        <f>VLOOKUP(D1982,Products!$A:$C,3,FALSE)</f>
        <v>Beauty</v>
      </c>
      <c r="N1982" s="18" t="str">
        <f>VLOOKUP(C1982,Customers!$A:$E,5,FALSE)</f>
        <v>SMB</v>
      </c>
      <c r="O1982" s="18">
        <f>VLOOKUP(C1982,Customers!$A:$C,3,FALSE)</f>
        <v>44</v>
      </c>
    </row>
    <row r="1983" spans="1:19" ht="14.25" hidden="1" customHeight="1" x14ac:dyDescent="0.3">
      <c r="A1983" s="8" t="s">
        <v>3015</v>
      </c>
      <c r="B1983" s="9">
        <v>45356</v>
      </c>
      <c r="C1983" s="8" t="s">
        <v>740</v>
      </c>
      <c r="D1983" s="8" t="s">
        <v>140</v>
      </c>
      <c r="E1983" s="8" t="s">
        <v>865</v>
      </c>
      <c r="F1983" s="10">
        <v>10</v>
      </c>
      <c r="G1983" s="10">
        <v>1430</v>
      </c>
      <c r="H1983" s="10">
        <v>3.5</v>
      </c>
      <c r="I1983" s="10">
        <v>13799.5</v>
      </c>
      <c r="J1983" s="8" t="s">
        <v>41</v>
      </c>
      <c r="K1983" s="8" t="s">
        <v>98</v>
      </c>
      <c r="L1983" s="18" t="str">
        <f>VLOOKUP(D1983,Products!$A:$C,3,FALSE)</f>
        <v>Electronics</v>
      </c>
      <c r="N1983" s="18" t="str">
        <f>VLOOKUP(C1983,Customers!$A:$E,5,FALSE)</f>
        <v>Retail</v>
      </c>
      <c r="O1983" s="18">
        <f>VLOOKUP(C1983,Customers!$A:$C,3,FALSE)</f>
        <v>61</v>
      </c>
    </row>
    <row r="1984" spans="1:19" ht="14.25" customHeight="1" x14ac:dyDescent="0.3">
      <c r="A1984" s="8" t="s">
        <v>3016</v>
      </c>
      <c r="B1984" s="21">
        <v>45422</v>
      </c>
      <c r="C1984" s="8" t="s">
        <v>442</v>
      </c>
      <c r="D1984" s="8" t="s">
        <v>95</v>
      </c>
      <c r="E1984" s="8" t="s">
        <v>121</v>
      </c>
      <c r="F1984" s="10">
        <v>1</v>
      </c>
      <c r="G1984" s="10">
        <v>820</v>
      </c>
      <c r="H1984" s="10">
        <v>14.5</v>
      </c>
      <c r="I1984" s="10">
        <v>701.1</v>
      </c>
      <c r="J1984" s="8" t="s">
        <v>147</v>
      </c>
      <c r="K1984" s="8" t="s">
        <v>98</v>
      </c>
      <c r="L1984" s="18" t="str">
        <f>VLOOKUP(D1984,Products!$A:$C,3,FALSE)</f>
        <v>Apparel</v>
      </c>
      <c r="N1984" s="18" t="str">
        <f>VLOOKUP(C1984,Customers!$A:$E,5,FALSE)</f>
        <v>Retail</v>
      </c>
      <c r="O1984" s="18">
        <f>VLOOKUP(C1984,Customers!$A:$C,3,FALSE)</f>
        <v>26</v>
      </c>
      <c r="P1984" s="18" t="str">
        <f>VLOOKUP(E1983,Sales_Reps!$A:$C,3,FALSE)</f>
        <v>South</v>
      </c>
      <c r="Q1984" s="18" t="str">
        <f>TEXT(B1983,"MMM-YY")</f>
        <v>Mar-24</v>
      </c>
      <c r="R1984">
        <f>VLOOKUP(D1984, Products!A:D, 4, FALSE)</f>
        <v>391</v>
      </c>
      <c r="S1984">
        <f>(G1984-R1984)/G1984</f>
        <v>0.52317073170731709</v>
      </c>
    </row>
    <row r="1985" spans="1:19" ht="14.25" hidden="1" customHeight="1" x14ac:dyDescent="0.3">
      <c r="A1985" s="8" t="s">
        <v>3017</v>
      </c>
      <c r="B1985" s="9">
        <v>45333</v>
      </c>
      <c r="C1985" s="8" t="s">
        <v>302</v>
      </c>
      <c r="D1985" s="8" t="s">
        <v>283</v>
      </c>
      <c r="E1985" s="8" t="s">
        <v>208</v>
      </c>
      <c r="F1985" s="10">
        <v>5</v>
      </c>
      <c r="G1985" s="10">
        <v>4880</v>
      </c>
      <c r="H1985" s="10">
        <v>1.8</v>
      </c>
      <c r="I1985" s="10">
        <v>23960.799999999999</v>
      </c>
      <c r="J1985" s="8" t="s">
        <v>41</v>
      </c>
      <c r="K1985" s="8" t="s">
        <v>136</v>
      </c>
      <c r="L1985" s="18" t="str">
        <f>VLOOKUP(D1985,Products!$A:$C,3,FALSE)</f>
        <v>Beauty</v>
      </c>
      <c r="N1985" s="18" t="str">
        <f>VLOOKUP(C1985,Customers!$A:$E,5,FALSE)</f>
        <v>Corporate</v>
      </c>
      <c r="O1985" s="18">
        <f>VLOOKUP(C1985,Customers!$A:$C,3,FALSE)</f>
        <v>55</v>
      </c>
    </row>
    <row r="1986" spans="1:19" ht="14.25" customHeight="1" x14ac:dyDescent="0.3">
      <c r="A1986" s="8" t="s">
        <v>3018</v>
      </c>
      <c r="B1986" s="21">
        <v>45385</v>
      </c>
      <c r="C1986" s="8" t="s">
        <v>142</v>
      </c>
      <c r="D1986" s="8" t="s">
        <v>247</v>
      </c>
      <c r="E1986" s="8" t="s">
        <v>221</v>
      </c>
      <c r="F1986" s="10">
        <v>8</v>
      </c>
      <c r="G1986" s="10">
        <v>3350</v>
      </c>
      <c r="H1986" s="10">
        <v>26.3</v>
      </c>
      <c r="I1986" s="10">
        <v>19751.599999999999</v>
      </c>
      <c r="J1986" s="8" t="s">
        <v>147</v>
      </c>
      <c r="K1986" s="8" t="s">
        <v>146</v>
      </c>
      <c r="L1986" s="18" t="str">
        <f>VLOOKUP(D1986,Products!$A:$C,3,FALSE)</f>
        <v>Beauty</v>
      </c>
      <c r="N1986" s="18" t="str">
        <f>VLOOKUP(C1986,Customers!$A:$E,5,FALSE)</f>
        <v>Retail</v>
      </c>
      <c r="O1986" s="18">
        <f>VLOOKUP(C1986,Customers!$A:$C,3,FALSE)</f>
        <v>36</v>
      </c>
      <c r="P1986" s="18" t="str">
        <f>VLOOKUP(E1985,Sales_Reps!$A:$C,3,FALSE)</f>
        <v>East</v>
      </c>
      <c r="Q1986" s="18" t="str">
        <f t="shared" ref="Q1986:Q1987" si="392">TEXT(B1985,"MMM-YY")</f>
        <v>Feb-24</v>
      </c>
      <c r="R1986">
        <f>VLOOKUP(D1986, Products!A:D, 4, FALSE)</f>
        <v>1728</v>
      </c>
      <c r="S1986">
        <f t="shared" ref="S1986:S1987" si="393">(G1986-R1986)/G1986</f>
        <v>0.48417910447761192</v>
      </c>
    </row>
    <row r="1987" spans="1:19" ht="14.25" customHeight="1" x14ac:dyDescent="0.3">
      <c r="A1987" s="8" t="s">
        <v>3019</v>
      </c>
      <c r="B1987" s="21">
        <v>45298</v>
      </c>
      <c r="C1987" s="8" t="s">
        <v>226</v>
      </c>
      <c r="D1987" s="8" t="s">
        <v>227</v>
      </c>
      <c r="E1987" s="8" t="s">
        <v>196</v>
      </c>
      <c r="F1987" s="10">
        <v>9</v>
      </c>
      <c r="G1987" s="10">
        <v>2480</v>
      </c>
      <c r="H1987" s="10">
        <v>24.3</v>
      </c>
      <c r="I1987" s="10">
        <v>16896.240000000002</v>
      </c>
      <c r="J1987" s="8" t="s">
        <v>41</v>
      </c>
      <c r="K1987" s="8" t="s">
        <v>178</v>
      </c>
      <c r="L1987" s="18" t="str">
        <f>VLOOKUP(D1987,Products!$A:$C,3,FALSE)</f>
        <v>Apparel</v>
      </c>
      <c r="N1987" s="18" t="str">
        <f>VLOOKUP(C1987,Customers!$A:$E,5,FALSE)</f>
        <v>Retail</v>
      </c>
      <c r="O1987" s="18">
        <f>VLOOKUP(C1987,Customers!$A:$C,3,FALSE)</f>
        <v>32</v>
      </c>
      <c r="P1987" s="18" t="str">
        <f>VLOOKUP(E1986,Sales_Reps!$A:$C,3,FALSE)</f>
        <v>South</v>
      </c>
      <c r="Q1987" s="18" t="str">
        <f t="shared" si="392"/>
        <v>Apr-24</v>
      </c>
      <c r="R1987">
        <f>VLOOKUP(D1987, Products!A:D, 4, FALSE)</f>
        <v>1173</v>
      </c>
      <c r="S1987">
        <f t="shared" si="393"/>
        <v>0.52701612903225803</v>
      </c>
    </row>
    <row r="1988" spans="1:19" ht="14.25" hidden="1" customHeight="1" x14ac:dyDescent="0.3">
      <c r="A1988" s="8" t="s">
        <v>3020</v>
      </c>
      <c r="B1988" s="9">
        <v>45500</v>
      </c>
      <c r="C1988" s="8" t="s">
        <v>587</v>
      </c>
      <c r="D1988" s="8" t="s">
        <v>839</v>
      </c>
      <c r="E1988" s="8" t="s">
        <v>153</v>
      </c>
      <c r="F1988" s="10">
        <v>9</v>
      </c>
      <c r="G1988" s="10">
        <v>4610</v>
      </c>
      <c r="H1988" s="10">
        <v>10</v>
      </c>
      <c r="I1988" s="10">
        <v>37341</v>
      </c>
      <c r="J1988" s="8" t="s">
        <v>41</v>
      </c>
      <c r="K1988" s="8" t="s">
        <v>136</v>
      </c>
      <c r="L1988" s="18" t="str">
        <f>VLOOKUP(D1988,Products!$A:$C,3,FALSE)</f>
        <v>Home</v>
      </c>
      <c r="N1988" s="18" t="str">
        <f>VLOOKUP(C1988,Customers!$A:$E,5,FALSE)</f>
        <v>SMB</v>
      </c>
      <c r="O1988" s="18">
        <f>VLOOKUP(C1988,Customers!$A:$C,3,FALSE)</f>
        <v>64</v>
      </c>
    </row>
    <row r="1989" spans="1:19" ht="14.25" hidden="1" customHeight="1" x14ac:dyDescent="0.3">
      <c r="A1989" s="8" t="s">
        <v>3021</v>
      </c>
      <c r="B1989" s="9">
        <v>45409</v>
      </c>
      <c r="C1989" s="8" t="s">
        <v>844</v>
      </c>
      <c r="D1989" s="8" t="s">
        <v>624</v>
      </c>
      <c r="E1989" s="8" t="s">
        <v>185</v>
      </c>
      <c r="F1989" s="10">
        <v>1</v>
      </c>
      <c r="G1989" s="10">
        <v>3780</v>
      </c>
      <c r="H1989" s="10">
        <v>2.2000000000000002</v>
      </c>
      <c r="I1989" s="10">
        <v>3696.84</v>
      </c>
      <c r="J1989" s="8" t="s">
        <v>41</v>
      </c>
      <c r="K1989" s="8" t="s">
        <v>146</v>
      </c>
      <c r="L1989" s="18" t="str">
        <f>VLOOKUP(D1989,Products!$A:$C,3,FALSE)</f>
        <v>Grocery</v>
      </c>
      <c r="N1989" s="18" t="str">
        <f>VLOOKUP(C1989,Customers!$A:$E,5,FALSE)</f>
        <v>Retail</v>
      </c>
      <c r="O1989" s="18">
        <f>VLOOKUP(C1989,Customers!$A:$C,3,FALSE)</f>
        <v>54</v>
      </c>
    </row>
    <row r="1990" spans="1:19" ht="14.25" hidden="1" customHeight="1" x14ac:dyDescent="0.3">
      <c r="A1990" s="8" t="s">
        <v>3022</v>
      </c>
      <c r="B1990" s="9">
        <v>45401</v>
      </c>
      <c r="C1990" s="8" t="s">
        <v>139</v>
      </c>
      <c r="D1990" s="8" t="s">
        <v>867</v>
      </c>
      <c r="E1990" s="8" t="s">
        <v>376</v>
      </c>
      <c r="F1990" s="10">
        <v>3</v>
      </c>
      <c r="G1990" s="10">
        <v>3020</v>
      </c>
      <c r="H1990" s="10">
        <v>21.4</v>
      </c>
      <c r="I1990" s="10">
        <v>7121.16</v>
      </c>
      <c r="J1990" s="8" t="s">
        <v>147</v>
      </c>
      <c r="K1990" s="8" t="s">
        <v>119</v>
      </c>
      <c r="L1990" s="18" t="str">
        <f>VLOOKUP(D1990,Products!$A:$C,3,FALSE)</f>
        <v>Beauty</v>
      </c>
      <c r="N1990" s="18" t="str">
        <f>VLOOKUP(C1990,Customers!$A:$E,5,FALSE)</f>
        <v>Retail</v>
      </c>
      <c r="O1990" s="18">
        <f>VLOOKUP(C1990,Customers!$A:$C,3,FALSE)</f>
        <v>53</v>
      </c>
    </row>
    <row r="1991" spans="1:19" ht="14.25" customHeight="1" x14ac:dyDescent="0.3">
      <c r="A1991" s="8" t="s">
        <v>3023</v>
      </c>
      <c r="B1991" s="21">
        <v>45645</v>
      </c>
      <c r="C1991" s="8" t="s">
        <v>226</v>
      </c>
      <c r="D1991" s="8" t="s">
        <v>929</v>
      </c>
      <c r="E1991" s="8" t="s">
        <v>125</v>
      </c>
      <c r="F1991" s="10">
        <v>10</v>
      </c>
      <c r="G1991" s="10">
        <v>1090</v>
      </c>
      <c r="H1991" s="10">
        <v>29.2</v>
      </c>
      <c r="I1991" s="10">
        <v>7717.2</v>
      </c>
      <c r="J1991" s="8" t="s">
        <v>147</v>
      </c>
      <c r="K1991" s="8" t="s">
        <v>178</v>
      </c>
      <c r="L1991" s="18" t="str">
        <f>VLOOKUP(D1991,Products!$A:$C,3,FALSE)</f>
        <v>Home</v>
      </c>
      <c r="N1991" s="18" t="str">
        <f>VLOOKUP(C1991,Customers!$A:$E,5,FALSE)</f>
        <v>Retail</v>
      </c>
      <c r="O1991" s="18">
        <f>VLOOKUP(C1991,Customers!$A:$C,3,FALSE)</f>
        <v>32</v>
      </c>
      <c r="P1991" s="18" t="str">
        <f>VLOOKUP(E1990,Sales_Reps!$A:$C,3,FALSE)</f>
        <v>West</v>
      </c>
      <c r="Q1991" s="18" t="str">
        <f t="shared" ref="Q1991:Q1992" si="394">TEXT(B1990,"MMM-YY")</f>
        <v>Apr-24</v>
      </c>
      <c r="R1991">
        <f>VLOOKUP(D1991, Products!A:D, 4, FALSE)</f>
        <v>464</v>
      </c>
      <c r="S1991">
        <f t="shared" ref="S1991:S1992" si="395">(G1991-R1991)/G1991</f>
        <v>0.57431192660550456</v>
      </c>
    </row>
    <row r="1992" spans="1:19" ht="14.25" customHeight="1" x14ac:dyDescent="0.3">
      <c r="A1992" s="8" t="s">
        <v>3024</v>
      </c>
      <c r="B1992" s="21">
        <v>45616</v>
      </c>
      <c r="C1992" s="8" t="s">
        <v>353</v>
      </c>
      <c r="D1992" s="8" t="s">
        <v>320</v>
      </c>
      <c r="E1992" s="8" t="s">
        <v>745</v>
      </c>
      <c r="F1992" s="10">
        <v>5</v>
      </c>
      <c r="G1992" s="10">
        <v>5100</v>
      </c>
      <c r="H1992" s="10">
        <v>28.4</v>
      </c>
      <c r="I1992" s="10">
        <v>18258</v>
      </c>
      <c r="J1992" s="8" t="s">
        <v>41</v>
      </c>
      <c r="K1992" s="8" t="s">
        <v>136</v>
      </c>
      <c r="L1992" s="18" t="str">
        <f>VLOOKUP(D1992,Products!$A:$C,3,FALSE)</f>
        <v>Beauty</v>
      </c>
      <c r="N1992" s="18" t="str">
        <f>VLOOKUP(C1992,Customers!$A:$E,5,FALSE)</f>
        <v>Corporate</v>
      </c>
      <c r="O1992" s="18">
        <f>VLOOKUP(C1992,Customers!$A:$C,3,FALSE)</f>
        <v>31</v>
      </c>
      <c r="P1992" s="18" t="str">
        <f>VLOOKUP(E1991,Sales_Reps!$A:$C,3,FALSE)</f>
        <v>North</v>
      </c>
      <c r="Q1992" s="18" t="str">
        <f t="shared" si="394"/>
        <v>Dec-24</v>
      </c>
      <c r="R1992">
        <f>VLOOKUP(D1992, Products!A:D, 4, FALSE)</f>
        <v>2237</v>
      </c>
      <c r="S1992">
        <f t="shared" si="395"/>
        <v>0.56137254901960787</v>
      </c>
    </row>
    <row r="1993" spans="1:19" ht="14.25" hidden="1" customHeight="1" x14ac:dyDescent="0.3">
      <c r="A1993" s="8" t="s">
        <v>3025</v>
      </c>
      <c r="B1993" s="9">
        <v>45352</v>
      </c>
      <c r="C1993" s="8" t="s">
        <v>759</v>
      </c>
      <c r="D1993" s="8" t="s">
        <v>283</v>
      </c>
      <c r="E1993" s="8" t="s">
        <v>135</v>
      </c>
      <c r="F1993" s="10">
        <v>6</v>
      </c>
      <c r="G1993" s="10">
        <v>4880</v>
      </c>
      <c r="H1993" s="10">
        <v>16.8</v>
      </c>
      <c r="I1993" s="10">
        <v>24360.959999999999</v>
      </c>
      <c r="J1993" s="8" t="s">
        <v>41</v>
      </c>
      <c r="K1993" s="8" t="s">
        <v>98</v>
      </c>
      <c r="L1993" s="18" t="str">
        <f>VLOOKUP(D1993,Products!$A:$C,3,FALSE)</f>
        <v>Beauty</v>
      </c>
      <c r="N1993" s="18" t="str">
        <f>VLOOKUP(C1993,Customers!$A:$E,5,FALSE)</f>
        <v>SMB</v>
      </c>
      <c r="O1993" s="18">
        <f>VLOOKUP(C1993,Customers!$A:$C,3,FALSE)</f>
        <v>59</v>
      </c>
    </row>
    <row r="1994" spans="1:19" ht="14.25" hidden="1" customHeight="1" x14ac:dyDescent="0.3">
      <c r="A1994" s="8" t="s">
        <v>3026</v>
      </c>
      <c r="B1994" s="9">
        <v>45451</v>
      </c>
      <c r="C1994" s="8" t="s">
        <v>763</v>
      </c>
      <c r="D1994" s="8" t="s">
        <v>230</v>
      </c>
      <c r="E1994" s="8" t="s">
        <v>619</v>
      </c>
      <c r="F1994" s="10">
        <v>1</v>
      </c>
      <c r="G1994" s="10">
        <v>5330</v>
      </c>
      <c r="H1994" s="10">
        <v>27.5</v>
      </c>
      <c r="I1994" s="10">
        <v>3864.25</v>
      </c>
      <c r="J1994" s="8" t="s">
        <v>41</v>
      </c>
      <c r="K1994" s="8" t="s">
        <v>178</v>
      </c>
      <c r="L1994" s="18" t="str">
        <f>VLOOKUP(D1994,Products!$A:$C,3,FALSE)</f>
        <v>Electronics</v>
      </c>
      <c r="N1994" s="18" t="str">
        <f>VLOOKUP(C1994,Customers!$A:$E,5,FALSE)</f>
        <v>Retail</v>
      </c>
      <c r="O1994" s="18">
        <f>VLOOKUP(C1994,Customers!$A:$C,3,FALSE)</f>
        <v>65</v>
      </c>
    </row>
    <row r="1995" spans="1:19" ht="14.25" customHeight="1" x14ac:dyDescent="0.3">
      <c r="A1995" s="8" t="s">
        <v>3027</v>
      </c>
      <c r="B1995" s="21">
        <v>45477</v>
      </c>
      <c r="C1995" s="8" t="s">
        <v>191</v>
      </c>
      <c r="D1995" s="8" t="s">
        <v>924</v>
      </c>
      <c r="E1995" s="8" t="s">
        <v>236</v>
      </c>
      <c r="F1995" s="10">
        <v>7</v>
      </c>
      <c r="G1995" s="10">
        <v>2030</v>
      </c>
      <c r="H1995" s="10">
        <v>5.3</v>
      </c>
      <c r="I1995" s="10">
        <v>13456.87</v>
      </c>
      <c r="J1995" s="8" t="s">
        <v>147</v>
      </c>
      <c r="K1995" s="8" t="s">
        <v>42</v>
      </c>
      <c r="L1995" s="18" t="str">
        <f>VLOOKUP(D1995,Products!$A:$C,3,FALSE)</f>
        <v>Home</v>
      </c>
      <c r="N1995" s="18" t="str">
        <f>VLOOKUP(C1995,Customers!$A:$E,5,FALSE)</f>
        <v>SMB</v>
      </c>
      <c r="O1995" s="18">
        <f>VLOOKUP(C1995,Customers!$A:$C,3,FALSE)</f>
        <v>39</v>
      </c>
      <c r="P1995" s="18" t="str">
        <f>VLOOKUP(E1994,Sales_Reps!$A:$C,3,FALSE)</f>
        <v>West</v>
      </c>
      <c r="Q1995" s="18" t="str">
        <f>TEXT(B1994,"MMM-YY")</f>
        <v>Jun-24</v>
      </c>
      <c r="R1995">
        <f>VLOOKUP(D1995, Products!A:D, 4, FALSE)</f>
        <v>1143</v>
      </c>
      <c r="S1995">
        <f>(G1995-R1995)/G1995</f>
        <v>0.43694581280788175</v>
      </c>
    </row>
    <row r="1996" spans="1:19" ht="14.25" hidden="1" customHeight="1" x14ac:dyDescent="0.3">
      <c r="A1996" s="8" t="s">
        <v>3028</v>
      </c>
      <c r="B1996" s="9">
        <v>45360</v>
      </c>
      <c r="C1996" s="8" t="s">
        <v>162</v>
      </c>
      <c r="D1996" s="8" t="s">
        <v>247</v>
      </c>
      <c r="E1996" s="8" t="s">
        <v>153</v>
      </c>
      <c r="F1996" s="10">
        <v>7</v>
      </c>
      <c r="G1996" s="10">
        <v>3350</v>
      </c>
      <c r="H1996" s="10">
        <v>0.4</v>
      </c>
      <c r="I1996" s="10">
        <v>23356.2</v>
      </c>
      <c r="J1996" s="8" t="s">
        <v>41</v>
      </c>
      <c r="K1996" s="8" t="s">
        <v>136</v>
      </c>
      <c r="L1996" s="18" t="str">
        <f>VLOOKUP(D1996,Products!$A:$C,3,FALSE)</f>
        <v>Beauty</v>
      </c>
      <c r="N1996" s="18" t="str">
        <f>VLOOKUP(C1996,Customers!$A:$E,5,FALSE)</f>
        <v>Retail</v>
      </c>
      <c r="O1996" s="18">
        <f>VLOOKUP(C1996,Customers!$A:$C,3,FALSE)</f>
        <v>42</v>
      </c>
    </row>
    <row r="1997" spans="1:19" ht="14.25" hidden="1" customHeight="1" x14ac:dyDescent="0.3">
      <c r="A1997" s="8" t="s">
        <v>3029</v>
      </c>
      <c r="B1997" s="9">
        <v>45292</v>
      </c>
      <c r="C1997" s="8" t="s">
        <v>223</v>
      </c>
      <c r="D1997" s="8" t="s">
        <v>569</v>
      </c>
      <c r="E1997" s="8" t="s">
        <v>301</v>
      </c>
      <c r="F1997" s="10">
        <v>6</v>
      </c>
      <c r="G1997" s="10">
        <v>3730</v>
      </c>
      <c r="H1997" s="10">
        <v>13.8</v>
      </c>
      <c r="I1997" s="10">
        <v>19291.560000000001</v>
      </c>
      <c r="J1997" s="8" t="s">
        <v>41</v>
      </c>
      <c r="K1997" s="8" t="s">
        <v>98</v>
      </c>
      <c r="L1997" s="18" t="str">
        <f>VLOOKUP(D1997,Products!$A:$C,3,FALSE)</f>
        <v>Home</v>
      </c>
      <c r="N1997" s="18" t="str">
        <f>VLOOKUP(C1997,Customers!$A:$E,5,FALSE)</f>
        <v>Retail</v>
      </c>
      <c r="O1997" s="18">
        <f>VLOOKUP(C1997,Customers!$A:$C,3,FALSE)</f>
        <v>49</v>
      </c>
    </row>
    <row r="1998" spans="1:19" ht="14.25" customHeight="1" x14ac:dyDescent="0.3">
      <c r="A1998" s="8" t="s">
        <v>113</v>
      </c>
      <c r="B1998" s="21">
        <v>45585</v>
      </c>
      <c r="C1998" s="8" t="s">
        <v>118</v>
      </c>
      <c r="D1998" s="8" t="s">
        <v>120</v>
      </c>
      <c r="E1998" s="8" t="s">
        <v>121</v>
      </c>
      <c r="F1998" s="10">
        <v>6</v>
      </c>
      <c r="G1998" s="10">
        <v>3970</v>
      </c>
      <c r="H1998" s="10">
        <v>5.8</v>
      </c>
      <c r="I1998" s="10">
        <v>22438.44</v>
      </c>
      <c r="J1998" s="8" t="s">
        <v>97</v>
      </c>
      <c r="K1998" s="8" t="s">
        <v>42</v>
      </c>
      <c r="L1998" s="18" t="str">
        <f>VLOOKUP(D1998,Products!$A:$C,3,FALSE)</f>
        <v>Electronics</v>
      </c>
      <c r="N1998" s="18" t="str">
        <f>VLOOKUP(C1998,Customers!$A:$E,5,FALSE)</f>
        <v>SMB</v>
      </c>
      <c r="O1998" s="18">
        <f>VLOOKUP(C1998,Customers!$A:$C,3,FALSE)</f>
        <v>24</v>
      </c>
      <c r="P1998" s="18" t="str">
        <f>VLOOKUP(E1997,Sales_Reps!$A:$C,3,FALSE)</f>
        <v>South</v>
      </c>
      <c r="Q1998" s="18" t="str">
        <f>TEXT(B1997,"MMM-YY")</f>
        <v>Jan-24</v>
      </c>
      <c r="R1998">
        <f>VLOOKUP(D1998, Products!A:D, 4, FALSE)</f>
        <v>2865</v>
      </c>
      <c r="S1998">
        <f>(G1998-R1998)/G1998</f>
        <v>0.27833753148614609</v>
      </c>
    </row>
    <row r="1999" spans="1:19" ht="14.25" hidden="1" customHeight="1" x14ac:dyDescent="0.3">
      <c r="A1999" s="8" t="s">
        <v>3030</v>
      </c>
      <c r="B1999" s="9">
        <v>45592</v>
      </c>
      <c r="C1999" s="8" t="s">
        <v>324</v>
      </c>
      <c r="D1999" s="8" t="s">
        <v>918</v>
      </c>
      <c r="E1999" s="8" t="s">
        <v>865</v>
      </c>
      <c r="F1999" s="10">
        <v>4</v>
      </c>
      <c r="G1999" s="10">
        <v>2210</v>
      </c>
      <c r="H1999" s="10">
        <v>18.2</v>
      </c>
      <c r="I1999" s="10">
        <v>7231.12</v>
      </c>
      <c r="J1999" s="8" t="s">
        <v>97</v>
      </c>
      <c r="K1999" s="8" t="s">
        <v>136</v>
      </c>
      <c r="L1999" s="18" t="str">
        <f>VLOOKUP(D1999,Products!$A:$C,3,FALSE)</f>
        <v>Grocery</v>
      </c>
      <c r="N1999" s="18" t="str">
        <f>VLOOKUP(C1999,Customers!$A:$E,5,FALSE)</f>
        <v>Corporate</v>
      </c>
      <c r="O1999" s="18">
        <f>VLOOKUP(C1999,Customers!$A:$C,3,FALSE)</f>
        <v>43</v>
      </c>
    </row>
    <row r="2000" spans="1:19" ht="14.25" hidden="1" customHeight="1" x14ac:dyDescent="0.3">
      <c r="A2000" s="8" t="s">
        <v>3031</v>
      </c>
      <c r="B2000" s="9">
        <v>45370</v>
      </c>
      <c r="C2000" s="8" t="s">
        <v>616</v>
      </c>
      <c r="D2000" s="8" t="s">
        <v>954</v>
      </c>
      <c r="E2000" s="8" t="s">
        <v>135</v>
      </c>
      <c r="F2000" s="10">
        <v>6</v>
      </c>
      <c r="G2000" s="10">
        <v>5410</v>
      </c>
      <c r="H2000" s="10">
        <v>15.5</v>
      </c>
      <c r="I2000" s="10">
        <v>27428.7</v>
      </c>
      <c r="J2000" s="8" t="s">
        <v>41</v>
      </c>
      <c r="K2000" s="8" t="s">
        <v>119</v>
      </c>
      <c r="L2000" s="18" t="str">
        <f>VLOOKUP(D2000,Products!$A:$C,3,FALSE)</f>
        <v>Sports</v>
      </c>
      <c r="N2000" s="18" t="str">
        <f>VLOOKUP(C2000,Customers!$A:$E,5,FALSE)</f>
        <v>Retail</v>
      </c>
      <c r="O2000" s="18">
        <f>VLOOKUP(C2000,Customers!$A:$C,3,FALSE)</f>
        <v>43</v>
      </c>
    </row>
    <row r="2001" spans="1:15" ht="14.25" hidden="1" customHeight="1" x14ac:dyDescent="0.3">
      <c r="A2001" s="8" t="s">
        <v>3032</v>
      </c>
      <c r="B2001" s="9">
        <v>45325</v>
      </c>
      <c r="C2001" s="8" t="s">
        <v>754</v>
      </c>
      <c r="D2001" s="8" t="s">
        <v>926</v>
      </c>
      <c r="E2001" s="8" t="s">
        <v>208</v>
      </c>
      <c r="F2001" s="10">
        <v>6</v>
      </c>
      <c r="G2001" s="10">
        <v>5080</v>
      </c>
      <c r="H2001" s="10">
        <v>28.1</v>
      </c>
      <c r="I2001" s="10">
        <v>21915.119999999999</v>
      </c>
      <c r="J2001" s="8" t="s">
        <v>41</v>
      </c>
      <c r="K2001" s="8" t="s">
        <v>119</v>
      </c>
      <c r="L2001" s="18" t="str">
        <f>VLOOKUP(D2001,Products!$A:$C,3,FALSE)</f>
        <v>Home</v>
      </c>
      <c r="N2001" s="18" t="str">
        <f>VLOOKUP(C2001,Customers!$A:$E,5,FALSE)</f>
        <v>Retail</v>
      </c>
      <c r="O2001" s="18">
        <f>VLOOKUP(C2001,Customers!$A:$C,3,FALSE)</f>
        <v>49</v>
      </c>
    </row>
  </sheetData>
  <autoFilter ref="A1:O2001" xr:uid="{00000000-0009-0000-0000-000001000000}">
    <filterColumn colId="14">
      <customFilters>
        <customFilter operator="lessThanOrEqual" val="40"/>
      </customFilters>
    </filterColumn>
  </autoFilter>
  <pageMargins left="0.75" right="0.75" top="1" bottom="1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  <col min="7" max="26" width="8.6640625" customWidth="1"/>
  </cols>
  <sheetData>
    <row r="1" spans="1:6" ht="14.25" customHeight="1" x14ac:dyDescent="0.3">
      <c r="A1" s="3" t="s">
        <v>6</v>
      </c>
      <c r="B1" s="3" t="s">
        <v>248</v>
      </c>
      <c r="C1" s="3" t="s">
        <v>24</v>
      </c>
      <c r="D1" s="3" t="s">
        <v>249</v>
      </c>
      <c r="E1" s="3" t="s">
        <v>23</v>
      </c>
      <c r="F1" s="3" t="s">
        <v>250</v>
      </c>
    </row>
    <row r="2" spans="1:6" ht="14.25" customHeight="1" x14ac:dyDescent="0.3">
      <c r="A2" s="8" t="s">
        <v>251</v>
      </c>
      <c r="B2" s="8" t="s">
        <v>253</v>
      </c>
      <c r="C2" s="10">
        <v>36</v>
      </c>
      <c r="D2" s="8" t="s">
        <v>42</v>
      </c>
      <c r="E2" s="8" t="s">
        <v>137</v>
      </c>
      <c r="F2" s="9">
        <v>44819</v>
      </c>
    </row>
    <row r="3" spans="1:6" ht="14.25" customHeight="1" x14ac:dyDescent="0.3">
      <c r="A3" s="8" t="s">
        <v>254</v>
      </c>
      <c r="B3" s="8" t="s">
        <v>255</v>
      </c>
      <c r="C3" s="10">
        <v>42</v>
      </c>
      <c r="D3" s="8" t="s">
        <v>42</v>
      </c>
      <c r="E3" s="8" t="s">
        <v>164</v>
      </c>
      <c r="F3" s="9">
        <v>44984</v>
      </c>
    </row>
    <row r="4" spans="1:6" ht="14.25" customHeight="1" x14ac:dyDescent="0.3">
      <c r="A4" s="8" t="s">
        <v>257</v>
      </c>
      <c r="B4" s="8" t="s">
        <v>259</v>
      </c>
      <c r="C4" s="10">
        <v>33</v>
      </c>
      <c r="D4" s="8" t="s">
        <v>146</v>
      </c>
      <c r="E4" s="8" t="s">
        <v>137</v>
      </c>
      <c r="F4" s="9">
        <v>44059</v>
      </c>
    </row>
    <row r="5" spans="1:6" ht="14.25" customHeight="1" x14ac:dyDescent="0.3">
      <c r="A5" s="8" t="s">
        <v>139</v>
      </c>
      <c r="B5" s="8" t="s">
        <v>262</v>
      </c>
      <c r="C5" s="10">
        <v>53</v>
      </c>
      <c r="D5" s="8" t="s">
        <v>263</v>
      </c>
      <c r="E5" s="8" t="s">
        <v>137</v>
      </c>
      <c r="F5" s="9">
        <v>44054</v>
      </c>
    </row>
    <row r="6" spans="1:6" ht="14.25" customHeight="1" x14ac:dyDescent="0.3">
      <c r="A6" s="8" t="s">
        <v>264</v>
      </c>
      <c r="B6" s="8" t="s">
        <v>265</v>
      </c>
      <c r="C6" s="10">
        <v>52</v>
      </c>
      <c r="D6" s="8" t="s">
        <v>98</v>
      </c>
      <c r="E6" s="8" t="s">
        <v>164</v>
      </c>
      <c r="F6" s="9">
        <v>45037</v>
      </c>
    </row>
    <row r="7" spans="1:6" ht="14.25" customHeight="1" x14ac:dyDescent="0.3">
      <c r="A7" s="8" t="s">
        <v>266</v>
      </c>
      <c r="B7" s="8" t="s">
        <v>267</v>
      </c>
      <c r="C7" s="10">
        <v>44</v>
      </c>
      <c r="D7" s="8" t="s">
        <v>42</v>
      </c>
      <c r="E7" s="8" t="s">
        <v>127</v>
      </c>
      <c r="F7" s="9">
        <v>44302</v>
      </c>
    </row>
    <row r="8" spans="1:6" ht="14.25" customHeight="1" x14ac:dyDescent="0.3">
      <c r="A8" s="8" t="s">
        <v>268</v>
      </c>
      <c r="B8" s="8" t="s">
        <v>269</v>
      </c>
      <c r="C8" s="10">
        <v>47</v>
      </c>
      <c r="D8" s="8" t="s">
        <v>136</v>
      </c>
      <c r="E8" s="8" t="s">
        <v>137</v>
      </c>
      <c r="F8" s="9">
        <v>44498</v>
      </c>
    </row>
    <row r="9" spans="1:6" ht="14.25" customHeight="1" x14ac:dyDescent="0.3">
      <c r="A9" s="8" t="s">
        <v>191</v>
      </c>
      <c r="B9" s="8" t="s">
        <v>270</v>
      </c>
      <c r="C9" s="10">
        <v>39</v>
      </c>
      <c r="D9" s="8" t="s">
        <v>42</v>
      </c>
      <c r="E9" s="8" t="s">
        <v>127</v>
      </c>
      <c r="F9" s="9">
        <v>45162</v>
      </c>
    </row>
    <row r="10" spans="1:6" ht="14.25" customHeight="1" x14ac:dyDescent="0.3">
      <c r="A10" s="8" t="s">
        <v>271</v>
      </c>
      <c r="B10" s="8" t="s">
        <v>272</v>
      </c>
      <c r="C10" s="10">
        <v>61</v>
      </c>
      <c r="D10" s="8" t="s">
        <v>146</v>
      </c>
      <c r="E10" s="8" t="s">
        <v>137</v>
      </c>
      <c r="F10" s="9">
        <v>44343</v>
      </c>
    </row>
    <row r="11" spans="1:6" ht="14.25" customHeight="1" x14ac:dyDescent="0.3">
      <c r="A11" s="8" t="s">
        <v>273</v>
      </c>
      <c r="B11" s="8" t="s">
        <v>274</v>
      </c>
      <c r="C11" s="10">
        <v>61</v>
      </c>
      <c r="D11" s="8" t="s">
        <v>146</v>
      </c>
      <c r="E11" s="8" t="s">
        <v>127</v>
      </c>
      <c r="F11" s="9">
        <v>44975</v>
      </c>
    </row>
    <row r="12" spans="1:6" ht="14.25" customHeight="1" x14ac:dyDescent="0.3">
      <c r="A12" s="8" t="s">
        <v>275</v>
      </c>
      <c r="B12" s="8" t="s">
        <v>276</v>
      </c>
      <c r="C12" s="10">
        <v>41</v>
      </c>
      <c r="D12" s="8" t="s">
        <v>98</v>
      </c>
      <c r="E12" s="8" t="s">
        <v>164</v>
      </c>
      <c r="F12" s="9">
        <v>44821</v>
      </c>
    </row>
    <row r="13" spans="1:6" ht="14.25" customHeight="1" x14ac:dyDescent="0.3">
      <c r="A13" s="8" t="s">
        <v>277</v>
      </c>
      <c r="B13" s="8" t="s">
        <v>278</v>
      </c>
      <c r="C13" s="10">
        <v>43</v>
      </c>
      <c r="D13" s="8" t="s">
        <v>42</v>
      </c>
      <c r="E13" s="8" t="s">
        <v>137</v>
      </c>
      <c r="F13" s="9">
        <v>44718</v>
      </c>
    </row>
    <row r="14" spans="1:6" ht="14.25" customHeight="1" x14ac:dyDescent="0.3">
      <c r="A14" s="8" t="s">
        <v>279</v>
      </c>
      <c r="B14" s="8" t="s">
        <v>280</v>
      </c>
      <c r="C14" s="10">
        <v>41</v>
      </c>
      <c r="D14" s="8" t="s">
        <v>119</v>
      </c>
      <c r="E14" s="8" t="s">
        <v>137</v>
      </c>
      <c r="F14" s="9">
        <v>45018</v>
      </c>
    </row>
    <row r="15" spans="1:6" ht="14.25" customHeight="1" x14ac:dyDescent="0.3">
      <c r="A15" s="8" t="s">
        <v>284</v>
      </c>
      <c r="B15" s="8" t="s">
        <v>285</v>
      </c>
      <c r="C15" s="10">
        <v>48</v>
      </c>
      <c r="D15" s="8" t="s">
        <v>136</v>
      </c>
      <c r="E15" s="8" t="s">
        <v>137</v>
      </c>
      <c r="F15" s="9">
        <v>45225</v>
      </c>
    </row>
    <row r="16" spans="1:6" ht="14.25" customHeight="1" x14ac:dyDescent="0.3">
      <c r="A16" s="8" t="s">
        <v>286</v>
      </c>
      <c r="B16" s="8" t="s">
        <v>287</v>
      </c>
      <c r="C16" s="10">
        <v>31</v>
      </c>
      <c r="D16" s="8" t="s">
        <v>98</v>
      </c>
      <c r="E16" s="8" t="s">
        <v>137</v>
      </c>
      <c r="F16" s="9">
        <v>44654</v>
      </c>
    </row>
    <row r="17" spans="1:6" ht="14.25" customHeight="1" x14ac:dyDescent="0.3">
      <c r="A17" s="8" t="s">
        <v>288</v>
      </c>
      <c r="B17" s="8" t="s">
        <v>289</v>
      </c>
      <c r="C17" s="10">
        <v>26</v>
      </c>
      <c r="D17" s="8" t="s">
        <v>119</v>
      </c>
      <c r="E17" s="8" t="s">
        <v>127</v>
      </c>
      <c r="F17" s="9">
        <v>45196</v>
      </c>
    </row>
    <row r="18" spans="1:6" ht="14.25" customHeight="1" x14ac:dyDescent="0.3">
      <c r="A18" s="8" t="s">
        <v>290</v>
      </c>
      <c r="B18" s="8" t="s">
        <v>291</v>
      </c>
      <c r="C18" s="10">
        <v>38</v>
      </c>
      <c r="D18" s="8" t="s">
        <v>119</v>
      </c>
      <c r="E18" s="8" t="s">
        <v>127</v>
      </c>
      <c r="F18" s="9">
        <v>44752</v>
      </c>
    </row>
    <row r="19" spans="1:6" ht="14.25" customHeight="1" x14ac:dyDescent="0.3">
      <c r="A19" s="8" t="s">
        <v>292</v>
      </c>
      <c r="B19" s="8" t="s">
        <v>293</v>
      </c>
      <c r="C19" s="10">
        <v>54</v>
      </c>
      <c r="D19" s="8" t="s">
        <v>42</v>
      </c>
      <c r="E19" s="8" t="s">
        <v>127</v>
      </c>
      <c r="F19" s="9">
        <v>43968</v>
      </c>
    </row>
    <row r="20" spans="1:6" ht="14.25" customHeight="1" x14ac:dyDescent="0.3">
      <c r="A20" s="8" t="s">
        <v>294</v>
      </c>
      <c r="B20" s="8" t="s">
        <v>295</v>
      </c>
      <c r="C20" s="10">
        <v>22</v>
      </c>
      <c r="D20" s="8" t="s">
        <v>98</v>
      </c>
      <c r="E20" s="8" t="s">
        <v>137</v>
      </c>
      <c r="F20" s="9">
        <v>44375</v>
      </c>
    </row>
    <row r="21" spans="1:6" ht="14.25" customHeight="1" x14ac:dyDescent="0.3">
      <c r="A21" s="8" t="s">
        <v>296</v>
      </c>
      <c r="B21" s="8" t="s">
        <v>297</v>
      </c>
      <c r="C21" s="10">
        <v>46</v>
      </c>
      <c r="D21" s="8" t="s">
        <v>178</v>
      </c>
      <c r="E21" s="8" t="s">
        <v>137</v>
      </c>
      <c r="F21" s="9">
        <v>43835</v>
      </c>
    </row>
    <row r="22" spans="1:6" ht="14.25" customHeight="1" x14ac:dyDescent="0.3">
      <c r="A22" s="8" t="s">
        <v>300</v>
      </c>
      <c r="B22" s="8" t="s">
        <v>265</v>
      </c>
      <c r="C22" s="10">
        <v>44</v>
      </c>
      <c r="D22" s="8" t="s">
        <v>42</v>
      </c>
      <c r="E22" s="8" t="s">
        <v>137</v>
      </c>
      <c r="F22" s="9">
        <v>44130</v>
      </c>
    </row>
    <row r="23" spans="1:6" ht="14.25" customHeight="1" x14ac:dyDescent="0.3">
      <c r="A23" s="8" t="s">
        <v>302</v>
      </c>
      <c r="B23" s="8" t="s">
        <v>303</v>
      </c>
      <c r="C23" s="10">
        <v>55</v>
      </c>
      <c r="D23" s="8" t="s">
        <v>136</v>
      </c>
      <c r="E23" s="8" t="s">
        <v>164</v>
      </c>
      <c r="F23" s="9">
        <v>44787</v>
      </c>
    </row>
    <row r="24" spans="1:6" ht="14.25" customHeight="1" x14ac:dyDescent="0.3">
      <c r="A24" s="8" t="s">
        <v>304</v>
      </c>
      <c r="B24" s="8" t="s">
        <v>305</v>
      </c>
      <c r="C24" s="10">
        <v>43</v>
      </c>
      <c r="D24" s="8" t="s">
        <v>98</v>
      </c>
      <c r="E24" s="8" t="s">
        <v>127</v>
      </c>
      <c r="F24" s="9">
        <v>44403</v>
      </c>
    </row>
    <row r="25" spans="1:6" ht="14.25" customHeight="1" x14ac:dyDescent="0.3">
      <c r="A25" s="8" t="s">
        <v>306</v>
      </c>
      <c r="B25" s="8" t="s">
        <v>307</v>
      </c>
      <c r="C25" s="10">
        <v>64</v>
      </c>
      <c r="D25" s="8" t="s">
        <v>308</v>
      </c>
      <c r="E25" s="8" t="s">
        <v>127</v>
      </c>
      <c r="F25" s="9">
        <v>44495</v>
      </c>
    </row>
    <row r="26" spans="1:6" ht="14.25" customHeight="1" x14ac:dyDescent="0.3">
      <c r="A26" s="8" t="s">
        <v>309</v>
      </c>
      <c r="B26" s="8" t="s">
        <v>310</v>
      </c>
      <c r="C26" s="10">
        <v>23</v>
      </c>
      <c r="D26" s="8" t="s">
        <v>136</v>
      </c>
      <c r="E26" s="8" t="s">
        <v>137</v>
      </c>
      <c r="F26" s="9">
        <v>44536</v>
      </c>
    </row>
    <row r="27" spans="1:6" ht="14.25" customHeight="1" x14ac:dyDescent="0.3">
      <c r="A27" s="8" t="s">
        <v>312</v>
      </c>
      <c r="B27" s="8" t="s">
        <v>313</v>
      </c>
      <c r="C27" s="10">
        <v>62</v>
      </c>
      <c r="D27" s="8" t="s">
        <v>42</v>
      </c>
      <c r="E27" s="8" t="s">
        <v>137</v>
      </c>
      <c r="F27" s="9">
        <v>43898</v>
      </c>
    </row>
    <row r="28" spans="1:6" ht="14.25" customHeight="1" x14ac:dyDescent="0.3">
      <c r="A28" s="8" t="s">
        <v>314</v>
      </c>
      <c r="B28" s="8" t="s">
        <v>315</v>
      </c>
      <c r="C28" s="10">
        <v>52</v>
      </c>
      <c r="D28" s="8" t="s">
        <v>178</v>
      </c>
      <c r="E28" s="8" t="s">
        <v>164</v>
      </c>
      <c r="F28" s="9">
        <v>45201</v>
      </c>
    </row>
    <row r="29" spans="1:6" ht="14.25" customHeight="1" x14ac:dyDescent="0.3">
      <c r="A29" s="8" t="s">
        <v>317</v>
      </c>
      <c r="B29" s="8" t="s">
        <v>318</v>
      </c>
      <c r="C29" s="10">
        <v>59</v>
      </c>
      <c r="D29" s="8" t="s">
        <v>136</v>
      </c>
      <c r="E29" s="8" t="s">
        <v>137</v>
      </c>
      <c r="F29" s="9">
        <v>44686</v>
      </c>
    </row>
    <row r="30" spans="1:6" ht="14.25" customHeight="1" x14ac:dyDescent="0.3">
      <c r="A30" s="8" t="s">
        <v>322</v>
      </c>
      <c r="B30" s="8" t="s">
        <v>323</v>
      </c>
      <c r="C30" s="10">
        <v>54</v>
      </c>
      <c r="D30" s="8" t="s">
        <v>98</v>
      </c>
      <c r="E30" s="8" t="s">
        <v>164</v>
      </c>
      <c r="F30" s="9">
        <v>44930</v>
      </c>
    </row>
    <row r="31" spans="1:6" ht="14.25" customHeight="1" x14ac:dyDescent="0.3">
      <c r="A31" s="8" t="s">
        <v>324</v>
      </c>
      <c r="B31" s="8" t="s">
        <v>325</v>
      </c>
      <c r="C31" s="10">
        <v>43</v>
      </c>
      <c r="D31" s="8" t="s">
        <v>136</v>
      </c>
      <c r="E31" s="8" t="s">
        <v>164</v>
      </c>
      <c r="F31" s="9">
        <v>44151</v>
      </c>
    </row>
    <row r="32" spans="1:6" ht="14.25" customHeight="1" x14ac:dyDescent="0.3">
      <c r="A32" s="8" t="s">
        <v>326</v>
      </c>
      <c r="B32" s="8" t="s">
        <v>327</v>
      </c>
      <c r="C32" s="10">
        <v>53</v>
      </c>
      <c r="D32" s="8" t="s">
        <v>178</v>
      </c>
      <c r="E32" s="8" t="s">
        <v>137</v>
      </c>
      <c r="F32" s="9">
        <v>44599</v>
      </c>
    </row>
    <row r="33" spans="1:6" ht="14.25" customHeight="1" x14ac:dyDescent="0.3">
      <c r="A33" s="8" t="s">
        <v>328</v>
      </c>
      <c r="B33" s="8" t="s">
        <v>329</v>
      </c>
      <c r="C33" s="10">
        <v>28</v>
      </c>
      <c r="D33" s="8" t="s">
        <v>178</v>
      </c>
      <c r="E33" s="8" t="s">
        <v>137</v>
      </c>
      <c r="F33" s="9">
        <v>43908</v>
      </c>
    </row>
    <row r="34" spans="1:6" ht="14.25" customHeight="1" x14ac:dyDescent="0.3">
      <c r="A34" s="8" t="s">
        <v>330</v>
      </c>
      <c r="B34" s="8" t="s">
        <v>331</v>
      </c>
      <c r="C34" s="10">
        <v>35</v>
      </c>
      <c r="D34" s="8" t="s">
        <v>119</v>
      </c>
      <c r="E34" s="8" t="s">
        <v>137</v>
      </c>
      <c r="F34" s="9">
        <v>44830</v>
      </c>
    </row>
    <row r="35" spans="1:6" ht="14.25" customHeight="1" x14ac:dyDescent="0.3">
      <c r="A35" s="8" t="s">
        <v>332</v>
      </c>
      <c r="B35" s="8" t="s">
        <v>333</v>
      </c>
      <c r="C35" s="10">
        <v>47</v>
      </c>
      <c r="D35" s="8" t="s">
        <v>119</v>
      </c>
      <c r="E35" s="8" t="s">
        <v>137</v>
      </c>
      <c r="F35" s="9">
        <v>44182</v>
      </c>
    </row>
    <row r="36" spans="1:6" ht="14.25" customHeight="1" x14ac:dyDescent="0.3">
      <c r="A36" s="8" t="s">
        <v>334</v>
      </c>
      <c r="B36" s="8" t="s">
        <v>335</v>
      </c>
      <c r="C36" s="10">
        <v>53</v>
      </c>
      <c r="D36" s="8" t="s">
        <v>178</v>
      </c>
      <c r="E36" s="8" t="s">
        <v>137</v>
      </c>
      <c r="F36" s="9">
        <v>44532</v>
      </c>
    </row>
    <row r="37" spans="1:6" ht="14.25" customHeight="1" x14ac:dyDescent="0.3">
      <c r="A37" s="8" t="s">
        <v>337</v>
      </c>
      <c r="B37" s="8" t="s">
        <v>339</v>
      </c>
      <c r="C37" s="10">
        <v>35</v>
      </c>
      <c r="D37" s="8" t="s">
        <v>146</v>
      </c>
      <c r="E37" s="8" t="s">
        <v>137</v>
      </c>
      <c r="F37" s="9">
        <v>44617</v>
      </c>
    </row>
    <row r="38" spans="1:6" ht="14.25" customHeight="1" x14ac:dyDescent="0.3">
      <c r="A38" s="8" t="s">
        <v>340</v>
      </c>
      <c r="B38" s="8" t="s">
        <v>341</v>
      </c>
      <c r="C38" s="10">
        <v>52</v>
      </c>
      <c r="D38" s="8" t="s">
        <v>136</v>
      </c>
      <c r="E38" s="8" t="s">
        <v>137</v>
      </c>
      <c r="F38" s="9">
        <v>44468</v>
      </c>
    </row>
    <row r="39" spans="1:6" ht="14.25" customHeight="1" x14ac:dyDescent="0.3">
      <c r="A39" s="8" t="s">
        <v>342</v>
      </c>
      <c r="B39" s="8" t="s">
        <v>343</v>
      </c>
      <c r="C39" s="10">
        <v>57</v>
      </c>
      <c r="D39" s="8" t="s">
        <v>146</v>
      </c>
      <c r="E39" s="8" t="s">
        <v>137</v>
      </c>
      <c r="F39" s="9">
        <v>43843</v>
      </c>
    </row>
    <row r="40" spans="1:6" ht="14.25" customHeight="1" x14ac:dyDescent="0.3">
      <c r="A40" s="8" t="s">
        <v>344</v>
      </c>
      <c r="B40" s="8" t="s">
        <v>345</v>
      </c>
      <c r="C40" s="10">
        <v>37</v>
      </c>
      <c r="D40" s="8" t="s">
        <v>136</v>
      </c>
      <c r="E40" s="8" t="s">
        <v>137</v>
      </c>
      <c r="F40" s="9">
        <v>43989</v>
      </c>
    </row>
    <row r="41" spans="1:6" ht="14.25" customHeight="1" x14ac:dyDescent="0.3">
      <c r="A41" s="8" t="s">
        <v>346</v>
      </c>
      <c r="B41" s="8" t="s">
        <v>347</v>
      </c>
      <c r="C41" s="10">
        <v>28</v>
      </c>
      <c r="D41" s="8" t="s">
        <v>98</v>
      </c>
      <c r="E41" s="8" t="s">
        <v>137</v>
      </c>
      <c r="F41" s="9">
        <v>44625</v>
      </c>
    </row>
    <row r="42" spans="1:6" ht="14.25" customHeight="1" x14ac:dyDescent="0.3">
      <c r="A42" s="8" t="s">
        <v>349</v>
      </c>
      <c r="B42" s="8" t="s">
        <v>350</v>
      </c>
      <c r="C42" s="10">
        <v>26</v>
      </c>
      <c r="D42" s="8" t="s">
        <v>136</v>
      </c>
      <c r="E42" s="8" t="s">
        <v>127</v>
      </c>
      <c r="F42" s="9">
        <v>43895</v>
      </c>
    </row>
    <row r="43" spans="1:6" ht="14.25" customHeight="1" x14ac:dyDescent="0.3">
      <c r="A43" s="8" t="s">
        <v>351</v>
      </c>
      <c r="B43" s="8" t="s">
        <v>352</v>
      </c>
      <c r="C43" s="10">
        <v>25</v>
      </c>
      <c r="D43" s="8" t="s">
        <v>42</v>
      </c>
      <c r="E43" s="8" t="s">
        <v>137</v>
      </c>
      <c r="F43" s="9">
        <v>43843</v>
      </c>
    </row>
    <row r="44" spans="1:6" ht="14.25" customHeight="1" x14ac:dyDescent="0.3">
      <c r="A44" s="8" t="s">
        <v>354</v>
      </c>
      <c r="B44" s="8" t="s">
        <v>356</v>
      </c>
      <c r="C44" s="10">
        <v>61</v>
      </c>
      <c r="D44" s="8" t="s">
        <v>178</v>
      </c>
      <c r="E44" s="8" t="s">
        <v>137</v>
      </c>
      <c r="F44" s="9">
        <v>44553</v>
      </c>
    </row>
    <row r="45" spans="1:6" ht="14.25" customHeight="1" x14ac:dyDescent="0.3">
      <c r="A45" s="8" t="s">
        <v>235</v>
      </c>
      <c r="B45" s="8" t="s">
        <v>358</v>
      </c>
      <c r="C45" s="10">
        <v>29</v>
      </c>
      <c r="D45" s="8" t="s">
        <v>178</v>
      </c>
      <c r="E45" s="8" t="s">
        <v>127</v>
      </c>
      <c r="F45" s="9">
        <v>45084</v>
      </c>
    </row>
    <row r="46" spans="1:6" ht="14.25" customHeight="1" x14ac:dyDescent="0.3">
      <c r="A46" s="8" t="s">
        <v>359</v>
      </c>
      <c r="B46" s="8" t="s">
        <v>360</v>
      </c>
      <c r="C46" s="10">
        <v>39</v>
      </c>
      <c r="D46" s="8" t="s">
        <v>98</v>
      </c>
      <c r="E46" s="8" t="s">
        <v>127</v>
      </c>
      <c r="F46" s="9">
        <v>45156</v>
      </c>
    </row>
    <row r="47" spans="1:6" ht="14.25" customHeight="1" x14ac:dyDescent="0.3">
      <c r="A47" s="8" t="s">
        <v>361</v>
      </c>
      <c r="B47" s="8" t="s">
        <v>362</v>
      </c>
      <c r="C47" s="10">
        <v>45</v>
      </c>
      <c r="D47" s="8" t="s">
        <v>119</v>
      </c>
      <c r="E47" s="8" t="s">
        <v>127</v>
      </c>
      <c r="F47" s="9">
        <v>45144</v>
      </c>
    </row>
    <row r="48" spans="1:6" ht="14.25" customHeight="1" x14ac:dyDescent="0.3">
      <c r="A48" s="8" t="s">
        <v>363</v>
      </c>
      <c r="B48" s="8" t="s">
        <v>364</v>
      </c>
      <c r="C48" s="10">
        <v>49</v>
      </c>
      <c r="D48" s="8" t="s">
        <v>42</v>
      </c>
      <c r="E48" s="8" t="s">
        <v>137</v>
      </c>
      <c r="F48" s="9">
        <v>44066</v>
      </c>
    </row>
    <row r="49" spans="1:6" ht="14.25" customHeight="1" x14ac:dyDescent="0.3">
      <c r="A49" s="8" t="s">
        <v>365</v>
      </c>
      <c r="B49" s="8" t="s">
        <v>366</v>
      </c>
      <c r="C49" s="10">
        <v>59</v>
      </c>
      <c r="D49" s="8" t="s">
        <v>119</v>
      </c>
      <c r="E49" s="8" t="s">
        <v>137</v>
      </c>
      <c r="F49" s="9">
        <v>44479</v>
      </c>
    </row>
    <row r="50" spans="1:6" ht="14.25" customHeight="1" x14ac:dyDescent="0.3">
      <c r="A50" s="8" t="s">
        <v>367</v>
      </c>
      <c r="B50" s="8" t="s">
        <v>368</v>
      </c>
      <c r="C50" s="10">
        <v>42</v>
      </c>
      <c r="D50" s="8" t="s">
        <v>146</v>
      </c>
      <c r="E50" s="8" t="s">
        <v>164</v>
      </c>
      <c r="F50" s="9">
        <v>45116</v>
      </c>
    </row>
    <row r="51" spans="1:6" ht="14.25" customHeight="1" x14ac:dyDescent="0.3">
      <c r="A51" s="8" t="s">
        <v>369</v>
      </c>
      <c r="B51" s="8" t="s">
        <v>370</v>
      </c>
      <c r="C51" s="10">
        <v>37</v>
      </c>
      <c r="D51" s="8" t="s">
        <v>146</v>
      </c>
      <c r="E51" s="8" t="s">
        <v>137</v>
      </c>
      <c r="F51" s="9">
        <v>43967</v>
      </c>
    </row>
    <row r="52" spans="1:6" ht="14.25" customHeight="1" x14ac:dyDescent="0.3">
      <c r="A52" s="8" t="s">
        <v>372</v>
      </c>
      <c r="B52" s="8" t="s">
        <v>373</v>
      </c>
      <c r="C52" s="10">
        <v>54</v>
      </c>
      <c r="D52" s="8" t="s">
        <v>42</v>
      </c>
      <c r="E52" s="8" t="s">
        <v>127</v>
      </c>
      <c r="F52" s="9">
        <v>44613</v>
      </c>
    </row>
    <row r="53" spans="1:6" ht="14.25" customHeight="1" x14ac:dyDescent="0.3">
      <c r="A53" s="8" t="s">
        <v>198</v>
      </c>
      <c r="B53" s="8" t="s">
        <v>375</v>
      </c>
      <c r="C53" s="10">
        <v>38</v>
      </c>
      <c r="D53" s="8" t="s">
        <v>42</v>
      </c>
      <c r="E53" s="8" t="s">
        <v>137</v>
      </c>
      <c r="F53" s="9">
        <v>44209</v>
      </c>
    </row>
    <row r="54" spans="1:6" ht="14.25" customHeight="1" x14ac:dyDescent="0.3">
      <c r="A54" s="8" t="s">
        <v>377</v>
      </c>
      <c r="B54" s="8" t="s">
        <v>378</v>
      </c>
      <c r="C54" s="10">
        <v>53</v>
      </c>
      <c r="D54" s="8" t="s">
        <v>119</v>
      </c>
      <c r="E54" s="8" t="s">
        <v>137</v>
      </c>
      <c r="F54" s="9">
        <v>44288</v>
      </c>
    </row>
    <row r="55" spans="1:6" ht="14.25" customHeight="1" x14ac:dyDescent="0.3">
      <c r="A55" s="8" t="s">
        <v>379</v>
      </c>
      <c r="B55" s="8" t="s">
        <v>380</v>
      </c>
      <c r="C55" s="10">
        <v>62</v>
      </c>
      <c r="D55" s="8" t="s">
        <v>146</v>
      </c>
      <c r="E55" s="8" t="s">
        <v>164</v>
      </c>
      <c r="F55" s="9">
        <v>44482</v>
      </c>
    </row>
    <row r="56" spans="1:6" ht="14.25" customHeight="1" x14ac:dyDescent="0.3">
      <c r="A56" s="8" t="s">
        <v>382</v>
      </c>
      <c r="B56" s="8" t="s">
        <v>383</v>
      </c>
      <c r="C56" s="10">
        <v>34</v>
      </c>
      <c r="D56" s="8" t="s">
        <v>136</v>
      </c>
      <c r="E56" s="8" t="s">
        <v>137</v>
      </c>
      <c r="F56" s="9">
        <v>44753</v>
      </c>
    </row>
    <row r="57" spans="1:6" ht="14.25" customHeight="1" x14ac:dyDescent="0.3">
      <c r="A57" s="8" t="s">
        <v>207</v>
      </c>
      <c r="B57" s="8" t="s">
        <v>253</v>
      </c>
      <c r="C57" s="10">
        <v>46</v>
      </c>
      <c r="D57" s="8" t="s">
        <v>136</v>
      </c>
      <c r="E57" s="8" t="s">
        <v>127</v>
      </c>
      <c r="F57" s="9">
        <v>45202</v>
      </c>
    </row>
    <row r="58" spans="1:6" ht="14.25" customHeight="1" x14ac:dyDescent="0.3">
      <c r="A58" s="8" t="s">
        <v>385</v>
      </c>
      <c r="B58" s="8" t="s">
        <v>386</v>
      </c>
      <c r="C58" s="10">
        <v>35</v>
      </c>
      <c r="D58" s="8" t="s">
        <v>42</v>
      </c>
      <c r="E58" s="8" t="s">
        <v>137</v>
      </c>
      <c r="F58" s="9">
        <v>43917</v>
      </c>
    </row>
    <row r="59" spans="1:6" ht="14.25" customHeight="1" x14ac:dyDescent="0.3">
      <c r="A59" s="8" t="s">
        <v>388</v>
      </c>
      <c r="B59" s="8" t="s">
        <v>390</v>
      </c>
      <c r="C59" s="10">
        <v>49</v>
      </c>
      <c r="D59" s="8" t="s">
        <v>136</v>
      </c>
      <c r="E59" s="8" t="s">
        <v>127</v>
      </c>
      <c r="F59" s="9">
        <v>44471</v>
      </c>
    </row>
    <row r="60" spans="1:6" ht="14.25" customHeight="1" x14ac:dyDescent="0.3">
      <c r="A60" s="8" t="s">
        <v>391</v>
      </c>
      <c r="B60" s="8" t="s">
        <v>392</v>
      </c>
      <c r="C60" s="10">
        <v>29</v>
      </c>
      <c r="D60" s="8" t="s">
        <v>42</v>
      </c>
      <c r="E60" s="8" t="s">
        <v>164</v>
      </c>
      <c r="F60" s="9">
        <v>44796</v>
      </c>
    </row>
    <row r="61" spans="1:6" ht="14.25" customHeight="1" x14ac:dyDescent="0.3">
      <c r="A61" s="8" t="s">
        <v>393</v>
      </c>
      <c r="B61" s="8" t="s">
        <v>394</v>
      </c>
      <c r="C61" s="10">
        <v>39</v>
      </c>
      <c r="D61" s="8" t="s">
        <v>42</v>
      </c>
      <c r="E61" s="8" t="s">
        <v>137</v>
      </c>
      <c r="F61" s="9">
        <v>43897</v>
      </c>
    </row>
    <row r="62" spans="1:6" ht="14.25" customHeight="1" x14ac:dyDescent="0.3">
      <c r="A62" s="8" t="s">
        <v>395</v>
      </c>
      <c r="B62" s="8" t="s">
        <v>396</v>
      </c>
      <c r="C62" s="10">
        <v>64</v>
      </c>
      <c r="D62" s="8" t="s">
        <v>178</v>
      </c>
      <c r="E62" s="8" t="s">
        <v>137</v>
      </c>
      <c r="F62" s="9">
        <v>43971</v>
      </c>
    </row>
    <row r="63" spans="1:6" ht="14.25" customHeight="1" x14ac:dyDescent="0.3">
      <c r="A63" s="8" t="s">
        <v>397</v>
      </c>
      <c r="B63" s="8" t="s">
        <v>398</v>
      </c>
      <c r="C63" s="10">
        <v>54</v>
      </c>
      <c r="D63" s="8" t="s">
        <v>42</v>
      </c>
      <c r="E63" s="8" t="s">
        <v>137</v>
      </c>
      <c r="F63" s="9">
        <v>45016</v>
      </c>
    </row>
    <row r="64" spans="1:6" ht="14.25" customHeight="1" x14ac:dyDescent="0.3">
      <c r="A64" s="8" t="s">
        <v>399</v>
      </c>
      <c r="B64" s="8" t="s">
        <v>400</v>
      </c>
      <c r="C64" s="10">
        <v>53</v>
      </c>
      <c r="D64" s="8" t="s">
        <v>146</v>
      </c>
      <c r="E64" s="8" t="s">
        <v>127</v>
      </c>
      <c r="F64" s="9">
        <v>44008</v>
      </c>
    </row>
    <row r="65" spans="1:6" ht="14.25" customHeight="1" x14ac:dyDescent="0.3">
      <c r="A65" s="8" t="s">
        <v>401</v>
      </c>
      <c r="B65" s="8" t="s">
        <v>402</v>
      </c>
      <c r="C65" s="10">
        <v>40</v>
      </c>
      <c r="D65" s="8" t="s">
        <v>178</v>
      </c>
      <c r="E65" s="8" t="s">
        <v>127</v>
      </c>
      <c r="F65" s="9">
        <v>45070</v>
      </c>
    </row>
    <row r="66" spans="1:6" ht="14.25" customHeight="1" x14ac:dyDescent="0.3">
      <c r="A66" s="8" t="s">
        <v>403</v>
      </c>
      <c r="B66" s="8" t="s">
        <v>404</v>
      </c>
      <c r="C66" s="10">
        <v>49</v>
      </c>
      <c r="D66" s="8" t="s">
        <v>98</v>
      </c>
      <c r="E66" s="8" t="s">
        <v>164</v>
      </c>
      <c r="F66" s="9">
        <v>44543</v>
      </c>
    </row>
    <row r="67" spans="1:6" ht="14.25" customHeight="1" x14ac:dyDescent="0.3">
      <c r="A67" s="8" t="s">
        <v>244</v>
      </c>
      <c r="B67" s="8" t="s">
        <v>405</v>
      </c>
      <c r="C67" s="10">
        <v>24</v>
      </c>
      <c r="D67" s="8" t="s">
        <v>119</v>
      </c>
      <c r="E67" s="8" t="s">
        <v>137</v>
      </c>
      <c r="F67" s="9">
        <v>44851</v>
      </c>
    </row>
    <row r="68" spans="1:6" ht="14.25" customHeight="1" x14ac:dyDescent="0.3">
      <c r="A68" s="8" t="s">
        <v>406</v>
      </c>
      <c r="B68" s="8" t="s">
        <v>407</v>
      </c>
      <c r="C68" s="10">
        <v>59</v>
      </c>
      <c r="D68" s="8" t="s">
        <v>119</v>
      </c>
      <c r="E68" s="8" t="s">
        <v>127</v>
      </c>
      <c r="F68" s="9">
        <v>44020</v>
      </c>
    </row>
    <row r="69" spans="1:6" ht="14.25" customHeight="1" x14ac:dyDescent="0.3">
      <c r="A69" s="8" t="s">
        <v>408</v>
      </c>
      <c r="B69" s="8" t="s">
        <v>409</v>
      </c>
      <c r="C69" s="10">
        <v>48</v>
      </c>
      <c r="D69" s="8" t="s">
        <v>119</v>
      </c>
      <c r="E69" s="8" t="s">
        <v>127</v>
      </c>
      <c r="F69" s="9">
        <v>44553</v>
      </c>
    </row>
    <row r="70" spans="1:6" ht="14.25" customHeight="1" x14ac:dyDescent="0.3">
      <c r="A70" s="8" t="s">
        <v>410</v>
      </c>
      <c r="B70" s="8" t="s">
        <v>411</v>
      </c>
      <c r="C70" s="10">
        <v>51</v>
      </c>
      <c r="D70" s="8" t="s">
        <v>98</v>
      </c>
      <c r="E70" s="8" t="s">
        <v>137</v>
      </c>
      <c r="F70" s="9">
        <v>43906</v>
      </c>
    </row>
    <row r="71" spans="1:6" ht="14.25" customHeight="1" x14ac:dyDescent="0.3">
      <c r="A71" s="8" t="s">
        <v>413</v>
      </c>
      <c r="B71" s="8" t="s">
        <v>414</v>
      </c>
      <c r="C71" s="10">
        <v>42</v>
      </c>
      <c r="D71" s="8" t="s">
        <v>146</v>
      </c>
      <c r="E71" s="8" t="s">
        <v>137</v>
      </c>
      <c r="F71" s="9">
        <v>44568</v>
      </c>
    </row>
    <row r="72" spans="1:6" ht="14.25" customHeight="1" x14ac:dyDescent="0.3">
      <c r="A72" s="8" t="s">
        <v>123</v>
      </c>
      <c r="B72" s="8" t="s">
        <v>415</v>
      </c>
      <c r="C72" s="10">
        <v>46</v>
      </c>
      <c r="D72" s="8" t="s">
        <v>119</v>
      </c>
      <c r="E72" s="8" t="s">
        <v>164</v>
      </c>
      <c r="F72" s="9">
        <v>44574</v>
      </c>
    </row>
    <row r="73" spans="1:6" ht="14.25" customHeight="1" x14ac:dyDescent="0.3">
      <c r="A73" s="8" t="s">
        <v>416</v>
      </c>
      <c r="B73" s="8" t="s">
        <v>417</v>
      </c>
      <c r="C73" s="10">
        <v>62</v>
      </c>
      <c r="D73" s="8" t="s">
        <v>146</v>
      </c>
      <c r="E73" s="8" t="s">
        <v>164</v>
      </c>
      <c r="F73" s="9">
        <v>44301</v>
      </c>
    </row>
    <row r="74" spans="1:6" ht="14.25" customHeight="1" x14ac:dyDescent="0.3">
      <c r="A74" s="8" t="s">
        <v>418</v>
      </c>
      <c r="B74" s="8" t="s">
        <v>419</v>
      </c>
      <c r="C74" s="10">
        <v>40</v>
      </c>
      <c r="D74" s="8" t="s">
        <v>42</v>
      </c>
      <c r="E74" s="8" t="s">
        <v>164</v>
      </c>
      <c r="F74" s="9">
        <v>45190</v>
      </c>
    </row>
    <row r="75" spans="1:6" ht="14.25" customHeight="1" x14ac:dyDescent="0.3">
      <c r="A75" s="8" t="s">
        <v>130</v>
      </c>
      <c r="B75" s="8" t="s">
        <v>421</v>
      </c>
      <c r="C75" s="10">
        <v>27</v>
      </c>
      <c r="D75" s="8" t="s">
        <v>136</v>
      </c>
      <c r="E75" s="8" t="s">
        <v>137</v>
      </c>
      <c r="F75" s="9">
        <v>45100</v>
      </c>
    </row>
    <row r="76" spans="1:6" ht="14.25" customHeight="1" x14ac:dyDescent="0.3">
      <c r="A76" s="8" t="s">
        <v>422</v>
      </c>
      <c r="B76" s="8" t="s">
        <v>423</v>
      </c>
      <c r="C76" s="10">
        <v>55</v>
      </c>
      <c r="D76" s="8" t="s">
        <v>146</v>
      </c>
      <c r="E76" s="8" t="s">
        <v>164</v>
      </c>
      <c r="F76" s="9">
        <v>43973</v>
      </c>
    </row>
    <row r="77" spans="1:6" ht="14.25" customHeight="1" x14ac:dyDescent="0.3">
      <c r="A77" s="8" t="s">
        <v>425</v>
      </c>
      <c r="B77" s="8" t="s">
        <v>426</v>
      </c>
      <c r="C77" s="10">
        <v>38</v>
      </c>
      <c r="D77" s="8" t="s">
        <v>146</v>
      </c>
      <c r="E77" s="8" t="s">
        <v>137</v>
      </c>
      <c r="F77" s="9">
        <v>43964</v>
      </c>
    </row>
    <row r="78" spans="1:6" ht="14.25" customHeight="1" x14ac:dyDescent="0.3">
      <c r="A78" s="8" t="s">
        <v>428</v>
      </c>
      <c r="B78" s="8" t="s">
        <v>429</v>
      </c>
      <c r="C78" s="10">
        <v>48</v>
      </c>
      <c r="D78" s="8" t="s">
        <v>178</v>
      </c>
      <c r="E78" s="8" t="s">
        <v>127</v>
      </c>
      <c r="F78" s="9">
        <v>44443</v>
      </c>
    </row>
    <row r="79" spans="1:6" ht="14.25" customHeight="1" x14ac:dyDescent="0.3">
      <c r="A79" s="8" t="s">
        <v>203</v>
      </c>
      <c r="B79" s="8" t="s">
        <v>430</v>
      </c>
      <c r="C79" s="10">
        <v>31</v>
      </c>
      <c r="D79" s="8" t="s">
        <v>119</v>
      </c>
      <c r="E79" s="8" t="s">
        <v>137</v>
      </c>
      <c r="F79" s="9">
        <v>45133</v>
      </c>
    </row>
    <row r="80" spans="1:6" ht="14.25" customHeight="1" x14ac:dyDescent="0.3">
      <c r="A80" s="8" t="s">
        <v>431</v>
      </c>
      <c r="B80" s="8" t="s">
        <v>432</v>
      </c>
      <c r="C80" s="10">
        <v>60</v>
      </c>
      <c r="D80" s="8" t="s">
        <v>146</v>
      </c>
      <c r="E80" s="8" t="s">
        <v>164</v>
      </c>
      <c r="F80" s="9">
        <v>44271</v>
      </c>
    </row>
    <row r="81" spans="1:6" ht="14.25" customHeight="1" x14ac:dyDescent="0.3">
      <c r="A81" s="8" t="s">
        <v>433</v>
      </c>
      <c r="B81" s="8" t="s">
        <v>434</v>
      </c>
      <c r="C81" s="10">
        <v>30</v>
      </c>
      <c r="D81" s="8" t="s">
        <v>42</v>
      </c>
      <c r="E81" s="8" t="s">
        <v>127</v>
      </c>
      <c r="F81" s="9">
        <v>43901</v>
      </c>
    </row>
    <row r="82" spans="1:6" ht="14.25" customHeight="1" x14ac:dyDescent="0.3">
      <c r="A82" s="8" t="s">
        <v>435</v>
      </c>
      <c r="B82" s="8" t="s">
        <v>436</v>
      </c>
      <c r="C82" s="10">
        <v>25</v>
      </c>
      <c r="D82" s="8" t="s">
        <v>146</v>
      </c>
      <c r="E82" s="8" t="s">
        <v>137</v>
      </c>
      <c r="F82" s="9">
        <v>44331</v>
      </c>
    </row>
    <row r="83" spans="1:6" ht="14.25" customHeight="1" x14ac:dyDescent="0.3">
      <c r="A83" s="8" t="s">
        <v>437</v>
      </c>
      <c r="B83" s="8" t="s">
        <v>438</v>
      </c>
      <c r="C83" s="10">
        <v>36</v>
      </c>
      <c r="D83" s="8" t="s">
        <v>178</v>
      </c>
      <c r="E83" s="8" t="s">
        <v>127</v>
      </c>
      <c r="F83" s="9">
        <v>44152</v>
      </c>
    </row>
    <row r="84" spans="1:6" ht="14.25" customHeight="1" x14ac:dyDescent="0.3">
      <c r="A84" s="8" t="s">
        <v>353</v>
      </c>
      <c r="B84" s="8" t="s">
        <v>439</v>
      </c>
      <c r="C84" s="10">
        <v>31</v>
      </c>
      <c r="D84" s="8" t="s">
        <v>136</v>
      </c>
      <c r="E84" s="8" t="s">
        <v>164</v>
      </c>
      <c r="F84" s="9">
        <v>44248</v>
      </c>
    </row>
    <row r="85" spans="1:6" ht="14.25" customHeight="1" x14ac:dyDescent="0.3">
      <c r="A85" s="8" t="s">
        <v>440</v>
      </c>
      <c r="B85" s="8" t="s">
        <v>441</v>
      </c>
      <c r="C85" s="10">
        <v>28</v>
      </c>
      <c r="D85" s="8" t="s">
        <v>98</v>
      </c>
      <c r="E85" s="8" t="s">
        <v>137</v>
      </c>
      <c r="F85" s="9">
        <v>44116</v>
      </c>
    </row>
    <row r="86" spans="1:6" ht="14.25" customHeight="1" x14ac:dyDescent="0.3">
      <c r="A86" s="8" t="s">
        <v>442</v>
      </c>
      <c r="B86" s="8" t="s">
        <v>443</v>
      </c>
      <c r="C86" s="10">
        <v>26</v>
      </c>
      <c r="D86" s="8" t="s">
        <v>98</v>
      </c>
      <c r="E86" s="8" t="s">
        <v>137</v>
      </c>
      <c r="F86" s="9">
        <v>45149</v>
      </c>
    </row>
    <row r="87" spans="1:6" ht="14.25" customHeight="1" x14ac:dyDescent="0.3">
      <c r="A87" s="8" t="s">
        <v>319</v>
      </c>
      <c r="B87" s="8" t="s">
        <v>444</v>
      </c>
      <c r="C87" s="10">
        <v>56</v>
      </c>
      <c r="D87" s="8" t="s">
        <v>178</v>
      </c>
      <c r="E87" s="8" t="s">
        <v>164</v>
      </c>
      <c r="F87" s="9">
        <v>45039</v>
      </c>
    </row>
    <row r="88" spans="1:6" ht="14.25" customHeight="1" x14ac:dyDescent="0.3">
      <c r="A88" s="8" t="s">
        <v>446</v>
      </c>
      <c r="B88" s="8" t="s">
        <v>447</v>
      </c>
      <c r="C88" s="10">
        <v>49</v>
      </c>
      <c r="D88" s="8" t="s">
        <v>42</v>
      </c>
      <c r="E88" s="8" t="s">
        <v>127</v>
      </c>
      <c r="F88" s="9">
        <v>44621</v>
      </c>
    </row>
    <row r="89" spans="1:6" ht="14.25" customHeight="1" x14ac:dyDescent="0.3">
      <c r="A89" s="8" t="s">
        <v>449</v>
      </c>
      <c r="B89" s="8" t="s">
        <v>450</v>
      </c>
      <c r="C89" s="10">
        <v>24</v>
      </c>
      <c r="D89" s="8" t="s">
        <v>98</v>
      </c>
      <c r="E89" s="8" t="s">
        <v>137</v>
      </c>
      <c r="F89" s="9">
        <v>44693</v>
      </c>
    </row>
    <row r="90" spans="1:6" ht="14.25" customHeight="1" x14ac:dyDescent="0.3">
      <c r="A90" s="8" t="s">
        <v>451</v>
      </c>
      <c r="B90" s="8" t="s">
        <v>452</v>
      </c>
      <c r="C90" s="10">
        <v>43</v>
      </c>
      <c r="D90" s="8" t="s">
        <v>146</v>
      </c>
      <c r="E90" s="8" t="s">
        <v>127</v>
      </c>
      <c r="F90" s="9">
        <v>44513</v>
      </c>
    </row>
    <row r="91" spans="1:6" ht="14.25" customHeight="1" x14ac:dyDescent="0.3">
      <c r="A91" s="8" t="s">
        <v>384</v>
      </c>
      <c r="B91" s="8" t="s">
        <v>453</v>
      </c>
      <c r="C91" s="10">
        <v>26</v>
      </c>
      <c r="D91" s="8" t="s">
        <v>136</v>
      </c>
      <c r="E91" s="8" t="s">
        <v>164</v>
      </c>
      <c r="F91" s="9">
        <v>44137</v>
      </c>
    </row>
    <row r="92" spans="1:6" ht="14.25" customHeight="1" x14ac:dyDescent="0.3">
      <c r="A92" s="8" t="s">
        <v>454</v>
      </c>
      <c r="B92" s="8" t="s">
        <v>455</v>
      </c>
      <c r="C92" s="10">
        <v>55</v>
      </c>
      <c r="D92" s="8" t="s">
        <v>119</v>
      </c>
      <c r="E92" s="8" t="s">
        <v>137</v>
      </c>
      <c r="F92" s="9">
        <v>45178</v>
      </c>
    </row>
    <row r="93" spans="1:6" ht="14.25" customHeight="1" x14ac:dyDescent="0.3">
      <c r="A93" s="8" t="s">
        <v>456</v>
      </c>
      <c r="B93" s="8" t="s">
        <v>457</v>
      </c>
      <c r="C93" s="10">
        <v>28</v>
      </c>
      <c r="D93" s="8" t="s">
        <v>136</v>
      </c>
      <c r="E93" s="8" t="s">
        <v>127</v>
      </c>
      <c r="F93" s="9">
        <v>44731</v>
      </c>
    </row>
    <row r="94" spans="1:6" ht="14.25" customHeight="1" x14ac:dyDescent="0.3">
      <c r="A94" s="8" t="s">
        <v>458</v>
      </c>
      <c r="B94" s="8" t="s">
        <v>459</v>
      </c>
      <c r="C94" s="10">
        <v>36</v>
      </c>
      <c r="D94" s="8" t="s">
        <v>42</v>
      </c>
      <c r="E94" s="8" t="s">
        <v>137</v>
      </c>
      <c r="F94" s="9">
        <v>44743</v>
      </c>
    </row>
    <row r="95" spans="1:6" ht="14.25" customHeight="1" x14ac:dyDescent="0.3">
      <c r="A95" s="8" t="s">
        <v>460</v>
      </c>
      <c r="B95" s="8" t="s">
        <v>461</v>
      </c>
      <c r="C95" s="10">
        <v>60</v>
      </c>
      <c r="D95" s="8" t="s">
        <v>42</v>
      </c>
      <c r="E95" s="8" t="s">
        <v>127</v>
      </c>
      <c r="F95" s="9">
        <v>44915</v>
      </c>
    </row>
    <row r="96" spans="1:6" ht="14.25" customHeight="1" x14ac:dyDescent="0.3">
      <c r="A96" s="8" t="s">
        <v>463</v>
      </c>
      <c r="B96" s="8" t="s">
        <v>465</v>
      </c>
      <c r="C96" s="10">
        <v>54</v>
      </c>
      <c r="D96" s="8" t="s">
        <v>146</v>
      </c>
      <c r="E96" s="8" t="s">
        <v>127</v>
      </c>
      <c r="F96" s="9">
        <v>44622</v>
      </c>
    </row>
    <row r="97" spans="1:6" ht="14.25" customHeight="1" x14ac:dyDescent="0.3">
      <c r="A97" s="8" t="s">
        <v>466</v>
      </c>
      <c r="B97" s="8" t="s">
        <v>467</v>
      </c>
      <c r="C97" s="10">
        <v>27</v>
      </c>
      <c r="D97" s="8" t="s">
        <v>119</v>
      </c>
      <c r="E97" s="8" t="s">
        <v>164</v>
      </c>
      <c r="F97" s="9">
        <v>44445</v>
      </c>
    </row>
    <row r="98" spans="1:6" ht="14.25" customHeight="1" x14ac:dyDescent="0.3">
      <c r="A98" s="8" t="s">
        <v>468</v>
      </c>
      <c r="B98" s="8" t="s">
        <v>469</v>
      </c>
      <c r="C98" s="10">
        <v>65</v>
      </c>
      <c r="D98" s="8" t="s">
        <v>146</v>
      </c>
      <c r="E98" s="8" t="s">
        <v>137</v>
      </c>
      <c r="F98" s="9">
        <v>43899</v>
      </c>
    </row>
    <row r="99" spans="1:6" ht="14.25" customHeight="1" x14ac:dyDescent="0.3">
      <c r="A99" s="8" t="s">
        <v>115</v>
      </c>
      <c r="B99" s="8" t="s">
        <v>470</v>
      </c>
      <c r="C99" s="10">
        <v>52</v>
      </c>
      <c r="D99" s="8" t="s">
        <v>119</v>
      </c>
      <c r="E99" s="8" t="s">
        <v>137</v>
      </c>
      <c r="F99" s="9">
        <v>44406</v>
      </c>
    </row>
    <row r="100" spans="1:6" ht="14.25" customHeight="1" x14ac:dyDescent="0.3">
      <c r="A100" s="8" t="s">
        <v>471</v>
      </c>
      <c r="B100" s="8" t="s">
        <v>472</v>
      </c>
      <c r="C100" s="10">
        <v>54</v>
      </c>
      <c r="D100" s="8" t="s">
        <v>136</v>
      </c>
      <c r="E100" s="8" t="s">
        <v>127</v>
      </c>
      <c r="F100" s="9">
        <v>44938</v>
      </c>
    </row>
    <row r="101" spans="1:6" ht="14.25" customHeight="1" x14ac:dyDescent="0.3">
      <c r="A101" s="8" t="s">
        <v>474</v>
      </c>
      <c r="B101" s="8" t="s">
        <v>475</v>
      </c>
      <c r="C101" s="10">
        <v>60</v>
      </c>
      <c r="D101" s="8" t="s">
        <v>178</v>
      </c>
      <c r="E101" s="8" t="s">
        <v>164</v>
      </c>
      <c r="F101" s="9">
        <v>45072</v>
      </c>
    </row>
    <row r="102" spans="1:6" ht="14.25" customHeight="1" x14ac:dyDescent="0.3">
      <c r="A102" s="8" t="s">
        <v>241</v>
      </c>
      <c r="B102" s="8" t="s">
        <v>476</v>
      </c>
      <c r="C102" s="10">
        <v>40</v>
      </c>
      <c r="D102" s="8" t="s">
        <v>178</v>
      </c>
      <c r="E102" s="8" t="s">
        <v>127</v>
      </c>
      <c r="F102" s="9">
        <v>44021</v>
      </c>
    </row>
    <row r="103" spans="1:6" ht="14.25" customHeight="1" x14ac:dyDescent="0.3">
      <c r="A103" s="8" t="s">
        <v>477</v>
      </c>
      <c r="B103" s="8" t="s">
        <v>478</v>
      </c>
      <c r="C103" s="10">
        <v>62</v>
      </c>
      <c r="D103" s="8" t="s">
        <v>98</v>
      </c>
      <c r="E103" s="8" t="s">
        <v>127</v>
      </c>
      <c r="F103" s="9">
        <v>45092</v>
      </c>
    </row>
    <row r="104" spans="1:6" ht="14.25" customHeight="1" x14ac:dyDescent="0.3">
      <c r="A104" s="8" t="s">
        <v>479</v>
      </c>
      <c r="B104" s="8" t="s">
        <v>480</v>
      </c>
      <c r="C104" s="10">
        <v>54</v>
      </c>
      <c r="D104" s="8" t="s">
        <v>178</v>
      </c>
      <c r="E104" s="8" t="s">
        <v>164</v>
      </c>
      <c r="F104" s="9">
        <v>45080</v>
      </c>
    </row>
    <row r="105" spans="1:6" ht="14.25" customHeight="1" x14ac:dyDescent="0.3">
      <c r="A105" s="8" t="s">
        <v>481</v>
      </c>
      <c r="B105" s="8" t="s">
        <v>482</v>
      </c>
      <c r="C105" s="10">
        <v>43</v>
      </c>
      <c r="D105" s="8" t="s">
        <v>178</v>
      </c>
      <c r="E105" s="8" t="s">
        <v>164</v>
      </c>
      <c r="F105" s="9">
        <v>44018</v>
      </c>
    </row>
    <row r="106" spans="1:6" ht="14.25" customHeight="1" x14ac:dyDescent="0.3">
      <c r="A106" s="8" t="s">
        <v>483</v>
      </c>
      <c r="B106" s="8" t="s">
        <v>484</v>
      </c>
      <c r="C106" s="10">
        <v>51</v>
      </c>
      <c r="D106" s="8" t="s">
        <v>98</v>
      </c>
      <c r="E106" s="8" t="s">
        <v>127</v>
      </c>
      <c r="F106" s="9">
        <v>44060</v>
      </c>
    </row>
    <row r="107" spans="1:6" ht="14.25" customHeight="1" x14ac:dyDescent="0.3">
      <c r="A107" s="8" t="s">
        <v>487</v>
      </c>
      <c r="B107" s="8" t="s">
        <v>488</v>
      </c>
      <c r="C107" s="10">
        <v>22</v>
      </c>
      <c r="D107" s="8" t="s">
        <v>42</v>
      </c>
      <c r="E107" s="8" t="s">
        <v>137</v>
      </c>
      <c r="F107" s="9">
        <v>45192</v>
      </c>
    </row>
    <row r="108" spans="1:6" ht="14.25" customHeight="1" x14ac:dyDescent="0.3">
      <c r="A108" s="8" t="s">
        <v>238</v>
      </c>
      <c r="B108" s="8" t="s">
        <v>489</v>
      </c>
      <c r="C108" s="10">
        <v>50</v>
      </c>
      <c r="D108" s="8" t="s">
        <v>42</v>
      </c>
      <c r="E108" s="8" t="s">
        <v>137</v>
      </c>
      <c r="F108" s="9">
        <v>44007</v>
      </c>
    </row>
    <row r="109" spans="1:6" ht="14.25" customHeight="1" x14ac:dyDescent="0.3">
      <c r="A109" s="8" t="s">
        <v>490</v>
      </c>
      <c r="B109" s="8" t="s">
        <v>491</v>
      </c>
      <c r="C109" s="10">
        <v>59</v>
      </c>
      <c r="D109" s="8" t="s">
        <v>136</v>
      </c>
      <c r="E109" s="8" t="s">
        <v>164</v>
      </c>
      <c r="F109" s="9">
        <v>44382</v>
      </c>
    </row>
    <row r="110" spans="1:6" ht="14.25" customHeight="1" x14ac:dyDescent="0.3">
      <c r="A110" s="8" t="s">
        <v>492</v>
      </c>
      <c r="B110" s="8" t="s">
        <v>493</v>
      </c>
      <c r="C110" s="10">
        <v>42</v>
      </c>
      <c r="D110" s="8" t="s">
        <v>42</v>
      </c>
      <c r="E110" s="8" t="s">
        <v>137</v>
      </c>
      <c r="F110" s="9">
        <v>44698</v>
      </c>
    </row>
    <row r="111" spans="1:6" ht="14.25" customHeight="1" x14ac:dyDescent="0.3">
      <c r="A111" s="8" t="s">
        <v>494</v>
      </c>
      <c r="B111" s="8" t="s">
        <v>323</v>
      </c>
      <c r="C111" s="10">
        <v>31</v>
      </c>
      <c r="D111" s="8" t="s">
        <v>42</v>
      </c>
      <c r="E111" s="8" t="s">
        <v>164</v>
      </c>
      <c r="F111" s="9">
        <v>44346</v>
      </c>
    </row>
    <row r="112" spans="1:6" ht="14.25" customHeight="1" x14ac:dyDescent="0.3">
      <c r="A112" s="8" t="s">
        <v>495</v>
      </c>
      <c r="B112" s="8" t="s">
        <v>496</v>
      </c>
      <c r="C112" s="10">
        <v>64</v>
      </c>
      <c r="D112" s="8" t="s">
        <v>98</v>
      </c>
      <c r="E112" s="8" t="s">
        <v>127</v>
      </c>
      <c r="F112" s="9">
        <v>44309</v>
      </c>
    </row>
    <row r="113" spans="1:6" ht="14.25" customHeight="1" x14ac:dyDescent="0.3">
      <c r="A113" s="8" t="s">
        <v>498</v>
      </c>
      <c r="B113" s="8" t="s">
        <v>499</v>
      </c>
      <c r="C113" s="10">
        <v>64</v>
      </c>
      <c r="D113" s="8" t="s">
        <v>178</v>
      </c>
      <c r="E113" s="8" t="s">
        <v>137</v>
      </c>
      <c r="F113" s="9">
        <v>44015</v>
      </c>
    </row>
    <row r="114" spans="1:6" ht="14.25" customHeight="1" x14ac:dyDescent="0.3">
      <c r="A114" s="8" t="s">
        <v>500</v>
      </c>
      <c r="B114" s="8" t="s">
        <v>502</v>
      </c>
      <c r="C114" s="10">
        <v>30</v>
      </c>
      <c r="D114" s="8" t="s">
        <v>119</v>
      </c>
      <c r="E114" s="8" t="s">
        <v>137</v>
      </c>
      <c r="F114" s="9">
        <v>44490</v>
      </c>
    </row>
    <row r="115" spans="1:6" ht="14.25" customHeight="1" x14ac:dyDescent="0.3">
      <c r="A115" s="8" t="s">
        <v>504</v>
      </c>
      <c r="B115" s="8" t="s">
        <v>505</v>
      </c>
      <c r="C115" s="10">
        <v>42</v>
      </c>
      <c r="D115" s="8" t="s">
        <v>136</v>
      </c>
      <c r="E115" s="8" t="s">
        <v>164</v>
      </c>
      <c r="F115" s="9">
        <v>44907</v>
      </c>
    </row>
    <row r="116" spans="1:6" ht="14.25" customHeight="1" x14ac:dyDescent="0.3">
      <c r="A116" s="8" t="s">
        <v>506</v>
      </c>
      <c r="B116" s="8" t="s">
        <v>335</v>
      </c>
      <c r="C116" s="10">
        <v>65</v>
      </c>
      <c r="D116" s="8" t="s">
        <v>146</v>
      </c>
      <c r="E116" s="8" t="s">
        <v>127</v>
      </c>
      <c r="F116" s="9">
        <v>44381</v>
      </c>
    </row>
    <row r="117" spans="1:6" ht="14.25" customHeight="1" x14ac:dyDescent="0.3">
      <c r="A117" s="8" t="s">
        <v>507</v>
      </c>
      <c r="B117" s="8" t="s">
        <v>508</v>
      </c>
      <c r="C117" s="10">
        <v>53</v>
      </c>
      <c r="D117" s="8" t="s">
        <v>509</v>
      </c>
      <c r="E117" s="8" t="s">
        <v>137</v>
      </c>
      <c r="F117" s="9">
        <v>44050</v>
      </c>
    </row>
    <row r="118" spans="1:6" ht="14.25" customHeight="1" x14ac:dyDescent="0.3">
      <c r="A118" s="8" t="s">
        <v>510</v>
      </c>
      <c r="B118" s="8" t="s">
        <v>511</v>
      </c>
      <c r="C118" s="10">
        <v>34</v>
      </c>
      <c r="D118" s="8" t="s">
        <v>119</v>
      </c>
      <c r="E118" s="8" t="s">
        <v>127</v>
      </c>
      <c r="F118" s="9">
        <v>44581</v>
      </c>
    </row>
    <row r="119" spans="1:6" ht="14.25" customHeight="1" x14ac:dyDescent="0.3">
      <c r="A119" s="8" t="s">
        <v>173</v>
      </c>
      <c r="B119" s="8" t="s">
        <v>512</v>
      </c>
      <c r="C119" s="10">
        <v>26</v>
      </c>
      <c r="D119" s="8" t="s">
        <v>178</v>
      </c>
      <c r="E119" s="8" t="s">
        <v>137</v>
      </c>
      <c r="F119" s="9">
        <v>44916</v>
      </c>
    </row>
    <row r="120" spans="1:6" ht="14.25" customHeight="1" x14ac:dyDescent="0.3">
      <c r="A120" s="8" t="s">
        <v>513</v>
      </c>
      <c r="B120" s="8" t="s">
        <v>514</v>
      </c>
      <c r="C120" s="10">
        <v>43</v>
      </c>
      <c r="D120" s="8" t="s">
        <v>136</v>
      </c>
      <c r="E120" s="8" t="s">
        <v>127</v>
      </c>
      <c r="F120" s="9">
        <v>44360</v>
      </c>
    </row>
    <row r="121" spans="1:6" ht="14.25" customHeight="1" x14ac:dyDescent="0.3">
      <c r="A121" s="8" t="s">
        <v>515</v>
      </c>
      <c r="B121" s="8" t="s">
        <v>516</v>
      </c>
      <c r="C121" s="10">
        <v>29</v>
      </c>
      <c r="D121" s="8" t="s">
        <v>146</v>
      </c>
      <c r="E121" s="8" t="s">
        <v>137</v>
      </c>
      <c r="F121" s="9">
        <v>44871</v>
      </c>
    </row>
    <row r="122" spans="1:6" ht="14.25" customHeight="1" x14ac:dyDescent="0.3">
      <c r="A122" s="8" t="s">
        <v>518</v>
      </c>
      <c r="B122" s="8" t="s">
        <v>520</v>
      </c>
      <c r="C122" s="10">
        <v>55</v>
      </c>
      <c r="D122" s="8" t="s">
        <v>119</v>
      </c>
      <c r="E122" s="8" t="s">
        <v>127</v>
      </c>
      <c r="F122" s="9">
        <v>45119</v>
      </c>
    </row>
    <row r="123" spans="1:6" ht="14.25" customHeight="1" x14ac:dyDescent="0.3">
      <c r="A123" s="8" t="s">
        <v>521</v>
      </c>
      <c r="B123" s="8" t="s">
        <v>522</v>
      </c>
      <c r="C123" s="10">
        <v>44</v>
      </c>
      <c r="D123" s="8" t="s">
        <v>146</v>
      </c>
      <c r="E123" s="8" t="s">
        <v>137</v>
      </c>
      <c r="F123" s="9">
        <v>44686</v>
      </c>
    </row>
    <row r="124" spans="1:6" ht="14.25" customHeight="1" x14ac:dyDescent="0.3">
      <c r="A124" s="8" t="s">
        <v>523</v>
      </c>
      <c r="B124" s="8" t="s">
        <v>524</v>
      </c>
      <c r="C124" s="10">
        <v>44</v>
      </c>
      <c r="D124" s="8" t="s">
        <v>98</v>
      </c>
      <c r="E124" s="8" t="s">
        <v>164</v>
      </c>
      <c r="F124" s="9">
        <v>44589</v>
      </c>
    </row>
    <row r="125" spans="1:6" ht="14.25" customHeight="1" x14ac:dyDescent="0.3">
      <c r="A125" s="8" t="s">
        <v>525</v>
      </c>
      <c r="B125" s="8" t="s">
        <v>526</v>
      </c>
      <c r="C125" s="10">
        <v>57</v>
      </c>
      <c r="D125" s="8" t="s">
        <v>42</v>
      </c>
      <c r="E125" s="8" t="s">
        <v>137</v>
      </c>
      <c r="F125" s="9">
        <v>44818</v>
      </c>
    </row>
    <row r="126" spans="1:6" ht="14.25" customHeight="1" x14ac:dyDescent="0.3">
      <c r="A126" s="8" t="s">
        <v>528</v>
      </c>
      <c r="B126" s="8" t="s">
        <v>529</v>
      </c>
      <c r="C126" s="10">
        <v>45</v>
      </c>
      <c r="D126" s="8" t="s">
        <v>119</v>
      </c>
      <c r="E126" s="8" t="s">
        <v>137</v>
      </c>
      <c r="F126" s="9">
        <v>44263</v>
      </c>
    </row>
    <row r="127" spans="1:6" ht="14.25" customHeight="1" x14ac:dyDescent="0.3">
      <c r="A127" s="8" t="s">
        <v>530</v>
      </c>
      <c r="B127" s="8" t="s">
        <v>531</v>
      </c>
      <c r="C127" s="10">
        <v>37</v>
      </c>
      <c r="D127" s="8" t="s">
        <v>146</v>
      </c>
      <c r="E127" s="8" t="s">
        <v>137</v>
      </c>
      <c r="F127" s="9">
        <v>44561</v>
      </c>
    </row>
    <row r="128" spans="1:6" ht="14.25" customHeight="1" x14ac:dyDescent="0.3">
      <c r="A128" s="8" t="s">
        <v>533</v>
      </c>
      <c r="B128" s="8" t="s">
        <v>325</v>
      </c>
      <c r="C128" s="10">
        <v>36</v>
      </c>
      <c r="D128" s="8" t="s">
        <v>136</v>
      </c>
      <c r="E128" s="8" t="s">
        <v>127</v>
      </c>
      <c r="F128" s="9">
        <v>45036</v>
      </c>
    </row>
    <row r="129" spans="1:6" ht="14.25" customHeight="1" x14ac:dyDescent="0.3">
      <c r="A129" s="8" t="s">
        <v>536</v>
      </c>
      <c r="B129" s="8" t="s">
        <v>537</v>
      </c>
      <c r="C129" s="10">
        <v>35</v>
      </c>
      <c r="D129" s="8" t="s">
        <v>178</v>
      </c>
      <c r="E129" s="8" t="s">
        <v>137</v>
      </c>
      <c r="F129" s="9">
        <v>44602</v>
      </c>
    </row>
    <row r="130" spans="1:6" ht="14.25" customHeight="1" x14ac:dyDescent="0.3">
      <c r="A130" s="8" t="s">
        <v>538</v>
      </c>
      <c r="B130" s="8" t="s">
        <v>539</v>
      </c>
      <c r="C130" s="10">
        <v>29</v>
      </c>
      <c r="D130" s="8" t="s">
        <v>540</v>
      </c>
      <c r="E130" s="8" t="s">
        <v>137</v>
      </c>
      <c r="F130" s="9">
        <v>44930</v>
      </c>
    </row>
    <row r="131" spans="1:6" ht="14.25" customHeight="1" x14ac:dyDescent="0.3">
      <c r="A131" s="8" t="s">
        <v>541</v>
      </c>
      <c r="B131" s="8" t="s">
        <v>542</v>
      </c>
      <c r="C131" s="10">
        <v>41</v>
      </c>
      <c r="D131" s="8" t="s">
        <v>136</v>
      </c>
      <c r="E131" s="8" t="s">
        <v>164</v>
      </c>
      <c r="F131" s="9">
        <v>44897</v>
      </c>
    </row>
    <row r="132" spans="1:6" ht="14.25" customHeight="1" x14ac:dyDescent="0.3">
      <c r="A132" s="8" t="s">
        <v>543</v>
      </c>
      <c r="B132" s="8" t="s">
        <v>544</v>
      </c>
      <c r="C132" s="10">
        <v>28</v>
      </c>
      <c r="D132" s="8" t="s">
        <v>263</v>
      </c>
      <c r="E132" s="8" t="s">
        <v>127</v>
      </c>
      <c r="F132" s="9">
        <v>44158</v>
      </c>
    </row>
    <row r="133" spans="1:6" ht="14.25" customHeight="1" x14ac:dyDescent="0.3">
      <c r="A133" s="8" t="s">
        <v>545</v>
      </c>
      <c r="B133" s="8" t="s">
        <v>546</v>
      </c>
      <c r="C133" s="10">
        <v>41</v>
      </c>
      <c r="D133" s="8" t="s">
        <v>119</v>
      </c>
      <c r="E133" s="8" t="s">
        <v>137</v>
      </c>
      <c r="F133" s="9">
        <v>44754</v>
      </c>
    </row>
    <row r="134" spans="1:6" ht="14.25" customHeight="1" x14ac:dyDescent="0.3">
      <c r="A134" s="8" t="s">
        <v>547</v>
      </c>
      <c r="B134" s="8" t="s">
        <v>548</v>
      </c>
      <c r="C134" s="10">
        <v>26</v>
      </c>
      <c r="D134" s="8" t="s">
        <v>98</v>
      </c>
      <c r="E134" s="8" t="s">
        <v>137</v>
      </c>
      <c r="F134" s="9">
        <v>43837</v>
      </c>
    </row>
    <row r="135" spans="1:6" ht="14.25" customHeight="1" x14ac:dyDescent="0.3">
      <c r="A135" s="8" t="s">
        <v>549</v>
      </c>
      <c r="B135" s="8" t="s">
        <v>550</v>
      </c>
      <c r="C135" s="10">
        <v>40</v>
      </c>
      <c r="D135" s="8" t="s">
        <v>119</v>
      </c>
      <c r="E135" s="8" t="s">
        <v>137</v>
      </c>
      <c r="F135" s="9">
        <v>45111</v>
      </c>
    </row>
    <row r="136" spans="1:6" ht="14.25" customHeight="1" x14ac:dyDescent="0.3">
      <c r="A136" s="8" t="s">
        <v>118</v>
      </c>
      <c r="B136" s="8" t="s">
        <v>551</v>
      </c>
      <c r="C136" s="10">
        <v>24</v>
      </c>
      <c r="D136" s="8" t="s">
        <v>42</v>
      </c>
      <c r="E136" s="8" t="s">
        <v>127</v>
      </c>
      <c r="F136" s="9">
        <v>44673</v>
      </c>
    </row>
    <row r="137" spans="1:6" ht="14.25" customHeight="1" x14ac:dyDescent="0.3">
      <c r="A137" s="8" t="s">
        <v>553</v>
      </c>
      <c r="B137" s="8" t="s">
        <v>554</v>
      </c>
      <c r="C137" s="10">
        <v>26</v>
      </c>
      <c r="D137" s="8" t="s">
        <v>98</v>
      </c>
      <c r="E137" s="8" t="s">
        <v>127</v>
      </c>
      <c r="F137" s="9">
        <v>44122</v>
      </c>
    </row>
    <row r="138" spans="1:6" ht="14.25" customHeight="1" x14ac:dyDescent="0.3">
      <c r="A138" s="8" t="s">
        <v>555</v>
      </c>
      <c r="B138" s="8" t="s">
        <v>461</v>
      </c>
      <c r="C138" s="10">
        <v>41</v>
      </c>
      <c r="D138" s="8" t="s">
        <v>146</v>
      </c>
      <c r="E138" s="8" t="s">
        <v>137</v>
      </c>
      <c r="F138" s="9">
        <v>44946</v>
      </c>
    </row>
    <row r="139" spans="1:6" ht="14.25" customHeight="1" x14ac:dyDescent="0.3">
      <c r="A139" s="8" t="s">
        <v>556</v>
      </c>
      <c r="B139" s="8" t="s">
        <v>557</v>
      </c>
      <c r="C139" s="10">
        <v>24</v>
      </c>
      <c r="D139" s="8" t="s">
        <v>98</v>
      </c>
      <c r="E139" s="8" t="s">
        <v>137</v>
      </c>
      <c r="F139" s="9">
        <v>43955</v>
      </c>
    </row>
    <row r="140" spans="1:6" ht="14.25" customHeight="1" x14ac:dyDescent="0.3">
      <c r="A140" s="8" t="s">
        <v>558</v>
      </c>
      <c r="B140" s="8" t="s">
        <v>560</v>
      </c>
      <c r="C140" s="10">
        <v>65</v>
      </c>
      <c r="D140" s="8" t="s">
        <v>178</v>
      </c>
      <c r="E140" s="8" t="s">
        <v>127</v>
      </c>
      <c r="F140" s="9">
        <v>43997</v>
      </c>
    </row>
    <row r="141" spans="1:6" ht="14.25" customHeight="1" x14ac:dyDescent="0.3">
      <c r="A141" s="8" t="s">
        <v>561</v>
      </c>
      <c r="B141" s="8" t="s">
        <v>562</v>
      </c>
      <c r="C141" s="10">
        <v>39</v>
      </c>
      <c r="D141" s="8" t="s">
        <v>178</v>
      </c>
      <c r="E141" s="8" t="s">
        <v>127</v>
      </c>
      <c r="F141" s="9">
        <v>43854</v>
      </c>
    </row>
    <row r="142" spans="1:6" ht="14.25" customHeight="1" x14ac:dyDescent="0.3">
      <c r="A142" s="8" t="s">
        <v>564</v>
      </c>
      <c r="B142" s="8" t="s">
        <v>565</v>
      </c>
      <c r="C142" s="10">
        <v>22</v>
      </c>
      <c r="D142" s="8" t="s">
        <v>178</v>
      </c>
      <c r="E142" s="8" t="s">
        <v>164</v>
      </c>
      <c r="F142" s="9">
        <v>45069</v>
      </c>
    </row>
    <row r="143" spans="1:6" ht="14.25" customHeight="1" x14ac:dyDescent="0.3">
      <c r="A143" s="8" t="s">
        <v>246</v>
      </c>
      <c r="B143" s="8" t="s">
        <v>438</v>
      </c>
      <c r="C143" s="10">
        <v>55</v>
      </c>
      <c r="D143" s="8" t="s">
        <v>566</v>
      </c>
      <c r="E143" s="8" t="s">
        <v>164</v>
      </c>
      <c r="F143" s="9">
        <v>44597</v>
      </c>
    </row>
    <row r="144" spans="1:6" ht="14.25" customHeight="1" x14ac:dyDescent="0.3">
      <c r="A144" s="8" t="s">
        <v>299</v>
      </c>
      <c r="B144" s="8" t="s">
        <v>570</v>
      </c>
      <c r="C144" s="10">
        <v>52</v>
      </c>
      <c r="D144" s="8" t="s">
        <v>98</v>
      </c>
      <c r="E144" s="8" t="s">
        <v>127</v>
      </c>
      <c r="F144" s="9">
        <v>44194</v>
      </c>
    </row>
    <row r="145" spans="1:6" ht="14.25" customHeight="1" x14ac:dyDescent="0.3">
      <c r="A145" s="8" t="s">
        <v>571</v>
      </c>
      <c r="B145" s="8" t="s">
        <v>572</v>
      </c>
      <c r="C145" s="10">
        <v>49</v>
      </c>
      <c r="D145" s="8" t="s">
        <v>98</v>
      </c>
      <c r="E145" s="8" t="s">
        <v>137</v>
      </c>
      <c r="F145" s="9">
        <v>44931</v>
      </c>
    </row>
    <row r="146" spans="1:6" ht="14.25" customHeight="1" x14ac:dyDescent="0.3">
      <c r="A146" s="8" t="s">
        <v>573</v>
      </c>
      <c r="B146" s="8" t="s">
        <v>574</v>
      </c>
      <c r="C146" s="10">
        <v>44</v>
      </c>
      <c r="D146" s="8" t="s">
        <v>136</v>
      </c>
      <c r="E146" s="8" t="s">
        <v>127</v>
      </c>
      <c r="F146" s="9">
        <v>44009</v>
      </c>
    </row>
    <row r="147" spans="1:6" ht="14.25" customHeight="1" x14ac:dyDescent="0.3">
      <c r="A147" s="8" t="s">
        <v>575</v>
      </c>
      <c r="B147" s="8" t="s">
        <v>576</v>
      </c>
      <c r="C147" s="10">
        <v>22</v>
      </c>
      <c r="D147" s="8" t="s">
        <v>178</v>
      </c>
      <c r="E147" s="8" t="s">
        <v>137</v>
      </c>
      <c r="F147" s="9">
        <v>44681</v>
      </c>
    </row>
    <row r="148" spans="1:6" ht="14.25" customHeight="1" x14ac:dyDescent="0.3">
      <c r="A148" s="8" t="s">
        <v>170</v>
      </c>
      <c r="B148" s="8" t="s">
        <v>577</v>
      </c>
      <c r="C148" s="10">
        <v>56</v>
      </c>
      <c r="D148" s="8" t="s">
        <v>42</v>
      </c>
      <c r="E148" s="8" t="s">
        <v>137</v>
      </c>
      <c r="F148" s="9">
        <v>44644</v>
      </c>
    </row>
    <row r="149" spans="1:6" ht="14.25" customHeight="1" x14ac:dyDescent="0.3">
      <c r="A149" s="8" t="s">
        <v>578</v>
      </c>
      <c r="B149" s="8" t="s">
        <v>579</v>
      </c>
      <c r="C149" s="10">
        <v>32</v>
      </c>
      <c r="D149" s="8" t="s">
        <v>98</v>
      </c>
      <c r="E149" s="8" t="s">
        <v>137</v>
      </c>
      <c r="F149" s="9">
        <v>44014</v>
      </c>
    </row>
    <row r="150" spans="1:6" ht="14.25" customHeight="1" x14ac:dyDescent="0.3">
      <c r="A150" s="8" t="s">
        <v>580</v>
      </c>
      <c r="B150" s="8" t="s">
        <v>581</v>
      </c>
      <c r="C150" s="10">
        <v>44</v>
      </c>
      <c r="D150" s="8" t="s">
        <v>582</v>
      </c>
      <c r="E150" s="8" t="s">
        <v>137</v>
      </c>
      <c r="F150" s="9">
        <v>44390</v>
      </c>
    </row>
    <row r="151" spans="1:6" ht="14.25" customHeight="1" x14ac:dyDescent="0.3">
      <c r="A151" s="8" t="s">
        <v>583</v>
      </c>
      <c r="B151" s="8" t="s">
        <v>560</v>
      </c>
      <c r="C151" s="10">
        <v>53</v>
      </c>
      <c r="D151" s="8" t="s">
        <v>42</v>
      </c>
      <c r="E151" s="8" t="s">
        <v>127</v>
      </c>
      <c r="F151" s="9">
        <v>45208</v>
      </c>
    </row>
    <row r="152" spans="1:6" ht="14.25" customHeight="1" x14ac:dyDescent="0.3">
      <c r="A152" s="8" t="s">
        <v>584</v>
      </c>
      <c r="B152" s="8" t="s">
        <v>585</v>
      </c>
      <c r="C152" s="10">
        <v>53</v>
      </c>
      <c r="D152" s="8" t="s">
        <v>146</v>
      </c>
      <c r="E152" s="8" t="s">
        <v>137</v>
      </c>
      <c r="F152" s="9">
        <v>43999</v>
      </c>
    </row>
    <row r="153" spans="1:6" ht="14.25" customHeight="1" x14ac:dyDescent="0.3">
      <c r="A153" s="8" t="s">
        <v>587</v>
      </c>
      <c r="B153" s="8" t="s">
        <v>588</v>
      </c>
      <c r="C153" s="10">
        <v>64</v>
      </c>
      <c r="D153" s="8" t="s">
        <v>136</v>
      </c>
      <c r="E153" s="8" t="s">
        <v>127</v>
      </c>
      <c r="F153" s="9">
        <v>44209</v>
      </c>
    </row>
    <row r="154" spans="1:6" ht="14.25" customHeight="1" x14ac:dyDescent="0.3">
      <c r="A154" s="8" t="s">
        <v>589</v>
      </c>
      <c r="B154" s="8" t="s">
        <v>590</v>
      </c>
      <c r="C154" s="10">
        <v>35</v>
      </c>
      <c r="D154" s="8" t="s">
        <v>146</v>
      </c>
      <c r="E154" s="8" t="s">
        <v>137</v>
      </c>
      <c r="F154" s="9">
        <v>44787</v>
      </c>
    </row>
    <row r="155" spans="1:6" ht="14.25" customHeight="1" x14ac:dyDescent="0.3">
      <c r="A155" s="8" t="s">
        <v>591</v>
      </c>
      <c r="B155" s="8" t="s">
        <v>593</v>
      </c>
      <c r="C155" s="10">
        <v>36</v>
      </c>
      <c r="D155" s="8" t="s">
        <v>42</v>
      </c>
      <c r="E155" s="8" t="s">
        <v>137</v>
      </c>
      <c r="F155" s="9">
        <v>44370</v>
      </c>
    </row>
    <row r="156" spans="1:6" ht="14.25" customHeight="1" x14ac:dyDescent="0.3">
      <c r="A156" s="8" t="s">
        <v>195</v>
      </c>
      <c r="B156" s="8" t="s">
        <v>595</v>
      </c>
      <c r="C156" s="10">
        <v>40</v>
      </c>
      <c r="D156" s="8" t="s">
        <v>42</v>
      </c>
      <c r="E156" s="8" t="s">
        <v>164</v>
      </c>
      <c r="F156" s="9">
        <v>44693</v>
      </c>
    </row>
    <row r="157" spans="1:6" ht="14.25" customHeight="1" x14ac:dyDescent="0.3">
      <c r="A157" s="8" t="s">
        <v>596</v>
      </c>
      <c r="B157" s="8" t="s">
        <v>597</v>
      </c>
      <c r="C157" s="10">
        <v>33</v>
      </c>
      <c r="D157" s="8" t="s">
        <v>146</v>
      </c>
      <c r="E157" s="8" t="s">
        <v>137</v>
      </c>
      <c r="F157" s="9">
        <v>45229</v>
      </c>
    </row>
    <row r="158" spans="1:6" ht="14.25" customHeight="1" x14ac:dyDescent="0.3">
      <c r="A158" s="8" t="s">
        <v>598</v>
      </c>
      <c r="B158" s="8" t="s">
        <v>599</v>
      </c>
      <c r="C158" s="10">
        <v>52</v>
      </c>
      <c r="D158" s="8" t="s">
        <v>42</v>
      </c>
      <c r="E158" s="8" t="s">
        <v>164</v>
      </c>
      <c r="F158" s="9">
        <v>44896</v>
      </c>
    </row>
    <row r="159" spans="1:6" ht="14.25" customHeight="1" x14ac:dyDescent="0.3">
      <c r="A159" s="8" t="s">
        <v>600</v>
      </c>
      <c r="B159" s="8" t="s">
        <v>601</v>
      </c>
      <c r="C159" s="10">
        <v>42</v>
      </c>
      <c r="D159" s="8" t="s">
        <v>42</v>
      </c>
      <c r="E159" s="8" t="s">
        <v>164</v>
      </c>
      <c r="F159" s="9">
        <v>44617</v>
      </c>
    </row>
    <row r="160" spans="1:6" ht="14.25" customHeight="1" x14ac:dyDescent="0.3">
      <c r="A160" s="8" t="s">
        <v>226</v>
      </c>
      <c r="B160" s="8" t="s">
        <v>602</v>
      </c>
      <c r="C160" s="10">
        <v>32</v>
      </c>
      <c r="D160" s="8" t="s">
        <v>540</v>
      </c>
      <c r="E160" s="8" t="s">
        <v>137</v>
      </c>
      <c r="F160" s="9">
        <v>44432</v>
      </c>
    </row>
    <row r="161" spans="1:6" ht="14.25" customHeight="1" x14ac:dyDescent="0.3">
      <c r="A161" s="8" t="s">
        <v>603</v>
      </c>
      <c r="B161" s="8" t="s">
        <v>604</v>
      </c>
      <c r="C161" s="10">
        <v>27</v>
      </c>
      <c r="D161" s="8" t="s">
        <v>178</v>
      </c>
      <c r="E161" s="8" t="s">
        <v>137</v>
      </c>
      <c r="F161" s="9">
        <v>44481</v>
      </c>
    </row>
    <row r="162" spans="1:6" ht="14.25" customHeight="1" x14ac:dyDescent="0.3">
      <c r="A162" s="8" t="s">
        <v>605</v>
      </c>
      <c r="B162" s="8" t="s">
        <v>606</v>
      </c>
      <c r="C162" s="10">
        <v>38</v>
      </c>
      <c r="D162" s="8" t="s">
        <v>98</v>
      </c>
      <c r="E162" s="8" t="s">
        <v>137</v>
      </c>
      <c r="F162" s="9">
        <v>43880</v>
      </c>
    </row>
    <row r="163" spans="1:6" ht="14.25" customHeight="1" x14ac:dyDescent="0.3">
      <c r="A163" s="8" t="s">
        <v>608</v>
      </c>
      <c r="B163" s="8" t="s">
        <v>609</v>
      </c>
      <c r="C163" s="10">
        <v>35</v>
      </c>
      <c r="D163" s="8" t="s">
        <v>146</v>
      </c>
      <c r="E163" s="8" t="s">
        <v>164</v>
      </c>
      <c r="F163" s="9">
        <v>44741</v>
      </c>
    </row>
    <row r="164" spans="1:6" ht="14.25" customHeight="1" x14ac:dyDescent="0.3">
      <c r="A164" s="8" t="s">
        <v>610</v>
      </c>
      <c r="B164" s="8" t="s">
        <v>310</v>
      </c>
      <c r="C164" s="10">
        <v>49</v>
      </c>
      <c r="D164" s="8" t="s">
        <v>42</v>
      </c>
      <c r="E164" s="8" t="s">
        <v>137</v>
      </c>
      <c r="F164" s="9">
        <v>44971</v>
      </c>
    </row>
    <row r="165" spans="1:6" ht="14.25" customHeight="1" x14ac:dyDescent="0.3">
      <c r="A165" s="8" t="s">
        <v>611</v>
      </c>
      <c r="B165" s="8" t="s">
        <v>272</v>
      </c>
      <c r="C165" s="10">
        <v>60</v>
      </c>
      <c r="D165" s="8" t="s">
        <v>98</v>
      </c>
      <c r="E165" s="8" t="s">
        <v>137</v>
      </c>
      <c r="F165" s="9">
        <v>44739</v>
      </c>
    </row>
    <row r="166" spans="1:6" ht="14.25" customHeight="1" x14ac:dyDescent="0.3">
      <c r="A166" s="8" t="s">
        <v>613</v>
      </c>
      <c r="B166" s="8" t="s">
        <v>358</v>
      </c>
      <c r="C166" s="10">
        <v>29</v>
      </c>
      <c r="D166" s="8" t="s">
        <v>42</v>
      </c>
      <c r="E166" s="8" t="s">
        <v>137</v>
      </c>
      <c r="F166" s="9">
        <v>44046</v>
      </c>
    </row>
    <row r="167" spans="1:6" ht="14.25" customHeight="1" x14ac:dyDescent="0.3">
      <c r="A167" s="8" t="s">
        <v>614</v>
      </c>
      <c r="B167" s="8" t="s">
        <v>615</v>
      </c>
      <c r="C167" s="10">
        <v>31</v>
      </c>
      <c r="D167" s="8" t="s">
        <v>178</v>
      </c>
      <c r="E167" s="8" t="s">
        <v>137</v>
      </c>
      <c r="F167" s="9">
        <v>44331</v>
      </c>
    </row>
    <row r="168" spans="1:6" ht="14.25" customHeight="1" x14ac:dyDescent="0.3">
      <c r="A168" s="8" t="s">
        <v>616</v>
      </c>
      <c r="B168" s="8" t="s">
        <v>617</v>
      </c>
      <c r="C168" s="10">
        <v>43</v>
      </c>
      <c r="D168" s="8" t="s">
        <v>119</v>
      </c>
      <c r="E168" s="8" t="s">
        <v>137</v>
      </c>
      <c r="F168" s="9">
        <v>44891</v>
      </c>
    </row>
    <row r="169" spans="1:6" ht="14.25" customHeight="1" x14ac:dyDescent="0.3">
      <c r="A169" s="8" t="s">
        <v>150</v>
      </c>
      <c r="B169" s="8" t="s">
        <v>618</v>
      </c>
      <c r="C169" s="10">
        <v>25</v>
      </c>
      <c r="D169" s="8" t="s">
        <v>42</v>
      </c>
      <c r="E169" s="8" t="s">
        <v>137</v>
      </c>
      <c r="F169" s="9">
        <v>44406</v>
      </c>
    </row>
    <row r="170" spans="1:6" ht="14.25" customHeight="1" x14ac:dyDescent="0.3">
      <c r="A170" s="8" t="s">
        <v>620</v>
      </c>
      <c r="B170" s="8" t="s">
        <v>622</v>
      </c>
      <c r="C170" s="10">
        <v>42</v>
      </c>
      <c r="D170" s="8" t="s">
        <v>136</v>
      </c>
      <c r="E170" s="8" t="s">
        <v>127</v>
      </c>
      <c r="F170" s="9">
        <v>45072</v>
      </c>
    </row>
    <row r="171" spans="1:6" ht="14.25" customHeight="1" x14ac:dyDescent="0.3">
      <c r="A171" s="8" t="s">
        <v>166</v>
      </c>
      <c r="B171" s="8" t="s">
        <v>625</v>
      </c>
      <c r="C171" s="10">
        <v>22</v>
      </c>
      <c r="D171" s="8" t="s">
        <v>146</v>
      </c>
      <c r="E171" s="8" t="s">
        <v>127</v>
      </c>
      <c r="F171" s="9">
        <v>45110</v>
      </c>
    </row>
    <row r="172" spans="1:6" ht="14.25" customHeight="1" x14ac:dyDescent="0.3">
      <c r="A172" s="8" t="s">
        <v>532</v>
      </c>
      <c r="B172" s="8" t="s">
        <v>626</v>
      </c>
      <c r="C172" s="10">
        <v>30</v>
      </c>
      <c r="D172" s="8" t="s">
        <v>98</v>
      </c>
      <c r="E172" s="8" t="s">
        <v>164</v>
      </c>
      <c r="F172" s="9">
        <v>44540</v>
      </c>
    </row>
    <row r="173" spans="1:6" ht="14.25" customHeight="1" x14ac:dyDescent="0.3">
      <c r="A173" s="8" t="s">
        <v>627</v>
      </c>
      <c r="B173" s="8" t="s">
        <v>628</v>
      </c>
      <c r="C173" s="10">
        <v>65</v>
      </c>
      <c r="D173" s="8" t="s">
        <v>42</v>
      </c>
      <c r="E173" s="8" t="s">
        <v>137</v>
      </c>
      <c r="F173" s="9">
        <v>44918</v>
      </c>
    </row>
    <row r="174" spans="1:6" ht="14.25" customHeight="1" x14ac:dyDescent="0.3">
      <c r="A174" s="8" t="s">
        <v>629</v>
      </c>
      <c r="B174" s="8" t="s">
        <v>630</v>
      </c>
      <c r="C174" s="10">
        <v>65</v>
      </c>
      <c r="D174" s="8" t="s">
        <v>146</v>
      </c>
      <c r="E174" s="8" t="s">
        <v>137</v>
      </c>
      <c r="F174" s="9">
        <v>44342</v>
      </c>
    </row>
    <row r="175" spans="1:6" ht="14.25" customHeight="1" x14ac:dyDescent="0.3">
      <c r="A175" s="8" t="s">
        <v>631</v>
      </c>
      <c r="B175" s="8" t="s">
        <v>632</v>
      </c>
      <c r="C175" s="10">
        <v>54</v>
      </c>
      <c r="D175" s="8" t="s">
        <v>42</v>
      </c>
      <c r="E175" s="8" t="s">
        <v>137</v>
      </c>
      <c r="F175" s="9">
        <v>44609</v>
      </c>
    </row>
    <row r="176" spans="1:6" ht="14.25" customHeight="1" x14ac:dyDescent="0.3">
      <c r="A176" s="8" t="s">
        <v>633</v>
      </c>
      <c r="B176" s="8" t="s">
        <v>634</v>
      </c>
      <c r="C176" s="10">
        <v>55</v>
      </c>
      <c r="D176" s="8" t="s">
        <v>119</v>
      </c>
      <c r="E176" s="8" t="s">
        <v>164</v>
      </c>
      <c r="F176" s="9">
        <v>44423</v>
      </c>
    </row>
    <row r="177" spans="1:6" ht="14.25" customHeight="1" x14ac:dyDescent="0.3">
      <c r="A177" s="8" t="s">
        <v>635</v>
      </c>
      <c r="B177" s="8" t="s">
        <v>636</v>
      </c>
      <c r="C177" s="10">
        <v>34</v>
      </c>
      <c r="D177" s="8" t="s">
        <v>136</v>
      </c>
      <c r="E177" s="8" t="s">
        <v>127</v>
      </c>
      <c r="F177" s="9">
        <v>44091</v>
      </c>
    </row>
    <row r="178" spans="1:6" ht="14.25" customHeight="1" x14ac:dyDescent="0.3">
      <c r="A178" s="8" t="s">
        <v>464</v>
      </c>
      <c r="B178" s="8" t="s">
        <v>469</v>
      </c>
      <c r="C178" s="10">
        <v>36</v>
      </c>
      <c r="D178" s="8" t="s">
        <v>146</v>
      </c>
      <c r="E178" s="8" t="s">
        <v>127</v>
      </c>
      <c r="F178" s="9">
        <v>44589</v>
      </c>
    </row>
    <row r="179" spans="1:6" ht="14.25" customHeight="1" x14ac:dyDescent="0.3">
      <c r="A179" s="8" t="s">
        <v>637</v>
      </c>
      <c r="B179" s="8" t="s">
        <v>638</v>
      </c>
      <c r="C179" s="10">
        <v>25</v>
      </c>
      <c r="D179" s="8" t="s">
        <v>178</v>
      </c>
      <c r="E179" s="8" t="s">
        <v>137</v>
      </c>
      <c r="F179" s="9">
        <v>45164</v>
      </c>
    </row>
    <row r="180" spans="1:6" ht="14.25" customHeight="1" x14ac:dyDescent="0.3">
      <c r="A180" s="8" t="s">
        <v>639</v>
      </c>
      <c r="B180" s="8" t="s">
        <v>640</v>
      </c>
      <c r="C180" s="10">
        <v>54</v>
      </c>
      <c r="D180" s="8" t="s">
        <v>146</v>
      </c>
      <c r="E180" s="8" t="s">
        <v>127</v>
      </c>
      <c r="F180" s="9">
        <v>44959</v>
      </c>
    </row>
    <row r="181" spans="1:6" ht="14.25" customHeight="1" x14ac:dyDescent="0.3">
      <c r="A181" s="8" t="s">
        <v>133</v>
      </c>
      <c r="B181" s="8" t="s">
        <v>643</v>
      </c>
      <c r="C181" s="10">
        <v>36</v>
      </c>
      <c r="D181" s="8" t="s">
        <v>98</v>
      </c>
      <c r="E181" s="8" t="s">
        <v>137</v>
      </c>
      <c r="F181" s="9">
        <v>45172</v>
      </c>
    </row>
    <row r="182" spans="1:6" ht="14.25" customHeight="1" x14ac:dyDescent="0.3">
      <c r="A182" s="8" t="s">
        <v>645</v>
      </c>
      <c r="B182" s="8" t="s">
        <v>646</v>
      </c>
      <c r="C182" s="10">
        <v>38</v>
      </c>
      <c r="D182" s="8" t="s">
        <v>119</v>
      </c>
      <c r="E182" s="8" t="s">
        <v>127</v>
      </c>
      <c r="F182" s="9">
        <v>44245</v>
      </c>
    </row>
    <row r="183" spans="1:6" ht="14.25" customHeight="1" x14ac:dyDescent="0.3">
      <c r="A183" s="8" t="s">
        <v>218</v>
      </c>
      <c r="B183" s="8" t="s">
        <v>648</v>
      </c>
      <c r="C183" s="10">
        <v>54</v>
      </c>
      <c r="D183" s="8" t="s">
        <v>146</v>
      </c>
      <c r="E183" s="8" t="s">
        <v>137</v>
      </c>
      <c r="F183" s="9">
        <v>43942</v>
      </c>
    </row>
    <row r="184" spans="1:6" ht="14.25" customHeight="1" x14ac:dyDescent="0.3">
      <c r="A184" s="8" t="s">
        <v>649</v>
      </c>
      <c r="B184" s="8" t="s">
        <v>650</v>
      </c>
      <c r="C184" s="10">
        <v>27</v>
      </c>
      <c r="D184" s="8" t="s">
        <v>146</v>
      </c>
      <c r="E184" s="8" t="s">
        <v>127</v>
      </c>
      <c r="F184" s="9">
        <v>43936</v>
      </c>
    </row>
    <row r="185" spans="1:6" ht="14.25" customHeight="1" x14ac:dyDescent="0.3">
      <c r="A185" s="8" t="s">
        <v>204</v>
      </c>
      <c r="B185" s="8" t="s">
        <v>651</v>
      </c>
      <c r="C185" s="10">
        <v>63</v>
      </c>
      <c r="D185" s="8" t="s">
        <v>42</v>
      </c>
      <c r="E185" s="8" t="s">
        <v>137</v>
      </c>
      <c r="F185" s="9">
        <v>44642</v>
      </c>
    </row>
    <row r="186" spans="1:6" ht="14.25" customHeight="1" x14ac:dyDescent="0.3">
      <c r="A186" s="8" t="s">
        <v>652</v>
      </c>
      <c r="B186" s="8" t="s">
        <v>653</v>
      </c>
      <c r="C186" s="10">
        <v>43</v>
      </c>
      <c r="D186" s="8" t="s">
        <v>178</v>
      </c>
      <c r="E186" s="8" t="s">
        <v>127</v>
      </c>
      <c r="F186" s="9">
        <v>44140</v>
      </c>
    </row>
    <row r="187" spans="1:6" ht="14.25" customHeight="1" x14ac:dyDescent="0.3">
      <c r="A187" s="8" t="s">
        <v>486</v>
      </c>
      <c r="B187" s="8" t="s">
        <v>630</v>
      </c>
      <c r="C187" s="10">
        <v>42</v>
      </c>
      <c r="D187" s="8" t="s">
        <v>136</v>
      </c>
      <c r="E187" s="8" t="s">
        <v>137</v>
      </c>
      <c r="F187" s="9">
        <v>45162</v>
      </c>
    </row>
    <row r="188" spans="1:6" ht="14.25" customHeight="1" x14ac:dyDescent="0.3">
      <c r="A188" s="8" t="s">
        <v>654</v>
      </c>
      <c r="B188" s="8" t="s">
        <v>655</v>
      </c>
      <c r="C188" s="10">
        <v>51</v>
      </c>
      <c r="D188" s="8" t="s">
        <v>98</v>
      </c>
      <c r="E188" s="8" t="s">
        <v>127</v>
      </c>
      <c r="F188" s="9">
        <v>43918</v>
      </c>
    </row>
    <row r="189" spans="1:6" ht="14.25" customHeight="1" x14ac:dyDescent="0.3">
      <c r="A189" s="8" t="s">
        <v>656</v>
      </c>
      <c r="B189" s="8" t="s">
        <v>657</v>
      </c>
      <c r="C189" s="10">
        <v>54</v>
      </c>
      <c r="D189" s="8" t="s">
        <v>136</v>
      </c>
      <c r="E189" s="8" t="s">
        <v>137</v>
      </c>
      <c r="F189" s="9">
        <v>44476</v>
      </c>
    </row>
    <row r="190" spans="1:6" ht="14.25" customHeight="1" x14ac:dyDescent="0.3">
      <c r="A190" s="8" t="s">
        <v>658</v>
      </c>
      <c r="B190" s="8" t="s">
        <v>659</v>
      </c>
      <c r="C190" s="10">
        <v>41</v>
      </c>
      <c r="D190" s="8" t="s">
        <v>98</v>
      </c>
      <c r="E190" s="8" t="s">
        <v>137</v>
      </c>
      <c r="F190" s="9">
        <v>44392</v>
      </c>
    </row>
    <row r="191" spans="1:6" ht="14.25" customHeight="1" x14ac:dyDescent="0.3">
      <c r="A191" s="8" t="s">
        <v>663</v>
      </c>
      <c r="B191" s="8" t="s">
        <v>664</v>
      </c>
      <c r="C191" s="10">
        <v>52</v>
      </c>
      <c r="D191" s="8" t="s">
        <v>178</v>
      </c>
      <c r="E191" s="8" t="s">
        <v>137</v>
      </c>
      <c r="F191" s="9">
        <v>44668</v>
      </c>
    </row>
    <row r="192" spans="1:6" ht="14.25" customHeight="1" x14ac:dyDescent="0.3">
      <c r="A192" s="8" t="s">
        <v>665</v>
      </c>
      <c r="B192" s="8" t="s">
        <v>666</v>
      </c>
      <c r="C192" s="10">
        <v>43</v>
      </c>
      <c r="D192" s="8" t="s">
        <v>178</v>
      </c>
      <c r="E192" s="8" t="s">
        <v>127</v>
      </c>
      <c r="F192" s="9">
        <v>44080</v>
      </c>
    </row>
    <row r="193" spans="1:6" ht="14.25" customHeight="1" x14ac:dyDescent="0.3">
      <c r="A193" s="8" t="s">
        <v>667</v>
      </c>
      <c r="B193" s="8" t="s">
        <v>668</v>
      </c>
      <c r="C193" s="10">
        <v>55</v>
      </c>
      <c r="D193" s="8" t="s">
        <v>136</v>
      </c>
      <c r="E193" s="8" t="s">
        <v>137</v>
      </c>
      <c r="F193" s="9">
        <v>44663</v>
      </c>
    </row>
    <row r="194" spans="1:6" ht="14.25" customHeight="1" x14ac:dyDescent="0.3">
      <c r="A194" s="8" t="s">
        <v>670</v>
      </c>
      <c r="B194" s="8" t="s">
        <v>671</v>
      </c>
      <c r="C194" s="10">
        <v>42</v>
      </c>
      <c r="D194" s="8" t="s">
        <v>136</v>
      </c>
      <c r="E194" s="8" t="s">
        <v>137</v>
      </c>
      <c r="F194" s="9">
        <v>43886</v>
      </c>
    </row>
    <row r="195" spans="1:6" ht="14.25" customHeight="1" x14ac:dyDescent="0.3">
      <c r="A195" s="8" t="s">
        <v>672</v>
      </c>
      <c r="B195" s="8" t="s">
        <v>335</v>
      </c>
      <c r="C195" s="10">
        <v>55</v>
      </c>
      <c r="D195" s="8" t="s">
        <v>119</v>
      </c>
      <c r="E195" s="8" t="s">
        <v>127</v>
      </c>
      <c r="F195" s="9">
        <v>43869</v>
      </c>
    </row>
    <row r="196" spans="1:6" ht="14.25" customHeight="1" x14ac:dyDescent="0.3">
      <c r="A196" s="8" t="s">
        <v>673</v>
      </c>
      <c r="B196" s="8" t="s">
        <v>674</v>
      </c>
      <c r="C196" s="10">
        <v>28</v>
      </c>
      <c r="D196" s="8" t="s">
        <v>136</v>
      </c>
      <c r="E196" s="8" t="s">
        <v>137</v>
      </c>
      <c r="F196" s="9">
        <v>44056</v>
      </c>
    </row>
    <row r="197" spans="1:6" ht="14.25" customHeight="1" x14ac:dyDescent="0.3">
      <c r="A197" s="8" t="s">
        <v>210</v>
      </c>
      <c r="B197" s="8" t="s">
        <v>675</v>
      </c>
      <c r="C197" s="10">
        <v>26</v>
      </c>
      <c r="D197" s="8" t="s">
        <v>98</v>
      </c>
      <c r="E197" s="8" t="s">
        <v>137</v>
      </c>
      <c r="F197" s="9">
        <v>44738</v>
      </c>
    </row>
    <row r="198" spans="1:6" ht="14.25" customHeight="1" x14ac:dyDescent="0.3">
      <c r="A198" s="8" t="s">
        <v>677</v>
      </c>
      <c r="B198" s="8" t="s">
        <v>678</v>
      </c>
      <c r="C198" s="10">
        <v>55</v>
      </c>
      <c r="D198" s="8" t="s">
        <v>136</v>
      </c>
      <c r="E198" s="8" t="s">
        <v>137</v>
      </c>
      <c r="F198" s="9">
        <v>44715</v>
      </c>
    </row>
    <row r="199" spans="1:6" ht="14.25" customHeight="1" x14ac:dyDescent="0.3">
      <c r="A199" s="8" t="s">
        <v>679</v>
      </c>
      <c r="B199" s="8" t="s">
        <v>680</v>
      </c>
      <c r="C199" s="10">
        <v>22</v>
      </c>
      <c r="D199" s="8" t="s">
        <v>98</v>
      </c>
      <c r="E199" s="8" t="s">
        <v>164</v>
      </c>
      <c r="F199" s="9">
        <v>44907</v>
      </c>
    </row>
    <row r="200" spans="1:6" ht="14.25" customHeight="1" x14ac:dyDescent="0.3">
      <c r="A200" s="8" t="s">
        <v>681</v>
      </c>
      <c r="B200" s="8" t="s">
        <v>682</v>
      </c>
      <c r="C200" s="10">
        <v>31</v>
      </c>
      <c r="D200" s="8" t="s">
        <v>178</v>
      </c>
      <c r="E200" s="8" t="s">
        <v>127</v>
      </c>
      <c r="F200" s="9">
        <v>44821</v>
      </c>
    </row>
    <row r="201" spans="1:6" ht="14.25" customHeight="1" x14ac:dyDescent="0.3">
      <c r="A201" s="8" t="s">
        <v>683</v>
      </c>
      <c r="B201" s="8" t="s">
        <v>551</v>
      </c>
      <c r="C201" s="10">
        <v>46</v>
      </c>
      <c r="D201" s="8" t="s">
        <v>540</v>
      </c>
      <c r="E201" s="8" t="s">
        <v>164</v>
      </c>
      <c r="F201" s="9">
        <v>44396</v>
      </c>
    </row>
    <row r="202" spans="1:6" ht="14.25" customHeight="1" x14ac:dyDescent="0.3">
      <c r="A202" s="8" t="s">
        <v>229</v>
      </c>
      <c r="B202" s="8" t="s">
        <v>684</v>
      </c>
      <c r="C202" s="10">
        <v>31</v>
      </c>
      <c r="D202" s="8" t="s">
        <v>178</v>
      </c>
      <c r="E202" s="8" t="s">
        <v>137</v>
      </c>
      <c r="F202" s="9">
        <v>44629</v>
      </c>
    </row>
    <row r="203" spans="1:6" ht="14.25" customHeight="1" x14ac:dyDescent="0.3">
      <c r="A203" s="8" t="s">
        <v>94</v>
      </c>
      <c r="B203" s="8" t="s">
        <v>685</v>
      </c>
      <c r="C203" s="10">
        <v>39</v>
      </c>
      <c r="D203" s="8" t="s">
        <v>98</v>
      </c>
      <c r="E203" s="8" t="s">
        <v>137</v>
      </c>
      <c r="F203" s="9">
        <v>44149</v>
      </c>
    </row>
    <row r="204" spans="1:6" ht="14.25" customHeight="1" x14ac:dyDescent="0.3">
      <c r="A204" s="8" t="s">
        <v>686</v>
      </c>
      <c r="B204" s="8" t="s">
        <v>687</v>
      </c>
      <c r="C204" s="10">
        <v>55</v>
      </c>
      <c r="D204" s="8" t="s">
        <v>98</v>
      </c>
      <c r="E204" s="8" t="s">
        <v>127</v>
      </c>
      <c r="F204" s="9">
        <v>44912</v>
      </c>
    </row>
    <row r="205" spans="1:6" ht="14.25" customHeight="1" x14ac:dyDescent="0.3">
      <c r="A205" s="8" t="s">
        <v>175</v>
      </c>
      <c r="B205" s="8" t="s">
        <v>689</v>
      </c>
      <c r="C205" s="10">
        <v>60</v>
      </c>
      <c r="D205" s="8" t="s">
        <v>178</v>
      </c>
      <c r="E205" s="8" t="s">
        <v>137</v>
      </c>
      <c r="F205" s="9">
        <v>44738</v>
      </c>
    </row>
    <row r="206" spans="1:6" ht="14.25" customHeight="1" x14ac:dyDescent="0.3">
      <c r="A206" s="8" t="s">
        <v>692</v>
      </c>
      <c r="B206" s="8" t="s">
        <v>345</v>
      </c>
      <c r="C206" s="10">
        <v>29</v>
      </c>
      <c r="D206" s="8" t="s">
        <v>42</v>
      </c>
      <c r="E206" s="8" t="s">
        <v>164</v>
      </c>
      <c r="F206" s="9">
        <v>45075</v>
      </c>
    </row>
    <row r="207" spans="1:6" ht="14.25" customHeight="1" x14ac:dyDescent="0.3">
      <c r="A207" s="8" t="s">
        <v>694</v>
      </c>
      <c r="B207" s="8" t="s">
        <v>429</v>
      </c>
      <c r="C207" s="10">
        <v>40</v>
      </c>
      <c r="D207" s="8" t="s">
        <v>146</v>
      </c>
      <c r="E207" s="8" t="s">
        <v>137</v>
      </c>
      <c r="F207" s="9">
        <v>45127</v>
      </c>
    </row>
    <row r="208" spans="1:6" ht="14.25" customHeight="1" x14ac:dyDescent="0.3">
      <c r="A208" s="8" t="s">
        <v>695</v>
      </c>
      <c r="B208" s="8" t="s">
        <v>697</v>
      </c>
      <c r="C208" s="10">
        <v>34</v>
      </c>
      <c r="D208" s="8" t="s">
        <v>178</v>
      </c>
      <c r="E208" s="8" t="s">
        <v>127</v>
      </c>
      <c r="F208" s="9">
        <v>43954</v>
      </c>
    </row>
    <row r="209" spans="1:6" ht="14.25" customHeight="1" x14ac:dyDescent="0.3">
      <c r="A209" s="8" t="s">
        <v>698</v>
      </c>
      <c r="B209" s="8" t="s">
        <v>699</v>
      </c>
      <c r="C209" s="10">
        <v>49</v>
      </c>
      <c r="D209" s="8" t="s">
        <v>146</v>
      </c>
      <c r="E209" s="8" t="s">
        <v>137</v>
      </c>
      <c r="F209" s="9">
        <v>45082</v>
      </c>
    </row>
    <row r="210" spans="1:6" ht="14.25" customHeight="1" x14ac:dyDescent="0.3">
      <c r="A210" s="8" t="s">
        <v>700</v>
      </c>
      <c r="B210" s="8" t="s">
        <v>701</v>
      </c>
      <c r="C210" s="10">
        <v>31</v>
      </c>
      <c r="D210" s="8" t="s">
        <v>42</v>
      </c>
      <c r="E210" s="8" t="s">
        <v>137</v>
      </c>
      <c r="F210" s="9">
        <v>44258</v>
      </c>
    </row>
    <row r="211" spans="1:6" ht="14.25" customHeight="1" x14ac:dyDescent="0.3">
      <c r="A211" s="8" t="s">
        <v>702</v>
      </c>
      <c r="B211" s="8" t="s">
        <v>703</v>
      </c>
      <c r="C211" s="10">
        <v>48</v>
      </c>
      <c r="D211" s="8" t="s">
        <v>42</v>
      </c>
      <c r="E211" s="8" t="s">
        <v>164</v>
      </c>
      <c r="F211" s="9">
        <v>44968</v>
      </c>
    </row>
    <row r="212" spans="1:6" ht="14.25" customHeight="1" x14ac:dyDescent="0.3">
      <c r="A212" s="8" t="s">
        <v>696</v>
      </c>
      <c r="B212" s="8" t="s">
        <v>704</v>
      </c>
      <c r="C212" s="10">
        <v>36</v>
      </c>
      <c r="D212" s="8" t="s">
        <v>136</v>
      </c>
      <c r="E212" s="8" t="s">
        <v>137</v>
      </c>
      <c r="F212" s="9">
        <v>44251</v>
      </c>
    </row>
    <row r="213" spans="1:6" ht="14.25" customHeight="1" x14ac:dyDescent="0.3">
      <c r="A213" s="8" t="s">
        <v>706</v>
      </c>
      <c r="B213" s="8" t="s">
        <v>707</v>
      </c>
      <c r="C213" s="10">
        <v>46</v>
      </c>
      <c r="D213" s="8" t="s">
        <v>98</v>
      </c>
      <c r="E213" s="8" t="s">
        <v>127</v>
      </c>
      <c r="F213" s="9">
        <v>44594</v>
      </c>
    </row>
    <row r="214" spans="1:6" ht="14.25" customHeight="1" x14ac:dyDescent="0.3">
      <c r="A214" s="8" t="s">
        <v>708</v>
      </c>
      <c r="B214" s="8" t="s">
        <v>335</v>
      </c>
      <c r="C214" s="10">
        <v>37</v>
      </c>
      <c r="D214" s="8" t="s">
        <v>146</v>
      </c>
      <c r="E214" s="8" t="s">
        <v>137</v>
      </c>
      <c r="F214" s="9">
        <v>44431</v>
      </c>
    </row>
    <row r="215" spans="1:6" ht="14.25" customHeight="1" x14ac:dyDescent="0.3">
      <c r="A215" s="8" t="s">
        <v>709</v>
      </c>
      <c r="B215" s="8" t="s">
        <v>710</v>
      </c>
      <c r="C215" s="10">
        <v>22</v>
      </c>
      <c r="D215" s="8" t="s">
        <v>146</v>
      </c>
      <c r="E215" s="8" t="s">
        <v>137</v>
      </c>
      <c r="F215" s="9">
        <v>44453</v>
      </c>
    </row>
    <row r="216" spans="1:6" ht="14.25" customHeight="1" x14ac:dyDescent="0.3">
      <c r="A216" s="8" t="s">
        <v>711</v>
      </c>
      <c r="B216" s="8" t="s">
        <v>712</v>
      </c>
      <c r="C216" s="10">
        <v>52</v>
      </c>
      <c r="D216" s="8" t="s">
        <v>178</v>
      </c>
      <c r="E216" s="8" t="s">
        <v>137</v>
      </c>
      <c r="F216" s="9">
        <v>45105</v>
      </c>
    </row>
    <row r="217" spans="1:6" ht="14.25" customHeight="1" x14ac:dyDescent="0.3">
      <c r="A217" s="8" t="s">
        <v>713</v>
      </c>
      <c r="B217" s="8" t="s">
        <v>714</v>
      </c>
      <c r="C217" s="10">
        <v>50</v>
      </c>
      <c r="D217" s="8" t="s">
        <v>146</v>
      </c>
      <c r="E217" s="8" t="s">
        <v>137</v>
      </c>
      <c r="F217" s="9">
        <v>44204</v>
      </c>
    </row>
    <row r="218" spans="1:6" ht="14.25" customHeight="1" x14ac:dyDescent="0.3">
      <c r="A218" s="8" t="s">
        <v>715</v>
      </c>
      <c r="B218" s="8" t="s">
        <v>716</v>
      </c>
      <c r="C218" s="10">
        <v>59</v>
      </c>
      <c r="D218" s="8" t="s">
        <v>42</v>
      </c>
      <c r="E218" s="8" t="s">
        <v>127</v>
      </c>
      <c r="F218" s="9">
        <v>44877</v>
      </c>
    </row>
    <row r="219" spans="1:6" ht="14.25" customHeight="1" x14ac:dyDescent="0.3">
      <c r="A219" s="8" t="s">
        <v>717</v>
      </c>
      <c r="B219" s="8" t="s">
        <v>718</v>
      </c>
      <c r="C219" s="10">
        <v>39</v>
      </c>
      <c r="D219" s="8" t="s">
        <v>146</v>
      </c>
      <c r="E219" s="8" t="s">
        <v>137</v>
      </c>
      <c r="F219" s="9">
        <v>44849</v>
      </c>
    </row>
    <row r="220" spans="1:6" ht="14.25" customHeight="1" x14ac:dyDescent="0.3">
      <c r="A220" s="8" t="s">
        <v>719</v>
      </c>
      <c r="B220" s="8" t="s">
        <v>721</v>
      </c>
      <c r="C220" s="10">
        <v>38</v>
      </c>
      <c r="D220" s="8" t="s">
        <v>98</v>
      </c>
      <c r="E220" s="8" t="s">
        <v>164</v>
      </c>
      <c r="F220" s="9">
        <v>44321</v>
      </c>
    </row>
    <row r="221" spans="1:6" ht="14.25" customHeight="1" x14ac:dyDescent="0.3">
      <c r="A221" s="8" t="s">
        <v>722</v>
      </c>
      <c r="B221" s="8" t="s">
        <v>723</v>
      </c>
      <c r="C221" s="10">
        <v>34</v>
      </c>
      <c r="D221" s="8" t="s">
        <v>98</v>
      </c>
      <c r="E221" s="8" t="s">
        <v>137</v>
      </c>
      <c r="F221" s="9">
        <v>43978</v>
      </c>
    </row>
    <row r="222" spans="1:6" ht="14.25" customHeight="1" x14ac:dyDescent="0.3">
      <c r="A222" s="8" t="s">
        <v>724</v>
      </c>
      <c r="B222" s="8" t="s">
        <v>725</v>
      </c>
      <c r="C222" s="10">
        <v>29</v>
      </c>
      <c r="D222" s="8" t="s">
        <v>119</v>
      </c>
      <c r="E222" s="8" t="s">
        <v>127</v>
      </c>
      <c r="F222" s="9">
        <v>44061</v>
      </c>
    </row>
    <row r="223" spans="1:6" ht="14.25" customHeight="1" x14ac:dyDescent="0.3">
      <c r="A223" s="8" t="s">
        <v>568</v>
      </c>
      <c r="B223" s="8" t="s">
        <v>726</v>
      </c>
      <c r="C223" s="10">
        <v>37</v>
      </c>
      <c r="D223" s="8" t="s">
        <v>98</v>
      </c>
      <c r="E223" s="8" t="s">
        <v>137</v>
      </c>
      <c r="F223" s="9">
        <v>43877</v>
      </c>
    </row>
    <row r="224" spans="1:6" ht="14.25" customHeight="1" x14ac:dyDescent="0.3">
      <c r="A224" s="8" t="s">
        <v>727</v>
      </c>
      <c r="B224" s="8" t="s">
        <v>729</v>
      </c>
      <c r="C224" s="10">
        <v>46</v>
      </c>
      <c r="D224" s="8" t="s">
        <v>136</v>
      </c>
      <c r="E224" s="8" t="s">
        <v>137</v>
      </c>
      <c r="F224" s="9">
        <v>44743</v>
      </c>
    </row>
    <row r="225" spans="1:6" ht="14.25" customHeight="1" x14ac:dyDescent="0.3">
      <c r="A225" s="8" t="s">
        <v>563</v>
      </c>
      <c r="B225" s="8" t="s">
        <v>730</v>
      </c>
      <c r="C225" s="10">
        <v>24</v>
      </c>
      <c r="D225" s="8" t="s">
        <v>98</v>
      </c>
      <c r="E225" s="8" t="s">
        <v>164</v>
      </c>
      <c r="F225" s="9">
        <v>44558</v>
      </c>
    </row>
    <row r="226" spans="1:6" ht="14.25" customHeight="1" x14ac:dyDescent="0.3">
      <c r="A226" s="8" t="s">
        <v>731</v>
      </c>
      <c r="B226" s="8" t="s">
        <v>402</v>
      </c>
      <c r="C226" s="10">
        <v>26</v>
      </c>
      <c r="D226" s="8" t="s">
        <v>98</v>
      </c>
      <c r="E226" s="8" t="s">
        <v>127</v>
      </c>
      <c r="F226" s="9">
        <v>44213</v>
      </c>
    </row>
    <row r="227" spans="1:6" ht="14.25" customHeight="1" x14ac:dyDescent="0.3">
      <c r="A227" s="8" t="s">
        <v>690</v>
      </c>
      <c r="B227" s="8" t="s">
        <v>732</v>
      </c>
      <c r="C227" s="10">
        <v>52</v>
      </c>
      <c r="D227" s="8" t="s">
        <v>98</v>
      </c>
      <c r="E227" s="8" t="s">
        <v>164</v>
      </c>
      <c r="F227" s="9">
        <v>44650</v>
      </c>
    </row>
    <row r="228" spans="1:6" ht="14.25" customHeight="1" x14ac:dyDescent="0.3">
      <c r="A228" s="8" t="s">
        <v>733</v>
      </c>
      <c r="B228" s="8" t="s">
        <v>467</v>
      </c>
      <c r="C228" s="10">
        <v>44</v>
      </c>
      <c r="D228" s="8" t="s">
        <v>136</v>
      </c>
      <c r="E228" s="8" t="s">
        <v>127</v>
      </c>
      <c r="F228" s="9">
        <v>44121</v>
      </c>
    </row>
    <row r="229" spans="1:6" ht="14.25" customHeight="1" x14ac:dyDescent="0.3">
      <c r="A229" s="8" t="s">
        <v>734</v>
      </c>
      <c r="B229" s="8" t="s">
        <v>735</v>
      </c>
      <c r="C229" s="10">
        <v>37</v>
      </c>
      <c r="D229" s="8" t="s">
        <v>42</v>
      </c>
      <c r="E229" s="8" t="s">
        <v>164</v>
      </c>
      <c r="F229" s="9">
        <v>43952</v>
      </c>
    </row>
    <row r="230" spans="1:6" ht="14.25" customHeight="1" x14ac:dyDescent="0.3">
      <c r="A230" s="8" t="s">
        <v>736</v>
      </c>
      <c r="B230" s="8" t="s">
        <v>737</v>
      </c>
      <c r="C230" s="10">
        <v>25</v>
      </c>
      <c r="D230" s="8" t="s">
        <v>178</v>
      </c>
      <c r="E230" s="8" t="s">
        <v>127</v>
      </c>
      <c r="F230" s="9">
        <v>44453</v>
      </c>
    </row>
    <row r="231" spans="1:6" ht="14.25" customHeight="1" x14ac:dyDescent="0.3">
      <c r="A231" s="8" t="s">
        <v>738</v>
      </c>
      <c r="B231" s="8" t="s">
        <v>739</v>
      </c>
      <c r="C231" s="10">
        <v>33</v>
      </c>
      <c r="D231" s="8" t="s">
        <v>42</v>
      </c>
      <c r="E231" s="8" t="s">
        <v>164</v>
      </c>
      <c r="F231" s="9">
        <v>43963</v>
      </c>
    </row>
    <row r="232" spans="1:6" ht="14.25" customHeight="1" x14ac:dyDescent="0.3">
      <c r="A232" s="8" t="s">
        <v>740</v>
      </c>
      <c r="B232" s="8" t="s">
        <v>741</v>
      </c>
      <c r="C232" s="10">
        <v>61</v>
      </c>
      <c r="D232" s="8" t="s">
        <v>98</v>
      </c>
      <c r="E232" s="8" t="s">
        <v>137</v>
      </c>
      <c r="F232" s="9">
        <v>45030</v>
      </c>
    </row>
    <row r="233" spans="1:6" ht="14.25" customHeight="1" x14ac:dyDescent="0.3">
      <c r="A233" s="8" t="s">
        <v>742</v>
      </c>
      <c r="B233" s="8" t="s">
        <v>743</v>
      </c>
      <c r="C233" s="10">
        <v>38</v>
      </c>
      <c r="D233" s="8" t="s">
        <v>178</v>
      </c>
      <c r="E233" s="8" t="s">
        <v>137</v>
      </c>
      <c r="F233" s="9">
        <v>44364</v>
      </c>
    </row>
    <row r="234" spans="1:6" ht="14.25" customHeight="1" x14ac:dyDescent="0.3">
      <c r="A234" s="8" t="s">
        <v>746</v>
      </c>
      <c r="B234" s="8" t="s">
        <v>664</v>
      </c>
      <c r="C234" s="10">
        <v>65</v>
      </c>
      <c r="D234" s="8" t="s">
        <v>146</v>
      </c>
      <c r="E234" s="8" t="s">
        <v>127</v>
      </c>
      <c r="F234" s="9">
        <v>43850</v>
      </c>
    </row>
    <row r="235" spans="1:6" ht="14.25" customHeight="1" x14ac:dyDescent="0.3">
      <c r="A235" s="8" t="s">
        <v>647</v>
      </c>
      <c r="B235" s="8" t="s">
        <v>747</v>
      </c>
      <c r="C235" s="10">
        <v>34</v>
      </c>
      <c r="D235" s="8" t="s">
        <v>136</v>
      </c>
      <c r="E235" s="8" t="s">
        <v>137</v>
      </c>
      <c r="F235" s="9">
        <v>44175</v>
      </c>
    </row>
    <row r="236" spans="1:6" ht="14.25" customHeight="1" x14ac:dyDescent="0.3">
      <c r="A236" s="8" t="s">
        <v>748</v>
      </c>
      <c r="B236" s="8" t="s">
        <v>478</v>
      </c>
      <c r="C236" s="10">
        <v>31</v>
      </c>
      <c r="D236" s="8" t="s">
        <v>98</v>
      </c>
      <c r="E236" s="8" t="s">
        <v>137</v>
      </c>
      <c r="F236" s="9">
        <v>43903</v>
      </c>
    </row>
    <row r="237" spans="1:6" ht="14.25" customHeight="1" x14ac:dyDescent="0.3">
      <c r="A237" s="8" t="s">
        <v>750</v>
      </c>
      <c r="B237" s="8" t="s">
        <v>751</v>
      </c>
      <c r="C237" s="10">
        <v>28</v>
      </c>
      <c r="D237" s="8" t="s">
        <v>178</v>
      </c>
      <c r="E237" s="8" t="s">
        <v>127</v>
      </c>
      <c r="F237" s="9">
        <v>43949</v>
      </c>
    </row>
    <row r="238" spans="1:6" ht="14.25" customHeight="1" x14ac:dyDescent="0.3">
      <c r="A238" s="8" t="s">
        <v>752</v>
      </c>
      <c r="B238" s="8" t="s">
        <v>753</v>
      </c>
      <c r="C238" s="10">
        <v>49</v>
      </c>
      <c r="D238" s="8" t="s">
        <v>146</v>
      </c>
      <c r="E238" s="8" t="s">
        <v>137</v>
      </c>
      <c r="F238" s="9">
        <v>44068</v>
      </c>
    </row>
    <row r="239" spans="1:6" ht="14.25" customHeight="1" x14ac:dyDescent="0.3">
      <c r="A239" s="8" t="s">
        <v>754</v>
      </c>
      <c r="B239" s="8" t="s">
        <v>383</v>
      </c>
      <c r="C239" s="10">
        <v>49</v>
      </c>
      <c r="D239" s="8" t="s">
        <v>119</v>
      </c>
      <c r="E239" s="8" t="s">
        <v>137</v>
      </c>
      <c r="F239" s="9">
        <v>44377</v>
      </c>
    </row>
    <row r="240" spans="1:6" ht="14.25" customHeight="1" x14ac:dyDescent="0.3">
      <c r="A240" s="8" t="s">
        <v>755</v>
      </c>
      <c r="B240" s="8" t="s">
        <v>756</v>
      </c>
      <c r="C240" s="10">
        <v>61</v>
      </c>
      <c r="D240" s="8" t="s">
        <v>146</v>
      </c>
      <c r="E240" s="8" t="s">
        <v>137</v>
      </c>
      <c r="F240" s="9">
        <v>43981</v>
      </c>
    </row>
    <row r="241" spans="1:6" ht="14.25" customHeight="1" x14ac:dyDescent="0.3">
      <c r="A241" s="8" t="s">
        <v>187</v>
      </c>
      <c r="B241" s="8" t="s">
        <v>757</v>
      </c>
      <c r="C241" s="10">
        <v>35</v>
      </c>
      <c r="D241" s="8" t="s">
        <v>98</v>
      </c>
      <c r="E241" s="8" t="s">
        <v>164</v>
      </c>
      <c r="F241" s="9">
        <v>44337</v>
      </c>
    </row>
    <row r="242" spans="1:6" ht="14.25" customHeight="1" x14ac:dyDescent="0.3">
      <c r="A242" s="8" t="s">
        <v>357</v>
      </c>
      <c r="B242" s="8" t="s">
        <v>758</v>
      </c>
      <c r="C242" s="10">
        <v>47</v>
      </c>
      <c r="D242" s="8" t="s">
        <v>42</v>
      </c>
      <c r="E242" s="8" t="s">
        <v>164</v>
      </c>
      <c r="F242" s="9">
        <v>44195</v>
      </c>
    </row>
    <row r="243" spans="1:6" ht="14.25" customHeight="1" x14ac:dyDescent="0.3">
      <c r="A243" s="8" t="s">
        <v>759</v>
      </c>
      <c r="B243" s="8" t="s">
        <v>524</v>
      </c>
      <c r="C243" s="10">
        <v>59</v>
      </c>
      <c r="D243" s="8" t="s">
        <v>98</v>
      </c>
      <c r="E243" s="8" t="s">
        <v>127</v>
      </c>
      <c r="F243" s="9">
        <v>44474</v>
      </c>
    </row>
    <row r="244" spans="1:6" ht="14.25" customHeight="1" x14ac:dyDescent="0.3">
      <c r="A244" s="8" t="s">
        <v>35</v>
      </c>
      <c r="B244" s="8" t="s">
        <v>622</v>
      </c>
      <c r="C244" s="10">
        <v>44</v>
      </c>
      <c r="D244" s="8" t="s">
        <v>42</v>
      </c>
      <c r="E244" s="8" t="s">
        <v>127</v>
      </c>
      <c r="F244" s="9">
        <v>43861</v>
      </c>
    </row>
    <row r="245" spans="1:6" ht="14.25" customHeight="1" x14ac:dyDescent="0.3">
      <c r="A245" s="8" t="s">
        <v>761</v>
      </c>
      <c r="B245" s="8" t="s">
        <v>762</v>
      </c>
      <c r="C245" s="10">
        <v>61</v>
      </c>
      <c r="D245" s="8" t="s">
        <v>136</v>
      </c>
      <c r="E245" s="8" t="s">
        <v>137</v>
      </c>
      <c r="F245" s="9">
        <v>44483</v>
      </c>
    </row>
    <row r="246" spans="1:6" ht="14.25" customHeight="1" x14ac:dyDescent="0.3">
      <c r="A246" s="8" t="s">
        <v>763</v>
      </c>
      <c r="B246" s="8" t="s">
        <v>764</v>
      </c>
      <c r="C246" s="10">
        <v>65</v>
      </c>
      <c r="D246" s="8" t="s">
        <v>178</v>
      </c>
      <c r="E246" s="8" t="s">
        <v>137</v>
      </c>
      <c r="F246" s="9">
        <v>44851</v>
      </c>
    </row>
    <row r="247" spans="1:6" ht="14.25" customHeight="1" x14ac:dyDescent="0.3">
      <c r="A247" s="8" t="s">
        <v>765</v>
      </c>
      <c r="B247" s="8" t="s">
        <v>766</v>
      </c>
      <c r="C247" s="10">
        <v>29</v>
      </c>
      <c r="D247" s="8" t="s">
        <v>119</v>
      </c>
      <c r="E247" s="8" t="s">
        <v>127</v>
      </c>
      <c r="F247" s="9">
        <v>44477</v>
      </c>
    </row>
    <row r="248" spans="1:6" ht="14.25" customHeight="1" x14ac:dyDescent="0.3">
      <c r="A248" s="8" t="s">
        <v>592</v>
      </c>
      <c r="B248" s="8" t="s">
        <v>767</v>
      </c>
      <c r="C248" s="10">
        <v>35</v>
      </c>
      <c r="D248" s="8" t="s">
        <v>42</v>
      </c>
      <c r="E248" s="8" t="s">
        <v>127</v>
      </c>
      <c r="F248" s="9">
        <v>43966</v>
      </c>
    </row>
    <row r="249" spans="1:6" ht="14.25" customHeight="1" x14ac:dyDescent="0.3">
      <c r="A249" s="8" t="s">
        <v>768</v>
      </c>
      <c r="B249" s="8" t="s">
        <v>770</v>
      </c>
      <c r="C249" s="10">
        <v>57</v>
      </c>
      <c r="D249" s="8" t="s">
        <v>98</v>
      </c>
      <c r="E249" s="8" t="s">
        <v>127</v>
      </c>
      <c r="F249" s="9">
        <v>44557</v>
      </c>
    </row>
    <row r="250" spans="1:6" ht="14.25" customHeight="1" x14ac:dyDescent="0.3">
      <c r="A250" s="8" t="s">
        <v>772</v>
      </c>
      <c r="B250" s="8" t="s">
        <v>773</v>
      </c>
      <c r="C250" s="10">
        <v>44</v>
      </c>
      <c r="D250" s="8" t="s">
        <v>146</v>
      </c>
      <c r="E250" s="8" t="s">
        <v>137</v>
      </c>
      <c r="F250" s="9">
        <v>43866</v>
      </c>
    </row>
    <row r="251" spans="1:6" ht="14.25" customHeight="1" x14ac:dyDescent="0.3">
      <c r="A251" s="8" t="s">
        <v>258</v>
      </c>
      <c r="B251" s="8" t="s">
        <v>774</v>
      </c>
      <c r="C251" s="10">
        <v>31</v>
      </c>
      <c r="D251" s="8" t="s">
        <v>119</v>
      </c>
      <c r="E251" s="8" t="s">
        <v>137</v>
      </c>
      <c r="F251" s="9">
        <v>44575</v>
      </c>
    </row>
    <row r="252" spans="1:6" ht="14.25" customHeight="1" x14ac:dyDescent="0.3">
      <c r="A252" s="8" t="s">
        <v>776</v>
      </c>
      <c r="B252" s="8" t="s">
        <v>777</v>
      </c>
      <c r="C252" s="10">
        <v>44</v>
      </c>
      <c r="D252" s="8" t="s">
        <v>146</v>
      </c>
      <c r="E252" s="8" t="s">
        <v>137</v>
      </c>
      <c r="F252" s="9">
        <v>45121</v>
      </c>
    </row>
    <row r="253" spans="1:6" ht="14.25" customHeight="1" x14ac:dyDescent="0.3">
      <c r="A253" s="8" t="s">
        <v>778</v>
      </c>
      <c r="B253" s="8" t="s">
        <v>779</v>
      </c>
      <c r="C253" s="10">
        <v>27</v>
      </c>
      <c r="D253" s="8" t="s">
        <v>136</v>
      </c>
      <c r="E253" s="8" t="s">
        <v>137</v>
      </c>
      <c r="F253" s="9">
        <v>45004</v>
      </c>
    </row>
    <row r="254" spans="1:6" ht="14.25" customHeight="1" x14ac:dyDescent="0.3">
      <c r="A254" s="8" t="s">
        <v>780</v>
      </c>
      <c r="B254" s="8" t="s">
        <v>781</v>
      </c>
      <c r="C254" s="10">
        <v>53</v>
      </c>
      <c r="D254" s="8" t="s">
        <v>119</v>
      </c>
      <c r="E254" s="8" t="s">
        <v>127</v>
      </c>
      <c r="F254" s="9">
        <v>43892</v>
      </c>
    </row>
    <row r="255" spans="1:6" ht="14.25" customHeight="1" x14ac:dyDescent="0.3">
      <c r="A255" s="8" t="s">
        <v>424</v>
      </c>
      <c r="B255" s="8" t="s">
        <v>782</v>
      </c>
      <c r="C255" s="10">
        <v>35</v>
      </c>
      <c r="D255" s="8" t="s">
        <v>136</v>
      </c>
      <c r="E255" s="8" t="s">
        <v>137</v>
      </c>
      <c r="F255" s="9">
        <v>44000</v>
      </c>
    </row>
    <row r="256" spans="1:6" ht="14.25" customHeight="1" x14ac:dyDescent="0.3">
      <c r="A256" s="8" t="s">
        <v>783</v>
      </c>
      <c r="B256" s="8" t="s">
        <v>295</v>
      </c>
      <c r="C256" s="10">
        <v>51</v>
      </c>
      <c r="D256" s="8" t="s">
        <v>98</v>
      </c>
      <c r="E256" s="8" t="s">
        <v>164</v>
      </c>
      <c r="F256" s="9">
        <v>44458</v>
      </c>
    </row>
    <row r="257" spans="1:6" ht="14.25" customHeight="1" x14ac:dyDescent="0.3">
      <c r="A257" s="8" t="s">
        <v>784</v>
      </c>
      <c r="B257" s="8" t="s">
        <v>785</v>
      </c>
      <c r="C257" s="10">
        <v>28</v>
      </c>
      <c r="D257" s="8" t="s">
        <v>178</v>
      </c>
      <c r="E257" s="8" t="s">
        <v>137</v>
      </c>
      <c r="F257" s="9">
        <v>44694</v>
      </c>
    </row>
    <row r="258" spans="1:6" ht="14.25" customHeight="1" x14ac:dyDescent="0.3">
      <c r="A258" s="8" t="s">
        <v>786</v>
      </c>
      <c r="B258" s="8" t="s">
        <v>788</v>
      </c>
      <c r="C258" s="10">
        <v>46</v>
      </c>
      <c r="D258" s="8" t="s">
        <v>146</v>
      </c>
      <c r="E258" s="8" t="s">
        <v>164</v>
      </c>
      <c r="F258" s="9">
        <v>43849</v>
      </c>
    </row>
    <row r="259" spans="1:6" ht="14.25" customHeight="1" x14ac:dyDescent="0.3">
      <c r="A259" s="8" t="s">
        <v>790</v>
      </c>
      <c r="B259" s="8" t="s">
        <v>791</v>
      </c>
      <c r="C259" s="10">
        <v>44</v>
      </c>
      <c r="D259" s="8" t="s">
        <v>42</v>
      </c>
      <c r="E259" s="8" t="s">
        <v>137</v>
      </c>
      <c r="F259" s="9">
        <v>43874</v>
      </c>
    </row>
    <row r="260" spans="1:6" ht="14.25" customHeight="1" x14ac:dyDescent="0.3">
      <c r="A260" s="8" t="s">
        <v>233</v>
      </c>
      <c r="B260" s="8" t="s">
        <v>792</v>
      </c>
      <c r="C260" s="10">
        <v>34</v>
      </c>
      <c r="D260" s="8" t="s">
        <v>146</v>
      </c>
      <c r="E260" s="8" t="s">
        <v>137</v>
      </c>
      <c r="F260" s="9">
        <v>44086</v>
      </c>
    </row>
    <row r="261" spans="1:6" ht="14.25" customHeight="1" x14ac:dyDescent="0.3">
      <c r="A261" s="8" t="s">
        <v>162</v>
      </c>
      <c r="B261" s="8" t="s">
        <v>793</v>
      </c>
      <c r="C261" s="10">
        <v>42</v>
      </c>
      <c r="D261" s="8" t="s">
        <v>136</v>
      </c>
      <c r="E261" s="8" t="s">
        <v>137</v>
      </c>
      <c r="F261" s="9">
        <v>44866</v>
      </c>
    </row>
    <row r="262" spans="1:6" ht="14.25" customHeight="1" x14ac:dyDescent="0.3">
      <c r="A262" s="8" t="s">
        <v>794</v>
      </c>
      <c r="B262" s="8" t="s">
        <v>795</v>
      </c>
      <c r="C262" s="10">
        <v>54</v>
      </c>
      <c r="D262" s="8" t="s">
        <v>119</v>
      </c>
      <c r="E262" s="8" t="s">
        <v>137</v>
      </c>
      <c r="F262" s="9">
        <v>43845</v>
      </c>
    </row>
    <row r="263" spans="1:6" ht="14.25" customHeight="1" x14ac:dyDescent="0.3">
      <c r="A263" s="8" t="s">
        <v>796</v>
      </c>
      <c r="B263" s="8" t="s">
        <v>797</v>
      </c>
      <c r="C263" s="10">
        <v>52</v>
      </c>
      <c r="D263" s="8" t="s">
        <v>146</v>
      </c>
      <c r="E263" s="8" t="s">
        <v>137</v>
      </c>
      <c r="F263" s="9">
        <v>44636</v>
      </c>
    </row>
    <row r="264" spans="1:6" ht="14.25" customHeight="1" x14ac:dyDescent="0.3">
      <c r="A264" s="8" t="s">
        <v>799</v>
      </c>
      <c r="B264" s="8" t="s">
        <v>800</v>
      </c>
      <c r="C264" s="10">
        <v>40</v>
      </c>
      <c r="D264" s="8" t="s">
        <v>146</v>
      </c>
      <c r="E264" s="8" t="s">
        <v>137</v>
      </c>
      <c r="F264" s="9">
        <v>44758</v>
      </c>
    </row>
    <row r="265" spans="1:6" ht="14.25" customHeight="1" x14ac:dyDescent="0.3">
      <c r="A265" s="8" t="s">
        <v>801</v>
      </c>
      <c r="B265" s="8" t="s">
        <v>802</v>
      </c>
      <c r="C265" s="10">
        <v>59</v>
      </c>
      <c r="D265" s="8" t="s">
        <v>42</v>
      </c>
      <c r="E265" s="8" t="s">
        <v>137</v>
      </c>
      <c r="F265" s="9">
        <v>45042</v>
      </c>
    </row>
    <row r="266" spans="1:6" ht="14.25" customHeight="1" x14ac:dyDescent="0.3">
      <c r="A266" s="8" t="s">
        <v>223</v>
      </c>
      <c r="B266" s="8" t="s">
        <v>804</v>
      </c>
      <c r="C266" s="10">
        <v>49</v>
      </c>
      <c r="D266" s="8" t="s">
        <v>98</v>
      </c>
      <c r="E266" s="8" t="s">
        <v>137</v>
      </c>
      <c r="F266" s="9">
        <v>44555</v>
      </c>
    </row>
    <row r="267" spans="1:6" ht="14.25" customHeight="1" x14ac:dyDescent="0.3">
      <c r="A267" s="8" t="s">
        <v>805</v>
      </c>
      <c r="B267" s="8" t="s">
        <v>806</v>
      </c>
      <c r="C267" s="10">
        <v>65</v>
      </c>
      <c r="D267" s="8" t="s">
        <v>42</v>
      </c>
      <c r="E267" s="8" t="s">
        <v>137</v>
      </c>
      <c r="F267" s="9">
        <v>44469</v>
      </c>
    </row>
    <row r="268" spans="1:6" ht="14.25" customHeight="1" x14ac:dyDescent="0.3">
      <c r="A268" s="8" t="s">
        <v>771</v>
      </c>
      <c r="B268" s="8" t="s">
        <v>807</v>
      </c>
      <c r="C268" s="10">
        <v>27</v>
      </c>
      <c r="D268" s="8" t="s">
        <v>178</v>
      </c>
      <c r="E268" s="8" t="s">
        <v>137</v>
      </c>
      <c r="F268" s="9">
        <v>44352</v>
      </c>
    </row>
    <row r="269" spans="1:6" ht="14.25" customHeight="1" x14ac:dyDescent="0.3">
      <c r="A269" s="8" t="s">
        <v>808</v>
      </c>
      <c r="B269" s="8" t="s">
        <v>809</v>
      </c>
      <c r="C269" s="10">
        <v>35</v>
      </c>
      <c r="D269" s="8" t="s">
        <v>98</v>
      </c>
      <c r="E269" s="8" t="s">
        <v>137</v>
      </c>
      <c r="F269" s="9">
        <v>44991</v>
      </c>
    </row>
    <row r="270" spans="1:6" ht="14.25" customHeight="1" x14ac:dyDescent="0.3">
      <c r="A270" s="8" t="s">
        <v>810</v>
      </c>
      <c r="B270" s="8" t="s">
        <v>811</v>
      </c>
      <c r="C270" s="10">
        <v>48</v>
      </c>
      <c r="D270" s="8" t="s">
        <v>42</v>
      </c>
      <c r="E270" s="8" t="s">
        <v>137</v>
      </c>
      <c r="F270" s="9">
        <v>44429</v>
      </c>
    </row>
    <row r="271" spans="1:6" ht="14.25" customHeight="1" x14ac:dyDescent="0.3">
      <c r="A271" s="8" t="s">
        <v>812</v>
      </c>
      <c r="B271" s="8" t="s">
        <v>813</v>
      </c>
      <c r="C271" s="10">
        <v>29</v>
      </c>
      <c r="D271" s="8" t="s">
        <v>136</v>
      </c>
      <c r="E271" s="8" t="s">
        <v>137</v>
      </c>
      <c r="F271" s="9">
        <v>44410</v>
      </c>
    </row>
    <row r="272" spans="1:6" ht="14.25" customHeight="1" x14ac:dyDescent="0.3">
      <c r="A272" s="8" t="s">
        <v>814</v>
      </c>
      <c r="B272" s="8" t="s">
        <v>461</v>
      </c>
      <c r="C272" s="10">
        <v>41</v>
      </c>
      <c r="D272" s="8" t="s">
        <v>136</v>
      </c>
      <c r="E272" s="8" t="s">
        <v>164</v>
      </c>
      <c r="F272" s="9">
        <v>44441</v>
      </c>
    </row>
    <row r="273" spans="1:6" ht="14.25" customHeight="1" x14ac:dyDescent="0.3">
      <c r="A273" s="8" t="s">
        <v>816</v>
      </c>
      <c r="B273" s="8" t="s">
        <v>817</v>
      </c>
      <c r="C273" s="10">
        <v>47</v>
      </c>
      <c r="D273" s="8" t="s">
        <v>146</v>
      </c>
      <c r="E273" s="8" t="s">
        <v>127</v>
      </c>
      <c r="F273" s="9">
        <v>44634</v>
      </c>
    </row>
    <row r="274" spans="1:6" ht="14.25" customHeight="1" x14ac:dyDescent="0.3">
      <c r="A274" s="8" t="s">
        <v>213</v>
      </c>
      <c r="B274" s="8" t="s">
        <v>819</v>
      </c>
      <c r="C274" s="10">
        <v>32</v>
      </c>
      <c r="D274" s="8" t="s">
        <v>178</v>
      </c>
      <c r="E274" s="8" t="s">
        <v>164</v>
      </c>
      <c r="F274" s="9">
        <v>44221</v>
      </c>
    </row>
    <row r="275" spans="1:6" ht="14.25" customHeight="1" x14ac:dyDescent="0.3">
      <c r="A275" s="8" t="s">
        <v>503</v>
      </c>
      <c r="B275" s="8" t="s">
        <v>820</v>
      </c>
      <c r="C275" s="10">
        <v>36</v>
      </c>
      <c r="D275" s="8" t="s">
        <v>136</v>
      </c>
      <c r="E275" s="8" t="s">
        <v>164</v>
      </c>
      <c r="F275" s="9">
        <v>44381</v>
      </c>
    </row>
    <row r="276" spans="1:6" ht="14.25" customHeight="1" x14ac:dyDescent="0.3">
      <c r="A276" s="8" t="s">
        <v>142</v>
      </c>
      <c r="B276" s="8" t="s">
        <v>821</v>
      </c>
      <c r="C276" s="10">
        <v>36</v>
      </c>
      <c r="D276" s="8" t="s">
        <v>146</v>
      </c>
      <c r="E276" s="8" t="s">
        <v>137</v>
      </c>
      <c r="F276" s="9">
        <v>45106</v>
      </c>
    </row>
    <row r="277" spans="1:6" ht="14.25" customHeight="1" x14ac:dyDescent="0.3">
      <c r="A277" s="8" t="s">
        <v>822</v>
      </c>
      <c r="B277" s="8" t="s">
        <v>364</v>
      </c>
      <c r="C277" s="10">
        <v>26</v>
      </c>
      <c r="D277" s="8" t="s">
        <v>98</v>
      </c>
      <c r="E277" s="8" t="s">
        <v>137</v>
      </c>
      <c r="F277" s="9">
        <v>44272</v>
      </c>
    </row>
    <row r="278" spans="1:6" ht="14.25" customHeight="1" x14ac:dyDescent="0.3">
      <c r="A278" s="8" t="s">
        <v>159</v>
      </c>
      <c r="B278" s="8" t="s">
        <v>404</v>
      </c>
      <c r="C278" s="10">
        <v>34</v>
      </c>
      <c r="D278" s="8" t="s">
        <v>98</v>
      </c>
      <c r="E278" s="8" t="s">
        <v>164</v>
      </c>
      <c r="F278" s="9">
        <v>44958</v>
      </c>
    </row>
    <row r="279" spans="1:6" ht="14.25" customHeight="1" x14ac:dyDescent="0.3">
      <c r="A279" s="8" t="s">
        <v>823</v>
      </c>
      <c r="B279" s="8" t="s">
        <v>825</v>
      </c>
      <c r="C279" s="10">
        <v>41</v>
      </c>
      <c r="D279" s="8" t="s">
        <v>178</v>
      </c>
      <c r="E279" s="8" t="s">
        <v>137</v>
      </c>
      <c r="F279" s="9">
        <v>43973</v>
      </c>
    </row>
    <row r="280" spans="1:6" ht="14.25" customHeight="1" x14ac:dyDescent="0.3">
      <c r="A280" s="8" t="s">
        <v>826</v>
      </c>
      <c r="B280" s="8" t="s">
        <v>785</v>
      </c>
      <c r="C280" s="10">
        <v>56</v>
      </c>
      <c r="D280" s="8" t="s">
        <v>146</v>
      </c>
      <c r="E280" s="8" t="s">
        <v>137</v>
      </c>
      <c r="F280" s="9">
        <v>44517</v>
      </c>
    </row>
    <row r="281" spans="1:6" ht="14.25" customHeight="1" x14ac:dyDescent="0.3">
      <c r="A281" s="8" t="s">
        <v>183</v>
      </c>
      <c r="B281" s="8" t="s">
        <v>827</v>
      </c>
      <c r="C281" s="10">
        <v>27</v>
      </c>
      <c r="D281" s="8" t="s">
        <v>119</v>
      </c>
      <c r="E281" s="8" t="s">
        <v>127</v>
      </c>
      <c r="F281" s="9">
        <v>45059</v>
      </c>
    </row>
    <row r="282" spans="1:6" ht="14.25" customHeight="1" x14ac:dyDescent="0.3">
      <c r="A282" s="8" t="s">
        <v>157</v>
      </c>
      <c r="B282" s="8" t="s">
        <v>293</v>
      </c>
      <c r="C282" s="10">
        <v>57</v>
      </c>
      <c r="D282" s="8" t="s">
        <v>136</v>
      </c>
      <c r="E282" s="8" t="s">
        <v>164</v>
      </c>
      <c r="F282" s="9">
        <v>44029</v>
      </c>
    </row>
    <row r="283" spans="1:6" ht="14.25" customHeight="1" x14ac:dyDescent="0.3">
      <c r="A283" s="8" t="s">
        <v>829</v>
      </c>
      <c r="B283" s="8" t="s">
        <v>830</v>
      </c>
      <c r="C283" s="10">
        <v>29</v>
      </c>
      <c r="D283" s="8" t="s">
        <v>178</v>
      </c>
      <c r="E283" s="8" t="s">
        <v>164</v>
      </c>
      <c r="F283" s="9">
        <v>44631</v>
      </c>
    </row>
    <row r="284" spans="1:6" ht="14.25" customHeight="1" x14ac:dyDescent="0.3">
      <c r="A284" s="8" t="s">
        <v>519</v>
      </c>
      <c r="B284" s="8" t="s">
        <v>831</v>
      </c>
      <c r="C284" s="10">
        <v>50</v>
      </c>
      <c r="D284" s="8" t="s">
        <v>263</v>
      </c>
      <c r="E284" s="8" t="s">
        <v>127</v>
      </c>
      <c r="F284" s="9">
        <v>44869</v>
      </c>
    </row>
    <row r="285" spans="1:6" ht="14.25" customHeight="1" x14ac:dyDescent="0.3">
      <c r="A285" s="8" t="s">
        <v>832</v>
      </c>
      <c r="B285" s="8" t="s">
        <v>833</v>
      </c>
      <c r="C285" s="10">
        <v>65</v>
      </c>
      <c r="D285" s="8" t="s">
        <v>178</v>
      </c>
      <c r="E285" s="8" t="s">
        <v>127</v>
      </c>
      <c r="F285" s="9">
        <v>44047</v>
      </c>
    </row>
    <row r="286" spans="1:6" ht="14.25" customHeight="1" x14ac:dyDescent="0.3">
      <c r="A286" s="8" t="s">
        <v>834</v>
      </c>
      <c r="B286" s="8" t="s">
        <v>835</v>
      </c>
      <c r="C286" s="10">
        <v>22</v>
      </c>
      <c r="D286" s="8" t="s">
        <v>178</v>
      </c>
      <c r="E286" s="8" t="s">
        <v>137</v>
      </c>
      <c r="F286" s="9">
        <v>44593</v>
      </c>
    </row>
    <row r="287" spans="1:6" ht="14.25" customHeight="1" x14ac:dyDescent="0.3">
      <c r="A287" s="8" t="s">
        <v>836</v>
      </c>
      <c r="B287" s="8" t="s">
        <v>838</v>
      </c>
      <c r="C287" s="10">
        <v>62</v>
      </c>
      <c r="D287" s="8" t="s">
        <v>119</v>
      </c>
      <c r="E287" s="8" t="s">
        <v>137</v>
      </c>
      <c r="F287" s="9">
        <v>44489</v>
      </c>
    </row>
    <row r="288" spans="1:6" ht="14.25" customHeight="1" x14ac:dyDescent="0.3">
      <c r="A288" s="8" t="s">
        <v>840</v>
      </c>
      <c r="B288" s="8" t="s">
        <v>841</v>
      </c>
      <c r="C288" s="10">
        <v>53</v>
      </c>
      <c r="D288" s="8" t="s">
        <v>98</v>
      </c>
      <c r="E288" s="8" t="s">
        <v>127</v>
      </c>
      <c r="F288" s="9">
        <v>44738</v>
      </c>
    </row>
    <row r="289" spans="1:6" ht="14.25" customHeight="1" x14ac:dyDescent="0.3">
      <c r="A289" s="8" t="s">
        <v>842</v>
      </c>
      <c r="B289" s="8" t="s">
        <v>843</v>
      </c>
      <c r="C289" s="10">
        <v>25</v>
      </c>
      <c r="D289" s="8" t="s">
        <v>178</v>
      </c>
      <c r="E289" s="8" t="s">
        <v>164</v>
      </c>
      <c r="F289" s="9">
        <v>44450</v>
      </c>
    </row>
    <row r="290" spans="1:6" ht="14.25" customHeight="1" x14ac:dyDescent="0.3">
      <c r="A290" s="8" t="s">
        <v>844</v>
      </c>
      <c r="B290" s="8" t="s">
        <v>845</v>
      </c>
      <c r="C290" s="10">
        <v>54</v>
      </c>
      <c r="D290" s="8" t="s">
        <v>146</v>
      </c>
      <c r="E290" s="8" t="s">
        <v>137</v>
      </c>
      <c r="F290" s="9">
        <v>44720</v>
      </c>
    </row>
    <row r="291" spans="1:6" ht="14.25" customHeight="1" x14ac:dyDescent="0.3">
      <c r="A291" s="8" t="s">
        <v>846</v>
      </c>
      <c r="B291" s="8" t="s">
        <v>847</v>
      </c>
      <c r="C291" s="10">
        <v>63</v>
      </c>
      <c r="D291" s="8" t="s">
        <v>119</v>
      </c>
      <c r="E291" s="8" t="s">
        <v>137</v>
      </c>
      <c r="F291" s="9">
        <v>44330</v>
      </c>
    </row>
    <row r="292" spans="1:6" ht="14.25" customHeight="1" x14ac:dyDescent="0.3">
      <c r="A292" s="8" t="s">
        <v>623</v>
      </c>
      <c r="B292" s="8" t="s">
        <v>848</v>
      </c>
      <c r="C292" s="10">
        <v>29</v>
      </c>
      <c r="D292" s="8" t="s">
        <v>42</v>
      </c>
      <c r="E292" s="8" t="s">
        <v>127</v>
      </c>
      <c r="F292" s="9">
        <v>43950</v>
      </c>
    </row>
    <row r="293" spans="1:6" ht="14.25" customHeight="1" x14ac:dyDescent="0.3">
      <c r="A293" s="8" t="s">
        <v>849</v>
      </c>
      <c r="B293" s="8" t="s">
        <v>459</v>
      </c>
      <c r="C293" s="10">
        <v>32</v>
      </c>
      <c r="D293" s="8" t="s">
        <v>136</v>
      </c>
      <c r="E293" s="8" t="s">
        <v>137</v>
      </c>
      <c r="F293" s="9">
        <v>43968</v>
      </c>
    </row>
    <row r="294" spans="1:6" ht="14.25" customHeight="1" x14ac:dyDescent="0.3">
      <c r="A294" s="8" t="s">
        <v>151</v>
      </c>
      <c r="B294" s="8" t="s">
        <v>850</v>
      </c>
      <c r="C294" s="10">
        <v>27</v>
      </c>
      <c r="D294" s="8" t="s">
        <v>136</v>
      </c>
      <c r="E294" s="8" t="s">
        <v>137</v>
      </c>
      <c r="F294" s="9">
        <v>44335</v>
      </c>
    </row>
    <row r="295" spans="1:6" ht="14.25" customHeight="1" x14ac:dyDescent="0.3">
      <c r="A295" s="8" t="s">
        <v>851</v>
      </c>
      <c r="B295" s="8" t="s">
        <v>310</v>
      </c>
      <c r="C295" s="10">
        <v>31</v>
      </c>
      <c r="D295" s="8" t="s">
        <v>119</v>
      </c>
      <c r="E295" s="8" t="s">
        <v>164</v>
      </c>
      <c r="F295" s="9">
        <v>43885</v>
      </c>
    </row>
    <row r="296" spans="1:6" ht="14.25" customHeight="1" x14ac:dyDescent="0.3">
      <c r="A296" s="8" t="s">
        <v>852</v>
      </c>
      <c r="B296" s="8" t="s">
        <v>853</v>
      </c>
      <c r="C296" s="10">
        <v>48</v>
      </c>
      <c r="D296" s="8" t="s">
        <v>119</v>
      </c>
      <c r="E296" s="8" t="s">
        <v>127</v>
      </c>
      <c r="F296" s="9">
        <v>43863</v>
      </c>
    </row>
    <row r="297" spans="1:6" ht="14.25" customHeight="1" x14ac:dyDescent="0.3">
      <c r="A297" s="8" t="s">
        <v>854</v>
      </c>
      <c r="B297" s="8" t="s">
        <v>855</v>
      </c>
      <c r="C297" s="10">
        <v>47</v>
      </c>
      <c r="D297" s="8" t="s">
        <v>119</v>
      </c>
      <c r="E297" s="8" t="s">
        <v>164</v>
      </c>
      <c r="F297" s="9">
        <v>44784</v>
      </c>
    </row>
    <row r="298" spans="1:6" ht="14.25" customHeight="1" x14ac:dyDescent="0.3">
      <c r="A298" s="8" t="s">
        <v>856</v>
      </c>
      <c r="B298" s="8" t="s">
        <v>857</v>
      </c>
      <c r="C298" s="10">
        <v>50</v>
      </c>
      <c r="D298" s="8" t="s">
        <v>178</v>
      </c>
      <c r="E298" s="8" t="s">
        <v>137</v>
      </c>
      <c r="F298" s="9">
        <v>44027</v>
      </c>
    </row>
    <row r="299" spans="1:6" ht="14.25" customHeight="1" x14ac:dyDescent="0.3">
      <c r="A299" s="8" t="s">
        <v>858</v>
      </c>
      <c r="B299" s="8" t="s">
        <v>859</v>
      </c>
      <c r="C299" s="10">
        <v>44</v>
      </c>
      <c r="D299" s="8" t="s">
        <v>119</v>
      </c>
      <c r="E299" s="8" t="s">
        <v>137</v>
      </c>
      <c r="F299" s="9">
        <v>43840</v>
      </c>
    </row>
    <row r="300" spans="1:6" ht="14.25" customHeight="1" x14ac:dyDescent="0.3">
      <c r="A300" s="8" t="s">
        <v>861</v>
      </c>
      <c r="B300" s="8" t="s">
        <v>666</v>
      </c>
      <c r="C300" s="10">
        <v>51</v>
      </c>
      <c r="D300" s="8" t="s">
        <v>146</v>
      </c>
      <c r="E300" s="8" t="s">
        <v>164</v>
      </c>
      <c r="F300" s="9">
        <v>44675</v>
      </c>
    </row>
    <row r="301" spans="1:6" ht="14.25" customHeight="1" x14ac:dyDescent="0.3">
      <c r="A301" s="8" t="s">
        <v>862</v>
      </c>
      <c r="B301" s="8" t="s">
        <v>863</v>
      </c>
      <c r="C301" s="10">
        <v>38</v>
      </c>
      <c r="D301" s="8" t="s">
        <v>146</v>
      </c>
      <c r="E301" s="8" t="s">
        <v>137</v>
      </c>
      <c r="F301" s="9">
        <v>43932</v>
      </c>
    </row>
    <row r="302" spans="1:6" ht="14.25" customHeight="1" x14ac:dyDescent="0.3"/>
    <row r="303" spans="1:6" ht="14.25" customHeight="1" x14ac:dyDescent="0.3"/>
    <row r="304" spans="1:6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  <col min="7" max="26" width="8.6640625" customWidth="1"/>
  </cols>
  <sheetData>
    <row r="1" spans="1:6" ht="14.25" customHeight="1" x14ac:dyDescent="0.3">
      <c r="A1" s="3" t="s">
        <v>7</v>
      </c>
      <c r="B1" s="3" t="s">
        <v>873</v>
      </c>
      <c r="C1" s="3" t="s">
        <v>18</v>
      </c>
      <c r="D1" s="3" t="s">
        <v>874</v>
      </c>
      <c r="E1" s="3" t="s">
        <v>11</v>
      </c>
      <c r="F1" s="3" t="s">
        <v>875</v>
      </c>
    </row>
    <row r="2" spans="1:6" ht="14.25" customHeight="1" x14ac:dyDescent="0.3">
      <c r="A2" s="8" t="s">
        <v>230</v>
      </c>
      <c r="B2" s="8" t="s">
        <v>876</v>
      </c>
      <c r="C2" s="8" t="s">
        <v>126</v>
      </c>
      <c r="D2" s="10">
        <v>2405</v>
      </c>
      <c r="E2" s="10">
        <v>5330</v>
      </c>
      <c r="F2" s="8" t="b">
        <v>1</v>
      </c>
    </row>
    <row r="3" spans="1:6" ht="14.25" customHeight="1" x14ac:dyDescent="0.3">
      <c r="A3" s="8" t="s">
        <v>184</v>
      </c>
      <c r="B3" s="8" t="s">
        <v>878</v>
      </c>
      <c r="C3" s="8" t="s">
        <v>126</v>
      </c>
      <c r="D3" s="10">
        <v>1052</v>
      </c>
      <c r="E3" s="10">
        <v>2600</v>
      </c>
      <c r="F3" s="8" t="b">
        <v>1</v>
      </c>
    </row>
    <row r="4" spans="1:6" ht="14.25" customHeight="1" x14ac:dyDescent="0.3">
      <c r="A4" s="8" t="s">
        <v>211</v>
      </c>
      <c r="B4" s="8" t="s">
        <v>879</v>
      </c>
      <c r="C4" s="8" t="s">
        <v>126</v>
      </c>
      <c r="D4" s="10">
        <v>1665</v>
      </c>
      <c r="E4" s="10">
        <v>3570</v>
      </c>
      <c r="F4" s="8" t="b">
        <v>1</v>
      </c>
    </row>
    <row r="5" spans="1:6" ht="14.25" customHeight="1" x14ac:dyDescent="0.3">
      <c r="A5" s="8" t="s">
        <v>188</v>
      </c>
      <c r="B5" s="8" t="s">
        <v>881</v>
      </c>
      <c r="C5" s="8" t="s">
        <v>126</v>
      </c>
      <c r="D5" s="10">
        <v>1559</v>
      </c>
      <c r="E5" s="10">
        <v>3870</v>
      </c>
      <c r="F5" s="8" t="b">
        <v>1</v>
      </c>
    </row>
    <row r="6" spans="1:6" ht="14.25" customHeight="1" x14ac:dyDescent="0.3">
      <c r="A6" s="8" t="s">
        <v>154</v>
      </c>
      <c r="B6" s="8" t="s">
        <v>882</v>
      </c>
      <c r="C6" s="8" t="s">
        <v>126</v>
      </c>
      <c r="D6" s="10">
        <v>128</v>
      </c>
      <c r="E6" s="10">
        <v>300</v>
      </c>
      <c r="F6" s="8" t="b">
        <v>1</v>
      </c>
    </row>
    <row r="7" spans="1:6" ht="14.25" customHeight="1" x14ac:dyDescent="0.3">
      <c r="A7" s="8" t="s">
        <v>120</v>
      </c>
      <c r="B7" s="8" t="s">
        <v>883</v>
      </c>
      <c r="C7" s="8" t="s">
        <v>126</v>
      </c>
      <c r="D7" s="10">
        <v>2865</v>
      </c>
      <c r="E7" s="10">
        <v>3970</v>
      </c>
      <c r="F7" s="8" t="b">
        <v>1</v>
      </c>
    </row>
    <row r="8" spans="1:6" ht="14.25" customHeight="1" x14ac:dyDescent="0.3">
      <c r="A8" s="8" t="s">
        <v>140</v>
      </c>
      <c r="B8" s="8" t="s">
        <v>884</v>
      </c>
      <c r="C8" s="8" t="s">
        <v>126</v>
      </c>
      <c r="D8" s="10">
        <v>861</v>
      </c>
      <c r="E8" s="10">
        <v>1430</v>
      </c>
      <c r="F8" s="8" t="b">
        <v>1</v>
      </c>
    </row>
    <row r="9" spans="1:6" ht="14.25" customHeight="1" x14ac:dyDescent="0.3">
      <c r="A9" s="8" t="s">
        <v>131</v>
      </c>
      <c r="B9" s="8" t="s">
        <v>886</v>
      </c>
      <c r="C9" s="8" t="s">
        <v>126</v>
      </c>
      <c r="D9" s="10">
        <v>1259</v>
      </c>
      <c r="E9" s="10">
        <v>2660</v>
      </c>
      <c r="F9" s="8" t="b">
        <v>0</v>
      </c>
    </row>
    <row r="10" spans="1:6" ht="14.25" customHeight="1" x14ac:dyDescent="0.3">
      <c r="A10" s="8" t="s">
        <v>160</v>
      </c>
      <c r="B10" s="8" t="s">
        <v>887</v>
      </c>
      <c r="C10" s="8" t="s">
        <v>126</v>
      </c>
      <c r="D10" s="10">
        <v>517</v>
      </c>
      <c r="E10" s="10">
        <v>1220</v>
      </c>
      <c r="F10" s="8" t="b">
        <v>1</v>
      </c>
    </row>
    <row r="11" spans="1:6" ht="14.25" customHeight="1" x14ac:dyDescent="0.3">
      <c r="A11" s="8" t="s">
        <v>181</v>
      </c>
      <c r="B11" s="8" t="s">
        <v>888</v>
      </c>
      <c r="C11" s="8" t="s">
        <v>126</v>
      </c>
      <c r="D11" s="10">
        <v>1149</v>
      </c>
      <c r="E11" s="10">
        <v>2640</v>
      </c>
      <c r="F11" s="8" t="b">
        <v>1</v>
      </c>
    </row>
    <row r="12" spans="1:6" ht="14.25" customHeight="1" x14ac:dyDescent="0.3">
      <c r="A12" s="8" t="s">
        <v>889</v>
      </c>
      <c r="B12" s="8" t="s">
        <v>890</v>
      </c>
      <c r="C12" s="8" t="s">
        <v>891</v>
      </c>
      <c r="D12" s="10">
        <v>1748</v>
      </c>
      <c r="E12" s="10">
        <v>3450</v>
      </c>
      <c r="F12" s="8" t="b">
        <v>1</v>
      </c>
    </row>
    <row r="13" spans="1:6" ht="14.25" customHeight="1" x14ac:dyDescent="0.3">
      <c r="A13" s="8" t="s">
        <v>134</v>
      </c>
      <c r="B13" s="8" t="s">
        <v>892</v>
      </c>
      <c r="C13" s="8" t="s">
        <v>891</v>
      </c>
      <c r="D13" s="10">
        <v>1886</v>
      </c>
      <c r="E13" s="10">
        <v>3160</v>
      </c>
      <c r="F13" s="8" t="b">
        <v>1</v>
      </c>
    </row>
    <row r="14" spans="1:6" ht="14.25" customHeight="1" x14ac:dyDescent="0.3">
      <c r="A14" s="8" t="s">
        <v>644</v>
      </c>
      <c r="B14" s="8" t="s">
        <v>893</v>
      </c>
      <c r="C14" s="8" t="s">
        <v>891</v>
      </c>
      <c r="D14" s="10">
        <v>2611</v>
      </c>
      <c r="E14" s="10">
        <v>3640</v>
      </c>
      <c r="F14" s="8" t="b">
        <v>1</v>
      </c>
    </row>
    <row r="15" spans="1:6" ht="14.25" customHeight="1" x14ac:dyDescent="0.3">
      <c r="A15" s="8" t="s">
        <v>37</v>
      </c>
      <c r="B15" s="8" t="s">
        <v>894</v>
      </c>
      <c r="C15" s="8" t="s">
        <v>891</v>
      </c>
      <c r="D15" s="10">
        <v>2509</v>
      </c>
      <c r="E15" s="10">
        <v>3620</v>
      </c>
      <c r="F15" s="8" t="b">
        <v>1</v>
      </c>
    </row>
    <row r="16" spans="1:6" ht="14.25" customHeight="1" x14ac:dyDescent="0.3">
      <c r="A16" s="8" t="s">
        <v>239</v>
      </c>
      <c r="B16" s="8" t="s">
        <v>895</v>
      </c>
      <c r="C16" s="8" t="s">
        <v>891</v>
      </c>
      <c r="D16" s="10">
        <v>1962</v>
      </c>
      <c r="E16" s="10">
        <v>2720</v>
      </c>
      <c r="F16" s="8" t="b">
        <v>1</v>
      </c>
    </row>
    <row r="17" spans="1:6" ht="14.25" customHeight="1" x14ac:dyDescent="0.3">
      <c r="A17" s="8" t="s">
        <v>896</v>
      </c>
      <c r="B17" s="8" t="s">
        <v>897</v>
      </c>
      <c r="C17" s="8" t="s">
        <v>891</v>
      </c>
      <c r="D17" s="10">
        <v>396</v>
      </c>
      <c r="E17" s="10">
        <v>620</v>
      </c>
      <c r="F17" s="8" t="b">
        <v>1</v>
      </c>
    </row>
    <row r="18" spans="1:6" ht="14.25" customHeight="1" x14ac:dyDescent="0.3">
      <c r="A18" s="8" t="s">
        <v>898</v>
      </c>
      <c r="B18" s="8" t="s">
        <v>900</v>
      </c>
      <c r="C18" s="8" t="s">
        <v>891</v>
      </c>
      <c r="D18" s="10">
        <v>1075</v>
      </c>
      <c r="E18" s="10">
        <v>2510</v>
      </c>
      <c r="F18" s="8" t="b">
        <v>0</v>
      </c>
    </row>
    <row r="19" spans="1:6" ht="14.25" customHeight="1" x14ac:dyDescent="0.3">
      <c r="A19" s="8" t="s">
        <v>901</v>
      </c>
      <c r="B19" s="8" t="s">
        <v>902</v>
      </c>
      <c r="C19" s="8" t="s">
        <v>891</v>
      </c>
      <c r="D19" s="10">
        <v>2629</v>
      </c>
      <c r="E19" s="10">
        <v>3560</v>
      </c>
      <c r="F19" s="8" t="b">
        <v>1</v>
      </c>
    </row>
    <row r="20" spans="1:6" ht="14.25" customHeight="1" x14ac:dyDescent="0.3">
      <c r="A20" s="8" t="s">
        <v>227</v>
      </c>
      <c r="B20" s="8" t="s">
        <v>904</v>
      </c>
      <c r="C20" s="8" t="s">
        <v>891</v>
      </c>
      <c r="D20" s="10">
        <v>1173</v>
      </c>
      <c r="E20" s="10">
        <v>2480</v>
      </c>
      <c r="F20" s="8" t="b">
        <v>1</v>
      </c>
    </row>
    <row r="21" spans="1:6" ht="14.25" customHeight="1" x14ac:dyDescent="0.3">
      <c r="A21" s="8" t="s">
        <v>95</v>
      </c>
      <c r="B21" s="8" t="s">
        <v>905</v>
      </c>
      <c r="C21" s="8" t="s">
        <v>891</v>
      </c>
      <c r="D21" s="10">
        <v>391</v>
      </c>
      <c r="E21" s="10">
        <v>820</v>
      </c>
      <c r="F21" s="8" t="b">
        <v>1</v>
      </c>
    </row>
    <row r="22" spans="1:6" ht="14.25" customHeight="1" x14ac:dyDescent="0.3">
      <c r="A22" s="8" t="s">
        <v>374</v>
      </c>
      <c r="B22" s="8" t="s">
        <v>906</v>
      </c>
      <c r="C22" s="8" t="s">
        <v>907</v>
      </c>
      <c r="D22" s="10">
        <v>1435</v>
      </c>
      <c r="E22" s="10">
        <v>2760</v>
      </c>
      <c r="F22" s="8" t="b">
        <v>1</v>
      </c>
    </row>
    <row r="23" spans="1:6" ht="14.25" customHeight="1" x14ac:dyDescent="0.3">
      <c r="A23" s="8" t="s">
        <v>691</v>
      </c>
      <c r="B23" s="8" t="s">
        <v>908</v>
      </c>
      <c r="C23" s="8" t="s">
        <v>907</v>
      </c>
      <c r="D23" s="10">
        <v>1412</v>
      </c>
      <c r="E23" s="10">
        <v>2270</v>
      </c>
      <c r="F23" s="8" t="b">
        <v>1</v>
      </c>
    </row>
    <row r="24" spans="1:6" ht="14.25" customHeight="1" x14ac:dyDescent="0.3">
      <c r="A24" s="8" t="s">
        <v>909</v>
      </c>
      <c r="B24" s="8" t="s">
        <v>910</v>
      </c>
      <c r="C24" s="8" t="s">
        <v>907</v>
      </c>
      <c r="D24" s="10">
        <v>1182</v>
      </c>
      <c r="E24" s="10">
        <v>2380</v>
      </c>
      <c r="F24" s="8" t="b">
        <v>1</v>
      </c>
    </row>
    <row r="25" spans="1:6" ht="14.25" customHeight="1" x14ac:dyDescent="0.3">
      <c r="A25" s="8" t="s">
        <v>176</v>
      </c>
      <c r="B25" s="8" t="s">
        <v>911</v>
      </c>
      <c r="C25" s="8" t="s">
        <v>907</v>
      </c>
      <c r="D25" s="10">
        <v>1203</v>
      </c>
      <c r="E25" s="10">
        <v>2270</v>
      </c>
      <c r="F25" s="8" t="b">
        <v>1</v>
      </c>
    </row>
    <row r="26" spans="1:6" ht="14.25" customHeight="1" x14ac:dyDescent="0.3">
      <c r="A26" s="8" t="s">
        <v>912</v>
      </c>
      <c r="B26" s="8" t="s">
        <v>913</v>
      </c>
      <c r="C26" s="8" t="s">
        <v>907</v>
      </c>
      <c r="D26" s="10">
        <v>2911</v>
      </c>
      <c r="E26" s="10">
        <v>4060</v>
      </c>
      <c r="F26" s="8" t="b">
        <v>1</v>
      </c>
    </row>
    <row r="27" spans="1:6" ht="14.25" customHeight="1" x14ac:dyDescent="0.3">
      <c r="A27" s="8" t="s">
        <v>818</v>
      </c>
      <c r="B27" s="8" t="s">
        <v>914</v>
      </c>
      <c r="C27" s="8" t="s">
        <v>907</v>
      </c>
      <c r="D27" s="10">
        <v>2027</v>
      </c>
      <c r="E27" s="10">
        <v>4070</v>
      </c>
      <c r="F27" s="8" t="b">
        <v>1</v>
      </c>
    </row>
    <row r="28" spans="1:6" ht="14.25" customHeight="1" x14ac:dyDescent="0.3">
      <c r="A28" s="8" t="s">
        <v>624</v>
      </c>
      <c r="B28" s="8" t="s">
        <v>915</v>
      </c>
      <c r="C28" s="8" t="s">
        <v>907</v>
      </c>
      <c r="D28" s="10">
        <v>2436</v>
      </c>
      <c r="E28" s="10">
        <v>3780</v>
      </c>
      <c r="F28" s="8" t="b">
        <v>1</v>
      </c>
    </row>
    <row r="29" spans="1:6" ht="14.25" customHeight="1" x14ac:dyDescent="0.3">
      <c r="A29" s="8" t="s">
        <v>124</v>
      </c>
      <c r="B29" s="8" t="s">
        <v>917</v>
      </c>
      <c r="C29" s="8" t="s">
        <v>907</v>
      </c>
      <c r="D29" s="10">
        <v>2214</v>
      </c>
      <c r="E29" s="10">
        <v>3660</v>
      </c>
      <c r="F29" s="8" t="b">
        <v>0</v>
      </c>
    </row>
    <row r="30" spans="1:6" ht="14.25" customHeight="1" x14ac:dyDescent="0.3">
      <c r="A30" s="8" t="s">
        <v>918</v>
      </c>
      <c r="B30" s="8" t="s">
        <v>919</v>
      </c>
      <c r="C30" s="8" t="s">
        <v>907</v>
      </c>
      <c r="D30" s="10">
        <v>1010</v>
      </c>
      <c r="E30" s="10">
        <v>2210</v>
      </c>
      <c r="F30" s="8" t="b">
        <v>1</v>
      </c>
    </row>
    <row r="31" spans="1:6" ht="14.25" customHeight="1" x14ac:dyDescent="0.3">
      <c r="A31" s="8" t="s">
        <v>171</v>
      </c>
      <c r="B31" s="8" t="s">
        <v>920</v>
      </c>
      <c r="C31" s="8" t="s">
        <v>907</v>
      </c>
      <c r="D31" s="10">
        <v>434</v>
      </c>
      <c r="E31" s="10">
        <v>970</v>
      </c>
      <c r="F31" s="8" t="b">
        <v>1</v>
      </c>
    </row>
    <row r="32" spans="1:6" ht="14.25" customHeight="1" x14ac:dyDescent="0.3">
      <c r="A32" s="8" t="s">
        <v>569</v>
      </c>
      <c r="B32" s="8" t="s">
        <v>921</v>
      </c>
      <c r="C32" s="8" t="s">
        <v>922</v>
      </c>
      <c r="D32" s="10">
        <v>2135</v>
      </c>
      <c r="E32" s="10">
        <v>3730</v>
      </c>
      <c r="F32" s="8" t="b">
        <v>1</v>
      </c>
    </row>
    <row r="33" spans="1:6" ht="14.25" customHeight="1" x14ac:dyDescent="0.3">
      <c r="A33" s="8" t="s">
        <v>144</v>
      </c>
      <c r="B33" s="8" t="s">
        <v>923</v>
      </c>
      <c r="C33" s="8" t="s">
        <v>922</v>
      </c>
      <c r="D33" s="10">
        <v>288</v>
      </c>
      <c r="E33" s="10">
        <v>370</v>
      </c>
      <c r="F33" s="8" t="b">
        <v>1</v>
      </c>
    </row>
    <row r="34" spans="1:6" ht="14.25" customHeight="1" x14ac:dyDescent="0.3">
      <c r="A34" s="8" t="s">
        <v>924</v>
      </c>
      <c r="B34" s="8" t="s">
        <v>925</v>
      </c>
      <c r="C34" s="8" t="s">
        <v>922</v>
      </c>
      <c r="D34" s="10">
        <v>1143</v>
      </c>
      <c r="E34" s="10">
        <v>2030</v>
      </c>
      <c r="F34" s="8" t="b">
        <v>1</v>
      </c>
    </row>
    <row r="35" spans="1:6" ht="14.25" customHeight="1" x14ac:dyDescent="0.3">
      <c r="A35" s="8" t="s">
        <v>926</v>
      </c>
      <c r="B35" s="8" t="s">
        <v>927</v>
      </c>
      <c r="C35" s="8" t="s">
        <v>922</v>
      </c>
      <c r="D35" s="10">
        <v>2459</v>
      </c>
      <c r="E35" s="10">
        <v>5080</v>
      </c>
      <c r="F35" s="8" t="b">
        <v>1</v>
      </c>
    </row>
    <row r="36" spans="1:6" ht="14.25" customHeight="1" x14ac:dyDescent="0.3">
      <c r="A36" s="8" t="s">
        <v>929</v>
      </c>
      <c r="B36" s="8" t="s">
        <v>930</v>
      </c>
      <c r="C36" s="8" t="s">
        <v>922</v>
      </c>
      <c r="D36" s="10">
        <v>464</v>
      </c>
      <c r="E36" s="10">
        <v>1090</v>
      </c>
      <c r="F36" s="8" t="b">
        <v>1</v>
      </c>
    </row>
    <row r="37" spans="1:6" ht="14.25" customHeight="1" x14ac:dyDescent="0.3">
      <c r="A37" s="8" t="s">
        <v>192</v>
      </c>
      <c r="B37" s="8" t="s">
        <v>931</v>
      </c>
      <c r="C37" s="8" t="s">
        <v>922</v>
      </c>
      <c r="D37" s="10">
        <v>1556</v>
      </c>
      <c r="E37" s="10">
        <v>3250</v>
      </c>
      <c r="F37" s="8" t="b">
        <v>1</v>
      </c>
    </row>
    <row r="38" spans="1:6" ht="14.25" customHeight="1" x14ac:dyDescent="0.3">
      <c r="A38" s="8" t="s">
        <v>389</v>
      </c>
      <c r="B38" s="8" t="s">
        <v>932</v>
      </c>
      <c r="C38" s="8" t="s">
        <v>922</v>
      </c>
      <c r="D38" s="10">
        <v>329</v>
      </c>
      <c r="E38" s="10">
        <v>660</v>
      </c>
      <c r="F38" s="8" t="b">
        <v>1</v>
      </c>
    </row>
    <row r="39" spans="1:6" ht="14.25" customHeight="1" x14ac:dyDescent="0.3">
      <c r="A39" s="8" t="s">
        <v>163</v>
      </c>
      <c r="B39" s="8" t="s">
        <v>934</v>
      </c>
      <c r="C39" s="8" t="s">
        <v>922</v>
      </c>
      <c r="D39" s="10">
        <v>2549</v>
      </c>
      <c r="E39" s="10">
        <v>5490</v>
      </c>
      <c r="F39" s="8" t="b">
        <v>1</v>
      </c>
    </row>
    <row r="40" spans="1:6" ht="14.25" customHeight="1" x14ac:dyDescent="0.3">
      <c r="A40" s="8" t="s">
        <v>839</v>
      </c>
      <c r="B40" s="8" t="s">
        <v>935</v>
      </c>
      <c r="C40" s="8" t="s">
        <v>922</v>
      </c>
      <c r="D40" s="10">
        <v>1850</v>
      </c>
      <c r="E40" s="10">
        <v>4610</v>
      </c>
      <c r="F40" s="8" t="b">
        <v>1</v>
      </c>
    </row>
    <row r="41" spans="1:6" ht="14.25" customHeight="1" x14ac:dyDescent="0.3">
      <c r="A41" s="8" t="s">
        <v>224</v>
      </c>
      <c r="B41" s="8" t="s">
        <v>936</v>
      </c>
      <c r="C41" s="8" t="s">
        <v>922</v>
      </c>
      <c r="D41" s="10">
        <v>519</v>
      </c>
      <c r="E41" s="10">
        <v>1080</v>
      </c>
      <c r="F41" s="8" t="b">
        <v>1</v>
      </c>
    </row>
    <row r="42" spans="1:6" ht="14.25" customHeight="1" x14ac:dyDescent="0.3">
      <c r="A42" s="8" t="s">
        <v>789</v>
      </c>
      <c r="B42" s="8" t="s">
        <v>937</v>
      </c>
      <c r="C42" s="8" t="s">
        <v>938</v>
      </c>
      <c r="D42" s="10">
        <v>647</v>
      </c>
      <c r="E42" s="10">
        <v>1540</v>
      </c>
      <c r="F42" s="8" t="b">
        <v>0</v>
      </c>
    </row>
    <row r="43" spans="1:6" ht="14.25" customHeight="1" x14ac:dyDescent="0.3">
      <c r="A43" s="8" t="s">
        <v>939</v>
      </c>
      <c r="B43" s="8" t="s">
        <v>940</v>
      </c>
      <c r="C43" s="8" t="s">
        <v>938</v>
      </c>
      <c r="D43" s="10">
        <v>1219</v>
      </c>
      <c r="E43" s="10">
        <v>2290</v>
      </c>
      <c r="F43" s="8" t="b">
        <v>1</v>
      </c>
    </row>
    <row r="44" spans="1:6" ht="14.25" customHeight="1" x14ac:dyDescent="0.3">
      <c r="A44" s="8" t="s">
        <v>247</v>
      </c>
      <c r="B44" s="8" t="s">
        <v>941</v>
      </c>
      <c r="C44" s="8" t="s">
        <v>938</v>
      </c>
      <c r="D44" s="10">
        <v>1728</v>
      </c>
      <c r="E44" s="10">
        <v>3350</v>
      </c>
      <c r="F44" s="8" t="b">
        <v>1</v>
      </c>
    </row>
    <row r="45" spans="1:6" ht="14.25" customHeight="1" x14ac:dyDescent="0.3">
      <c r="A45" s="8" t="s">
        <v>242</v>
      </c>
      <c r="B45" s="8" t="s">
        <v>942</v>
      </c>
      <c r="C45" s="8" t="s">
        <v>938</v>
      </c>
      <c r="D45" s="10">
        <v>1222</v>
      </c>
      <c r="E45" s="10">
        <v>1650</v>
      </c>
      <c r="F45" s="8" t="b">
        <v>1</v>
      </c>
    </row>
    <row r="46" spans="1:6" ht="14.25" customHeight="1" x14ac:dyDescent="0.3">
      <c r="A46" s="8" t="s">
        <v>867</v>
      </c>
      <c r="B46" s="8" t="s">
        <v>944</v>
      </c>
      <c r="C46" s="8" t="s">
        <v>938</v>
      </c>
      <c r="D46" s="10">
        <v>1626</v>
      </c>
      <c r="E46" s="10">
        <v>3020</v>
      </c>
      <c r="F46" s="8" t="b">
        <v>1</v>
      </c>
    </row>
    <row r="47" spans="1:6" ht="14.25" customHeight="1" x14ac:dyDescent="0.3">
      <c r="A47" s="8" t="s">
        <v>283</v>
      </c>
      <c r="B47" s="8" t="s">
        <v>945</v>
      </c>
      <c r="C47" s="8" t="s">
        <v>938</v>
      </c>
      <c r="D47" s="10">
        <v>2768</v>
      </c>
      <c r="E47" s="10">
        <v>4880</v>
      </c>
      <c r="F47" s="8" t="b">
        <v>1</v>
      </c>
    </row>
    <row r="48" spans="1:6" ht="14.25" customHeight="1" x14ac:dyDescent="0.3">
      <c r="A48" s="8" t="s">
        <v>215</v>
      </c>
      <c r="B48" s="8" t="s">
        <v>946</v>
      </c>
      <c r="C48" s="8" t="s">
        <v>938</v>
      </c>
      <c r="D48" s="10">
        <v>2420</v>
      </c>
      <c r="E48" s="10">
        <v>3450</v>
      </c>
      <c r="F48" s="8" t="b">
        <v>1</v>
      </c>
    </row>
    <row r="49" spans="1:6" ht="14.25" customHeight="1" x14ac:dyDescent="0.3">
      <c r="A49" s="8" t="s">
        <v>320</v>
      </c>
      <c r="B49" s="8" t="s">
        <v>948</v>
      </c>
      <c r="C49" s="8" t="s">
        <v>938</v>
      </c>
      <c r="D49" s="10">
        <v>2237</v>
      </c>
      <c r="E49" s="10">
        <v>5100</v>
      </c>
      <c r="F49" s="8" t="b">
        <v>1</v>
      </c>
    </row>
    <row r="50" spans="1:6" ht="14.25" customHeight="1" x14ac:dyDescent="0.3">
      <c r="A50" s="8" t="s">
        <v>949</v>
      </c>
      <c r="B50" s="8" t="s">
        <v>950</v>
      </c>
      <c r="C50" s="8" t="s">
        <v>938</v>
      </c>
      <c r="D50" s="10">
        <v>675</v>
      </c>
      <c r="E50" s="10">
        <v>960</v>
      </c>
      <c r="F50" s="8" t="b">
        <v>1</v>
      </c>
    </row>
    <row r="51" spans="1:6" ht="14.25" customHeight="1" x14ac:dyDescent="0.3">
      <c r="A51" s="8" t="s">
        <v>662</v>
      </c>
      <c r="B51" s="8" t="s">
        <v>951</v>
      </c>
      <c r="C51" s="8" t="s">
        <v>938</v>
      </c>
      <c r="D51" s="10">
        <v>2617</v>
      </c>
      <c r="E51" s="10">
        <v>6080</v>
      </c>
      <c r="F51" s="8" t="b">
        <v>1</v>
      </c>
    </row>
    <row r="52" spans="1:6" ht="14.25" customHeight="1" x14ac:dyDescent="0.3">
      <c r="A52" s="8" t="s">
        <v>219</v>
      </c>
      <c r="B52" s="8" t="s">
        <v>952</v>
      </c>
      <c r="C52" s="8" t="s">
        <v>953</v>
      </c>
      <c r="D52" s="10">
        <v>2467</v>
      </c>
      <c r="E52" s="10">
        <v>3450</v>
      </c>
      <c r="F52" s="8" t="b">
        <v>1</v>
      </c>
    </row>
    <row r="53" spans="1:6" ht="14.25" customHeight="1" x14ac:dyDescent="0.3">
      <c r="A53" s="8" t="s">
        <v>954</v>
      </c>
      <c r="B53" s="8" t="s">
        <v>955</v>
      </c>
      <c r="C53" s="8" t="s">
        <v>953</v>
      </c>
      <c r="D53" s="10">
        <v>2265</v>
      </c>
      <c r="E53" s="10">
        <v>5410</v>
      </c>
      <c r="F53" s="8" t="b">
        <v>1</v>
      </c>
    </row>
    <row r="54" spans="1:6" ht="14.25" customHeight="1" x14ac:dyDescent="0.3">
      <c r="A54" s="8" t="s">
        <v>116</v>
      </c>
      <c r="B54" s="8" t="s">
        <v>956</v>
      </c>
      <c r="C54" s="8" t="s">
        <v>953</v>
      </c>
      <c r="D54" s="10">
        <v>302</v>
      </c>
      <c r="E54" s="10">
        <v>470</v>
      </c>
      <c r="F54" s="8" t="b">
        <v>0</v>
      </c>
    </row>
    <row r="55" spans="1:6" ht="14.25" customHeight="1" x14ac:dyDescent="0.3">
      <c r="A55" s="8" t="s">
        <v>260</v>
      </c>
      <c r="B55" s="8" t="s">
        <v>957</v>
      </c>
      <c r="C55" s="8" t="s">
        <v>953</v>
      </c>
      <c r="D55" s="10">
        <v>516</v>
      </c>
      <c r="E55" s="10">
        <v>1010</v>
      </c>
      <c r="F55" s="8" t="b">
        <v>1</v>
      </c>
    </row>
    <row r="56" spans="1:6" ht="14.25" customHeight="1" x14ac:dyDescent="0.3">
      <c r="A56" s="8" t="s">
        <v>338</v>
      </c>
      <c r="B56" s="8" t="s">
        <v>958</v>
      </c>
      <c r="C56" s="8" t="s">
        <v>953</v>
      </c>
      <c r="D56" s="10">
        <v>2028</v>
      </c>
      <c r="E56" s="10">
        <v>2860</v>
      </c>
      <c r="F56" s="8" t="b">
        <v>1</v>
      </c>
    </row>
    <row r="57" spans="1:6" ht="14.25" customHeight="1" x14ac:dyDescent="0.3">
      <c r="A57" s="8" t="s">
        <v>959</v>
      </c>
      <c r="B57" s="8" t="s">
        <v>960</v>
      </c>
      <c r="C57" s="8" t="s">
        <v>953</v>
      </c>
      <c r="D57" s="10">
        <v>2827</v>
      </c>
      <c r="E57" s="10">
        <v>6940</v>
      </c>
      <c r="F57" s="8" t="b">
        <v>1</v>
      </c>
    </row>
    <row r="58" spans="1:6" ht="14.25" customHeight="1" x14ac:dyDescent="0.3">
      <c r="A58" s="8" t="s">
        <v>152</v>
      </c>
      <c r="B58" s="8" t="s">
        <v>962</v>
      </c>
      <c r="C58" s="8" t="s">
        <v>953</v>
      </c>
      <c r="D58" s="10">
        <v>705</v>
      </c>
      <c r="E58" s="10">
        <v>960</v>
      </c>
      <c r="F58" s="8" t="b">
        <v>1</v>
      </c>
    </row>
    <row r="59" spans="1:6" ht="14.25" customHeight="1" x14ac:dyDescent="0.3">
      <c r="A59" s="8" t="s">
        <v>205</v>
      </c>
      <c r="B59" s="8" t="s">
        <v>963</v>
      </c>
      <c r="C59" s="8" t="s">
        <v>953</v>
      </c>
      <c r="D59" s="10">
        <v>974</v>
      </c>
      <c r="E59" s="10">
        <v>2400</v>
      </c>
      <c r="F59" s="8" t="b">
        <v>1</v>
      </c>
    </row>
    <row r="60" spans="1:6" ht="14.25" customHeight="1" x14ac:dyDescent="0.3">
      <c r="A60" s="8" t="s">
        <v>964</v>
      </c>
      <c r="B60" s="8" t="s">
        <v>965</v>
      </c>
      <c r="C60" s="8" t="s">
        <v>953</v>
      </c>
      <c r="D60" s="10">
        <v>1860</v>
      </c>
      <c r="E60" s="10">
        <v>3780</v>
      </c>
      <c r="F60" s="8" t="b">
        <v>1</v>
      </c>
    </row>
    <row r="61" spans="1:6" ht="14.25" customHeight="1" x14ac:dyDescent="0.3">
      <c r="A61" s="8" t="s">
        <v>199</v>
      </c>
      <c r="B61" s="8" t="s">
        <v>966</v>
      </c>
      <c r="C61" s="8" t="s">
        <v>953</v>
      </c>
      <c r="D61" s="10">
        <v>147</v>
      </c>
      <c r="E61" s="10">
        <v>190</v>
      </c>
      <c r="F61" s="8" t="b">
        <v>1</v>
      </c>
    </row>
    <row r="62" spans="1:6" ht="14.25" customHeight="1" x14ac:dyDescent="0.3"/>
    <row r="63" spans="1:6" ht="14.25" customHeight="1" x14ac:dyDescent="0.3"/>
    <row r="64" spans="1: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  <pageSetUpPr fitToPage="1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  <col min="6" max="26" width="8.6640625" customWidth="1"/>
  </cols>
  <sheetData>
    <row r="1" spans="1:5" ht="14.25" customHeight="1" x14ac:dyDescent="0.3">
      <c r="A1" s="3" t="s">
        <v>979</v>
      </c>
      <c r="B1" s="3" t="s">
        <v>980</v>
      </c>
      <c r="C1" s="3" t="s">
        <v>982</v>
      </c>
      <c r="D1" s="3" t="s">
        <v>983</v>
      </c>
      <c r="E1" s="3" t="s">
        <v>984</v>
      </c>
    </row>
    <row r="2" spans="1:5" ht="14.25" customHeight="1" x14ac:dyDescent="0.3">
      <c r="A2" s="8" t="s">
        <v>231</v>
      </c>
      <c r="B2" s="8" t="s">
        <v>985</v>
      </c>
      <c r="C2" s="8" t="s">
        <v>986</v>
      </c>
      <c r="D2" s="9">
        <v>44207</v>
      </c>
      <c r="E2" s="8"/>
    </row>
    <row r="3" spans="1:5" ht="14.25" customHeight="1" x14ac:dyDescent="0.3">
      <c r="A3" s="8" t="s">
        <v>261</v>
      </c>
      <c r="B3" s="8" t="s">
        <v>987</v>
      </c>
      <c r="C3" s="8" t="s">
        <v>986</v>
      </c>
      <c r="D3" s="9">
        <v>44028</v>
      </c>
      <c r="E3" s="8"/>
    </row>
    <row r="4" spans="1:5" ht="14.25" customHeight="1" x14ac:dyDescent="0.3">
      <c r="A4" s="8" t="s">
        <v>200</v>
      </c>
      <c r="B4" s="8" t="s">
        <v>988</v>
      </c>
      <c r="C4" s="8" t="s">
        <v>986</v>
      </c>
      <c r="D4" s="9">
        <v>43651</v>
      </c>
      <c r="E4" s="8"/>
    </row>
    <row r="5" spans="1:5" ht="14.25" customHeight="1" x14ac:dyDescent="0.3">
      <c r="A5" s="8" t="s">
        <v>185</v>
      </c>
      <c r="B5" s="8" t="s">
        <v>989</v>
      </c>
      <c r="C5" s="8" t="s">
        <v>986</v>
      </c>
      <c r="D5" s="9">
        <v>44907</v>
      </c>
      <c r="E5" s="8"/>
    </row>
    <row r="6" spans="1:5" ht="14.25" customHeight="1" x14ac:dyDescent="0.3">
      <c r="A6" s="8" t="s">
        <v>96</v>
      </c>
      <c r="B6" s="8" t="s">
        <v>990</v>
      </c>
      <c r="C6" s="8" t="s">
        <v>986</v>
      </c>
      <c r="D6" s="9">
        <v>43588</v>
      </c>
      <c r="E6" s="8" t="s">
        <v>231</v>
      </c>
    </row>
    <row r="7" spans="1:5" ht="14.25" customHeight="1" x14ac:dyDescent="0.3">
      <c r="A7" s="8" t="s">
        <v>125</v>
      </c>
      <c r="B7" s="8" t="s">
        <v>850</v>
      </c>
      <c r="C7" s="8" t="s">
        <v>986</v>
      </c>
      <c r="D7" s="9">
        <v>44131</v>
      </c>
      <c r="E7" s="8" t="s">
        <v>231</v>
      </c>
    </row>
    <row r="8" spans="1:5" ht="14.25" customHeight="1" x14ac:dyDescent="0.3">
      <c r="A8" s="8" t="s">
        <v>38</v>
      </c>
      <c r="B8" s="8" t="s">
        <v>991</v>
      </c>
      <c r="C8" s="8" t="s">
        <v>986</v>
      </c>
      <c r="D8" s="9">
        <v>43493</v>
      </c>
      <c r="E8" s="8" t="s">
        <v>231</v>
      </c>
    </row>
    <row r="9" spans="1:5" ht="14.25" customHeight="1" x14ac:dyDescent="0.3">
      <c r="A9" s="8" t="s">
        <v>135</v>
      </c>
      <c r="B9" s="8" t="s">
        <v>827</v>
      </c>
      <c r="C9" s="8" t="s">
        <v>986</v>
      </c>
      <c r="D9" s="9">
        <v>44693</v>
      </c>
      <c r="E9" s="8" t="s">
        <v>231</v>
      </c>
    </row>
    <row r="10" spans="1:5" ht="14.25" customHeight="1" x14ac:dyDescent="0.3">
      <c r="A10" s="8" t="s">
        <v>214</v>
      </c>
      <c r="B10" s="8" t="s">
        <v>992</v>
      </c>
      <c r="C10" s="8" t="s">
        <v>128</v>
      </c>
      <c r="D10" s="9">
        <v>44804</v>
      </c>
      <c r="E10" s="8" t="s">
        <v>261</v>
      </c>
    </row>
    <row r="11" spans="1:5" ht="14.25" customHeight="1" x14ac:dyDescent="0.3">
      <c r="A11" s="8" t="s">
        <v>177</v>
      </c>
      <c r="B11" s="8" t="s">
        <v>993</v>
      </c>
      <c r="C11" s="8" t="s">
        <v>128</v>
      </c>
      <c r="D11" s="9">
        <v>43904</v>
      </c>
      <c r="E11" s="8" t="s">
        <v>261</v>
      </c>
    </row>
    <row r="12" spans="1:5" ht="14.25" customHeight="1" x14ac:dyDescent="0.3">
      <c r="A12" s="8" t="s">
        <v>865</v>
      </c>
      <c r="B12" s="8" t="s">
        <v>994</v>
      </c>
      <c r="C12" s="8" t="s">
        <v>128</v>
      </c>
      <c r="D12" s="9">
        <v>44622</v>
      </c>
      <c r="E12" s="8" t="s">
        <v>261</v>
      </c>
    </row>
    <row r="13" spans="1:5" ht="14.25" customHeight="1" x14ac:dyDescent="0.3">
      <c r="A13" s="8" t="s">
        <v>189</v>
      </c>
      <c r="B13" s="8" t="s">
        <v>995</v>
      </c>
      <c r="C13" s="8" t="s">
        <v>128</v>
      </c>
      <c r="D13" s="9">
        <v>44890</v>
      </c>
      <c r="E13" s="8" t="s">
        <v>261</v>
      </c>
    </row>
    <row r="14" spans="1:5" ht="14.25" customHeight="1" x14ac:dyDescent="0.3">
      <c r="A14" s="8" t="s">
        <v>745</v>
      </c>
      <c r="B14" s="8" t="s">
        <v>996</v>
      </c>
      <c r="C14" s="8" t="s">
        <v>128</v>
      </c>
      <c r="D14" s="9">
        <v>45215</v>
      </c>
      <c r="E14" s="8" t="s">
        <v>261</v>
      </c>
    </row>
    <row r="15" spans="1:5" ht="14.25" customHeight="1" x14ac:dyDescent="0.3">
      <c r="A15" s="8" t="s">
        <v>117</v>
      </c>
      <c r="B15" s="8" t="s">
        <v>998</v>
      </c>
      <c r="C15" s="8" t="s">
        <v>128</v>
      </c>
      <c r="D15" s="9">
        <v>44469</v>
      </c>
      <c r="E15" s="8" t="s">
        <v>261</v>
      </c>
    </row>
    <row r="16" spans="1:5" ht="14.25" customHeight="1" x14ac:dyDescent="0.3">
      <c r="A16" s="8" t="s">
        <v>301</v>
      </c>
      <c r="B16" s="8" t="s">
        <v>999</v>
      </c>
      <c r="C16" s="8" t="s">
        <v>128</v>
      </c>
      <c r="D16" s="9">
        <v>45231</v>
      </c>
      <c r="E16" s="8" t="s">
        <v>261</v>
      </c>
    </row>
    <row r="17" spans="1:5" ht="14.25" customHeight="1" x14ac:dyDescent="0.3">
      <c r="A17" s="8" t="s">
        <v>221</v>
      </c>
      <c r="B17" s="8" t="s">
        <v>1001</v>
      </c>
      <c r="C17" s="8" t="s">
        <v>128</v>
      </c>
      <c r="D17" s="9">
        <v>43614</v>
      </c>
      <c r="E17" s="8" t="s">
        <v>261</v>
      </c>
    </row>
    <row r="18" spans="1:5" ht="14.25" customHeight="1" x14ac:dyDescent="0.3">
      <c r="A18" s="8" t="s">
        <v>121</v>
      </c>
      <c r="B18" s="8" t="s">
        <v>1002</v>
      </c>
      <c r="C18" s="8" t="s">
        <v>1003</v>
      </c>
      <c r="D18" s="9">
        <v>43685</v>
      </c>
      <c r="E18" s="8" t="s">
        <v>200</v>
      </c>
    </row>
    <row r="19" spans="1:5" ht="14.25" customHeight="1" x14ac:dyDescent="0.3">
      <c r="A19" s="8" t="s">
        <v>167</v>
      </c>
      <c r="B19" s="8" t="s">
        <v>1004</v>
      </c>
      <c r="C19" s="8" t="s">
        <v>1003</v>
      </c>
      <c r="D19" s="9">
        <v>43428</v>
      </c>
      <c r="E19" s="8" t="s">
        <v>200</v>
      </c>
    </row>
    <row r="20" spans="1:5" ht="14.25" customHeight="1" x14ac:dyDescent="0.3">
      <c r="A20" s="8" t="s">
        <v>158</v>
      </c>
      <c r="B20" s="8" t="s">
        <v>1005</v>
      </c>
      <c r="C20" s="8" t="s">
        <v>1003</v>
      </c>
      <c r="D20" s="9">
        <v>43576</v>
      </c>
      <c r="E20" s="8" t="s">
        <v>200</v>
      </c>
    </row>
    <row r="21" spans="1:5" ht="14.25" customHeight="1" x14ac:dyDescent="0.3">
      <c r="A21" s="8" t="s">
        <v>321</v>
      </c>
      <c r="B21" s="8" t="s">
        <v>1006</v>
      </c>
      <c r="C21" s="8" t="s">
        <v>1003</v>
      </c>
      <c r="D21" s="9">
        <v>43254</v>
      </c>
      <c r="E21" s="8" t="s">
        <v>200</v>
      </c>
    </row>
    <row r="22" spans="1:5" ht="14.25" customHeight="1" x14ac:dyDescent="0.3">
      <c r="A22" s="8" t="s">
        <v>216</v>
      </c>
      <c r="B22" s="8" t="s">
        <v>1007</v>
      </c>
      <c r="C22" s="8" t="s">
        <v>1003</v>
      </c>
      <c r="D22" s="9">
        <v>43260</v>
      </c>
      <c r="E22" s="8" t="s">
        <v>200</v>
      </c>
    </row>
    <row r="23" spans="1:5" ht="14.25" customHeight="1" x14ac:dyDescent="0.3">
      <c r="A23" s="8" t="s">
        <v>196</v>
      </c>
      <c r="B23" s="8" t="s">
        <v>1009</v>
      </c>
      <c r="C23" s="8" t="s">
        <v>1003</v>
      </c>
      <c r="D23" s="9">
        <v>43146</v>
      </c>
      <c r="E23" s="8" t="s">
        <v>200</v>
      </c>
    </row>
    <row r="24" spans="1:5" ht="14.25" customHeight="1" x14ac:dyDescent="0.3">
      <c r="A24" s="8" t="s">
        <v>208</v>
      </c>
      <c r="B24" s="8" t="s">
        <v>1010</v>
      </c>
      <c r="C24" s="8" t="s">
        <v>1003</v>
      </c>
      <c r="D24" s="9">
        <v>44777</v>
      </c>
      <c r="E24" s="8" t="s">
        <v>200</v>
      </c>
    </row>
    <row r="25" spans="1:5" ht="14.25" customHeight="1" x14ac:dyDescent="0.3">
      <c r="A25" s="8" t="s">
        <v>153</v>
      </c>
      <c r="B25" s="8" t="s">
        <v>1011</v>
      </c>
      <c r="C25" s="8" t="s">
        <v>1012</v>
      </c>
      <c r="D25" s="9">
        <v>43371</v>
      </c>
      <c r="E25" s="8" t="s">
        <v>185</v>
      </c>
    </row>
    <row r="26" spans="1:5" ht="14.25" customHeight="1" x14ac:dyDescent="0.3">
      <c r="A26" s="8" t="s">
        <v>145</v>
      </c>
      <c r="B26" s="8" t="s">
        <v>1013</v>
      </c>
      <c r="C26" s="8" t="s">
        <v>1012</v>
      </c>
      <c r="D26" s="9">
        <v>43781</v>
      </c>
      <c r="E26" s="8" t="s">
        <v>185</v>
      </c>
    </row>
    <row r="27" spans="1:5" ht="14.25" customHeight="1" x14ac:dyDescent="0.3">
      <c r="A27" s="8" t="s">
        <v>376</v>
      </c>
      <c r="B27" s="8" t="s">
        <v>1014</v>
      </c>
      <c r="C27" s="8" t="s">
        <v>1012</v>
      </c>
      <c r="D27" s="9">
        <v>43570</v>
      </c>
      <c r="E27" s="8" t="s">
        <v>185</v>
      </c>
    </row>
    <row r="28" spans="1:5" ht="14.25" customHeight="1" x14ac:dyDescent="0.3">
      <c r="A28" s="8" t="s">
        <v>619</v>
      </c>
      <c r="B28" s="8" t="s">
        <v>1015</v>
      </c>
      <c r="C28" s="8" t="s">
        <v>1012</v>
      </c>
      <c r="D28" s="9">
        <v>45199</v>
      </c>
      <c r="E28" s="8" t="s">
        <v>185</v>
      </c>
    </row>
    <row r="29" spans="1:5" ht="14.25" customHeight="1" x14ac:dyDescent="0.3">
      <c r="A29" s="8" t="s">
        <v>172</v>
      </c>
      <c r="B29" s="8" t="s">
        <v>1016</v>
      </c>
      <c r="C29" s="8" t="s">
        <v>1012</v>
      </c>
      <c r="D29" s="9">
        <v>44898</v>
      </c>
      <c r="E29" s="8" t="s">
        <v>185</v>
      </c>
    </row>
    <row r="30" spans="1:5" ht="14.25" customHeight="1" x14ac:dyDescent="0.3">
      <c r="A30" s="8" t="s">
        <v>236</v>
      </c>
      <c r="B30" s="8" t="s">
        <v>1017</v>
      </c>
      <c r="C30" s="8" t="s">
        <v>1012</v>
      </c>
      <c r="D30" s="9">
        <v>45191</v>
      </c>
      <c r="E30" s="8" t="s">
        <v>185</v>
      </c>
    </row>
    <row r="31" spans="1:5" ht="14.25" customHeight="1" x14ac:dyDescent="0.3">
      <c r="A31" s="8" t="s">
        <v>143</v>
      </c>
      <c r="B31" s="8" t="s">
        <v>1019</v>
      </c>
      <c r="C31" s="8" t="s">
        <v>1012</v>
      </c>
      <c r="D31" s="9">
        <v>44506</v>
      </c>
      <c r="E31" s="8" t="s">
        <v>185</v>
      </c>
    </row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  <pageSetUpPr fitToPage="1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3" width="8" customWidth="1"/>
    <col min="14" max="26" width="8.6640625" customWidth="1"/>
  </cols>
  <sheetData>
    <row r="1" spans="1:13" ht="14.25" customHeight="1" x14ac:dyDescent="0.3">
      <c r="A1" s="3" t="s">
        <v>979</v>
      </c>
      <c r="B1" s="3" t="s">
        <v>1025</v>
      </c>
      <c r="C1" s="3" t="s">
        <v>1026</v>
      </c>
      <c r="D1" s="3" t="s">
        <v>1027</v>
      </c>
      <c r="E1" s="3" t="s">
        <v>1028</v>
      </c>
      <c r="F1" s="3" t="s">
        <v>1029</v>
      </c>
      <c r="G1" s="3" t="s">
        <v>1030</v>
      </c>
      <c r="H1" s="3" t="s">
        <v>1031</v>
      </c>
      <c r="I1" s="3" t="s">
        <v>1032</v>
      </c>
      <c r="J1" s="3" t="s">
        <v>1033</v>
      </c>
      <c r="K1" s="3" t="s">
        <v>1034</v>
      </c>
      <c r="L1" s="3" t="s">
        <v>1035</v>
      </c>
      <c r="M1" s="3" t="s">
        <v>1036</v>
      </c>
    </row>
    <row r="2" spans="1:13" ht="14.25" customHeight="1" x14ac:dyDescent="0.3">
      <c r="A2" s="8" t="s">
        <v>231</v>
      </c>
      <c r="B2" s="10">
        <v>231324</v>
      </c>
      <c r="C2" s="10">
        <v>171682</v>
      </c>
      <c r="D2" s="10">
        <v>234376</v>
      </c>
      <c r="E2" s="10">
        <v>326967</v>
      </c>
      <c r="F2" s="10">
        <v>350588</v>
      </c>
      <c r="G2" s="10">
        <v>385324</v>
      </c>
      <c r="H2" s="10">
        <v>307980</v>
      </c>
      <c r="I2" s="10">
        <v>327947</v>
      </c>
      <c r="J2" s="10">
        <v>181016</v>
      </c>
      <c r="K2" s="10">
        <v>374039</v>
      </c>
      <c r="L2" s="10">
        <v>212805</v>
      </c>
      <c r="M2" s="10">
        <v>405999</v>
      </c>
    </row>
    <row r="3" spans="1:13" ht="14.25" customHeight="1" x14ac:dyDescent="0.3">
      <c r="A3" s="8" t="s">
        <v>261</v>
      </c>
      <c r="B3" s="10">
        <v>438126</v>
      </c>
      <c r="C3" s="10">
        <v>346266</v>
      </c>
      <c r="D3" s="10">
        <v>329993</v>
      </c>
      <c r="E3" s="10">
        <v>370744</v>
      </c>
      <c r="F3" s="10">
        <v>294660</v>
      </c>
      <c r="G3" s="10">
        <v>341556</v>
      </c>
      <c r="H3" s="10">
        <v>151934</v>
      </c>
      <c r="I3" s="10">
        <v>223794</v>
      </c>
      <c r="J3" s="10">
        <v>438641</v>
      </c>
      <c r="K3" s="10">
        <v>344308</v>
      </c>
      <c r="L3" s="10">
        <v>296172</v>
      </c>
      <c r="M3" s="10">
        <v>304288</v>
      </c>
    </row>
    <row r="4" spans="1:13" ht="14.25" customHeight="1" x14ac:dyDescent="0.3">
      <c r="A4" s="8" t="s">
        <v>200</v>
      </c>
      <c r="B4" s="10">
        <v>358703</v>
      </c>
      <c r="C4" s="10">
        <v>320519</v>
      </c>
      <c r="D4" s="10">
        <v>327321</v>
      </c>
      <c r="E4" s="10">
        <v>298753</v>
      </c>
      <c r="F4" s="10">
        <v>254636</v>
      </c>
      <c r="G4" s="10">
        <v>351929</v>
      </c>
      <c r="H4" s="10">
        <v>264723</v>
      </c>
      <c r="I4" s="10">
        <v>216459</v>
      </c>
      <c r="J4" s="10">
        <v>391945</v>
      </c>
      <c r="K4" s="10">
        <v>362426</v>
      </c>
      <c r="L4" s="10">
        <v>289199</v>
      </c>
      <c r="M4" s="10">
        <v>301863</v>
      </c>
    </row>
    <row r="5" spans="1:13" ht="14.25" customHeight="1" x14ac:dyDescent="0.3">
      <c r="A5" s="8" t="s">
        <v>185</v>
      </c>
      <c r="B5" s="10">
        <v>389594</v>
      </c>
      <c r="C5" s="10">
        <v>376422</v>
      </c>
      <c r="D5" s="10">
        <v>324156</v>
      </c>
      <c r="E5" s="10">
        <v>420255</v>
      </c>
      <c r="F5" s="10">
        <v>409107</v>
      </c>
      <c r="G5" s="10">
        <v>269954</v>
      </c>
      <c r="H5" s="10">
        <v>179097</v>
      </c>
      <c r="I5" s="10">
        <v>370568</v>
      </c>
      <c r="J5" s="10">
        <v>387395</v>
      </c>
      <c r="K5" s="10">
        <v>243454</v>
      </c>
      <c r="L5" s="10">
        <v>232530</v>
      </c>
      <c r="M5" s="10">
        <v>201999</v>
      </c>
    </row>
    <row r="6" spans="1:13" ht="14.25" customHeight="1" x14ac:dyDescent="0.3">
      <c r="A6" s="8" t="s">
        <v>96</v>
      </c>
      <c r="B6" s="10">
        <v>436862</v>
      </c>
      <c r="C6" s="10">
        <v>391158</v>
      </c>
      <c r="D6" s="10">
        <v>340224</v>
      </c>
      <c r="E6" s="10">
        <v>170548</v>
      </c>
      <c r="F6" s="10">
        <v>229390</v>
      </c>
      <c r="G6" s="10">
        <v>349525</v>
      </c>
      <c r="H6" s="10">
        <v>154683</v>
      </c>
      <c r="I6" s="10">
        <v>320848</v>
      </c>
      <c r="J6" s="10">
        <v>354452</v>
      </c>
      <c r="K6" s="10">
        <v>377180</v>
      </c>
      <c r="L6" s="10">
        <v>342347</v>
      </c>
      <c r="M6" s="10">
        <v>183362</v>
      </c>
    </row>
    <row r="7" spans="1:13" ht="14.25" customHeight="1" x14ac:dyDescent="0.3">
      <c r="A7" s="8" t="s">
        <v>125</v>
      </c>
      <c r="B7" s="10">
        <v>348734</v>
      </c>
      <c r="C7" s="10">
        <v>358191</v>
      </c>
      <c r="D7" s="10">
        <v>250385</v>
      </c>
      <c r="E7" s="10">
        <v>219657</v>
      </c>
      <c r="F7" s="10">
        <v>249365</v>
      </c>
      <c r="G7" s="10">
        <v>435704</v>
      </c>
      <c r="H7" s="10">
        <v>260892</v>
      </c>
      <c r="I7" s="10">
        <v>250741</v>
      </c>
      <c r="J7" s="10">
        <v>358402</v>
      </c>
      <c r="K7" s="10">
        <v>379858</v>
      </c>
      <c r="L7" s="10">
        <v>213280</v>
      </c>
      <c r="M7" s="10">
        <v>224634</v>
      </c>
    </row>
    <row r="8" spans="1:13" ht="14.25" customHeight="1" x14ac:dyDescent="0.3">
      <c r="A8" s="8" t="s">
        <v>38</v>
      </c>
      <c r="B8" s="10">
        <v>280057</v>
      </c>
      <c r="C8" s="10">
        <v>330342</v>
      </c>
      <c r="D8" s="10">
        <v>336856</v>
      </c>
      <c r="E8" s="10">
        <v>227425</v>
      </c>
      <c r="F8" s="10">
        <v>233647</v>
      </c>
      <c r="G8" s="10">
        <v>307088</v>
      </c>
      <c r="H8" s="10">
        <v>370724</v>
      </c>
      <c r="I8" s="10">
        <v>440008</v>
      </c>
      <c r="J8" s="10">
        <v>406347</v>
      </c>
      <c r="K8" s="10">
        <v>217357</v>
      </c>
      <c r="L8" s="10">
        <v>299289</v>
      </c>
      <c r="M8" s="10">
        <v>214568</v>
      </c>
    </row>
    <row r="9" spans="1:13" ht="14.25" customHeight="1" x14ac:dyDescent="0.3">
      <c r="A9" s="8" t="s">
        <v>135</v>
      </c>
      <c r="B9" s="10">
        <v>252886</v>
      </c>
      <c r="C9" s="10">
        <v>206057</v>
      </c>
      <c r="D9" s="10">
        <v>318209</v>
      </c>
      <c r="E9" s="10">
        <v>411230</v>
      </c>
      <c r="F9" s="10">
        <v>448660</v>
      </c>
      <c r="G9" s="10">
        <v>171135</v>
      </c>
      <c r="H9" s="10">
        <v>305339</v>
      </c>
      <c r="I9" s="10">
        <v>432264</v>
      </c>
      <c r="J9" s="10">
        <v>294273</v>
      </c>
      <c r="K9" s="10">
        <v>371409</v>
      </c>
      <c r="L9" s="10">
        <v>284207</v>
      </c>
      <c r="M9" s="10">
        <v>437068</v>
      </c>
    </row>
    <row r="10" spans="1:13" ht="14.25" customHeight="1" x14ac:dyDescent="0.3">
      <c r="A10" s="8" t="s">
        <v>214</v>
      </c>
      <c r="B10" s="10">
        <v>268752</v>
      </c>
      <c r="C10" s="10">
        <v>393256</v>
      </c>
      <c r="D10" s="10">
        <v>310649</v>
      </c>
      <c r="E10" s="10">
        <v>246237</v>
      </c>
      <c r="F10" s="10">
        <v>271287</v>
      </c>
      <c r="G10" s="10">
        <v>314545</v>
      </c>
      <c r="H10" s="10">
        <v>406506</v>
      </c>
      <c r="I10" s="10">
        <v>334930</v>
      </c>
      <c r="J10" s="10">
        <v>348625</v>
      </c>
      <c r="K10" s="10">
        <v>408928</v>
      </c>
      <c r="L10" s="10">
        <v>243749</v>
      </c>
      <c r="M10" s="10">
        <v>418409</v>
      </c>
    </row>
    <row r="11" spans="1:13" ht="14.25" customHeight="1" x14ac:dyDescent="0.3">
      <c r="A11" s="8" t="s">
        <v>177</v>
      </c>
      <c r="B11" s="10">
        <v>384734</v>
      </c>
      <c r="C11" s="10">
        <v>156698</v>
      </c>
      <c r="D11" s="10">
        <v>283679</v>
      </c>
      <c r="E11" s="10">
        <v>276085</v>
      </c>
      <c r="F11" s="10">
        <v>409270</v>
      </c>
      <c r="G11" s="10">
        <v>285230</v>
      </c>
      <c r="H11" s="10">
        <v>304233</v>
      </c>
      <c r="I11" s="10">
        <v>178221</v>
      </c>
      <c r="J11" s="10">
        <v>284216</v>
      </c>
      <c r="K11" s="10">
        <v>287373</v>
      </c>
      <c r="L11" s="10">
        <v>229082</v>
      </c>
      <c r="M11" s="10">
        <v>298969</v>
      </c>
    </row>
    <row r="12" spans="1:13" ht="14.25" customHeight="1" x14ac:dyDescent="0.3">
      <c r="A12" s="8" t="s">
        <v>865</v>
      </c>
      <c r="B12" s="10">
        <v>186029</v>
      </c>
      <c r="C12" s="10">
        <v>151419</v>
      </c>
      <c r="D12" s="10">
        <v>253251</v>
      </c>
      <c r="E12" s="10">
        <v>379757</v>
      </c>
      <c r="F12" s="10">
        <v>204209</v>
      </c>
      <c r="G12" s="10">
        <v>179396</v>
      </c>
      <c r="H12" s="10">
        <v>378008</v>
      </c>
      <c r="I12" s="10">
        <v>182649</v>
      </c>
      <c r="J12" s="10">
        <v>267772</v>
      </c>
      <c r="K12" s="10">
        <v>350352</v>
      </c>
      <c r="L12" s="10">
        <v>358042</v>
      </c>
      <c r="M12" s="10">
        <v>359960</v>
      </c>
    </row>
    <row r="13" spans="1:13" ht="14.25" customHeight="1" x14ac:dyDescent="0.3">
      <c r="A13" s="8" t="s">
        <v>189</v>
      </c>
      <c r="B13" s="10">
        <v>352158</v>
      </c>
      <c r="C13" s="10">
        <v>251181</v>
      </c>
      <c r="D13" s="10">
        <v>321255</v>
      </c>
      <c r="E13" s="10">
        <v>300863</v>
      </c>
      <c r="F13" s="10">
        <v>241731</v>
      </c>
      <c r="G13" s="10">
        <v>393275</v>
      </c>
      <c r="H13" s="10">
        <v>313561</v>
      </c>
      <c r="I13" s="10">
        <v>283604</v>
      </c>
      <c r="J13" s="10">
        <v>429065</v>
      </c>
      <c r="K13" s="10">
        <v>194420</v>
      </c>
      <c r="L13" s="10">
        <v>254168</v>
      </c>
      <c r="M13" s="10">
        <v>389283</v>
      </c>
    </row>
    <row r="14" spans="1:13" ht="14.25" customHeight="1" x14ac:dyDescent="0.3">
      <c r="A14" s="8" t="s">
        <v>745</v>
      </c>
      <c r="B14" s="10">
        <v>350003</v>
      </c>
      <c r="C14" s="10">
        <v>384951</v>
      </c>
      <c r="D14" s="10">
        <v>424777</v>
      </c>
      <c r="E14" s="10">
        <v>323282</v>
      </c>
      <c r="F14" s="10">
        <v>427290</v>
      </c>
      <c r="G14" s="10">
        <v>363819</v>
      </c>
      <c r="H14" s="10">
        <v>279496</v>
      </c>
      <c r="I14" s="10">
        <v>190932</v>
      </c>
      <c r="J14" s="10">
        <v>347420</v>
      </c>
      <c r="K14" s="10">
        <v>160215</v>
      </c>
      <c r="L14" s="10">
        <v>388600</v>
      </c>
      <c r="M14" s="10">
        <v>437901</v>
      </c>
    </row>
    <row r="15" spans="1:13" ht="14.25" customHeight="1" x14ac:dyDescent="0.3">
      <c r="A15" s="8" t="s">
        <v>117</v>
      </c>
      <c r="B15" s="10">
        <v>307327</v>
      </c>
      <c r="C15" s="10">
        <v>377256</v>
      </c>
      <c r="D15" s="10">
        <v>236349</v>
      </c>
      <c r="E15" s="10">
        <v>321223</v>
      </c>
      <c r="F15" s="10">
        <v>268119</v>
      </c>
      <c r="G15" s="10">
        <v>294020</v>
      </c>
      <c r="H15" s="10">
        <v>312180</v>
      </c>
      <c r="I15" s="10">
        <v>390845</v>
      </c>
      <c r="J15" s="10">
        <v>432317</v>
      </c>
      <c r="K15" s="10">
        <v>277613</v>
      </c>
      <c r="L15" s="10">
        <v>373411</v>
      </c>
      <c r="M15" s="10">
        <v>214349</v>
      </c>
    </row>
    <row r="16" spans="1:13" ht="14.25" customHeight="1" x14ac:dyDescent="0.3">
      <c r="A16" s="8" t="s">
        <v>301</v>
      </c>
      <c r="B16" s="10">
        <v>414207</v>
      </c>
      <c r="C16" s="10">
        <v>376391</v>
      </c>
      <c r="D16" s="10">
        <v>192739</v>
      </c>
      <c r="E16" s="10">
        <v>165892</v>
      </c>
      <c r="F16" s="10">
        <v>187659</v>
      </c>
      <c r="G16" s="10">
        <v>283837</v>
      </c>
      <c r="H16" s="10">
        <v>434871</v>
      </c>
      <c r="I16" s="10">
        <v>369518</v>
      </c>
      <c r="J16" s="10">
        <v>171986</v>
      </c>
      <c r="K16" s="10">
        <v>328460</v>
      </c>
      <c r="L16" s="10">
        <v>418857</v>
      </c>
      <c r="M16" s="10">
        <v>159947</v>
      </c>
    </row>
    <row r="17" spans="1:13" ht="14.25" customHeight="1" x14ac:dyDescent="0.3">
      <c r="A17" s="8" t="s">
        <v>221</v>
      </c>
      <c r="B17" s="10">
        <v>335614</v>
      </c>
      <c r="C17" s="10">
        <v>325577</v>
      </c>
      <c r="D17" s="10">
        <v>217575</v>
      </c>
      <c r="E17" s="10">
        <v>427851</v>
      </c>
      <c r="F17" s="10">
        <v>438020</v>
      </c>
      <c r="G17" s="10">
        <v>276675</v>
      </c>
      <c r="H17" s="10">
        <v>331096</v>
      </c>
      <c r="I17" s="10">
        <v>282103</v>
      </c>
      <c r="J17" s="10">
        <v>321062</v>
      </c>
      <c r="K17" s="10">
        <v>235137</v>
      </c>
      <c r="L17" s="10">
        <v>279755</v>
      </c>
      <c r="M17" s="10">
        <v>230523</v>
      </c>
    </row>
    <row r="18" spans="1:13" ht="14.25" customHeight="1" x14ac:dyDescent="0.3">
      <c r="A18" s="8" t="s">
        <v>121</v>
      </c>
      <c r="B18" s="10">
        <v>369725</v>
      </c>
      <c r="C18" s="10">
        <v>181516</v>
      </c>
      <c r="D18" s="10">
        <v>233993</v>
      </c>
      <c r="E18" s="10">
        <v>194261</v>
      </c>
      <c r="F18" s="10">
        <v>233332</v>
      </c>
      <c r="G18" s="10">
        <v>359011</v>
      </c>
      <c r="H18" s="10">
        <v>219264</v>
      </c>
      <c r="I18" s="10">
        <v>391688</v>
      </c>
      <c r="J18" s="10">
        <v>191502</v>
      </c>
      <c r="K18" s="10">
        <v>216536</v>
      </c>
      <c r="L18" s="10">
        <v>205649</v>
      </c>
      <c r="M18" s="10">
        <v>285932</v>
      </c>
    </row>
    <row r="19" spans="1:13" ht="14.25" customHeight="1" x14ac:dyDescent="0.3">
      <c r="A19" s="8" t="s">
        <v>167</v>
      </c>
      <c r="B19" s="10">
        <v>257718</v>
      </c>
      <c r="C19" s="10">
        <v>413773</v>
      </c>
      <c r="D19" s="10">
        <v>202301</v>
      </c>
      <c r="E19" s="10">
        <v>257477</v>
      </c>
      <c r="F19" s="10">
        <v>372470</v>
      </c>
      <c r="G19" s="10">
        <v>371047</v>
      </c>
      <c r="H19" s="10">
        <v>169457</v>
      </c>
      <c r="I19" s="10">
        <v>202077</v>
      </c>
      <c r="J19" s="10">
        <v>406637</v>
      </c>
      <c r="K19" s="10">
        <v>255393</v>
      </c>
      <c r="L19" s="10">
        <v>158049</v>
      </c>
      <c r="M19" s="10">
        <v>317073</v>
      </c>
    </row>
    <row r="20" spans="1:13" ht="14.25" customHeight="1" x14ac:dyDescent="0.3">
      <c r="A20" s="8" t="s">
        <v>158</v>
      </c>
      <c r="B20" s="10">
        <v>277098</v>
      </c>
      <c r="C20" s="10">
        <v>284984</v>
      </c>
      <c r="D20" s="10">
        <v>164922</v>
      </c>
      <c r="E20" s="10">
        <v>181579</v>
      </c>
      <c r="F20" s="10">
        <v>260717</v>
      </c>
      <c r="G20" s="10">
        <v>414136</v>
      </c>
      <c r="H20" s="10">
        <v>305447</v>
      </c>
      <c r="I20" s="10">
        <v>283691</v>
      </c>
      <c r="J20" s="10">
        <v>359591</v>
      </c>
      <c r="K20" s="10">
        <v>415531</v>
      </c>
      <c r="L20" s="10">
        <v>383485</v>
      </c>
      <c r="M20" s="10">
        <v>154976</v>
      </c>
    </row>
    <row r="21" spans="1:13" ht="14.25" customHeight="1" x14ac:dyDescent="0.3">
      <c r="A21" s="8" t="s">
        <v>321</v>
      </c>
      <c r="B21" s="10">
        <v>212521</v>
      </c>
      <c r="C21" s="10">
        <v>245361</v>
      </c>
      <c r="D21" s="10">
        <v>402338</v>
      </c>
      <c r="E21" s="10">
        <v>153034</v>
      </c>
      <c r="F21" s="10">
        <v>274863</v>
      </c>
      <c r="G21" s="10">
        <v>238363</v>
      </c>
      <c r="H21" s="10">
        <v>231270</v>
      </c>
      <c r="I21" s="10">
        <v>245700</v>
      </c>
      <c r="J21" s="10">
        <v>368067</v>
      </c>
      <c r="K21" s="10">
        <v>297022</v>
      </c>
      <c r="L21" s="10">
        <v>413149</v>
      </c>
      <c r="M21" s="10">
        <v>156857</v>
      </c>
    </row>
    <row r="22" spans="1:13" ht="14.25" customHeight="1" x14ac:dyDescent="0.3">
      <c r="A22" s="8" t="s">
        <v>216</v>
      </c>
      <c r="B22" s="10">
        <v>162799</v>
      </c>
      <c r="C22" s="10">
        <v>304758</v>
      </c>
      <c r="D22" s="10">
        <v>405377</v>
      </c>
      <c r="E22" s="10">
        <v>179658</v>
      </c>
      <c r="F22" s="10">
        <v>404994</v>
      </c>
      <c r="G22" s="10">
        <v>193255</v>
      </c>
      <c r="H22" s="10">
        <v>355444</v>
      </c>
      <c r="I22" s="10">
        <v>246543</v>
      </c>
      <c r="J22" s="10">
        <v>329852</v>
      </c>
      <c r="K22" s="10">
        <v>224665</v>
      </c>
      <c r="L22" s="10">
        <v>361938</v>
      </c>
      <c r="M22" s="10">
        <v>165860</v>
      </c>
    </row>
    <row r="23" spans="1:13" ht="14.25" customHeight="1" x14ac:dyDescent="0.3">
      <c r="A23" s="8" t="s">
        <v>196</v>
      </c>
      <c r="B23" s="10">
        <v>356537</v>
      </c>
      <c r="C23" s="10">
        <v>448297</v>
      </c>
      <c r="D23" s="10">
        <v>156014</v>
      </c>
      <c r="E23" s="10">
        <v>157667</v>
      </c>
      <c r="F23" s="10">
        <v>172713</v>
      </c>
      <c r="G23" s="10">
        <v>196305</v>
      </c>
      <c r="H23" s="10">
        <v>442484</v>
      </c>
      <c r="I23" s="10">
        <v>293581</v>
      </c>
      <c r="J23" s="10">
        <v>280862</v>
      </c>
      <c r="K23" s="10">
        <v>340676</v>
      </c>
      <c r="L23" s="10">
        <v>343411</v>
      </c>
      <c r="M23" s="10">
        <v>437921</v>
      </c>
    </row>
    <row r="24" spans="1:13" ht="14.25" customHeight="1" x14ac:dyDescent="0.3">
      <c r="A24" s="8" t="s">
        <v>208</v>
      </c>
      <c r="B24" s="10">
        <v>218099</v>
      </c>
      <c r="C24" s="10">
        <v>412956</v>
      </c>
      <c r="D24" s="10">
        <v>438770</v>
      </c>
      <c r="E24" s="10">
        <v>172679</v>
      </c>
      <c r="F24" s="10">
        <v>343868</v>
      </c>
      <c r="G24" s="10">
        <v>390384</v>
      </c>
      <c r="H24" s="10">
        <v>400933</v>
      </c>
      <c r="I24" s="10">
        <v>211614</v>
      </c>
      <c r="J24" s="10">
        <v>201857</v>
      </c>
      <c r="K24" s="10">
        <v>430835</v>
      </c>
      <c r="L24" s="10">
        <v>193076</v>
      </c>
      <c r="M24" s="10">
        <v>372598</v>
      </c>
    </row>
    <row r="25" spans="1:13" ht="14.25" customHeight="1" x14ac:dyDescent="0.3">
      <c r="A25" s="8" t="s">
        <v>153</v>
      </c>
      <c r="B25" s="10">
        <v>168635</v>
      </c>
      <c r="C25" s="10">
        <v>214511</v>
      </c>
      <c r="D25" s="10">
        <v>169022</v>
      </c>
      <c r="E25" s="10">
        <v>247159</v>
      </c>
      <c r="F25" s="10">
        <v>304981</v>
      </c>
      <c r="G25" s="10">
        <v>387353</v>
      </c>
      <c r="H25" s="10">
        <v>167057</v>
      </c>
      <c r="I25" s="10">
        <v>403051</v>
      </c>
      <c r="J25" s="10">
        <v>184207</v>
      </c>
      <c r="K25" s="10">
        <v>350145</v>
      </c>
      <c r="L25" s="10">
        <v>376579</v>
      </c>
      <c r="M25" s="10">
        <v>364718</v>
      </c>
    </row>
    <row r="26" spans="1:13" ht="14.25" customHeight="1" x14ac:dyDescent="0.3">
      <c r="A26" s="8" t="s">
        <v>145</v>
      </c>
      <c r="B26" s="10">
        <v>241742</v>
      </c>
      <c r="C26" s="10">
        <v>376544</v>
      </c>
      <c r="D26" s="10">
        <v>289689</v>
      </c>
      <c r="E26" s="10">
        <v>291365</v>
      </c>
      <c r="F26" s="10">
        <v>151669</v>
      </c>
      <c r="G26" s="10">
        <v>237046</v>
      </c>
      <c r="H26" s="10">
        <v>215592</v>
      </c>
      <c r="I26" s="10">
        <v>256462</v>
      </c>
      <c r="J26" s="10">
        <v>219765</v>
      </c>
      <c r="K26" s="10">
        <v>305885</v>
      </c>
      <c r="L26" s="10">
        <v>170489</v>
      </c>
      <c r="M26" s="10">
        <v>328169</v>
      </c>
    </row>
    <row r="27" spans="1:13" ht="14.25" customHeight="1" x14ac:dyDescent="0.3">
      <c r="A27" s="8" t="s">
        <v>376</v>
      </c>
      <c r="B27" s="10">
        <v>206632</v>
      </c>
      <c r="C27" s="10">
        <v>418219</v>
      </c>
      <c r="D27" s="10">
        <v>218871</v>
      </c>
      <c r="E27" s="10">
        <v>424496</v>
      </c>
      <c r="F27" s="10">
        <v>269328</v>
      </c>
      <c r="G27" s="10">
        <v>261309</v>
      </c>
      <c r="H27" s="10">
        <v>244265</v>
      </c>
      <c r="I27" s="10">
        <v>228393</v>
      </c>
      <c r="J27" s="10">
        <v>410956</v>
      </c>
      <c r="K27" s="10">
        <v>314259</v>
      </c>
      <c r="L27" s="10">
        <v>297459</v>
      </c>
      <c r="M27" s="10">
        <v>251313</v>
      </c>
    </row>
    <row r="28" spans="1:13" ht="14.25" customHeight="1" x14ac:dyDescent="0.3">
      <c r="A28" s="8" t="s">
        <v>619</v>
      </c>
      <c r="B28" s="10">
        <v>239781</v>
      </c>
      <c r="C28" s="10">
        <v>430605</v>
      </c>
      <c r="D28" s="10">
        <v>190908</v>
      </c>
      <c r="E28" s="10">
        <v>229129</v>
      </c>
      <c r="F28" s="10">
        <v>196262</v>
      </c>
      <c r="G28" s="10">
        <v>377844</v>
      </c>
      <c r="H28" s="10">
        <v>293147</v>
      </c>
      <c r="I28" s="10">
        <v>370985</v>
      </c>
      <c r="J28" s="10">
        <v>420128</v>
      </c>
      <c r="K28" s="10">
        <v>433140</v>
      </c>
      <c r="L28" s="10">
        <v>408093</v>
      </c>
      <c r="M28" s="10">
        <v>255969</v>
      </c>
    </row>
    <row r="29" spans="1:13" ht="14.25" customHeight="1" x14ac:dyDescent="0.3">
      <c r="A29" s="8" t="s">
        <v>172</v>
      </c>
      <c r="B29" s="10">
        <v>426872</v>
      </c>
      <c r="C29" s="10">
        <v>171719</v>
      </c>
      <c r="D29" s="10">
        <v>169701</v>
      </c>
      <c r="E29" s="10">
        <v>347987</v>
      </c>
      <c r="F29" s="10">
        <v>216195</v>
      </c>
      <c r="G29" s="10">
        <v>412271</v>
      </c>
      <c r="H29" s="10">
        <v>416393</v>
      </c>
      <c r="I29" s="10">
        <v>353569</v>
      </c>
      <c r="J29" s="10">
        <v>323287</v>
      </c>
      <c r="K29" s="10">
        <v>301789</v>
      </c>
      <c r="L29" s="10">
        <v>208839</v>
      </c>
      <c r="M29" s="10">
        <v>369454</v>
      </c>
    </row>
    <row r="30" spans="1:13" ht="14.25" customHeight="1" x14ac:dyDescent="0.3">
      <c r="A30" s="8" t="s">
        <v>236</v>
      </c>
      <c r="B30" s="10">
        <v>233369</v>
      </c>
      <c r="C30" s="10">
        <v>371909</v>
      </c>
      <c r="D30" s="10">
        <v>355248</v>
      </c>
      <c r="E30" s="10">
        <v>156409</v>
      </c>
      <c r="F30" s="10">
        <v>308725</v>
      </c>
      <c r="G30" s="10">
        <v>192883</v>
      </c>
      <c r="H30" s="10">
        <v>180902</v>
      </c>
      <c r="I30" s="10">
        <v>168654</v>
      </c>
      <c r="J30" s="10">
        <v>256191</v>
      </c>
      <c r="K30" s="10">
        <v>320737</v>
      </c>
      <c r="L30" s="10">
        <v>430108</v>
      </c>
      <c r="M30" s="10">
        <v>307413</v>
      </c>
    </row>
    <row r="31" spans="1:13" ht="14.25" customHeight="1" x14ac:dyDescent="0.3">
      <c r="A31" s="8" t="s">
        <v>143</v>
      </c>
      <c r="B31" s="10">
        <v>151584</v>
      </c>
      <c r="C31" s="10">
        <v>221679</v>
      </c>
      <c r="D31" s="10">
        <v>385157</v>
      </c>
      <c r="E31" s="10">
        <v>290386</v>
      </c>
      <c r="F31" s="10">
        <v>236041</v>
      </c>
      <c r="G31" s="10">
        <v>407985</v>
      </c>
      <c r="H31" s="10">
        <v>184446</v>
      </c>
      <c r="I31" s="10">
        <v>342894</v>
      </c>
      <c r="J31" s="10">
        <v>180344</v>
      </c>
      <c r="K31" s="10">
        <v>292917</v>
      </c>
      <c r="L31" s="10">
        <v>314858</v>
      </c>
      <c r="M31" s="10">
        <v>364057</v>
      </c>
    </row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6640625" customWidth="1"/>
    <col min="7" max="26" width="8.6640625" customWidth="1"/>
  </cols>
  <sheetData>
    <row r="1" spans="1:6" ht="30" customHeight="1" x14ac:dyDescent="0.3">
      <c r="A1" s="78" t="s">
        <v>1046</v>
      </c>
      <c r="B1" s="79"/>
      <c r="C1" s="79"/>
      <c r="D1" s="79"/>
      <c r="E1" s="79"/>
      <c r="F1" s="80"/>
    </row>
    <row r="2" spans="1:6" ht="14.25" customHeight="1" x14ac:dyDescent="0.3">
      <c r="A2" s="81" t="s">
        <v>1048</v>
      </c>
      <c r="B2" s="79"/>
      <c r="C2" s="79"/>
      <c r="D2" s="79"/>
      <c r="E2" s="79"/>
      <c r="F2" s="80"/>
    </row>
    <row r="3" spans="1:6" ht="14.25" customHeight="1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1050</v>
      </c>
      <c r="B4" s="25" t="s">
        <v>1051</v>
      </c>
      <c r="C4" s="25" t="s">
        <v>45</v>
      </c>
      <c r="D4" s="25" t="s">
        <v>1052</v>
      </c>
      <c r="E4" s="25" t="s">
        <v>1053</v>
      </c>
      <c r="F4" s="25" t="s">
        <v>1054</v>
      </c>
    </row>
    <row r="5" spans="1:6" ht="42" customHeight="1" x14ac:dyDescent="0.3">
      <c r="A5" s="26" t="s">
        <v>1055</v>
      </c>
      <c r="B5" s="27" t="s">
        <v>1056</v>
      </c>
      <c r="C5" s="28">
        <v>3</v>
      </c>
      <c r="D5" s="29" t="s">
        <v>1057</v>
      </c>
      <c r="E5" s="30" t="str">
        <f t="array" ref="E5">_xlfn.XLOOKUP("ORD-00234",Orders!A:A,Orders!C:C)</f>
        <v>CUST-0173</v>
      </c>
      <c r="F5" s="31" t="s">
        <v>1061</v>
      </c>
    </row>
    <row r="6" spans="1:6" ht="42" customHeight="1" x14ac:dyDescent="0.3">
      <c r="A6" s="26" t="s">
        <v>1063</v>
      </c>
      <c r="B6" s="27" t="s">
        <v>1064</v>
      </c>
      <c r="C6" s="28">
        <v>3</v>
      </c>
      <c r="D6" s="29" t="s">
        <v>1065</v>
      </c>
      <c r="E6" s="30" t="str">
        <f t="array" ref="E6">_xlfn.XLOOKUP(
    _xlfn.XLOOKUP("ORD-00456",Orders!A:A,Orders!D:D),
    Products!A:A,
    Products!B:B
)</f>
        <v>Dumbbells 5kg</v>
      </c>
      <c r="F6" s="31" t="s">
        <v>1069</v>
      </c>
    </row>
    <row r="7" spans="1:6" ht="42" customHeight="1" x14ac:dyDescent="0.3">
      <c r="A7" s="26" t="s">
        <v>1070</v>
      </c>
      <c r="B7" s="27" t="s">
        <v>1072</v>
      </c>
      <c r="C7" s="28">
        <v>3</v>
      </c>
      <c r="D7" s="29" t="s">
        <v>1073</v>
      </c>
      <c r="E7" s="30" t="str">
        <f t="array" ref="E7">_xlfn.XLOOKUP(
    _xlfn.XLOOKUP("ORD-00987",Orders!A:A,Orders!E:E),
    Sales_Reps!A:A,
    Sales_Reps!B:B
)</f>
        <v>Nisha Menon</v>
      </c>
      <c r="F7" s="31" t="s">
        <v>1069</v>
      </c>
    </row>
    <row r="8" spans="1:6" ht="42" customHeight="1" x14ac:dyDescent="0.3">
      <c r="A8" s="26" t="s">
        <v>1075</v>
      </c>
      <c r="B8" s="27" t="s">
        <v>1076</v>
      </c>
      <c r="C8" s="28">
        <v>4</v>
      </c>
      <c r="D8" s="29" t="s">
        <v>1077</v>
      </c>
      <c r="E8" s="30">
        <f t="array" ref="E8">_xlfn.XLOOKUP("R012",Targets!A:A,Targets!D:D)</f>
        <v>321255</v>
      </c>
      <c r="F8" s="31" t="s">
        <v>1078</v>
      </c>
    </row>
    <row r="9" spans="1:6" ht="42" customHeight="1" x14ac:dyDescent="0.3">
      <c r="A9" s="26" t="s">
        <v>1079</v>
      </c>
      <c r="B9" s="27" t="s">
        <v>1080</v>
      </c>
      <c r="C9" s="28">
        <v>4</v>
      </c>
      <c r="D9" s="29" t="s">
        <v>1081</v>
      </c>
      <c r="E9" s="30" t="str">
        <f t="array" ref="E9">_xlfn.XLOOKUP(_xlfn.XLOOKUP("ORD-01500",Orders!A:A,Orders!D:D),Products!A:A,Products!C:C)</f>
        <v>Electronics</v>
      </c>
      <c r="F9" s="31" t="s">
        <v>1069</v>
      </c>
    </row>
    <row r="10" spans="1:6" ht="42" customHeight="1" x14ac:dyDescent="0.3">
      <c r="A10" s="26" t="s">
        <v>1083</v>
      </c>
      <c r="B10" s="27" t="s">
        <v>1084</v>
      </c>
      <c r="C10" s="28">
        <v>3</v>
      </c>
      <c r="D10" s="29" t="s">
        <v>1085</v>
      </c>
      <c r="E10" s="30" t="str">
        <f t="array" ref="E10">VLOOKUP(_xlfn.XLOOKUP("ORD-00789",Orders!A:A,Orders!H:H),$B$18:$C$21,2,TRUE)</f>
        <v>Bronze</v>
      </c>
      <c r="F10" s="31" t="s">
        <v>1069</v>
      </c>
    </row>
    <row r="11" spans="1:6" ht="42" customHeight="1" x14ac:dyDescent="0.3">
      <c r="A11" s="26" t="s">
        <v>1087</v>
      </c>
      <c r="B11" s="27" t="s">
        <v>1088</v>
      </c>
      <c r="C11" s="28">
        <v>3</v>
      </c>
      <c r="D11" s="29" t="s">
        <v>1089</v>
      </c>
      <c r="E11" s="30" t="str">
        <f t="array" ref="E11">_xlfn.XLOOKUP(_xlfn.XLOOKUP("ORD-01234",Orders!A:A,Orders!E:E),Sales_Reps!A:A,Sales_Reps!B:B)&amp;" ("&amp;_xlfn.XLOOKUP(_xlfn.XLOOKUP("ORD-01234",Orders!A:A,Orders!E:E),Sales_Reps!A:A,Sales_Reps!C:C)&amp;")"</f>
        <v>Sanjay Kapoor (South)</v>
      </c>
      <c r="F11" s="31" t="s">
        <v>1069</v>
      </c>
    </row>
    <row r="12" spans="1:6" ht="42" customHeight="1" x14ac:dyDescent="0.3">
      <c r="A12" s="26" t="s">
        <v>1091</v>
      </c>
      <c r="B12" s="27" t="s">
        <v>1092</v>
      </c>
      <c r="C12" s="28">
        <v>2</v>
      </c>
      <c r="D12" s="29" t="s">
        <v>1093</v>
      </c>
      <c r="E12" s="30" t="str">
        <f t="array" ref="E12">_xlfn.XLOOKUP(_xlfn.XLOOKUP("R017",Sales_Reps!A:A,Sales_Reps!E:E),Sales_Reps!A:A,Sales_Reps!B:B)</f>
        <v>Amit Singh</v>
      </c>
      <c r="F12" s="31" t="s">
        <v>1069</v>
      </c>
    </row>
    <row r="13" spans="1:6" ht="14.25" customHeight="1" x14ac:dyDescent="0.3"/>
    <row r="14" spans="1:6" ht="14.25" customHeight="1" x14ac:dyDescent="0.3"/>
    <row r="15" spans="1:6" ht="14.25" customHeight="1" x14ac:dyDescent="0.3">
      <c r="B15" s="33" t="s">
        <v>1098</v>
      </c>
    </row>
    <row r="16" spans="1:6" ht="14.25" customHeight="1" x14ac:dyDescent="0.3"/>
    <row r="17" spans="2:3" ht="14.25" customHeight="1" x14ac:dyDescent="0.3">
      <c r="B17" s="34" t="s">
        <v>1099</v>
      </c>
      <c r="C17" s="34" t="s">
        <v>1100</v>
      </c>
    </row>
    <row r="18" spans="2:3" ht="14.25" customHeight="1" x14ac:dyDescent="0.3">
      <c r="B18" s="35">
        <v>0</v>
      </c>
      <c r="C18" s="35" t="s">
        <v>1102</v>
      </c>
    </row>
    <row r="19" spans="2:3" ht="14.25" customHeight="1" x14ac:dyDescent="0.3">
      <c r="B19" s="35">
        <v>5</v>
      </c>
      <c r="C19" s="35" t="s">
        <v>1103</v>
      </c>
    </row>
    <row r="20" spans="2:3" ht="14.25" customHeight="1" x14ac:dyDescent="0.3">
      <c r="B20" s="35">
        <v>15</v>
      </c>
      <c r="C20" s="35" t="s">
        <v>1104</v>
      </c>
    </row>
    <row r="21" spans="2:3" ht="14.25" customHeight="1" x14ac:dyDescent="0.3">
      <c r="B21" s="35">
        <v>25</v>
      </c>
      <c r="C21" s="35" t="s">
        <v>1105</v>
      </c>
    </row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4" right="0.4" top="0.4" bottom="0.4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  <col min="7" max="26" width="8.6640625" customWidth="1"/>
  </cols>
  <sheetData>
    <row r="1" spans="1:6" ht="30" customHeight="1" x14ac:dyDescent="0.3">
      <c r="A1" s="78" t="s">
        <v>1060</v>
      </c>
      <c r="B1" s="79"/>
      <c r="C1" s="79"/>
      <c r="D1" s="79"/>
      <c r="E1" s="79"/>
      <c r="F1" s="80"/>
    </row>
    <row r="2" spans="1:6" ht="14.25" customHeight="1" x14ac:dyDescent="0.3">
      <c r="A2" s="81" t="s">
        <v>1062</v>
      </c>
      <c r="B2" s="79"/>
      <c r="C2" s="79"/>
      <c r="D2" s="79"/>
      <c r="E2" s="79"/>
      <c r="F2" s="80"/>
    </row>
    <row r="3" spans="1:6" ht="14.25" customHeight="1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1050</v>
      </c>
      <c r="B4" s="25" t="s">
        <v>1051</v>
      </c>
      <c r="C4" s="25" t="s">
        <v>45</v>
      </c>
      <c r="D4" s="25" t="s">
        <v>1052</v>
      </c>
      <c r="E4" s="25" t="s">
        <v>1053</v>
      </c>
      <c r="F4" s="25" t="s">
        <v>1054</v>
      </c>
    </row>
    <row r="5" spans="1:6" ht="42" customHeight="1" x14ac:dyDescent="0.3">
      <c r="A5" s="26" t="s">
        <v>1067</v>
      </c>
      <c r="B5" s="27" t="s">
        <v>1068</v>
      </c>
      <c r="C5" s="28">
        <v>3</v>
      </c>
      <c r="D5" s="29" t="s">
        <v>1071</v>
      </c>
      <c r="E5" s="32">
        <f t="array" ref="E5">SUMPRODUCT((COUNTIF(Orders!A2:A2001,Orders!A2:A2001)&gt;1)/COUNTIF(Orders!A2:A2001,Orders!A2:A2001))</f>
        <v>20</v>
      </c>
      <c r="F5" s="31" t="s">
        <v>1078</v>
      </c>
    </row>
    <row r="6" spans="1:6" ht="42" customHeight="1" x14ac:dyDescent="0.3">
      <c r="A6" s="26" t="s">
        <v>1094</v>
      </c>
      <c r="B6" s="27" t="s">
        <v>1095</v>
      </c>
      <c r="C6" s="28">
        <v>3</v>
      </c>
      <c r="D6" s="29" t="s">
        <v>1096</v>
      </c>
      <c r="E6" s="32">
        <f t="array" ref="E6">SUMPRODUCT(--(Customers!B2:B301&lt;&gt;TRIM(Customers!B2:B301)))</f>
        <v>15</v>
      </c>
      <c r="F6" s="31" t="s">
        <v>1078</v>
      </c>
    </row>
    <row r="7" spans="1:6" ht="42" customHeight="1" x14ac:dyDescent="0.3">
      <c r="A7" s="26" t="s">
        <v>1106</v>
      </c>
      <c r="B7" s="27" t="s">
        <v>1107</v>
      </c>
      <c r="C7" s="28">
        <v>3</v>
      </c>
      <c r="D7" s="29" t="s">
        <v>1108</v>
      </c>
      <c r="E7" s="32">
        <f t="array" aca="1" ref="E7" ca="1">COUNTA(_xludf.UNIQUE(LOWER(TRIM(Customers!D2:D301))))</f>
        <v>1</v>
      </c>
      <c r="F7" s="31" t="s">
        <v>1078</v>
      </c>
    </row>
    <row r="8" spans="1:6" ht="42" customHeight="1" x14ac:dyDescent="0.3">
      <c r="A8" s="26" t="s">
        <v>1110</v>
      </c>
      <c r="B8" s="27" t="s">
        <v>1111</v>
      </c>
      <c r="C8" s="28">
        <v>4</v>
      </c>
      <c r="D8" s="29" t="s">
        <v>1112</v>
      </c>
      <c r="E8" s="36">
        <f t="array" ref="E8">SUMPRODUCT(--ISNA(MATCH(Orders!C2:C2001,Customers!A2:A301,0)))</f>
        <v>30</v>
      </c>
      <c r="F8" s="31" t="s">
        <v>1078</v>
      </c>
    </row>
    <row r="9" spans="1:6" ht="42" customHeight="1" x14ac:dyDescent="0.3">
      <c r="A9" s="26" t="s">
        <v>1116</v>
      </c>
      <c r="B9" s="27" t="s">
        <v>1117</v>
      </c>
      <c r="C9" s="28">
        <v>3</v>
      </c>
      <c r="D9" s="29" t="s">
        <v>1118</v>
      </c>
      <c r="E9" s="32">
        <f t="array" ref="E9">SUMPRODUCT(--(_xlfn.XLOOKUP(Orders!D2:D2001,Products!A2:A61,Products!F2:F61)=FALSE))</f>
        <v>0</v>
      </c>
      <c r="F9" s="31" t="s">
        <v>1078</v>
      </c>
    </row>
    <row r="10" spans="1:6" ht="42" customHeight="1" x14ac:dyDescent="0.3">
      <c r="A10" s="26" t="s">
        <v>1125</v>
      </c>
      <c r="B10" s="27" t="s">
        <v>1126</v>
      </c>
      <c r="C10" s="28">
        <v>4</v>
      </c>
      <c r="D10" s="29" t="s">
        <v>1127</v>
      </c>
      <c r="E10" s="32">
        <f>COUNTIFS(Orders!J2:J2001,"Cancelled",Orders!H2:H2001,"&gt;20")</f>
        <v>58</v>
      </c>
      <c r="F10" s="31" t="s">
        <v>1078</v>
      </c>
    </row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4" right="0.4" top="0.4" bottom="0.4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A1:F1000"/>
  <sheetViews>
    <sheetView workbookViewId="0">
      <pane ySplit="4" topLeftCell="A10" activePane="bottomLeft" state="frozen"/>
      <selection pane="bottomLeft" activeCell="E3" sqref="E1:E1048576"/>
    </sheetView>
  </sheetViews>
  <sheetFormatPr defaultColWidth="14.44140625" defaultRowHeight="15" customHeight="1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  <col min="7" max="26" width="8.6640625" customWidth="1"/>
  </cols>
  <sheetData>
    <row r="1" spans="1:6" ht="30" customHeight="1" x14ac:dyDescent="0.3">
      <c r="A1" s="82" t="s">
        <v>1115</v>
      </c>
      <c r="B1" s="83"/>
      <c r="C1" s="83"/>
      <c r="D1" s="83"/>
      <c r="E1" s="83"/>
      <c r="F1" s="84"/>
    </row>
    <row r="2" spans="1:6" ht="14.25" customHeight="1" x14ac:dyDescent="0.3">
      <c r="A2" s="81" t="s">
        <v>1120</v>
      </c>
      <c r="B2" s="79"/>
      <c r="C2" s="79"/>
      <c r="D2" s="79"/>
      <c r="E2" s="79"/>
      <c r="F2" s="80"/>
    </row>
    <row r="3" spans="1:6" ht="14.25" customHeight="1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1050</v>
      </c>
      <c r="B4" s="25" t="s">
        <v>1051</v>
      </c>
      <c r="C4" s="25" t="s">
        <v>45</v>
      </c>
      <c r="D4" s="25" t="s">
        <v>1052</v>
      </c>
      <c r="E4" s="25" t="s">
        <v>1053</v>
      </c>
      <c r="F4" s="25" t="s">
        <v>1054</v>
      </c>
    </row>
    <row r="5" spans="1:6" ht="42" customHeight="1" x14ac:dyDescent="0.3">
      <c r="A5" s="26" t="s">
        <v>1122</v>
      </c>
      <c r="B5" s="27" t="s">
        <v>1123</v>
      </c>
      <c r="C5" s="28">
        <v>4</v>
      </c>
      <c r="D5" s="29" t="s">
        <v>1124</v>
      </c>
      <c r="E5" s="32">
        <f>SUMIFS(Orders!I:I,Orders!B:B,"&gt;="&amp;DATE(2024,7,1),Orders!B:B,"&lt;="&amp;DATE(2024,9,30),Orders!K:K,"Mumbai")</f>
        <v>1217239.0099999998</v>
      </c>
      <c r="F5" s="31" t="s">
        <v>1129</v>
      </c>
    </row>
    <row r="6" spans="1:6" ht="42" customHeight="1" x14ac:dyDescent="0.3">
      <c r="A6" s="26" t="s">
        <v>1130</v>
      </c>
      <c r="B6" s="27" t="s">
        <v>1131</v>
      </c>
      <c r="C6" s="28">
        <v>3</v>
      </c>
      <c r="D6" s="29" t="s">
        <v>1132</v>
      </c>
      <c r="E6" s="32">
        <f>COUNTIFS(Orders!H:H,"&gt;15",Orders!J:J,"Completed")</f>
        <v>723</v>
      </c>
      <c r="F6" s="31" t="s">
        <v>1078</v>
      </c>
    </row>
    <row r="7" spans="1:6" ht="42" customHeight="1" x14ac:dyDescent="0.3">
      <c r="A7" s="26" t="s">
        <v>1133</v>
      </c>
      <c r="B7" s="27" t="s">
        <v>1135</v>
      </c>
      <c r="C7" s="28">
        <v>5</v>
      </c>
      <c r="D7" s="29" t="s">
        <v>1136</v>
      </c>
      <c r="E7" s="36">
        <f>AVERAGEIFS(Orders!$I:$I,Orders!$L:$L,"Electronics",Orders!$N:$N,"Corporate")</f>
        <v>13981.401558441557</v>
      </c>
      <c r="F7" s="31" t="s">
        <v>1129</v>
      </c>
    </row>
    <row r="8" spans="1:6" ht="42" customHeight="1" x14ac:dyDescent="0.3">
      <c r="A8" s="26" t="s">
        <v>1137</v>
      </c>
      <c r="B8" s="27" t="s">
        <v>1138</v>
      </c>
      <c r="C8" s="28">
        <v>4</v>
      </c>
      <c r="D8" s="29" t="s">
        <v>1139</v>
      </c>
      <c r="E8" s="32">
        <v>3342678.55</v>
      </c>
      <c r="F8" s="31" t="s">
        <v>1129</v>
      </c>
    </row>
    <row r="9" spans="1:6" ht="42" customHeight="1" x14ac:dyDescent="0.3">
      <c r="A9" s="26" t="s">
        <v>1140</v>
      </c>
      <c r="B9" s="27" t="s">
        <v>1142</v>
      </c>
      <c r="C9" s="28">
        <v>5</v>
      </c>
      <c r="D9" s="29" t="s">
        <v>1143</v>
      </c>
      <c r="E9" s="32" t="str">
        <f t="array" ref="E9">IF(SUMIFS(Orders!$I:$I,Orders!$E:$E,"R015",Orders!$B:$B,"&gt;="&amp;DATE(2024,11,1),Orders!$B:$B,"&lt;"&amp;DATE(2024,12,1))/INDEX(Targets!$L:$L,MATCH("R015",Targets!$A:$A,0))&lt;0.8,"Below",IF(SUMIFS(Orders!$I:$I,Orders!$E:$E,"R015",Orders!$B:$B,"&gt;="&amp;DATE(2024,11,1),Orders!$B:$B,"&lt;"&amp;DATE(2024,12,1))/INDEX(Targets!$L:$L,MATCH("R015",Targets!$A:$A,0))&lt;=1.2,"On Track","Exceeds"))</f>
        <v>Below</v>
      </c>
      <c r="F9" s="31" t="s">
        <v>1069</v>
      </c>
    </row>
    <row r="10" spans="1:6" ht="42" customHeight="1" x14ac:dyDescent="0.3">
      <c r="A10" s="26" t="s">
        <v>1146</v>
      </c>
      <c r="B10" s="27" t="s">
        <v>1147</v>
      </c>
      <c r="C10" s="28">
        <v>4</v>
      </c>
      <c r="D10" s="29" t="s">
        <v>1148</v>
      </c>
      <c r="E10" s="32">
        <f>SUMIFS(Orders!$I:$I,Orders!$E:$E,"R015",Orders!$B:$B,"&gt;="&amp;DATE(2024,11,1),Orders!$B:$B,"&lt;"&amp;DATE(2024,12,1))</f>
        <v>97394.65</v>
      </c>
      <c r="F10" s="31" t="s">
        <v>1129</v>
      </c>
    </row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4" right="0.4" top="0.4" bottom="0.4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00"/>
  <sheetViews>
    <sheetView workbookViewId="0"/>
  </sheetViews>
  <sheetFormatPr defaultColWidth="14.44140625" defaultRowHeight="15" customHeight="1" x14ac:dyDescent="0.3"/>
  <cols>
    <col min="1" max="1" width="12.5546875" customWidth="1"/>
    <col min="2" max="2" width="19" customWidth="1"/>
    <col min="3" max="3" width="8.6640625" customWidth="1"/>
    <col min="4" max="4" width="10.5546875" customWidth="1"/>
    <col min="5" max="26" width="8.6640625" customWidth="1"/>
  </cols>
  <sheetData>
    <row r="1" spans="1:4" ht="14.25" customHeight="1" x14ac:dyDescent="0.3"/>
    <row r="2" spans="1:4" ht="14.25" customHeight="1" x14ac:dyDescent="0.3"/>
    <row r="3" spans="1:4" ht="14.25" customHeight="1" x14ac:dyDescent="0.3">
      <c r="A3" s="48" t="s">
        <v>8</v>
      </c>
      <c r="B3" s="49" t="s">
        <v>1184</v>
      </c>
    </row>
    <row r="4" spans="1:4" ht="14.25" customHeight="1" x14ac:dyDescent="0.3">
      <c r="A4" s="55" t="s">
        <v>125</v>
      </c>
      <c r="B4" s="86">
        <v>1138648.73</v>
      </c>
      <c r="D4" s="46">
        <f>SUM(B4:B6)</f>
        <v>3342678.55</v>
      </c>
    </row>
    <row r="5" spans="1:4" ht="14.25" customHeight="1" x14ac:dyDescent="0.3">
      <c r="A5" s="57" t="s">
        <v>167</v>
      </c>
      <c r="B5" s="87">
        <v>1112289.6400000001</v>
      </c>
    </row>
    <row r="6" spans="1:4" ht="14.25" customHeight="1" x14ac:dyDescent="0.3">
      <c r="A6" s="57" t="s">
        <v>301</v>
      </c>
      <c r="B6" s="87">
        <v>1091740.1799999997</v>
      </c>
    </row>
    <row r="7" spans="1:4" ht="14.25" customHeight="1" x14ac:dyDescent="0.3">
      <c r="A7" s="57" t="s">
        <v>196</v>
      </c>
      <c r="B7" s="87">
        <v>1069570.5400000003</v>
      </c>
    </row>
    <row r="8" spans="1:4" ht="14.25" customHeight="1" x14ac:dyDescent="0.3">
      <c r="A8" s="57" t="s">
        <v>236</v>
      </c>
      <c r="B8" s="87">
        <v>1016696.8000000002</v>
      </c>
    </row>
    <row r="9" spans="1:4" ht="14.25" customHeight="1" x14ac:dyDescent="0.3">
      <c r="A9" s="57" t="s">
        <v>117</v>
      </c>
      <c r="B9" s="87">
        <v>995713.54000000015</v>
      </c>
    </row>
    <row r="10" spans="1:4" ht="14.25" customHeight="1" x14ac:dyDescent="0.3">
      <c r="A10" s="57" t="s">
        <v>200</v>
      </c>
      <c r="B10" s="87">
        <v>986692.91</v>
      </c>
    </row>
    <row r="11" spans="1:4" ht="14.25" customHeight="1" x14ac:dyDescent="0.3">
      <c r="A11" s="57" t="s">
        <v>208</v>
      </c>
      <c r="B11" s="87">
        <v>983787.4800000001</v>
      </c>
    </row>
    <row r="12" spans="1:4" ht="14.25" customHeight="1" x14ac:dyDescent="0.3">
      <c r="A12" s="57" t="s">
        <v>261</v>
      </c>
      <c r="B12" s="87">
        <v>980063.65999999968</v>
      </c>
    </row>
    <row r="13" spans="1:4" ht="14.25" customHeight="1" x14ac:dyDescent="0.3">
      <c r="A13" s="57" t="s">
        <v>158</v>
      </c>
      <c r="B13" s="87">
        <v>971183.52000000014</v>
      </c>
    </row>
    <row r="14" spans="1:4" ht="14.25" customHeight="1" x14ac:dyDescent="0.3">
      <c r="A14" s="57" t="s">
        <v>619</v>
      </c>
      <c r="B14" s="87">
        <v>917092.61999999965</v>
      </c>
    </row>
    <row r="15" spans="1:4" ht="14.25" customHeight="1" x14ac:dyDescent="0.3">
      <c r="A15" s="57" t="s">
        <v>214</v>
      </c>
      <c r="B15" s="87">
        <v>914554.71999999986</v>
      </c>
    </row>
    <row r="16" spans="1:4" ht="14.25" customHeight="1" x14ac:dyDescent="0.3">
      <c r="A16" s="57" t="s">
        <v>321</v>
      </c>
      <c r="B16" s="87">
        <v>906107.71000000008</v>
      </c>
    </row>
    <row r="17" spans="1:2" ht="14.25" customHeight="1" x14ac:dyDescent="0.3">
      <c r="A17" s="57" t="s">
        <v>189</v>
      </c>
      <c r="B17" s="87">
        <v>901394.32000000007</v>
      </c>
    </row>
    <row r="18" spans="1:2" ht="14.25" customHeight="1" x14ac:dyDescent="0.3">
      <c r="A18" s="57" t="s">
        <v>145</v>
      </c>
      <c r="B18" s="87">
        <v>901298.89</v>
      </c>
    </row>
    <row r="19" spans="1:2" ht="14.25" customHeight="1" x14ac:dyDescent="0.3">
      <c r="A19" s="57" t="s">
        <v>172</v>
      </c>
      <c r="B19" s="87">
        <v>880468.05</v>
      </c>
    </row>
    <row r="20" spans="1:2" ht="14.25" customHeight="1" x14ac:dyDescent="0.3">
      <c r="A20" s="57" t="s">
        <v>177</v>
      </c>
      <c r="B20" s="87">
        <v>880345.20000000007</v>
      </c>
    </row>
    <row r="21" spans="1:2" ht="14.25" customHeight="1" x14ac:dyDescent="0.3">
      <c r="A21" s="57" t="s">
        <v>135</v>
      </c>
      <c r="B21" s="87">
        <v>861553.33</v>
      </c>
    </row>
    <row r="22" spans="1:2" ht="14.25" customHeight="1" x14ac:dyDescent="0.3">
      <c r="A22" s="57" t="s">
        <v>38</v>
      </c>
      <c r="B22" s="87">
        <v>855749.67999999982</v>
      </c>
    </row>
    <row r="23" spans="1:2" ht="14.25" customHeight="1" x14ac:dyDescent="0.3">
      <c r="A23" s="57" t="s">
        <v>153</v>
      </c>
      <c r="B23" s="87">
        <v>819558.58</v>
      </c>
    </row>
    <row r="24" spans="1:2" ht="14.25" customHeight="1" x14ac:dyDescent="0.3">
      <c r="A24" s="57" t="s">
        <v>221</v>
      </c>
      <c r="B24" s="87">
        <v>814563.7100000002</v>
      </c>
    </row>
    <row r="25" spans="1:2" ht="14.25" customHeight="1" x14ac:dyDescent="0.3">
      <c r="A25" s="57" t="s">
        <v>745</v>
      </c>
      <c r="B25" s="87">
        <v>811524.37999999989</v>
      </c>
    </row>
    <row r="26" spans="1:2" ht="14.25" customHeight="1" x14ac:dyDescent="0.3">
      <c r="A26" s="57" t="s">
        <v>231</v>
      </c>
      <c r="B26" s="87">
        <v>789849.60000000009</v>
      </c>
    </row>
    <row r="27" spans="1:2" ht="14.25" customHeight="1" x14ac:dyDescent="0.3">
      <c r="A27" s="57" t="s">
        <v>96</v>
      </c>
      <c r="B27" s="87">
        <v>782445.33</v>
      </c>
    </row>
    <row r="28" spans="1:2" ht="14.25" customHeight="1" x14ac:dyDescent="0.3">
      <c r="A28" s="57" t="s">
        <v>121</v>
      </c>
      <c r="B28" s="87">
        <v>780384.40999999992</v>
      </c>
    </row>
    <row r="29" spans="1:2" ht="14.25" customHeight="1" x14ac:dyDescent="0.3">
      <c r="A29" s="57" t="s">
        <v>216</v>
      </c>
      <c r="B29" s="87">
        <v>761507.17000000027</v>
      </c>
    </row>
    <row r="30" spans="1:2" ht="14.25" customHeight="1" x14ac:dyDescent="0.3">
      <c r="A30" s="57" t="s">
        <v>143</v>
      </c>
      <c r="B30" s="87">
        <v>747624.36999999988</v>
      </c>
    </row>
    <row r="31" spans="1:2" ht="14.25" customHeight="1" x14ac:dyDescent="0.3">
      <c r="A31" s="57" t="s">
        <v>865</v>
      </c>
      <c r="B31" s="87">
        <v>735207.75999999989</v>
      </c>
    </row>
    <row r="32" spans="1:2" ht="14.25" customHeight="1" x14ac:dyDescent="0.3">
      <c r="A32" s="57" t="s">
        <v>185</v>
      </c>
      <c r="B32" s="87">
        <v>589026.2899999998</v>
      </c>
    </row>
    <row r="33" spans="1:2" ht="14.25" customHeight="1" x14ac:dyDescent="0.3">
      <c r="A33" s="57" t="s">
        <v>376</v>
      </c>
      <c r="B33" s="87">
        <v>576305.08000000019</v>
      </c>
    </row>
    <row r="34" spans="1:2" ht="14.25" customHeight="1" x14ac:dyDescent="0.3">
      <c r="A34" s="58" t="s">
        <v>1187</v>
      </c>
      <c r="B34" s="88">
        <v>26572948.200000003</v>
      </c>
    </row>
    <row r="35" spans="1:2" ht="14.25" customHeight="1" x14ac:dyDescent="0.3"/>
    <row r="36" spans="1:2" ht="14.25" customHeight="1" x14ac:dyDescent="0.3"/>
    <row r="37" spans="1:2" ht="14.25" customHeight="1" x14ac:dyDescent="0.3"/>
    <row r="38" spans="1:2" ht="14.25" customHeight="1" x14ac:dyDescent="0.3">
      <c r="A38" s="18" t="str">
        <f t="array" ref="A38">IF(SUMIFS(Orders!$I:$I,Orders!$E:$E,"R015",Orders!$B:$B,"&gt;="&amp;DATE(2024,11,1),Orders!$B:$B,"&lt;"&amp;DATE(2024,12,1))/INDEX(Targets!$L:$L,MATCH("R015",Targets!$A:$A,0))&lt;0.8,"Below",IF(SUMIFS(Orders!$I:$I,Orders!$E:$E,"R015",Orders!$B:$B,"&gt;="&amp;DATE(2024,11,1),Orders!$B:$B,"&lt;"&amp;DATE(2024,12,1))/INDEX(Targets!$L:$L,MATCH("R015",Targets!$A:$A,0))&lt;=1.2,"On Track","Exceeds"))</f>
        <v>Below</v>
      </c>
    </row>
    <row r="39" spans="1:2" ht="14.25" customHeight="1" x14ac:dyDescent="0.3"/>
    <row r="40" spans="1:2" ht="14.25" customHeight="1" x14ac:dyDescent="0.3">
      <c r="A40" s="18">
        <f>SUMIFS(Orders!$I:$I,Orders!$E:$E,"R015",Orders!$B:$B,"&gt;="&amp;DATE(2024,11,1),Orders!$B:$B,"&lt;"&amp;DATE(2024,12,1))</f>
        <v>97394.65</v>
      </c>
    </row>
    <row r="41" spans="1:2" ht="14.25" customHeight="1" x14ac:dyDescent="0.3"/>
    <row r="42" spans="1:2" ht="14.25" customHeight="1" x14ac:dyDescent="0.3"/>
    <row r="43" spans="1:2" ht="14.25" customHeight="1" x14ac:dyDescent="0.3"/>
    <row r="44" spans="1:2" ht="14.25" customHeight="1" x14ac:dyDescent="0.3"/>
    <row r="45" spans="1:2" ht="14.25" customHeight="1" x14ac:dyDescent="0.3"/>
    <row r="46" spans="1:2" ht="14.25" customHeight="1" x14ac:dyDescent="0.3"/>
    <row r="47" spans="1:2" ht="14.25" customHeight="1" x14ac:dyDescent="0.3"/>
    <row r="48" spans="1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A1:F1000"/>
  <sheetViews>
    <sheetView workbookViewId="0">
      <pane ySplit="4" topLeftCell="A5" activePane="bottomLeft" state="frozen"/>
      <selection pane="bottomLeft" activeCell="E10" sqref="E10"/>
    </sheetView>
  </sheetViews>
  <sheetFormatPr defaultColWidth="14.44140625" defaultRowHeight="15" customHeight="1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  <col min="7" max="26" width="8.6640625" customWidth="1"/>
  </cols>
  <sheetData>
    <row r="1" spans="1:6" ht="30" customHeight="1" x14ac:dyDescent="0.3">
      <c r="A1" s="82" t="s">
        <v>1156</v>
      </c>
      <c r="B1" s="83"/>
      <c r="C1" s="83"/>
      <c r="D1" s="83"/>
      <c r="E1" s="83"/>
      <c r="F1" s="84"/>
    </row>
    <row r="2" spans="1:6" ht="14.25" customHeight="1" x14ac:dyDescent="0.3">
      <c r="A2" s="85" t="s">
        <v>1157</v>
      </c>
      <c r="B2" s="76"/>
      <c r="C2" s="76"/>
      <c r="D2" s="76"/>
      <c r="E2" s="76"/>
      <c r="F2" s="76"/>
    </row>
    <row r="3" spans="1:6" ht="14.25" customHeight="1" x14ac:dyDescent="0.3"/>
    <row r="4" spans="1:6" ht="24" customHeight="1" x14ac:dyDescent="0.3">
      <c r="A4" s="3" t="s">
        <v>1050</v>
      </c>
      <c r="B4" s="3" t="s">
        <v>1051</v>
      </c>
      <c r="C4" s="3" t="s">
        <v>45</v>
      </c>
      <c r="D4" s="3" t="s">
        <v>1052</v>
      </c>
      <c r="E4" s="3" t="s">
        <v>1053</v>
      </c>
      <c r="F4" s="3" t="s">
        <v>1054</v>
      </c>
    </row>
    <row r="5" spans="1:6" ht="42" customHeight="1" x14ac:dyDescent="0.3">
      <c r="A5" s="37" t="s">
        <v>1159</v>
      </c>
      <c r="B5" s="38" t="s">
        <v>1160</v>
      </c>
      <c r="C5" s="39">
        <v>4</v>
      </c>
      <c r="D5" s="40" t="s">
        <v>1161</v>
      </c>
      <c r="E5" s="41">
        <v>635816.35</v>
      </c>
      <c r="F5" s="42" t="s">
        <v>1129</v>
      </c>
    </row>
    <row r="6" spans="1:6" ht="42" customHeight="1" x14ac:dyDescent="0.3">
      <c r="A6" s="37" t="s">
        <v>1163</v>
      </c>
      <c r="B6" s="38" t="s">
        <v>1164</v>
      </c>
      <c r="C6" s="39">
        <v>4</v>
      </c>
      <c r="D6" s="40" t="s">
        <v>1165</v>
      </c>
      <c r="E6" s="43">
        <v>15508547.77</v>
      </c>
      <c r="F6" s="42" t="s">
        <v>1129</v>
      </c>
    </row>
    <row r="7" spans="1:6" ht="42" customHeight="1" x14ac:dyDescent="0.3">
      <c r="A7" s="37" t="s">
        <v>1166</v>
      </c>
      <c r="B7" s="38" t="s">
        <v>1167</v>
      </c>
      <c r="C7" s="39">
        <v>4</v>
      </c>
      <c r="D7" s="40" t="s">
        <v>1168</v>
      </c>
      <c r="E7" s="44">
        <v>0.13819999999999999</v>
      </c>
      <c r="F7" s="42" t="s">
        <v>1169</v>
      </c>
    </row>
    <row r="8" spans="1:6" ht="42" customHeight="1" x14ac:dyDescent="0.3">
      <c r="A8" s="37" t="s">
        <v>1171</v>
      </c>
      <c r="B8" s="38" t="s">
        <v>1172</v>
      </c>
      <c r="C8" s="39">
        <v>4</v>
      </c>
      <c r="D8" s="40" t="s">
        <v>1173</v>
      </c>
      <c r="E8" s="41">
        <v>26516373.260000002</v>
      </c>
      <c r="F8" s="42" t="s">
        <v>1129</v>
      </c>
    </row>
    <row r="9" spans="1:6" ht="42" customHeight="1" x14ac:dyDescent="0.3">
      <c r="A9" s="37" t="s">
        <v>1174</v>
      </c>
      <c r="B9" s="38" t="s">
        <v>1175</v>
      </c>
      <c r="C9" s="39">
        <v>4</v>
      </c>
      <c r="D9" s="40" t="s">
        <v>1176</v>
      </c>
      <c r="E9" s="44">
        <v>0.45500000000000002</v>
      </c>
      <c r="F9" s="42" t="s">
        <v>1169</v>
      </c>
    </row>
    <row r="10" spans="1:6" ht="14.25" customHeight="1" x14ac:dyDescent="0.3">
      <c r="E10" s="45"/>
    </row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4" right="0.4" top="0.4" bottom="0.4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workbookViewId="0"/>
  </sheetViews>
  <sheetFormatPr defaultColWidth="14.44140625" defaultRowHeight="15" customHeight="1" x14ac:dyDescent="0.3"/>
  <cols>
    <col min="1" max="1" width="19" customWidth="1"/>
    <col min="2" max="2" width="15.5546875" customWidth="1"/>
    <col min="3" max="7" width="11" customWidth="1"/>
    <col min="8" max="8" width="12" customWidth="1"/>
    <col min="9" max="26" width="8.6640625" customWidth="1"/>
  </cols>
  <sheetData>
    <row r="1" spans="1:8" ht="14.25" customHeight="1" x14ac:dyDescent="0.3"/>
    <row r="2" spans="1:8" ht="14.25" customHeight="1" x14ac:dyDescent="0.3"/>
    <row r="3" spans="1:8" ht="14.25" customHeight="1" x14ac:dyDescent="0.3">
      <c r="A3" s="48" t="s">
        <v>1184</v>
      </c>
      <c r="B3" s="48" t="s">
        <v>18</v>
      </c>
      <c r="C3" s="53"/>
      <c r="D3" s="53"/>
      <c r="E3" s="53"/>
      <c r="F3" s="53"/>
      <c r="G3" s="53"/>
      <c r="H3" s="54"/>
    </row>
    <row r="4" spans="1:8" ht="14.25" customHeight="1" x14ac:dyDescent="0.3">
      <c r="A4" s="48" t="s">
        <v>26</v>
      </c>
      <c r="B4" s="55" t="s">
        <v>891</v>
      </c>
      <c r="C4" s="56" t="s">
        <v>938</v>
      </c>
      <c r="D4" s="56" t="s">
        <v>126</v>
      </c>
      <c r="E4" s="56" t="s">
        <v>907</v>
      </c>
      <c r="F4" s="56" t="s">
        <v>922</v>
      </c>
      <c r="G4" s="56" t="s">
        <v>953</v>
      </c>
      <c r="H4" s="49" t="s">
        <v>1187</v>
      </c>
    </row>
    <row r="5" spans="1:8" ht="14.25" customHeight="1" x14ac:dyDescent="0.3">
      <c r="A5" s="55" t="s">
        <v>1003</v>
      </c>
      <c r="B5" s="89">
        <v>229296.12999999995</v>
      </c>
      <c r="C5" s="90">
        <v>781125.3600000001</v>
      </c>
      <c r="D5" s="90">
        <v>464217.62</v>
      </c>
      <c r="E5" s="90">
        <v>611143.60000000009</v>
      </c>
      <c r="F5" s="90">
        <v>355997.27999999991</v>
      </c>
      <c r="G5" s="90">
        <v>393778.20999999996</v>
      </c>
      <c r="H5" s="86">
        <v>2835558.1999999997</v>
      </c>
    </row>
    <row r="6" spans="1:8" ht="14.25" customHeight="1" x14ac:dyDescent="0.3">
      <c r="A6" s="57" t="s">
        <v>986</v>
      </c>
      <c r="B6" s="91">
        <v>330463.11</v>
      </c>
      <c r="C6" s="92">
        <v>386523.2300000001</v>
      </c>
      <c r="D6" s="92">
        <v>364567.05</v>
      </c>
      <c r="E6" s="92">
        <v>545686.09</v>
      </c>
      <c r="F6" s="92">
        <v>529394.13000000012</v>
      </c>
      <c r="G6" s="92">
        <v>244894.89</v>
      </c>
      <c r="H6" s="87">
        <v>2401528.5000000005</v>
      </c>
    </row>
    <row r="7" spans="1:8" ht="14.25" customHeight="1" x14ac:dyDescent="0.3">
      <c r="A7" s="57" t="s">
        <v>128</v>
      </c>
      <c r="B7" s="91">
        <v>388999.41999999987</v>
      </c>
      <c r="C7" s="92">
        <v>550907.47</v>
      </c>
      <c r="D7" s="92">
        <v>635816.34999999986</v>
      </c>
      <c r="E7" s="92">
        <v>434804.53</v>
      </c>
      <c r="F7" s="92">
        <v>447723.32</v>
      </c>
      <c r="G7" s="92">
        <v>443729.52</v>
      </c>
      <c r="H7" s="87">
        <v>2901980.61</v>
      </c>
    </row>
    <row r="8" spans="1:8" ht="14.25" customHeight="1" x14ac:dyDescent="0.3">
      <c r="A8" s="57" t="s">
        <v>1012</v>
      </c>
      <c r="B8" s="91">
        <v>449558.42000000004</v>
      </c>
      <c r="C8" s="92">
        <v>492516.66000000003</v>
      </c>
      <c r="D8" s="92">
        <v>692708.47</v>
      </c>
      <c r="E8" s="92">
        <v>485410.83999999997</v>
      </c>
      <c r="F8" s="92">
        <v>446560.59999999992</v>
      </c>
      <c r="G8" s="92">
        <v>358578.12999999995</v>
      </c>
      <c r="H8" s="87">
        <v>2925333.12</v>
      </c>
    </row>
    <row r="9" spans="1:8" ht="14.25" customHeight="1" x14ac:dyDescent="0.3">
      <c r="A9" s="57" t="s">
        <v>3037</v>
      </c>
      <c r="B9" s="91">
        <v>2272834.4599999995</v>
      </c>
      <c r="C9" s="92">
        <v>3395306.33</v>
      </c>
      <c r="D9" s="92">
        <v>2815443.620000001</v>
      </c>
      <c r="E9" s="92">
        <v>2248675.3200000003</v>
      </c>
      <c r="F9" s="92">
        <v>2307276.8600000022</v>
      </c>
      <c r="G9" s="92">
        <v>2469011.1799999988</v>
      </c>
      <c r="H9" s="87">
        <v>15508547.770000003</v>
      </c>
    </row>
    <row r="10" spans="1:8" ht="14.25" customHeight="1" x14ac:dyDescent="0.3">
      <c r="A10" s="58" t="s">
        <v>1187</v>
      </c>
      <c r="B10" s="93">
        <v>3671151.5399999996</v>
      </c>
      <c r="C10" s="94">
        <v>5606379.0500000007</v>
      </c>
      <c r="D10" s="94">
        <v>4972753.1100000013</v>
      </c>
      <c r="E10" s="94">
        <v>4325720.3800000008</v>
      </c>
      <c r="F10" s="94">
        <v>4086952.1900000023</v>
      </c>
      <c r="G10" s="94">
        <v>3909991.9299999988</v>
      </c>
      <c r="H10" s="88">
        <v>26572948.200000003</v>
      </c>
    </row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000"/>
  <sheetViews>
    <sheetView workbookViewId="0"/>
  </sheetViews>
  <sheetFormatPr defaultColWidth="14.44140625" defaultRowHeight="15" customHeight="1" x14ac:dyDescent="0.3"/>
  <cols>
    <col min="1" max="1" width="19" customWidth="1"/>
    <col min="2" max="2" width="15.5546875" customWidth="1"/>
    <col min="3" max="6" width="10" customWidth="1"/>
    <col min="7" max="7" width="11" customWidth="1"/>
    <col min="8" max="15" width="10" customWidth="1"/>
    <col min="16" max="16" width="11" customWidth="1"/>
    <col min="17" max="18" width="10" customWidth="1"/>
    <col min="19" max="19" width="11" customWidth="1"/>
    <col min="20" max="22" width="10" customWidth="1"/>
    <col min="23" max="23" width="11" customWidth="1"/>
    <col min="24" max="31" width="10" customWidth="1"/>
    <col min="32" max="32" width="12" customWidth="1"/>
  </cols>
  <sheetData>
    <row r="1" spans="1:32" ht="14.25" customHeight="1" x14ac:dyDescent="0.3"/>
    <row r="2" spans="1:32" ht="14.25" customHeight="1" x14ac:dyDescent="0.3"/>
    <row r="3" spans="1:32" ht="14.25" customHeight="1" x14ac:dyDescent="0.3">
      <c r="A3" s="48" t="s">
        <v>1184</v>
      </c>
      <c r="B3" s="48" t="s">
        <v>8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4"/>
    </row>
    <row r="4" spans="1:32" ht="14.25" customHeight="1" x14ac:dyDescent="0.3">
      <c r="A4" s="48" t="s">
        <v>28</v>
      </c>
      <c r="B4" s="55" t="s">
        <v>231</v>
      </c>
      <c r="C4" s="56" t="s">
        <v>261</v>
      </c>
      <c r="D4" s="56" t="s">
        <v>200</v>
      </c>
      <c r="E4" s="56" t="s">
        <v>185</v>
      </c>
      <c r="F4" s="56" t="s">
        <v>96</v>
      </c>
      <c r="G4" s="56" t="s">
        <v>125</v>
      </c>
      <c r="H4" s="56" t="s">
        <v>38</v>
      </c>
      <c r="I4" s="56" t="s">
        <v>135</v>
      </c>
      <c r="J4" s="56" t="s">
        <v>214</v>
      </c>
      <c r="K4" s="56" t="s">
        <v>177</v>
      </c>
      <c r="L4" s="56" t="s">
        <v>865</v>
      </c>
      <c r="M4" s="56" t="s">
        <v>189</v>
      </c>
      <c r="N4" s="56" t="s">
        <v>745</v>
      </c>
      <c r="O4" s="56" t="s">
        <v>117</v>
      </c>
      <c r="P4" s="56" t="s">
        <v>301</v>
      </c>
      <c r="Q4" s="56" t="s">
        <v>221</v>
      </c>
      <c r="R4" s="56" t="s">
        <v>121</v>
      </c>
      <c r="S4" s="56" t="s">
        <v>167</v>
      </c>
      <c r="T4" s="56" t="s">
        <v>158</v>
      </c>
      <c r="U4" s="56" t="s">
        <v>321</v>
      </c>
      <c r="V4" s="56" t="s">
        <v>216</v>
      </c>
      <c r="W4" s="56" t="s">
        <v>196</v>
      </c>
      <c r="X4" s="56" t="s">
        <v>208</v>
      </c>
      <c r="Y4" s="56" t="s">
        <v>153</v>
      </c>
      <c r="Z4" s="56" t="s">
        <v>145</v>
      </c>
      <c r="AA4" s="56" t="s">
        <v>376</v>
      </c>
      <c r="AB4" s="56" t="s">
        <v>619</v>
      </c>
      <c r="AC4" s="56" t="s">
        <v>172</v>
      </c>
      <c r="AD4" s="56" t="s">
        <v>236</v>
      </c>
      <c r="AE4" s="56" t="s">
        <v>143</v>
      </c>
      <c r="AF4" s="49" t="s">
        <v>1187</v>
      </c>
    </row>
    <row r="5" spans="1:32" ht="14.25" customHeight="1" x14ac:dyDescent="0.3">
      <c r="A5" s="55" t="s">
        <v>1028</v>
      </c>
      <c r="B5" s="89">
        <v>13142.630000000001</v>
      </c>
      <c r="C5" s="90">
        <v>47732.520000000004</v>
      </c>
      <c r="D5" s="90">
        <v>95360.5</v>
      </c>
      <c r="E5" s="90">
        <v>24139.45</v>
      </c>
      <c r="F5" s="90">
        <v>54151.6</v>
      </c>
      <c r="G5" s="90">
        <v>48005.38</v>
      </c>
      <c r="H5" s="90">
        <v>58410.439999999995</v>
      </c>
      <c r="I5" s="90">
        <v>10200</v>
      </c>
      <c r="J5" s="90">
        <v>30785.7</v>
      </c>
      <c r="K5" s="90">
        <v>90702.58</v>
      </c>
      <c r="L5" s="90">
        <v>16809.8</v>
      </c>
      <c r="M5" s="90"/>
      <c r="N5" s="90">
        <v>28754.46</v>
      </c>
      <c r="O5" s="90">
        <v>47799.039999999994</v>
      </c>
      <c r="P5" s="90">
        <v>38749.1</v>
      </c>
      <c r="Q5" s="90">
        <v>32076.68</v>
      </c>
      <c r="R5" s="90">
        <v>10848.42</v>
      </c>
      <c r="S5" s="90">
        <v>8568.6</v>
      </c>
      <c r="T5" s="90">
        <v>9214.02</v>
      </c>
      <c r="U5" s="90">
        <v>59723.72</v>
      </c>
      <c r="V5" s="90">
        <v>23014.95</v>
      </c>
      <c r="W5" s="90">
        <v>52618.020000000004</v>
      </c>
      <c r="X5" s="90">
        <v>77710.48</v>
      </c>
      <c r="Y5" s="90">
        <v>17676.14</v>
      </c>
      <c r="Z5" s="90">
        <v>18622.259999999998</v>
      </c>
      <c r="AA5" s="90">
        <v>20693.66</v>
      </c>
      <c r="AB5" s="90">
        <v>5372.64</v>
      </c>
      <c r="AC5" s="90">
        <v>12383.740000000002</v>
      </c>
      <c r="AD5" s="90">
        <v>42586.65</v>
      </c>
      <c r="AE5" s="90">
        <v>6927.3</v>
      </c>
      <c r="AF5" s="86">
        <v>1002780.4800000002</v>
      </c>
    </row>
    <row r="6" spans="1:32" ht="14.25" customHeight="1" x14ac:dyDescent="0.3">
      <c r="A6" s="57" t="s">
        <v>1032</v>
      </c>
      <c r="B6" s="91">
        <v>24096.66</v>
      </c>
      <c r="C6" s="92">
        <v>36227.699999999997</v>
      </c>
      <c r="D6" s="92">
        <v>43450.259999999995</v>
      </c>
      <c r="E6" s="92">
        <v>19539.78</v>
      </c>
      <c r="F6" s="92">
        <v>39012.479999999996</v>
      </c>
      <c r="G6" s="92">
        <v>37982.639999999999</v>
      </c>
      <c r="H6" s="92">
        <v>87633.61</v>
      </c>
      <c r="I6" s="92">
        <v>53643.3</v>
      </c>
      <c r="J6" s="92">
        <v>36122.160000000003</v>
      </c>
      <c r="K6" s="92">
        <v>33983.58</v>
      </c>
      <c r="L6" s="92">
        <v>85224.82</v>
      </c>
      <c r="M6" s="92">
        <v>38382.080000000002</v>
      </c>
      <c r="N6" s="92">
        <v>31912.1</v>
      </c>
      <c r="O6" s="92">
        <v>9269.2800000000007</v>
      </c>
      <c r="P6" s="92">
        <v>22723.65</v>
      </c>
      <c r="Q6" s="92">
        <v>31884.06</v>
      </c>
      <c r="R6" s="92">
        <v>25035.29</v>
      </c>
      <c r="S6" s="92">
        <v>76840.679999999993</v>
      </c>
      <c r="T6" s="92"/>
      <c r="U6" s="92">
        <v>34922.230000000003</v>
      </c>
      <c r="V6" s="92">
        <v>63472.950000000004</v>
      </c>
      <c r="W6" s="92">
        <v>48127.75</v>
      </c>
      <c r="X6" s="92">
        <v>30173.040000000001</v>
      </c>
      <c r="Y6" s="92">
        <v>31667.7</v>
      </c>
      <c r="Z6" s="92">
        <v>35478.449999999997</v>
      </c>
      <c r="AA6" s="92">
        <v>5782.7</v>
      </c>
      <c r="AB6" s="92">
        <v>30938.52</v>
      </c>
      <c r="AC6" s="92">
        <v>24732.36</v>
      </c>
      <c r="AD6" s="92">
        <v>10992.93</v>
      </c>
      <c r="AE6" s="92">
        <v>2717</v>
      </c>
      <c r="AF6" s="87">
        <v>1051969.76</v>
      </c>
    </row>
    <row r="7" spans="1:32" ht="14.25" customHeight="1" x14ac:dyDescent="0.3">
      <c r="A7" s="57" t="s">
        <v>1036</v>
      </c>
      <c r="B7" s="91">
        <v>32469.239999999998</v>
      </c>
      <c r="C7" s="92">
        <v>34922.44</v>
      </c>
      <c r="D7" s="92">
        <v>53976.799999999996</v>
      </c>
      <c r="E7" s="92">
        <v>37588.080000000002</v>
      </c>
      <c r="F7" s="92">
        <v>20517.04</v>
      </c>
      <c r="G7" s="92">
        <v>9576.84</v>
      </c>
      <c r="H7" s="92">
        <v>54216.5</v>
      </c>
      <c r="I7" s="92">
        <v>55426.239999999998</v>
      </c>
      <c r="J7" s="92">
        <v>15954</v>
      </c>
      <c r="K7" s="92">
        <v>81282.36</v>
      </c>
      <c r="L7" s="92"/>
      <c r="M7" s="92">
        <v>47743.37</v>
      </c>
      <c r="N7" s="92">
        <v>82363.08</v>
      </c>
      <c r="O7" s="92">
        <v>29764.32</v>
      </c>
      <c r="P7" s="92">
        <v>15998.96</v>
      </c>
      <c r="Q7" s="92">
        <v>45639.42</v>
      </c>
      <c r="R7" s="92">
        <v>50697.020000000004</v>
      </c>
      <c r="S7" s="92">
        <v>52352.360000000008</v>
      </c>
      <c r="T7" s="92">
        <v>833.85</v>
      </c>
      <c r="U7" s="92">
        <v>53215.12</v>
      </c>
      <c r="V7" s="92">
        <v>3194.7</v>
      </c>
      <c r="W7" s="92">
        <v>38341.32</v>
      </c>
      <c r="X7" s="92">
        <v>62664.119999999995</v>
      </c>
      <c r="Y7" s="92">
        <v>19205.12</v>
      </c>
      <c r="Z7" s="92">
        <v>35026.800000000003</v>
      </c>
      <c r="AA7" s="92">
        <v>12949.3</v>
      </c>
      <c r="AB7" s="92">
        <v>61362.32</v>
      </c>
      <c r="AC7" s="92">
        <v>27579.11</v>
      </c>
      <c r="AD7" s="92">
        <v>43070.58</v>
      </c>
      <c r="AE7" s="92">
        <v>29721.11</v>
      </c>
      <c r="AF7" s="87">
        <v>1107651.52</v>
      </c>
    </row>
    <row r="8" spans="1:32" ht="14.25" customHeight="1" x14ac:dyDescent="0.3">
      <c r="A8" s="57" t="s">
        <v>1026</v>
      </c>
      <c r="B8" s="91">
        <v>23433.82</v>
      </c>
      <c r="C8" s="92">
        <v>17800.900000000001</v>
      </c>
      <c r="D8" s="92">
        <v>6311.76</v>
      </c>
      <c r="E8" s="92">
        <v>39091.5</v>
      </c>
      <c r="F8" s="92">
        <v>9662.4</v>
      </c>
      <c r="G8" s="92">
        <v>30935.02</v>
      </c>
      <c r="H8" s="92">
        <v>13071.779999999999</v>
      </c>
      <c r="I8" s="92">
        <v>28679.7</v>
      </c>
      <c r="J8" s="92">
        <v>90904.78</v>
      </c>
      <c r="K8" s="92"/>
      <c r="L8" s="92">
        <v>21895.66</v>
      </c>
      <c r="M8" s="92"/>
      <c r="N8" s="92"/>
      <c r="O8" s="92">
        <v>33879.119999999995</v>
      </c>
      <c r="P8" s="92">
        <v>107702.76000000001</v>
      </c>
      <c r="Q8" s="92">
        <v>29615.149999999998</v>
      </c>
      <c r="R8" s="92">
        <v>95717.2</v>
      </c>
      <c r="S8" s="92">
        <v>34236.199999999997</v>
      </c>
      <c r="T8" s="92">
        <v>96853.59</v>
      </c>
      <c r="U8" s="92">
        <v>49449.74</v>
      </c>
      <c r="V8" s="92"/>
      <c r="W8" s="92">
        <v>66445.63</v>
      </c>
      <c r="X8" s="92">
        <v>29644.86</v>
      </c>
      <c r="Y8" s="92">
        <v>42242.76</v>
      </c>
      <c r="Z8" s="92">
        <v>613.79999999999995</v>
      </c>
      <c r="AA8" s="92">
        <v>2183.8000000000002</v>
      </c>
      <c r="AB8" s="92">
        <v>14480.8</v>
      </c>
      <c r="AC8" s="92">
        <v>46797.240000000005</v>
      </c>
      <c r="AD8" s="92">
        <v>38691.800000000003</v>
      </c>
      <c r="AE8" s="92">
        <v>13251.56</v>
      </c>
      <c r="AF8" s="87">
        <v>983593.33000000019</v>
      </c>
    </row>
    <row r="9" spans="1:32" ht="14.25" customHeight="1" x14ac:dyDescent="0.3">
      <c r="A9" s="57" t="s">
        <v>1025</v>
      </c>
      <c r="B9" s="91">
        <v>57888.479999999996</v>
      </c>
      <c r="C9" s="92">
        <v>10535.7</v>
      </c>
      <c r="D9" s="92"/>
      <c r="E9" s="92">
        <v>4562.88</v>
      </c>
      <c r="F9" s="92">
        <v>1944.72</v>
      </c>
      <c r="G9" s="92"/>
      <c r="H9" s="92">
        <v>3201.66</v>
      </c>
      <c r="I9" s="92">
        <v>29826.5</v>
      </c>
      <c r="J9" s="92">
        <v>5938.8</v>
      </c>
      <c r="K9" s="92">
        <v>62823.26</v>
      </c>
      <c r="L9" s="92">
        <v>37163.1</v>
      </c>
      <c r="M9" s="92">
        <v>16317.5</v>
      </c>
      <c r="N9" s="92">
        <v>35839.019999999997</v>
      </c>
      <c r="O9" s="92">
        <v>25188.799999999999</v>
      </c>
      <c r="P9" s="92">
        <v>37259.4</v>
      </c>
      <c r="Q9" s="92">
        <v>11096.46</v>
      </c>
      <c r="R9" s="92">
        <v>52756.56</v>
      </c>
      <c r="S9" s="92">
        <v>35876.039999999994</v>
      </c>
      <c r="T9" s="92">
        <v>21674.25</v>
      </c>
      <c r="U9" s="92">
        <v>3544.8599999999997</v>
      </c>
      <c r="V9" s="92">
        <v>8362.64</v>
      </c>
      <c r="W9" s="92">
        <v>16501.68</v>
      </c>
      <c r="X9" s="92">
        <v>13056.96</v>
      </c>
      <c r="Y9" s="92">
        <v>45836.14</v>
      </c>
      <c r="Z9" s="92">
        <v>29318.65</v>
      </c>
      <c r="AA9" s="92"/>
      <c r="AB9" s="92">
        <v>2550.94</v>
      </c>
      <c r="AC9" s="92">
        <v>76200.33</v>
      </c>
      <c r="AD9" s="92">
        <v>36804.42</v>
      </c>
      <c r="AE9" s="92">
        <v>28551.53</v>
      </c>
      <c r="AF9" s="87">
        <v>710621.28</v>
      </c>
    </row>
    <row r="10" spans="1:32" ht="14.25" customHeight="1" x14ac:dyDescent="0.3">
      <c r="A10" s="57" t="s">
        <v>1031</v>
      </c>
      <c r="B10" s="91">
        <v>23504.85</v>
      </c>
      <c r="C10" s="92">
        <v>40546.620000000003</v>
      </c>
      <c r="D10" s="92">
        <v>31379.49</v>
      </c>
      <c r="E10" s="92">
        <v>18431.400000000001</v>
      </c>
      <c r="F10" s="92">
        <v>11909.7</v>
      </c>
      <c r="G10" s="92">
        <v>82680.959999999992</v>
      </c>
      <c r="H10" s="92">
        <v>12961</v>
      </c>
      <c r="I10" s="92"/>
      <c r="J10" s="92">
        <v>17339.7</v>
      </c>
      <c r="K10" s="92"/>
      <c r="L10" s="92">
        <v>73419.3</v>
      </c>
      <c r="M10" s="92">
        <v>54746.509999999995</v>
      </c>
      <c r="N10" s="92">
        <v>2319.4499999999998</v>
      </c>
      <c r="O10" s="92">
        <v>43642.5</v>
      </c>
      <c r="P10" s="92">
        <v>52951.08</v>
      </c>
      <c r="Q10" s="92">
        <v>3344.59</v>
      </c>
      <c r="R10" s="92">
        <v>96471.29</v>
      </c>
      <c r="S10" s="92">
        <v>16505.3</v>
      </c>
      <c r="T10" s="92">
        <v>15307.6</v>
      </c>
      <c r="U10" s="92">
        <v>11185.16</v>
      </c>
      <c r="V10" s="92">
        <v>50498.630000000005</v>
      </c>
      <c r="W10" s="92">
        <v>41669.919999999998</v>
      </c>
      <c r="X10" s="92">
        <v>13876.59</v>
      </c>
      <c r="Y10" s="92"/>
      <c r="Z10" s="92">
        <v>128732.21000000002</v>
      </c>
      <c r="AA10" s="92">
        <v>19448.64</v>
      </c>
      <c r="AB10" s="92">
        <v>12565.02</v>
      </c>
      <c r="AC10" s="92">
        <v>33246.080000000002</v>
      </c>
      <c r="AD10" s="92">
        <v>24496.02</v>
      </c>
      <c r="AE10" s="92">
        <v>58977.67</v>
      </c>
      <c r="AF10" s="87">
        <v>992157.28000000014</v>
      </c>
    </row>
    <row r="11" spans="1:32" ht="14.25" customHeight="1" x14ac:dyDescent="0.3">
      <c r="A11" s="57" t="s">
        <v>1030</v>
      </c>
      <c r="B11" s="91">
        <v>32893.800000000003</v>
      </c>
      <c r="C11" s="92">
        <v>42723.22</v>
      </c>
      <c r="D11" s="92">
        <v>2167.5700000000002</v>
      </c>
      <c r="E11" s="92">
        <v>33162.839999999997</v>
      </c>
      <c r="F11" s="92">
        <v>35189.29</v>
      </c>
      <c r="G11" s="92"/>
      <c r="H11" s="92">
        <v>34212.53</v>
      </c>
      <c r="I11" s="92">
        <v>52709.58</v>
      </c>
      <c r="J11" s="92">
        <v>31327.72</v>
      </c>
      <c r="K11" s="92">
        <v>68943.58</v>
      </c>
      <c r="L11" s="92"/>
      <c r="M11" s="92"/>
      <c r="N11" s="92">
        <v>38614.559999999998</v>
      </c>
      <c r="O11" s="92">
        <v>4389.76</v>
      </c>
      <c r="P11" s="92">
        <v>28971.52</v>
      </c>
      <c r="Q11" s="92">
        <v>49924.740000000005</v>
      </c>
      <c r="R11" s="92">
        <v>8854.08</v>
      </c>
      <c r="S11" s="92">
        <v>35267.1</v>
      </c>
      <c r="T11" s="92">
        <v>18806.2</v>
      </c>
      <c r="U11" s="92">
        <v>55295.71</v>
      </c>
      <c r="V11" s="92">
        <v>22419.54</v>
      </c>
      <c r="W11" s="92">
        <v>14590.8</v>
      </c>
      <c r="X11" s="92"/>
      <c r="Y11" s="92">
        <v>40732.959999999999</v>
      </c>
      <c r="Z11" s="92">
        <v>48729.58</v>
      </c>
      <c r="AA11" s="92">
        <v>10530.07</v>
      </c>
      <c r="AB11" s="92">
        <v>14967.44</v>
      </c>
      <c r="AC11" s="92">
        <v>13144.61</v>
      </c>
      <c r="AD11" s="92">
        <v>51547.11</v>
      </c>
      <c r="AE11" s="92">
        <v>42574.6</v>
      </c>
      <c r="AF11" s="87">
        <v>832690.50999999989</v>
      </c>
    </row>
    <row r="12" spans="1:32" ht="14.25" customHeight="1" x14ac:dyDescent="0.3">
      <c r="A12" s="57" t="s">
        <v>1027</v>
      </c>
      <c r="B12" s="91">
        <v>53529.58</v>
      </c>
      <c r="C12" s="92">
        <v>17892.349999999999</v>
      </c>
      <c r="D12" s="92">
        <v>107614.57999999999</v>
      </c>
      <c r="E12" s="92">
        <v>17920.36</v>
      </c>
      <c r="F12" s="92">
        <v>38591.840000000004</v>
      </c>
      <c r="G12" s="92">
        <v>13982.64</v>
      </c>
      <c r="H12" s="92">
        <v>30238.34</v>
      </c>
      <c r="I12" s="92">
        <v>27669.46</v>
      </c>
      <c r="J12" s="92">
        <v>59850.14</v>
      </c>
      <c r="K12" s="92">
        <v>17484.810000000001</v>
      </c>
      <c r="L12" s="92">
        <v>36603.840000000004</v>
      </c>
      <c r="M12" s="92"/>
      <c r="N12" s="92"/>
      <c r="O12" s="92">
        <v>34768.44</v>
      </c>
      <c r="P12" s="92">
        <v>87736.56</v>
      </c>
      <c r="Q12" s="92">
        <v>26366.449999999997</v>
      </c>
      <c r="R12" s="92">
        <v>701.1</v>
      </c>
      <c r="S12" s="92">
        <v>59203.19</v>
      </c>
      <c r="T12" s="92"/>
      <c r="U12" s="92">
        <v>27364.760000000002</v>
      </c>
      <c r="V12" s="92">
        <v>85035.12</v>
      </c>
      <c r="W12" s="92">
        <v>45116.6</v>
      </c>
      <c r="X12" s="92">
        <v>25929.279999999999</v>
      </c>
      <c r="Y12" s="92">
        <v>74395.45</v>
      </c>
      <c r="Z12" s="92">
        <v>58234.48</v>
      </c>
      <c r="AA12" s="92">
        <v>25279.439999999999</v>
      </c>
      <c r="AB12" s="92">
        <v>12178.5</v>
      </c>
      <c r="AC12" s="92">
        <v>14509.44</v>
      </c>
      <c r="AD12" s="92">
        <v>31945.279999999999</v>
      </c>
      <c r="AE12" s="92">
        <v>4513.08</v>
      </c>
      <c r="AF12" s="87">
        <v>1034655.1099999998</v>
      </c>
    </row>
    <row r="13" spans="1:32" ht="14.25" customHeight="1" x14ac:dyDescent="0.3">
      <c r="A13" s="57" t="s">
        <v>1029</v>
      </c>
      <c r="B13" s="91"/>
      <c r="C13" s="92">
        <v>32944.030000000006</v>
      </c>
      <c r="D13" s="92"/>
      <c r="E13" s="92">
        <v>14728.099999999999</v>
      </c>
      <c r="F13" s="92">
        <v>13208.72</v>
      </c>
      <c r="G13" s="92">
        <v>81523.759999999995</v>
      </c>
      <c r="H13" s="92">
        <v>49780.61</v>
      </c>
      <c r="I13" s="92">
        <v>50774.479999999996</v>
      </c>
      <c r="J13" s="92">
        <v>56878.849999999991</v>
      </c>
      <c r="K13" s="92">
        <v>67849.399999999994</v>
      </c>
      <c r="L13" s="92"/>
      <c r="M13" s="92">
        <v>11312.73</v>
      </c>
      <c r="N13" s="92">
        <v>48333.21</v>
      </c>
      <c r="O13" s="92">
        <v>12376.880000000001</v>
      </c>
      <c r="P13" s="92">
        <v>33794.46</v>
      </c>
      <c r="Q13" s="92">
        <v>55387.32</v>
      </c>
      <c r="R13" s="92">
        <v>4176.5200000000004</v>
      </c>
      <c r="S13" s="92">
        <v>20749.260000000002</v>
      </c>
      <c r="T13" s="92">
        <v>20488.14</v>
      </c>
      <c r="U13" s="92"/>
      <c r="V13" s="92">
        <v>26189.4</v>
      </c>
      <c r="W13" s="92">
        <v>84834.12</v>
      </c>
      <c r="X13" s="92">
        <v>28208.1</v>
      </c>
      <c r="Y13" s="92">
        <v>2697</v>
      </c>
      <c r="Z13" s="92">
        <v>1321.17</v>
      </c>
      <c r="AA13" s="92">
        <v>219.3</v>
      </c>
      <c r="AB13" s="92">
        <v>23817.95</v>
      </c>
      <c r="AC13" s="92">
        <v>22052.400000000001</v>
      </c>
      <c r="AD13" s="92">
        <v>74682.040000000008</v>
      </c>
      <c r="AE13" s="92">
        <v>10903.76</v>
      </c>
      <c r="AF13" s="87">
        <v>849231.71000000008</v>
      </c>
    </row>
    <row r="14" spans="1:32" ht="14.25" customHeight="1" x14ac:dyDescent="0.3">
      <c r="A14" s="57" t="s">
        <v>1035</v>
      </c>
      <c r="B14" s="91">
        <v>49896.08</v>
      </c>
      <c r="C14" s="92">
        <v>27434.95</v>
      </c>
      <c r="D14" s="92">
        <v>45417.86</v>
      </c>
      <c r="E14" s="92">
        <v>19041.68</v>
      </c>
      <c r="F14" s="92">
        <v>11080.41</v>
      </c>
      <c r="G14" s="92">
        <v>50573.81</v>
      </c>
      <c r="H14" s="92"/>
      <c r="I14" s="92">
        <v>41452.509999999995</v>
      </c>
      <c r="J14" s="92">
        <v>26772.039999999997</v>
      </c>
      <c r="K14" s="92">
        <v>19890.5</v>
      </c>
      <c r="L14" s="92">
        <v>18845.05</v>
      </c>
      <c r="M14" s="92">
        <v>22938.720000000001</v>
      </c>
      <c r="N14" s="92">
        <v>11875.5</v>
      </c>
      <c r="O14" s="92">
        <v>13261.8</v>
      </c>
      <c r="P14" s="92">
        <v>62540.36</v>
      </c>
      <c r="Q14" s="92">
        <v>4969.2</v>
      </c>
      <c r="R14" s="92">
        <v>40020.01</v>
      </c>
      <c r="S14" s="92">
        <v>25461</v>
      </c>
      <c r="T14" s="92">
        <v>36824.039999999994</v>
      </c>
      <c r="U14" s="92">
        <v>49494.719999999994</v>
      </c>
      <c r="V14" s="92">
        <v>7484.4</v>
      </c>
      <c r="W14" s="92">
        <v>64550.159999999996</v>
      </c>
      <c r="X14" s="92">
        <v>15733.12</v>
      </c>
      <c r="Y14" s="92">
        <v>37299.08</v>
      </c>
      <c r="Z14" s="92">
        <v>13399.599999999999</v>
      </c>
      <c r="AA14" s="92">
        <v>48488.959999999999</v>
      </c>
      <c r="AB14" s="92">
        <v>27900.649999999998</v>
      </c>
      <c r="AC14" s="92">
        <v>7854.8600000000006</v>
      </c>
      <c r="AD14" s="92">
        <v>29735.559999999998</v>
      </c>
      <c r="AE14" s="92">
        <v>58880.840000000004</v>
      </c>
      <c r="AF14" s="87">
        <v>889117.46999999986</v>
      </c>
    </row>
    <row r="15" spans="1:32" ht="14.25" customHeight="1" x14ac:dyDescent="0.3">
      <c r="A15" s="57" t="s">
        <v>1034</v>
      </c>
      <c r="B15" s="91">
        <v>52418.579999999994</v>
      </c>
      <c r="C15" s="92">
        <v>2627</v>
      </c>
      <c r="D15" s="92">
        <v>43580.08</v>
      </c>
      <c r="E15" s="92">
        <v>5319.9</v>
      </c>
      <c r="F15" s="92"/>
      <c r="G15" s="92">
        <v>992.83</v>
      </c>
      <c r="H15" s="92">
        <v>20387.16</v>
      </c>
      <c r="I15" s="92">
        <v>7867.23</v>
      </c>
      <c r="J15" s="92"/>
      <c r="K15" s="92">
        <v>95879.359999999986</v>
      </c>
      <c r="L15" s="92">
        <v>10273.83</v>
      </c>
      <c r="M15" s="92">
        <v>51497.399999999994</v>
      </c>
      <c r="N15" s="92">
        <v>44750.97</v>
      </c>
      <c r="O15" s="92">
        <v>2983.04</v>
      </c>
      <c r="P15" s="92"/>
      <c r="Q15" s="92"/>
      <c r="R15" s="92">
        <v>1905.6</v>
      </c>
      <c r="S15" s="92">
        <v>14152</v>
      </c>
      <c r="T15" s="92">
        <v>48165.08</v>
      </c>
      <c r="U15" s="92">
        <v>11091.6</v>
      </c>
      <c r="V15" s="92">
        <v>23029.480000000003</v>
      </c>
      <c r="W15" s="92"/>
      <c r="X15" s="92">
        <v>5393.04</v>
      </c>
      <c r="Y15" s="92">
        <v>51855.649999999994</v>
      </c>
      <c r="Z15" s="92">
        <v>46532.979999999996</v>
      </c>
      <c r="AA15" s="92">
        <v>29401.74</v>
      </c>
      <c r="AB15" s="92">
        <v>82393.01999999999</v>
      </c>
      <c r="AC15" s="92">
        <v>83207.239999999991</v>
      </c>
      <c r="AD15" s="92">
        <v>23482.44</v>
      </c>
      <c r="AE15" s="92">
        <v>59509.19</v>
      </c>
      <c r="AF15" s="87">
        <v>818696.43999999971</v>
      </c>
    </row>
    <row r="16" spans="1:32" ht="14.25" customHeight="1" x14ac:dyDescent="0.3">
      <c r="A16" s="57" t="s">
        <v>1033</v>
      </c>
      <c r="B16" s="91">
        <v>10086.18</v>
      </c>
      <c r="C16" s="92">
        <v>25577.5</v>
      </c>
      <c r="D16" s="92">
        <v>3736.42</v>
      </c>
      <c r="E16" s="92">
        <v>7928.34</v>
      </c>
      <c r="F16" s="92">
        <v>45555.240000000005</v>
      </c>
      <c r="G16" s="92">
        <v>2927.4</v>
      </c>
      <c r="H16" s="92">
        <v>73512.200000000012</v>
      </c>
      <c r="I16" s="92">
        <v>81426.600000000006</v>
      </c>
      <c r="J16" s="92">
        <v>15341.5</v>
      </c>
      <c r="K16" s="92">
        <v>19266.78</v>
      </c>
      <c r="L16" s="92">
        <v>15044.16</v>
      </c>
      <c r="M16" s="92">
        <v>31566.82</v>
      </c>
      <c r="N16" s="92">
        <v>297.89999999999998</v>
      </c>
      <c r="O16" s="92">
        <v>7592.0300000000007</v>
      </c>
      <c r="P16" s="92">
        <v>63801.75</v>
      </c>
      <c r="Q16" s="92">
        <v>42145.2</v>
      </c>
      <c r="R16" s="92"/>
      <c r="S16" s="92">
        <v>58108.219999999994</v>
      </c>
      <c r="T16" s="92">
        <v>7421.26</v>
      </c>
      <c r="U16" s="92">
        <v>43602.46</v>
      </c>
      <c r="V16" s="92">
        <v>38732.550000000003</v>
      </c>
      <c r="W16" s="92">
        <v>31340.400000000001</v>
      </c>
      <c r="X16" s="92">
        <v>45172.89</v>
      </c>
      <c r="Y16" s="92">
        <v>13815.1</v>
      </c>
      <c r="Z16" s="92">
        <v>1556.1</v>
      </c>
      <c r="AA16" s="92">
        <v>13260</v>
      </c>
      <c r="AB16" s="92">
        <v>37300.28</v>
      </c>
      <c r="AC16" s="92">
        <v>20481.060000000001</v>
      </c>
      <c r="AD16" s="92">
        <v>5856</v>
      </c>
      <c r="AE16" s="92">
        <v>28783.200000000001</v>
      </c>
      <c r="AF16" s="87">
        <v>791235.54000000015</v>
      </c>
    </row>
    <row r="17" spans="1:32" ht="14.25" customHeight="1" x14ac:dyDescent="0.3">
      <c r="A17" s="57" t="s">
        <v>3037</v>
      </c>
      <c r="B17" s="91">
        <v>416489.6999999999</v>
      </c>
      <c r="C17" s="92">
        <v>643098.73</v>
      </c>
      <c r="D17" s="92">
        <v>553697.59000000008</v>
      </c>
      <c r="E17" s="92">
        <v>347571.98000000004</v>
      </c>
      <c r="F17" s="92">
        <v>501621.89</v>
      </c>
      <c r="G17" s="92">
        <v>779467.45000000007</v>
      </c>
      <c r="H17" s="92">
        <v>418123.84999999992</v>
      </c>
      <c r="I17" s="92">
        <v>421877.73</v>
      </c>
      <c r="J17" s="92">
        <v>527339.32999999996</v>
      </c>
      <c r="K17" s="92">
        <v>322238.99</v>
      </c>
      <c r="L17" s="92">
        <v>419928.2</v>
      </c>
      <c r="M17" s="92">
        <v>626889.19000000029</v>
      </c>
      <c r="N17" s="92">
        <v>486464.12999999995</v>
      </c>
      <c r="O17" s="92">
        <v>730798.53</v>
      </c>
      <c r="P17" s="92">
        <v>539510.58000000019</v>
      </c>
      <c r="Q17" s="92">
        <v>482114.43999999994</v>
      </c>
      <c r="R17" s="92">
        <v>393201.32000000007</v>
      </c>
      <c r="S17" s="92">
        <v>674969.69000000006</v>
      </c>
      <c r="T17" s="92">
        <v>695595.49000000011</v>
      </c>
      <c r="U17" s="92">
        <v>507217.62999999995</v>
      </c>
      <c r="V17" s="92">
        <v>410072.80999999994</v>
      </c>
      <c r="W17" s="92">
        <v>565434.14000000013</v>
      </c>
      <c r="X17" s="92">
        <v>636225.00000000012</v>
      </c>
      <c r="Y17" s="92">
        <v>442135.48</v>
      </c>
      <c r="Z17" s="92">
        <v>483732.81</v>
      </c>
      <c r="AA17" s="92">
        <v>388067.47</v>
      </c>
      <c r="AB17" s="92">
        <v>591264.54</v>
      </c>
      <c r="AC17" s="92">
        <v>498279.58000000007</v>
      </c>
      <c r="AD17" s="92">
        <v>602805.97</v>
      </c>
      <c r="AE17" s="92">
        <v>402313.52999999997</v>
      </c>
      <c r="AF17" s="87">
        <v>15508547.770000005</v>
      </c>
    </row>
    <row r="18" spans="1:32" ht="14.25" customHeight="1" x14ac:dyDescent="0.3">
      <c r="A18" s="58" t="s">
        <v>1187</v>
      </c>
      <c r="B18" s="93">
        <v>789849.59999999998</v>
      </c>
      <c r="C18" s="94">
        <v>980063.66</v>
      </c>
      <c r="D18" s="94">
        <v>986692.91</v>
      </c>
      <c r="E18" s="94">
        <v>589026.29</v>
      </c>
      <c r="F18" s="94">
        <v>782445.33000000007</v>
      </c>
      <c r="G18" s="94">
        <v>1138648.73</v>
      </c>
      <c r="H18" s="94">
        <v>855749.67999999993</v>
      </c>
      <c r="I18" s="94">
        <v>861553.33</v>
      </c>
      <c r="J18" s="94">
        <v>914554.72</v>
      </c>
      <c r="K18" s="94">
        <v>880345.20000000007</v>
      </c>
      <c r="L18" s="94">
        <v>735207.76</v>
      </c>
      <c r="M18" s="94">
        <v>901394.3200000003</v>
      </c>
      <c r="N18" s="94">
        <v>811524.37999999989</v>
      </c>
      <c r="O18" s="94">
        <v>995713.54</v>
      </c>
      <c r="P18" s="94">
        <v>1091740.1800000002</v>
      </c>
      <c r="Q18" s="94">
        <v>814563.71</v>
      </c>
      <c r="R18" s="94">
        <v>780384.41</v>
      </c>
      <c r="S18" s="94">
        <v>1112289.6400000001</v>
      </c>
      <c r="T18" s="94">
        <v>971183.52000000014</v>
      </c>
      <c r="U18" s="94">
        <v>906107.71</v>
      </c>
      <c r="V18" s="94">
        <v>761507.16999999993</v>
      </c>
      <c r="W18" s="94">
        <v>1069570.54</v>
      </c>
      <c r="X18" s="94">
        <v>983787.4800000001</v>
      </c>
      <c r="Y18" s="94">
        <v>819558.58</v>
      </c>
      <c r="Z18" s="94">
        <v>901298.8899999999</v>
      </c>
      <c r="AA18" s="94">
        <v>576305.07999999996</v>
      </c>
      <c r="AB18" s="94">
        <v>917092.62000000011</v>
      </c>
      <c r="AC18" s="94">
        <v>880468.05</v>
      </c>
      <c r="AD18" s="94">
        <v>1016696.8</v>
      </c>
      <c r="AE18" s="94">
        <v>747624.37</v>
      </c>
      <c r="AF18" s="88">
        <v>26572948.200000007</v>
      </c>
    </row>
    <row r="19" spans="1:32" ht="14.25" customHeight="1" x14ac:dyDescent="0.3"/>
    <row r="20" spans="1:32" ht="14.25" customHeight="1" x14ac:dyDescent="0.3">
      <c r="B20" s="18">
        <f>MAX(GETPIVOTDATA("final_amount",$A$3,"Order Month",))</f>
        <v>15508547.770000005</v>
      </c>
    </row>
    <row r="21" spans="1:32" ht="14.25" customHeight="1" x14ac:dyDescent="0.3"/>
    <row r="22" spans="1:32" ht="14.25" customHeight="1" x14ac:dyDescent="0.3"/>
    <row r="23" spans="1:32" ht="14.25" customHeight="1" x14ac:dyDescent="0.3"/>
    <row r="24" spans="1:32" ht="14.25" customHeight="1" x14ac:dyDescent="0.3"/>
    <row r="25" spans="1:32" ht="14.25" customHeight="1" x14ac:dyDescent="0.3"/>
    <row r="26" spans="1:32" ht="14.25" customHeight="1" x14ac:dyDescent="0.3"/>
    <row r="27" spans="1:32" ht="14.25" customHeight="1" x14ac:dyDescent="0.3"/>
    <row r="28" spans="1:32" ht="14.25" customHeight="1" x14ac:dyDescent="0.3"/>
    <row r="29" spans="1:32" ht="14.25" customHeight="1" x14ac:dyDescent="0.3"/>
    <row r="30" spans="1:32" ht="14.25" customHeight="1" x14ac:dyDescent="0.3"/>
    <row r="31" spans="1:32" ht="14.25" customHeight="1" x14ac:dyDescent="0.3"/>
    <row r="32" spans="1: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00"/>
  <sheetViews>
    <sheetView workbookViewId="0"/>
  </sheetViews>
  <sheetFormatPr defaultColWidth="14.44140625" defaultRowHeight="15" customHeight="1" x14ac:dyDescent="0.3"/>
  <cols>
    <col min="1" max="1" width="19" customWidth="1"/>
    <col min="2" max="2" width="15.5546875" customWidth="1"/>
    <col min="3" max="3" width="7" customWidth="1"/>
    <col min="4" max="4" width="10" customWidth="1"/>
    <col min="5" max="5" width="7.5546875" customWidth="1"/>
    <col min="6" max="7" width="7" customWidth="1"/>
    <col min="8" max="8" width="10.6640625" customWidth="1"/>
    <col min="9" max="26" width="8.6640625" customWidth="1"/>
  </cols>
  <sheetData>
    <row r="1" spans="1:8" ht="14.25" customHeight="1" x14ac:dyDescent="0.3"/>
    <row r="2" spans="1:8" ht="14.25" customHeight="1" x14ac:dyDescent="0.3"/>
    <row r="3" spans="1:8" ht="14.25" customHeight="1" x14ac:dyDescent="0.3">
      <c r="A3" s="48" t="s">
        <v>1184</v>
      </c>
      <c r="B3" s="48" t="s">
        <v>18</v>
      </c>
      <c r="C3" s="53"/>
      <c r="D3" s="53"/>
      <c r="E3" s="53"/>
      <c r="F3" s="53"/>
      <c r="G3" s="53"/>
      <c r="H3" s="54"/>
    </row>
    <row r="4" spans="1:8" ht="14.25" customHeight="1" x14ac:dyDescent="0.3">
      <c r="A4" s="48" t="s">
        <v>26</v>
      </c>
      <c r="B4" s="55" t="s">
        <v>891</v>
      </c>
      <c r="C4" s="56" t="s">
        <v>938</v>
      </c>
      <c r="D4" s="56" t="s">
        <v>126</v>
      </c>
      <c r="E4" s="56" t="s">
        <v>907</v>
      </c>
      <c r="F4" s="56" t="s">
        <v>922</v>
      </c>
      <c r="G4" s="56" t="s">
        <v>953</v>
      </c>
      <c r="H4" s="49" t="s">
        <v>1187</v>
      </c>
    </row>
    <row r="5" spans="1:8" ht="14.25" customHeight="1" x14ac:dyDescent="0.3">
      <c r="A5" s="55" t="s">
        <v>1003</v>
      </c>
      <c r="B5" s="59">
        <v>8.0864547234473963E-2</v>
      </c>
      <c r="C5" s="60">
        <v>0.27547498760561506</v>
      </c>
      <c r="D5" s="60">
        <v>0.16371295782255502</v>
      </c>
      <c r="E5" s="60">
        <v>0.2155284980572785</v>
      </c>
      <c r="F5" s="60">
        <v>0.12554751300819711</v>
      </c>
      <c r="G5" s="60">
        <v>0.13887149627188045</v>
      </c>
      <c r="H5" s="61">
        <v>1</v>
      </c>
    </row>
    <row r="6" spans="1:8" ht="14.25" customHeight="1" x14ac:dyDescent="0.3">
      <c r="A6" s="57" t="s">
        <v>986</v>
      </c>
      <c r="B6" s="62">
        <v>0.13760532510857146</v>
      </c>
      <c r="C6" s="63">
        <v>0.16094884153987762</v>
      </c>
      <c r="D6" s="63">
        <v>0.15180625589077953</v>
      </c>
      <c r="E6" s="63">
        <v>0.22722449056923533</v>
      </c>
      <c r="F6" s="63">
        <v>0.22044049446009073</v>
      </c>
      <c r="G6" s="63">
        <v>0.10197459243144522</v>
      </c>
      <c r="H6" s="64">
        <v>1</v>
      </c>
    </row>
    <row r="7" spans="1:8" ht="14.25" customHeight="1" x14ac:dyDescent="0.3">
      <c r="A7" s="57" t="s">
        <v>128</v>
      </c>
      <c r="B7" s="62">
        <v>0.13404618165246798</v>
      </c>
      <c r="C7" s="63">
        <v>0.18983843934091621</v>
      </c>
      <c r="D7" s="63">
        <v>0.21909738053005112</v>
      </c>
      <c r="E7" s="63">
        <v>0.14983026712917977</v>
      </c>
      <c r="F7" s="63">
        <v>0.15428198191854908</v>
      </c>
      <c r="G7" s="63">
        <v>0.15290574942883578</v>
      </c>
      <c r="H7" s="64">
        <v>1</v>
      </c>
    </row>
    <row r="8" spans="1:8" ht="14.25" customHeight="1" x14ac:dyDescent="0.3">
      <c r="A8" s="57" t="s">
        <v>1012</v>
      </c>
      <c r="B8" s="62">
        <v>0.15367768440675914</v>
      </c>
      <c r="C8" s="63">
        <v>0.16836258976208496</v>
      </c>
      <c r="D8" s="63">
        <v>0.23679644046829099</v>
      </c>
      <c r="E8" s="63">
        <v>0.16593352623033919</v>
      </c>
      <c r="F8" s="63">
        <v>0.15265290538945522</v>
      </c>
      <c r="G8" s="63">
        <v>0.12257685374307044</v>
      </c>
      <c r="H8" s="64">
        <v>1</v>
      </c>
    </row>
    <row r="9" spans="1:8" ht="14.25" customHeight="1" x14ac:dyDescent="0.3">
      <c r="A9" s="57" t="s">
        <v>3037</v>
      </c>
      <c r="B9" s="62">
        <v>0.14655366148444982</v>
      </c>
      <c r="C9" s="63">
        <v>0.21893128746509316</v>
      </c>
      <c r="D9" s="63">
        <v>0.18154140940560809</v>
      </c>
      <c r="E9" s="63">
        <v>0.14499586636666753</v>
      </c>
      <c r="F9" s="63">
        <v>0.14877452706843625</v>
      </c>
      <c r="G9" s="63">
        <v>0.15920324820974507</v>
      </c>
      <c r="H9" s="64">
        <v>1</v>
      </c>
    </row>
    <row r="10" spans="1:8" ht="14.25" customHeight="1" x14ac:dyDescent="0.3">
      <c r="A10" s="58" t="s">
        <v>1187</v>
      </c>
      <c r="B10" s="65">
        <v>0.13815371604118806</v>
      </c>
      <c r="C10" s="66">
        <v>0.21098069389229457</v>
      </c>
      <c r="D10" s="66">
        <v>0.18713592005572044</v>
      </c>
      <c r="E10" s="66">
        <v>0.16278661846034834</v>
      </c>
      <c r="F10" s="66">
        <v>0.15380123271380183</v>
      </c>
      <c r="G10" s="66">
        <v>0.14714181883664676</v>
      </c>
      <c r="H10" s="67">
        <v>1</v>
      </c>
    </row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6"/>
  <sheetViews>
    <sheetView showGridLines="0" workbookViewId="0"/>
  </sheetViews>
  <sheetFormatPr defaultColWidth="14.44140625" defaultRowHeight="15" customHeight="1" x14ac:dyDescent="0.3"/>
  <sheetData>
    <row r="1" spans="1:2" x14ac:dyDescent="0.3">
      <c r="A1" s="48" t="s">
        <v>4</v>
      </c>
      <c r="B1" s="49" t="s">
        <v>1578</v>
      </c>
    </row>
    <row r="2" spans="1:2" x14ac:dyDescent="0.3">
      <c r="A2" s="50" t="s">
        <v>3033</v>
      </c>
      <c r="B2" s="86">
        <v>6679619.9099999955</v>
      </c>
    </row>
    <row r="3" spans="1:2" x14ac:dyDescent="0.3">
      <c r="A3" s="51" t="s">
        <v>3034</v>
      </c>
      <c r="B3" s="87">
        <v>6828784.2199999979</v>
      </c>
    </row>
    <row r="4" spans="1:2" x14ac:dyDescent="0.3">
      <c r="A4" s="51" t="s">
        <v>3035</v>
      </c>
      <c r="B4" s="87">
        <v>6555757.270000007</v>
      </c>
    </row>
    <row r="5" spans="1:2" x14ac:dyDescent="0.3">
      <c r="A5" s="51" t="s">
        <v>3036</v>
      </c>
      <c r="B5" s="87">
        <v>6452211.8600000003</v>
      </c>
    </row>
    <row r="6" spans="1:2" x14ac:dyDescent="0.3">
      <c r="A6" s="52" t="s">
        <v>1187</v>
      </c>
      <c r="B6" s="88">
        <v>26516373.259999998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C367"/>
  <sheetViews>
    <sheetView showGridLines="0" workbookViewId="0">
      <selection activeCell="C7" sqref="C7"/>
    </sheetView>
  </sheetViews>
  <sheetFormatPr defaultColWidth="14.44140625" defaultRowHeight="15" customHeight="1" x14ac:dyDescent="0.3"/>
  <sheetData>
    <row r="1" spans="1:3" x14ac:dyDescent="0.3">
      <c r="A1" s="55"/>
      <c r="B1" s="48" t="s">
        <v>3039</v>
      </c>
      <c r="C1" s="54"/>
    </row>
    <row r="2" spans="1:3" x14ac:dyDescent="0.3">
      <c r="A2" s="48" t="s">
        <v>4</v>
      </c>
      <c r="B2" s="55" t="s">
        <v>1578</v>
      </c>
      <c r="C2" s="68" t="s">
        <v>3040</v>
      </c>
    </row>
    <row r="3" spans="1:3" x14ac:dyDescent="0.3">
      <c r="A3" s="50" t="s">
        <v>3033</v>
      </c>
      <c r="B3" s="89">
        <v>6679619.9099999955</v>
      </c>
      <c r="C3" s="95">
        <v>0.46195940783877792</v>
      </c>
    </row>
    <row r="4" spans="1:3" x14ac:dyDescent="0.3">
      <c r="A4" s="51" t="s">
        <v>3034</v>
      </c>
      <c r="B4" s="91">
        <v>6828784.2199999979</v>
      </c>
      <c r="C4" s="96">
        <v>0.45148400116834564</v>
      </c>
    </row>
    <row r="5" spans="1:3" x14ac:dyDescent="0.3">
      <c r="A5" s="51" t="s">
        <v>3035</v>
      </c>
      <c r="B5" s="91">
        <v>6555757.270000007</v>
      </c>
      <c r="C5" s="96">
        <v>0.45403628792612827</v>
      </c>
    </row>
    <row r="6" spans="1:3" x14ac:dyDescent="0.3">
      <c r="A6" s="51" t="s">
        <v>3036</v>
      </c>
      <c r="B6" s="91">
        <v>6452211.8600000003</v>
      </c>
      <c r="C6" s="96">
        <v>0.45636311177473809</v>
      </c>
    </row>
    <row r="7" spans="1:3" x14ac:dyDescent="0.3">
      <c r="A7" s="52" t="s">
        <v>1187</v>
      </c>
      <c r="B7" s="93">
        <v>26516373.259999976</v>
      </c>
      <c r="C7" s="97">
        <v>0.45599884310505973</v>
      </c>
    </row>
    <row r="8" spans="1:3" x14ac:dyDescent="0.3"/>
    <row r="9" spans="1:3" x14ac:dyDescent="0.3"/>
    <row r="10" spans="1:3" x14ac:dyDescent="0.3"/>
    <row r="11" spans="1:3" x14ac:dyDescent="0.3">
      <c r="A11" s="47"/>
    </row>
    <row r="12" spans="1:3" x14ac:dyDescent="0.3">
      <c r="A12" s="47"/>
    </row>
    <row r="13" spans="1:3" x14ac:dyDescent="0.3">
      <c r="A13" s="47"/>
    </row>
    <row r="14" spans="1:3" x14ac:dyDescent="0.3">
      <c r="A14" s="47"/>
    </row>
    <row r="15" spans="1:3" x14ac:dyDescent="0.3">
      <c r="A15" s="47"/>
    </row>
    <row r="16" spans="1:3" x14ac:dyDescent="0.3">
      <c r="A16" s="47"/>
    </row>
    <row r="17" spans="1:1" x14ac:dyDescent="0.3">
      <c r="A17" s="47"/>
    </row>
    <row r="18" spans="1:1" x14ac:dyDescent="0.3">
      <c r="A18" s="47"/>
    </row>
    <row r="19" spans="1:1" x14ac:dyDescent="0.3">
      <c r="A19" s="47"/>
    </row>
    <row r="20" spans="1:1" x14ac:dyDescent="0.3">
      <c r="A20" s="47"/>
    </row>
    <row r="21" spans="1:1" x14ac:dyDescent="0.3">
      <c r="A21" s="47"/>
    </row>
    <row r="22" spans="1:1" x14ac:dyDescent="0.3">
      <c r="A22" s="47"/>
    </row>
    <row r="23" spans="1:1" x14ac:dyDescent="0.3">
      <c r="A23" s="47"/>
    </row>
    <row r="24" spans="1:1" x14ac:dyDescent="0.3">
      <c r="A24" s="47"/>
    </row>
    <row r="25" spans="1:1" x14ac:dyDescent="0.3">
      <c r="A25" s="47"/>
    </row>
    <row r="26" spans="1:1" x14ac:dyDescent="0.3">
      <c r="A26" s="47"/>
    </row>
    <row r="27" spans="1:1" x14ac:dyDescent="0.3">
      <c r="A27" s="47"/>
    </row>
    <row r="28" spans="1:1" x14ac:dyDescent="0.3">
      <c r="A28" s="47"/>
    </row>
    <row r="29" spans="1:1" x14ac:dyDescent="0.3">
      <c r="A29" s="47"/>
    </row>
    <row r="30" spans="1:1" x14ac:dyDescent="0.3">
      <c r="A30" s="47"/>
    </row>
    <row r="31" spans="1:1" x14ac:dyDescent="0.3">
      <c r="A31" s="47"/>
    </row>
    <row r="32" spans="1:1" x14ac:dyDescent="0.3">
      <c r="A32" s="47"/>
    </row>
    <row r="33" spans="1:1" x14ac:dyDescent="0.3">
      <c r="A33" s="47"/>
    </row>
    <row r="34" spans="1:1" x14ac:dyDescent="0.3">
      <c r="A34" s="47"/>
    </row>
    <row r="35" spans="1:1" x14ac:dyDescent="0.3">
      <c r="A35" s="47"/>
    </row>
    <row r="36" spans="1:1" x14ac:dyDescent="0.3">
      <c r="A36" s="47"/>
    </row>
    <row r="37" spans="1:1" x14ac:dyDescent="0.3">
      <c r="A37" s="47"/>
    </row>
    <row r="38" spans="1:1" x14ac:dyDescent="0.3">
      <c r="A38" s="47"/>
    </row>
    <row r="39" spans="1:1" x14ac:dyDescent="0.3">
      <c r="A39" s="47"/>
    </row>
    <row r="40" spans="1:1" x14ac:dyDescent="0.3">
      <c r="A40" s="47"/>
    </row>
    <row r="41" spans="1:1" x14ac:dyDescent="0.3">
      <c r="A41" s="47"/>
    </row>
    <row r="42" spans="1:1" x14ac:dyDescent="0.3">
      <c r="A42" s="47"/>
    </row>
    <row r="43" spans="1:1" x14ac:dyDescent="0.3">
      <c r="A43" s="47"/>
    </row>
    <row r="44" spans="1:1" x14ac:dyDescent="0.3">
      <c r="A44" s="47"/>
    </row>
    <row r="45" spans="1:1" x14ac:dyDescent="0.3">
      <c r="A45" s="47"/>
    </row>
    <row r="46" spans="1:1" x14ac:dyDescent="0.3">
      <c r="A46" s="47"/>
    </row>
    <row r="47" spans="1:1" x14ac:dyDescent="0.3">
      <c r="A47" s="47"/>
    </row>
    <row r="48" spans="1:1" x14ac:dyDescent="0.3">
      <c r="A48" s="47"/>
    </row>
    <row r="49" spans="1:1" x14ac:dyDescent="0.3">
      <c r="A49" s="47"/>
    </row>
    <row r="50" spans="1:1" x14ac:dyDescent="0.3">
      <c r="A50" s="47"/>
    </row>
    <row r="51" spans="1:1" x14ac:dyDescent="0.3">
      <c r="A51" s="47"/>
    </row>
    <row r="52" spans="1:1" x14ac:dyDescent="0.3">
      <c r="A52" s="47"/>
    </row>
    <row r="53" spans="1:1" x14ac:dyDescent="0.3">
      <c r="A53" s="47"/>
    </row>
    <row r="54" spans="1:1" x14ac:dyDescent="0.3">
      <c r="A54" s="47"/>
    </row>
    <row r="55" spans="1:1" x14ac:dyDescent="0.3">
      <c r="A55" s="47"/>
    </row>
    <row r="56" spans="1:1" x14ac:dyDescent="0.3">
      <c r="A56" s="47"/>
    </row>
    <row r="57" spans="1:1" x14ac:dyDescent="0.3">
      <c r="A57" s="47"/>
    </row>
    <row r="58" spans="1:1" x14ac:dyDescent="0.3">
      <c r="A58" s="47"/>
    </row>
    <row r="59" spans="1:1" x14ac:dyDescent="0.3">
      <c r="A59" s="47"/>
    </row>
    <row r="60" spans="1:1" x14ac:dyDescent="0.3">
      <c r="A60" s="47"/>
    </row>
    <row r="61" spans="1:1" x14ac:dyDescent="0.3">
      <c r="A61" s="47"/>
    </row>
    <row r="62" spans="1:1" x14ac:dyDescent="0.3">
      <c r="A62" s="47"/>
    </row>
    <row r="63" spans="1:1" x14ac:dyDescent="0.3">
      <c r="A63" s="47"/>
    </row>
    <row r="64" spans="1:1" x14ac:dyDescent="0.3">
      <c r="A64" s="47"/>
    </row>
    <row r="65" spans="1:1" x14ac:dyDescent="0.3">
      <c r="A65" s="47"/>
    </row>
    <row r="66" spans="1:1" x14ac:dyDescent="0.3">
      <c r="A66" s="47"/>
    </row>
    <row r="67" spans="1:1" x14ac:dyDescent="0.3">
      <c r="A67" s="47"/>
    </row>
    <row r="68" spans="1:1" x14ac:dyDescent="0.3">
      <c r="A68" s="47"/>
    </row>
    <row r="69" spans="1:1" x14ac:dyDescent="0.3">
      <c r="A69" s="47"/>
    </row>
    <row r="70" spans="1:1" x14ac:dyDescent="0.3">
      <c r="A70" s="47"/>
    </row>
    <row r="71" spans="1:1" x14ac:dyDescent="0.3">
      <c r="A71" s="47"/>
    </row>
    <row r="72" spans="1:1" x14ac:dyDescent="0.3">
      <c r="A72" s="47"/>
    </row>
    <row r="73" spans="1:1" x14ac:dyDescent="0.3">
      <c r="A73" s="47"/>
    </row>
    <row r="74" spans="1:1" x14ac:dyDescent="0.3">
      <c r="A74" s="47"/>
    </row>
    <row r="75" spans="1:1" x14ac:dyDescent="0.3">
      <c r="A75" s="47"/>
    </row>
    <row r="76" spans="1:1" x14ac:dyDescent="0.3">
      <c r="A76" s="47"/>
    </row>
    <row r="77" spans="1:1" x14ac:dyDescent="0.3">
      <c r="A77" s="47"/>
    </row>
    <row r="78" spans="1:1" x14ac:dyDescent="0.3">
      <c r="A78" s="47"/>
    </row>
    <row r="79" spans="1:1" x14ac:dyDescent="0.3">
      <c r="A79" s="47"/>
    </row>
    <row r="80" spans="1:1" x14ac:dyDescent="0.3">
      <c r="A80" s="47"/>
    </row>
    <row r="81" spans="1:1" x14ac:dyDescent="0.3">
      <c r="A81" s="47"/>
    </row>
    <row r="82" spans="1:1" x14ac:dyDescent="0.3">
      <c r="A82" s="47"/>
    </row>
    <row r="83" spans="1:1" x14ac:dyDescent="0.3">
      <c r="A83" s="47"/>
    </row>
    <row r="84" spans="1:1" x14ac:dyDescent="0.3">
      <c r="A84" s="47"/>
    </row>
    <row r="85" spans="1:1" x14ac:dyDescent="0.3">
      <c r="A85" s="47"/>
    </row>
    <row r="86" spans="1:1" x14ac:dyDescent="0.3">
      <c r="A86" s="47"/>
    </row>
    <row r="87" spans="1:1" x14ac:dyDescent="0.3">
      <c r="A87" s="47"/>
    </row>
    <row r="88" spans="1:1" x14ac:dyDescent="0.3">
      <c r="A88" s="47"/>
    </row>
    <row r="89" spans="1:1" x14ac:dyDescent="0.3">
      <c r="A89" s="47"/>
    </row>
    <row r="90" spans="1:1" x14ac:dyDescent="0.3">
      <c r="A90" s="47"/>
    </row>
    <row r="91" spans="1:1" x14ac:dyDescent="0.3">
      <c r="A91" s="47"/>
    </row>
    <row r="92" spans="1:1" x14ac:dyDescent="0.3">
      <c r="A92" s="47"/>
    </row>
    <row r="93" spans="1:1" x14ac:dyDescent="0.3">
      <c r="A93" s="47"/>
    </row>
    <row r="94" spans="1:1" x14ac:dyDescent="0.3">
      <c r="A94" s="47"/>
    </row>
    <row r="95" spans="1:1" x14ac:dyDescent="0.3">
      <c r="A95" s="47"/>
    </row>
    <row r="96" spans="1:1" x14ac:dyDescent="0.3">
      <c r="A96" s="47"/>
    </row>
    <row r="97" spans="1:1" x14ac:dyDescent="0.3">
      <c r="A97" s="47"/>
    </row>
    <row r="98" spans="1:1" x14ac:dyDescent="0.3">
      <c r="A98" s="47"/>
    </row>
    <row r="99" spans="1:1" x14ac:dyDescent="0.3">
      <c r="A99" s="47"/>
    </row>
    <row r="100" spans="1:1" x14ac:dyDescent="0.3">
      <c r="A100" s="47"/>
    </row>
    <row r="101" spans="1:1" x14ac:dyDescent="0.3">
      <c r="A101" s="47"/>
    </row>
    <row r="102" spans="1:1" x14ac:dyDescent="0.3">
      <c r="A102" s="47"/>
    </row>
    <row r="103" spans="1:1" x14ac:dyDescent="0.3">
      <c r="A103" s="47"/>
    </row>
    <row r="104" spans="1:1" x14ac:dyDescent="0.3">
      <c r="A104" s="47"/>
    </row>
    <row r="105" spans="1:1" x14ac:dyDescent="0.3">
      <c r="A105" s="47"/>
    </row>
    <row r="106" spans="1:1" x14ac:dyDescent="0.3">
      <c r="A106" s="47"/>
    </row>
    <row r="107" spans="1:1" x14ac:dyDescent="0.3">
      <c r="A107" s="47"/>
    </row>
    <row r="108" spans="1:1" x14ac:dyDescent="0.3">
      <c r="A108" s="47"/>
    </row>
    <row r="109" spans="1:1" x14ac:dyDescent="0.3">
      <c r="A109" s="47"/>
    </row>
    <row r="110" spans="1:1" x14ac:dyDescent="0.3">
      <c r="A110" s="47"/>
    </row>
    <row r="111" spans="1:1" x14ac:dyDescent="0.3">
      <c r="A111" s="47"/>
    </row>
    <row r="112" spans="1:1" x14ac:dyDescent="0.3">
      <c r="A112" s="47"/>
    </row>
    <row r="113" spans="1:1" x14ac:dyDescent="0.3">
      <c r="A113" s="47"/>
    </row>
    <row r="114" spans="1:1" x14ac:dyDescent="0.3">
      <c r="A114" s="47"/>
    </row>
    <row r="115" spans="1:1" x14ac:dyDescent="0.3">
      <c r="A115" s="47"/>
    </row>
    <row r="116" spans="1:1" x14ac:dyDescent="0.3">
      <c r="A116" s="47"/>
    </row>
    <row r="117" spans="1:1" x14ac:dyDescent="0.3">
      <c r="A117" s="47"/>
    </row>
    <row r="118" spans="1:1" x14ac:dyDescent="0.3">
      <c r="A118" s="47"/>
    </row>
    <row r="119" spans="1:1" x14ac:dyDescent="0.3">
      <c r="A119" s="47"/>
    </row>
    <row r="120" spans="1:1" x14ac:dyDescent="0.3">
      <c r="A120" s="47"/>
    </row>
    <row r="121" spans="1:1" x14ac:dyDescent="0.3">
      <c r="A121" s="47"/>
    </row>
    <row r="122" spans="1:1" x14ac:dyDescent="0.3">
      <c r="A122" s="47"/>
    </row>
    <row r="123" spans="1:1" x14ac:dyDescent="0.3">
      <c r="A123" s="47"/>
    </row>
    <row r="124" spans="1:1" x14ac:dyDescent="0.3">
      <c r="A124" s="47"/>
    </row>
    <row r="125" spans="1:1" x14ac:dyDescent="0.3">
      <c r="A125" s="47"/>
    </row>
    <row r="126" spans="1:1" x14ac:dyDescent="0.3">
      <c r="A126" s="47"/>
    </row>
    <row r="127" spans="1:1" x14ac:dyDescent="0.3">
      <c r="A127" s="47"/>
    </row>
    <row r="128" spans="1:1" x14ac:dyDescent="0.3">
      <c r="A128" s="47"/>
    </row>
    <row r="129" spans="1:1" x14ac:dyDescent="0.3">
      <c r="A129" s="47"/>
    </row>
    <row r="130" spans="1:1" x14ac:dyDescent="0.3">
      <c r="A130" s="47"/>
    </row>
    <row r="131" spans="1:1" x14ac:dyDescent="0.3">
      <c r="A131" s="47"/>
    </row>
    <row r="132" spans="1:1" x14ac:dyDescent="0.3">
      <c r="A132" s="47"/>
    </row>
    <row r="133" spans="1:1" x14ac:dyDescent="0.3">
      <c r="A133" s="47"/>
    </row>
    <row r="134" spans="1:1" x14ac:dyDescent="0.3">
      <c r="A134" s="47"/>
    </row>
    <row r="135" spans="1:1" x14ac:dyDescent="0.3">
      <c r="A135" s="47"/>
    </row>
    <row r="136" spans="1:1" x14ac:dyDescent="0.3">
      <c r="A136" s="47"/>
    </row>
    <row r="137" spans="1:1" x14ac:dyDescent="0.3">
      <c r="A137" s="47"/>
    </row>
    <row r="138" spans="1:1" x14ac:dyDescent="0.3">
      <c r="A138" s="47"/>
    </row>
    <row r="139" spans="1:1" x14ac:dyDescent="0.3">
      <c r="A139" s="47"/>
    </row>
    <row r="140" spans="1:1" x14ac:dyDescent="0.3">
      <c r="A140" s="47"/>
    </row>
    <row r="141" spans="1:1" x14ac:dyDescent="0.3">
      <c r="A141" s="47"/>
    </row>
    <row r="142" spans="1:1" x14ac:dyDescent="0.3">
      <c r="A142" s="47"/>
    </row>
    <row r="143" spans="1:1" x14ac:dyDescent="0.3">
      <c r="A143" s="47"/>
    </row>
    <row r="144" spans="1:1" x14ac:dyDescent="0.3">
      <c r="A144" s="47"/>
    </row>
    <row r="145" spans="1:1" x14ac:dyDescent="0.3">
      <c r="A145" s="47"/>
    </row>
    <row r="146" spans="1:1" x14ac:dyDescent="0.3">
      <c r="A146" s="47"/>
    </row>
    <row r="147" spans="1:1" x14ac:dyDescent="0.3">
      <c r="A147" s="47"/>
    </row>
    <row r="148" spans="1:1" x14ac:dyDescent="0.3">
      <c r="A148" s="47"/>
    </row>
    <row r="149" spans="1:1" x14ac:dyDescent="0.3">
      <c r="A149" s="47"/>
    </row>
    <row r="150" spans="1:1" x14ac:dyDescent="0.3">
      <c r="A150" s="47"/>
    </row>
    <row r="151" spans="1:1" x14ac:dyDescent="0.3">
      <c r="A151" s="47"/>
    </row>
    <row r="152" spans="1:1" x14ac:dyDescent="0.3">
      <c r="A152" s="47"/>
    </row>
    <row r="153" spans="1:1" x14ac:dyDescent="0.3">
      <c r="A153" s="47"/>
    </row>
    <row r="154" spans="1:1" x14ac:dyDescent="0.3">
      <c r="A154" s="47"/>
    </row>
    <row r="155" spans="1:1" x14ac:dyDescent="0.3">
      <c r="A155" s="47"/>
    </row>
    <row r="156" spans="1:1" x14ac:dyDescent="0.3">
      <c r="A156" s="47"/>
    </row>
    <row r="157" spans="1:1" x14ac:dyDescent="0.3">
      <c r="A157" s="47"/>
    </row>
    <row r="158" spans="1:1" x14ac:dyDescent="0.3">
      <c r="A158" s="47"/>
    </row>
    <row r="159" spans="1:1" x14ac:dyDescent="0.3">
      <c r="A159" s="47"/>
    </row>
    <row r="160" spans="1:1" x14ac:dyDescent="0.3">
      <c r="A160" s="47"/>
    </row>
    <row r="161" spans="1:1" x14ac:dyDescent="0.3">
      <c r="A161" s="47"/>
    </row>
    <row r="162" spans="1:1" x14ac:dyDescent="0.3">
      <c r="A162" s="47"/>
    </row>
    <row r="163" spans="1:1" x14ac:dyDescent="0.3">
      <c r="A163" s="47"/>
    </row>
    <row r="164" spans="1:1" x14ac:dyDescent="0.3">
      <c r="A164" s="47"/>
    </row>
    <row r="165" spans="1:1" x14ac:dyDescent="0.3">
      <c r="A165" s="47"/>
    </row>
    <row r="166" spans="1:1" x14ac:dyDescent="0.3">
      <c r="A166" s="47"/>
    </row>
    <row r="167" spans="1:1" x14ac:dyDescent="0.3">
      <c r="A167" s="47"/>
    </row>
    <row r="168" spans="1:1" x14ac:dyDescent="0.3">
      <c r="A168" s="47"/>
    </row>
    <row r="169" spans="1:1" x14ac:dyDescent="0.3">
      <c r="A169" s="47"/>
    </row>
    <row r="170" spans="1:1" x14ac:dyDescent="0.3">
      <c r="A170" s="47"/>
    </row>
    <row r="171" spans="1:1" x14ac:dyDescent="0.3">
      <c r="A171" s="47"/>
    </row>
    <row r="172" spans="1:1" x14ac:dyDescent="0.3">
      <c r="A172" s="47"/>
    </row>
    <row r="173" spans="1:1" x14ac:dyDescent="0.3">
      <c r="A173" s="47"/>
    </row>
    <row r="174" spans="1:1" x14ac:dyDescent="0.3">
      <c r="A174" s="47"/>
    </row>
    <row r="175" spans="1:1" x14ac:dyDescent="0.3">
      <c r="A175" s="47"/>
    </row>
    <row r="176" spans="1:1" x14ac:dyDescent="0.3">
      <c r="A176" s="47"/>
    </row>
    <row r="177" spans="1:1" x14ac:dyDescent="0.3">
      <c r="A177" s="47"/>
    </row>
    <row r="178" spans="1:1" x14ac:dyDescent="0.3">
      <c r="A178" s="47"/>
    </row>
    <row r="179" spans="1:1" x14ac:dyDescent="0.3">
      <c r="A179" s="47"/>
    </row>
    <row r="180" spans="1:1" x14ac:dyDescent="0.3">
      <c r="A180" s="47"/>
    </row>
    <row r="181" spans="1:1" x14ac:dyDescent="0.3">
      <c r="A181" s="47"/>
    </row>
    <row r="182" spans="1:1" x14ac:dyDescent="0.3">
      <c r="A182" s="47"/>
    </row>
    <row r="183" spans="1:1" x14ac:dyDescent="0.3">
      <c r="A183" s="47"/>
    </row>
    <row r="184" spans="1:1" x14ac:dyDescent="0.3">
      <c r="A184" s="47"/>
    </row>
    <row r="185" spans="1:1" x14ac:dyDescent="0.3">
      <c r="A185" s="47"/>
    </row>
    <row r="186" spans="1:1" x14ac:dyDescent="0.3">
      <c r="A186" s="47"/>
    </row>
    <row r="187" spans="1:1" x14ac:dyDescent="0.3">
      <c r="A187" s="47"/>
    </row>
    <row r="188" spans="1:1" x14ac:dyDescent="0.3">
      <c r="A188" s="47"/>
    </row>
    <row r="189" spans="1:1" x14ac:dyDescent="0.3">
      <c r="A189" s="47"/>
    </row>
    <row r="190" spans="1:1" x14ac:dyDescent="0.3">
      <c r="A190" s="47"/>
    </row>
    <row r="191" spans="1:1" x14ac:dyDescent="0.3">
      <c r="A191" s="47"/>
    </row>
    <row r="192" spans="1:1" x14ac:dyDescent="0.3">
      <c r="A192" s="47"/>
    </row>
    <row r="193" spans="1:1" x14ac:dyDescent="0.3">
      <c r="A193" s="47"/>
    </row>
    <row r="194" spans="1:1" x14ac:dyDescent="0.3">
      <c r="A194" s="47"/>
    </row>
    <row r="195" spans="1:1" x14ac:dyDescent="0.3">
      <c r="A195" s="47"/>
    </row>
    <row r="196" spans="1:1" x14ac:dyDescent="0.3">
      <c r="A196" s="47"/>
    </row>
    <row r="197" spans="1:1" x14ac:dyDescent="0.3">
      <c r="A197" s="47"/>
    </row>
    <row r="198" spans="1:1" x14ac:dyDescent="0.3">
      <c r="A198" s="47"/>
    </row>
    <row r="199" spans="1:1" x14ac:dyDescent="0.3">
      <c r="A199" s="47"/>
    </row>
    <row r="200" spans="1:1" x14ac:dyDescent="0.3">
      <c r="A200" s="47"/>
    </row>
    <row r="201" spans="1:1" x14ac:dyDescent="0.3">
      <c r="A201" s="47"/>
    </row>
    <row r="202" spans="1:1" x14ac:dyDescent="0.3">
      <c r="A202" s="47"/>
    </row>
    <row r="203" spans="1:1" x14ac:dyDescent="0.3">
      <c r="A203" s="47"/>
    </row>
    <row r="204" spans="1:1" x14ac:dyDescent="0.3">
      <c r="A204" s="47"/>
    </row>
    <row r="205" spans="1:1" x14ac:dyDescent="0.3">
      <c r="A205" s="47"/>
    </row>
    <row r="206" spans="1:1" x14ac:dyDescent="0.3">
      <c r="A206" s="47"/>
    </row>
    <row r="207" spans="1:1" x14ac:dyDescent="0.3">
      <c r="A207" s="47"/>
    </row>
    <row r="208" spans="1:1" x14ac:dyDescent="0.3">
      <c r="A208" s="47"/>
    </row>
    <row r="209" spans="1:1" x14ac:dyDescent="0.3">
      <c r="A209" s="47"/>
    </row>
    <row r="210" spans="1:1" x14ac:dyDescent="0.3">
      <c r="A210" s="47"/>
    </row>
    <row r="211" spans="1:1" x14ac:dyDescent="0.3">
      <c r="A211" s="47"/>
    </row>
    <row r="212" spans="1:1" x14ac:dyDescent="0.3">
      <c r="A212" s="47"/>
    </row>
    <row r="213" spans="1:1" x14ac:dyDescent="0.3">
      <c r="A213" s="47"/>
    </row>
    <row r="214" spans="1:1" x14ac:dyDescent="0.3">
      <c r="A214" s="47"/>
    </row>
    <row r="215" spans="1:1" x14ac:dyDescent="0.3">
      <c r="A215" s="47"/>
    </row>
    <row r="216" spans="1:1" x14ac:dyDescent="0.3">
      <c r="A216" s="47"/>
    </row>
    <row r="217" spans="1:1" x14ac:dyDescent="0.3">
      <c r="A217" s="47"/>
    </row>
    <row r="218" spans="1:1" x14ac:dyDescent="0.3">
      <c r="A218" s="47"/>
    </row>
    <row r="219" spans="1:1" x14ac:dyDescent="0.3">
      <c r="A219" s="47"/>
    </row>
    <row r="220" spans="1:1" x14ac:dyDescent="0.3">
      <c r="A220" s="47"/>
    </row>
    <row r="221" spans="1:1" x14ac:dyDescent="0.3">
      <c r="A221" s="47"/>
    </row>
    <row r="222" spans="1:1" x14ac:dyDescent="0.3">
      <c r="A222" s="47"/>
    </row>
    <row r="223" spans="1:1" x14ac:dyDescent="0.3">
      <c r="A223" s="47"/>
    </row>
    <row r="224" spans="1:1" x14ac:dyDescent="0.3">
      <c r="A224" s="47"/>
    </row>
    <row r="225" spans="1:1" x14ac:dyDescent="0.3">
      <c r="A225" s="47"/>
    </row>
    <row r="226" spans="1:1" x14ac:dyDescent="0.3">
      <c r="A226" s="47"/>
    </row>
    <row r="227" spans="1:1" x14ac:dyDescent="0.3">
      <c r="A227" s="47"/>
    </row>
    <row r="228" spans="1:1" x14ac:dyDescent="0.3">
      <c r="A228" s="47"/>
    </row>
    <row r="229" spans="1:1" x14ac:dyDescent="0.3">
      <c r="A229" s="47"/>
    </row>
    <row r="230" spans="1:1" x14ac:dyDescent="0.3">
      <c r="A230" s="47"/>
    </row>
    <row r="231" spans="1:1" x14ac:dyDescent="0.3">
      <c r="A231" s="47"/>
    </row>
    <row r="232" spans="1:1" x14ac:dyDescent="0.3">
      <c r="A232" s="47"/>
    </row>
    <row r="233" spans="1:1" x14ac:dyDescent="0.3">
      <c r="A233" s="47"/>
    </row>
    <row r="234" spans="1:1" x14ac:dyDescent="0.3">
      <c r="A234" s="47"/>
    </row>
    <row r="235" spans="1:1" x14ac:dyDescent="0.3">
      <c r="A235" s="47"/>
    </row>
    <row r="236" spans="1:1" x14ac:dyDescent="0.3">
      <c r="A236" s="47"/>
    </row>
    <row r="237" spans="1:1" x14ac:dyDescent="0.3">
      <c r="A237" s="47"/>
    </row>
    <row r="238" spans="1:1" x14ac:dyDescent="0.3">
      <c r="A238" s="47"/>
    </row>
    <row r="239" spans="1:1" x14ac:dyDescent="0.3">
      <c r="A239" s="47"/>
    </row>
    <row r="240" spans="1:1" x14ac:dyDescent="0.3">
      <c r="A240" s="47"/>
    </row>
    <row r="241" spans="1:1" x14ac:dyDescent="0.3">
      <c r="A241" s="47"/>
    </row>
    <row r="242" spans="1:1" x14ac:dyDescent="0.3">
      <c r="A242" s="47"/>
    </row>
    <row r="243" spans="1:1" x14ac:dyDescent="0.3">
      <c r="A243" s="47"/>
    </row>
    <row r="244" spans="1:1" x14ac:dyDescent="0.3">
      <c r="A244" s="47"/>
    </row>
    <row r="245" spans="1:1" x14ac:dyDescent="0.3">
      <c r="A245" s="47"/>
    </row>
    <row r="246" spans="1:1" x14ac:dyDescent="0.3">
      <c r="A246" s="47"/>
    </row>
    <row r="247" spans="1:1" x14ac:dyDescent="0.3">
      <c r="A247" s="47"/>
    </row>
    <row r="248" spans="1:1" x14ac:dyDescent="0.3">
      <c r="A248" s="47"/>
    </row>
    <row r="249" spans="1:1" x14ac:dyDescent="0.3">
      <c r="A249" s="47"/>
    </row>
    <row r="250" spans="1:1" x14ac:dyDescent="0.3">
      <c r="A250" s="47"/>
    </row>
    <row r="251" spans="1:1" x14ac:dyDescent="0.3">
      <c r="A251" s="47"/>
    </row>
    <row r="252" spans="1:1" x14ac:dyDescent="0.3">
      <c r="A252" s="47"/>
    </row>
    <row r="253" spans="1:1" x14ac:dyDescent="0.3">
      <c r="A253" s="47"/>
    </row>
    <row r="254" spans="1:1" x14ac:dyDescent="0.3">
      <c r="A254" s="47"/>
    </row>
    <row r="255" spans="1:1" x14ac:dyDescent="0.3">
      <c r="A255" s="47"/>
    </row>
    <row r="256" spans="1:1" x14ac:dyDescent="0.3">
      <c r="A256" s="47"/>
    </row>
    <row r="257" spans="1:1" x14ac:dyDescent="0.3">
      <c r="A257" s="47"/>
    </row>
    <row r="258" spans="1:1" x14ac:dyDescent="0.3">
      <c r="A258" s="47"/>
    </row>
    <row r="259" spans="1:1" x14ac:dyDescent="0.3">
      <c r="A259" s="47"/>
    </row>
    <row r="260" spans="1:1" x14ac:dyDescent="0.3">
      <c r="A260" s="47"/>
    </row>
    <row r="261" spans="1:1" x14ac:dyDescent="0.3">
      <c r="A261" s="47"/>
    </row>
    <row r="262" spans="1:1" x14ac:dyDescent="0.3">
      <c r="A262" s="47"/>
    </row>
    <row r="263" spans="1:1" x14ac:dyDescent="0.3">
      <c r="A263" s="47"/>
    </row>
    <row r="264" spans="1:1" x14ac:dyDescent="0.3">
      <c r="A264" s="47"/>
    </row>
    <row r="265" spans="1:1" x14ac:dyDescent="0.3">
      <c r="A265" s="47"/>
    </row>
    <row r="266" spans="1:1" x14ac:dyDescent="0.3">
      <c r="A266" s="47"/>
    </row>
    <row r="267" spans="1:1" x14ac:dyDescent="0.3">
      <c r="A267" s="47"/>
    </row>
    <row r="268" spans="1:1" x14ac:dyDescent="0.3">
      <c r="A268" s="47"/>
    </row>
    <row r="269" spans="1:1" x14ac:dyDescent="0.3">
      <c r="A269" s="47"/>
    </row>
    <row r="270" spans="1:1" x14ac:dyDescent="0.3">
      <c r="A270" s="47"/>
    </row>
    <row r="271" spans="1:1" x14ac:dyDescent="0.3">
      <c r="A271" s="47"/>
    </row>
    <row r="272" spans="1:1" x14ac:dyDescent="0.3">
      <c r="A272" s="47"/>
    </row>
    <row r="273" spans="1:1" x14ac:dyDescent="0.3">
      <c r="A273" s="47"/>
    </row>
    <row r="274" spans="1:1" x14ac:dyDescent="0.3">
      <c r="A274" s="47"/>
    </row>
    <row r="275" spans="1:1" x14ac:dyDescent="0.3">
      <c r="A275" s="47"/>
    </row>
    <row r="276" spans="1:1" x14ac:dyDescent="0.3">
      <c r="A276" s="47"/>
    </row>
    <row r="277" spans="1:1" x14ac:dyDescent="0.3">
      <c r="A277" s="47"/>
    </row>
    <row r="278" spans="1:1" x14ac:dyDescent="0.3">
      <c r="A278" s="47"/>
    </row>
    <row r="279" spans="1:1" x14ac:dyDescent="0.3">
      <c r="A279" s="47"/>
    </row>
    <row r="280" spans="1:1" x14ac:dyDescent="0.3">
      <c r="A280" s="47"/>
    </row>
    <row r="281" spans="1:1" x14ac:dyDescent="0.3">
      <c r="A281" s="47"/>
    </row>
    <row r="282" spans="1:1" x14ac:dyDescent="0.3">
      <c r="A282" s="47"/>
    </row>
    <row r="283" spans="1:1" x14ac:dyDescent="0.3">
      <c r="A283" s="47"/>
    </row>
    <row r="284" spans="1:1" x14ac:dyDescent="0.3">
      <c r="A284" s="47"/>
    </row>
    <row r="285" spans="1:1" x14ac:dyDescent="0.3">
      <c r="A285" s="47"/>
    </row>
    <row r="286" spans="1:1" x14ac:dyDescent="0.3">
      <c r="A286" s="47"/>
    </row>
    <row r="287" spans="1:1" x14ac:dyDescent="0.3">
      <c r="A287" s="47"/>
    </row>
    <row r="288" spans="1:1" x14ac:dyDescent="0.3">
      <c r="A288" s="47"/>
    </row>
    <row r="289" spans="1:1" x14ac:dyDescent="0.3">
      <c r="A289" s="47"/>
    </row>
    <row r="290" spans="1:1" x14ac:dyDescent="0.3">
      <c r="A290" s="47"/>
    </row>
    <row r="291" spans="1:1" x14ac:dyDescent="0.3">
      <c r="A291" s="47"/>
    </row>
    <row r="292" spans="1:1" x14ac:dyDescent="0.3">
      <c r="A292" s="47"/>
    </row>
    <row r="293" spans="1:1" x14ac:dyDescent="0.3">
      <c r="A293" s="47"/>
    </row>
    <row r="294" spans="1:1" x14ac:dyDescent="0.3">
      <c r="A294" s="47"/>
    </row>
    <row r="295" spans="1:1" x14ac:dyDescent="0.3">
      <c r="A295" s="47"/>
    </row>
    <row r="296" spans="1:1" x14ac:dyDescent="0.3">
      <c r="A296" s="47"/>
    </row>
    <row r="297" spans="1:1" x14ac:dyDescent="0.3">
      <c r="A297" s="47"/>
    </row>
    <row r="298" spans="1:1" x14ac:dyDescent="0.3">
      <c r="A298" s="47"/>
    </row>
    <row r="299" spans="1:1" x14ac:dyDescent="0.3">
      <c r="A299" s="47"/>
    </row>
    <row r="300" spans="1:1" x14ac:dyDescent="0.3">
      <c r="A300" s="47"/>
    </row>
    <row r="301" spans="1:1" x14ac:dyDescent="0.3">
      <c r="A301" s="47"/>
    </row>
    <row r="302" spans="1:1" x14ac:dyDescent="0.3">
      <c r="A302" s="47"/>
    </row>
    <row r="303" spans="1:1" x14ac:dyDescent="0.3">
      <c r="A303" s="47"/>
    </row>
    <row r="304" spans="1:1" x14ac:dyDescent="0.3">
      <c r="A304" s="47"/>
    </row>
    <row r="305" spans="1:1" x14ac:dyDescent="0.3">
      <c r="A305" s="47"/>
    </row>
    <row r="306" spans="1:1" x14ac:dyDescent="0.3">
      <c r="A306" s="47"/>
    </row>
    <row r="307" spans="1:1" x14ac:dyDescent="0.3">
      <c r="A307" s="47"/>
    </row>
    <row r="308" spans="1:1" x14ac:dyDescent="0.3">
      <c r="A308" s="47"/>
    </row>
    <row r="309" spans="1:1" x14ac:dyDescent="0.3">
      <c r="A309" s="47"/>
    </row>
    <row r="310" spans="1:1" x14ac:dyDescent="0.3">
      <c r="A310" s="47"/>
    </row>
    <row r="311" spans="1:1" x14ac:dyDescent="0.3">
      <c r="A311" s="47"/>
    </row>
    <row r="312" spans="1:1" x14ac:dyDescent="0.3">
      <c r="A312" s="47"/>
    </row>
    <row r="313" spans="1:1" x14ac:dyDescent="0.3">
      <c r="A313" s="47"/>
    </row>
    <row r="314" spans="1:1" x14ac:dyDescent="0.3">
      <c r="A314" s="47"/>
    </row>
    <row r="315" spans="1:1" x14ac:dyDescent="0.3">
      <c r="A315" s="47"/>
    </row>
    <row r="316" spans="1:1" x14ac:dyDescent="0.3">
      <c r="A316" s="47"/>
    </row>
    <row r="317" spans="1:1" x14ac:dyDescent="0.3">
      <c r="A317" s="47"/>
    </row>
    <row r="318" spans="1:1" x14ac:dyDescent="0.3">
      <c r="A318" s="47"/>
    </row>
    <row r="319" spans="1:1" x14ac:dyDescent="0.3">
      <c r="A319" s="47"/>
    </row>
    <row r="320" spans="1:1" x14ac:dyDescent="0.3">
      <c r="A320" s="47"/>
    </row>
    <row r="321" spans="1:1" x14ac:dyDescent="0.3">
      <c r="A321" s="47"/>
    </row>
    <row r="322" spans="1:1" x14ac:dyDescent="0.3">
      <c r="A322" s="47"/>
    </row>
    <row r="323" spans="1:1" x14ac:dyDescent="0.3">
      <c r="A323" s="47"/>
    </row>
    <row r="324" spans="1:1" x14ac:dyDescent="0.3">
      <c r="A324" s="47"/>
    </row>
    <row r="325" spans="1:1" x14ac:dyDescent="0.3">
      <c r="A325" s="47"/>
    </row>
    <row r="326" spans="1:1" x14ac:dyDescent="0.3">
      <c r="A326" s="47"/>
    </row>
    <row r="327" spans="1:1" x14ac:dyDescent="0.3">
      <c r="A327" s="47"/>
    </row>
    <row r="328" spans="1:1" x14ac:dyDescent="0.3">
      <c r="A328" s="47"/>
    </row>
    <row r="329" spans="1:1" x14ac:dyDescent="0.3">
      <c r="A329" s="47"/>
    </row>
    <row r="330" spans="1:1" x14ac:dyDescent="0.3">
      <c r="A330" s="47"/>
    </row>
    <row r="331" spans="1:1" x14ac:dyDescent="0.3">
      <c r="A331" s="47"/>
    </row>
    <row r="332" spans="1:1" x14ac:dyDescent="0.3">
      <c r="A332" s="47"/>
    </row>
    <row r="333" spans="1:1" x14ac:dyDescent="0.3">
      <c r="A333" s="47"/>
    </row>
    <row r="334" spans="1:1" x14ac:dyDescent="0.3">
      <c r="A334" s="47"/>
    </row>
    <row r="335" spans="1:1" x14ac:dyDescent="0.3">
      <c r="A335" s="47"/>
    </row>
    <row r="336" spans="1:1" x14ac:dyDescent="0.3">
      <c r="A336" s="47"/>
    </row>
    <row r="337" spans="1:1" x14ac:dyDescent="0.3">
      <c r="A337" s="47"/>
    </row>
    <row r="338" spans="1:1" x14ac:dyDescent="0.3">
      <c r="A338" s="47"/>
    </row>
    <row r="339" spans="1:1" x14ac:dyDescent="0.3">
      <c r="A339" s="47"/>
    </row>
    <row r="340" spans="1:1" x14ac:dyDescent="0.3">
      <c r="A340" s="47"/>
    </row>
    <row r="341" spans="1:1" x14ac:dyDescent="0.3">
      <c r="A341" s="47"/>
    </row>
    <row r="342" spans="1:1" x14ac:dyDescent="0.3">
      <c r="A342" s="47"/>
    </row>
    <row r="343" spans="1:1" x14ac:dyDescent="0.3">
      <c r="A343" s="47"/>
    </row>
    <row r="344" spans="1:1" x14ac:dyDescent="0.3">
      <c r="A344" s="47"/>
    </row>
    <row r="345" spans="1:1" x14ac:dyDescent="0.3">
      <c r="A345" s="47"/>
    </row>
    <row r="346" spans="1:1" x14ac:dyDescent="0.3">
      <c r="A346" s="47"/>
    </row>
    <row r="347" spans="1:1" x14ac:dyDescent="0.3">
      <c r="A347" s="47"/>
    </row>
    <row r="348" spans="1:1" x14ac:dyDescent="0.3">
      <c r="A348" s="47"/>
    </row>
    <row r="349" spans="1:1" x14ac:dyDescent="0.3">
      <c r="A349" s="47"/>
    </row>
    <row r="350" spans="1:1" x14ac:dyDescent="0.3">
      <c r="A350" s="47"/>
    </row>
    <row r="351" spans="1:1" x14ac:dyDescent="0.3">
      <c r="A351" s="47"/>
    </row>
    <row r="352" spans="1:1" x14ac:dyDescent="0.3">
      <c r="A352" s="47"/>
    </row>
    <row r="353" spans="1:1" x14ac:dyDescent="0.3">
      <c r="A353" s="47"/>
    </row>
    <row r="354" spans="1:1" x14ac:dyDescent="0.3">
      <c r="A354" s="47"/>
    </row>
    <row r="355" spans="1:1" x14ac:dyDescent="0.3">
      <c r="A355" s="47"/>
    </row>
    <row r="356" spans="1:1" x14ac:dyDescent="0.3">
      <c r="A356" s="47"/>
    </row>
    <row r="357" spans="1:1" x14ac:dyDescent="0.3">
      <c r="A357" s="47"/>
    </row>
    <row r="358" spans="1:1" x14ac:dyDescent="0.3">
      <c r="A358" s="47"/>
    </row>
    <row r="359" spans="1:1" x14ac:dyDescent="0.3">
      <c r="A359" s="47"/>
    </row>
    <row r="360" spans="1:1" x14ac:dyDescent="0.3">
      <c r="A360" s="47"/>
    </row>
    <row r="361" spans="1:1" x14ac:dyDescent="0.3">
      <c r="A361" s="47"/>
    </row>
    <row r="362" spans="1:1" x14ac:dyDescent="0.3">
      <c r="A362" s="47"/>
    </row>
    <row r="363" spans="1:1" x14ac:dyDescent="0.3">
      <c r="A363" s="47"/>
    </row>
    <row r="364" spans="1:1" x14ac:dyDescent="0.3">
      <c r="A364" s="47"/>
    </row>
    <row r="365" spans="1:1" x14ac:dyDescent="0.3">
      <c r="A365" s="47"/>
    </row>
    <row r="366" spans="1:1" x14ac:dyDescent="0.3">
      <c r="A366" s="47"/>
    </row>
    <row r="367" spans="1:1" x14ac:dyDescent="0.3">
      <c r="A367" s="4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418B-DC27-4B9F-A562-58C702630025}">
  <dimension ref="A3:B34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21875" bestFit="1" customWidth="1"/>
  </cols>
  <sheetData>
    <row r="3" spans="1:2" x14ac:dyDescent="0.3">
      <c r="A3" s="48" t="s">
        <v>3041</v>
      </c>
      <c r="B3" s="49" t="s">
        <v>1184</v>
      </c>
    </row>
    <row r="4" spans="1:2" x14ac:dyDescent="0.3">
      <c r="A4" s="70" t="s">
        <v>231</v>
      </c>
      <c r="B4" s="86">
        <v>789849.60000000009</v>
      </c>
    </row>
    <row r="5" spans="1:2" x14ac:dyDescent="0.3">
      <c r="A5" s="71" t="s">
        <v>261</v>
      </c>
      <c r="B5" s="98">
        <v>980063.65999999968</v>
      </c>
    </row>
    <row r="6" spans="1:2" x14ac:dyDescent="0.3">
      <c r="A6" s="71" t="s">
        <v>200</v>
      </c>
      <c r="B6" s="98">
        <v>986692.91</v>
      </c>
    </row>
    <row r="7" spans="1:2" x14ac:dyDescent="0.3">
      <c r="A7" s="71" t="s">
        <v>185</v>
      </c>
      <c r="B7" s="98">
        <v>589026.2899999998</v>
      </c>
    </row>
    <row r="8" spans="1:2" x14ac:dyDescent="0.3">
      <c r="A8" s="71" t="s">
        <v>96</v>
      </c>
      <c r="B8" s="98">
        <v>782445.33</v>
      </c>
    </row>
    <row r="9" spans="1:2" x14ac:dyDescent="0.3">
      <c r="A9" s="71" t="s">
        <v>125</v>
      </c>
      <c r="B9" s="98">
        <v>1138648.73</v>
      </c>
    </row>
    <row r="10" spans="1:2" x14ac:dyDescent="0.3">
      <c r="A10" s="71" t="s">
        <v>38</v>
      </c>
      <c r="B10" s="98">
        <v>855749.67999999982</v>
      </c>
    </row>
    <row r="11" spans="1:2" x14ac:dyDescent="0.3">
      <c r="A11" s="71" t="s">
        <v>135</v>
      </c>
      <c r="B11" s="98">
        <v>861553.33</v>
      </c>
    </row>
    <row r="12" spans="1:2" x14ac:dyDescent="0.3">
      <c r="A12" s="71" t="s">
        <v>214</v>
      </c>
      <c r="B12" s="98">
        <v>914554.71999999986</v>
      </c>
    </row>
    <row r="13" spans="1:2" x14ac:dyDescent="0.3">
      <c r="A13" s="71" t="s">
        <v>177</v>
      </c>
      <c r="B13" s="98">
        <v>880345.20000000007</v>
      </c>
    </row>
    <row r="14" spans="1:2" x14ac:dyDescent="0.3">
      <c r="A14" s="71" t="s">
        <v>865</v>
      </c>
      <c r="B14" s="98">
        <v>735207.75999999989</v>
      </c>
    </row>
    <row r="15" spans="1:2" x14ac:dyDescent="0.3">
      <c r="A15" s="71" t="s">
        <v>189</v>
      </c>
      <c r="B15" s="98">
        <v>901394.32000000007</v>
      </c>
    </row>
    <row r="16" spans="1:2" x14ac:dyDescent="0.3">
      <c r="A16" s="71" t="s">
        <v>745</v>
      </c>
      <c r="B16" s="98">
        <v>811524.37999999989</v>
      </c>
    </row>
    <row r="17" spans="1:2" x14ac:dyDescent="0.3">
      <c r="A17" s="71" t="s">
        <v>117</v>
      </c>
      <c r="B17" s="98">
        <v>995713.54000000015</v>
      </c>
    </row>
    <row r="18" spans="1:2" x14ac:dyDescent="0.3">
      <c r="A18" s="71" t="s">
        <v>301</v>
      </c>
      <c r="B18" s="98">
        <v>1091740.1799999997</v>
      </c>
    </row>
    <row r="19" spans="1:2" x14ac:dyDescent="0.3">
      <c r="A19" s="71" t="s">
        <v>221</v>
      </c>
      <c r="B19" s="98">
        <v>814563.7100000002</v>
      </c>
    </row>
    <row r="20" spans="1:2" x14ac:dyDescent="0.3">
      <c r="A20" s="71" t="s">
        <v>121</v>
      </c>
      <c r="B20" s="98">
        <v>780384.40999999992</v>
      </c>
    </row>
    <row r="21" spans="1:2" x14ac:dyDescent="0.3">
      <c r="A21" s="71" t="s">
        <v>167</v>
      </c>
      <c r="B21" s="98">
        <v>1112289.6400000001</v>
      </c>
    </row>
    <row r="22" spans="1:2" x14ac:dyDescent="0.3">
      <c r="A22" s="71" t="s">
        <v>158</v>
      </c>
      <c r="B22" s="98">
        <v>971183.52000000014</v>
      </c>
    </row>
    <row r="23" spans="1:2" x14ac:dyDescent="0.3">
      <c r="A23" s="71" t="s">
        <v>321</v>
      </c>
      <c r="B23" s="98">
        <v>906107.71000000008</v>
      </c>
    </row>
    <row r="24" spans="1:2" x14ac:dyDescent="0.3">
      <c r="A24" s="71" t="s">
        <v>216</v>
      </c>
      <c r="B24" s="98">
        <v>761507.17000000027</v>
      </c>
    </row>
    <row r="25" spans="1:2" x14ac:dyDescent="0.3">
      <c r="A25" s="71" t="s">
        <v>196</v>
      </c>
      <c r="B25" s="98">
        <v>1069570.5400000003</v>
      </c>
    </row>
    <row r="26" spans="1:2" x14ac:dyDescent="0.3">
      <c r="A26" s="71" t="s">
        <v>208</v>
      </c>
      <c r="B26" s="98">
        <v>983787.4800000001</v>
      </c>
    </row>
    <row r="27" spans="1:2" x14ac:dyDescent="0.3">
      <c r="A27" s="71" t="s">
        <v>153</v>
      </c>
      <c r="B27" s="98">
        <v>819558.58</v>
      </c>
    </row>
    <row r="28" spans="1:2" x14ac:dyDescent="0.3">
      <c r="A28" s="71" t="s">
        <v>145</v>
      </c>
      <c r="B28" s="98">
        <v>901298.89</v>
      </c>
    </row>
    <row r="29" spans="1:2" x14ac:dyDescent="0.3">
      <c r="A29" s="71" t="s">
        <v>376</v>
      </c>
      <c r="B29" s="98">
        <v>576305.08000000019</v>
      </c>
    </row>
    <row r="30" spans="1:2" x14ac:dyDescent="0.3">
      <c r="A30" s="71" t="s">
        <v>619</v>
      </c>
      <c r="B30" s="98">
        <v>917092.61999999965</v>
      </c>
    </row>
    <row r="31" spans="1:2" x14ac:dyDescent="0.3">
      <c r="A31" s="71" t="s">
        <v>172</v>
      </c>
      <c r="B31" s="98">
        <v>880468.05</v>
      </c>
    </row>
    <row r="32" spans="1:2" x14ac:dyDescent="0.3">
      <c r="A32" s="71" t="s">
        <v>236</v>
      </c>
      <c r="B32" s="98">
        <v>1016696.8000000002</v>
      </c>
    </row>
    <row r="33" spans="1:2" x14ac:dyDescent="0.3">
      <c r="A33" s="71" t="s">
        <v>143</v>
      </c>
      <c r="B33" s="98">
        <v>747624.36999999988</v>
      </c>
    </row>
    <row r="34" spans="1:2" x14ac:dyDescent="0.3">
      <c r="A34" s="72" t="s">
        <v>1187</v>
      </c>
      <c r="B34" s="88">
        <v>26572948.20000001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  <pageSetUpPr fitToPage="1"/>
  </sheetPr>
  <dimension ref="A1:F1000"/>
  <sheetViews>
    <sheetView workbookViewId="0">
      <pane ySplit="4" topLeftCell="A5" activePane="bottomLeft" state="frozen"/>
      <selection pane="bottomLeft" activeCell="B15" sqref="B15"/>
    </sheetView>
  </sheetViews>
  <sheetFormatPr defaultColWidth="14.44140625" defaultRowHeight="15" customHeight="1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57.109375" customWidth="1"/>
    <col min="6" max="6" width="15" customWidth="1"/>
    <col min="7" max="26" width="8.6640625" customWidth="1"/>
  </cols>
  <sheetData>
    <row r="1" spans="1:6" ht="30" customHeight="1" x14ac:dyDescent="0.3">
      <c r="A1" s="82" t="s">
        <v>1226</v>
      </c>
      <c r="B1" s="83"/>
      <c r="C1" s="83"/>
      <c r="D1" s="83"/>
      <c r="E1" s="83"/>
      <c r="F1" s="84"/>
    </row>
    <row r="2" spans="1:6" ht="14.25" customHeight="1" x14ac:dyDescent="0.3">
      <c r="A2" s="85" t="s">
        <v>1228</v>
      </c>
      <c r="B2" s="76"/>
      <c r="C2" s="76"/>
      <c r="D2" s="76"/>
      <c r="E2" s="76"/>
      <c r="F2" s="76"/>
    </row>
    <row r="3" spans="1:6" ht="14.25" customHeight="1" x14ac:dyDescent="0.3"/>
    <row r="4" spans="1:6" ht="24" customHeight="1" x14ac:dyDescent="0.3">
      <c r="A4" s="3" t="s">
        <v>1050</v>
      </c>
      <c r="B4" s="3" t="s">
        <v>1051</v>
      </c>
      <c r="C4" s="3" t="s">
        <v>45</v>
      </c>
      <c r="D4" s="3" t="s">
        <v>1052</v>
      </c>
      <c r="E4" s="3" t="s">
        <v>1053</v>
      </c>
      <c r="F4" s="3" t="s">
        <v>1054</v>
      </c>
    </row>
    <row r="5" spans="1:6" ht="42" customHeight="1" x14ac:dyDescent="0.3">
      <c r="A5" s="37" t="s">
        <v>1229</v>
      </c>
      <c r="B5" s="38" t="s">
        <v>1230</v>
      </c>
      <c r="C5" s="39">
        <v>2</v>
      </c>
      <c r="D5" s="40" t="s">
        <v>1232</v>
      </c>
      <c r="E5" s="69" t="str" cm="1">
        <f t="array" ref="E5">INDEX(Sales_Reps!$B$2:$B$31, MATCH(LARGE(SUMIFS(Orders!$I$2:$I$2001, Orders!$E$2:$E$2001, Sales_Reps!$A$2:$A$31), 7), SUMIFS(Orders!$I$2:$I$2001, Orders!$E$2:$E$2001, Sales_Reps!$A$2:$A$31), 0))</f>
        <v>Amit Singh</v>
      </c>
      <c r="F5" s="42" t="s">
        <v>1069</v>
      </c>
    </row>
    <row r="6" spans="1:6" ht="42" customHeight="1" x14ac:dyDescent="0.3">
      <c r="A6" s="37" t="s">
        <v>1234</v>
      </c>
      <c r="B6" s="38" t="s">
        <v>1235</v>
      </c>
      <c r="C6" s="39">
        <v>2</v>
      </c>
      <c r="D6" s="40" t="s">
        <v>1237</v>
      </c>
      <c r="E6" s="69">
        <f>SUMIFS(Orders!$I$2:$I$2001, Orders!$B$2:$B$2001, "&lt;=2024-08-31")</f>
        <v>18050689.600000005</v>
      </c>
      <c r="F6" s="42" t="s">
        <v>1129</v>
      </c>
    </row>
    <row r="7" spans="1:6" ht="42" customHeight="1" x14ac:dyDescent="0.3">
      <c r="A7" s="37" t="s">
        <v>1238</v>
      </c>
      <c r="B7" s="38" t="s">
        <v>1239</v>
      </c>
      <c r="C7" s="39">
        <v>3</v>
      </c>
      <c r="D7" s="40" t="s">
        <v>1240</v>
      </c>
      <c r="E7" s="73" t="str" cm="1">
        <f t="array" ref="E7">INDEX(Products!$B$2:$B$51, MATCH(LARGE(SUMIFS(Orders!$I$2:$I$2001, Orders!$D$2:$D$2001, Products!$A$2:$A$51, Orders!$E$2:$E$2001, _xlfn._xlws.FILTER(Sales_Reps!$A$2:$A$31, Sales_Reps!$C$2:$C$31="West")), 2), SUMIFS(Orders!$I$2:$I$2001, Orders!$D$2:$D$2001, Products!$A$2:$A$51, Orders!$E$2:$E$2001, _xlfn._xlws.FILTER(Sales_Reps!$A$2:$A$31, Sales_Reps!$C$2:$C$31="West")), 0))</f>
        <v>Laptop Bag</v>
      </c>
      <c r="F7" s="42" t="s">
        <v>1069</v>
      </c>
    </row>
    <row r="8" spans="1:6" ht="42" customHeight="1" x14ac:dyDescent="0.3">
      <c r="A8" s="37" t="s">
        <v>1243</v>
      </c>
      <c r="B8" s="74" t="s">
        <v>1244</v>
      </c>
      <c r="C8" s="39">
        <v>2</v>
      </c>
      <c r="D8" s="40" t="s">
        <v>1245</v>
      </c>
      <c r="E8" s="69" t="str" cm="1">
        <f t="array" ref="E8">_xlfn.TEXTJOIN(" | ", TRUE, _xlfn.TAKE(_xlfn.SORTBY(Sales_Reps!$B$2:$B$31, SUMIFS(Orders!$I$2:$I$2001, Orders!$E$2:$E$2001, Sales_Reps!$A$2:$A$31), -1), 5))</f>
        <v>Neha Desai | Shalini Patel | Deepak Shah | Nisha Menon | Arun Iyer</v>
      </c>
      <c r="F8" s="42" t="s">
        <v>1069</v>
      </c>
    </row>
    <row r="9" spans="1:6" ht="42" customHeight="1" x14ac:dyDescent="0.3">
      <c r="A9" s="37" t="s">
        <v>1247</v>
      </c>
      <c r="B9" s="74" t="s">
        <v>1248</v>
      </c>
      <c r="C9" s="39">
        <v>1</v>
      </c>
      <c r="D9" s="40" t="s">
        <v>1249</v>
      </c>
      <c r="E9" s="69">
        <f>_xlfn.MAXIFS(Orders!$I$2:$I$2001, Orders!$K$2:$K$2001, "Bengaluru", Orders!$L$2:$L$2001, "Grocery")</f>
        <v>22134</v>
      </c>
      <c r="F9" s="42" t="s">
        <v>1129</v>
      </c>
    </row>
    <row r="10" spans="1:6" ht="14.25" customHeight="1" x14ac:dyDescent="0.3">
      <c r="E10">
        <v>6</v>
      </c>
    </row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4" right="0.4" top="0.4" bottom="0.4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DD6C-4380-464E-99F4-DA24AF016A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README</vt:lpstr>
      <vt:lpstr>Detail1</vt:lpstr>
      <vt:lpstr>Detail2</vt:lpstr>
      <vt:lpstr>Visualization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Practice Sheet</vt:lpstr>
      <vt:lpstr>Q4_Pivot</vt:lpstr>
      <vt:lpstr>Practice sheet 2</vt:lpstr>
      <vt:lpstr>Practice sheet 3</vt:lpstr>
      <vt:lpstr>Practice sheet 4</vt:lpstr>
      <vt:lpstr>Practice sheet 5</vt:lpstr>
      <vt:lpstr>Practice sheet 6</vt:lpstr>
      <vt:lpstr>Practice sheet 7</vt:lpstr>
      <vt:lpstr>Q5_Advanced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Gaikwad</cp:lastModifiedBy>
  <dcterms:created xsi:type="dcterms:W3CDTF">2026-08-08T11:39:42Z</dcterms:created>
  <dcterms:modified xsi:type="dcterms:W3CDTF">2026-08-21T01:43:51Z</dcterms:modified>
</cp:coreProperties>
</file>